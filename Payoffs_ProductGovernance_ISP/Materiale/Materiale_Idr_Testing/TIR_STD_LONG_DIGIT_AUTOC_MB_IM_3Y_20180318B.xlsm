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omments1.xml" ContentType="application/vnd.openxmlformats-officedocument.spreadsheetml.comments+xml"/>
  <Override PartName="/xl/drawings/drawing2.xml" ContentType="application/vnd.openxmlformats-officedocument.drawing+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201" codeName="{21656B06-1B9B-AA78-C99D-37B55691406E}"/>
  <workbookPr codeName="ThisWorkbook"/>
  <mc:AlternateContent xmlns:mc="http://schemas.openxmlformats.org/markup-compatibility/2006">
    <mc:Choice Requires="x15">
      <x15ac:absPath xmlns:x15ac="http://schemas.microsoft.com/office/spreadsheetml/2010/11/ac" url="c:\profili\U375280\Desktop\"/>
    </mc:Choice>
  </mc:AlternateContent>
  <bookViews>
    <workbookView xWindow="630" yWindow="-60" windowWidth="14310" windowHeight="11700" tabRatio="693" activeTab="3"/>
  </bookViews>
  <sheets>
    <sheet name="Dati_G" sheetId="9" r:id="rId1"/>
    <sheet name="Autocallable" sheetId="18" r:id="rId2"/>
    <sheet name="Credit Spread" sheetId="30" r:id="rId3"/>
    <sheet name="IdR" sheetId="26" r:id="rId4"/>
  </sheets>
  <externalReferences>
    <externalReference r:id="rId5"/>
  </externalReferences>
  <definedNames>
    <definedName name="_ftn1" localSheetId="3">IdR!#REF!</definedName>
    <definedName name="_ftnref1" localSheetId="3">IdR!#REF!</definedName>
    <definedName name="_xlnm.Print_Area" localSheetId="3">IdR!$A$1:$K$320</definedName>
    <definedName name="BLPH20070905102402_1" localSheetId="1" hidden="1">Autocallable!#REF!</definedName>
    <definedName name="BLPH20070905102402_1" localSheetId="0" hidden="1">Dati_G!#REF!</definedName>
    <definedName name="BLPH20070905102952_1" localSheetId="1" hidden="1">Autocallable!#REF!</definedName>
    <definedName name="BLPH20070905102952_1" localSheetId="0" hidden="1">Dati_G!#REF!</definedName>
    <definedName name="BLPH20070905103547_1" localSheetId="1" hidden="1">Autocallable!#REF!</definedName>
    <definedName name="BLPH20070905103547_1" localSheetId="0" hidden="1">Dati_G!#REF!</definedName>
    <definedName name="BLPH20070905104438_1" localSheetId="1" hidden="1">Autocallable!#REF!</definedName>
    <definedName name="BLPH20070905104438_1" localSheetId="0" hidden="1">Dati_G!#REF!</definedName>
    <definedName name="BLPH20070926144809_1" localSheetId="1" hidden="1">Autocallable!#REF!</definedName>
    <definedName name="BLPH20070926144809_1" localSheetId="0" hidden="1">Dati_G!#REF!</definedName>
    <definedName name="BLPH20070927083433_1" localSheetId="1" hidden="1">Autocallable!#REF!</definedName>
    <definedName name="BLPH20070927083433_1" localSheetId="0" hidden="1">Dati_G!#REF!</definedName>
    <definedName name="BLPH20070927083433_2" localSheetId="1" hidden="1">Autocallable!#REF!</definedName>
    <definedName name="BLPH20070927083433_2" localSheetId="0" hidden="1">Dati_G!#REF!</definedName>
    <definedName name="BLPH20070927083433_3" localSheetId="1" hidden="1">Autocallable!#REF!</definedName>
    <definedName name="BLPH20070927083433_3" localSheetId="0" hidden="1">Dati_G!#REF!</definedName>
    <definedName name="BLPH20071126105642_1" localSheetId="0" hidden="1">Dati_G!#REF!</definedName>
    <definedName name="BLPH20071126105642_2" localSheetId="0" hidden="1">Dati_G!#REF!</definedName>
    <definedName name="BLPH20071127114942_1" localSheetId="0" hidden="1">Dati_G!#REF!</definedName>
    <definedName name="BLPH20071203094933_1" localSheetId="0" hidden="1">Dati_G!#REF!</definedName>
    <definedName name="BLPH20071203094941_1" localSheetId="0" hidden="1">Dati_G!$E$27</definedName>
    <definedName name="BLPH20071203094941_10" localSheetId="0" hidden="1">Dati_G!$E$18</definedName>
    <definedName name="BLPH20071203094941_11" localSheetId="0" hidden="1">Dati_G!$E$17</definedName>
    <definedName name="BLPH20071203094941_12" localSheetId="0" hidden="1">Dati_G!$E$16</definedName>
    <definedName name="BLPH20071203094941_13" localSheetId="0" hidden="1">Dati_G!$E$15</definedName>
    <definedName name="BLPH20071203094941_14" localSheetId="0" hidden="1">Dati_G!$E$14</definedName>
    <definedName name="BLPH20071203094941_15" localSheetId="0" hidden="1">Dati_G!$E$13</definedName>
    <definedName name="BLPH20071203094941_16" localSheetId="0" hidden="1">Dati_G!$E$12</definedName>
    <definedName name="BLPH20071203094941_17" localSheetId="0" hidden="1">Dati_G!$E$11</definedName>
    <definedName name="BLPH20071203094941_18" localSheetId="0" hidden="1">Dati_G!$E$10</definedName>
    <definedName name="BLPH20071203094941_19" localSheetId="0" hidden="1">Dati_G!$E$9</definedName>
    <definedName name="BLPH20071203094941_2" localSheetId="0" hidden="1">Dati_G!$E$26</definedName>
    <definedName name="BLPH20071203094941_20" localSheetId="0" hidden="1">Dati_G!$E$8</definedName>
    <definedName name="BLPH20071203094941_21" localSheetId="0" hidden="1">Dati_G!$E$7</definedName>
    <definedName name="BLPH20071203094941_22" localSheetId="0" hidden="1">Dati_G!$E$6</definedName>
    <definedName name="BLPH20071203094941_23" localSheetId="0" hidden="1">Dati_G!$E$5</definedName>
    <definedName name="BLPH20071203094941_24" localSheetId="0" hidden="1">Dati_G!#REF!</definedName>
    <definedName name="BLPH20071203094941_25" localSheetId="0" hidden="1">Dati_G!#REF!</definedName>
    <definedName name="BLPH20071203094941_3" localSheetId="0" hidden="1">Dati_G!$E$25</definedName>
    <definedName name="BLPH20071203094941_4" localSheetId="0" hidden="1">Dati_G!$E$24</definedName>
    <definedName name="BLPH20071203094941_5" localSheetId="0" hidden="1">Dati_G!$E$23</definedName>
    <definedName name="BLPH20071203094941_6" localSheetId="0" hidden="1">Dati_G!$E$22</definedName>
    <definedName name="BLPH20071203094941_7" localSheetId="0" hidden="1">Dati_G!$E$21</definedName>
    <definedName name="BLPH20071203094941_8" localSheetId="0" hidden="1">Dati_G!$E$20</definedName>
    <definedName name="BLPH20071203094941_9" localSheetId="0" hidden="1">Dati_G!$E$19</definedName>
    <definedName name="BLPH20071203095246_1" localSheetId="0" hidden="1">Dati_G!$A$9</definedName>
    <definedName name="BLPH20071204081635_1" localSheetId="0" hidden="1">Dati_G!#REF!</definedName>
    <definedName name="BLPH20071204081705_1" localSheetId="1" hidden="1">Autocallable!#REF!</definedName>
    <definedName name="BLPH20080709101504_1" localSheetId="0" hidden="1">Dati_G!#REF!</definedName>
    <definedName name="BLPH20080709105612_1" localSheetId="1" hidden="1">Autocallable!#REF!</definedName>
    <definedName name="BLPH20080709135534_1" localSheetId="0" hidden="1">Dati_G!#REF!</definedName>
    <definedName name="BLPH20080709135534_10" localSheetId="0" hidden="1">Dati_G!#REF!</definedName>
    <definedName name="BLPH20080709135534_11" localSheetId="0" hidden="1">Dati_G!#REF!</definedName>
    <definedName name="BLPH20080709135534_12" localSheetId="0" hidden="1">Dati_G!#REF!</definedName>
    <definedName name="BLPH20080709135534_13" localSheetId="0" hidden="1">Dati_G!#REF!</definedName>
    <definedName name="BLPH20080709135534_14" localSheetId="0" hidden="1">Dati_G!#REF!</definedName>
    <definedName name="BLPH20080709135534_15" localSheetId="0" hidden="1">Dati_G!#REF!</definedName>
    <definedName name="BLPH20080709135534_16" localSheetId="0" hidden="1">Dati_G!#REF!</definedName>
    <definedName name="BLPH20080709135534_17" localSheetId="0" hidden="1">Dati_G!#REF!</definedName>
    <definedName name="BLPH20080709135534_18" localSheetId="0" hidden="1">Dati_G!#REF!</definedName>
    <definedName name="BLPH20080709135534_19" localSheetId="0" hidden="1">Dati_G!#REF!</definedName>
    <definedName name="BLPH20080709135534_2" localSheetId="0" hidden="1">Dati_G!#REF!</definedName>
    <definedName name="BLPH20080709135534_20" localSheetId="0" hidden="1">Dati_G!#REF!</definedName>
    <definedName name="BLPH20080709135534_21" localSheetId="0" hidden="1">Dati_G!#REF!</definedName>
    <definedName name="BLPH20080709135534_22" localSheetId="0" hidden="1">Dati_G!#REF!</definedName>
    <definedName name="BLPH20080709135534_23" localSheetId="0" hidden="1">Dati_G!#REF!</definedName>
    <definedName name="BLPH20080709135534_24" localSheetId="0" hidden="1">Dati_G!#REF!</definedName>
    <definedName name="BLPH20080709135534_25" localSheetId="0" hidden="1">Dati_G!#REF!</definedName>
    <definedName name="BLPH20080709135534_26" localSheetId="0" hidden="1">Dati_G!#REF!</definedName>
    <definedName name="BLPH20080709135534_3" localSheetId="0" hidden="1">Dati_G!#REF!</definedName>
    <definedName name="BLPH20080709135534_4" localSheetId="0" hidden="1">Dati_G!#REF!</definedName>
    <definedName name="BLPH20080709135534_5" localSheetId="0" hidden="1">Dati_G!#REF!</definedName>
    <definedName name="BLPH20080709135534_6" localSheetId="0" hidden="1">Dati_G!#REF!</definedName>
    <definedName name="BLPH20080709135534_7" localSheetId="0" hidden="1">Dati_G!#REF!</definedName>
    <definedName name="BLPH20080709135534_8" localSheetId="0" hidden="1">Dati_G!#REF!</definedName>
    <definedName name="BLPH20080709135534_9" localSheetId="0" hidden="1">Dati_G!#REF!</definedName>
    <definedName name="BLPH20080709140053_1" localSheetId="0" hidden="1">Dati_G!#REF!</definedName>
    <definedName name="BLPH20080709140053_2" localSheetId="0" hidden="1">Dati_G!#REF!</definedName>
    <definedName name="BLPH20080709140053_3" localSheetId="0" hidden="1">Dati_G!#REF!</definedName>
    <definedName name="BLPH20080709140053_4" localSheetId="0" hidden="1">Dati_G!#REF!</definedName>
    <definedName name="BLPH20080709140053_5" localSheetId="0" hidden="1">Dati_G!#REF!</definedName>
    <definedName name="BLPH20080709140053_6" localSheetId="0" hidden="1">Dati_G!#REF!</definedName>
    <definedName name="BLPH20080709140053_7" localSheetId="0" hidden="1">Dati_G!#REF!</definedName>
    <definedName name="BLPH20080709140053_8" localSheetId="0" hidden="1">Dati_G!#REF!</definedName>
    <definedName name="BLPH20080709140611_1" localSheetId="0" hidden="1">Dati_G!#REF!</definedName>
    <definedName name="BLPH20080709140611_10" localSheetId="0" hidden="1">Dati_G!#REF!</definedName>
    <definedName name="BLPH20080709140611_11" localSheetId="0" hidden="1">Dati_G!#REF!</definedName>
    <definedName name="BLPH20080709140611_12" localSheetId="0" hidden="1">Dati_G!#REF!</definedName>
    <definedName name="BLPH20080709140611_13" localSheetId="0" hidden="1">Dati_G!#REF!</definedName>
    <definedName name="BLPH20080709140611_14" localSheetId="0" hidden="1">Dati_G!#REF!</definedName>
    <definedName name="BLPH20080709140611_15" localSheetId="0" hidden="1">Dati_G!#REF!</definedName>
    <definedName name="BLPH20080709140611_16" localSheetId="0" hidden="1">Dati_G!#REF!</definedName>
    <definedName name="BLPH20080709140611_17" localSheetId="0" hidden="1">Dati_G!#REF!</definedName>
    <definedName name="BLPH20080709140611_18" localSheetId="0" hidden="1">Dati_G!#REF!</definedName>
    <definedName name="BLPH20080709140611_19" localSheetId="0" hidden="1">Dati_G!#REF!</definedName>
    <definedName name="BLPH20080709140611_2" localSheetId="0" hidden="1">Dati_G!#REF!</definedName>
    <definedName name="BLPH20080709140611_20" localSheetId="0" hidden="1">Dati_G!$D$68</definedName>
    <definedName name="BLPH20080709140611_21" localSheetId="0" hidden="1">Dati_G!$D$67</definedName>
    <definedName name="BLPH20080709140611_22" localSheetId="0" hidden="1">Dati_G!$D$66</definedName>
    <definedName name="BLPH20080709140611_23" localSheetId="0" hidden="1">Dati_G!$D$65</definedName>
    <definedName name="BLPH20080709140611_24" localSheetId="0" hidden="1">Dati_G!$D$64</definedName>
    <definedName name="BLPH20080709140611_25" localSheetId="0" hidden="1">Dati_G!$D$63</definedName>
    <definedName name="BLPH20080709140611_26" localSheetId="0" hidden="1">Dati_G!$D$62</definedName>
    <definedName name="BLPH20080709140611_27" localSheetId="0" hidden="1">Dati_G!$D$61</definedName>
    <definedName name="BLPH20080709140611_28" localSheetId="0" hidden="1">Dati_G!$D$60</definedName>
    <definedName name="BLPH20080709140611_29" localSheetId="0" hidden="1">Dati_G!$D$59</definedName>
    <definedName name="BLPH20080709140611_3" localSheetId="0" hidden="1">Dati_G!#REF!</definedName>
    <definedName name="BLPH20080709140611_30" localSheetId="0" hidden="1">Dati_G!$D$58</definedName>
    <definedName name="BLPH20080709140611_31" localSheetId="0" hidden="1">Dati_G!$D$57</definedName>
    <definedName name="BLPH20080709140611_32" localSheetId="0" hidden="1">Dati_G!$D$56</definedName>
    <definedName name="BLPH20080709140611_33" localSheetId="0" hidden="1">Dati_G!$D$55</definedName>
    <definedName name="BLPH20080709140611_34" localSheetId="0" hidden="1">Dati_G!$D$54</definedName>
    <definedName name="BLPH20080709140611_4" localSheetId="0" hidden="1">Dati_G!#REF!</definedName>
    <definedName name="BLPH20080709140611_5" localSheetId="0" hidden="1">Dati_G!#REF!</definedName>
    <definedName name="BLPH20080709140611_6" localSheetId="0" hidden="1">Dati_G!#REF!</definedName>
    <definedName name="BLPH20080709140611_7" localSheetId="0" hidden="1">Dati_G!#REF!</definedName>
    <definedName name="BLPH20080709140611_8" localSheetId="0" hidden="1">Dati_G!#REF!</definedName>
    <definedName name="BLPH20080709140611_9" localSheetId="0" hidden="1">Dati_G!#REF!</definedName>
    <definedName name="BLPH20090508073859_1" localSheetId="1" hidden="1">Autocallable!$A$86</definedName>
    <definedName name="BLPH20091223143955_1" localSheetId="0" hidden="1">Dati_G!#REF!</definedName>
    <definedName name="BLPH20091223143955_10" localSheetId="0" hidden="1">Dati_G!#REF!</definedName>
    <definedName name="BLPH20091223143955_11" localSheetId="0" hidden="1">Dati_G!#REF!</definedName>
    <definedName name="BLPH20091223143955_12" localSheetId="0" hidden="1">Dati_G!#REF!</definedName>
    <definedName name="BLPH20091223143955_2" localSheetId="0" hidden="1">Dati_G!#REF!</definedName>
    <definedName name="BLPH20091223143955_3" localSheetId="0" hidden="1">Dati_G!#REF!</definedName>
    <definedName name="BLPH20091223143955_4" localSheetId="0" hidden="1">Dati_G!#REF!</definedName>
    <definedName name="BLPH20091223143955_5" localSheetId="0" hidden="1">Dati_G!#REF!</definedName>
    <definedName name="BLPH20091223143955_6" localSheetId="0" hidden="1">Dati_G!#REF!</definedName>
    <definedName name="BLPH20091223143955_7" localSheetId="0" hidden="1">Dati_G!#REF!</definedName>
    <definedName name="BLPH20091223143955_8" localSheetId="0" hidden="1">Dati_G!#REF!</definedName>
    <definedName name="BLPH20091223143955_9" localSheetId="0" hidden="1">Dati_G!#REF!</definedName>
    <definedName name="BLPH20091223152339_1" localSheetId="1" hidden="1">Autocallable!$A$7</definedName>
    <definedName name="BLPH20100119154148_1" localSheetId="0" hidden="1">Dati_G!#REF!</definedName>
    <definedName name="BLPH20100119154148_10" localSheetId="0" hidden="1">Dati_G!$M$44</definedName>
    <definedName name="BLPH20100119154148_11" localSheetId="0" hidden="1">Dati_G!$M$43</definedName>
    <definedName name="BLPH20100119154148_12" localSheetId="0" hidden="1">Dati_G!$M$42</definedName>
    <definedName name="BLPH20100119154148_13" localSheetId="0" hidden="1">Dati_G!$M$41</definedName>
    <definedName name="BLPH20100119154148_14" localSheetId="0" hidden="1">Dati_G!$M$40</definedName>
    <definedName name="BLPH20100119154148_15" localSheetId="0" hidden="1">Dati_G!$M$39</definedName>
    <definedName name="BLPH20100119154148_16" localSheetId="0" hidden="1">Dati_G!$M$38</definedName>
    <definedName name="BLPH20100119154148_17" localSheetId="0" hidden="1">Dati_G!$M$37</definedName>
    <definedName name="BLPH20100119154148_18" localSheetId="0" hidden="1">Dati_G!$M$36</definedName>
    <definedName name="BLPH20100119154148_19" localSheetId="0" hidden="1">Dati_G!$M$35</definedName>
    <definedName name="BLPH20100119154148_2" localSheetId="0" hidden="1">Dati_G!#REF!</definedName>
    <definedName name="BLPH20100119154148_3" localSheetId="0" hidden="1">Dati_G!#REF!</definedName>
    <definedName name="BLPH20100119154148_4" localSheetId="0" hidden="1">Dati_G!#REF!</definedName>
    <definedName name="BLPH20100119154148_5" localSheetId="0" hidden="1">Dati_G!$M$49</definedName>
    <definedName name="BLPH20100119154148_6" localSheetId="0" hidden="1">Dati_G!$M$48</definedName>
    <definedName name="BLPH20100119154148_7" localSheetId="0" hidden="1">Dati_G!$M$47</definedName>
    <definedName name="BLPH20100119154148_8" localSheetId="0" hidden="1">Dati_G!$M$46</definedName>
    <definedName name="BLPH20100119154148_9" localSheetId="0" hidden="1">Dati_G!$M$45</definedName>
    <definedName name="BLPH20100217093455_1" localSheetId="0" hidden="1">Dati_G!$O$34</definedName>
    <definedName name="BLPH20100217093506_1" localSheetId="0" hidden="1">Dati_G!$O$35</definedName>
    <definedName name="BLPH20100217093506_2" localSheetId="0" hidden="1">Dati_G!$O$36</definedName>
    <definedName name="BLPH20100217093506_3" localSheetId="0" hidden="1">Dati_G!$O$37</definedName>
    <definedName name="BLPH20100217093506_4" localSheetId="0" hidden="1">Dati_G!$O$38</definedName>
    <definedName name="BLPH20100217093506_5" localSheetId="0" hidden="1">Dati_G!$O$39</definedName>
    <definedName name="BLPH20100217093506_6" localSheetId="0" hidden="1">Dati_G!$O$40</definedName>
    <definedName name="BLPH20100217093507_1" localSheetId="0" hidden="1">Dati_G!$O$41</definedName>
    <definedName name="BLPH20100217093507_10" localSheetId="0" hidden="1">Dati_G!$O$50</definedName>
    <definedName name="BLPH20100217093507_11" localSheetId="0" hidden="1">Dati_G!$O$51</definedName>
    <definedName name="BLPH20100217093507_12" localSheetId="0" hidden="1">Dati_G!$O$52</definedName>
    <definedName name="BLPH20100217093507_13" localSheetId="0" hidden="1">Dati_G!$O$53</definedName>
    <definedName name="BLPH20100217093507_14" localSheetId="0" hidden="1">Dati_G!$O$54</definedName>
    <definedName name="BLPH20100217093507_15" localSheetId="0" hidden="1">Dati_G!$O$55</definedName>
    <definedName name="BLPH20100217093507_16" localSheetId="0" hidden="1">Dati_G!$O$56</definedName>
    <definedName name="BLPH20100217093507_17" localSheetId="0" hidden="1">Dati_G!$O$57</definedName>
    <definedName name="BLPH20100217093507_18" localSheetId="0" hidden="1">Dati_G!$O$58</definedName>
    <definedName name="BLPH20100217093507_19" localSheetId="0" hidden="1">Dati_G!$O$59</definedName>
    <definedName name="BLPH20100217093507_2" localSheetId="0" hidden="1">Dati_G!$O$42</definedName>
    <definedName name="BLPH20100217093507_20" localSheetId="0" hidden="1">Dati_G!$O$60</definedName>
    <definedName name="BLPH20100217093507_21" localSheetId="0" hidden="1">Dati_G!$O$61</definedName>
    <definedName name="BLPH20100217093507_22" localSheetId="0" hidden="1">Dati_G!$O$62</definedName>
    <definedName name="BLPH20100217093507_23" localSheetId="0" hidden="1">Dati_G!$O$63</definedName>
    <definedName name="BLPH20100217093507_24" localSheetId="0" hidden="1">Dati_G!$O$64</definedName>
    <definedName name="BLPH20100217093507_25" localSheetId="0" hidden="1">Dati_G!$O$65</definedName>
    <definedName name="BLPH20100217093507_26" localSheetId="0" hidden="1">Dati_G!$O$66</definedName>
    <definedName name="BLPH20100217093507_27" localSheetId="0" hidden="1">Dati_G!$O$67</definedName>
    <definedName name="BLPH20100217093507_28" localSheetId="0" hidden="1">Dati_G!$O$68</definedName>
    <definedName name="BLPH20100217093507_29" localSheetId="0" hidden="1">Dati_G!$O$69</definedName>
    <definedName name="BLPH20100217093507_3" localSheetId="0" hidden="1">Dati_G!$O$43</definedName>
    <definedName name="BLPH20100217093507_30" localSheetId="0" hidden="1">Dati_G!$O$70</definedName>
    <definedName name="BLPH20100217093507_31" localSheetId="0" hidden="1">Dati_G!$O$71</definedName>
    <definedName name="BLPH20100217093507_32" localSheetId="0" hidden="1">Dati_G!$O$72</definedName>
    <definedName name="BLPH20100217093507_33" localSheetId="0" hidden="1">Dati_G!$O$73</definedName>
    <definedName name="BLPH20100217093507_34" localSheetId="0" hidden="1">Dati_G!$O$74</definedName>
    <definedName name="BLPH20100217093507_35" localSheetId="0" hidden="1">Dati_G!$O$75</definedName>
    <definedName name="BLPH20100217093507_36" localSheetId="0" hidden="1">Dati_G!$O$76</definedName>
    <definedName name="BLPH20100217093507_37" localSheetId="0" hidden="1">Dati_G!$O$77</definedName>
    <definedName name="BLPH20100217093507_38" localSheetId="0" hidden="1">Dati_G!$O$78</definedName>
    <definedName name="BLPH20100217093507_39" localSheetId="0" hidden="1">Dati_G!$O$79</definedName>
    <definedName name="BLPH20100217093507_4" localSheetId="0" hidden="1">Dati_G!$O$44</definedName>
    <definedName name="BLPH20100217093507_40" localSheetId="0" hidden="1">Dati_G!$O$80</definedName>
    <definedName name="BLPH20100217093507_41" localSheetId="0" hidden="1">Dati_G!$O$81</definedName>
    <definedName name="BLPH20100217093507_42" localSheetId="0" hidden="1">Dati_G!$O$82</definedName>
    <definedName name="BLPH20100217093507_43" localSheetId="0" hidden="1">Dati_G!$O$83</definedName>
    <definedName name="BLPH20100217093507_44" localSheetId="0" hidden="1">Dati_G!$O$84</definedName>
    <definedName name="BLPH20100217093507_45" localSheetId="0" hidden="1">Dati_G!$O$85</definedName>
    <definedName name="BLPH20100217093507_46" localSheetId="0" hidden="1">Dati_G!$O$86</definedName>
    <definedName name="BLPH20100217093507_47" localSheetId="0" hidden="1">Dati_G!$O$87</definedName>
    <definedName name="BLPH20100217093507_48" localSheetId="0" hidden="1">Dati_G!$O$88</definedName>
    <definedName name="BLPH20100217093507_49" localSheetId="0" hidden="1">Dati_G!$J$89</definedName>
    <definedName name="BLPH20100217093507_5" localSheetId="0" hidden="1">Dati_G!$O$45</definedName>
    <definedName name="BLPH20100217093507_50" localSheetId="0" hidden="1">Dati_G!$J$90</definedName>
    <definedName name="BLPH20100217093507_6" localSheetId="0" hidden="1">Dati_G!$O$46</definedName>
    <definedName name="BLPH20100217093507_7" localSheetId="0" hidden="1">Dati_G!$O$47</definedName>
    <definedName name="BLPH20100217093507_8" localSheetId="0" hidden="1">Dati_G!$O$48</definedName>
    <definedName name="BLPH20100217093507_9" localSheetId="0" hidden="1">Dati_G!$O$49</definedName>
    <definedName name="OLE_LINK1" localSheetId="3">IdR!#REF!</definedName>
  </definedNames>
  <calcPr calcId="171027"/>
</workbook>
</file>

<file path=xl/calcChain.xml><?xml version="1.0" encoding="utf-8"?>
<calcChain xmlns="http://schemas.openxmlformats.org/spreadsheetml/2006/main">
  <c r="L187" i="26" l="1"/>
  <c r="M187" i="26"/>
  <c r="C14" i="30"/>
  <c r="C13" i="30"/>
  <c r="B14" i="30"/>
  <c r="B13" i="30"/>
  <c r="A15" i="30"/>
  <c r="A14" i="30"/>
  <c r="A13" i="30"/>
  <c r="S5" i="18"/>
  <c r="S4" i="18"/>
  <c r="S3" i="18"/>
  <c r="R3" i="18"/>
  <c r="Q6" i="18"/>
  <c r="Q5" i="18"/>
  <c r="Q4" i="18"/>
  <c r="Q3" i="18"/>
  <c r="F4" i="9"/>
  <c r="F3" i="9"/>
  <c r="E4" i="9"/>
  <c r="E3" i="9"/>
  <c r="D3" i="9"/>
  <c r="O35" i="9"/>
  <c r="O91" i="9"/>
  <c r="O89" i="9"/>
  <c r="O64" i="9"/>
  <c r="O82" i="9"/>
  <c r="O62" i="9"/>
  <c r="O67" i="9"/>
  <c r="O63" i="9"/>
  <c r="O106" i="9"/>
  <c r="O103" i="9"/>
  <c r="O99" i="9"/>
  <c r="O59" i="9"/>
  <c r="O71" i="9"/>
  <c r="O72" i="9"/>
  <c r="O76" i="9"/>
  <c r="O65" i="9"/>
  <c r="O97" i="9"/>
  <c r="O96" i="9"/>
  <c r="O47" i="9"/>
  <c r="O108" i="9"/>
  <c r="O70" i="9"/>
  <c r="O34" i="9"/>
  <c r="O52" i="9"/>
  <c r="O105" i="9"/>
  <c r="O57" i="9"/>
  <c r="O48" i="9"/>
  <c r="O98" i="9"/>
  <c r="O68" i="9"/>
  <c r="O88" i="9"/>
  <c r="O87" i="9"/>
  <c r="O79" i="9"/>
  <c r="O44" i="9"/>
  <c r="O53" i="9"/>
  <c r="O54" i="9"/>
  <c r="O93" i="9"/>
  <c r="O75" i="9"/>
  <c r="O101" i="9"/>
  <c r="O37" i="9"/>
  <c r="O81" i="9"/>
  <c r="O74" i="9"/>
  <c r="O50" i="9"/>
  <c r="O43" i="9"/>
  <c r="O80" i="9"/>
  <c r="O38" i="9"/>
  <c r="O58" i="9"/>
  <c r="O40" i="9"/>
  <c r="O94" i="9"/>
  <c r="O73" i="9"/>
  <c r="O77" i="9"/>
  <c r="O78" i="9"/>
  <c r="O56" i="9"/>
  <c r="O110" i="9"/>
  <c r="O51" i="9"/>
  <c r="O86" i="9"/>
  <c r="O107" i="9"/>
  <c r="O104" i="9"/>
  <c r="O46" i="9"/>
  <c r="O45" i="9"/>
  <c r="O83" i="9"/>
  <c r="O92" i="9"/>
  <c r="O102" i="9"/>
  <c r="O36" i="9"/>
  <c r="O55" i="9"/>
  <c r="O41" i="9"/>
  <c r="O42" i="9"/>
  <c r="A9" i="9"/>
  <c r="O49" i="9"/>
  <c r="O109" i="9"/>
  <c r="O84" i="9"/>
  <c r="O90" i="9"/>
  <c r="O61" i="9"/>
  <c r="O100" i="9"/>
  <c r="O85" i="9"/>
  <c r="O95" i="9"/>
  <c r="O69" i="9"/>
  <c r="O66" i="9"/>
  <c r="O60" i="9"/>
  <c r="O39" i="9"/>
  <c r="AZ10" i="18" l="1"/>
  <c r="AY10" i="18"/>
  <c r="AX10" i="18"/>
  <c r="AW10" i="18"/>
  <c r="AV10" i="18"/>
  <c r="AU10" i="18"/>
  <c r="AT10" i="18"/>
  <c r="AS10" i="18"/>
  <c r="AR10" i="18"/>
  <c r="AQ10" i="18"/>
  <c r="AP10" i="18"/>
  <c r="AO10" i="18"/>
  <c r="AN10" i="18"/>
  <c r="AM10" i="18"/>
  <c r="AL10" i="18"/>
  <c r="AK10" i="18"/>
  <c r="AJ10" i="18"/>
  <c r="AI10" i="18"/>
  <c r="AH10" i="18"/>
  <c r="AG10" i="18"/>
  <c r="AF10" i="18"/>
  <c r="AE10" i="18"/>
  <c r="AD10" i="18"/>
  <c r="AC10" i="18"/>
  <c r="AB10" i="18"/>
  <c r="AA10" i="18"/>
  <c r="Z10" i="18"/>
  <c r="Y10" i="18"/>
  <c r="X10" i="18"/>
  <c r="W10" i="18"/>
  <c r="V10" i="18"/>
  <c r="BA6" i="18"/>
  <c r="BA9" i="18" l="1"/>
  <c r="AZ12" i="18"/>
  <c r="AY12" i="18"/>
  <c r="AX12" i="18"/>
  <c r="AW12" i="18"/>
  <c r="AV12" i="18"/>
  <c r="AU12" i="18"/>
  <c r="AT12" i="18"/>
  <c r="AS12" i="18"/>
  <c r="AR12" i="18"/>
  <c r="AQ12" i="18"/>
  <c r="AP12" i="18"/>
  <c r="AO12" i="18"/>
  <c r="AN12" i="18"/>
  <c r="AM12" i="18"/>
  <c r="AL12" i="18"/>
  <c r="AK12" i="18"/>
  <c r="AJ12" i="18"/>
  <c r="AI12" i="18"/>
  <c r="AH12" i="18"/>
  <c r="AG12" i="18"/>
  <c r="AF12" i="18"/>
  <c r="AE12" i="18"/>
  <c r="AD12" i="18"/>
  <c r="AC12" i="18"/>
  <c r="AB12" i="18"/>
  <c r="AA12" i="18"/>
  <c r="Z12" i="18"/>
  <c r="Y12" i="18"/>
  <c r="X12" i="18"/>
  <c r="W12" i="18"/>
  <c r="V12" i="18"/>
  <c r="AZ2" i="18" l="1"/>
  <c r="AY2" i="18"/>
  <c r="AX2" i="18"/>
  <c r="AW2" i="18"/>
  <c r="AV2" i="18"/>
  <c r="AU2" i="18"/>
  <c r="AT2" i="18"/>
  <c r="AS2" i="18"/>
  <c r="AR2" i="18"/>
  <c r="AQ2" i="18"/>
  <c r="AP2" i="18"/>
  <c r="AO2" i="18"/>
  <c r="AN2" i="18"/>
  <c r="AM2" i="18"/>
  <c r="AL2" i="18"/>
  <c r="AK2" i="18"/>
  <c r="AJ2" i="18"/>
  <c r="AI2" i="18"/>
  <c r="AH2" i="18"/>
  <c r="AG2" i="18"/>
  <c r="AF2" i="18"/>
  <c r="AE2" i="18"/>
  <c r="AD2" i="18"/>
  <c r="AC2" i="18"/>
  <c r="AB2" i="18"/>
  <c r="AA2" i="18"/>
  <c r="Z2" i="18"/>
  <c r="Y2" i="18"/>
  <c r="X2" i="18"/>
  <c r="W2" i="18"/>
  <c r="V2" i="18"/>
  <c r="X1" i="18"/>
  <c r="Y1" i="18" s="1"/>
  <c r="Z1" i="18" s="1"/>
  <c r="AA1" i="18" s="1"/>
  <c r="AB1" i="18" s="1"/>
  <c r="AC1" i="18" s="1"/>
  <c r="AD1" i="18" s="1"/>
  <c r="AE1" i="18" s="1"/>
  <c r="AF1" i="18" s="1"/>
  <c r="AG1" i="18" s="1"/>
  <c r="AH1" i="18" s="1"/>
  <c r="AI1" i="18" s="1"/>
  <c r="AJ1" i="18" s="1"/>
  <c r="AK1" i="18" s="1"/>
  <c r="AL1" i="18" s="1"/>
  <c r="AM1" i="18" s="1"/>
  <c r="AN1" i="18" s="1"/>
  <c r="AO1" i="18" s="1"/>
  <c r="AP1" i="18" s="1"/>
  <c r="AQ1" i="18" s="1"/>
  <c r="AR1" i="18" s="1"/>
  <c r="AS1" i="18" s="1"/>
  <c r="AT1" i="18" s="1"/>
  <c r="AU1" i="18" s="1"/>
  <c r="AV1" i="18" s="1"/>
  <c r="AW1" i="18" s="1"/>
  <c r="AX1" i="18" s="1"/>
  <c r="AY1" i="18" s="1"/>
  <c r="AZ1" i="18" s="1"/>
  <c r="W1" i="18"/>
  <c r="O10" i="18" l="1"/>
  <c r="O11" i="18"/>
  <c r="Y206" i="26"/>
  <c r="V206" i="26"/>
  <c r="Y211" i="26" l="1"/>
  <c r="V211" i="26"/>
  <c r="O13" i="18"/>
  <c r="O14" i="18"/>
  <c r="C56" i="18"/>
  <c r="B69" i="18"/>
  <c r="C69" i="18"/>
  <c r="C70" i="18"/>
  <c r="B55" i="18"/>
  <c r="A60" i="18"/>
  <c r="C55" i="18"/>
  <c r="O8" i="18" l="1"/>
  <c r="O3" i="18"/>
  <c r="J74" i="18"/>
  <c r="J72" i="18"/>
  <c r="J70" i="18"/>
  <c r="J68" i="18"/>
  <c r="J66" i="18"/>
  <c r="J64" i="18"/>
  <c r="B19" i="18" s="1"/>
  <c r="J62" i="18"/>
  <c r="J60" i="18"/>
  <c r="J58" i="18"/>
  <c r="J56" i="18"/>
  <c r="J54" i="18"/>
  <c r="J52" i="18"/>
  <c r="B34" i="18" s="1"/>
  <c r="J50" i="18"/>
  <c r="J48" i="18"/>
  <c r="J46" i="18"/>
  <c r="J44" i="18"/>
  <c r="J42" i="18"/>
  <c r="J40" i="18"/>
  <c r="B48" i="18" s="1"/>
  <c r="J38" i="18"/>
  <c r="J36" i="18"/>
  <c r="J34" i="18"/>
  <c r="J32" i="18"/>
  <c r="J30" i="18"/>
  <c r="J28" i="18"/>
  <c r="J26" i="18"/>
  <c r="J24" i="18"/>
  <c r="J22" i="18"/>
  <c r="J20" i="18"/>
  <c r="J18" i="18"/>
  <c r="J16" i="18"/>
  <c r="J14" i="18"/>
  <c r="J12" i="18"/>
  <c r="J10" i="18"/>
  <c r="J8" i="18"/>
  <c r="J6" i="18"/>
  <c r="J75" i="18"/>
  <c r="J73" i="18"/>
  <c r="J71" i="18"/>
  <c r="J69" i="18"/>
  <c r="J67" i="18"/>
  <c r="J65" i="18"/>
  <c r="J63" i="18"/>
  <c r="J61" i="18"/>
  <c r="J59" i="18"/>
  <c r="J57" i="18"/>
  <c r="J55" i="18"/>
  <c r="J53" i="18"/>
  <c r="J51" i="18"/>
  <c r="J49" i="18"/>
  <c r="J47" i="18"/>
  <c r="J45" i="18"/>
  <c r="J43" i="18"/>
  <c r="J41" i="18"/>
  <c r="J39" i="18"/>
  <c r="J37" i="18"/>
  <c r="J35" i="18"/>
  <c r="J33" i="18"/>
  <c r="J31" i="18"/>
  <c r="J29" i="18"/>
  <c r="B62" i="18" s="1"/>
  <c r="J27" i="18"/>
  <c r="J25" i="18"/>
  <c r="J23" i="18"/>
  <c r="J21" i="18"/>
  <c r="J19" i="18"/>
  <c r="J17" i="18"/>
  <c r="J15" i="18"/>
  <c r="J13" i="18"/>
  <c r="J11" i="18"/>
  <c r="J9" i="18"/>
  <c r="J7" i="18"/>
  <c r="J76" i="18"/>
  <c r="A74" i="18"/>
  <c r="G107" i="9" l="1"/>
  <c r="G103" i="9"/>
  <c r="G99" i="9"/>
  <c r="G95" i="9"/>
  <c r="G91" i="9"/>
  <c r="G87" i="9"/>
  <c r="G83" i="9"/>
  <c r="G79" i="9"/>
  <c r="G75" i="9"/>
  <c r="G71" i="9"/>
  <c r="G67" i="9"/>
  <c r="G63" i="9"/>
  <c r="G59" i="9"/>
  <c r="G55" i="9"/>
  <c r="G51" i="9"/>
  <c r="G47" i="9"/>
  <c r="G43" i="9"/>
  <c r="G39" i="9"/>
  <c r="G35" i="9"/>
  <c r="G105" i="9"/>
  <c r="G85" i="9"/>
  <c r="G77" i="9"/>
  <c r="G69" i="9"/>
  <c r="G57" i="9"/>
  <c r="G49" i="9"/>
  <c r="G41" i="9"/>
  <c r="G110" i="9"/>
  <c r="G106" i="9"/>
  <c r="G102" i="9"/>
  <c r="G98" i="9"/>
  <c r="G94" i="9"/>
  <c r="G90" i="9"/>
  <c r="G86" i="9"/>
  <c r="G82" i="9"/>
  <c r="G78" i="9"/>
  <c r="G74" i="9"/>
  <c r="G70" i="9"/>
  <c r="G66" i="9"/>
  <c r="G62" i="9"/>
  <c r="G58" i="9"/>
  <c r="G54" i="9"/>
  <c r="G50" i="9"/>
  <c r="G46" i="9"/>
  <c r="G42" i="9"/>
  <c r="G38" i="9"/>
  <c r="G34" i="9"/>
  <c r="G101" i="9"/>
  <c r="G61" i="9"/>
  <c r="G45" i="9"/>
  <c r="G109" i="9"/>
  <c r="G97" i="9"/>
  <c r="G93" i="9"/>
  <c r="G89" i="9"/>
  <c r="G81" i="9"/>
  <c r="G73" i="9"/>
  <c r="G65" i="9"/>
  <c r="G53" i="9"/>
  <c r="G37" i="9"/>
  <c r="G96" i="9"/>
  <c r="G80" i="9"/>
  <c r="G64" i="9"/>
  <c r="G48" i="9"/>
  <c r="G68" i="9"/>
  <c r="G52" i="9"/>
  <c r="G108" i="9"/>
  <c r="G92" i="9"/>
  <c r="G76" i="9"/>
  <c r="G60" i="9"/>
  <c r="G44" i="9"/>
  <c r="G100" i="9"/>
  <c r="G104" i="9"/>
  <c r="G88" i="9"/>
  <c r="G72" i="9"/>
  <c r="G56" i="9"/>
  <c r="G40" i="9"/>
  <c r="G84" i="9"/>
  <c r="G36" i="9"/>
  <c r="H110" i="9"/>
  <c r="H106" i="9"/>
  <c r="H102" i="9"/>
  <c r="H98" i="9"/>
  <c r="H94" i="9"/>
  <c r="H90" i="9"/>
  <c r="H86" i="9"/>
  <c r="H82" i="9"/>
  <c r="H78" i="9"/>
  <c r="H74" i="9"/>
  <c r="H70" i="9"/>
  <c r="H66" i="9"/>
  <c r="H62" i="9"/>
  <c r="H58" i="9"/>
  <c r="H54" i="9"/>
  <c r="H50" i="9"/>
  <c r="H46" i="9"/>
  <c r="H42" i="9"/>
  <c r="H38" i="9"/>
  <c r="H34" i="9"/>
  <c r="H109" i="9"/>
  <c r="H105" i="9"/>
  <c r="H101" i="9"/>
  <c r="H97" i="9"/>
  <c r="H93" i="9"/>
  <c r="H89" i="9"/>
  <c r="H85" i="9"/>
  <c r="H81" i="9"/>
  <c r="H77" i="9"/>
  <c r="H73" i="9"/>
  <c r="H69" i="9"/>
  <c r="H65" i="9"/>
  <c r="H61" i="9"/>
  <c r="H57" i="9"/>
  <c r="H53" i="9"/>
  <c r="H49" i="9"/>
  <c r="H45" i="9"/>
  <c r="H41" i="9"/>
  <c r="H37" i="9"/>
  <c r="H108" i="9"/>
  <c r="H104" i="9"/>
  <c r="H100" i="9"/>
  <c r="H96" i="9"/>
  <c r="H92" i="9"/>
  <c r="H88" i="9"/>
  <c r="H84" i="9"/>
  <c r="H80" i="9"/>
  <c r="H76" i="9"/>
  <c r="H72" i="9"/>
  <c r="H68" i="9"/>
  <c r="H64" i="9"/>
  <c r="H60" i="9"/>
  <c r="H56" i="9"/>
  <c r="H52" i="9"/>
  <c r="H48" i="9"/>
  <c r="H44" i="9"/>
  <c r="H40" i="9"/>
  <c r="H36" i="9"/>
  <c r="H107" i="9"/>
  <c r="H103" i="9"/>
  <c r="H99" i="9"/>
  <c r="H83" i="9"/>
  <c r="H67" i="9"/>
  <c r="H51" i="9"/>
  <c r="H35" i="9"/>
  <c r="H71" i="9"/>
  <c r="H39" i="9"/>
  <c r="H95" i="9"/>
  <c r="H79" i="9"/>
  <c r="H63" i="9"/>
  <c r="H47" i="9"/>
  <c r="H91" i="9"/>
  <c r="H75" i="9"/>
  <c r="H59" i="9"/>
  <c r="H43" i="9"/>
  <c r="H87" i="9"/>
  <c r="H55" i="9"/>
  <c r="F108" i="9"/>
  <c r="F104" i="9"/>
  <c r="F100" i="9"/>
  <c r="F96" i="9"/>
  <c r="F92" i="9"/>
  <c r="F88" i="9"/>
  <c r="F84" i="9"/>
  <c r="F80" i="9"/>
  <c r="F76" i="9"/>
  <c r="F72" i="9"/>
  <c r="F68" i="9"/>
  <c r="F64" i="9"/>
  <c r="F60" i="9"/>
  <c r="F56" i="9"/>
  <c r="F52" i="9"/>
  <c r="F48" i="9"/>
  <c r="F44" i="9"/>
  <c r="F40" i="9"/>
  <c r="F36" i="9"/>
  <c r="F107" i="9"/>
  <c r="F103" i="9"/>
  <c r="F99" i="9"/>
  <c r="F95" i="9"/>
  <c r="F91" i="9"/>
  <c r="F87" i="9"/>
  <c r="F83" i="9"/>
  <c r="F79" i="9"/>
  <c r="F75" i="9"/>
  <c r="F71" i="9"/>
  <c r="F67" i="9"/>
  <c r="F63" i="9"/>
  <c r="F59" i="9"/>
  <c r="F55" i="9"/>
  <c r="F51" i="9"/>
  <c r="F47" i="9"/>
  <c r="F43" i="9"/>
  <c r="F39" i="9"/>
  <c r="F35" i="9"/>
  <c r="F110" i="9"/>
  <c r="F109" i="9"/>
  <c r="F101" i="9"/>
  <c r="F93" i="9"/>
  <c r="F85" i="9"/>
  <c r="F77" i="9"/>
  <c r="F69" i="9"/>
  <c r="F61" i="9"/>
  <c r="F53" i="9"/>
  <c r="F45" i="9"/>
  <c r="F37" i="9"/>
  <c r="F82" i="9"/>
  <c r="F66" i="9"/>
  <c r="F58" i="9"/>
  <c r="F42" i="9"/>
  <c r="F34" i="9"/>
  <c r="F94" i="9"/>
  <c r="F78" i="9"/>
  <c r="F54" i="9"/>
  <c r="F38" i="9"/>
  <c r="F106" i="9"/>
  <c r="F98" i="9"/>
  <c r="F90" i="9"/>
  <c r="F74" i="9"/>
  <c r="F50" i="9"/>
  <c r="F102" i="9"/>
  <c r="F70" i="9"/>
  <c r="F46" i="9"/>
  <c r="F105" i="9"/>
  <c r="F97" i="9"/>
  <c r="F89" i="9"/>
  <c r="F81" i="9"/>
  <c r="F73" i="9"/>
  <c r="F65" i="9"/>
  <c r="F57" i="9"/>
  <c r="F49" i="9"/>
  <c r="F41" i="9"/>
  <c r="F86" i="9"/>
  <c r="F62" i="9"/>
  <c r="I110" i="9"/>
  <c r="I106" i="9"/>
  <c r="I102" i="9"/>
  <c r="I98" i="9"/>
  <c r="I94" i="9"/>
  <c r="I90" i="9"/>
  <c r="I86" i="9"/>
  <c r="I82" i="9"/>
  <c r="I78" i="9"/>
  <c r="I74" i="9"/>
  <c r="I70" i="9"/>
  <c r="I66" i="9"/>
  <c r="I62" i="9"/>
  <c r="I58" i="9"/>
  <c r="I46" i="9"/>
  <c r="I38" i="9"/>
  <c r="I109" i="9"/>
  <c r="I105" i="9"/>
  <c r="I101" i="9"/>
  <c r="I97" i="9"/>
  <c r="I93" i="9"/>
  <c r="I89" i="9"/>
  <c r="I85" i="9"/>
  <c r="I81" i="9"/>
  <c r="I77" i="9"/>
  <c r="I73" i="9"/>
  <c r="I69" i="9"/>
  <c r="I65" i="9"/>
  <c r="I61" i="9"/>
  <c r="I57" i="9"/>
  <c r="I53" i="9"/>
  <c r="I49" i="9"/>
  <c r="I45" i="9"/>
  <c r="I41" i="9"/>
  <c r="I37" i="9"/>
  <c r="I108" i="9"/>
  <c r="I104" i="9"/>
  <c r="I100" i="9"/>
  <c r="I96" i="9"/>
  <c r="I92" i="9"/>
  <c r="I88" i="9"/>
  <c r="I84" i="9"/>
  <c r="I80" i="9"/>
  <c r="I76" i="9"/>
  <c r="I72" i="9"/>
  <c r="I68" i="9"/>
  <c r="I64" i="9"/>
  <c r="I60" i="9"/>
  <c r="I56" i="9"/>
  <c r="I52" i="9"/>
  <c r="I48" i="9"/>
  <c r="I44" i="9"/>
  <c r="I40" i="9"/>
  <c r="I36" i="9"/>
  <c r="I107" i="9"/>
  <c r="I103" i="9"/>
  <c r="I99" i="9"/>
  <c r="I95" i="9"/>
  <c r="I91" i="9"/>
  <c r="I87" i="9"/>
  <c r="I83" i="9"/>
  <c r="I79" i="9"/>
  <c r="I75" i="9"/>
  <c r="I71" i="9"/>
  <c r="I67" i="9"/>
  <c r="I63" i="9"/>
  <c r="I59" i="9"/>
  <c r="I55" i="9"/>
  <c r="I51" i="9"/>
  <c r="I47" i="9"/>
  <c r="I43" i="9"/>
  <c r="I39" i="9"/>
  <c r="I35" i="9"/>
  <c r="I54" i="9"/>
  <c r="I50" i="9"/>
  <c r="I42" i="9"/>
  <c r="I34" i="9"/>
  <c r="F152" i="26"/>
  <c r="F151" i="26"/>
  <c r="F150" i="26"/>
  <c r="F149" i="26"/>
  <c r="F148" i="26"/>
  <c r="F147" i="26"/>
  <c r="F146" i="26"/>
  <c r="F145" i="26"/>
  <c r="F144" i="26"/>
  <c r="F143" i="26"/>
  <c r="F142" i="26"/>
  <c r="F141" i="26"/>
  <c r="F140" i="26"/>
  <c r="F139" i="26"/>
  <c r="F138" i="26"/>
  <c r="F137" i="26"/>
  <c r="F136" i="26"/>
  <c r="F135" i="26"/>
  <c r="F134" i="26"/>
  <c r="F133" i="26"/>
  <c r="F132" i="26"/>
  <c r="F131" i="26"/>
  <c r="F130" i="26"/>
  <c r="F129" i="26"/>
  <c r="F128" i="26"/>
  <c r="F127" i="26"/>
  <c r="F126" i="26"/>
  <c r="F125" i="26"/>
  <c r="F124" i="26"/>
  <c r="F123" i="26"/>
  <c r="H152" i="26"/>
  <c r="H151" i="26"/>
  <c r="H150" i="26"/>
  <c r="H149" i="26"/>
  <c r="H148" i="26"/>
  <c r="H147" i="26"/>
  <c r="H146" i="26"/>
  <c r="H145" i="26"/>
  <c r="H144" i="26"/>
  <c r="H143" i="26"/>
  <c r="H142" i="26"/>
  <c r="H141" i="26"/>
  <c r="H140" i="26"/>
  <c r="H139" i="26"/>
  <c r="H138" i="26"/>
  <c r="H137" i="26"/>
  <c r="H136" i="26"/>
  <c r="H135" i="26"/>
  <c r="H134" i="26"/>
  <c r="H133" i="26"/>
  <c r="H132" i="26"/>
  <c r="H131" i="26"/>
  <c r="H130" i="26"/>
  <c r="H129" i="26"/>
  <c r="H128" i="26"/>
  <c r="H127" i="26"/>
  <c r="H126" i="26"/>
  <c r="H125" i="26"/>
  <c r="H124" i="26"/>
  <c r="H123" i="26"/>
  <c r="L125" i="26"/>
  <c r="L126" i="26" s="1"/>
  <c r="L127" i="26" s="1"/>
  <c r="L128" i="26" s="1"/>
  <c r="L129" i="26" s="1"/>
  <c r="L130" i="26" s="1"/>
  <c r="L131" i="26" s="1"/>
  <c r="L132" i="26" s="1"/>
  <c r="L133" i="26" s="1"/>
  <c r="L134" i="26" s="1"/>
  <c r="L135" i="26" s="1"/>
  <c r="L136" i="26" s="1"/>
  <c r="L137" i="26" s="1"/>
  <c r="L138" i="26" s="1"/>
  <c r="L139" i="26" s="1"/>
  <c r="L140" i="26" s="1"/>
  <c r="L141" i="26" s="1"/>
  <c r="L142" i="26" s="1"/>
  <c r="L143" i="26" s="1"/>
  <c r="L144" i="26" s="1"/>
  <c r="L145" i="26" s="1"/>
  <c r="L146" i="26" s="1"/>
  <c r="L147" i="26" s="1"/>
  <c r="L148" i="26" s="1"/>
  <c r="L149" i="26" s="1"/>
  <c r="L150" i="26" s="1"/>
  <c r="L151" i="26" s="1"/>
  <c r="L152" i="26" s="1"/>
  <c r="L124" i="26"/>
  <c r="L123" i="26"/>
  <c r="F116" i="26"/>
  <c r="F115" i="26"/>
  <c r="F114" i="26"/>
  <c r="F113" i="26"/>
  <c r="F112" i="26"/>
  <c r="F111" i="26"/>
  <c r="F110" i="26"/>
  <c r="F109" i="26"/>
  <c r="F108" i="26"/>
  <c r="F107" i="26"/>
  <c r="F106" i="26"/>
  <c r="F105" i="26"/>
  <c r="F104" i="26"/>
  <c r="F103" i="26"/>
  <c r="F102" i="26"/>
  <c r="F101" i="26"/>
  <c r="F100" i="26"/>
  <c r="F99" i="26"/>
  <c r="F98" i="26"/>
  <c r="F97" i="26"/>
  <c r="F96" i="26"/>
  <c r="F95" i="26"/>
  <c r="F94" i="26"/>
  <c r="F93" i="26"/>
  <c r="F92" i="26"/>
  <c r="F91" i="26"/>
  <c r="F90" i="26"/>
  <c r="F89" i="26"/>
  <c r="F88" i="26"/>
  <c r="F87" i="26"/>
  <c r="F79" i="26"/>
  <c r="F78" i="26"/>
  <c r="F77" i="26"/>
  <c r="F76" i="26"/>
  <c r="F75" i="26"/>
  <c r="F74" i="26"/>
  <c r="F73" i="26"/>
  <c r="F72" i="26"/>
  <c r="F71" i="26"/>
  <c r="F70" i="26"/>
  <c r="F69" i="26"/>
  <c r="F68" i="26"/>
  <c r="F67" i="26"/>
  <c r="F66" i="26"/>
  <c r="F65" i="26"/>
  <c r="F64" i="26"/>
  <c r="F63" i="26"/>
  <c r="F62" i="26"/>
  <c r="F61" i="26"/>
  <c r="F60" i="26"/>
  <c r="F59" i="26"/>
  <c r="F58" i="26"/>
  <c r="F57" i="26"/>
  <c r="F56" i="26"/>
  <c r="F55" i="26"/>
  <c r="F54" i="26"/>
  <c r="F53" i="26"/>
  <c r="F52" i="26"/>
  <c r="F51" i="26"/>
  <c r="F50" i="26"/>
  <c r="F49" i="26"/>
  <c r="F48" i="26"/>
  <c r="F47" i="26"/>
  <c r="Q87" i="26"/>
  <c r="Q88" i="26" s="1"/>
  <c r="Q89" i="26" s="1"/>
  <c r="Q90" i="26" s="1"/>
  <c r="Q91" i="26" s="1"/>
  <c r="Q92" i="26" s="1"/>
  <c r="Q93" i="26" s="1"/>
  <c r="Q94" i="26" s="1"/>
  <c r="Q95" i="26" s="1"/>
  <c r="Q96" i="26" s="1"/>
  <c r="Q97" i="26" s="1"/>
  <c r="Q98" i="26" s="1"/>
  <c r="Q99" i="26" s="1"/>
  <c r="Q100" i="26" s="1"/>
  <c r="Q101" i="26" s="1"/>
  <c r="Q102" i="26" s="1"/>
  <c r="Q103" i="26" s="1"/>
  <c r="Q104" i="26" s="1"/>
  <c r="Q105" i="26" s="1"/>
  <c r="Q106" i="26" s="1"/>
  <c r="Q107" i="26" s="1"/>
  <c r="Q108" i="26" s="1"/>
  <c r="Q109" i="26" s="1"/>
  <c r="Q110" i="26" s="1"/>
  <c r="Q111" i="26" s="1"/>
  <c r="Q112" i="26" s="1"/>
  <c r="Q113" i="26" s="1"/>
  <c r="Q114" i="26" s="1"/>
  <c r="Q115" i="26" s="1"/>
  <c r="Q116" i="26" s="1"/>
  <c r="H116" i="26" s="1"/>
  <c r="D21" i="18" l="1"/>
  <c r="G21" i="18"/>
  <c r="C21" i="18"/>
  <c r="F21" i="18"/>
  <c r="B21" i="18"/>
  <c r="E21" i="18"/>
  <c r="A21" i="18"/>
  <c r="P205" i="26" s="1"/>
  <c r="E36" i="18"/>
  <c r="A36" i="18"/>
  <c r="S205" i="26" s="1"/>
  <c r="D36" i="18"/>
  <c r="G36" i="18"/>
  <c r="C36" i="18"/>
  <c r="F36" i="18"/>
  <c r="B36" i="18"/>
  <c r="F50" i="18"/>
  <c r="B50" i="18"/>
  <c r="E50" i="18"/>
  <c r="A50" i="18"/>
  <c r="V205" i="26" s="1"/>
  <c r="D50" i="18"/>
  <c r="G50" i="18"/>
  <c r="C50" i="18"/>
  <c r="F64" i="18"/>
  <c r="B64" i="18"/>
  <c r="D64" i="18"/>
  <c r="E64" i="18"/>
  <c r="A64" i="18"/>
  <c r="Y205" i="26" s="1"/>
  <c r="G64" i="18"/>
  <c r="C64" i="18"/>
  <c r="H95" i="26"/>
  <c r="H111" i="26"/>
  <c r="H99" i="26"/>
  <c r="H115" i="26"/>
  <c r="H103" i="26"/>
  <c r="H91" i="26"/>
  <c r="H107" i="26"/>
  <c r="H92" i="26"/>
  <c r="H96" i="26"/>
  <c r="H100" i="26"/>
  <c r="H104" i="26"/>
  <c r="H108" i="26"/>
  <c r="H112" i="26"/>
  <c r="H89" i="26"/>
  <c r="H93" i="26"/>
  <c r="H97" i="26"/>
  <c r="H101" i="26"/>
  <c r="H105" i="26"/>
  <c r="H109" i="26"/>
  <c r="H113" i="26"/>
  <c r="H90" i="26"/>
  <c r="H94" i="26"/>
  <c r="H98" i="26"/>
  <c r="H102" i="26"/>
  <c r="H106" i="26"/>
  <c r="H110" i="26"/>
  <c r="H114" i="26"/>
  <c r="A72" i="18"/>
  <c r="A69" i="18"/>
  <c r="A70" i="18"/>
  <c r="A71" i="18"/>
  <c r="P184" i="26" l="1"/>
  <c r="O184" i="26" s="1"/>
  <c r="N184" i="26" s="1"/>
  <c r="M184" i="26" s="1"/>
  <c r="L184" i="26" s="1"/>
  <c r="F46" i="26"/>
  <c r="H45" i="26"/>
  <c r="F45" i="26"/>
  <c r="R48" i="26"/>
  <c r="P48" i="26" s="1"/>
  <c r="O48" i="26" s="1"/>
  <c r="N48" i="26" s="1"/>
  <c r="M48" i="26" s="1"/>
  <c r="L48" i="26" s="1"/>
  <c r="D48" i="26" s="1"/>
  <c r="R45" i="26"/>
  <c r="P45" i="26" s="1"/>
  <c r="O45" i="26" s="1"/>
  <c r="N45" i="26" s="1"/>
  <c r="M45" i="26" s="1"/>
  <c r="L45" i="26" s="1"/>
  <c r="D45" i="26" s="1"/>
  <c r="S46" i="26"/>
  <c r="S47" i="26" s="1"/>
  <c r="S48" i="26" s="1"/>
  <c r="S49" i="26" s="1"/>
  <c r="Q46" i="26"/>
  <c r="Q47" i="26" s="1"/>
  <c r="H47" i="26" s="1"/>
  <c r="D39" i="26"/>
  <c r="M211" i="26"/>
  <c r="S50" i="26" l="1"/>
  <c r="R49" i="26"/>
  <c r="R47" i="26"/>
  <c r="R46" i="26"/>
  <c r="H46" i="26"/>
  <c r="J48" i="26"/>
  <c r="J45" i="26"/>
  <c r="Q48" i="26"/>
  <c r="J46" i="26" l="1"/>
  <c r="P46" i="26"/>
  <c r="O46" i="26" s="1"/>
  <c r="N46" i="26" s="1"/>
  <c r="M46" i="26" s="1"/>
  <c r="L46" i="26" s="1"/>
  <c r="D46" i="26" s="1"/>
  <c r="J47" i="26"/>
  <c r="P47" i="26"/>
  <c r="O47" i="26" s="1"/>
  <c r="N47" i="26" s="1"/>
  <c r="M47" i="26" s="1"/>
  <c r="L47" i="26" s="1"/>
  <c r="D47" i="26" s="1"/>
  <c r="Q49" i="26"/>
  <c r="H48" i="26"/>
  <c r="P49" i="26"/>
  <c r="O49" i="26" s="1"/>
  <c r="N49" i="26" s="1"/>
  <c r="M49" i="26" s="1"/>
  <c r="L49" i="26" s="1"/>
  <c r="D49" i="26" s="1"/>
  <c r="J49" i="26"/>
  <c r="S51" i="26"/>
  <c r="S87" i="26"/>
  <c r="R50" i="26"/>
  <c r="O16" i="18"/>
  <c r="S88" i="26" l="1"/>
  <c r="R87" i="26"/>
  <c r="P87" i="26" s="1"/>
  <c r="O87" i="26" s="1"/>
  <c r="N87" i="26" s="1"/>
  <c r="M87" i="26" s="1"/>
  <c r="L87" i="26" s="1"/>
  <c r="P50" i="26"/>
  <c r="O50" i="26" s="1"/>
  <c r="N50" i="26" s="1"/>
  <c r="M50" i="26" s="1"/>
  <c r="L50" i="26" s="1"/>
  <c r="D50" i="26" s="1"/>
  <c r="J50" i="26"/>
  <c r="S52" i="26"/>
  <c r="R51" i="26"/>
  <c r="Q50" i="26"/>
  <c r="H49" i="26"/>
  <c r="N7" i="26"/>
  <c r="V1271" i="9"/>
  <c r="V1270" i="9"/>
  <c r="V1269" i="9"/>
  <c r="V1268" i="9"/>
  <c r="V1267" i="9"/>
  <c r="V1266" i="9"/>
  <c r="V1265" i="9"/>
  <c r="V1264" i="9"/>
  <c r="V1263" i="9"/>
  <c r="V1262" i="9"/>
  <c r="V1261" i="9"/>
  <c r="V1260" i="9"/>
  <c r="V1259" i="9"/>
  <c r="V1258" i="9"/>
  <c r="V1257" i="9"/>
  <c r="V1256" i="9"/>
  <c r="V1255" i="9"/>
  <c r="V1254" i="9"/>
  <c r="V1253" i="9"/>
  <c r="V1252" i="9"/>
  <c r="V1251" i="9"/>
  <c r="V1250" i="9"/>
  <c r="V1249" i="9"/>
  <c r="V1248" i="9"/>
  <c r="V1247" i="9"/>
  <c r="V1246" i="9"/>
  <c r="V1245" i="9"/>
  <c r="V1244" i="9"/>
  <c r="V1243" i="9"/>
  <c r="V1242" i="9"/>
  <c r="V1241" i="9"/>
  <c r="V1240" i="9"/>
  <c r="V1239" i="9"/>
  <c r="V1238" i="9"/>
  <c r="V1237" i="9"/>
  <c r="V1236" i="9"/>
  <c r="V1235" i="9"/>
  <c r="V1234" i="9"/>
  <c r="V1233" i="9"/>
  <c r="V1232" i="9"/>
  <c r="V1231" i="9"/>
  <c r="V1230" i="9"/>
  <c r="V1229" i="9"/>
  <c r="V1228" i="9"/>
  <c r="V1227" i="9"/>
  <c r="V1226" i="9"/>
  <c r="V1225" i="9"/>
  <c r="V1224" i="9"/>
  <c r="V1223" i="9"/>
  <c r="V1222" i="9"/>
  <c r="V1221" i="9"/>
  <c r="V1220" i="9"/>
  <c r="V1219" i="9"/>
  <c r="V1218" i="9"/>
  <c r="V1217" i="9"/>
  <c r="V1216" i="9"/>
  <c r="V1215" i="9"/>
  <c r="V1214" i="9"/>
  <c r="V1213" i="9"/>
  <c r="V1212" i="9"/>
  <c r="V1211" i="9"/>
  <c r="V1210" i="9"/>
  <c r="V1209" i="9"/>
  <c r="V1208" i="9"/>
  <c r="V1207" i="9"/>
  <c r="V1206" i="9"/>
  <c r="V1205" i="9"/>
  <c r="V1204" i="9"/>
  <c r="V1203" i="9"/>
  <c r="V1202" i="9"/>
  <c r="V1201" i="9"/>
  <c r="V1200" i="9"/>
  <c r="V1199" i="9"/>
  <c r="V1198" i="9"/>
  <c r="V1197" i="9"/>
  <c r="V1196" i="9"/>
  <c r="V1195" i="9"/>
  <c r="V1194" i="9"/>
  <c r="V1193" i="9"/>
  <c r="V1192" i="9"/>
  <c r="V1191" i="9"/>
  <c r="V1190" i="9"/>
  <c r="V1189" i="9"/>
  <c r="V1188" i="9"/>
  <c r="V1187" i="9"/>
  <c r="V1186" i="9"/>
  <c r="V1185" i="9"/>
  <c r="V1184" i="9"/>
  <c r="V1183" i="9"/>
  <c r="V1182" i="9"/>
  <c r="V1181" i="9"/>
  <c r="V1180" i="9"/>
  <c r="V1179" i="9"/>
  <c r="V1178" i="9"/>
  <c r="V1177" i="9"/>
  <c r="V1176" i="9"/>
  <c r="V1175" i="9"/>
  <c r="V1174" i="9"/>
  <c r="V1173" i="9"/>
  <c r="V1172" i="9"/>
  <c r="V1171" i="9"/>
  <c r="V1170" i="9"/>
  <c r="V1169" i="9"/>
  <c r="V1168" i="9"/>
  <c r="V1167" i="9"/>
  <c r="V1166" i="9"/>
  <c r="V1165" i="9"/>
  <c r="V1164" i="9"/>
  <c r="V1163" i="9"/>
  <c r="V1162" i="9"/>
  <c r="V1161" i="9"/>
  <c r="V1160" i="9"/>
  <c r="V1159" i="9"/>
  <c r="V1158" i="9"/>
  <c r="V1157" i="9"/>
  <c r="V1156" i="9"/>
  <c r="V1155" i="9"/>
  <c r="V1154" i="9"/>
  <c r="V1153" i="9"/>
  <c r="V1152" i="9"/>
  <c r="V1151" i="9"/>
  <c r="V1150" i="9"/>
  <c r="V1149" i="9"/>
  <c r="V1148" i="9"/>
  <c r="V1147" i="9"/>
  <c r="V1146" i="9"/>
  <c r="V1145" i="9"/>
  <c r="V1144" i="9"/>
  <c r="V1143" i="9"/>
  <c r="V1142" i="9"/>
  <c r="V1141" i="9"/>
  <c r="V1140" i="9"/>
  <c r="V1139" i="9"/>
  <c r="V1138" i="9"/>
  <c r="V1137" i="9"/>
  <c r="V1136" i="9"/>
  <c r="V1135" i="9"/>
  <c r="V1134" i="9"/>
  <c r="V1133" i="9"/>
  <c r="V1132" i="9"/>
  <c r="V1131" i="9"/>
  <c r="V1130" i="9"/>
  <c r="V1129" i="9"/>
  <c r="V1128" i="9"/>
  <c r="V1127" i="9"/>
  <c r="V1126" i="9"/>
  <c r="V1125" i="9"/>
  <c r="V1124" i="9"/>
  <c r="V1123" i="9"/>
  <c r="V1122" i="9"/>
  <c r="V1121" i="9"/>
  <c r="V1120" i="9"/>
  <c r="V1119" i="9"/>
  <c r="V1118" i="9"/>
  <c r="V1117" i="9"/>
  <c r="V1116" i="9"/>
  <c r="V1115" i="9"/>
  <c r="V1114" i="9"/>
  <c r="V1113" i="9"/>
  <c r="V1112" i="9"/>
  <c r="V1111" i="9"/>
  <c r="V1110" i="9"/>
  <c r="V1109" i="9"/>
  <c r="V1108" i="9"/>
  <c r="V1107" i="9"/>
  <c r="V1106" i="9"/>
  <c r="V1105" i="9"/>
  <c r="V1104" i="9"/>
  <c r="V1103" i="9"/>
  <c r="V1102" i="9"/>
  <c r="V1101" i="9"/>
  <c r="V1100" i="9"/>
  <c r="V1099" i="9"/>
  <c r="V1098" i="9"/>
  <c r="V1097" i="9"/>
  <c r="V1096" i="9"/>
  <c r="V1095" i="9"/>
  <c r="V1094" i="9"/>
  <c r="V1093" i="9"/>
  <c r="V1092" i="9"/>
  <c r="V1091" i="9"/>
  <c r="V1090" i="9"/>
  <c r="V1089" i="9"/>
  <c r="V1088" i="9"/>
  <c r="V1087" i="9"/>
  <c r="V1086" i="9"/>
  <c r="V1085" i="9"/>
  <c r="V1084" i="9"/>
  <c r="V1083" i="9"/>
  <c r="V1082" i="9"/>
  <c r="V1081" i="9"/>
  <c r="V1080" i="9"/>
  <c r="V1079" i="9"/>
  <c r="V1078" i="9"/>
  <c r="V1077" i="9"/>
  <c r="V1076" i="9"/>
  <c r="V1075" i="9"/>
  <c r="V1074" i="9"/>
  <c r="V1073" i="9"/>
  <c r="V1072" i="9"/>
  <c r="V1071" i="9"/>
  <c r="V1070" i="9"/>
  <c r="V1069" i="9"/>
  <c r="V1068" i="9"/>
  <c r="V1067" i="9"/>
  <c r="V1066" i="9"/>
  <c r="V1065" i="9"/>
  <c r="V1064" i="9"/>
  <c r="V1063" i="9"/>
  <c r="V1062" i="9"/>
  <c r="V1061" i="9"/>
  <c r="V1060" i="9"/>
  <c r="V1059" i="9"/>
  <c r="V1058" i="9"/>
  <c r="V1057" i="9"/>
  <c r="V1056" i="9"/>
  <c r="V1055" i="9"/>
  <c r="V1054" i="9"/>
  <c r="V1053" i="9"/>
  <c r="V1052" i="9"/>
  <c r="V1051" i="9"/>
  <c r="V1050" i="9"/>
  <c r="V1049" i="9"/>
  <c r="V1048" i="9"/>
  <c r="V1047" i="9"/>
  <c r="V1046" i="9"/>
  <c r="V1045" i="9"/>
  <c r="V1044" i="9"/>
  <c r="V1043" i="9"/>
  <c r="V1042" i="9"/>
  <c r="V1041" i="9"/>
  <c r="V1040" i="9"/>
  <c r="V1039" i="9"/>
  <c r="V1038" i="9"/>
  <c r="V1037" i="9"/>
  <c r="V1036" i="9"/>
  <c r="V1035" i="9"/>
  <c r="V1034" i="9"/>
  <c r="V1033" i="9"/>
  <c r="V1032" i="9"/>
  <c r="V1031" i="9"/>
  <c r="V1030" i="9"/>
  <c r="V1029" i="9"/>
  <c r="V1028" i="9"/>
  <c r="V1027" i="9"/>
  <c r="V1026" i="9"/>
  <c r="V1025" i="9"/>
  <c r="V1024" i="9"/>
  <c r="V1023" i="9"/>
  <c r="V1022" i="9"/>
  <c r="V1021" i="9"/>
  <c r="V1020" i="9"/>
  <c r="V1019" i="9"/>
  <c r="V1018" i="9"/>
  <c r="V1017" i="9"/>
  <c r="V1016" i="9"/>
  <c r="V1015" i="9"/>
  <c r="V1014" i="9"/>
  <c r="V1013" i="9"/>
  <c r="V1012" i="9"/>
  <c r="V1011" i="9"/>
  <c r="V1010" i="9"/>
  <c r="V1009" i="9"/>
  <c r="V1008" i="9"/>
  <c r="V1007" i="9"/>
  <c r="V1006" i="9"/>
  <c r="V1005" i="9"/>
  <c r="V1004" i="9"/>
  <c r="V1003" i="9"/>
  <c r="V1002" i="9"/>
  <c r="V1001" i="9"/>
  <c r="V1000" i="9"/>
  <c r="V999" i="9"/>
  <c r="V998" i="9"/>
  <c r="V997" i="9"/>
  <c r="V996" i="9"/>
  <c r="V995" i="9"/>
  <c r="V994" i="9"/>
  <c r="V993" i="9"/>
  <c r="V992" i="9"/>
  <c r="V991" i="9"/>
  <c r="V990" i="9"/>
  <c r="V989" i="9"/>
  <c r="V988" i="9"/>
  <c r="V987" i="9"/>
  <c r="V986" i="9"/>
  <c r="V985" i="9"/>
  <c r="V984" i="9"/>
  <c r="V983" i="9"/>
  <c r="V982" i="9"/>
  <c r="V981" i="9"/>
  <c r="V980" i="9"/>
  <c r="V979" i="9"/>
  <c r="V978" i="9"/>
  <c r="V977" i="9"/>
  <c r="V976" i="9"/>
  <c r="V975" i="9"/>
  <c r="V974" i="9"/>
  <c r="V973" i="9"/>
  <c r="V972" i="9"/>
  <c r="V971" i="9"/>
  <c r="V970" i="9"/>
  <c r="V969" i="9"/>
  <c r="V968" i="9"/>
  <c r="V967" i="9"/>
  <c r="V966" i="9"/>
  <c r="V965" i="9"/>
  <c r="V964" i="9"/>
  <c r="V963" i="9"/>
  <c r="V962" i="9"/>
  <c r="V961" i="9"/>
  <c r="V960" i="9"/>
  <c r="V959" i="9"/>
  <c r="V958" i="9"/>
  <c r="V957" i="9"/>
  <c r="V956" i="9"/>
  <c r="V955" i="9"/>
  <c r="V954" i="9"/>
  <c r="V953" i="9"/>
  <c r="V952" i="9"/>
  <c r="V951" i="9"/>
  <c r="V950" i="9"/>
  <c r="V949" i="9"/>
  <c r="V948" i="9"/>
  <c r="V947" i="9"/>
  <c r="V946" i="9"/>
  <c r="V945" i="9"/>
  <c r="V944" i="9"/>
  <c r="V943" i="9"/>
  <c r="V942" i="9"/>
  <c r="V941" i="9"/>
  <c r="V940" i="9"/>
  <c r="V939" i="9"/>
  <c r="V938" i="9"/>
  <c r="V937" i="9"/>
  <c r="V936" i="9"/>
  <c r="V935" i="9"/>
  <c r="V934" i="9"/>
  <c r="V933" i="9"/>
  <c r="V932" i="9"/>
  <c r="V931" i="9"/>
  <c r="V930" i="9"/>
  <c r="V929" i="9"/>
  <c r="V928" i="9"/>
  <c r="V927" i="9"/>
  <c r="V926" i="9"/>
  <c r="V925" i="9"/>
  <c r="V924" i="9"/>
  <c r="V923" i="9"/>
  <c r="V922" i="9"/>
  <c r="V921" i="9"/>
  <c r="V920" i="9"/>
  <c r="V919" i="9"/>
  <c r="V918" i="9"/>
  <c r="V917" i="9"/>
  <c r="V916" i="9"/>
  <c r="V915" i="9"/>
  <c r="V914" i="9"/>
  <c r="V913" i="9"/>
  <c r="V912" i="9"/>
  <c r="V911" i="9"/>
  <c r="V910" i="9"/>
  <c r="V909" i="9"/>
  <c r="V908" i="9"/>
  <c r="V907" i="9"/>
  <c r="V906" i="9"/>
  <c r="V905" i="9"/>
  <c r="V904" i="9"/>
  <c r="V903" i="9"/>
  <c r="V902" i="9"/>
  <c r="V901" i="9"/>
  <c r="V900" i="9"/>
  <c r="V899" i="9"/>
  <c r="V898" i="9"/>
  <c r="V897" i="9"/>
  <c r="V896" i="9"/>
  <c r="V895" i="9"/>
  <c r="V894" i="9"/>
  <c r="V893" i="9"/>
  <c r="V892" i="9"/>
  <c r="V891" i="9"/>
  <c r="V890" i="9"/>
  <c r="V889" i="9"/>
  <c r="V888" i="9"/>
  <c r="V887" i="9"/>
  <c r="V886" i="9"/>
  <c r="V885" i="9"/>
  <c r="V884" i="9"/>
  <c r="V883" i="9"/>
  <c r="V882" i="9"/>
  <c r="V881" i="9"/>
  <c r="V880" i="9"/>
  <c r="V879" i="9"/>
  <c r="V878" i="9"/>
  <c r="V877" i="9"/>
  <c r="V876" i="9"/>
  <c r="V875" i="9"/>
  <c r="V874" i="9"/>
  <c r="V873" i="9"/>
  <c r="V872" i="9"/>
  <c r="V871" i="9"/>
  <c r="V870" i="9"/>
  <c r="V869" i="9"/>
  <c r="V868" i="9"/>
  <c r="V867" i="9"/>
  <c r="V866" i="9"/>
  <c r="V865" i="9"/>
  <c r="V864" i="9"/>
  <c r="V863" i="9"/>
  <c r="V862" i="9"/>
  <c r="V861" i="9"/>
  <c r="V860" i="9"/>
  <c r="V859" i="9"/>
  <c r="V858" i="9"/>
  <c r="V857" i="9"/>
  <c r="V856" i="9"/>
  <c r="V855" i="9"/>
  <c r="V854" i="9"/>
  <c r="V853" i="9"/>
  <c r="V852" i="9"/>
  <c r="V851" i="9"/>
  <c r="V850" i="9"/>
  <c r="V849" i="9"/>
  <c r="V848" i="9"/>
  <c r="V847" i="9"/>
  <c r="V846" i="9"/>
  <c r="V845" i="9"/>
  <c r="V844" i="9"/>
  <c r="V843" i="9"/>
  <c r="V842" i="9"/>
  <c r="V841" i="9"/>
  <c r="V840" i="9"/>
  <c r="V839" i="9"/>
  <c r="V838" i="9"/>
  <c r="V837" i="9"/>
  <c r="V836" i="9"/>
  <c r="V835" i="9"/>
  <c r="V834" i="9"/>
  <c r="V833" i="9"/>
  <c r="V832" i="9"/>
  <c r="V831" i="9"/>
  <c r="V830" i="9"/>
  <c r="V829" i="9"/>
  <c r="V828" i="9"/>
  <c r="V827" i="9"/>
  <c r="V826" i="9"/>
  <c r="V825" i="9"/>
  <c r="V824" i="9"/>
  <c r="V823" i="9"/>
  <c r="V822" i="9"/>
  <c r="V821" i="9"/>
  <c r="V820" i="9"/>
  <c r="V819" i="9"/>
  <c r="V818" i="9"/>
  <c r="V817" i="9"/>
  <c r="V816" i="9"/>
  <c r="V815" i="9"/>
  <c r="V814" i="9"/>
  <c r="V813" i="9"/>
  <c r="V812" i="9"/>
  <c r="V811" i="9"/>
  <c r="V810" i="9"/>
  <c r="V809" i="9"/>
  <c r="V808" i="9"/>
  <c r="V807" i="9"/>
  <c r="V806" i="9"/>
  <c r="V805" i="9"/>
  <c r="V804" i="9"/>
  <c r="V803" i="9"/>
  <c r="V802" i="9"/>
  <c r="V801" i="9"/>
  <c r="V800" i="9"/>
  <c r="V799" i="9"/>
  <c r="V798" i="9"/>
  <c r="V797" i="9"/>
  <c r="V796" i="9"/>
  <c r="V795" i="9"/>
  <c r="V794" i="9"/>
  <c r="V793" i="9"/>
  <c r="V792" i="9"/>
  <c r="V791" i="9"/>
  <c r="V790" i="9"/>
  <c r="V789" i="9"/>
  <c r="V788" i="9"/>
  <c r="V787" i="9"/>
  <c r="V786" i="9"/>
  <c r="V785" i="9"/>
  <c r="V784" i="9"/>
  <c r="V783" i="9"/>
  <c r="V782" i="9"/>
  <c r="V781" i="9"/>
  <c r="V780" i="9"/>
  <c r="V779" i="9"/>
  <c r="V778" i="9"/>
  <c r="V777" i="9"/>
  <c r="V776" i="9"/>
  <c r="V775" i="9"/>
  <c r="V774" i="9"/>
  <c r="V773" i="9"/>
  <c r="V772" i="9"/>
  <c r="V771" i="9"/>
  <c r="V770" i="9"/>
  <c r="V769" i="9"/>
  <c r="V768" i="9"/>
  <c r="V767" i="9"/>
  <c r="V766" i="9"/>
  <c r="V765" i="9"/>
  <c r="V764" i="9"/>
  <c r="V763" i="9"/>
  <c r="V762" i="9"/>
  <c r="V761" i="9"/>
  <c r="V760" i="9"/>
  <c r="V759" i="9"/>
  <c r="V758" i="9"/>
  <c r="V757" i="9"/>
  <c r="V756" i="9"/>
  <c r="V755" i="9"/>
  <c r="V754" i="9"/>
  <c r="V753" i="9"/>
  <c r="V752" i="9"/>
  <c r="V751" i="9"/>
  <c r="V750" i="9"/>
  <c r="V749" i="9"/>
  <c r="V748" i="9"/>
  <c r="V747" i="9"/>
  <c r="V746" i="9"/>
  <c r="V745" i="9"/>
  <c r="V744" i="9"/>
  <c r="V743" i="9"/>
  <c r="V742" i="9"/>
  <c r="V741" i="9"/>
  <c r="V740" i="9"/>
  <c r="V739" i="9"/>
  <c r="V738" i="9"/>
  <c r="V737" i="9"/>
  <c r="V736" i="9"/>
  <c r="V735" i="9"/>
  <c r="V734" i="9"/>
  <c r="V733" i="9"/>
  <c r="V732" i="9"/>
  <c r="V731" i="9"/>
  <c r="V730" i="9"/>
  <c r="V729" i="9"/>
  <c r="V728" i="9"/>
  <c r="V727" i="9"/>
  <c r="V726" i="9"/>
  <c r="V725" i="9"/>
  <c r="V724" i="9"/>
  <c r="V723" i="9"/>
  <c r="V722" i="9"/>
  <c r="V721" i="9"/>
  <c r="V720" i="9"/>
  <c r="V719" i="9"/>
  <c r="V718" i="9"/>
  <c r="V717" i="9"/>
  <c r="V716" i="9"/>
  <c r="V715" i="9"/>
  <c r="V714" i="9"/>
  <c r="V713" i="9"/>
  <c r="V712" i="9"/>
  <c r="V711" i="9"/>
  <c r="V710" i="9"/>
  <c r="V709" i="9"/>
  <c r="V708" i="9"/>
  <c r="V707" i="9"/>
  <c r="V706" i="9"/>
  <c r="V705" i="9"/>
  <c r="V704" i="9"/>
  <c r="V703" i="9"/>
  <c r="V702" i="9"/>
  <c r="V701" i="9"/>
  <c r="V700" i="9"/>
  <c r="V699" i="9"/>
  <c r="V698" i="9"/>
  <c r="V697" i="9"/>
  <c r="V696" i="9"/>
  <c r="V695" i="9"/>
  <c r="V694" i="9"/>
  <c r="V693" i="9"/>
  <c r="V692" i="9"/>
  <c r="V691" i="9"/>
  <c r="V690" i="9"/>
  <c r="V689" i="9"/>
  <c r="V688" i="9"/>
  <c r="V687" i="9"/>
  <c r="V686" i="9"/>
  <c r="V685" i="9"/>
  <c r="V684" i="9"/>
  <c r="V683" i="9"/>
  <c r="V682" i="9"/>
  <c r="V681" i="9"/>
  <c r="V680" i="9"/>
  <c r="V679" i="9"/>
  <c r="V678" i="9"/>
  <c r="V677" i="9"/>
  <c r="V676" i="9"/>
  <c r="V675" i="9"/>
  <c r="V674" i="9"/>
  <c r="V673" i="9"/>
  <c r="V672" i="9"/>
  <c r="V671" i="9"/>
  <c r="V670" i="9"/>
  <c r="V669" i="9"/>
  <c r="V668" i="9"/>
  <c r="V667" i="9"/>
  <c r="V666" i="9"/>
  <c r="V665" i="9"/>
  <c r="V664" i="9"/>
  <c r="V663" i="9"/>
  <c r="V662" i="9"/>
  <c r="V661" i="9"/>
  <c r="V660" i="9"/>
  <c r="V659" i="9"/>
  <c r="V658" i="9"/>
  <c r="V657" i="9"/>
  <c r="V656" i="9"/>
  <c r="V655" i="9"/>
  <c r="V654" i="9"/>
  <c r="V653" i="9"/>
  <c r="V652" i="9"/>
  <c r="V651" i="9"/>
  <c r="V650" i="9"/>
  <c r="V649" i="9"/>
  <c r="V648" i="9"/>
  <c r="V647" i="9"/>
  <c r="V646" i="9"/>
  <c r="V645" i="9"/>
  <c r="V644" i="9"/>
  <c r="V643" i="9"/>
  <c r="V642" i="9"/>
  <c r="V641" i="9"/>
  <c r="V640" i="9"/>
  <c r="V639" i="9"/>
  <c r="V638" i="9"/>
  <c r="V637" i="9"/>
  <c r="V636" i="9"/>
  <c r="V635" i="9"/>
  <c r="V634" i="9"/>
  <c r="V633" i="9"/>
  <c r="V632" i="9"/>
  <c r="V631" i="9"/>
  <c r="V630" i="9"/>
  <c r="V629" i="9"/>
  <c r="V628" i="9"/>
  <c r="V627" i="9"/>
  <c r="V626" i="9"/>
  <c r="V625" i="9"/>
  <c r="V624" i="9"/>
  <c r="V623" i="9"/>
  <c r="V622" i="9"/>
  <c r="V621" i="9"/>
  <c r="V620" i="9"/>
  <c r="V619" i="9"/>
  <c r="V618" i="9"/>
  <c r="V617" i="9"/>
  <c r="V616" i="9"/>
  <c r="V615" i="9"/>
  <c r="V614" i="9"/>
  <c r="V613" i="9"/>
  <c r="V612" i="9"/>
  <c r="V611" i="9"/>
  <c r="V610" i="9"/>
  <c r="V609" i="9"/>
  <c r="V608" i="9"/>
  <c r="V607" i="9"/>
  <c r="V606" i="9"/>
  <c r="V605" i="9"/>
  <c r="V604" i="9"/>
  <c r="V603" i="9"/>
  <c r="V602" i="9"/>
  <c r="V601" i="9"/>
  <c r="V600" i="9"/>
  <c r="V599" i="9"/>
  <c r="V598" i="9"/>
  <c r="V597" i="9"/>
  <c r="V596" i="9"/>
  <c r="V595" i="9"/>
  <c r="V594" i="9"/>
  <c r="V593" i="9"/>
  <c r="V592" i="9"/>
  <c r="V591" i="9"/>
  <c r="V590" i="9"/>
  <c r="V589" i="9"/>
  <c r="V588" i="9"/>
  <c r="V587" i="9"/>
  <c r="V586" i="9"/>
  <c r="V585" i="9"/>
  <c r="V584" i="9"/>
  <c r="V583" i="9"/>
  <c r="V582" i="9"/>
  <c r="V581" i="9"/>
  <c r="V580" i="9"/>
  <c r="V579" i="9"/>
  <c r="V578" i="9"/>
  <c r="V577" i="9"/>
  <c r="V576" i="9"/>
  <c r="V575" i="9"/>
  <c r="V574" i="9"/>
  <c r="V573" i="9"/>
  <c r="V572" i="9"/>
  <c r="V571" i="9"/>
  <c r="V570" i="9"/>
  <c r="V569" i="9"/>
  <c r="V568" i="9"/>
  <c r="V567" i="9"/>
  <c r="V566" i="9"/>
  <c r="V565" i="9"/>
  <c r="V564" i="9"/>
  <c r="V563" i="9"/>
  <c r="V562" i="9"/>
  <c r="V561" i="9"/>
  <c r="V560" i="9"/>
  <c r="V559" i="9"/>
  <c r="V558" i="9"/>
  <c r="V557" i="9"/>
  <c r="V556" i="9"/>
  <c r="V555" i="9"/>
  <c r="V554" i="9"/>
  <c r="V553" i="9"/>
  <c r="V552" i="9"/>
  <c r="V551" i="9"/>
  <c r="V550" i="9"/>
  <c r="V549" i="9"/>
  <c r="V548" i="9"/>
  <c r="V547" i="9"/>
  <c r="V546" i="9"/>
  <c r="V545" i="9"/>
  <c r="V544" i="9"/>
  <c r="V543" i="9"/>
  <c r="V542" i="9"/>
  <c r="V541" i="9"/>
  <c r="V540" i="9"/>
  <c r="V539" i="9"/>
  <c r="V538" i="9"/>
  <c r="V537" i="9"/>
  <c r="V536" i="9"/>
  <c r="V535" i="9"/>
  <c r="V534" i="9"/>
  <c r="V533" i="9"/>
  <c r="V532" i="9"/>
  <c r="V531" i="9"/>
  <c r="V530" i="9"/>
  <c r="V529" i="9"/>
  <c r="V528" i="9"/>
  <c r="V527" i="9"/>
  <c r="V526" i="9"/>
  <c r="V525" i="9"/>
  <c r="V524" i="9"/>
  <c r="V523" i="9"/>
  <c r="V522" i="9"/>
  <c r="V521" i="9"/>
  <c r="V520" i="9"/>
  <c r="V519" i="9"/>
  <c r="V518" i="9"/>
  <c r="V517" i="9"/>
  <c r="V516" i="9"/>
  <c r="V515" i="9"/>
  <c r="V514" i="9"/>
  <c r="V513" i="9"/>
  <c r="V512" i="9"/>
  <c r="V511" i="9"/>
  <c r="V510" i="9"/>
  <c r="V509" i="9"/>
  <c r="V508" i="9"/>
  <c r="V507" i="9"/>
  <c r="V506" i="9"/>
  <c r="V505" i="9"/>
  <c r="V504" i="9"/>
  <c r="V503" i="9"/>
  <c r="V502" i="9"/>
  <c r="V501" i="9"/>
  <c r="V500" i="9"/>
  <c r="V499" i="9"/>
  <c r="V498" i="9"/>
  <c r="V497" i="9"/>
  <c r="V496" i="9"/>
  <c r="V495" i="9"/>
  <c r="V494" i="9"/>
  <c r="V493" i="9"/>
  <c r="V492" i="9"/>
  <c r="V491" i="9"/>
  <c r="V490" i="9"/>
  <c r="V489" i="9"/>
  <c r="V488" i="9"/>
  <c r="V487" i="9"/>
  <c r="V486" i="9"/>
  <c r="V485" i="9"/>
  <c r="V484" i="9"/>
  <c r="V483" i="9"/>
  <c r="V482" i="9"/>
  <c r="V481" i="9"/>
  <c r="V480" i="9"/>
  <c r="V479" i="9"/>
  <c r="V478" i="9"/>
  <c r="V477" i="9"/>
  <c r="V476" i="9"/>
  <c r="V475" i="9"/>
  <c r="V474" i="9"/>
  <c r="V473" i="9"/>
  <c r="V472" i="9"/>
  <c r="V471" i="9"/>
  <c r="V470" i="9"/>
  <c r="V469" i="9"/>
  <c r="V468" i="9"/>
  <c r="V467" i="9"/>
  <c r="V466" i="9"/>
  <c r="V465" i="9"/>
  <c r="V464" i="9"/>
  <c r="V463" i="9"/>
  <c r="V462" i="9"/>
  <c r="V461" i="9"/>
  <c r="V460" i="9"/>
  <c r="V459" i="9"/>
  <c r="V458" i="9"/>
  <c r="V457" i="9"/>
  <c r="V456" i="9"/>
  <c r="V455" i="9"/>
  <c r="V454" i="9"/>
  <c r="V453" i="9"/>
  <c r="V452" i="9"/>
  <c r="V451" i="9"/>
  <c r="V450" i="9"/>
  <c r="V449" i="9"/>
  <c r="V448" i="9"/>
  <c r="V447" i="9"/>
  <c r="V446" i="9"/>
  <c r="V445" i="9"/>
  <c r="V444" i="9"/>
  <c r="V443" i="9"/>
  <c r="V442" i="9"/>
  <c r="V441" i="9"/>
  <c r="V440" i="9"/>
  <c r="V439" i="9"/>
  <c r="V438" i="9"/>
  <c r="V437" i="9"/>
  <c r="V436" i="9"/>
  <c r="V435" i="9"/>
  <c r="V434" i="9"/>
  <c r="V433" i="9"/>
  <c r="V432" i="9"/>
  <c r="V431" i="9"/>
  <c r="V430" i="9"/>
  <c r="V429" i="9"/>
  <c r="V428" i="9"/>
  <c r="V427" i="9"/>
  <c r="V426" i="9"/>
  <c r="V425" i="9"/>
  <c r="V424" i="9"/>
  <c r="V423" i="9"/>
  <c r="V422" i="9"/>
  <c r="V421" i="9"/>
  <c r="V420" i="9"/>
  <c r="V419" i="9"/>
  <c r="V418" i="9"/>
  <c r="V417" i="9"/>
  <c r="V416" i="9"/>
  <c r="V415" i="9"/>
  <c r="V414" i="9"/>
  <c r="V413" i="9"/>
  <c r="V412" i="9"/>
  <c r="V411" i="9"/>
  <c r="V410" i="9"/>
  <c r="V409" i="9"/>
  <c r="V408" i="9"/>
  <c r="V407" i="9"/>
  <c r="V406" i="9"/>
  <c r="V405" i="9"/>
  <c r="V404" i="9"/>
  <c r="V403" i="9"/>
  <c r="V402" i="9"/>
  <c r="V401" i="9"/>
  <c r="V400" i="9"/>
  <c r="V399" i="9"/>
  <c r="V398" i="9"/>
  <c r="V397" i="9"/>
  <c r="V396" i="9"/>
  <c r="V395" i="9"/>
  <c r="V394" i="9"/>
  <c r="V393" i="9"/>
  <c r="V392" i="9"/>
  <c r="V391" i="9"/>
  <c r="V390" i="9"/>
  <c r="V389" i="9"/>
  <c r="V388" i="9"/>
  <c r="V387" i="9"/>
  <c r="V386" i="9"/>
  <c r="V385" i="9"/>
  <c r="V384" i="9"/>
  <c r="V383" i="9"/>
  <c r="V382" i="9"/>
  <c r="V381" i="9"/>
  <c r="V380" i="9"/>
  <c r="V379" i="9"/>
  <c r="V378" i="9"/>
  <c r="V377" i="9"/>
  <c r="V376" i="9"/>
  <c r="V375" i="9"/>
  <c r="V374" i="9"/>
  <c r="V373" i="9"/>
  <c r="V372" i="9"/>
  <c r="V371" i="9"/>
  <c r="V370" i="9"/>
  <c r="V369" i="9"/>
  <c r="V368" i="9"/>
  <c r="V367" i="9"/>
  <c r="V366" i="9"/>
  <c r="V365" i="9"/>
  <c r="V364" i="9"/>
  <c r="V363" i="9"/>
  <c r="V362" i="9"/>
  <c r="V361" i="9"/>
  <c r="V360" i="9"/>
  <c r="V359" i="9"/>
  <c r="V358" i="9"/>
  <c r="V357" i="9"/>
  <c r="V356" i="9"/>
  <c r="V355" i="9"/>
  <c r="V354" i="9"/>
  <c r="V353" i="9"/>
  <c r="V352" i="9"/>
  <c r="V351" i="9"/>
  <c r="V350" i="9"/>
  <c r="V349" i="9"/>
  <c r="V348" i="9"/>
  <c r="V347" i="9"/>
  <c r="V346" i="9"/>
  <c r="V345" i="9"/>
  <c r="V344" i="9"/>
  <c r="V343" i="9"/>
  <c r="V342" i="9"/>
  <c r="V341" i="9"/>
  <c r="V340" i="9"/>
  <c r="V339" i="9"/>
  <c r="V338" i="9"/>
  <c r="V337" i="9"/>
  <c r="V336" i="9"/>
  <c r="V335" i="9"/>
  <c r="V334" i="9"/>
  <c r="V333" i="9"/>
  <c r="V332" i="9"/>
  <c r="V331" i="9"/>
  <c r="V330" i="9"/>
  <c r="V329" i="9"/>
  <c r="V328" i="9"/>
  <c r="V327" i="9"/>
  <c r="V326" i="9"/>
  <c r="V325" i="9"/>
  <c r="V324" i="9"/>
  <c r="V323" i="9"/>
  <c r="V322" i="9"/>
  <c r="V321" i="9"/>
  <c r="V320" i="9"/>
  <c r="V319" i="9"/>
  <c r="V318" i="9"/>
  <c r="V317" i="9"/>
  <c r="V316" i="9"/>
  <c r="V315" i="9"/>
  <c r="V314" i="9"/>
  <c r="V313" i="9"/>
  <c r="V312" i="9"/>
  <c r="V311" i="9"/>
  <c r="V310" i="9"/>
  <c r="V309" i="9"/>
  <c r="V308" i="9"/>
  <c r="V307" i="9"/>
  <c r="V306" i="9"/>
  <c r="V305" i="9"/>
  <c r="V304" i="9"/>
  <c r="V303" i="9"/>
  <c r="V302" i="9"/>
  <c r="V301" i="9"/>
  <c r="V300" i="9"/>
  <c r="V299" i="9"/>
  <c r="V298" i="9"/>
  <c r="V297" i="9"/>
  <c r="V296" i="9"/>
  <c r="V295" i="9"/>
  <c r="V294" i="9"/>
  <c r="V293" i="9"/>
  <c r="V292" i="9"/>
  <c r="V291" i="9"/>
  <c r="V290" i="9"/>
  <c r="V289" i="9"/>
  <c r="V288" i="9"/>
  <c r="V287" i="9"/>
  <c r="V286" i="9"/>
  <c r="V285" i="9"/>
  <c r="V284" i="9"/>
  <c r="V283" i="9"/>
  <c r="V282" i="9"/>
  <c r="V281" i="9"/>
  <c r="V280" i="9"/>
  <c r="V279" i="9"/>
  <c r="V278" i="9"/>
  <c r="V277" i="9"/>
  <c r="V276" i="9"/>
  <c r="V275" i="9"/>
  <c r="V274" i="9"/>
  <c r="V273" i="9"/>
  <c r="V272" i="9"/>
  <c r="V271" i="9"/>
  <c r="V270" i="9"/>
  <c r="V269" i="9"/>
  <c r="V268" i="9"/>
  <c r="V267" i="9"/>
  <c r="V266" i="9"/>
  <c r="V265" i="9"/>
  <c r="V264" i="9"/>
  <c r="V263" i="9"/>
  <c r="V262" i="9"/>
  <c r="V261" i="9"/>
  <c r="V260" i="9"/>
  <c r="V259" i="9"/>
  <c r="V258" i="9"/>
  <c r="V257" i="9"/>
  <c r="V256" i="9"/>
  <c r="V255" i="9"/>
  <c r="V254" i="9"/>
  <c r="V253" i="9"/>
  <c r="V252" i="9"/>
  <c r="V251" i="9"/>
  <c r="V250" i="9"/>
  <c r="V249" i="9"/>
  <c r="V248" i="9"/>
  <c r="V247" i="9"/>
  <c r="V246" i="9"/>
  <c r="V245" i="9"/>
  <c r="V244" i="9"/>
  <c r="V243" i="9"/>
  <c r="V242" i="9"/>
  <c r="V241" i="9"/>
  <c r="V240" i="9"/>
  <c r="V239" i="9"/>
  <c r="V238" i="9"/>
  <c r="V237" i="9"/>
  <c r="V236" i="9"/>
  <c r="V235" i="9"/>
  <c r="V234" i="9"/>
  <c r="V233" i="9"/>
  <c r="V232" i="9"/>
  <c r="V231" i="9"/>
  <c r="V230" i="9"/>
  <c r="V229" i="9"/>
  <c r="V228" i="9"/>
  <c r="V227" i="9"/>
  <c r="V226" i="9"/>
  <c r="V225" i="9"/>
  <c r="V224" i="9"/>
  <c r="V223" i="9"/>
  <c r="V222" i="9"/>
  <c r="V221" i="9"/>
  <c r="V220" i="9"/>
  <c r="V219" i="9"/>
  <c r="V218" i="9"/>
  <c r="V217" i="9"/>
  <c r="V216" i="9"/>
  <c r="V215" i="9"/>
  <c r="V214" i="9"/>
  <c r="V213" i="9"/>
  <c r="V212" i="9"/>
  <c r="V211" i="9"/>
  <c r="V210" i="9"/>
  <c r="V209" i="9"/>
  <c r="V208" i="9"/>
  <c r="V207" i="9"/>
  <c r="V206" i="9"/>
  <c r="V205" i="9"/>
  <c r="V204" i="9"/>
  <c r="V203" i="9"/>
  <c r="V202" i="9"/>
  <c r="V201" i="9"/>
  <c r="V200" i="9"/>
  <c r="V199" i="9"/>
  <c r="V198" i="9"/>
  <c r="V197" i="9"/>
  <c r="V196" i="9"/>
  <c r="V195" i="9"/>
  <c r="V194" i="9"/>
  <c r="V193" i="9"/>
  <c r="V192" i="9"/>
  <c r="V191" i="9"/>
  <c r="V190" i="9"/>
  <c r="V189" i="9"/>
  <c r="V188" i="9"/>
  <c r="V187" i="9"/>
  <c r="V186" i="9"/>
  <c r="V185" i="9"/>
  <c r="V184" i="9"/>
  <c r="V183" i="9"/>
  <c r="V182" i="9"/>
  <c r="V181" i="9"/>
  <c r="V180" i="9"/>
  <c r="V179" i="9"/>
  <c r="V178" i="9"/>
  <c r="V177" i="9"/>
  <c r="V176" i="9"/>
  <c r="V175" i="9"/>
  <c r="V174" i="9"/>
  <c r="V173" i="9"/>
  <c r="V172" i="9"/>
  <c r="V171" i="9"/>
  <c r="V170" i="9"/>
  <c r="V169" i="9"/>
  <c r="V168" i="9"/>
  <c r="V167" i="9"/>
  <c r="V166" i="9"/>
  <c r="V165" i="9"/>
  <c r="V164" i="9"/>
  <c r="V163" i="9"/>
  <c r="V162" i="9"/>
  <c r="V161" i="9"/>
  <c r="V160" i="9"/>
  <c r="V159" i="9"/>
  <c r="V158" i="9"/>
  <c r="V157" i="9"/>
  <c r="V156" i="9"/>
  <c r="V155" i="9"/>
  <c r="V154" i="9"/>
  <c r="V153" i="9"/>
  <c r="V152" i="9"/>
  <c r="V151" i="9"/>
  <c r="V150" i="9"/>
  <c r="V149" i="9"/>
  <c r="V148" i="9"/>
  <c r="V147" i="9"/>
  <c r="V146" i="9"/>
  <c r="V145" i="9"/>
  <c r="V144" i="9"/>
  <c r="V143" i="9"/>
  <c r="V142" i="9"/>
  <c r="V141" i="9"/>
  <c r="V140" i="9"/>
  <c r="V139" i="9"/>
  <c r="V138" i="9"/>
  <c r="V137" i="9"/>
  <c r="V136" i="9"/>
  <c r="V135" i="9"/>
  <c r="V134" i="9"/>
  <c r="V133" i="9"/>
  <c r="V132" i="9"/>
  <c r="V131" i="9"/>
  <c r="V130" i="9"/>
  <c r="V129" i="9"/>
  <c r="V128" i="9"/>
  <c r="V127" i="9"/>
  <c r="V126" i="9"/>
  <c r="V125" i="9"/>
  <c r="V124" i="9"/>
  <c r="V123" i="9"/>
  <c r="V122" i="9"/>
  <c r="V121" i="9"/>
  <c r="V120" i="9"/>
  <c r="V119" i="9"/>
  <c r="V118" i="9"/>
  <c r="V117" i="9"/>
  <c r="V116" i="9"/>
  <c r="V115" i="9"/>
  <c r="V114" i="9"/>
  <c r="V113" i="9"/>
  <c r="V112" i="9"/>
  <c r="V111" i="9"/>
  <c r="V110" i="9"/>
  <c r="V109" i="9"/>
  <c r="V108" i="9"/>
  <c r="V107" i="9"/>
  <c r="V106" i="9"/>
  <c r="V105" i="9"/>
  <c r="V104" i="9"/>
  <c r="V103" i="9"/>
  <c r="V102" i="9"/>
  <c r="V101" i="9"/>
  <c r="V100" i="9"/>
  <c r="V99" i="9"/>
  <c r="V98" i="9"/>
  <c r="V97" i="9"/>
  <c r="V96" i="9"/>
  <c r="V95" i="9"/>
  <c r="V94" i="9"/>
  <c r="V93" i="9"/>
  <c r="V92" i="9"/>
  <c r="V91" i="9"/>
  <c r="V90" i="9"/>
  <c r="V89" i="9"/>
  <c r="V88" i="9"/>
  <c r="V87" i="9"/>
  <c r="V86" i="9"/>
  <c r="V85" i="9"/>
  <c r="V84" i="9"/>
  <c r="V83" i="9"/>
  <c r="V82" i="9"/>
  <c r="V81" i="9"/>
  <c r="V80" i="9"/>
  <c r="V79" i="9"/>
  <c r="V78" i="9"/>
  <c r="V77" i="9"/>
  <c r="V76" i="9"/>
  <c r="V75" i="9"/>
  <c r="V74" i="9"/>
  <c r="V73" i="9"/>
  <c r="V72" i="9"/>
  <c r="V71" i="9"/>
  <c r="V70" i="9"/>
  <c r="V69" i="9"/>
  <c r="V68" i="9"/>
  <c r="V67" i="9"/>
  <c r="V66" i="9"/>
  <c r="V65" i="9"/>
  <c r="V64" i="9"/>
  <c r="V63" i="9"/>
  <c r="V62" i="9"/>
  <c r="V61" i="9"/>
  <c r="V60" i="9"/>
  <c r="V59" i="9"/>
  <c r="V58" i="9"/>
  <c r="V57" i="9"/>
  <c r="V56" i="9"/>
  <c r="V55" i="9"/>
  <c r="V54" i="9"/>
  <c r="V53" i="9"/>
  <c r="V52" i="9"/>
  <c r="V51" i="9"/>
  <c r="V50" i="9"/>
  <c r="V49" i="9"/>
  <c r="V48" i="9"/>
  <c r="V47" i="9"/>
  <c r="V46" i="9"/>
  <c r="V45" i="9"/>
  <c r="V44" i="9"/>
  <c r="V43" i="9"/>
  <c r="V42" i="9"/>
  <c r="V41" i="9"/>
  <c r="V40" i="9"/>
  <c r="V39" i="9"/>
  <c r="V38" i="9"/>
  <c r="V37" i="9"/>
  <c r="V36" i="9"/>
  <c r="V35" i="9"/>
  <c r="V34" i="9"/>
  <c r="V33" i="9"/>
  <c r="V32" i="9"/>
  <c r="V31" i="9"/>
  <c r="V30" i="9"/>
  <c r="V29" i="9"/>
  <c r="V28" i="9"/>
  <c r="V27" i="9"/>
  <c r="V26" i="9"/>
  <c r="V25" i="9"/>
  <c r="V24" i="9"/>
  <c r="V23" i="9"/>
  <c r="V22" i="9"/>
  <c r="V21" i="9"/>
  <c r="V20" i="9"/>
  <c r="V19" i="9"/>
  <c r="V18" i="9"/>
  <c r="V17" i="9"/>
  <c r="V16" i="9"/>
  <c r="V15" i="9"/>
  <c r="V14" i="9"/>
  <c r="V13" i="9"/>
  <c r="V12" i="9"/>
  <c r="V11" i="9"/>
  <c r="V10" i="9"/>
  <c r="L6" i="26"/>
  <c r="V9" i="9"/>
  <c r="V8" i="9"/>
  <c r="V7" i="9"/>
  <c r="A7" i="9"/>
  <c r="S2" i="9" s="1"/>
  <c r="V6" i="9"/>
  <c r="V5" i="9"/>
  <c r="V4" i="9"/>
  <c r="U3" i="9"/>
  <c r="B1" i="9"/>
  <c r="L29" i="26"/>
  <c r="D29" i="26" s="1"/>
  <c r="D27" i="26"/>
  <c r="Q264" i="26"/>
  <c r="D28" i="26"/>
  <c r="D34" i="26"/>
  <c r="D26" i="26"/>
  <c r="U264" i="26"/>
  <c r="D167" i="26"/>
  <c r="L164" i="26"/>
  <c r="B10" i="26" s="1"/>
  <c r="S211" i="26"/>
  <c r="P211" i="26"/>
  <c r="O263" i="26"/>
  <c r="D82" i="26"/>
  <c r="B6" i="30"/>
  <c r="G225" i="26"/>
  <c r="L278" i="26"/>
  <c r="F278" i="26" s="1"/>
  <c r="F280" i="26" s="1"/>
  <c r="B234" i="26"/>
  <c r="L228" i="26"/>
  <c r="G228" i="26" s="1"/>
  <c r="C208" i="26"/>
  <c r="C207" i="26"/>
  <c r="C206" i="26"/>
  <c r="C205" i="26"/>
  <c r="C204" i="26"/>
  <c r="F208" i="26"/>
  <c r="B236" i="26" s="1"/>
  <c r="S206" i="26"/>
  <c r="H88" i="26"/>
  <c r="I223" i="26"/>
  <c r="I222" i="26"/>
  <c r="I221" i="26"/>
  <c r="I220" i="26"/>
  <c r="I219" i="26"/>
  <c r="I218" i="26"/>
  <c r="I217" i="26"/>
  <c r="E208" i="26"/>
  <c r="E278" i="26"/>
  <c r="H87" i="26"/>
  <c r="E206" i="26"/>
  <c r="E205" i="26"/>
  <c r="E204" i="26"/>
  <c r="D206" i="26"/>
  <c r="D205" i="26"/>
  <c r="D204" i="26"/>
  <c r="J5" i="18"/>
  <c r="M122" i="26"/>
  <c r="L230" i="26"/>
  <c r="G230" i="26" s="1"/>
  <c r="D21" i="26"/>
  <c r="J2" i="26"/>
  <c r="D17" i="26"/>
  <c r="D18" i="26"/>
  <c r="D19" i="26"/>
  <c r="D20" i="26"/>
  <c r="D22" i="26"/>
  <c r="D23" i="26"/>
  <c r="D25" i="26"/>
  <c r="D31" i="26"/>
  <c r="D166" i="26" s="1"/>
  <c r="J176" i="26"/>
  <c r="M206" i="26"/>
  <c r="P206" i="26"/>
  <c r="D207" i="26"/>
  <c r="E207" i="26"/>
  <c r="D208" i="26"/>
  <c r="B210" i="26"/>
  <c r="H224" i="26"/>
  <c r="J249" i="26"/>
  <c r="B287" i="26"/>
  <c r="B294" i="26"/>
  <c r="C294" i="26"/>
  <c r="D294" i="26"/>
  <c r="H294" i="26" s="1"/>
  <c r="F294" i="26"/>
  <c r="B295" i="26"/>
  <c r="B2" i="30"/>
  <c r="C3" i="30" s="1"/>
  <c r="B8" i="30"/>
  <c r="J3" i="18"/>
  <c r="O4" i="18"/>
  <c r="O6" i="18"/>
  <c r="O12" i="18"/>
  <c r="D33" i="26"/>
  <c r="B258" i="26"/>
  <c r="F279" i="26"/>
  <c r="F281" i="26" s="1"/>
  <c r="O264" i="26"/>
  <c r="P264" i="26" s="1"/>
  <c r="E279" i="26"/>
  <c r="E281" i="26" s="1"/>
  <c r="B5" i="9"/>
  <c r="B194" i="26"/>
  <c r="B264" i="26"/>
  <c r="L33" i="26"/>
  <c r="W2" i="9"/>
  <c r="O5" i="18"/>
  <c r="C41" i="18"/>
  <c r="C86" i="18"/>
  <c r="B41" i="18"/>
  <c r="C27" i="18"/>
  <c r="A16" i="18"/>
  <c r="A46" i="18"/>
  <c r="C26" i="18"/>
  <c r="C11" i="18"/>
  <c r="B11" i="18"/>
  <c r="C87" i="18"/>
  <c r="B26" i="18"/>
  <c r="C42" i="18"/>
  <c r="A31" i="18"/>
  <c r="C12" i="18"/>
  <c r="A91" i="18"/>
  <c r="B86" i="18"/>
  <c r="B7" i="18" l="1"/>
  <c r="V3" i="9"/>
  <c r="V2" i="9" s="1"/>
  <c r="W1130" i="9"/>
  <c r="W1" i="9"/>
  <c r="W1249" i="9"/>
  <c r="W768" i="9"/>
  <c r="W122" i="9"/>
  <c r="W43" i="9"/>
  <c r="W1045" i="9"/>
  <c r="W347" i="9"/>
  <c r="W1016" i="9"/>
  <c r="W103" i="9"/>
  <c r="P187" i="26"/>
  <c r="M164" i="26" s="1"/>
  <c r="D164" i="26" s="1"/>
  <c r="Q51" i="26"/>
  <c r="H50" i="26"/>
  <c r="P51" i="26"/>
  <c r="O51" i="26" s="1"/>
  <c r="N51" i="26" s="1"/>
  <c r="M51" i="26" s="1"/>
  <c r="L51" i="26" s="1"/>
  <c r="D51" i="26" s="1"/>
  <c r="J51" i="26"/>
  <c r="S53" i="26"/>
  <c r="R52" i="26"/>
  <c r="S89" i="26"/>
  <c r="R88" i="26"/>
  <c r="P88" i="26" s="1"/>
  <c r="O88" i="26" s="1"/>
  <c r="N88" i="26" s="1"/>
  <c r="M88" i="26" s="1"/>
  <c r="L88" i="26" s="1"/>
  <c r="J296" i="26"/>
  <c r="M123" i="26"/>
  <c r="J87" i="26"/>
  <c r="B231" i="26"/>
  <c r="D118" i="26"/>
  <c r="O7" i="18"/>
  <c r="B253" i="26"/>
  <c r="O187" i="26"/>
  <c r="N187" i="26" s="1"/>
  <c r="B7" i="26"/>
  <c r="B232" i="26"/>
  <c r="W825" i="9"/>
  <c r="W910" i="9"/>
  <c r="W393" i="9"/>
  <c r="W1150" i="9"/>
  <c r="W747" i="9"/>
  <c r="W1006" i="9"/>
  <c r="W1153" i="9"/>
  <c r="W603" i="9"/>
  <c r="W77" i="9"/>
  <c r="W70" i="9"/>
  <c r="W80" i="9"/>
  <c r="W219" i="9"/>
  <c r="W778" i="9"/>
  <c r="G279" i="26"/>
  <c r="G281" i="26"/>
  <c r="H295" i="26"/>
  <c r="H296" i="26"/>
  <c r="G278" i="26"/>
  <c r="L273" i="26" s="1"/>
  <c r="B273" i="26" s="1"/>
  <c r="W732" i="9"/>
  <c r="W1175" i="9"/>
  <c r="W306" i="9"/>
  <c r="W802" i="9"/>
  <c r="W1151" i="9"/>
  <c r="W546" i="9"/>
  <c r="W480" i="9"/>
  <c r="W1039" i="9"/>
  <c r="W1234" i="9"/>
  <c r="W515" i="9"/>
  <c r="W1131" i="9"/>
  <c r="W1058" i="9"/>
  <c r="W1107" i="9"/>
  <c r="W166" i="9"/>
  <c r="W1259" i="9"/>
  <c r="W842" i="9"/>
  <c r="W902" i="9"/>
  <c r="W14" i="9"/>
  <c r="W87" i="9"/>
  <c r="W1014" i="9"/>
  <c r="W518" i="9"/>
  <c r="W416" i="9"/>
  <c r="W1088" i="9"/>
  <c r="W1012" i="9"/>
  <c r="W76" i="9"/>
  <c r="W708" i="9"/>
  <c r="W460" i="9"/>
  <c r="W816" i="9"/>
  <c r="W240" i="9"/>
  <c r="W572" i="9"/>
  <c r="W374" i="9"/>
  <c r="W930" i="9"/>
  <c r="W406" i="9"/>
  <c r="W1020" i="9"/>
  <c r="W562" i="9"/>
  <c r="W1072" i="9"/>
  <c r="W408" i="9"/>
  <c r="W1036" i="9"/>
  <c r="W448" i="9"/>
  <c r="W1180" i="9"/>
  <c r="W1124" i="9"/>
  <c r="W1140" i="9"/>
  <c r="W736" i="9"/>
  <c r="W10" i="9"/>
  <c r="W1120" i="9"/>
  <c r="W64" i="9"/>
  <c r="W926" i="9"/>
  <c r="W394" i="9"/>
  <c r="W1078" i="9"/>
  <c r="W263" i="9"/>
  <c r="W236" i="9"/>
  <c r="W644" i="9"/>
  <c r="W600" i="9"/>
  <c r="W558" i="9"/>
  <c r="W134" i="9"/>
  <c r="W890" i="9"/>
  <c r="W516" i="9"/>
  <c r="W872" i="9"/>
  <c r="W1096" i="9"/>
  <c r="W248" i="9"/>
  <c r="W1064" i="9"/>
  <c r="W864" i="9"/>
  <c r="W568" i="9"/>
  <c r="W256" i="9"/>
  <c r="W188" i="9"/>
  <c r="W996" i="9"/>
  <c r="W244" i="9"/>
  <c r="W319" i="9"/>
  <c r="W376" i="9"/>
  <c r="W60" i="9"/>
  <c r="W52" i="9"/>
  <c r="W976" i="9"/>
  <c r="W616" i="9"/>
  <c r="W796" i="9"/>
  <c r="W972" i="9"/>
  <c r="W1236" i="9"/>
  <c r="W320" i="9"/>
  <c r="W444" i="9"/>
  <c r="W794" i="9"/>
  <c r="W950" i="9"/>
  <c r="W1106" i="9"/>
  <c r="W704" i="9"/>
  <c r="W184" i="9"/>
  <c r="W1104" i="9"/>
  <c r="W588" i="9"/>
  <c r="W1252" i="9"/>
  <c r="W744" i="9"/>
  <c r="W84" i="9"/>
  <c r="W396" i="9"/>
  <c r="W880" i="9"/>
  <c r="W124" i="9"/>
  <c r="W696" i="9"/>
  <c r="W32" i="9"/>
  <c r="W324" i="9"/>
  <c r="W824" i="9"/>
  <c r="W68" i="9"/>
  <c r="W684" i="9"/>
  <c r="W18" i="9"/>
  <c r="W308" i="9"/>
  <c r="W808" i="9"/>
  <c r="W56" i="9"/>
  <c r="W307" i="9"/>
  <c r="W608" i="9"/>
  <c r="W356" i="9"/>
  <c r="W300" i="9"/>
  <c r="W1184" i="9"/>
  <c r="W372" i="9"/>
  <c r="W520" i="9"/>
  <c r="W740" i="9"/>
  <c r="W992" i="9"/>
  <c r="W116" i="9"/>
  <c r="W148" i="9"/>
  <c r="W400" i="9"/>
  <c r="W284" i="9"/>
  <c r="W476" i="9"/>
  <c r="W628" i="9"/>
  <c r="W792" i="9"/>
  <c r="W692" i="9"/>
  <c r="W548" i="9"/>
  <c r="W484" i="9"/>
  <c r="W264" i="9"/>
  <c r="W204" i="9"/>
  <c r="W472" i="9"/>
  <c r="W252" i="9"/>
  <c r="W1112" i="9"/>
  <c r="W160" i="9"/>
  <c r="W108" i="9"/>
  <c r="W844" i="9"/>
  <c r="W560" i="9"/>
  <c r="W1067" i="9"/>
  <c r="W999" i="9"/>
  <c r="W1227" i="9"/>
  <c r="W357" i="9"/>
  <c r="W1057" i="9"/>
  <c r="W1239" i="9"/>
  <c r="W1135" i="9"/>
  <c r="W702" i="9"/>
  <c r="W951" i="9"/>
  <c r="W151" i="9"/>
  <c r="W213" i="9"/>
  <c r="W509" i="9"/>
  <c r="W1205" i="9"/>
  <c r="W737" i="9"/>
  <c r="W1111" i="9"/>
  <c r="W855" i="9"/>
  <c r="W887" i="9"/>
  <c r="W362" i="9"/>
  <c r="W523" i="9"/>
  <c r="W58" i="9"/>
  <c r="W1163" i="9"/>
  <c r="W450" i="9"/>
  <c r="W554" i="9"/>
  <c r="W942" i="9"/>
  <c r="W746" i="9"/>
  <c r="W1198" i="9"/>
  <c r="W367" i="9"/>
  <c r="W698" i="9"/>
  <c r="W203" i="9"/>
  <c r="W59" i="9"/>
  <c r="W922" i="9"/>
  <c r="W604" i="9"/>
  <c r="W112" i="9"/>
  <c r="W440" i="9"/>
  <c r="W580" i="9"/>
  <c r="W544" i="9"/>
  <c r="W232" i="9"/>
  <c r="W178" i="9"/>
  <c r="W847" i="9"/>
  <c r="W506" i="9"/>
  <c r="W755" i="9"/>
  <c r="W430" i="9"/>
  <c r="W550" i="9"/>
  <c r="W983" i="9"/>
  <c r="W142" i="9"/>
  <c r="W83" i="9"/>
  <c r="W499" i="9"/>
  <c r="W819" i="9"/>
  <c r="W143" i="9"/>
  <c r="W498" i="9"/>
  <c r="W350" i="9"/>
  <c r="W734" i="9"/>
  <c r="W978" i="9"/>
  <c r="W118" i="9"/>
  <c r="W294" i="9"/>
  <c r="W1258" i="9"/>
  <c r="W427" i="9"/>
  <c r="W722" i="9"/>
  <c r="W383" i="9"/>
  <c r="W1226" i="9"/>
  <c r="W192" i="9"/>
  <c r="W196" i="9"/>
  <c r="W392" i="9"/>
  <c r="W36" i="9"/>
  <c r="W364" i="9"/>
  <c r="W664" i="9"/>
  <c r="W592" i="9"/>
  <c r="W699" i="9"/>
  <c r="W78" i="9"/>
  <c r="W167" i="9"/>
  <c r="W854" i="9"/>
  <c r="W91" i="9"/>
  <c r="W1066" i="9"/>
  <c r="W862" i="9"/>
  <c r="W355" i="9"/>
  <c r="W100" i="9"/>
  <c r="W944" i="9"/>
  <c r="W820" i="9"/>
  <c r="W340" i="9"/>
  <c r="J294" i="26"/>
  <c r="J295" i="26" s="1"/>
  <c r="J4" i="18"/>
  <c r="D184" i="26"/>
  <c r="M124" i="26"/>
  <c r="J77" i="18"/>
  <c r="D24" i="26"/>
  <c r="T2" i="9"/>
  <c r="E280" i="26"/>
  <c r="G280" i="26" s="1"/>
  <c r="A15" i="18"/>
  <c r="A90" i="18"/>
  <c r="A73" i="18"/>
  <c r="A45" i="18"/>
  <c r="A59" i="18"/>
  <c r="A30" i="18"/>
  <c r="W1042" i="9" l="1"/>
  <c r="W714" i="9"/>
  <c r="W948" i="9"/>
  <c r="W500" i="9"/>
  <c r="W964" i="9"/>
  <c r="W45" i="9"/>
  <c r="W271" i="9"/>
  <c r="W275" i="9"/>
  <c r="W1010" i="9"/>
  <c r="W336" i="9"/>
  <c r="W868" i="9"/>
  <c r="W212" i="9"/>
  <c r="W1224" i="9"/>
  <c r="W216" i="9"/>
  <c r="W712" i="9"/>
  <c r="W123" i="9"/>
  <c r="W348" i="9"/>
  <c r="W784" i="9"/>
  <c r="W1240" i="9"/>
  <c r="W928" i="9"/>
  <c r="W1166" i="9"/>
  <c r="W900" i="9"/>
  <c r="W176" i="9"/>
  <c r="W966" i="9"/>
  <c r="W798" i="9"/>
  <c r="W530" i="9"/>
  <c r="W272" i="9"/>
  <c r="W496" i="9"/>
  <c r="W1148" i="9"/>
  <c r="W168" i="9"/>
  <c r="W483" i="9"/>
  <c r="W1196" i="9"/>
  <c r="W1200" i="9"/>
  <c r="W756" i="9"/>
  <c r="W1142" i="9"/>
  <c r="W540" i="9"/>
  <c r="W267" i="9"/>
  <c r="W804" i="9"/>
  <c r="W716" i="9"/>
  <c r="W690" i="9"/>
  <c r="W1178" i="9"/>
  <c r="W359" i="9"/>
  <c r="W679" i="9"/>
  <c r="W412" i="9"/>
  <c r="W786" i="9"/>
  <c r="W198" i="9"/>
  <c r="W836" i="9"/>
  <c r="W866" i="9"/>
  <c r="W72" i="9"/>
  <c r="W183" i="9"/>
  <c r="W1146" i="9"/>
  <c r="W776" i="9"/>
  <c r="W494" i="9"/>
  <c r="W829" i="9"/>
  <c r="W4" i="9"/>
  <c r="U4" i="9" s="1"/>
  <c r="W334" i="9"/>
  <c r="W197" i="9"/>
  <c r="W1170" i="9"/>
  <c r="W1179" i="9"/>
  <c r="W61" i="9"/>
  <c r="W366" i="9"/>
  <c r="W388" i="9"/>
  <c r="W259" i="9"/>
  <c r="W71" i="9"/>
  <c r="W777" i="9"/>
  <c r="W745" i="9"/>
  <c r="W918" i="9"/>
  <c r="W658" i="9"/>
  <c r="W695" i="9"/>
  <c r="W750" i="9"/>
  <c r="W29" i="9"/>
  <c r="W254" i="9"/>
  <c r="W205" i="9"/>
  <c r="W125" i="9"/>
  <c r="W1101" i="9"/>
  <c r="W261" i="9"/>
  <c r="W852" i="9"/>
  <c r="W200" i="9"/>
  <c r="W636" i="9"/>
  <c r="W420" i="9"/>
  <c r="W1038" i="9"/>
  <c r="W1162" i="9"/>
  <c r="W390" i="9"/>
  <c r="W828" i="9"/>
  <c r="W652" i="9"/>
  <c r="W464" i="9"/>
  <c r="W611" i="9"/>
  <c r="W650" i="9"/>
  <c r="W790" i="9"/>
  <c r="W1082" i="9"/>
  <c r="W22" i="9"/>
  <c r="W1128" i="9"/>
  <c r="W1216" i="9"/>
  <c r="W912" i="9"/>
  <c r="W1204" i="9"/>
  <c r="W984" i="9"/>
  <c r="W436" i="9"/>
  <c r="W1028" i="9"/>
  <c r="W360" i="9"/>
  <c r="W856" i="9"/>
  <c r="W260" i="9"/>
  <c r="W882" i="9"/>
  <c r="W952" i="9"/>
  <c r="W1168" i="9"/>
  <c r="W782" i="9"/>
  <c r="W1094" i="9"/>
  <c r="W834" i="9"/>
  <c r="W1228" i="9"/>
  <c r="W884" i="9"/>
  <c r="W1076" i="9"/>
  <c r="W508" i="9"/>
  <c r="W620" i="9"/>
  <c r="W632" i="9"/>
  <c r="W164" i="9"/>
  <c r="W96" i="9"/>
  <c r="W1026" i="9"/>
  <c r="W678" i="9"/>
  <c r="W435" i="9"/>
  <c r="W456" i="9"/>
  <c r="W566" i="9"/>
  <c r="W287" i="9"/>
  <c r="W330" i="9"/>
  <c r="W247" i="9"/>
  <c r="W955" i="9"/>
  <c r="W432" i="9"/>
  <c r="W202" i="9"/>
  <c r="W522" i="9"/>
  <c r="W720" i="9"/>
  <c r="W115" i="9"/>
  <c r="W488" i="9"/>
  <c r="W578" i="9"/>
  <c r="W250" i="9"/>
  <c r="W670" i="9"/>
  <c r="W743" i="9"/>
  <c r="W66" i="9"/>
  <c r="W968" i="9"/>
  <c r="W680" i="9"/>
  <c r="W1132" i="9"/>
  <c r="W903" i="9"/>
  <c r="W162" i="9"/>
  <c r="W818" i="9"/>
  <c r="W21" i="9"/>
  <c r="W1169" i="9"/>
  <c r="W74" i="9"/>
  <c r="W662" i="9"/>
  <c r="W710" i="9"/>
  <c r="W274" i="9"/>
  <c r="W1253" i="9"/>
  <c r="W612" i="9"/>
  <c r="W775" i="9"/>
  <c r="W614" i="9"/>
  <c r="W1220" i="9"/>
  <c r="W1051" i="9"/>
  <c r="W299" i="9"/>
  <c r="W867" i="9"/>
  <c r="W85" i="9"/>
  <c r="W1229" i="9"/>
  <c r="W1177" i="9"/>
  <c r="W596" i="9"/>
  <c r="W1145" i="9"/>
  <c r="W1073" i="9"/>
  <c r="W552" i="9"/>
  <c r="W1004" i="9"/>
  <c r="W316" i="9"/>
  <c r="W916" i="9"/>
  <c r="W1248" i="9"/>
  <c r="W770" i="9"/>
  <c r="W387" i="9"/>
  <c r="W1098" i="9"/>
  <c r="W352" i="9"/>
  <c r="W920" i="9"/>
  <c r="W180" i="9"/>
  <c r="W403" i="9"/>
  <c r="W55" i="9"/>
  <c r="W542" i="9"/>
  <c r="W986" i="9"/>
  <c r="W940" i="9"/>
  <c r="W1160" i="9"/>
  <c r="W980" i="9"/>
  <c r="W564" i="9"/>
  <c r="W832" i="9"/>
  <c r="W88" i="9"/>
  <c r="W772" i="9"/>
  <c r="W1188" i="9"/>
  <c r="W504" i="9"/>
  <c r="W1092" i="9"/>
  <c r="W328" i="9"/>
  <c r="W812" i="9"/>
  <c r="W1208" i="9"/>
  <c r="W95" i="9"/>
  <c r="W682" i="9"/>
  <c r="W606" i="9"/>
  <c r="W368" i="9"/>
  <c r="W172" i="9"/>
  <c r="W156" i="9"/>
  <c r="W224" i="9"/>
  <c r="W848" i="9"/>
  <c r="W512" i="9"/>
  <c r="W524" i="9"/>
  <c r="W576" i="9"/>
  <c r="W136" i="9"/>
  <c r="W1024" i="9"/>
  <c r="W135" i="9"/>
  <c r="W468" i="9"/>
  <c r="W1116" i="9"/>
  <c r="W399" i="9"/>
  <c r="W75" i="9"/>
  <c r="W323" i="9"/>
  <c r="W343" i="9"/>
  <c r="W700" i="9"/>
  <c r="W766" i="9"/>
  <c r="W298" i="9"/>
  <c r="W65" i="9"/>
  <c r="W1070" i="9"/>
  <c r="W1056" i="9"/>
  <c r="W286" i="9"/>
  <c r="W170" i="9"/>
  <c r="W591" i="9"/>
  <c r="W478" i="9"/>
  <c r="W265" i="9"/>
  <c r="W637" i="9"/>
  <c r="W51" i="9"/>
  <c r="W573" i="9"/>
  <c r="W228" i="9"/>
  <c r="W234" i="9"/>
  <c r="W879" i="9"/>
  <c r="W521" i="9"/>
  <c r="W288" i="9"/>
  <c r="W602" i="9"/>
  <c r="W321" i="9"/>
  <c r="W121" i="9"/>
  <c r="W42" i="9"/>
  <c r="W654" i="9"/>
  <c r="W452" i="9"/>
  <c r="W689" i="9"/>
  <c r="W1182" i="9"/>
  <c r="W640" i="9"/>
  <c r="W422" i="9"/>
  <c r="W849" i="9"/>
  <c r="W6" i="9"/>
  <c r="W1123" i="9"/>
  <c r="W526" i="9"/>
  <c r="W1223" i="9"/>
  <c r="W648" i="9"/>
  <c r="W1030" i="9"/>
  <c r="W728" i="9"/>
  <c r="W44" i="9"/>
  <c r="W415" i="9"/>
  <c r="W970" i="9"/>
  <c r="W382" i="9"/>
  <c r="W1086" i="9"/>
  <c r="W666" i="9"/>
  <c r="W1152" i="9"/>
  <c r="W276" i="9"/>
  <c r="W656" i="9"/>
  <c r="W780" i="9"/>
  <c r="W1048" i="9"/>
  <c r="W107" i="9"/>
  <c r="W1000" i="9"/>
  <c r="W92" i="9"/>
  <c r="W688" i="9"/>
  <c r="W1244" i="9"/>
  <c r="W892" i="9"/>
  <c r="W822" i="9"/>
  <c r="W1084" i="9"/>
  <c r="W1090" i="9"/>
  <c r="W711" i="9"/>
  <c r="W404" i="9"/>
  <c r="W1238" i="9"/>
  <c r="W34" i="9"/>
  <c r="W982" i="9"/>
  <c r="W471" i="9"/>
  <c r="W575" i="9"/>
  <c r="W1195" i="9"/>
  <c r="W296" i="9"/>
  <c r="W764" i="9"/>
  <c r="W938" i="9"/>
  <c r="W638" i="9"/>
  <c r="W94" i="9"/>
  <c r="W860" i="9"/>
  <c r="W235" i="9"/>
  <c r="W48" i="9"/>
  <c r="W1218" i="9"/>
  <c r="W634" i="9"/>
  <c r="W53" i="9"/>
  <c r="W1080" i="9"/>
  <c r="W1002" i="9"/>
  <c r="W226" i="9"/>
  <c r="W145" i="9"/>
  <c r="W49" i="9"/>
  <c r="W858" i="9"/>
  <c r="W414" i="9"/>
  <c r="W401" i="9"/>
  <c r="W479" i="9"/>
  <c r="W278" i="9"/>
  <c r="W873" i="9"/>
  <c r="W693" i="9"/>
  <c r="W157" i="9"/>
  <c r="W557" i="9"/>
  <c r="W1206" i="9"/>
  <c r="W1256" i="9"/>
  <c r="W810" i="9"/>
  <c r="W953" i="9"/>
  <c r="W961" i="9"/>
  <c r="W748" i="9"/>
  <c r="W39" i="9"/>
  <c r="W1075" i="9"/>
  <c r="W1157" i="9"/>
  <c r="W1033" i="9"/>
  <c r="W894" i="9"/>
  <c r="W418" i="9"/>
  <c r="W381" i="9"/>
  <c r="W726" i="9"/>
  <c r="W618" i="9"/>
  <c r="W586" i="9"/>
  <c r="W846" i="9"/>
  <c r="W838" i="9"/>
  <c r="W1007" i="9"/>
  <c r="E109" i="9"/>
  <c r="E105" i="9"/>
  <c r="E101" i="9"/>
  <c r="E97" i="9"/>
  <c r="E93" i="9"/>
  <c r="E89" i="9"/>
  <c r="E85" i="9"/>
  <c r="E81" i="9"/>
  <c r="E77" i="9"/>
  <c r="E73" i="9"/>
  <c r="E69" i="9"/>
  <c r="E65" i="9"/>
  <c r="E61" i="9"/>
  <c r="E57" i="9"/>
  <c r="E53" i="9"/>
  <c r="E49" i="9"/>
  <c r="E45" i="9"/>
  <c r="E41" i="9"/>
  <c r="E37" i="9"/>
  <c r="E36" i="9"/>
  <c r="E108" i="9"/>
  <c r="E104" i="9"/>
  <c r="E100" i="9"/>
  <c r="E96" i="9"/>
  <c r="E92" i="9"/>
  <c r="E88" i="9"/>
  <c r="E84" i="9"/>
  <c r="E80" i="9"/>
  <c r="E76" i="9"/>
  <c r="E72" i="9"/>
  <c r="E68" i="9"/>
  <c r="E64" i="9"/>
  <c r="E60" i="9"/>
  <c r="E56" i="9"/>
  <c r="E52" i="9"/>
  <c r="E48" i="9"/>
  <c r="E44" i="9"/>
  <c r="E40" i="9"/>
  <c r="E106" i="9"/>
  <c r="E98" i="9"/>
  <c r="E90" i="9"/>
  <c r="E82" i="9"/>
  <c r="E74" i="9"/>
  <c r="E66" i="9"/>
  <c r="E58" i="9"/>
  <c r="E50" i="9"/>
  <c r="E42" i="9"/>
  <c r="E34" i="9"/>
  <c r="E103" i="9"/>
  <c r="E87" i="9"/>
  <c r="E79" i="9"/>
  <c r="E71" i="9"/>
  <c r="E63" i="9"/>
  <c r="E47" i="9"/>
  <c r="E39" i="9"/>
  <c r="E99" i="9"/>
  <c r="E75" i="9"/>
  <c r="E67" i="9"/>
  <c r="E43" i="9"/>
  <c r="E95" i="9"/>
  <c r="E55" i="9"/>
  <c r="E91" i="9"/>
  <c r="E59" i="9"/>
  <c r="E35" i="9"/>
  <c r="E110" i="9"/>
  <c r="E102" i="9"/>
  <c r="E94" i="9"/>
  <c r="E86" i="9"/>
  <c r="E78" i="9"/>
  <c r="E70" i="9"/>
  <c r="E62" i="9"/>
  <c r="E54" i="9"/>
  <c r="E46" i="9"/>
  <c r="E38" i="9"/>
  <c r="E107" i="9"/>
  <c r="E83" i="9"/>
  <c r="E51" i="9"/>
  <c r="W870" i="9"/>
  <c r="W594" i="9"/>
  <c r="W754" i="9"/>
  <c r="W338" i="9"/>
  <c r="W851" i="9"/>
  <c r="W238" i="9"/>
  <c r="W1156" i="9"/>
  <c r="W1172" i="9"/>
  <c r="W266" i="9"/>
  <c r="W302" i="9"/>
  <c r="W335" i="9"/>
  <c r="W1187" i="9"/>
  <c r="W273" i="9"/>
  <c r="W1059" i="9"/>
  <c r="W141" i="9"/>
  <c r="W1203" i="9"/>
  <c r="W492" i="9"/>
  <c r="W676" i="9"/>
  <c r="W41" i="9"/>
  <c r="W694" i="9"/>
  <c r="W936" i="9"/>
  <c r="W615" i="9"/>
  <c r="W639" i="9"/>
  <c r="W767" i="9"/>
  <c r="W626" i="9"/>
  <c r="W251" i="9"/>
  <c r="W318" i="9"/>
  <c r="W883" i="9"/>
  <c r="W1189" i="9"/>
  <c r="W865" i="9"/>
  <c r="W38" i="9"/>
  <c r="W1267" i="9"/>
  <c r="W181" i="9"/>
  <c r="W1013" i="9"/>
  <c r="W114" i="9"/>
  <c r="W1164" i="9"/>
  <c r="W1050" i="9"/>
  <c r="W738" i="9"/>
  <c r="W1003" i="9"/>
  <c r="W227" i="9"/>
  <c r="W1008" i="9"/>
  <c r="W339" i="9"/>
  <c r="W378" i="9"/>
  <c r="W279" i="9"/>
  <c r="W410" i="9"/>
  <c r="W457" i="9"/>
  <c r="W349" i="9"/>
  <c r="W1250" i="9"/>
  <c r="W1044" i="9"/>
  <c r="W1108" i="9"/>
  <c r="W519" i="9"/>
  <c r="W706" i="9"/>
  <c r="W1022" i="9"/>
  <c r="W878" i="9"/>
  <c r="W411" i="9"/>
  <c r="W365" i="9"/>
  <c r="W886" i="9"/>
  <c r="W979" i="9"/>
  <c r="W629" i="9"/>
  <c r="W98" i="9"/>
  <c r="W781" i="9"/>
  <c r="W120" i="9"/>
  <c r="W718" i="9"/>
  <c r="W258" i="9"/>
  <c r="W673" i="9"/>
  <c r="W1027" i="9"/>
  <c r="W1035" i="9"/>
  <c r="W513" i="9"/>
  <c r="W969" i="9"/>
  <c r="W489" i="9"/>
  <c r="W419" i="9"/>
  <c r="W667" i="9"/>
  <c r="W1015" i="9"/>
  <c r="W245" i="9"/>
  <c r="W201" i="9"/>
  <c r="W663" i="9"/>
  <c r="W208" i="9"/>
  <c r="W954" i="9"/>
  <c r="W155" i="9"/>
  <c r="W491" i="9"/>
  <c r="W923" i="9"/>
  <c r="W7" i="9"/>
  <c r="W1154" i="9"/>
  <c r="W1046" i="9"/>
  <c r="W800" i="9"/>
  <c r="W1068" i="9"/>
  <c r="W218" i="9"/>
  <c r="W451" i="9"/>
  <c r="W431" i="9"/>
  <c r="W50" i="9"/>
  <c r="W906" i="9"/>
  <c r="W651" i="9"/>
  <c r="W128" i="9"/>
  <c r="W292" i="9"/>
  <c r="W454" i="9"/>
  <c r="W583" i="9"/>
  <c r="W223" i="9"/>
  <c r="W811" i="9"/>
  <c r="W977" i="9"/>
  <c r="W311" i="9"/>
  <c r="W30" i="9"/>
  <c r="W220" i="9"/>
  <c r="W888" i="9"/>
  <c r="W660" i="9"/>
  <c r="W28" i="9"/>
  <c r="W354" i="9"/>
  <c r="W896" i="9"/>
  <c r="W1138" i="9"/>
  <c r="W1099" i="9"/>
  <c r="W760" i="9"/>
  <c r="W447" i="9"/>
  <c r="W850" i="9"/>
  <c r="W57" i="9"/>
  <c r="W402" i="9"/>
  <c r="W361" i="9"/>
  <c r="W158" i="9"/>
  <c r="W683" i="9"/>
  <c r="W439" i="9"/>
  <c r="W174" i="9"/>
  <c r="W565" i="9"/>
  <c r="W989" i="9"/>
  <c r="W960" i="9"/>
  <c r="W371" i="9"/>
  <c r="W1052" i="9"/>
  <c r="W1158" i="9"/>
  <c r="W493" i="9"/>
  <c r="W624" i="9"/>
  <c r="W974" i="9"/>
  <c r="W130" i="9"/>
  <c r="W186" i="9"/>
  <c r="W547" i="9"/>
  <c r="W563" i="9"/>
  <c r="W937" i="9"/>
  <c r="W262" i="9"/>
  <c r="W152" i="9"/>
  <c r="W934" i="9"/>
  <c r="W803" i="9"/>
  <c r="W1262" i="9"/>
  <c r="W1269" i="9"/>
  <c r="W959" i="9"/>
  <c r="W598" i="9"/>
  <c r="W1119" i="9"/>
  <c r="W33" i="9"/>
  <c r="W312" i="9"/>
  <c r="W326" i="9"/>
  <c r="W991" i="9"/>
  <c r="W109" i="9"/>
  <c r="W150" i="9"/>
  <c r="W268" i="9"/>
  <c r="W163" i="9"/>
  <c r="W899" i="9"/>
  <c r="W93" i="9"/>
  <c r="W876" i="9"/>
  <c r="W685" i="9"/>
  <c r="W1105" i="9"/>
  <c r="W24" i="9"/>
  <c r="W1159" i="9"/>
  <c r="W567" i="9"/>
  <c r="W947" i="9"/>
  <c r="W1139" i="9"/>
  <c r="W19" i="9"/>
  <c r="W555" i="9"/>
  <c r="W1021" i="9"/>
  <c r="W785" i="9"/>
  <c r="W345" i="9"/>
  <c r="W749" i="9"/>
  <c r="W932" i="9"/>
  <c r="W104" i="9"/>
  <c r="W146" i="9"/>
  <c r="W463" i="9"/>
  <c r="W590" i="9"/>
  <c r="W175" i="9"/>
  <c r="W691" i="9"/>
  <c r="W433" i="9"/>
  <c r="W731" i="9"/>
  <c r="W1040" i="9"/>
  <c r="W998" i="9"/>
  <c r="W839" i="9"/>
  <c r="W207" i="9"/>
  <c r="W1251" i="9"/>
  <c r="W577" i="9"/>
  <c r="W703" i="9"/>
  <c r="W826" i="9"/>
  <c r="W1113" i="9"/>
  <c r="W823" i="9"/>
  <c r="W597" i="9"/>
  <c r="W713" i="9"/>
  <c r="W40" i="9"/>
  <c r="W304" i="9"/>
  <c r="W486" i="9"/>
  <c r="W187" i="9"/>
  <c r="W1118" i="9"/>
  <c r="W215" i="9"/>
  <c r="W242" i="9"/>
  <c r="W1029" i="9"/>
  <c r="W901" i="9"/>
  <c r="W1100" i="9"/>
  <c r="W179" i="9"/>
  <c r="W646" i="9"/>
  <c r="W5" i="9"/>
  <c r="U5" i="9" s="1"/>
  <c r="U6" i="9" s="1"/>
  <c r="W37" i="9"/>
  <c r="W788" i="9"/>
  <c r="W190" i="9"/>
  <c r="W653" i="9"/>
  <c r="W529" i="9"/>
  <c r="W861" i="9"/>
  <c r="W437" i="9"/>
  <c r="W1192" i="9"/>
  <c r="W674" i="9"/>
  <c r="W686" i="9"/>
  <c r="W535" i="9"/>
  <c r="W90" i="9"/>
  <c r="W309" i="9"/>
  <c r="W407" i="9"/>
  <c r="W1062" i="9"/>
  <c r="W933" i="9"/>
  <c r="W1115" i="9"/>
  <c r="W889" i="9"/>
  <c r="W384" i="9"/>
  <c r="W391" i="9"/>
  <c r="W607" i="9"/>
  <c r="W379" i="9"/>
  <c r="W965" i="9"/>
  <c r="W1137" i="9"/>
  <c r="W881" i="9"/>
  <c r="W231" i="9"/>
  <c r="W1213" i="9"/>
  <c r="W891" i="9"/>
  <c r="W138" i="9"/>
  <c r="W833" i="9"/>
  <c r="W289" i="9"/>
  <c r="W543" i="9"/>
  <c r="W1265" i="9"/>
  <c r="W994" i="9"/>
  <c r="W905" i="9"/>
  <c r="W280" i="9"/>
  <c r="W601" i="9"/>
  <c r="W545" i="9"/>
  <c r="W147" i="9"/>
  <c r="W1219" i="9"/>
  <c r="W510" i="9"/>
  <c r="W1071" i="9"/>
  <c r="W973" i="9"/>
  <c r="W425" i="9"/>
  <c r="W1247" i="9"/>
  <c r="W185" i="9"/>
  <c r="W1144" i="9"/>
  <c r="W455" i="9"/>
  <c r="W514" i="9"/>
  <c r="W474" i="9"/>
  <c r="W622" i="9"/>
  <c r="W310" i="9"/>
  <c r="W82" i="9"/>
  <c r="W1023" i="9"/>
  <c r="W445" i="9"/>
  <c r="W1221" i="9"/>
  <c r="W1143" i="9"/>
  <c r="W967" i="9"/>
  <c r="W269" i="9"/>
  <c r="W253" i="9"/>
  <c r="W1121" i="9"/>
  <c r="W579" i="9"/>
  <c r="W380" i="9"/>
  <c r="W724" i="9"/>
  <c r="W874" i="9"/>
  <c r="W574" i="9"/>
  <c r="W1202" i="9"/>
  <c r="W25" i="9"/>
  <c r="W459" i="9"/>
  <c r="W893" i="9"/>
  <c r="W911" i="9"/>
  <c r="W528" i="9"/>
  <c r="W630" i="9"/>
  <c r="W332" i="9"/>
  <c r="W1186" i="9"/>
  <c r="W467" i="9"/>
  <c r="W195" i="9"/>
  <c r="W517" i="9"/>
  <c r="W375" i="9"/>
  <c r="W985" i="9"/>
  <c r="W225" i="9"/>
  <c r="W132" i="9"/>
  <c r="W958" i="9"/>
  <c r="W210" i="9"/>
  <c r="W1032" i="9"/>
  <c r="W1134" i="9"/>
  <c r="W229" i="9"/>
  <c r="W527" i="9"/>
  <c r="W363" i="9"/>
  <c r="W1083" i="9"/>
  <c r="W585" i="9"/>
  <c r="W69" i="9"/>
  <c r="W1110" i="9"/>
  <c r="W1018" i="9"/>
  <c r="W795" i="9"/>
  <c r="W1211" i="9"/>
  <c r="W633" i="9"/>
  <c r="W915" i="9"/>
  <c r="W35" i="9"/>
  <c r="W791" i="9"/>
  <c r="W537" i="9"/>
  <c r="W1264" i="9"/>
  <c r="W941" i="9"/>
  <c r="W461" i="9"/>
  <c r="W1063" i="9"/>
  <c r="W799" i="9"/>
  <c r="W9" i="9"/>
  <c r="W1271" i="9"/>
  <c r="W153" i="9"/>
  <c r="W1241" i="9"/>
  <c r="W793" i="9"/>
  <c r="W1087" i="9"/>
  <c r="W753" i="9"/>
  <c r="W963" i="9"/>
  <c r="W723" i="9"/>
  <c r="W453" i="9"/>
  <c r="W233" i="9"/>
  <c r="W1049" i="9"/>
  <c r="W241" i="9"/>
  <c r="W110" i="9"/>
  <c r="W1235" i="9"/>
  <c r="W369" i="9"/>
  <c r="W1210" i="9"/>
  <c r="W779" i="9"/>
  <c r="W939" i="9"/>
  <c r="W257" i="9"/>
  <c r="W1147" i="9"/>
  <c r="W657" i="9"/>
  <c r="W871" i="9"/>
  <c r="W413" i="9"/>
  <c r="W935" i="9"/>
  <c r="W817" i="9"/>
  <c r="W897" i="9"/>
  <c r="W1174" i="9"/>
  <c r="W774" i="9"/>
  <c r="W351" i="9"/>
  <c r="W735" i="9"/>
  <c r="W919" i="9"/>
  <c r="W246" i="9"/>
  <c r="W783" i="9"/>
  <c r="W1190" i="9"/>
  <c r="W807" i="9"/>
  <c r="W161" i="9"/>
  <c r="W470" i="9"/>
  <c r="W533" i="9"/>
  <c r="W525" i="9"/>
  <c r="W1230" i="9"/>
  <c r="W169" i="9"/>
  <c r="W438" i="9"/>
  <c r="W99" i="9"/>
  <c r="W687" i="9"/>
  <c r="W1225" i="9"/>
  <c r="W173" i="9"/>
  <c r="W497" i="9"/>
  <c r="W1194" i="9"/>
  <c r="W757" i="9"/>
  <c r="W1041" i="9"/>
  <c r="W1263" i="9"/>
  <c r="W1199" i="9"/>
  <c r="W751" i="9"/>
  <c r="W386" i="9"/>
  <c r="W809" i="9"/>
  <c r="W89" i="9"/>
  <c r="W358" i="9"/>
  <c r="W1232" i="9"/>
  <c r="W495" i="9"/>
  <c r="W1001" i="9"/>
  <c r="W1254" i="9"/>
  <c r="W487" i="9"/>
  <c r="W449" i="9"/>
  <c r="W111" i="9"/>
  <c r="W549" i="9"/>
  <c r="W17" i="9"/>
  <c r="W1034" i="9"/>
  <c r="W875" i="9"/>
  <c r="W171" i="9"/>
  <c r="W1081" i="9"/>
  <c r="W1237" i="9"/>
  <c r="W214" i="9"/>
  <c r="W353" i="9"/>
  <c r="W1214" i="9"/>
  <c r="W609" i="9"/>
  <c r="W623" i="9"/>
  <c r="W717" i="9"/>
  <c r="W553" i="9"/>
  <c r="W105" i="9"/>
  <c r="W649" i="9"/>
  <c r="W333" i="9"/>
  <c r="W1215" i="9"/>
  <c r="W837" i="9"/>
  <c r="W1102" i="9"/>
  <c r="W536" i="9"/>
  <c r="W137" i="9"/>
  <c r="W344" i="9"/>
  <c r="W655" i="9"/>
  <c r="W997" i="9"/>
  <c r="W1176" i="9"/>
  <c r="W806" i="9"/>
  <c r="W721" i="9"/>
  <c r="W1009" i="9"/>
  <c r="W962" i="9"/>
  <c r="W845" i="9"/>
  <c r="W81" i="9"/>
  <c r="W569" i="9"/>
  <c r="W313" i="9"/>
  <c r="W975" i="9"/>
  <c r="W1085" i="9"/>
  <c r="W661" i="9"/>
  <c r="W584" i="9"/>
  <c r="W507" i="9"/>
  <c r="W827" i="9"/>
  <c r="W971" i="9"/>
  <c r="W831" i="9"/>
  <c r="W1245" i="9"/>
  <c r="W315" i="9"/>
  <c r="W593" i="9"/>
  <c r="W54" i="9"/>
  <c r="W63" i="9"/>
  <c r="W617" i="9"/>
  <c r="W647" i="9"/>
  <c r="W1217" i="9"/>
  <c r="W503" i="9"/>
  <c r="W1043" i="9"/>
  <c r="W841" i="9"/>
  <c r="W117" i="9"/>
  <c r="W199" i="9"/>
  <c r="W475" i="9"/>
  <c r="W473" i="9"/>
  <c r="W727" i="9"/>
  <c r="W1109" i="9"/>
  <c r="W1069" i="9"/>
  <c r="W443" i="9"/>
  <c r="W126" i="9"/>
  <c r="W1266" i="9"/>
  <c r="W733" i="9"/>
  <c r="W1079" i="9"/>
  <c r="W421" i="9"/>
  <c r="W541" i="9"/>
  <c r="W613" i="9"/>
  <c r="W131" i="9"/>
  <c r="W1133" i="9"/>
  <c r="W139" i="9"/>
  <c r="W571" i="9"/>
  <c r="W341" i="9"/>
  <c r="W1209" i="9"/>
  <c r="W621" i="9"/>
  <c r="W282" i="9"/>
  <c r="W863" i="9"/>
  <c r="W898" i="9"/>
  <c r="W1246" i="9"/>
  <c r="W659" i="9"/>
  <c r="W11" i="9"/>
  <c r="W1095" i="9"/>
  <c r="W67" i="9"/>
  <c r="W140" i="9"/>
  <c r="W1231" i="9"/>
  <c r="W1171" i="9"/>
  <c r="W477" i="9"/>
  <c r="W762" i="9"/>
  <c r="W904" i="9"/>
  <c r="W1011" i="9"/>
  <c r="W956" i="9"/>
  <c r="W502" i="9"/>
  <c r="W877" i="9"/>
  <c r="W843" i="9"/>
  <c r="W771" i="9"/>
  <c r="W101" i="9"/>
  <c r="W1019" i="9"/>
  <c r="W127" i="9"/>
  <c r="W1201" i="9"/>
  <c r="W377" i="9"/>
  <c r="W255" i="9"/>
  <c r="W761" i="9"/>
  <c r="W619" i="9"/>
  <c r="W1243" i="9"/>
  <c r="W669" i="9"/>
  <c r="W531" i="9"/>
  <c r="W325" i="9"/>
  <c r="W631" i="9"/>
  <c r="W249" i="9"/>
  <c r="W987" i="9"/>
  <c r="W119" i="9"/>
  <c r="W605" i="9"/>
  <c r="W538" i="9"/>
  <c r="W211" i="9"/>
  <c r="W1097" i="9"/>
  <c r="W1129" i="9"/>
  <c r="W424" i="9"/>
  <c r="W442" i="9"/>
  <c r="W159" i="9"/>
  <c r="W441" i="9"/>
  <c r="W765" i="9"/>
  <c r="W813" i="9"/>
  <c r="W909" i="9"/>
  <c r="W149" i="9"/>
  <c r="W943" i="9"/>
  <c r="W677" i="9"/>
  <c r="W681" i="9"/>
  <c r="W434" i="9"/>
  <c r="W671" i="9"/>
  <c r="W1037" i="9"/>
  <c r="W1005" i="9"/>
  <c r="W317" i="9"/>
  <c r="W921" i="9"/>
  <c r="W1025" i="9"/>
  <c r="W725" i="9"/>
  <c r="W12" i="9"/>
  <c r="W20" i="9"/>
  <c r="W305" i="9"/>
  <c r="W814" i="9"/>
  <c r="W945" i="9"/>
  <c r="W885" i="9"/>
  <c r="W1053" i="9"/>
  <c r="W1270" i="9"/>
  <c r="W27" i="9"/>
  <c r="W759" i="9"/>
  <c r="W102" i="9"/>
  <c r="W409" i="9"/>
  <c r="W589" i="9"/>
  <c r="W511" i="9"/>
  <c r="W1055" i="9"/>
  <c r="W988" i="9"/>
  <c r="W1183" i="9"/>
  <c r="W490" i="9"/>
  <c r="W835" i="9"/>
  <c r="W821" i="9"/>
  <c r="W705" i="9"/>
  <c r="W385" i="9"/>
  <c r="W1125" i="9"/>
  <c r="W859" i="9"/>
  <c r="W331" i="9"/>
  <c r="W907" i="9"/>
  <c r="W193" i="9"/>
  <c r="W191" i="9"/>
  <c r="W805" i="9"/>
  <c r="W929" i="9"/>
  <c r="W26" i="9"/>
  <c r="W801" i="9"/>
  <c r="W1222" i="9"/>
  <c r="W293" i="9"/>
  <c r="W237" i="9"/>
  <c r="W675" i="9"/>
  <c r="W398" i="9"/>
  <c r="W599" i="9"/>
  <c r="W581" i="9"/>
  <c r="W701" i="9"/>
  <c r="W97" i="9"/>
  <c r="W729" i="9"/>
  <c r="W485" i="9"/>
  <c r="W913" i="9"/>
  <c r="W551" i="9"/>
  <c r="W46" i="9"/>
  <c r="W297" i="9"/>
  <c r="W501" i="9"/>
  <c r="W458" i="9"/>
  <c r="W23" i="9"/>
  <c r="W642" i="9"/>
  <c r="W840" i="9"/>
  <c r="W133" i="9"/>
  <c r="W610" i="9"/>
  <c r="W329" i="9"/>
  <c r="W217" i="9"/>
  <c r="W466" i="9"/>
  <c r="W1031" i="9"/>
  <c r="W1089" i="9"/>
  <c r="W281" i="9"/>
  <c r="W405" i="9"/>
  <c r="W291" i="9"/>
  <c r="W426" i="9"/>
  <c r="W957" i="9"/>
  <c r="W645" i="9"/>
  <c r="W559" i="9"/>
  <c r="W239" i="9"/>
  <c r="W1155" i="9"/>
  <c r="W1103" i="9"/>
  <c r="W346" i="9"/>
  <c r="W789" i="9"/>
  <c r="W1260" i="9"/>
  <c r="W314" i="9"/>
  <c r="W1268" i="9"/>
  <c r="W1255" i="9"/>
  <c r="W914" i="9"/>
  <c r="W482" i="9"/>
  <c r="W556" i="9"/>
  <c r="W194" i="9"/>
  <c r="W301" i="9"/>
  <c r="W532" i="9"/>
  <c r="W15" i="9"/>
  <c r="W641" i="9"/>
  <c r="W741" i="9"/>
  <c r="W1207" i="9"/>
  <c r="W113" i="9"/>
  <c r="W917" i="9"/>
  <c r="W1017" i="9"/>
  <c r="W672" i="9"/>
  <c r="W773" i="9"/>
  <c r="W924" i="9"/>
  <c r="W1242" i="9"/>
  <c r="W16" i="9"/>
  <c r="W853" i="9"/>
  <c r="W981" i="9"/>
  <c r="W949" i="9"/>
  <c r="W303" i="9"/>
  <c r="W643" i="9"/>
  <c r="W1093" i="9"/>
  <c r="W908" i="9"/>
  <c r="W8" i="9"/>
  <c r="W462" i="9"/>
  <c r="W342" i="9"/>
  <c r="W857" i="9"/>
  <c r="W129" i="9"/>
  <c r="W815" i="9"/>
  <c r="W165" i="9"/>
  <c r="W327" i="9"/>
  <c r="W769" i="9"/>
  <c r="W370" i="9"/>
  <c r="W31" i="9"/>
  <c r="W993" i="9"/>
  <c r="W709" i="9"/>
  <c r="W73" i="9"/>
  <c r="W697" i="9"/>
  <c r="W1212" i="9"/>
  <c r="W144" i="9"/>
  <c r="W1091" i="9"/>
  <c r="W1127" i="9"/>
  <c r="W990" i="9"/>
  <c r="W1122" i="9"/>
  <c r="W428" i="9"/>
  <c r="W1149" i="9"/>
  <c r="W395" i="9"/>
  <c r="W481" i="9"/>
  <c r="W927" i="9"/>
  <c r="W582" i="9"/>
  <c r="W1165" i="9"/>
  <c r="W322" i="9"/>
  <c r="W995" i="9"/>
  <c r="W154" i="9"/>
  <c r="W465" i="9"/>
  <c r="W1261" i="9"/>
  <c r="W270" i="9"/>
  <c r="W625" i="9"/>
  <c r="W707" i="9"/>
  <c r="W230" i="9"/>
  <c r="W752" i="9"/>
  <c r="W209" i="9"/>
  <c r="W62" i="9"/>
  <c r="W1054" i="9"/>
  <c r="W1074" i="9"/>
  <c r="W1233" i="9"/>
  <c r="W1117" i="9"/>
  <c r="W86" i="9"/>
  <c r="W570" i="9"/>
  <c r="W730" i="9"/>
  <c r="W869" i="9"/>
  <c r="W758" i="9"/>
  <c r="W925" i="9"/>
  <c r="W1060" i="9"/>
  <c r="W587" i="9"/>
  <c r="W1197" i="9"/>
  <c r="W417" i="9"/>
  <c r="W290" i="9"/>
  <c r="W79" i="9"/>
  <c r="W946" i="9"/>
  <c r="W206" i="9"/>
  <c r="W787" i="9"/>
  <c r="W627" i="9"/>
  <c r="W47" i="9"/>
  <c r="W1191" i="9"/>
  <c r="W1047" i="9"/>
  <c r="W539" i="9"/>
  <c r="W1161" i="9"/>
  <c r="W739" i="9"/>
  <c r="W397" i="9"/>
  <c r="W715" i="9"/>
  <c r="W13" i="9"/>
  <c r="W561" i="9"/>
  <c r="W1114" i="9"/>
  <c r="W446" i="9"/>
  <c r="W1141" i="9"/>
  <c r="W469" i="9"/>
  <c r="W1181" i="9"/>
  <c r="W423" i="9"/>
  <c r="W337" i="9"/>
  <c r="W534" i="9"/>
  <c r="W742" i="9"/>
  <c r="W665" i="9"/>
  <c r="W295" i="9"/>
  <c r="W243" i="9"/>
  <c r="W595" i="9"/>
  <c r="W285" i="9"/>
  <c r="W1061" i="9"/>
  <c r="W373" i="9"/>
  <c r="W389" i="9"/>
  <c r="W1126" i="9"/>
  <c r="W1193" i="9"/>
  <c r="W1065" i="9"/>
  <c r="W106" i="9"/>
  <c r="W189" i="9"/>
  <c r="W222" i="9"/>
  <c r="W931" i="9"/>
  <c r="W830" i="9"/>
  <c r="W668" i="9"/>
  <c r="W763" i="9"/>
  <c r="W283" i="9"/>
  <c r="W277" i="9"/>
  <c r="W1173" i="9"/>
  <c r="W719" i="9"/>
  <c r="W1167" i="9"/>
  <c r="W1185" i="9"/>
  <c r="W505" i="9"/>
  <c r="W1077" i="9"/>
  <c r="W182" i="9"/>
  <c r="W1257" i="9"/>
  <c r="W1136" i="9"/>
  <c r="W221" i="9"/>
  <c r="W797" i="9"/>
  <c r="W895" i="9"/>
  <c r="W429" i="9"/>
  <c r="W177" i="9"/>
  <c r="W635" i="9"/>
  <c r="J124" i="26"/>
  <c r="J123" i="26"/>
  <c r="J88" i="26"/>
  <c r="Q52" i="26"/>
  <c r="H51" i="26"/>
  <c r="J52" i="26"/>
  <c r="P52" i="26"/>
  <c r="O52" i="26" s="1"/>
  <c r="N52" i="26" s="1"/>
  <c r="M52" i="26" s="1"/>
  <c r="L52" i="26" s="1"/>
  <c r="D52" i="26" s="1"/>
  <c r="S54" i="26"/>
  <c r="R53" i="26"/>
  <c r="S90" i="26"/>
  <c r="R89" i="26"/>
  <c r="M125" i="26" s="1"/>
  <c r="L289" i="26"/>
  <c r="B289" i="26" s="1"/>
  <c r="E87" i="26"/>
  <c r="D87" i="26"/>
  <c r="D123" i="26" s="1"/>
  <c r="D88" i="26"/>
  <c r="D124" i="26" s="1"/>
  <c r="E88" i="26"/>
  <c r="B79" i="18"/>
  <c r="L229" i="26"/>
  <c r="G229" i="26" s="1"/>
  <c r="G81" i="18" l="1"/>
  <c r="C81" i="18"/>
  <c r="G3" i="18"/>
  <c r="C3" i="18"/>
  <c r="F81" i="18"/>
  <c r="B81" i="18"/>
  <c r="F3" i="18"/>
  <c r="B3" i="18"/>
  <c r="E81" i="18"/>
  <c r="A81" i="18"/>
  <c r="E3" i="18"/>
  <c r="A3" i="18"/>
  <c r="D81" i="18"/>
  <c r="D3" i="18"/>
  <c r="U7" i="9"/>
  <c r="U8" i="9"/>
  <c r="U9" i="9" s="1"/>
  <c r="U10" i="9" s="1"/>
  <c r="U11" i="9" s="1"/>
  <c r="U12" i="9" s="1"/>
  <c r="U13" i="9" s="1"/>
  <c r="U14" i="9" s="1"/>
  <c r="U15" i="9" s="1"/>
  <c r="U16" i="9" s="1"/>
  <c r="U17" i="9" s="1"/>
  <c r="U18" i="9" s="1"/>
  <c r="U19" i="9" s="1"/>
  <c r="U20" i="9" s="1"/>
  <c r="U21" i="9" s="1"/>
  <c r="U22" i="9" s="1"/>
  <c r="U23" i="9" s="1"/>
  <c r="U24" i="9" s="1"/>
  <c r="U25" i="9" s="1"/>
  <c r="U26" i="9" s="1"/>
  <c r="U27" i="9" s="1"/>
  <c r="U28" i="9" s="1"/>
  <c r="U29" i="9" s="1"/>
  <c r="U30" i="9" s="1"/>
  <c r="U31" i="9" s="1"/>
  <c r="U32" i="9" s="1"/>
  <c r="U33" i="9" s="1"/>
  <c r="U34" i="9" s="1"/>
  <c r="U35" i="9" s="1"/>
  <c r="U36" i="9" s="1"/>
  <c r="U37" i="9" s="1"/>
  <c r="U38" i="9" s="1"/>
  <c r="U39" i="9" s="1"/>
  <c r="U40" i="9" s="1"/>
  <c r="U41" i="9" s="1"/>
  <c r="U42" i="9" s="1"/>
  <c r="U43" i="9" s="1"/>
  <c r="U44" i="9" s="1"/>
  <c r="U45" i="9" s="1"/>
  <c r="U46" i="9" s="1"/>
  <c r="U47" i="9" s="1"/>
  <c r="U48" i="9" s="1"/>
  <c r="U49" i="9" s="1"/>
  <c r="U50" i="9" s="1"/>
  <c r="U51" i="9" s="1"/>
  <c r="U52" i="9" s="1"/>
  <c r="U53" i="9" s="1"/>
  <c r="U54" i="9" s="1"/>
  <c r="U55" i="9" s="1"/>
  <c r="U56" i="9" s="1"/>
  <c r="U57" i="9" s="1"/>
  <c r="U58" i="9" s="1"/>
  <c r="U59" i="9" s="1"/>
  <c r="U60" i="9" s="1"/>
  <c r="U61" i="9" s="1"/>
  <c r="U62" i="9" s="1"/>
  <c r="U63" i="9" s="1"/>
  <c r="U64" i="9" s="1"/>
  <c r="U65" i="9" s="1"/>
  <c r="U66" i="9" s="1"/>
  <c r="U67" i="9" s="1"/>
  <c r="U68" i="9" s="1"/>
  <c r="U69" i="9" s="1"/>
  <c r="U70" i="9" s="1"/>
  <c r="U71" i="9" s="1"/>
  <c r="U72" i="9" s="1"/>
  <c r="U73" i="9" s="1"/>
  <c r="U74" i="9" s="1"/>
  <c r="U75" i="9" s="1"/>
  <c r="U76" i="9" s="1"/>
  <c r="U77" i="9" s="1"/>
  <c r="U78" i="9" s="1"/>
  <c r="U79" i="9" s="1"/>
  <c r="U80" i="9" s="1"/>
  <c r="U81" i="9" s="1"/>
  <c r="U82" i="9" s="1"/>
  <c r="U83" i="9" s="1"/>
  <c r="U84" i="9" s="1"/>
  <c r="U85" i="9" s="1"/>
  <c r="U86" i="9" s="1"/>
  <c r="U87" i="9" s="1"/>
  <c r="U88" i="9" s="1"/>
  <c r="U89" i="9" s="1"/>
  <c r="U90" i="9" s="1"/>
  <c r="U91" i="9" s="1"/>
  <c r="U92" i="9" s="1"/>
  <c r="U93" i="9" s="1"/>
  <c r="U94" i="9" s="1"/>
  <c r="U95" i="9" s="1"/>
  <c r="U96" i="9" s="1"/>
  <c r="U97" i="9" s="1"/>
  <c r="U98" i="9" s="1"/>
  <c r="U99" i="9" s="1"/>
  <c r="U100" i="9" s="1"/>
  <c r="U101" i="9" s="1"/>
  <c r="U102" i="9" s="1"/>
  <c r="U103" i="9" s="1"/>
  <c r="U104" i="9" s="1"/>
  <c r="U105" i="9" s="1"/>
  <c r="U106" i="9" s="1"/>
  <c r="U107" i="9" s="1"/>
  <c r="U108" i="9" s="1"/>
  <c r="U109" i="9" s="1"/>
  <c r="U110" i="9" s="1"/>
  <c r="U111" i="9" s="1"/>
  <c r="U112" i="9" s="1"/>
  <c r="U113" i="9" s="1"/>
  <c r="U114" i="9" s="1"/>
  <c r="U115" i="9" s="1"/>
  <c r="U116" i="9" s="1"/>
  <c r="U117" i="9" s="1"/>
  <c r="U118" i="9" s="1"/>
  <c r="U119" i="9" s="1"/>
  <c r="U120" i="9" s="1"/>
  <c r="U121" i="9" s="1"/>
  <c r="U122" i="9" s="1"/>
  <c r="U123" i="9" s="1"/>
  <c r="U124" i="9" s="1"/>
  <c r="U125" i="9" s="1"/>
  <c r="U126" i="9" s="1"/>
  <c r="U127" i="9" s="1"/>
  <c r="U128" i="9" s="1"/>
  <c r="U129" i="9" s="1"/>
  <c r="U130" i="9" s="1"/>
  <c r="U131" i="9" s="1"/>
  <c r="U132" i="9" s="1"/>
  <c r="U133" i="9" s="1"/>
  <c r="U134" i="9" s="1"/>
  <c r="U135" i="9" s="1"/>
  <c r="U136" i="9" s="1"/>
  <c r="U137" i="9" s="1"/>
  <c r="U138" i="9" s="1"/>
  <c r="U139" i="9" s="1"/>
  <c r="U140" i="9" s="1"/>
  <c r="U141" i="9" s="1"/>
  <c r="U142" i="9" s="1"/>
  <c r="U143" i="9" s="1"/>
  <c r="U144" i="9" s="1"/>
  <c r="U145" i="9" s="1"/>
  <c r="U146" i="9" s="1"/>
  <c r="U147" i="9" s="1"/>
  <c r="U148" i="9" s="1"/>
  <c r="U149" i="9" s="1"/>
  <c r="U150" i="9" s="1"/>
  <c r="U151" i="9" s="1"/>
  <c r="U152" i="9" s="1"/>
  <c r="U153" i="9" s="1"/>
  <c r="U154" i="9" s="1"/>
  <c r="U155" i="9" s="1"/>
  <c r="U156" i="9" s="1"/>
  <c r="U157" i="9" s="1"/>
  <c r="U158" i="9" s="1"/>
  <c r="U159" i="9" s="1"/>
  <c r="U160" i="9" s="1"/>
  <c r="U161" i="9" s="1"/>
  <c r="U162" i="9" s="1"/>
  <c r="U163" i="9" s="1"/>
  <c r="U164" i="9" s="1"/>
  <c r="U165" i="9" s="1"/>
  <c r="U166" i="9" s="1"/>
  <c r="U167" i="9" s="1"/>
  <c r="U168" i="9" s="1"/>
  <c r="U169" i="9" s="1"/>
  <c r="U170" i="9" s="1"/>
  <c r="U171" i="9" s="1"/>
  <c r="U172" i="9" s="1"/>
  <c r="U173" i="9" s="1"/>
  <c r="U174" i="9" s="1"/>
  <c r="U175" i="9" s="1"/>
  <c r="U176" i="9" s="1"/>
  <c r="U177" i="9" s="1"/>
  <c r="U178" i="9" s="1"/>
  <c r="U179" i="9" s="1"/>
  <c r="U180" i="9" s="1"/>
  <c r="U181" i="9" s="1"/>
  <c r="U182" i="9" s="1"/>
  <c r="U183" i="9" s="1"/>
  <c r="U184" i="9" s="1"/>
  <c r="U185" i="9" s="1"/>
  <c r="U186" i="9" s="1"/>
  <c r="U187" i="9" s="1"/>
  <c r="U188" i="9" s="1"/>
  <c r="U189" i="9" s="1"/>
  <c r="U190" i="9" s="1"/>
  <c r="U191" i="9" s="1"/>
  <c r="U192" i="9" s="1"/>
  <c r="U193" i="9" s="1"/>
  <c r="U194" i="9" s="1"/>
  <c r="U195" i="9" s="1"/>
  <c r="U196" i="9" s="1"/>
  <c r="U197" i="9" s="1"/>
  <c r="U198" i="9" s="1"/>
  <c r="U199" i="9" s="1"/>
  <c r="U200" i="9" s="1"/>
  <c r="U201" i="9" s="1"/>
  <c r="U202" i="9" s="1"/>
  <c r="U203" i="9" s="1"/>
  <c r="U204" i="9" s="1"/>
  <c r="U205" i="9" s="1"/>
  <c r="U206" i="9" s="1"/>
  <c r="U207" i="9" s="1"/>
  <c r="U208" i="9" s="1"/>
  <c r="U209" i="9" s="1"/>
  <c r="U210" i="9" s="1"/>
  <c r="U211" i="9" s="1"/>
  <c r="U212" i="9" s="1"/>
  <c r="U213" i="9" s="1"/>
  <c r="U214" i="9" s="1"/>
  <c r="U215" i="9" s="1"/>
  <c r="U216" i="9" s="1"/>
  <c r="U217" i="9" s="1"/>
  <c r="U218" i="9" s="1"/>
  <c r="U219" i="9" s="1"/>
  <c r="U220" i="9" s="1"/>
  <c r="U221" i="9" s="1"/>
  <c r="U222" i="9" s="1"/>
  <c r="U223" i="9" s="1"/>
  <c r="U224" i="9" s="1"/>
  <c r="U225" i="9" s="1"/>
  <c r="U226" i="9" s="1"/>
  <c r="U227" i="9" s="1"/>
  <c r="U228" i="9" s="1"/>
  <c r="U229" i="9" s="1"/>
  <c r="U230" i="9" s="1"/>
  <c r="U231" i="9" s="1"/>
  <c r="U232" i="9" s="1"/>
  <c r="U233" i="9" s="1"/>
  <c r="U234" i="9" s="1"/>
  <c r="U235" i="9" s="1"/>
  <c r="U236" i="9" s="1"/>
  <c r="U237" i="9" s="1"/>
  <c r="U238" i="9" s="1"/>
  <c r="U239" i="9" s="1"/>
  <c r="U240" i="9" s="1"/>
  <c r="U241" i="9" s="1"/>
  <c r="U242" i="9" s="1"/>
  <c r="U243" i="9" s="1"/>
  <c r="U244" i="9" s="1"/>
  <c r="U245" i="9" s="1"/>
  <c r="U246" i="9" s="1"/>
  <c r="U247" i="9" s="1"/>
  <c r="U248" i="9" s="1"/>
  <c r="U249" i="9" s="1"/>
  <c r="U250" i="9" s="1"/>
  <c r="U251" i="9" s="1"/>
  <c r="U252" i="9" s="1"/>
  <c r="U253" i="9" s="1"/>
  <c r="U254" i="9" s="1"/>
  <c r="U255" i="9" s="1"/>
  <c r="U256" i="9" s="1"/>
  <c r="U257" i="9" s="1"/>
  <c r="U258" i="9" s="1"/>
  <c r="U259" i="9" s="1"/>
  <c r="U260" i="9" s="1"/>
  <c r="U261" i="9" s="1"/>
  <c r="U262" i="9" s="1"/>
  <c r="U263" i="9" s="1"/>
  <c r="U264" i="9" s="1"/>
  <c r="U265" i="9" s="1"/>
  <c r="U266" i="9" s="1"/>
  <c r="U267" i="9" s="1"/>
  <c r="U268" i="9" s="1"/>
  <c r="U269" i="9" s="1"/>
  <c r="U270" i="9" s="1"/>
  <c r="U271" i="9" s="1"/>
  <c r="U272" i="9" s="1"/>
  <c r="U273" i="9" s="1"/>
  <c r="U274" i="9" s="1"/>
  <c r="U275" i="9" s="1"/>
  <c r="U276" i="9" s="1"/>
  <c r="U277" i="9" s="1"/>
  <c r="U278" i="9" s="1"/>
  <c r="U279" i="9" s="1"/>
  <c r="U280" i="9" s="1"/>
  <c r="U281" i="9" s="1"/>
  <c r="U282" i="9" s="1"/>
  <c r="U283" i="9" s="1"/>
  <c r="U284" i="9" s="1"/>
  <c r="U285" i="9" s="1"/>
  <c r="U286" i="9" s="1"/>
  <c r="U287" i="9" s="1"/>
  <c r="U288" i="9" s="1"/>
  <c r="U289" i="9" s="1"/>
  <c r="U290" i="9" s="1"/>
  <c r="U291" i="9" s="1"/>
  <c r="U292" i="9" s="1"/>
  <c r="U293" i="9" s="1"/>
  <c r="U294" i="9" s="1"/>
  <c r="U295" i="9" s="1"/>
  <c r="U296" i="9" s="1"/>
  <c r="U297" i="9" s="1"/>
  <c r="U298" i="9" s="1"/>
  <c r="U299" i="9" s="1"/>
  <c r="U300" i="9" s="1"/>
  <c r="U301" i="9" s="1"/>
  <c r="U302" i="9" s="1"/>
  <c r="U303" i="9" s="1"/>
  <c r="U304" i="9" s="1"/>
  <c r="U305" i="9" s="1"/>
  <c r="U306" i="9" s="1"/>
  <c r="U307" i="9" s="1"/>
  <c r="U308" i="9" s="1"/>
  <c r="U309" i="9" s="1"/>
  <c r="U310" i="9" s="1"/>
  <c r="U311" i="9" s="1"/>
  <c r="U312" i="9" s="1"/>
  <c r="U313" i="9" s="1"/>
  <c r="U314" i="9" s="1"/>
  <c r="U315" i="9" s="1"/>
  <c r="U316" i="9" s="1"/>
  <c r="U317" i="9" s="1"/>
  <c r="U318" i="9" s="1"/>
  <c r="U319" i="9" s="1"/>
  <c r="U320" i="9" s="1"/>
  <c r="U321" i="9" s="1"/>
  <c r="U322" i="9" s="1"/>
  <c r="U323" i="9" s="1"/>
  <c r="U324" i="9" s="1"/>
  <c r="U325" i="9" s="1"/>
  <c r="U326" i="9" s="1"/>
  <c r="U327" i="9" s="1"/>
  <c r="U328" i="9" s="1"/>
  <c r="U329" i="9" s="1"/>
  <c r="U330" i="9" s="1"/>
  <c r="U331" i="9" s="1"/>
  <c r="U332" i="9" s="1"/>
  <c r="U333" i="9" s="1"/>
  <c r="U334" i="9" s="1"/>
  <c r="U335" i="9" s="1"/>
  <c r="U336" i="9" s="1"/>
  <c r="U337" i="9" s="1"/>
  <c r="U338" i="9" s="1"/>
  <c r="U339" i="9" s="1"/>
  <c r="U340" i="9" s="1"/>
  <c r="U341" i="9" s="1"/>
  <c r="U342" i="9" s="1"/>
  <c r="U343" i="9" s="1"/>
  <c r="U344" i="9" s="1"/>
  <c r="U345" i="9" s="1"/>
  <c r="U346" i="9" s="1"/>
  <c r="U347" i="9" s="1"/>
  <c r="U348" i="9" s="1"/>
  <c r="U349" i="9" s="1"/>
  <c r="U350" i="9" s="1"/>
  <c r="U351" i="9" s="1"/>
  <c r="U352" i="9" s="1"/>
  <c r="U353" i="9" s="1"/>
  <c r="U354" i="9" s="1"/>
  <c r="U355" i="9" s="1"/>
  <c r="U356" i="9" s="1"/>
  <c r="U357" i="9" s="1"/>
  <c r="U358" i="9" s="1"/>
  <c r="U359" i="9" s="1"/>
  <c r="U360" i="9" s="1"/>
  <c r="U361" i="9" s="1"/>
  <c r="U362" i="9" s="1"/>
  <c r="U363" i="9" s="1"/>
  <c r="U364" i="9" s="1"/>
  <c r="U365" i="9" s="1"/>
  <c r="U366" i="9" s="1"/>
  <c r="U367" i="9" s="1"/>
  <c r="U368" i="9" s="1"/>
  <c r="U369" i="9" s="1"/>
  <c r="U370" i="9" s="1"/>
  <c r="U371" i="9" s="1"/>
  <c r="U372" i="9" s="1"/>
  <c r="U373" i="9" s="1"/>
  <c r="U374" i="9" s="1"/>
  <c r="U375" i="9" s="1"/>
  <c r="U376" i="9" s="1"/>
  <c r="U377" i="9" s="1"/>
  <c r="U378" i="9" s="1"/>
  <c r="U379" i="9" s="1"/>
  <c r="U380" i="9" s="1"/>
  <c r="U381" i="9" s="1"/>
  <c r="U382" i="9" s="1"/>
  <c r="U383" i="9" s="1"/>
  <c r="U384" i="9" s="1"/>
  <c r="U385" i="9" s="1"/>
  <c r="U386" i="9" s="1"/>
  <c r="U387" i="9" s="1"/>
  <c r="U388" i="9" s="1"/>
  <c r="U389" i="9" s="1"/>
  <c r="U390" i="9" s="1"/>
  <c r="U391" i="9" s="1"/>
  <c r="U392" i="9" s="1"/>
  <c r="U393" i="9" s="1"/>
  <c r="U394" i="9" s="1"/>
  <c r="U395" i="9" s="1"/>
  <c r="U396" i="9" s="1"/>
  <c r="U397" i="9" s="1"/>
  <c r="U398" i="9" s="1"/>
  <c r="U399" i="9" s="1"/>
  <c r="U400" i="9" s="1"/>
  <c r="U401" i="9" s="1"/>
  <c r="U402" i="9" s="1"/>
  <c r="U403" i="9" s="1"/>
  <c r="U404" i="9" s="1"/>
  <c r="U405" i="9" s="1"/>
  <c r="U406" i="9" s="1"/>
  <c r="U407" i="9" s="1"/>
  <c r="U408" i="9" s="1"/>
  <c r="U409" i="9" s="1"/>
  <c r="U410" i="9" s="1"/>
  <c r="U411" i="9" s="1"/>
  <c r="U412" i="9" s="1"/>
  <c r="U413" i="9" s="1"/>
  <c r="U414" i="9" s="1"/>
  <c r="U415" i="9" s="1"/>
  <c r="U416" i="9" s="1"/>
  <c r="U417" i="9" s="1"/>
  <c r="U418" i="9" s="1"/>
  <c r="U419" i="9" s="1"/>
  <c r="U420" i="9" s="1"/>
  <c r="U421" i="9" s="1"/>
  <c r="U422" i="9" s="1"/>
  <c r="U423" i="9" s="1"/>
  <c r="U424" i="9" s="1"/>
  <c r="U425" i="9" s="1"/>
  <c r="U426" i="9" s="1"/>
  <c r="U427" i="9" s="1"/>
  <c r="U428" i="9" s="1"/>
  <c r="U429" i="9" s="1"/>
  <c r="U430" i="9" s="1"/>
  <c r="U431" i="9" s="1"/>
  <c r="U432" i="9" s="1"/>
  <c r="U433" i="9" s="1"/>
  <c r="U434" i="9" s="1"/>
  <c r="U435" i="9" s="1"/>
  <c r="U436" i="9" s="1"/>
  <c r="U437" i="9" s="1"/>
  <c r="U438" i="9" s="1"/>
  <c r="U439" i="9" s="1"/>
  <c r="U440" i="9" s="1"/>
  <c r="U441" i="9" s="1"/>
  <c r="U442" i="9" s="1"/>
  <c r="U443" i="9" s="1"/>
  <c r="U444" i="9" s="1"/>
  <c r="U445" i="9" s="1"/>
  <c r="U446" i="9" s="1"/>
  <c r="U447" i="9" s="1"/>
  <c r="U448" i="9" s="1"/>
  <c r="U449" i="9" s="1"/>
  <c r="U450" i="9" s="1"/>
  <c r="U451" i="9" s="1"/>
  <c r="U452" i="9" s="1"/>
  <c r="U453" i="9" s="1"/>
  <c r="U454" i="9" s="1"/>
  <c r="U455" i="9" s="1"/>
  <c r="U456" i="9" s="1"/>
  <c r="U457" i="9" s="1"/>
  <c r="U458" i="9" s="1"/>
  <c r="U459" i="9" s="1"/>
  <c r="U460" i="9" s="1"/>
  <c r="U461" i="9" s="1"/>
  <c r="U462" i="9" s="1"/>
  <c r="U463" i="9" s="1"/>
  <c r="U464" i="9" s="1"/>
  <c r="U465" i="9" s="1"/>
  <c r="U466" i="9" s="1"/>
  <c r="U467" i="9" s="1"/>
  <c r="U468" i="9" s="1"/>
  <c r="U469" i="9" s="1"/>
  <c r="U470" i="9" s="1"/>
  <c r="U471" i="9" s="1"/>
  <c r="U472" i="9" s="1"/>
  <c r="U473" i="9" s="1"/>
  <c r="U474" i="9" s="1"/>
  <c r="U475" i="9" s="1"/>
  <c r="U476" i="9" s="1"/>
  <c r="U477" i="9" s="1"/>
  <c r="U478" i="9" s="1"/>
  <c r="U479" i="9" s="1"/>
  <c r="U480" i="9" s="1"/>
  <c r="U481" i="9" s="1"/>
  <c r="U482" i="9" s="1"/>
  <c r="U483" i="9" s="1"/>
  <c r="U484" i="9" s="1"/>
  <c r="U485" i="9" s="1"/>
  <c r="U486" i="9" s="1"/>
  <c r="U487" i="9" s="1"/>
  <c r="U488" i="9" s="1"/>
  <c r="U489" i="9" s="1"/>
  <c r="U490" i="9" s="1"/>
  <c r="U491" i="9" s="1"/>
  <c r="U492" i="9" s="1"/>
  <c r="U493" i="9" s="1"/>
  <c r="U494" i="9" s="1"/>
  <c r="U495" i="9" s="1"/>
  <c r="U496" i="9" s="1"/>
  <c r="U497" i="9" s="1"/>
  <c r="U498" i="9" s="1"/>
  <c r="U499" i="9" s="1"/>
  <c r="U500" i="9" s="1"/>
  <c r="U501" i="9" s="1"/>
  <c r="U502" i="9" s="1"/>
  <c r="U503" i="9" s="1"/>
  <c r="U504" i="9" s="1"/>
  <c r="U505" i="9" s="1"/>
  <c r="U506" i="9" s="1"/>
  <c r="U507" i="9" s="1"/>
  <c r="U508" i="9" s="1"/>
  <c r="U509" i="9" s="1"/>
  <c r="U510" i="9" s="1"/>
  <c r="U511" i="9" s="1"/>
  <c r="U512" i="9" s="1"/>
  <c r="U513" i="9" s="1"/>
  <c r="U514" i="9" s="1"/>
  <c r="U515" i="9" s="1"/>
  <c r="U516" i="9" s="1"/>
  <c r="U517" i="9" s="1"/>
  <c r="U518" i="9" s="1"/>
  <c r="U519" i="9" s="1"/>
  <c r="U520" i="9" s="1"/>
  <c r="U521" i="9" s="1"/>
  <c r="U522" i="9" s="1"/>
  <c r="U523" i="9" s="1"/>
  <c r="U524" i="9" s="1"/>
  <c r="U525" i="9" s="1"/>
  <c r="U526" i="9" s="1"/>
  <c r="U527" i="9" s="1"/>
  <c r="U528" i="9" s="1"/>
  <c r="U529" i="9" s="1"/>
  <c r="U530" i="9" s="1"/>
  <c r="U531" i="9" s="1"/>
  <c r="U532" i="9" s="1"/>
  <c r="U533" i="9" s="1"/>
  <c r="U534" i="9" s="1"/>
  <c r="U535" i="9" s="1"/>
  <c r="U536" i="9" s="1"/>
  <c r="U537" i="9" s="1"/>
  <c r="U538" i="9" s="1"/>
  <c r="U539" i="9" s="1"/>
  <c r="U540" i="9" s="1"/>
  <c r="U541" i="9" s="1"/>
  <c r="U542" i="9" s="1"/>
  <c r="U543" i="9" s="1"/>
  <c r="U544" i="9" s="1"/>
  <c r="U545" i="9" s="1"/>
  <c r="U546" i="9" s="1"/>
  <c r="U547" i="9" s="1"/>
  <c r="U548" i="9" s="1"/>
  <c r="U549" i="9" s="1"/>
  <c r="U550" i="9" s="1"/>
  <c r="U551" i="9" s="1"/>
  <c r="U552" i="9" s="1"/>
  <c r="U553" i="9" s="1"/>
  <c r="U554" i="9" s="1"/>
  <c r="U555" i="9" s="1"/>
  <c r="U556" i="9" s="1"/>
  <c r="U557" i="9" s="1"/>
  <c r="U558" i="9" s="1"/>
  <c r="U559" i="9" s="1"/>
  <c r="U560" i="9" s="1"/>
  <c r="U561" i="9" s="1"/>
  <c r="U562" i="9" s="1"/>
  <c r="U563" i="9" s="1"/>
  <c r="U564" i="9" s="1"/>
  <c r="U565" i="9" s="1"/>
  <c r="U566" i="9" s="1"/>
  <c r="U567" i="9" s="1"/>
  <c r="U568" i="9" s="1"/>
  <c r="U569" i="9" s="1"/>
  <c r="U570" i="9" s="1"/>
  <c r="U571" i="9" s="1"/>
  <c r="U572" i="9" s="1"/>
  <c r="U573" i="9" s="1"/>
  <c r="U574" i="9" s="1"/>
  <c r="U575" i="9" s="1"/>
  <c r="U576" i="9" s="1"/>
  <c r="U577" i="9" s="1"/>
  <c r="U578" i="9" s="1"/>
  <c r="U579" i="9" s="1"/>
  <c r="U580" i="9" s="1"/>
  <c r="U581" i="9" s="1"/>
  <c r="U582" i="9" s="1"/>
  <c r="U583" i="9" s="1"/>
  <c r="U584" i="9" s="1"/>
  <c r="U585" i="9" s="1"/>
  <c r="U586" i="9" s="1"/>
  <c r="U587" i="9" s="1"/>
  <c r="U588" i="9" s="1"/>
  <c r="U589" i="9" s="1"/>
  <c r="U590" i="9" s="1"/>
  <c r="U591" i="9" s="1"/>
  <c r="U592" i="9" s="1"/>
  <c r="U593" i="9" s="1"/>
  <c r="U594" i="9" s="1"/>
  <c r="U595" i="9" s="1"/>
  <c r="U596" i="9" s="1"/>
  <c r="U597" i="9" s="1"/>
  <c r="U598" i="9" s="1"/>
  <c r="U599" i="9" s="1"/>
  <c r="U600" i="9" s="1"/>
  <c r="U601" i="9" s="1"/>
  <c r="U602" i="9" s="1"/>
  <c r="U603" i="9" s="1"/>
  <c r="U604" i="9" s="1"/>
  <c r="U605" i="9" s="1"/>
  <c r="U606" i="9" s="1"/>
  <c r="U607" i="9" s="1"/>
  <c r="U608" i="9" s="1"/>
  <c r="U609" i="9" s="1"/>
  <c r="U610" i="9" s="1"/>
  <c r="U611" i="9" s="1"/>
  <c r="U612" i="9" s="1"/>
  <c r="U613" i="9" s="1"/>
  <c r="U614" i="9" s="1"/>
  <c r="U615" i="9" s="1"/>
  <c r="U616" i="9" s="1"/>
  <c r="U617" i="9" s="1"/>
  <c r="U618" i="9" s="1"/>
  <c r="U619" i="9" s="1"/>
  <c r="U620" i="9" s="1"/>
  <c r="U621" i="9" s="1"/>
  <c r="U622" i="9" s="1"/>
  <c r="U623" i="9" s="1"/>
  <c r="U624" i="9" s="1"/>
  <c r="U625" i="9" s="1"/>
  <c r="U626" i="9" s="1"/>
  <c r="U627" i="9" s="1"/>
  <c r="U628" i="9" s="1"/>
  <c r="U629" i="9" s="1"/>
  <c r="U630" i="9" s="1"/>
  <c r="U631" i="9" s="1"/>
  <c r="U632" i="9" s="1"/>
  <c r="U633" i="9" s="1"/>
  <c r="U634" i="9" s="1"/>
  <c r="U635" i="9" s="1"/>
  <c r="U636" i="9" s="1"/>
  <c r="U637" i="9" s="1"/>
  <c r="U638" i="9" s="1"/>
  <c r="U639" i="9" s="1"/>
  <c r="U640" i="9" s="1"/>
  <c r="U641" i="9" s="1"/>
  <c r="U642" i="9" s="1"/>
  <c r="U643" i="9" s="1"/>
  <c r="U644" i="9" s="1"/>
  <c r="U645" i="9" s="1"/>
  <c r="U646" i="9" s="1"/>
  <c r="U647" i="9" s="1"/>
  <c r="U648" i="9" s="1"/>
  <c r="U649" i="9" s="1"/>
  <c r="U650" i="9" s="1"/>
  <c r="U651" i="9" s="1"/>
  <c r="U652" i="9" s="1"/>
  <c r="U653" i="9" s="1"/>
  <c r="U654" i="9" s="1"/>
  <c r="U655" i="9" s="1"/>
  <c r="U656" i="9" s="1"/>
  <c r="U657" i="9" s="1"/>
  <c r="U658" i="9" s="1"/>
  <c r="U659" i="9" s="1"/>
  <c r="U660" i="9" s="1"/>
  <c r="U661" i="9" s="1"/>
  <c r="U662" i="9" s="1"/>
  <c r="U663" i="9" s="1"/>
  <c r="U664" i="9" s="1"/>
  <c r="U665" i="9" s="1"/>
  <c r="U666" i="9" s="1"/>
  <c r="U667" i="9" s="1"/>
  <c r="U668" i="9" s="1"/>
  <c r="U669" i="9" s="1"/>
  <c r="U670" i="9" s="1"/>
  <c r="U671" i="9" s="1"/>
  <c r="U672" i="9" s="1"/>
  <c r="U673" i="9" s="1"/>
  <c r="U674" i="9" s="1"/>
  <c r="U675" i="9" s="1"/>
  <c r="U676" i="9" s="1"/>
  <c r="U677" i="9" s="1"/>
  <c r="U678" i="9" s="1"/>
  <c r="U679" i="9" s="1"/>
  <c r="U680" i="9" s="1"/>
  <c r="U681" i="9" s="1"/>
  <c r="U682" i="9" s="1"/>
  <c r="U683" i="9" s="1"/>
  <c r="U684" i="9" s="1"/>
  <c r="U685" i="9" s="1"/>
  <c r="U686" i="9" s="1"/>
  <c r="U687" i="9" s="1"/>
  <c r="U688" i="9" s="1"/>
  <c r="U689" i="9" s="1"/>
  <c r="U690" i="9" s="1"/>
  <c r="U691" i="9" s="1"/>
  <c r="U692" i="9" s="1"/>
  <c r="U693" i="9" s="1"/>
  <c r="U694" i="9" s="1"/>
  <c r="U695" i="9" s="1"/>
  <c r="U696" i="9" s="1"/>
  <c r="U697" i="9" s="1"/>
  <c r="U698" i="9" s="1"/>
  <c r="U699" i="9" s="1"/>
  <c r="U700" i="9" s="1"/>
  <c r="U701" i="9" s="1"/>
  <c r="U702" i="9" s="1"/>
  <c r="U703" i="9" s="1"/>
  <c r="U704" i="9" s="1"/>
  <c r="U705" i="9" s="1"/>
  <c r="U706" i="9" s="1"/>
  <c r="U707" i="9" s="1"/>
  <c r="U708" i="9" s="1"/>
  <c r="U709" i="9" s="1"/>
  <c r="U710" i="9" s="1"/>
  <c r="U711" i="9" s="1"/>
  <c r="U712" i="9" s="1"/>
  <c r="U713" i="9" s="1"/>
  <c r="U714" i="9" s="1"/>
  <c r="U715" i="9" s="1"/>
  <c r="U716" i="9" s="1"/>
  <c r="U717" i="9" s="1"/>
  <c r="U718" i="9" s="1"/>
  <c r="U719" i="9" s="1"/>
  <c r="U720" i="9" s="1"/>
  <c r="U721" i="9" s="1"/>
  <c r="U722" i="9" s="1"/>
  <c r="U723" i="9" s="1"/>
  <c r="U724" i="9" s="1"/>
  <c r="U725" i="9" s="1"/>
  <c r="U726" i="9" s="1"/>
  <c r="U727" i="9" s="1"/>
  <c r="U728" i="9" s="1"/>
  <c r="U729" i="9" s="1"/>
  <c r="U730" i="9" s="1"/>
  <c r="U731" i="9" s="1"/>
  <c r="U732" i="9" s="1"/>
  <c r="U733" i="9" s="1"/>
  <c r="U734" i="9" s="1"/>
  <c r="U735" i="9" s="1"/>
  <c r="U736" i="9" s="1"/>
  <c r="U737" i="9" s="1"/>
  <c r="U738" i="9" s="1"/>
  <c r="U739" i="9" s="1"/>
  <c r="U740" i="9" s="1"/>
  <c r="U741" i="9" s="1"/>
  <c r="U742" i="9" s="1"/>
  <c r="U743" i="9" s="1"/>
  <c r="U744" i="9" s="1"/>
  <c r="U745" i="9" s="1"/>
  <c r="U746" i="9" s="1"/>
  <c r="U747" i="9" s="1"/>
  <c r="U748" i="9" s="1"/>
  <c r="U749" i="9" s="1"/>
  <c r="U750" i="9" s="1"/>
  <c r="U751" i="9" s="1"/>
  <c r="U752" i="9" s="1"/>
  <c r="U753" i="9" s="1"/>
  <c r="U754" i="9" s="1"/>
  <c r="U755" i="9" s="1"/>
  <c r="U756" i="9" s="1"/>
  <c r="U757" i="9" s="1"/>
  <c r="U758" i="9" s="1"/>
  <c r="U759" i="9" s="1"/>
  <c r="U760" i="9" s="1"/>
  <c r="U761" i="9" s="1"/>
  <c r="U762" i="9" s="1"/>
  <c r="U763" i="9" s="1"/>
  <c r="U764" i="9" s="1"/>
  <c r="U765" i="9" s="1"/>
  <c r="U766" i="9" s="1"/>
  <c r="U767" i="9" s="1"/>
  <c r="U768" i="9" s="1"/>
  <c r="U769" i="9" s="1"/>
  <c r="U770" i="9" s="1"/>
  <c r="U771" i="9" s="1"/>
  <c r="U772" i="9" s="1"/>
  <c r="U773" i="9" s="1"/>
  <c r="U774" i="9" s="1"/>
  <c r="U775" i="9" s="1"/>
  <c r="U776" i="9" s="1"/>
  <c r="U777" i="9" s="1"/>
  <c r="U778" i="9" s="1"/>
  <c r="U779" i="9" s="1"/>
  <c r="U780" i="9" s="1"/>
  <c r="U781" i="9" s="1"/>
  <c r="U782" i="9" s="1"/>
  <c r="U783" i="9" s="1"/>
  <c r="U784" i="9" s="1"/>
  <c r="U785" i="9" s="1"/>
  <c r="U786" i="9" s="1"/>
  <c r="U787" i="9" s="1"/>
  <c r="U788" i="9" s="1"/>
  <c r="U789" i="9" s="1"/>
  <c r="U790" i="9" s="1"/>
  <c r="U791" i="9" s="1"/>
  <c r="U792" i="9" s="1"/>
  <c r="U793" i="9" s="1"/>
  <c r="U794" i="9" s="1"/>
  <c r="U795" i="9" s="1"/>
  <c r="U796" i="9" s="1"/>
  <c r="U797" i="9" s="1"/>
  <c r="U798" i="9" s="1"/>
  <c r="U799" i="9" s="1"/>
  <c r="U800" i="9" s="1"/>
  <c r="U801" i="9" s="1"/>
  <c r="U802" i="9" s="1"/>
  <c r="U803" i="9" s="1"/>
  <c r="U804" i="9" s="1"/>
  <c r="U805" i="9" s="1"/>
  <c r="U806" i="9" s="1"/>
  <c r="U807" i="9" s="1"/>
  <c r="U808" i="9" s="1"/>
  <c r="U809" i="9" s="1"/>
  <c r="U810" i="9" s="1"/>
  <c r="U811" i="9" s="1"/>
  <c r="U812" i="9" s="1"/>
  <c r="U813" i="9" s="1"/>
  <c r="U814" i="9" s="1"/>
  <c r="U815" i="9" s="1"/>
  <c r="U816" i="9" s="1"/>
  <c r="U817" i="9" s="1"/>
  <c r="U818" i="9" s="1"/>
  <c r="U819" i="9" s="1"/>
  <c r="U820" i="9" s="1"/>
  <c r="U821" i="9" s="1"/>
  <c r="U822" i="9" s="1"/>
  <c r="U823" i="9" s="1"/>
  <c r="U824" i="9" s="1"/>
  <c r="U825" i="9" s="1"/>
  <c r="U826" i="9" s="1"/>
  <c r="U827" i="9" s="1"/>
  <c r="U828" i="9" s="1"/>
  <c r="U829" i="9" s="1"/>
  <c r="U830" i="9" s="1"/>
  <c r="U831" i="9" s="1"/>
  <c r="U832" i="9" s="1"/>
  <c r="U833" i="9" s="1"/>
  <c r="U834" i="9" s="1"/>
  <c r="U835" i="9" s="1"/>
  <c r="U836" i="9" s="1"/>
  <c r="U837" i="9" s="1"/>
  <c r="U838" i="9" s="1"/>
  <c r="U839" i="9" s="1"/>
  <c r="U840" i="9" s="1"/>
  <c r="U841" i="9" s="1"/>
  <c r="U842" i="9" s="1"/>
  <c r="U843" i="9" s="1"/>
  <c r="U844" i="9" s="1"/>
  <c r="U845" i="9" s="1"/>
  <c r="U846" i="9" s="1"/>
  <c r="U847" i="9" s="1"/>
  <c r="U848" i="9" s="1"/>
  <c r="U849" i="9" s="1"/>
  <c r="U850" i="9" s="1"/>
  <c r="U851" i="9" s="1"/>
  <c r="U852" i="9" s="1"/>
  <c r="U853" i="9" s="1"/>
  <c r="U854" i="9" s="1"/>
  <c r="U855" i="9" s="1"/>
  <c r="U856" i="9" s="1"/>
  <c r="U857" i="9" s="1"/>
  <c r="U858" i="9" s="1"/>
  <c r="U859" i="9" s="1"/>
  <c r="U860" i="9" s="1"/>
  <c r="U861" i="9" s="1"/>
  <c r="U862" i="9" s="1"/>
  <c r="U863" i="9" s="1"/>
  <c r="U864" i="9" s="1"/>
  <c r="U865" i="9" s="1"/>
  <c r="U866" i="9" s="1"/>
  <c r="U867" i="9" s="1"/>
  <c r="U868" i="9" s="1"/>
  <c r="U869" i="9" s="1"/>
  <c r="U870" i="9" s="1"/>
  <c r="U871" i="9" s="1"/>
  <c r="U872" i="9" s="1"/>
  <c r="U873" i="9" s="1"/>
  <c r="U874" i="9" s="1"/>
  <c r="U875" i="9" s="1"/>
  <c r="U876" i="9" s="1"/>
  <c r="U877" i="9" s="1"/>
  <c r="U878" i="9" s="1"/>
  <c r="U879" i="9" s="1"/>
  <c r="U880" i="9" s="1"/>
  <c r="U881" i="9" s="1"/>
  <c r="U882" i="9" s="1"/>
  <c r="U883" i="9" s="1"/>
  <c r="U884" i="9" s="1"/>
  <c r="U885" i="9" s="1"/>
  <c r="U886" i="9" s="1"/>
  <c r="U887" i="9" s="1"/>
  <c r="U888" i="9" s="1"/>
  <c r="U889" i="9" s="1"/>
  <c r="U890" i="9" s="1"/>
  <c r="U891" i="9" s="1"/>
  <c r="U892" i="9" s="1"/>
  <c r="U893" i="9" s="1"/>
  <c r="U894" i="9" s="1"/>
  <c r="U895" i="9" s="1"/>
  <c r="U896" i="9" s="1"/>
  <c r="U897" i="9" s="1"/>
  <c r="U898" i="9" s="1"/>
  <c r="U899" i="9" s="1"/>
  <c r="U900" i="9" s="1"/>
  <c r="U901" i="9" s="1"/>
  <c r="U902" i="9" s="1"/>
  <c r="U903" i="9" s="1"/>
  <c r="U904" i="9" s="1"/>
  <c r="U905" i="9" s="1"/>
  <c r="U906" i="9" s="1"/>
  <c r="U907" i="9" s="1"/>
  <c r="U908" i="9" s="1"/>
  <c r="U909" i="9" s="1"/>
  <c r="U910" i="9" s="1"/>
  <c r="U911" i="9" s="1"/>
  <c r="U912" i="9" s="1"/>
  <c r="U913" i="9" s="1"/>
  <c r="U914" i="9" s="1"/>
  <c r="U915" i="9" s="1"/>
  <c r="U916" i="9" s="1"/>
  <c r="U917" i="9" s="1"/>
  <c r="U918" i="9" s="1"/>
  <c r="U919" i="9" s="1"/>
  <c r="U920" i="9" s="1"/>
  <c r="U921" i="9" s="1"/>
  <c r="U922" i="9" s="1"/>
  <c r="U923" i="9" s="1"/>
  <c r="U924" i="9" s="1"/>
  <c r="U925" i="9" s="1"/>
  <c r="U926" i="9" s="1"/>
  <c r="U927" i="9" s="1"/>
  <c r="U928" i="9" s="1"/>
  <c r="U929" i="9" s="1"/>
  <c r="U930" i="9" s="1"/>
  <c r="U931" i="9" s="1"/>
  <c r="U932" i="9" s="1"/>
  <c r="U933" i="9" s="1"/>
  <c r="U934" i="9" s="1"/>
  <c r="U935" i="9" s="1"/>
  <c r="U936" i="9" s="1"/>
  <c r="U937" i="9" s="1"/>
  <c r="U938" i="9" s="1"/>
  <c r="U939" i="9" s="1"/>
  <c r="U940" i="9" s="1"/>
  <c r="U941" i="9" s="1"/>
  <c r="U942" i="9" s="1"/>
  <c r="U943" i="9" s="1"/>
  <c r="U944" i="9" s="1"/>
  <c r="U945" i="9" s="1"/>
  <c r="U946" i="9" s="1"/>
  <c r="U947" i="9" s="1"/>
  <c r="U948" i="9" s="1"/>
  <c r="U949" i="9" s="1"/>
  <c r="U950" i="9" s="1"/>
  <c r="U951" i="9" s="1"/>
  <c r="U952" i="9" s="1"/>
  <c r="U953" i="9" s="1"/>
  <c r="U954" i="9" s="1"/>
  <c r="U955" i="9" s="1"/>
  <c r="U956" i="9" s="1"/>
  <c r="U957" i="9" s="1"/>
  <c r="U958" i="9" s="1"/>
  <c r="U959" i="9" s="1"/>
  <c r="U960" i="9" s="1"/>
  <c r="U961" i="9" s="1"/>
  <c r="U962" i="9" s="1"/>
  <c r="U963" i="9" s="1"/>
  <c r="U964" i="9" s="1"/>
  <c r="U965" i="9" s="1"/>
  <c r="U966" i="9" s="1"/>
  <c r="U967" i="9" s="1"/>
  <c r="U968" i="9" s="1"/>
  <c r="U969" i="9" s="1"/>
  <c r="U970" i="9" s="1"/>
  <c r="U971" i="9" s="1"/>
  <c r="U972" i="9" s="1"/>
  <c r="U973" i="9" s="1"/>
  <c r="U974" i="9" s="1"/>
  <c r="U975" i="9" s="1"/>
  <c r="U976" i="9" s="1"/>
  <c r="U977" i="9" s="1"/>
  <c r="U978" i="9" s="1"/>
  <c r="U979" i="9" s="1"/>
  <c r="U980" i="9" s="1"/>
  <c r="U981" i="9" s="1"/>
  <c r="U982" i="9" s="1"/>
  <c r="U983" i="9" s="1"/>
  <c r="U984" i="9" s="1"/>
  <c r="U985" i="9" s="1"/>
  <c r="U986" i="9" s="1"/>
  <c r="U987" i="9" s="1"/>
  <c r="U988" i="9" s="1"/>
  <c r="U989" i="9" s="1"/>
  <c r="U990" i="9" s="1"/>
  <c r="U991" i="9" s="1"/>
  <c r="U992" i="9" s="1"/>
  <c r="U993" i="9" s="1"/>
  <c r="U994" i="9" s="1"/>
  <c r="U995" i="9" s="1"/>
  <c r="U996" i="9" s="1"/>
  <c r="U997" i="9" s="1"/>
  <c r="U998" i="9" s="1"/>
  <c r="U999" i="9" s="1"/>
  <c r="U1000" i="9" s="1"/>
  <c r="U1001" i="9" s="1"/>
  <c r="U1002" i="9" s="1"/>
  <c r="U1003" i="9" s="1"/>
  <c r="U1004" i="9" s="1"/>
  <c r="U1005" i="9" s="1"/>
  <c r="U1006" i="9" s="1"/>
  <c r="U1007" i="9" s="1"/>
  <c r="U1008" i="9" s="1"/>
  <c r="U1009" i="9" s="1"/>
  <c r="U1010" i="9" s="1"/>
  <c r="U1011" i="9" s="1"/>
  <c r="U1012" i="9" s="1"/>
  <c r="U1013" i="9" s="1"/>
  <c r="U1014" i="9" s="1"/>
  <c r="U1015" i="9" s="1"/>
  <c r="U1016" i="9" s="1"/>
  <c r="U1017" i="9" s="1"/>
  <c r="U1018" i="9" s="1"/>
  <c r="U1019" i="9" s="1"/>
  <c r="U1020" i="9" s="1"/>
  <c r="U1021" i="9" s="1"/>
  <c r="U1022" i="9" s="1"/>
  <c r="U1023" i="9" s="1"/>
  <c r="U1024" i="9" s="1"/>
  <c r="U1025" i="9" s="1"/>
  <c r="U1026" i="9" s="1"/>
  <c r="U1027" i="9" s="1"/>
  <c r="U1028" i="9" s="1"/>
  <c r="U1029" i="9" s="1"/>
  <c r="U1030" i="9" s="1"/>
  <c r="U1031" i="9" s="1"/>
  <c r="U1032" i="9" s="1"/>
  <c r="U1033" i="9" s="1"/>
  <c r="U1034" i="9" s="1"/>
  <c r="U1035" i="9" s="1"/>
  <c r="U1036" i="9" s="1"/>
  <c r="U1037" i="9" s="1"/>
  <c r="U1038" i="9" s="1"/>
  <c r="U1039" i="9" s="1"/>
  <c r="U1040" i="9" s="1"/>
  <c r="U1041" i="9" s="1"/>
  <c r="U1042" i="9" s="1"/>
  <c r="U1043" i="9" s="1"/>
  <c r="U1044" i="9" s="1"/>
  <c r="U1045" i="9" s="1"/>
  <c r="U1046" i="9" s="1"/>
  <c r="U1047" i="9" s="1"/>
  <c r="U1048" i="9" s="1"/>
  <c r="U1049" i="9" s="1"/>
  <c r="U1050" i="9" s="1"/>
  <c r="U1051" i="9" s="1"/>
  <c r="U1052" i="9" s="1"/>
  <c r="U1053" i="9" s="1"/>
  <c r="U1054" i="9" s="1"/>
  <c r="U1055" i="9" s="1"/>
  <c r="U1056" i="9" s="1"/>
  <c r="U1057" i="9" s="1"/>
  <c r="U1058" i="9" s="1"/>
  <c r="U1059" i="9" s="1"/>
  <c r="U1060" i="9" s="1"/>
  <c r="U1061" i="9" s="1"/>
  <c r="U1062" i="9" s="1"/>
  <c r="U1063" i="9" s="1"/>
  <c r="U1064" i="9" s="1"/>
  <c r="U1065" i="9" s="1"/>
  <c r="U1066" i="9" s="1"/>
  <c r="U1067" i="9" s="1"/>
  <c r="U1068" i="9" s="1"/>
  <c r="U1069" i="9" s="1"/>
  <c r="U1070" i="9" s="1"/>
  <c r="U1071" i="9" s="1"/>
  <c r="U1072" i="9" s="1"/>
  <c r="U1073" i="9" s="1"/>
  <c r="U1074" i="9" s="1"/>
  <c r="U1075" i="9" s="1"/>
  <c r="U1076" i="9" s="1"/>
  <c r="U1077" i="9" s="1"/>
  <c r="U1078" i="9" s="1"/>
  <c r="U1079" i="9" s="1"/>
  <c r="U1080" i="9" s="1"/>
  <c r="U1081" i="9" s="1"/>
  <c r="U1082" i="9" s="1"/>
  <c r="U1083" i="9" s="1"/>
  <c r="U1084" i="9" s="1"/>
  <c r="U1085" i="9" s="1"/>
  <c r="U1086" i="9" s="1"/>
  <c r="U1087" i="9" s="1"/>
  <c r="U1088" i="9" s="1"/>
  <c r="U1089" i="9" s="1"/>
  <c r="U1090" i="9" s="1"/>
  <c r="U1091" i="9" s="1"/>
  <c r="U1092" i="9" s="1"/>
  <c r="U1093" i="9" s="1"/>
  <c r="U1094" i="9" s="1"/>
  <c r="U1095" i="9" s="1"/>
  <c r="U1096" i="9" s="1"/>
  <c r="U1097" i="9" s="1"/>
  <c r="U1098" i="9" s="1"/>
  <c r="U1099" i="9" s="1"/>
  <c r="U1100" i="9" s="1"/>
  <c r="U1101" i="9" s="1"/>
  <c r="U1102" i="9" s="1"/>
  <c r="U1103" i="9" s="1"/>
  <c r="U1104" i="9" s="1"/>
  <c r="U1105" i="9" s="1"/>
  <c r="U1106" i="9" s="1"/>
  <c r="U1107" i="9" s="1"/>
  <c r="U1108" i="9" s="1"/>
  <c r="U1109" i="9" s="1"/>
  <c r="U1110" i="9" s="1"/>
  <c r="U1111" i="9" s="1"/>
  <c r="U1112" i="9" s="1"/>
  <c r="U1113" i="9" s="1"/>
  <c r="U1114" i="9" s="1"/>
  <c r="U1115" i="9" s="1"/>
  <c r="U1116" i="9" s="1"/>
  <c r="U1117" i="9" s="1"/>
  <c r="U1118" i="9" s="1"/>
  <c r="U1119" i="9" s="1"/>
  <c r="U1120" i="9" s="1"/>
  <c r="U1121" i="9" s="1"/>
  <c r="U1122" i="9" s="1"/>
  <c r="U1123" i="9" s="1"/>
  <c r="U1124" i="9" s="1"/>
  <c r="U1125" i="9" s="1"/>
  <c r="U1126" i="9" s="1"/>
  <c r="U1127" i="9" s="1"/>
  <c r="U1128" i="9" s="1"/>
  <c r="U1129" i="9" s="1"/>
  <c r="U1130" i="9" s="1"/>
  <c r="U1131" i="9" s="1"/>
  <c r="U1132" i="9" s="1"/>
  <c r="U1133" i="9" s="1"/>
  <c r="U1134" i="9" s="1"/>
  <c r="U1135" i="9" s="1"/>
  <c r="U1136" i="9" s="1"/>
  <c r="U1137" i="9" s="1"/>
  <c r="U1138" i="9" s="1"/>
  <c r="U1139" i="9" s="1"/>
  <c r="U1140" i="9" s="1"/>
  <c r="U1141" i="9" s="1"/>
  <c r="U1142" i="9" s="1"/>
  <c r="U1143" i="9" s="1"/>
  <c r="U1144" i="9" s="1"/>
  <c r="U1145" i="9" s="1"/>
  <c r="U1146" i="9" s="1"/>
  <c r="U1147" i="9" s="1"/>
  <c r="U1148" i="9" s="1"/>
  <c r="U1149" i="9" s="1"/>
  <c r="U1150" i="9" s="1"/>
  <c r="U1151" i="9" s="1"/>
  <c r="U1152" i="9" s="1"/>
  <c r="U1153" i="9" s="1"/>
  <c r="U1154" i="9" s="1"/>
  <c r="U1155" i="9" s="1"/>
  <c r="U1156" i="9" s="1"/>
  <c r="U1157" i="9" s="1"/>
  <c r="U1158" i="9" s="1"/>
  <c r="U1159" i="9" s="1"/>
  <c r="U1160" i="9" s="1"/>
  <c r="U1161" i="9" s="1"/>
  <c r="U1162" i="9" s="1"/>
  <c r="U1163" i="9" s="1"/>
  <c r="U1164" i="9" s="1"/>
  <c r="U1165" i="9" s="1"/>
  <c r="U1166" i="9" s="1"/>
  <c r="U1167" i="9" s="1"/>
  <c r="U1168" i="9" s="1"/>
  <c r="U1169" i="9" s="1"/>
  <c r="U1170" i="9" s="1"/>
  <c r="U1171" i="9" s="1"/>
  <c r="U1172" i="9" s="1"/>
  <c r="U1173" i="9" s="1"/>
  <c r="U1174" i="9" s="1"/>
  <c r="U1175" i="9" s="1"/>
  <c r="U1176" i="9" s="1"/>
  <c r="U1177" i="9" s="1"/>
  <c r="U1178" i="9" s="1"/>
  <c r="U1179" i="9" s="1"/>
  <c r="U1180" i="9" s="1"/>
  <c r="U1181" i="9" s="1"/>
  <c r="U1182" i="9" s="1"/>
  <c r="U1183" i="9" s="1"/>
  <c r="U1184" i="9" s="1"/>
  <c r="U1185" i="9" s="1"/>
  <c r="U1186" i="9" s="1"/>
  <c r="U1187" i="9" s="1"/>
  <c r="U1188" i="9" s="1"/>
  <c r="U1189" i="9" s="1"/>
  <c r="U1190" i="9" s="1"/>
  <c r="U1191" i="9" s="1"/>
  <c r="U1192" i="9" s="1"/>
  <c r="U1193" i="9" s="1"/>
  <c r="U1194" i="9" s="1"/>
  <c r="U1195" i="9" s="1"/>
  <c r="U1196" i="9" s="1"/>
  <c r="U1197" i="9" s="1"/>
  <c r="U1198" i="9" s="1"/>
  <c r="U1199" i="9" s="1"/>
  <c r="U1200" i="9" s="1"/>
  <c r="U1201" i="9" s="1"/>
  <c r="U1202" i="9" s="1"/>
  <c r="U1203" i="9" s="1"/>
  <c r="U1204" i="9" s="1"/>
  <c r="U1205" i="9" s="1"/>
  <c r="U1206" i="9" s="1"/>
  <c r="U1207" i="9" s="1"/>
  <c r="U1208" i="9" s="1"/>
  <c r="U1209" i="9" s="1"/>
  <c r="U1210" i="9" s="1"/>
  <c r="U1211" i="9" s="1"/>
  <c r="U1212" i="9" s="1"/>
  <c r="U1213" i="9" s="1"/>
  <c r="U1214" i="9" s="1"/>
  <c r="U1215" i="9" s="1"/>
  <c r="U1216" i="9" s="1"/>
  <c r="U1217" i="9" s="1"/>
  <c r="U1218" i="9" s="1"/>
  <c r="U1219" i="9" s="1"/>
  <c r="U1220" i="9" s="1"/>
  <c r="U1221" i="9" s="1"/>
  <c r="U1222" i="9" s="1"/>
  <c r="U1223" i="9" s="1"/>
  <c r="U1224" i="9" s="1"/>
  <c r="U1225" i="9" s="1"/>
  <c r="U1226" i="9" s="1"/>
  <c r="U1227" i="9" s="1"/>
  <c r="U1228" i="9" s="1"/>
  <c r="U1229" i="9" s="1"/>
  <c r="U1230" i="9" s="1"/>
  <c r="U1231" i="9" s="1"/>
  <c r="U1232" i="9" s="1"/>
  <c r="U1233" i="9" s="1"/>
  <c r="U1234" i="9" s="1"/>
  <c r="U1235" i="9" s="1"/>
  <c r="U1236" i="9" s="1"/>
  <c r="U1237" i="9" s="1"/>
  <c r="U1238" i="9" s="1"/>
  <c r="U1239" i="9" s="1"/>
  <c r="U1240" i="9" s="1"/>
  <c r="U1241" i="9" s="1"/>
  <c r="U1242" i="9" s="1"/>
  <c r="U1243" i="9" s="1"/>
  <c r="U1244" i="9" s="1"/>
  <c r="U1245" i="9" s="1"/>
  <c r="U1246" i="9" s="1"/>
  <c r="U1247" i="9" s="1"/>
  <c r="U1248" i="9" s="1"/>
  <c r="U1249" i="9" s="1"/>
  <c r="U1250" i="9" s="1"/>
  <c r="U1251" i="9" s="1"/>
  <c r="U1252" i="9" s="1"/>
  <c r="U1253" i="9" s="1"/>
  <c r="U1254" i="9" s="1"/>
  <c r="U1255" i="9" s="1"/>
  <c r="U1256" i="9" s="1"/>
  <c r="U1257" i="9" s="1"/>
  <c r="U1258" i="9" s="1"/>
  <c r="U1259" i="9" s="1"/>
  <c r="U1260" i="9" s="1"/>
  <c r="U1261" i="9" s="1"/>
  <c r="U1262" i="9" s="1"/>
  <c r="U1263" i="9" s="1"/>
  <c r="U1264" i="9" s="1"/>
  <c r="U1265" i="9" s="1"/>
  <c r="U1266" i="9" s="1"/>
  <c r="U1267" i="9" s="1"/>
  <c r="U1268" i="9" s="1"/>
  <c r="U1269" i="9" s="1"/>
  <c r="U1270" i="9" s="1"/>
  <c r="U1271" i="9" s="1"/>
  <c r="W3" i="9"/>
  <c r="J125" i="26"/>
  <c r="P53" i="26"/>
  <c r="O53" i="26" s="1"/>
  <c r="N53" i="26" s="1"/>
  <c r="M53" i="26" s="1"/>
  <c r="L53" i="26" s="1"/>
  <c r="D53" i="26" s="1"/>
  <c r="J53" i="26"/>
  <c r="S91" i="26"/>
  <c r="R90" i="26"/>
  <c r="M126" i="26" s="1"/>
  <c r="S55" i="26"/>
  <c r="R54" i="26"/>
  <c r="P89" i="26"/>
  <c r="O89" i="26" s="1"/>
  <c r="N89" i="26" s="1"/>
  <c r="M89" i="26" s="1"/>
  <c r="J89" i="26"/>
  <c r="Q53" i="26"/>
  <c r="H52" i="26"/>
  <c r="D187" i="26"/>
  <c r="A14" i="18"/>
  <c r="A11" i="18"/>
  <c r="A13" i="18"/>
  <c r="A12" i="18"/>
  <c r="J126" i="26" l="1"/>
  <c r="P54" i="26"/>
  <c r="O54" i="26" s="1"/>
  <c r="N54" i="26" s="1"/>
  <c r="M54" i="26" s="1"/>
  <c r="L54" i="26" s="1"/>
  <c r="D54" i="26" s="1"/>
  <c r="J54" i="26"/>
  <c r="L89" i="26"/>
  <c r="D89" i="26" s="1"/>
  <c r="D125" i="26" s="1"/>
  <c r="E89" i="26"/>
  <c r="S92" i="26"/>
  <c r="R91" i="26"/>
  <c r="M127" i="26" s="1"/>
  <c r="Q54" i="26"/>
  <c r="H53" i="26"/>
  <c r="S56" i="26"/>
  <c r="R55" i="26"/>
  <c r="P90" i="26"/>
  <c r="O90" i="26" s="1"/>
  <c r="N90" i="26" s="1"/>
  <c r="M90" i="26" s="1"/>
  <c r="J90" i="26"/>
  <c r="M205" i="26"/>
  <c r="B211" i="26"/>
  <c r="B266" i="26"/>
  <c r="A26" i="18"/>
  <c r="A58" i="18"/>
  <c r="A88" i="18"/>
  <c r="A28" i="18"/>
  <c r="A56" i="18"/>
  <c r="A42" i="18"/>
  <c r="A41" i="18"/>
  <c r="A57" i="18"/>
  <c r="A55" i="18"/>
  <c r="A27" i="18"/>
  <c r="A29" i="18"/>
  <c r="A86" i="18"/>
  <c r="A43" i="18"/>
  <c r="A89" i="18"/>
  <c r="A44" i="18"/>
  <c r="A87" i="18"/>
  <c r="J127" i="26" l="1"/>
  <c r="J55" i="26"/>
  <c r="P55" i="26"/>
  <c r="O55" i="26" s="1"/>
  <c r="N55" i="26" s="1"/>
  <c r="M55" i="26" s="1"/>
  <c r="L55" i="26" s="1"/>
  <c r="D55" i="26" s="1"/>
  <c r="P91" i="26"/>
  <c r="O91" i="26" s="1"/>
  <c r="N91" i="26" s="1"/>
  <c r="M91" i="26" s="1"/>
  <c r="J91" i="26"/>
  <c r="S57" i="26"/>
  <c r="R56" i="26"/>
  <c r="S93" i="26"/>
  <c r="R92" i="26"/>
  <c r="M128" i="26" s="1"/>
  <c r="L90" i="26"/>
  <c r="D90" i="26" s="1"/>
  <c r="D126" i="26" s="1"/>
  <c r="E90" i="26"/>
  <c r="Q55" i="26"/>
  <c r="H54" i="26"/>
  <c r="B212" i="26"/>
  <c r="B267" i="26"/>
  <c r="B213" i="26"/>
  <c r="B268" i="26"/>
  <c r="J128" i="26" l="1"/>
  <c r="E91" i="26"/>
  <c r="L91" i="26"/>
  <c r="D91" i="26" s="1"/>
  <c r="D127" i="26" s="1"/>
  <c r="P56" i="26"/>
  <c r="O56" i="26" s="1"/>
  <c r="N56" i="26" s="1"/>
  <c r="M56" i="26" s="1"/>
  <c r="L56" i="26" s="1"/>
  <c r="D56" i="26" s="1"/>
  <c r="J56" i="26"/>
  <c r="Q56" i="26"/>
  <c r="H55" i="26"/>
  <c r="S58" i="26"/>
  <c r="R57" i="26"/>
  <c r="S94" i="26"/>
  <c r="R93" i="26"/>
  <c r="M129" i="26" s="1"/>
  <c r="P92" i="26"/>
  <c r="O92" i="26" s="1"/>
  <c r="N92" i="26" s="1"/>
  <c r="M92" i="26" s="1"/>
  <c r="J92" i="26"/>
  <c r="J129" i="26" l="1"/>
  <c r="J57" i="26"/>
  <c r="P57" i="26"/>
  <c r="O57" i="26" s="1"/>
  <c r="N57" i="26" s="1"/>
  <c r="M57" i="26" s="1"/>
  <c r="L57" i="26" s="1"/>
  <c r="D57" i="26" s="1"/>
  <c r="E92" i="26"/>
  <c r="L92" i="26"/>
  <c r="D92" i="26" s="1"/>
  <c r="D128" i="26" s="1"/>
  <c r="S59" i="26"/>
  <c r="R58" i="26"/>
  <c r="P93" i="26"/>
  <c r="O93" i="26" s="1"/>
  <c r="N93" i="26" s="1"/>
  <c r="M93" i="26" s="1"/>
  <c r="J93" i="26"/>
  <c r="S95" i="26"/>
  <c r="R94" i="26"/>
  <c r="M130" i="26" s="1"/>
  <c r="Q57" i="26"/>
  <c r="H56" i="26"/>
  <c r="J130" i="26" l="1"/>
  <c r="P94" i="26"/>
  <c r="O94" i="26" s="1"/>
  <c r="N94" i="26" s="1"/>
  <c r="M94" i="26" s="1"/>
  <c r="J94" i="26"/>
  <c r="P58" i="26"/>
  <c r="O58" i="26" s="1"/>
  <c r="N58" i="26" s="1"/>
  <c r="M58" i="26" s="1"/>
  <c r="L58" i="26" s="1"/>
  <c r="D58" i="26" s="1"/>
  <c r="J58" i="26"/>
  <c r="Q58" i="26"/>
  <c r="H57" i="26"/>
  <c r="E93" i="26"/>
  <c r="L93" i="26"/>
  <c r="D93" i="26" s="1"/>
  <c r="D129" i="26" s="1"/>
  <c r="S96" i="26"/>
  <c r="R95" i="26"/>
  <c r="M131" i="26" s="1"/>
  <c r="S60" i="26"/>
  <c r="R59" i="26"/>
  <c r="J131" i="26" l="1"/>
  <c r="P59" i="26"/>
  <c r="O59" i="26" s="1"/>
  <c r="N59" i="26" s="1"/>
  <c r="M59" i="26" s="1"/>
  <c r="L59" i="26" s="1"/>
  <c r="D59" i="26" s="1"/>
  <c r="J59" i="26"/>
  <c r="S61" i="26"/>
  <c r="R60" i="26"/>
  <c r="P95" i="26"/>
  <c r="O95" i="26" s="1"/>
  <c r="N95" i="26" s="1"/>
  <c r="M95" i="26" s="1"/>
  <c r="J95" i="26"/>
  <c r="S97" i="26"/>
  <c r="R96" i="26"/>
  <c r="M132" i="26" s="1"/>
  <c r="Q59" i="26"/>
  <c r="H58" i="26"/>
  <c r="L94" i="26"/>
  <c r="D94" i="26" s="1"/>
  <c r="D130" i="26" s="1"/>
  <c r="E94" i="26"/>
  <c r="J132" i="26" l="1"/>
  <c r="S98" i="26"/>
  <c r="R97" i="26"/>
  <c r="M133" i="26" s="1"/>
  <c r="S62" i="26"/>
  <c r="R61" i="26"/>
  <c r="Q60" i="26"/>
  <c r="H59" i="26"/>
  <c r="L95" i="26"/>
  <c r="D95" i="26" s="1"/>
  <c r="D131" i="26" s="1"/>
  <c r="E95" i="26"/>
  <c r="P96" i="26"/>
  <c r="O96" i="26" s="1"/>
  <c r="N96" i="26" s="1"/>
  <c r="M96" i="26" s="1"/>
  <c r="J96" i="26"/>
  <c r="P60" i="26"/>
  <c r="O60" i="26" s="1"/>
  <c r="N60" i="26" s="1"/>
  <c r="M60" i="26" s="1"/>
  <c r="L60" i="26" s="1"/>
  <c r="D60" i="26" s="1"/>
  <c r="J60" i="26"/>
  <c r="J133" i="26" l="1"/>
  <c r="S63" i="26"/>
  <c r="R62" i="26"/>
  <c r="J61" i="26"/>
  <c r="P61" i="26"/>
  <c r="O61" i="26" s="1"/>
  <c r="N61" i="26" s="1"/>
  <c r="M61" i="26" s="1"/>
  <c r="L61" i="26" s="1"/>
  <c r="D61" i="26" s="1"/>
  <c r="J97" i="26"/>
  <c r="P97" i="26"/>
  <c r="O97" i="26" s="1"/>
  <c r="N97" i="26" s="1"/>
  <c r="M97" i="26" s="1"/>
  <c r="L96" i="26"/>
  <c r="D96" i="26" s="1"/>
  <c r="D132" i="26" s="1"/>
  <c r="E96" i="26"/>
  <c r="Q61" i="26"/>
  <c r="H60" i="26"/>
  <c r="R98" i="26"/>
  <c r="M134" i="26" s="1"/>
  <c r="S99" i="26"/>
  <c r="J134" i="26" l="1"/>
  <c r="S100" i="26"/>
  <c r="R99" i="26"/>
  <c r="M135" i="26" s="1"/>
  <c r="L97" i="26"/>
  <c r="D97" i="26" s="1"/>
  <c r="D133" i="26" s="1"/>
  <c r="E97" i="26"/>
  <c r="J62" i="26"/>
  <c r="P62" i="26"/>
  <c r="O62" i="26" s="1"/>
  <c r="N62" i="26" s="1"/>
  <c r="M62" i="26" s="1"/>
  <c r="L62" i="26" s="1"/>
  <c r="D62" i="26" s="1"/>
  <c r="P98" i="26"/>
  <c r="O98" i="26" s="1"/>
  <c r="N98" i="26" s="1"/>
  <c r="M98" i="26" s="1"/>
  <c r="J98" i="26"/>
  <c r="Q62" i="26"/>
  <c r="H61" i="26"/>
  <c r="S64" i="26"/>
  <c r="R63" i="26"/>
  <c r="J135" i="26" l="1"/>
  <c r="S65" i="26"/>
  <c r="R64" i="26"/>
  <c r="L98" i="26"/>
  <c r="D98" i="26" s="1"/>
  <c r="D134" i="26" s="1"/>
  <c r="E98" i="26"/>
  <c r="P99" i="26"/>
  <c r="O99" i="26" s="1"/>
  <c r="N99" i="26" s="1"/>
  <c r="M99" i="26" s="1"/>
  <c r="J99" i="26"/>
  <c r="Q63" i="26"/>
  <c r="H62" i="26"/>
  <c r="J63" i="26"/>
  <c r="P63" i="26"/>
  <c r="O63" i="26" s="1"/>
  <c r="N63" i="26" s="1"/>
  <c r="M63" i="26" s="1"/>
  <c r="L63" i="26" s="1"/>
  <c r="D63" i="26" s="1"/>
  <c r="S101" i="26"/>
  <c r="R100" i="26"/>
  <c r="M136" i="26" s="1"/>
  <c r="J136" i="26" l="1"/>
  <c r="J100" i="26"/>
  <c r="P100" i="26"/>
  <c r="O100" i="26" s="1"/>
  <c r="N100" i="26" s="1"/>
  <c r="M100" i="26" s="1"/>
  <c r="S102" i="26"/>
  <c r="R101" i="26"/>
  <c r="M137" i="26" s="1"/>
  <c r="Q64" i="26"/>
  <c r="H63" i="26"/>
  <c r="J64" i="26"/>
  <c r="P64" i="26"/>
  <c r="O64" i="26" s="1"/>
  <c r="N64" i="26" s="1"/>
  <c r="M64" i="26" s="1"/>
  <c r="L64" i="26" s="1"/>
  <c r="D64" i="26" s="1"/>
  <c r="L99" i="26"/>
  <c r="D99" i="26" s="1"/>
  <c r="D135" i="26" s="1"/>
  <c r="E99" i="26"/>
  <c r="S66" i="26"/>
  <c r="R65" i="26"/>
  <c r="J137" i="26" l="1"/>
  <c r="S67" i="26"/>
  <c r="R66" i="26"/>
  <c r="J101" i="26"/>
  <c r="P101" i="26"/>
  <c r="O101" i="26" s="1"/>
  <c r="N101" i="26" s="1"/>
  <c r="M101" i="26" s="1"/>
  <c r="R102" i="26"/>
  <c r="M138" i="26" s="1"/>
  <c r="S103" i="26"/>
  <c r="L100" i="26"/>
  <c r="D100" i="26" s="1"/>
  <c r="D136" i="26" s="1"/>
  <c r="E100" i="26"/>
  <c r="P65" i="26"/>
  <c r="O65" i="26" s="1"/>
  <c r="N65" i="26" s="1"/>
  <c r="M65" i="26" s="1"/>
  <c r="L65" i="26" s="1"/>
  <c r="D65" i="26" s="1"/>
  <c r="J65" i="26"/>
  <c r="Q65" i="26"/>
  <c r="H64" i="26"/>
  <c r="J138" i="26" l="1"/>
  <c r="S104" i="26"/>
  <c r="R103" i="26"/>
  <c r="M139" i="26" s="1"/>
  <c r="P66" i="26"/>
  <c r="O66" i="26" s="1"/>
  <c r="N66" i="26" s="1"/>
  <c r="M66" i="26" s="1"/>
  <c r="L66" i="26" s="1"/>
  <c r="D66" i="26" s="1"/>
  <c r="J66" i="26"/>
  <c r="Q66" i="26"/>
  <c r="H65" i="26"/>
  <c r="E101" i="26"/>
  <c r="L101" i="26"/>
  <c r="D101" i="26" s="1"/>
  <c r="D137" i="26" s="1"/>
  <c r="P102" i="26"/>
  <c r="O102" i="26" s="1"/>
  <c r="N102" i="26" s="1"/>
  <c r="M102" i="26" s="1"/>
  <c r="J102" i="26"/>
  <c r="S68" i="26"/>
  <c r="R67" i="26"/>
  <c r="J139" i="26" l="1"/>
  <c r="J67" i="26"/>
  <c r="P67" i="26"/>
  <c r="O67" i="26" s="1"/>
  <c r="N67" i="26" s="1"/>
  <c r="M67" i="26" s="1"/>
  <c r="L67" i="26" s="1"/>
  <c r="D67" i="26" s="1"/>
  <c r="S69" i="26"/>
  <c r="R68" i="26"/>
  <c r="E102" i="26"/>
  <c r="L102" i="26"/>
  <c r="D102" i="26" s="1"/>
  <c r="D138" i="26" s="1"/>
  <c r="Q67" i="26"/>
  <c r="H66" i="26"/>
  <c r="P103" i="26"/>
  <c r="O103" i="26" s="1"/>
  <c r="N103" i="26" s="1"/>
  <c r="M103" i="26" s="1"/>
  <c r="J103" i="26"/>
  <c r="S105" i="26"/>
  <c r="R104" i="26"/>
  <c r="M140" i="26" s="1"/>
  <c r="J140" i="26" l="1"/>
  <c r="S106" i="26"/>
  <c r="R105" i="26"/>
  <c r="M141" i="26" s="1"/>
  <c r="Q68" i="26"/>
  <c r="H67" i="26"/>
  <c r="S70" i="26"/>
  <c r="R69" i="26"/>
  <c r="E103" i="26"/>
  <c r="L103" i="26"/>
  <c r="D103" i="26" s="1"/>
  <c r="D139" i="26" s="1"/>
  <c r="P104" i="26"/>
  <c r="O104" i="26" s="1"/>
  <c r="N104" i="26" s="1"/>
  <c r="M104" i="26" s="1"/>
  <c r="J104" i="26"/>
  <c r="J68" i="26"/>
  <c r="P68" i="26"/>
  <c r="O68" i="26" s="1"/>
  <c r="N68" i="26" s="1"/>
  <c r="M68" i="26" s="1"/>
  <c r="L68" i="26" s="1"/>
  <c r="D68" i="26" s="1"/>
  <c r="J141" i="26" l="1"/>
  <c r="Q69" i="26"/>
  <c r="H68" i="26"/>
  <c r="P105" i="26"/>
  <c r="O105" i="26" s="1"/>
  <c r="N105" i="26" s="1"/>
  <c r="M105" i="26" s="1"/>
  <c r="J105" i="26"/>
  <c r="J69" i="26"/>
  <c r="P69" i="26"/>
  <c r="O69" i="26" s="1"/>
  <c r="N69" i="26" s="1"/>
  <c r="M69" i="26" s="1"/>
  <c r="L69" i="26" s="1"/>
  <c r="D69" i="26" s="1"/>
  <c r="L104" i="26"/>
  <c r="D104" i="26" s="1"/>
  <c r="D140" i="26" s="1"/>
  <c r="E104" i="26"/>
  <c r="S71" i="26"/>
  <c r="R70" i="26"/>
  <c r="S107" i="26"/>
  <c r="R106" i="26"/>
  <c r="M142" i="26" s="1"/>
  <c r="J142" i="26" l="1"/>
  <c r="P70" i="26"/>
  <c r="O70" i="26" s="1"/>
  <c r="N70" i="26" s="1"/>
  <c r="M70" i="26" s="1"/>
  <c r="L70" i="26" s="1"/>
  <c r="D70" i="26" s="1"/>
  <c r="J70" i="26"/>
  <c r="L105" i="26"/>
  <c r="D105" i="26" s="1"/>
  <c r="D141" i="26" s="1"/>
  <c r="E105" i="26"/>
  <c r="S108" i="26"/>
  <c r="R107" i="26"/>
  <c r="M143" i="26" s="1"/>
  <c r="S72" i="26"/>
  <c r="R71" i="26"/>
  <c r="P106" i="26"/>
  <c r="O106" i="26" s="1"/>
  <c r="N106" i="26" s="1"/>
  <c r="M106" i="26" s="1"/>
  <c r="J106" i="26"/>
  <c r="Q70" i="26"/>
  <c r="H69" i="26"/>
  <c r="J143" i="26" l="1"/>
  <c r="Q71" i="26"/>
  <c r="H70" i="26"/>
  <c r="S73" i="26"/>
  <c r="R72" i="26"/>
  <c r="P107" i="26"/>
  <c r="O107" i="26" s="1"/>
  <c r="N107" i="26" s="1"/>
  <c r="M107" i="26" s="1"/>
  <c r="J107" i="26"/>
  <c r="P71" i="26"/>
  <c r="O71" i="26" s="1"/>
  <c r="N71" i="26" s="1"/>
  <c r="M71" i="26" s="1"/>
  <c r="L71" i="26" s="1"/>
  <c r="D71" i="26" s="1"/>
  <c r="J71" i="26"/>
  <c r="L106" i="26"/>
  <c r="D106" i="26" s="1"/>
  <c r="D142" i="26" s="1"/>
  <c r="E106" i="26"/>
  <c r="S109" i="26"/>
  <c r="R108" i="26"/>
  <c r="M144" i="26" s="1"/>
  <c r="J144" i="26" l="1"/>
  <c r="S110" i="26"/>
  <c r="R109" i="26"/>
  <c r="M145" i="26" s="1"/>
  <c r="P72" i="26"/>
  <c r="O72" i="26" s="1"/>
  <c r="N72" i="26" s="1"/>
  <c r="M72" i="26" s="1"/>
  <c r="L72" i="26" s="1"/>
  <c r="D72" i="26" s="1"/>
  <c r="J72" i="26"/>
  <c r="S74" i="26"/>
  <c r="R73" i="26"/>
  <c r="P108" i="26"/>
  <c r="O108" i="26" s="1"/>
  <c r="N108" i="26" s="1"/>
  <c r="M108" i="26" s="1"/>
  <c r="J108" i="26"/>
  <c r="E107" i="26"/>
  <c r="L107" i="26"/>
  <c r="D107" i="26" s="1"/>
  <c r="D143" i="26" s="1"/>
  <c r="Q72" i="26"/>
  <c r="H71" i="26"/>
  <c r="J145" i="26" l="1"/>
  <c r="P73" i="26"/>
  <c r="O73" i="26" s="1"/>
  <c r="N73" i="26" s="1"/>
  <c r="M73" i="26" s="1"/>
  <c r="L73" i="26" s="1"/>
  <c r="D73" i="26" s="1"/>
  <c r="J73" i="26"/>
  <c r="Q73" i="26"/>
  <c r="H72" i="26"/>
  <c r="L108" i="26"/>
  <c r="D108" i="26" s="1"/>
  <c r="D144" i="26" s="1"/>
  <c r="E108" i="26"/>
  <c r="R74" i="26"/>
  <c r="S75" i="26"/>
  <c r="P109" i="26"/>
  <c r="O109" i="26" s="1"/>
  <c r="N109" i="26" s="1"/>
  <c r="M109" i="26" s="1"/>
  <c r="J109" i="26"/>
  <c r="S111" i="26"/>
  <c r="R110" i="26"/>
  <c r="M146" i="26" s="1"/>
  <c r="J146" i="26" l="1"/>
  <c r="P110" i="26"/>
  <c r="O110" i="26" s="1"/>
  <c r="N110" i="26" s="1"/>
  <c r="M110" i="26" s="1"/>
  <c r="J110" i="26"/>
  <c r="S76" i="26"/>
  <c r="R75" i="26"/>
  <c r="S112" i="26"/>
  <c r="R111" i="26"/>
  <c r="M147" i="26" s="1"/>
  <c r="J74" i="26"/>
  <c r="P74" i="26"/>
  <c r="O74" i="26" s="1"/>
  <c r="N74" i="26" s="1"/>
  <c r="M74" i="26" s="1"/>
  <c r="L74" i="26" s="1"/>
  <c r="D74" i="26" s="1"/>
  <c r="Q74" i="26"/>
  <c r="H73" i="26"/>
  <c r="E109" i="26"/>
  <c r="L109" i="26"/>
  <c r="D109" i="26" s="1"/>
  <c r="D145" i="26" s="1"/>
  <c r="J147" i="26" l="1"/>
  <c r="J75" i="26"/>
  <c r="P75" i="26"/>
  <c r="O75" i="26" s="1"/>
  <c r="N75" i="26" s="1"/>
  <c r="M75" i="26" s="1"/>
  <c r="L75" i="26" s="1"/>
  <c r="D75" i="26" s="1"/>
  <c r="S77" i="26"/>
  <c r="R76" i="26"/>
  <c r="Q75" i="26"/>
  <c r="H74" i="26"/>
  <c r="P111" i="26"/>
  <c r="O111" i="26" s="1"/>
  <c r="N111" i="26" s="1"/>
  <c r="M111" i="26" s="1"/>
  <c r="J111" i="26"/>
  <c r="S113" i="26"/>
  <c r="R112" i="26"/>
  <c r="M148" i="26" s="1"/>
  <c r="E110" i="26"/>
  <c r="L110" i="26"/>
  <c r="D110" i="26" s="1"/>
  <c r="D146" i="26" s="1"/>
  <c r="J148" i="26" l="1"/>
  <c r="J76" i="26"/>
  <c r="P76" i="26"/>
  <c r="O76" i="26" s="1"/>
  <c r="N76" i="26" s="1"/>
  <c r="M76" i="26" s="1"/>
  <c r="L76" i="26" s="1"/>
  <c r="D76" i="26" s="1"/>
  <c r="E111" i="26"/>
  <c r="L111" i="26"/>
  <c r="D111" i="26" s="1"/>
  <c r="D147" i="26" s="1"/>
  <c r="S78" i="26"/>
  <c r="R77" i="26"/>
  <c r="P112" i="26"/>
  <c r="O112" i="26" s="1"/>
  <c r="N112" i="26" s="1"/>
  <c r="M112" i="26" s="1"/>
  <c r="J112" i="26"/>
  <c r="S114" i="26"/>
  <c r="R113" i="26"/>
  <c r="M149" i="26" s="1"/>
  <c r="Q76" i="26"/>
  <c r="H75" i="26"/>
  <c r="J149" i="26" l="1"/>
  <c r="Q77" i="26"/>
  <c r="H76" i="26"/>
  <c r="E112" i="26"/>
  <c r="L112" i="26"/>
  <c r="D112" i="26" s="1"/>
  <c r="D148" i="26" s="1"/>
  <c r="J113" i="26"/>
  <c r="P113" i="26"/>
  <c r="O113" i="26" s="1"/>
  <c r="N113" i="26" s="1"/>
  <c r="M113" i="26" s="1"/>
  <c r="P77" i="26"/>
  <c r="O77" i="26" s="1"/>
  <c r="N77" i="26" s="1"/>
  <c r="M77" i="26" s="1"/>
  <c r="L77" i="26" s="1"/>
  <c r="D77" i="26" s="1"/>
  <c r="J77" i="26"/>
  <c r="R114" i="26"/>
  <c r="M150" i="26" s="1"/>
  <c r="S115" i="26"/>
  <c r="S79" i="26"/>
  <c r="R79" i="26" s="1"/>
  <c r="R78" i="26"/>
  <c r="J150" i="26" l="1"/>
  <c r="J79" i="26"/>
  <c r="P79" i="26"/>
  <c r="O79" i="26" s="1"/>
  <c r="N79" i="26" s="1"/>
  <c r="M79" i="26" s="1"/>
  <c r="L79" i="26" s="1"/>
  <c r="D79" i="26" s="1"/>
  <c r="P114" i="26"/>
  <c r="O114" i="26" s="1"/>
  <c r="N114" i="26" s="1"/>
  <c r="M114" i="26" s="1"/>
  <c r="J114" i="26"/>
  <c r="L113" i="26"/>
  <c r="D113" i="26" s="1"/>
  <c r="D149" i="26" s="1"/>
  <c r="E113" i="26"/>
  <c r="S116" i="26"/>
  <c r="R116" i="26" s="1"/>
  <c r="M152" i="26" s="1"/>
  <c r="J152" i="26" s="1"/>
  <c r="R115" i="26"/>
  <c r="M151" i="26" s="1"/>
  <c r="J151" i="26" s="1"/>
  <c r="P78" i="26"/>
  <c r="O78" i="26" s="1"/>
  <c r="N78" i="26" s="1"/>
  <c r="M78" i="26" s="1"/>
  <c r="L78" i="26" s="1"/>
  <c r="D78" i="26" s="1"/>
  <c r="J78" i="26"/>
  <c r="Q78" i="26"/>
  <c r="H77" i="26"/>
  <c r="J116" i="26" l="1"/>
  <c r="P116" i="26"/>
  <c r="O116" i="26" s="1"/>
  <c r="N116" i="26" s="1"/>
  <c r="M116" i="26" s="1"/>
  <c r="L114" i="26"/>
  <c r="D114" i="26" s="1"/>
  <c r="D150" i="26" s="1"/>
  <c r="E114" i="26"/>
  <c r="Q79" i="26"/>
  <c r="H78" i="26"/>
  <c r="J115" i="26"/>
  <c r="P115" i="26"/>
  <c r="O115" i="26" s="1"/>
  <c r="N115" i="26" s="1"/>
  <c r="M115" i="26" s="1"/>
  <c r="H79" i="26" l="1"/>
  <c r="L160" i="26"/>
  <c r="D160" i="26" s="1"/>
  <c r="L115" i="26"/>
  <c r="D115" i="26" s="1"/>
  <c r="D151" i="26" s="1"/>
  <c r="E115" i="26"/>
  <c r="L116" i="26"/>
  <c r="D116" i="26" s="1"/>
  <c r="D152" i="26" s="1"/>
  <c r="E116" i="26"/>
</calcChain>
</file>

<file path=xl/comments1.xml><?xml version="1.0" encoding="utf-8"?>
<comments xmlns="http://schemas.openxmlformats.org/spreadsheetml/2006/main">
  <authors>
    <author>u024862</author>
    <author>Umberto Merlino</author>
  </authors>
  <commentList>
    <comment ref="J2" authorId="0" shapeId="0">
      <text>
        <r>
          <rPr>
            <b/>
            <sz val="8"/>
            <color indexed="81"/>
            <rFont val="Tahoma"/>
            <family val="2"/>
          </rPr>
          <t>La prima data va inserita a mano. Le date successive sono ottenute per trascinamento</t>
        </r>
        <r>
          <rPr>
            <sz val="8"/>
            <color indexed="81"/>
            <rFont val="Tahoma"/>
            <family val="2"/>
          </rPr>
          <t xml:space="preserve">
</t>
        </r>
      </text>
    </comment>
    <comment ref="K2" authorId="0" shapeId="0">
      <text>
        <r>
          <rPr>
            <b/>
            <sz val="8"/>
            <color indexed="81"/>
            <rFont val="Tahoma"/>
            <family val="2"/>
          </rPr>
          <t>1 se la data è di pagamento
0 altrimenti</t>
        </r>
        <r>
          <rPr>
            <sz val="8"/>
            <color indexed="81"/>
            <rFont val="Tahoma"/>
            <family val="2"/>
          </rPr>
          <t xml:space="preserve">
</t>
        </r>
      </text>
    </comment>
    <comment ref="L2" authorId="0" shapeId="0">
      <text>
        <r>
          <rPr>
            <b/>
            <sz val="8"/>
            <color indexed="81"/>
            <rFont val="Tahoma"/>
            <family val="2"/>
          </rPr>
          <t xml:space="preserve">1 Se la data è di fixing
0 altrimenti
</t>
        </r>
        <r>
          <rPr>
            <sz val="8"/>
            <color indexed="81"/>
            <rFont val="Tahoma"/>
            <family val="2"/>
          </rPr>
          <t xml:space="preserve">
</t>
        </r>
      </text>
    </comment>
    <comment ref="N6" authorId="1" shapeId="0">
      <text>
        <r>
          <rPr>
            <b/>
            <sz val="9"/>
            <color indexed="81"/>
            <rFont val="Tahoma"/>
            <family val="2"/>
          </rPr>
          <t>Umberto Merlino:</t>
        </r>
        <r>
          <rPr>
            <sz val="9"/>
            <color indexed="81"/>
            <rFont val="Tahoma"/>
            <family val="2"/>
          </rPr>
          <t xml:space="preserve">
Barriera Autocallability</t>
        </r>
      </text>
    </comment>
    <comment ref="N7" authorId="1" shapeId="0">
      <text>
        <r>
          <rPr>
            <b/>
            <sz val="9"/>
            <color indexed="81"/>
            <rFont val="Tahoma"/>
            <family val="2"/>
          </rPr>
          <t>Umberto Merlino:</t>
        </r>
        <r>
          <rPr>
            <sz val="9"/>
            <color indexed="81"/>
            <rFont val="Tahoma"/>
            <family val="2"/>
          </rPr>
          <t xml:space="preserve">
Barriera Payoff
</t>
        </r>
      </text>
    </comment>
    <comment ref="N8" authorId="1" shapeId="0">
      <text>
        <r>
          <rPr>
            <b/>
            <sz val="9"/>
            <color indexed="81"/>
            <rFont val="Tahoma"/>
            <family val="2"/>
          </rPr>
          <t>Umberto Merlino:</t>
        </r>
        <r>
          <rPr>
            <sz val="9"/>
            <color indexed="81"/>
            <rFont val="Tahoma"/>
            <family val="2"/>
          </rPr>
          <t xml:space="preserve">
Barriera Digital</t>
        </r>
      </text>
    </comment>
  </commentList>
</comments>
</file>

<file path=xl/sharedStrings.xml><?xml version="1.0" encoding="utf-8"?>
<sst xmlns="http://schemas.openxmlformats.org/spreadsheetml/2006/main" count="640" uniqueCount="506">
  <si>
    <t>Date</t>
  </si>
  <si>
    <t>Px Last</t>
  </si>
  <si>
    <t>Dati</t>
  </si>
  <si>
    <t>Data Start</t>
  </si>
  <si>
    <t>Data Today</t>
  </si>
  <si>
    <t>CEDOLE</t>
  </si>
  <si>
    <t>PAMETRI CONTRATTO</t>
  </si>
  <si>
    <t>MATLAB</t>
  </si>
  <si>
    <t>INPUT</t>
  </si>
  <si>
    <t>CODE</t>
  </si>
  <si>
    <t>OUTPUT</t>
  </si>
  <si>
    <t>TIPO</t>
  </si>
  <si>
    <t>VALORE</t>
  </si>
  <si>
    <t>DATA</t>
  </si>
  <si>
    <t>OPZ</t>
  </si>
  <si>
    <t>Statistica</t>
  </si>
  <si>
    <t>Media</t>
  </si>
  <si>
    <t>Min</t>
  </si>
  <si>
    <t>DEAL</t>
  </si>
  <si>
    <t>Perc(99%)</t>
  </si>
  <si>
    <t>Px_Last</t>
  </si>
  <si>
    <t>PDF</t>
  </si>
  <si>
    <t>Maturity</t>
  </si>
  <si>
    <t>Px_last</t>
  </si>
  <si>
    <t>Prob &gt; BTP</t>
  </si>
  <si>
    <t>Yld Annual Mid</t>
  </si>
  <si>
    <t>Date Price</t>
  </si>
  <si>
    <t>Emittente</t>
  </si>
  <si>
    <t>Rating emittente</t>
  </si>
  <si>
    <t>Isin</t>
  </si>
  <si>
    <t>Ammontare in emissione</t>
  </si>
  <si>
    <t>Periodo di Collocamento</t>
  </si>
  <si>
    <t>Durata</t>
  </si>
  <si>
    <t>Data di Emissione</t>
  </si>
  <si>
    <t>Data di Scadenza</t>
  </si>
  <si>
    <t>Prezzo di emissione</t>
  </si>
  <si>
    <t>Prezzo di emissione al netto delle commissioni</t>
  </si>
  <si>
    <t>Taglio Minimo</t>
  </si>
  <si>
    <t>Rimborso</t>
  </si>
  <si>
    <t>Descrizione strumento</t>
  </si>
  <si>
    <t>dove:</t>
  </si>
  <si>
    <t>Rischio e Prezzo Atteso</t>
  </si>
  <si>
    <t>Scheda Prodotto</t>
  </si>
  <si>
    <t>Commissioni di collocamento</t>
  </si>
  <si>
    <t>Cpn</t>
  </si>
  <si>
    <t>ID_ISIN</t>
  </si>
  <si>
    <t>Scenari</t>
  </si>
  <si>
    <t>ISIN</t>
  </si>
  <si>
    <t>Coupon</t>
  </si>
  <si>
    <t>Rend</t>
  </si>
  <si>
    <t>Mat BTP</t>
  </si>
  <si>
    <t>BANCA IMI</t>
  </si>
  <si>
    <t>Fee</t>
  </si>
  <si>
    <t>Data Start B</t>
  </si>
  <si>
    <t>Data End B</t>
  </si>
  <si>
    <t>A scadenza l’investitore riceve, per ogni Certificate detenuto un importo in Euro così calcolato:</t>
  </si>
  <si>
    <t>IL: valore di rimborso pagato alla scadenza</t>
  </si>
  <si>
    <t>Valore di Rimborso Anticipato</t>
  </si>
  <si>
    <t>Date di Pagamento</t>
  </si>
  <si>
    <t>C1</t>
  </si>
  <si>
    <t>B1</t>
  </si>
  <si>
    <t>Rend N</t>
  </si>
  <si>
    <t>Accrued</t>
  </si>
  <si>
    <t>ISIN1</t>
  </si>
  <si>
    <t>Issue</t>
  </si>
  <si>
    <t>Pricing Date Btp</t>
  </si>
  <si>
    <t>ISSUE DT</t>
  </si>
  <si>
    <t>TIR (3Y)</t>
  </si>
  <si>
    <t>Prob Evento</t>
  </si>
  <si>
    <t>È bene precisare che tale dato, svincolandosi dal fattore tempo, offre un'informazione parziale del prodotto che ha come principale obiettivo quello di offrire un adeguato rendimento, anticipando il rimborso, ma "aprendo" incertezza sul futuro scenario di reinvestimento fino alla scadenza nominale. Una probabilità sintetica, quindi, non permette di sapere quando il contratto rimborserà e se sarà "efficace" sulla durata nominale del contratto.</t>
  </si>
  <si>
    <t>ISIN2</t>
  </si>
  <si>
    <t>DIFF BTP1</t>
  </si>
  <si>
    <t>DIFF BTP2</t>
  </si>
  <si>
    <t>ISIN3</t>
  </si>
  <si>
    <t>B2</t>
  </si>
  <si>
    <t>Maturity_Check1</t>
  </si>
  <si>
    <t>Maturity_Check2</t>
  </si>
  <si>
    <t>Prob Tot</t>
  </si>
  <si>
    <t>Percentili</t>
  </si>
  <si>
    <t>Tabella 1</t>
  </si>
  <si>
    <t>Tabella 2</t>
  </si>
  <si>
    <t>Max</t>
  </si>
  <si>
    <t>Barriera cedole</t>
  </si>
  <si>
    <t>Non è garantito il rimborso del Valore Nominale</t>
  </si>
  <si>
    <t>C2</t>
  </si>
  <si>
    <t>TASSO</t>
  </si>
  <si>
    <t>BIMI FUNDING (bp)</t>
  </si>
  <si>
    <t>Term (Y)</t>
  </si>
  <si>
    <t>Deal</t>
  </si>
  <si>
    <t>Funding EUR</t>
  </si>
  <si>
    <t>Conf</t>
  </si>
  <si>
    <t>Data</t>
  </si>
  <si>
    <t>Issue Px</t>
  </si>
  <si>
    <t>Issue_Px</t>
  </si>
  <si>
    <t>Requisito di Rischio/Rendimento</t>
  </si>
  <si>
    <t>Tax Free</t>
  </si>
  <si>
    <t>Bechmark</t>
  </si>
  <si>
    <t>Esito</t>
  </si>
  <si>
    <t>No Soglia</t>
  </si>
  <si>
    <t>TIR</t>
  </si>
  <si>
    <t>VaR</t>
  </si>
  <si>
    <t>Soglia</t>
  </si>
  <si>
    <t>Contratto*</t>
  </si>
  <si>
    <t>Prob &lt; 0</t>
  </si>
  <si>
    <t>Se il Valore di riferimento Finale è inferiore al livello della Barriera</t>
  </si>
  <si>
    <t>Importo di Liquidazione</t>
  </si>
  <si>
    <t>Pricing Date</t>
  </si>
  <si>
    <t>Px S24O</t>
  </si>
  <si>
    <t>Rend Lordo S240</t>
  </si>
  <si>
    <t>Rend Lordo BLP</t>
  </si>
  <si>
    <t>Rend Netto BLP</t>
  </si>
  <si>
    <t>Px S24O + 50bp</t>
  </si>
  <si>
    <t>TIR (-10%, Min -30bp )</t>
  </si>
  <si>
    <t>VaR (+15%, Min 50bp)</t>
  </si>
  <si>
    <t>Lordo Tax</t>
  </si>
  <si>
    <t>CURVE TESORERIA CURVA UNICA</t>
  </si>
  <si>
    <t>CURVA BIMI vs E3M</t>
  </si>
  <si>
    <t>Spread vs E3M</t>
  </si>
  <si>
    <t>FIX (BID)</t>
  </si>
  <si>
    <t>FLOAT (BID)</t>
  </si>
  <si>
    <t>CURVA UNICA SPREAD (bp)</t>
  </si>
  <si>
    <t>CURVA FIX vs E3M</t>
  </si>
  <si>
    <t>CURVA FRN vs E3M</t>
  </si>
  <si>
    <t>LIVELLO FUNDING OPERATIVO</t>
  </si>
  <si>
    <t>CURVA BENCHMARK UNICA (bp)</t>
  </si>
  <si>
    <t>CURVA FIX BIMI (bp)</t>
  </si>
  <si>
    <t>CURVA FRN BIMI (bp)</t>
  </si>
  <si>
    <t xml:space="preserve">Condizione 1
</t>
  </si>
  <si>
    <t>Condizione 2
TF</t>
  </si>
  <si>
    <t>Condizione 2
TV e Strutt</t>
  </si>
  <si>
    <t>-</t>
  </si>
  <si>
    <t>Check</t>
  </si>
  <si>
    <t>Condizione 2: differenza massima, a sfavore del cliente, di 40 b.p.a. rispetto al livello della Curva FRN espressa contro 3 mesi Euribor - per le emissioni a tasso variabile e strutturate - e della Curva FIX espressa contro 3 mesi Euribor - per le emissioni a tasso fisso - comunicato da Banca IMI</t>
  </si>
  <si>
    <t>DIFF BTP3</t>
  </si>
  <si>
    <t>Maturity_Check3</t>
  </si>
  <si>
    <t>DIFF BTP4</t>
  </si>
  <si>
    <t>C3</t>
  </si>
  <si>
    <t>IL = VRF x Multiplo x LME</t>
  </si>
  <si>
    <t>Di seguito la tabella riporta la distribuzione dei TIR del prodotto, costruita a partire da una simulazione stocastica (10.000 scenari) su osservazioni storiche opportunamente ricombinate dell’indice sottostante il prodotto.</t>
  </si>
  <si>
    <t>Percentili
Lordo Tax</t>
  </si>
  <si>
    <t>Condizione 1: tolleranza massima, a sfavore del cliente, nella misura del 10% rispetto al livello della Curva benchmark UNICA stessa</t>
  </si>
  <si>
    <t>BTP</t>
  </si>
  <si>
    <t>Prob Rimborso</t>
  </si>
  <si>
    <t>TF = Tasso Fisso, TV = Tasso Variabile, Strutt = Strutturati</t>
  </si>
  <si>
    <t>EJ514272 Corp</t>
  </si>
  <si>
    <t xml:space="preserve"> </t>
  </si>
  <si>
    <t>Mediana</t>
  </si>
  <si>
    <t>Prob BTP TOT</t>
  </si>
  <si>
    <t>Mediana Netta (TOT)</t>
  </si>
  <si>
    <t>Analisi del rischio del Certificate</t>
  </si>
  <si>
    <t>* Ai fini della rappresentazione in tabella, il rendimento utilizzato (al netto della fiscalità) è la media ponderata, per la probabilità di rimborso, delle mediane delle distribuzioni di rendimento alle varie scadenze annuali.</t>
  </si>
  <si>
    <t>Drift</t>
  </si>
  <si>
    <t>TIR (2Y)</t>
  </si>
  <si>
    <t>Se il Valore di riferimento Finale è uguale o superiore alla barriera</t>
  </si>
  <si>
    <t>E3M +</t>
  </si>
  <si>
    <t>01/08/2034</t>
  </si>
  <si>
    <t>01/08/2039</t>
  </si>
  <si>
    <t>TIR (4Y)</t>
  </si>
  <si>
    <t>Anni</t>
  </si>
  <si>
    <t>giorni</t>
  </si>
  <si>
    <t>Baa1</t>
  </si>
  <si>
    <t>DRIFT STUDI</t>
  </si>
  <si>
    <t>check</t>
  </si>
  <si>
    <t>HIST DRIFT</t>
  </si>
  <si>
    <t>Sottostante</t>
  </si>
  <si>
    <t>Condizione di Pagamento Anticipato</t>
  </si>
  <si>
    <t>Condizione di Pagamento</t>
  </si>
  <si>
    <t>Valore</t>
  </si>
  <si>
    <t xml:space="preserve"> GRM - DIREZIONE CENTRALE ENTERPRISE RISK MANAGEMENT</t>
  </si>
  <si>
    <t>IT0005274805</t>
  </si>
  <si>
    <t>04/07/2017</t>
  </si>
  <si>
    <t>01/08/2027</t>
  </si>
  <si>
    <t>BBB</t>
  </si>
  <si>
    <r>
      <t>VRI: Valore di Riferimento Iniziale, p</t>
    </r>
    <r>
      <rPr>
        <sz val="10"/>
        <color indexed="8"/>
        <rFont val="Calibri"/>
        <family val="2"/>
      </rPr>
      <t>ari al livello di chiusura del titolo sottostante, rilevato alla data di Determinazione.</t>
    </r>
  </si>
  <si>
    <r>
      <t>VRF: Valore di Riferimento Finale, p</t>
    </r>
    <r>
      <rPr>
        <sz val="10"/>
        <color indexed="8"/>
        <rFont val="Calibri"/>
        <family val="2"/>
      </rPr>
      <t>ari al livello di chiusura del titolo sottostante, rilevato nei giorni di valutazione.</t>
    </r>
  </si>
  <si>
    <t>Indext: indica il Valore di riferimento dell'azione sottostante alle Date di Rimborso Anticipato</t>
  </si>
  <si>
    <t>VRI: Valore di Riferimento Iniziale, pari al livello di chiusura dell'azione Sottostante, rilevato alla data di Determinazione Iniziale</t>
  </si>
  <si>
    <t>Periodi di Valutazione</t>
  </si>
  <si>
    <t>AQ935391 Corp</t>
  </si>
  <si>
    <t>AR461831 Corp</t>
  </si>
  <si>
    <t>AN204951 Corp</t>
  </si>
  <si>
    <t>IT0005162828</t>
  </si>
  <si>
    <t>09/02/2016</t>
  </si>
  <si>
    <t>01/03/2047</t>
  </si>
  <si>
    <t>IT0005172322</t>
  </si>
  <si>
    <t>15/03/2016</t>
  </si>
  <si>
    <t>15/03/2023</t>
  </si>
  <si>
    <t>IT0005170839</t>
  </si>
  <si>
    <t>01/03/2016</t>
  </si>
  <si>
    <t>01/06/2026</t>
  </si>
  <si>
    <t>IT0005090318</t>
  </si>
  <si>
    <t>02/03/2015</t>
  </si>
  <si>
    <t>01/06/2025</t>
  </si>
  <si>
    <t>IT0005240830</t>
  </si>
  <si>
    <t>01/02/2017</t>
  </si>
  <si>
    <t>01/06/2027</t>
  </si>
  <si>
    <t>IT0005215246</t>
  </si>
  <si>
    <t>15/09/2016</t>
  </si>
  <si>
    <t>15/10/2023</t>
  </si>
  <si>
    <t>IT0005210650</t>
  </si>
  <si>
    <t>01/08/2016</t>
  </si>
  <si>
    <t>01/12/2026</t>
  </si>
  <si>
    <t>IT0005216491</t>
  </si>
  <si>
    <t>03/10/2016</t>
  </si>
  <si>
    <t>01/11/2021</t>
  </si>
  <si>
    <t>IT0005240350</t>
  </si>
  <si>
    <t>25/01/2017</t>
  </si>
  <si>
    <t>01/09/2033</t>
  </si>
  <si>
    <t>IT0005083057</t>
  </si>
  <si>
    <t>22/01/2015</t>
  </si>
  <si>
    <t>01/09/2046</t>
  </si>
  <si>
    <t>IT0005094088</t>
  </si>
  <si>
    <t>24/03/2015</t>
  </si>
  <si>
    <t>01/03/2032</t>
  </si>
  <si>
    <t>IT0005217929</t>
  </si>
  <si>
    <t>17/10/2016</t>
  </si>
  <si>
    <t>15/10/2019</t>
  </si>
  <si>
    <t>IT0005177909</t>
  </si>
  <si>
    <t>26/04/2016</t>
  </si>
  <si>
    <t>01/09/2036</t>
  </si>
  <si>
    <t>IT0004848831</t>
  </si>
  <si>
    <t>03/09/2012</t>
  </si>
  <si>
    <t>01/11/2022</t>
  </si>
  <si>
    <t>IT0004634132</t>
  </si>
  <si>
    <t>01/09/2010</t>
  </si>
  <si>
    <t>01/03/2021</t>
  </si>
  <si>
    <t>IT0005127086</t>
  </si>
  <si>
    <t>01/09/2015</t>
  </si>
  <si>
    <t>01/12/2025</t>
  </si>
  <si>
    <t>IT0004513641</t>
  </si>
  <si>
    <t>15/07/2009</t>
  </si>
  <si>
    <t>01/03/2025</t>
  </si>
  <si>
    <t>IT0004644735</t>
  </si>
  <si>
    <t>29/09/2010</t>
  </si>
  <si>
    <t>01/03/2026</t>
  </si>
  <si>
    <t>IT0005024234</t>
  </si>
  <si>
    <t>21/05/2014</t>
  </si>
  <si>
    <t>01/03/2030</t>
  </si>
  <si>
    <t>IT0005175598</t>
  </si>
  <si>
    <t>01/04/2016</t>
  </si>
  <si>
    <t>01/06/2021</t>
  </si>
  <si>
    <t>IT0005001547</t>
  </si>
  <si>
    <t>03/03/2014</t>
  </si>
  <si>
    <t>01/09/2024</t>
  </si>
  <si>
    <t>IT0004532559</t>
  </si>
  <si>
    <t>16/09/2009</t>
  </si>
  <si>
    <t>01/09/2040</t>
  </si>
  <si>
    <t>IT0005107708</t>
  </si>
  <si>
    <t>04/05/2015</t>
  </si>
  <si>
    <t>01/05/2020</t>
  </si>
  <si>
    <t>IT0003934657</t>
  </si>
  <si>
    <t>19/10/2005</t>
  </si>
  <si>
    <t>01/02/2037</t>
  </si>
  <si>
    <t>IT0004898034</t>
  </si>
  <si>
    <t>01/03/2013</t>
  </si>
  <si>
    <t>01/05/2023</t>
  </si>
  <si>
    <t>IT0004953417</t>
  </si>
  <si>
    <t>01/08/2013</t>
  </si>
  <si>
    <t>01/03/2024</t>
  </si>
  <si>
    <t>IT0005244782</t>
  </si>
  <si>
    <t>01/03/2017</t>
  </si>
  <si>
    <t>01/04/2022</t>
  </si>
  <si>
    <t>IT0005135840</t>
  </si>
  <si>
    <t>15/09/2015</t>
  </si>
  <si>
    <t>15/09/2022</t>
  </si>
  <si>
    <t>IT0001174611</t>
  </si>
  <si>
    <t>01/11/1997</t>
  </si>
  <si>
    <t>01/11/2027</t>
  </si>
  <si>
    <t>IT0004695075</t>
  </si>
  <si>
    <t>01/03/2011</t>
  </si>
  <si>
    <t>01/09/2021</t>
  </si>
  <si>
    <t>IT0005142143</t>
  </si>
  <si>
    <t>02/11/2015</t>
  </si>
  <si>
    <t>01/11/2020</t>
  </si>
  <si>
    <t>IT0004594930</t>
  </si>
  <si>
    <t>01/04/2010</t>
  </si>
  <si>
    <t>01/09/2020</t>
  </si>
  <si>
    <t>IT0004356843</t>
  </si>
  <si>
    <t>16/04/2008</t>
  </si>
  <si>
    <t>01/08/2023</t>
  </si>
  <si>
    <t>IT0005086886</t>
  </si>
  <si>
    <t>16/02/2015</t>
  </si>
  <si>
    <t>15/04/2022</t>
  </si>
  <si>
    <t>IT0001444378</t>
  </si>
  <si>
    <t>17/03/2000</t>
  </si>
  <si>
    <t>01/05/2031</t>
  </si>
  <si>
    <t>IT0005045270</t>
  </si>
  <si>
    <t>01/09/2014</t>
  </si>
  <si>
    <t>01/12/2024</t>
  </si>
  <si>
    <t>IT0004923998</t>
  </si>
  <si>
    <t>22/05/2013</t>
  </si>
  <si>
    <t>01/09/2044</t>
  </si>
  <si>
    <t>IT0001278511</t>
  </si>
  <si>
    <t>18/11/1998</t>
  </si>
  <si>
    <t>01/11/2029</t>
  </si>
  <si>
    <t>IT0004759673</t>
  </si>
  <si>
    <t>01/09/2011</t>
  </si>
  <si>
    <t>01/03/2022</t>
  </si>
  <si>
    <t>IT0000366655</t>
  </si>
  <si>
    <t>18/11/1993</t>
  </si>
  <si>
    <t>01/11/2023</t>
  </si>
  <si>
    <t>IT0004966401</t>
  </si>
  <si>
    <t>16/10/2013</t>
  </si>
  <si>
    <t>01/05/2021</t>
  </si>
  <si>
    <t>IT0003535157</t>
  </si>
  <si>
    <t>24/09/2003</t>
  </si>
  <si>
    <t>IT0004801541</t>
  </si>
  <si>
    <t>01/03/2012</t>
  </si>
  <si>
    <t>01/09/2022</t>
  </si>
  <si>
    <t>IT0005069395</t>
  </si>
  <si>
    <t>01/12/2014</t>
  </si>
  <si>
    <t>01/12/2019</t>
  </si>
  <si>
    <t>IT0005028003</t>
  </si>
  <si>
    <t>16/06/2014</t>
  </si>
  <si>
    <t>15/12/2021</t>
  </si>
  <si>
    <t>IT0003644769</t>
  </si>
  <si>
    <t>24/03/2004</t>
  </si>
  <si>
    <t>01/02/2020</t>
  </si>
  <si>
    <t>IT0004286966</t>
  </si>
  <si>
    <t>23/10/2007</t>
  </si>
  <si>
    <t>IT0004489610</t>
  </si>
  <si>
    <t>04/05/2009</t>
  </si>
  <si>
    <t>01/09/2019</t>
  </si>
  <si>
    <t>IT0004009673</t>
  </si>
  <si>
    <t>01/02/2006</t>
  </si>
  <si>
    <t>01/08/2021</t>
  </si>
  <si>
    <t>IT0004536949</t>
  </si>
  <si>
    <t>01/10/2009</t>
  </si>
  <si>
    <t>01/03/2020</t>
  </si>
  <si>
    <t>IT0005030504</t>
  </si>
  <si>
    <t>01/07/2014</t>
  </si>
  <si>
    <t>01/08/2019</t>
  </si>
  <si>
    <t>IT0001086567</t>
  </si>
  <si>
    <t>03/02/1997</t>
  </si>
  <si>
    <t>01/11/2026</t>
  </si>
  <si>
    <t>IT0003256820</t>
  </si>
  <si>
    <t>18/03/2002</t>
  </si>
  <si>
    <t>01/02/2033</t>
  </si>
  <si>
    <t>IT0004992308</t>
  </si>
  <si>
    <t>03/02/2014</t>
  </si>
  <si>
    <t>01/05/2019</t>
  </si>
  <si>
    <t>IT0005177271</t>
  </si>
  <si>
    <t>15/04/2016</t>
  </si>
  <si>
    <t>15/04/2019</t>
  </si>
  <si>
    <t>IT0005327306</t>
  </si>
  <si>
    <t>15/03/2018</t>
  </si>
  <si>
    <t>15/05/2025</t>
  </si>
  <si>
    <t>IT0005330961</t>
  </si>
  <si>
    <t>16/04/2018</t>
  </si>
  <si>
    <t>15/04/2021</t>
  </si>
  <si>
    <t>AT758770 Corp</t>
  </si>
  <si>
    <t>AS159728 Corp</t>
  </si>
  <si>
    <t>AN868354 Corp</t>
  </si>
  <si>
    <t>AU896732 Corp</t>
  </si>
  <si>
    <t>AP508759 Corp</t>
  </si>
  <si>
    <t>AU474747 Corp</t>
  </si>
  <si>
    <t>EI385633 Corp</t>
  </si>
  <si>
    <t>QZ766515 Corp</t>
  </si>
  <si>
    <t>AO147957 Corp</t>
  </si>
  <si>
    <t>AQ706282 Corp</t>
  </si>
  <si>
    <t>QZ510774 Corp</t>
  </si>
  <si>
    <t>QJ398197 Corp</t>
  </si>
  <si>
    <t>EK274354 Corp</t>
  </si>
  <si>
    <t>EK457296 Corp</t>
  </si>
  <si>
    <t>AP093098 Corp</t>
  </si>
  <si>
    <t>QZ016755 Corp</t>
  </si>
  <si>
    <t>EK624270 Corp</t>
  </si>
  <si>
    <t>UV826532 Corp</t>
  </si>
  <si>
    <t>QZ693949 Corp</t>
  </si>
  <si>
    <t>EJ873702 Corp</t>
  </si>
  <si>
    <t>JV910526 Corp</t>
  </si>
  <si>
    <t>EK808607 Corp</t>
  </si>
  <si>
    <t>AO513570 Corp</t>
  </si>
  <si>
    <t>EK324067 Corp</t>
  </si>
  <si>
    <t>EF130795 Corp</t>
  </si>
  <si>
    <t>EK881915 Corp</t>
  </si>
  <si>
    <t>EF259738 Corp</t>
  </si>
  <si>
    <t>AR689537 Corp</t>
  </si>
  <si>
    <t>EK769119 Corp</t>
  </si>
  <si>
    <t>QZ853646 Corp</t>
  </si>
  <si>
    <t>EH802597 Corp</t>
  </si>
  <si>
    <t>AM293682 Corp</t>
  </si>
  <si>
    <t>EI201806 Corp</t>
  </si>
  <si>
    <t>JK394212 Corp</t>
  </si>
  <si>
    <t>EK745781 Corp</t>
  </si>
  <si>
    <t>EK699416 Corp</t>
  </si>
  <si>
    <t>ED382316 Corp</t>
  </si>
  <si>
    <t>AM796312 Corp</t>
  </si>
  <si>
    <t>JK584882 Corp</t>
  </si>
  <si>
    <t>UV656956 Corp</t>
  </si>
  <si>
    <t>AM628616 Corp</t>
  </si>
  <si>
    <t>AM201615 Corp</t>
  </si>
  <si>
    <t>EK093352 Corp</t>
  </si>
  <si>
    <t>EJ341690 Corp</t>
  </si>
  <si>
    <t>EK352661 Corp</t>
  </si>
  <si>
    <t>EI793398 Corp</t>
  </si>
  <si>
    <t>JK234401 Corp</t>
  </si>
  <si>
    <t>EK048427 Corp</t>
  </si>
  <si>
    <t>EJ568862 Corp</t>
  </si>
  <si>
    <t>EJ770441 Corp</t>
  </si>
  <si>
    <t>EC237370 Corp</t>
  </si>
  <si>
    <t>EC065947 Corp</t>
  </si>
  <si>
    <t>JK840318 Corp</t>
  </si>
  <si>
    <t>EI586386 Corp</t>
  </si>
  <si>
    <t>EH986306 Corp</t>
  </si>
  <si>
    <t>EH969116 Corp</t>
  </si>
  <si>
    <t>EJ679466 Corp</t>
  </si>
  <si>
    <t>EH305692 Corp</t>
  </si>
  <si>
    <t>EI415319 Corp</t>
  </si>
  <si>
    <t>GG736613 Corp</t>
  </si>
  <si>
    <t>GG717874 Corp</t>
  </si>
  <si>
    <t>JK757528 Corp</t>
  </si>
  <si>
    <t>ED154470 Corp</t>
  </si>
  <si>
    <t>EC534684 Corp</t>
  </si>
  <si>
    <t>EH896068 Corp</t>
  </si>
  <si>
    <t>EJ042056 Corp</t>
  </si>
  <si>
    <t>GG730271 Corp</t>
  </si>
  <si>
    <t>EG939837 Corp</t>
  </si>
  <si>
    <t>GG730266 Corp</t>
  </si>
  <si>
    <t>AX390582 Corp</t>
  </si>
  <si>
    <t>AX099966 Corp</t>
  </si>
  <si>
    <t>AW703520 Corp</t>
  </si>
  <si>
    <t>AX601001 Corp</t>
  </si>
  <si>
    <t>IT0000366721</t>
  </si>
  <si>
    <t>22/12/1993</t>
  </si>
  <si>
    <t>22/12/2023</t>
  </si>
  <si>
    <t>IT0005366007</t>
  </si>
  <si>
    <t>15/03/2019</t>
  </si>
  <si>
    <t>15/07/2022</t>
  </si>
  <si>
    <t>…</t>
  </si>
  <si>
    <t>Divisione Private Banking</t>
  </si>
  <si>
    <t>Remunerazione e Rimborso</t>
  </si>
  <si>
    <t>Periodi di Valutazione Digital</t>
  </si>
  <si>
    <t>Condizione di pagamento Importo Digital</t>
  </si>
  <si>
    <t>Importo Digital</t>
  </si>
  <si>
    <t>Importo Autocall</t>
  </si>
  <si>
    <t>Barriera Autocall</t>
  </si>
  <si>
    <t>B3</t>
  </si>
  <si>
    <t>Num Cedole Dig</t>
  </si>
  <si>
    <t>BTP36m</t>
  </si>
  <si>
    <t>BTP30m</t>
  </si>
  <si>
    <t>BTP24m</t>
  </si>
  <si>
    <t>BTP18m</t>
  </si>
  <si>
    <t>BTP12m</t>
  </si>
  <si>
    <t>BTP 36m</t>
  </si>
  <si>
    <t>BTP 30m</t>
  </si>
  <si>
    <t>BTP 24m</t>
  </si>
  <si>
    <t>BTP 18m</t>
  </si>
  <si>
    <t>BTP 12m</t>
  </si>
  <si>
    <t>ISIN4</t>
  </si>
  <si>
    <t>ISIN5</t>
  </si>
  <si>
    <t>DIFF BTP5</t>
  </si>
  <si>
    <t>Maturity_Check4</t>
  </si>
  <si>
    <t>IT0005340929</t>
  </si>
  <si>
    <t>01/08/2018</t>
  </si>
  <si>
    <t>01/12/2028</t>
  </si>
  <si>
    <t>IT0005365165</t>
  </si>
  <si>
    <t>01/03/2019</t>
  </si>
  <si>
    <t>01/08/2029</t>
  </si>
  <si>
    <t>IT0005363111</t>
  </si>
  <si>
    <t>13/02/2019</t>
  </si>
  <si>
    <t>01/09/2049</t>
  </si>
  <si>
    <t>IT0005285041</t>
  </si>
  <si>
    <t>16/10/2017</t>
  </si>
  <si>
    <t>15/10/2020</t>
  </si>
  <si>
    <t>IT0005273013</t>
  </si>
  <si>
    <t>14/06/2017</t>
  </si>
  <si>
    <t>01/03/2048</t>
  </si>
  <si>
    <t>IT0004889033</t>
  </si>
  <si>
    <t>22/01/2013</t>
  </si>
  <si>
    <t>01/09/2028</t>
  </si>
  <si>
    <t>IT0005323032</t>
  </si>
  <si>
    <t>01/02/2018</t>
  </si>
  <si>
    <t>01/02/2028</t>
  </si>
  <si>
    <t>IT0005348443</t>
  </si>
  <si>
    <t>15/10/2018</t>
  </si>
  <si>
    <t>15/10/2021</t>
  </si>
  <si>
    <t>IT0005345183</t>
  </si>
  <si>
    <t>17/09/2018</t>
  </si>
  <si>
    <t>15/11/2025</t>
  </si>
  <si>
    <t>IT0005217390</t>
  </si>
  <si>
    <t>11/10/2016</t>
  </si>
  <si>
    <t>01/03/2067</t>
  </si>
  <si>
    <t>IT0005358806</t>
  </si>
  <si>
    <t>22/01/2019</t>
  </si>
  <si>
    <t>01/03/2035</t>
  </si>
  <si>
    <t>IT0005282527</t>
  </si>
  <si>
    <t>15/09/2017</t>
  </si>
  <si>
    <t>15/11/2024</t>
  </si>
  <si>
    <t>IT0005246340</t>
  </si>
  <si>
    <t>15/03/2017</t>
  </si>
  <si>
    <t>15/05/2024</t>
  </si>
  <si>
    <t>IT0005325946</t>
  </si>
  <si>
    <t>01/03/2018</t>
  </si>
  <si>
    <t>01/03/2023</t>
  </si>
  <si>
    <t>IT0005277444</t>
  </si>
  <si>
    <t>01/08/2017</t>
  </si>
  <si>
    <t>01/08/2022</t>
  </si>
  <si>
    <t>IT0005250946</t>
  </si>
  <si>
    <t>18/04/2017</t>
  </si>
  <si>
    <t>15/06/2020</t>
  </si>
  <si>
    <t>IT0005321325</t>
  </si>
  <si>
    <t>17/01/2018</t>
  </si>
  <si>
    <t>01/09/2038</t>
  </si>
  <si>
    <t>Mediobanca S.p.a.</t>
  </si>
  <si>
    <t>MB IM Equity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</si>
</sst>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2">
    <numFmt numFmtId="164" formatCode="&quot;€&quot;\ #,##0;[Red]\-&quot;€&quot;\ #,##0"/>
    <numFmt numFmtId="165" formatCode="_-* #,##0.00_-;\-* #,##0.00_-;_-* &quot;-&quot;??_-;_-@_-"/>
    <numFmt numFmtId="166" formatCode="dd/mm/yy"/>
    <numFmt numFmtId="167" formatCode="0.0"/>
    <numFmt numFmtId="168" formatCode="0.000"/>
    <numFmt numFmtId="169" formatCode="0.0000"/>
    <numFmt numFmtId="170" formatCode="0.000%"/>
    <numFmt numFmtId="171" formatCode="0.00000%"/>
    <numFmt numFmtId="172" formatCode="0.00000"/>
    <numFmt numFmtId="173" formatCode="0.0000000%"/>
    <numFmt numFmtId="174" formatCode="[$-410]d\ mmmm\ yyyy;@"/>
    <numFmt numFmtId="175" formatCode="0.0%"/>
  </numFmts>
  <fonts count="44" x14ac:knownFonts="1">
    <font>
      <sz val="10"/>
      <name val="Arial"/>
    </font>
    <font>
      <sz val="10"/>
      <name val="Arial"/>
      <family val="2"/>
    </font>
    <font>
      <sz val="8"/>
      <color indexed="81"/>
      <name val="Tahoma"/>
      <family val="2"/>
    </font>
    <font>
      <b/>
      <sz val="8"/>
      <color indexed="81"/>
      <name val="Tahoma"/>
      <family val="2"/>
    </font>
    <font>
      <b/>
      <sz val="10"/>
      <color indexed="9"/>
      <name val="Calibri"/>
      <family val="2"/>
    </font>
    <font>
      <b/>
      <i/>
      <sz val="10"/>
      <name val="Calibri"/>
      <family val="2"/>
    </font>
    <font>
      <b/>
      <sz val="10"/>
      <color indexed="56"/>
      <name val="Calibri"/>
      <family val="2"/>
    </font>
    <font>
      <sz val="10"/>
      <name val="Calibri"/>
      <family val="2"/>
    </font>
    <font>
      <b/>
      <sz val="10"/>
      <name val="Calibri"/>
      <family val="2"/>
    </font>
    <font>
      <b/>
      <sz val="10"/>
      <color indexed="10"/>
      <name val="Calibri"/>
      <family val="2"/>
    </font>
    <font>
      <i/>
      <sz val="10"/>
      <name val="Calibri"/>
      <family val="2"/>
    </font>
    <font>
      <b/>
      <i/>
      <sz val="10"/>
      <color indexed="10"/>
      <name val="Calibri"/>
      <family val="2"/>
    </font>
    <font>
      <sz val="10"/>
      <color indexed="9"/>
      <name val="Calibri"/>
      <family val="2"/>
    </font>
    <font>
      <sz val="10"/>
      <color indexed="8"/>
      <name val="Calibri"/>
      <family val="2"/>
    </font>
    <font>
      <b/>
      <sz val="8"/>
      <name val="Calibri"/>
      <family val="2"/>
    </font>
    <font>
      <i/>
      <sz val="8"/>
      <name val="Calibri"/>
      <family val="2"/>
    </font>
    <font>
      <b/>
      <sz val="10"/>
      <color indexed="17"/>
      <name val="Calibri"/>
      <family val="2"/>
    </font>
    <font>
      <i/>
      <sz val="10"/>
      <color indexed="17"/>
      <name val="Calibri"/>
      <family val="2"/>
    </font>
    <font>
      <sz val="9"/>
      <name val="Calibri"/>
      <family val="2"/>
    </font>
    <font>
      <b/>
      <sz val="12"/>
      <name val="Calibri"/>
      <family val="2"/>
    </font>
    <font>
      <b/>
      <sz val="11"/>
      <name val="Calibri"/>
      <family val="2"/>
    </font>
    <font>
      <i/>
      <sz val="7"/>
      <name val="Calibri"/>
      <family val="2"/>
    </font>
    <font>
      <sz val="8"/>
      <name val="Calibri"/>
      <family val="2"/>
    </font>
    <font>
      <b/>
      <sz val="10"/>
      <color indexed="8"/>
      <name val="Calibri"/>
      <family val="2"/>
    </font>
    <font>
      <b/>
      <i/>
      <sz val="8"/>
      <name val="Calibri"/>
      <family val="2"/>
    </font>
    <font>
      <i/>
      <sz val="10"/>
      <color indexed="8"/>
      <name val="Calibri"/>
      <family val="2"/>
    </font>
    <font>
      <b/>
      <sz val="8"/>
      <color indexed="53"/>
      <name val="Calibri"/>
      <family val="2"/>
    </font>
    <font>
      <i/>
      <sz val="10"/>
      <color indexed="10"/>
      <name val="Calibri"/>
      <family val="2"/>
    </font>
    <font>
      <sz val="10"/>
      <color indexed="22"/>
      <name val="Calibri"/>
      <family val="2"/>
    </font>
    <font>
      <b/>
      <sz val="10"/>
      <color indexed="22"/>
      <name val="Calibri"/>
      <family val="2"/>
    </font>
    <font>
      <i/>
      <sz val="10"/>
      <color indexed="53"/>
      <name val="Calibri"/>
      <family val="2"/>
    </font>
    <font>
      <b/>
      <sz val="8"/>
      <color indexed="23"/>
      <name val="Calibri"/>
      <family val="2"/>
    </font>
    <font>
      <b/>
      <sz val="8"/>
      <color indexed="9"/>
      <name val="Calibri"/>
      <family val="2"/>
    </font>
    <font>
      <b/>
      <sz val="9"/>
      <name val="Calibri"/>
      <family val="2"/>
    </font>
    <font>
      <b/>
      <i/>
      <sz val="9"/>
      <name val="Calibri"/>
      <family val="2"/>
    </font>
    <font>
      <sz val="10"/>
      <name val="Arial"/>
      <family val="2"/>
    </font>
    <font>
      <b/>
      <sz val="8"/>
      <color theme="9" tint="-0.499984740745262"/>
      <name val="Calibri"/>
      <family val="2"/>
    </font>
    <font>
      <b/>
      <sz val="8"/>
      <color theme="3" tint="-0.249977111117893"/>
      <name val="Calibri"/>
      <family val="2"/>
    </font>
    <font>
      <b/>
      <sz val="8"/>
      <color rgb="FFFF0000"/>
      <name val="Calibri"/>
      <family val="2"/>
    </font>
    <font>
      <sz val="10"/>
      <color theme="0" tint="-0.249977111117893"/>
      <name val="Calibri"/>
      <family val="2"/>
    </font>
    <font>
      <b/>
      <sz val="10"/>
      <color theme="6" tint="0.39997558519241921"/>
      <name val="Calibri"/>
      <family val="2"/>
    </font>
    <font>
      <sz val="10"/>
      <color rgb="FFFF0000"/>
      <name val="Calibri"/>
      <family val="2"/>
    </font>
    <font>
      <sz val="9"/>
      <color indexed="81"/>
      <name val="Tahoma"/>
      <family val="2"/>
    </font>
    <font>
      <b/>
      <sz val="9"/>
      <color indexed="81"/>
      <name val="Tahoma"/>
      <family val="2"/>
    </font>
  </fonts>
  <fills count="10">
    <fill>
      <patternFill patternType="none"/>
    </fill>
    <fill>
      <patternFill patternType="gray125"/>
    </fill>
    <fill>
      <patternFill patternType="solid">
        <fgColor indexed="9"/>
        <bgColor indexed="64"/>
      </patternFill>
    </fill>
    <fill>
      <patternFill patternType="solid">
        <fgColor indexed="8"/>
        <bgColor indexed="64"/>
      </patternFill>
    </fill>
    <fill>
      <patternFill patternType="solid">
        <fgColor indexed="26"/>
        <bgColor indexed="64"/>
      </patternFill>
    </fill>
    <fill>
      <patternFill patternType="solid">
        <fgColor indexed="26"/>
        <bgColor indexed="22"/>
      </patternFill>
    </fill>
    <fill>
      <patternFill patternType="solid">
        <fgColor indexed="22"/>
        <bgColor indexed="64"/>
      </patternFill>
    </fill>
    <fill>
      <patternFill patternType="solid">
        <fgColor theme="0"/>
        <bgColor indexed="64"/>
      </patternFill>
    </fill>
    <fill>
      <patternFill patternType="solid">
        <fgColor theme="0"/>
        <bgColor indexed="22"/>
      </patternFill>
    </fill>
    <fill>
      <patternFill patternType="solid">
        <fgColor rgb="FFFFFFCC"/>
        <bgColor indexed="64"/>
      </patternFill>
    </fill>
  </fills>
  <borders count="23">
    <border>
      <left/>
      <right/>
      <top/>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style="dotted">
        <color indexed="64"/>
      </left>
      <right style="thin">
        <color indexed="64"/>
      </right>
      <top style="thin">
        <color indexed="64"/>
      </top>
      <bottom/>
      <diagonal/>
    </border>
    <border>
      <left style="dotted">
        <color indexed="64"/>
      </left>
      <right style="thin">
        <color indexed="64"/>
      </right>
      <top/>
      <bottom/>
      <diagonal/>
    </border>
    <border>
      <left style="thin">
        <color indexed="64"/>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dotted">
        <color indexed="64"/>
      </left>
      <right style="thin">
        <color indexed="64"/>
      </right>
      <top style="thin">
        <color indexed="64"/>
      </top>
      <bottom style="thin">
        <color indexed="64"/>
      </bottom>
      <diagonal/>
    </border>
    <border>
      <left/>
      <right/>
      <top/>
      <bottom style="thin">
        <color indexed="53"/>
      </bottom>
      <diagonal/>
    </border>
    <border>
      <left style="dotted">
        <color indexed="64"/>
      </left>
      <right style="thin">
        <color indexed="64"/>
      </right>
      <top/>
      <bottom style="thin">
        <color indexed="64"/>
      </bottom>
      <diagonal/>
    </border>
    <border>
      <left/>
      <right/>
      <top/>
      <bottom style="thin">
        <color indexed="9"/>
      </bottom>
      <diagonal/>
    </border>
    <border>
      <left/>
      <right/>
      <top/>
      <bottom style="thin">
        <color indexed="23"/>
      </bottom>
      <diagonal/>
    </border>
  </borders>
  <cellStyleXfs count="7">
    <xf numFmtId="0" fontId="0" fillId="0" borderId="0"/>
    <xf numFmtId="165" fontId="1" fillId="0" borderId="0" applyFont="0" applyFill="0" applyBorder="0" applyAlignment="0" applyProtection="0"/>
    <xf numFmtId="0" fontId="35" fillId="0" borderId="0"/>
    <xf numFmtId="0" fontId="35" fillId="0" borderId="0"/>
    <xf numFmtId="0" fontId="35" fillId="0" borderId="0"/>
    <xf numFmtId="9" fontId="1" fillId="0" borderId="0" applyFont="0" applyFill="0" applyBorder="0" applyAlignment="0" applyProtection="0"/>
    <xf numFmtId="9" fontId="35" fillId="0" borderId="0" applyFont="0" applyFill="0" applyBorder="0" applyAlignment="0" applyProtection="0"/>
  </cellStyleXfs>
  <cellXfs count="380">
    <xf numFmtId="0" fontId="0" fillId="0" borderId="0" xfId="0"/>
    <xf numFmtId="0" fontId="10" fillId="2" borderId="1" xfId="0" applyFont="1" applyFill="1" applyBorder="1" applyAlignment="1">
      <alignment vertical="center"/>
    </xf>
    <xf numFmtId="14" fontId="5" fillId="2" borderId="2" xfId="0" applyNumberFormat="1" applyFont="1" applyFill="1" applyBorder="1" applyAlignment="1">
      <alignment vertical="center"/>
    </xf>
    <xf numFmtId="0" fontId="7" fillId="2" borderId="0" xfId="0" applyFont="1" applyFill="1" applyAlignment="1">
      <alignment vertical="center"/>
    </xf>
    <xf numFmtId="14" fontId="5" fillId="2" borderId="3" xfId="0" applyNumberFormat="1" applyFont="1" applyFill="1" applyBorder="1" applyAlignment="1">
      <alignment vertical="center"/>
    </xf>
    <xf numFmtId="10" fontId="8" fillId="2" borderId="0" xfId="5" applyNumberFormat="1" applyFont="1" applyFill="1" applyAlignment="1">
      <alignment vertical="center"/>
    </xf>
    <xf numFmtId="0" fontId="8" fillId="2" borderId="4" xfId="0" applyFont="1" applyFill="1" applyBorder="1" applyAlignment="1">
      <alignment vertical="center"/>
    </xf>
    <xf numFmtId="1" fontId="9" fillId="2" borderId="4" xfId="0" applyNumberFormat="1" applyFont="1" applyFill="1" applyBorder="1" applyAlignment="1">
      <alignment vertical="center"/>
    </xf>
    <xf numFmtId="166" fontId="7" fillId="2" borderId="5" xfId="0" applyNumberFormat="1" applyFont="1" applyFill="1" applyBorder="1" applyAlignment="1">
      <alignment vertical="center"/>
    </xf>
    <xf numFmtId="168" fontId="7" fillId="2" borderId="6" xfId="0" applyNumberFormat="1" applyFont="1" applyFill="1" applyBorder="1" applyAlignment="1">
      <alignment vertical="center"/>
    </xf>
    <xf numFmtId="168" fontId="7" fillId="2" borderId="0" xfId="0" applyNumberFormat="1" applyFont="1" applyFill="1" applyBorder="1" applyAlignment="1">
      <alignment vertical="center"/>
    </xf>
    <xf numFmtId="0" fontId="8" fillId="2" borderId="7" xfId="0" applyFont="1" applyFill="1" applyBorder="1" applyAlignment="1">
      <alignment vertical="center"/>
    </xf>
    <xf numFmtId="166" fontId="8" fillId="2" borderId="5" xfId="0" applyNumberFormat="1" applyFont="1" applyFill="1" applyBorder="1" applyAlignment="1">
      <alignment vertical="center"/>
    </xf>
    <xf numFmtId="0" fontId="7" fillId="2" borderId="0" xfId="0" applyFont="1" applyFill="1" applyBorder="1" applyAlignment="1">
      <alignment vertical="center"/>
    </xf>
    <xf numFmtId="0" fontId="12" fillId="2" borderId="0" xfId="0" applyFont="1" applyFill="1" applyAlignment="1">
      <alignment vertical="center"/>
    </xf>
    <xf numFmtId="0" fontId="8" fillId="2" borderId="0" xfId="0" applyFont="1" applyFill="1" applyBorder="1" applyAlignment="1">
      <alignment vertical="center"/>
    </xf>
    <xf numFmtId="0" fontId="11" fillId="2" borderId="0" xfId="0" applyFont="1" applyFill="1" applyBorder="1" applyAlignment="1">
      <alignment vertical="center"/>
    </xf>
    <xf numFmtId="1" fontId="10" fillId="2" borderId="8" xfId="0" applyNumberFormat="1" applyFont="1" applyFill="1" applyBorder="1" applyAlignment="1">
      <alignment vertical="center"/>
    </xf>
    <xf numFmtId="0" fontId="11" fillId="2" borderId="9" xfId="0" applyFont="1" applyFill="1" applyBorder="1" applyAlignment="1">
      <alignment vertical="center"/>
    </xf>
    <xf numFmtId="0" fontId="10" fillId="2" borderId="10" xfId="0" applyFont="1" applyFill="1" applyBorder="1" applyAlignment="1">
      <alignment vertical="center"/>
    </xf>
    <xf numFmtId="1" fontId="10" fillId="2" borderId="11" xfId="0" applyNumberFormat="1" applyFont="1" applyFill="1" applyBorder="1" applyAlignment="1">
      <alignment vertical="center"/>
    </xf>
    <xf numFmtId="0" fontId="7" fillId="2" borderId="0" xfId="0" applyFont="1" applyFill="1" applyBorder="1" applyAlignment="1">
      <alignment horizontal="center"/>
    </xf>
    <xf numFmtId="14" fontId="7" fillId="2" borderId="0" xfId="0" applyNumberFormat="1" applyFont="1" applyFill="1" applyBorder="1" applyAlignment="1">
      <alignment horizontal="center"/>
    </xf>
    <xf numFmtId="0" fontId="4" fillId="3" borderId="12" xfId="0" applyFont="1" applyFill="1" applyBorder="1" applyAlignment="1">
      <alignment horizontal="center" vertical="center"/>
    </xf>
    <xf numFmtId="166" fontId="16" fillId="2" borderId="2" xfId="0" applyNumberFormat="1" applyFont="1" applyFill="1" applyBorder="1" applyAlignment="1">
      <alignment vertical="center"/>
    </xf>
    <xf numFmtId="0" fontId="16" fillId="2" borderId="1" xfId="0" applyFont="1" applyFill="1" applyBorder="1" applyAlignment="1">
      <alignment horizontal="center" vertical="center"/>
    </xf>
    <xf numFmtId="0" fontId="16" fillId="2" borderId="13" xfId="0" applyFont="1" applyFill="1" applyBorder="1" applyAlignment="1">
      <alignment horizontal="center" vertical="center"/>
    </xf>
    <xf numFmtId="0" fontId="8" fillId="2" borderId="0" xfId="0" applyFont="1" applyFill="1" applyBorder="1" applyAlignment="1">
      <alignment horizontal="center" vertical="center"/>
    </xf>
    <xf numFmtId="166" fontId="9" fillId="2" borderId="7" xfId="0" applyNumberFormat="1" applyFont="1" applyFill="1" applyBorder="1" applyAlignment="1">
      <alignment vertical="center"/>
    </xf>
    <xf numFmtId="0" fontId="9" fillId="2" borderId="0" xfId="0" applyFont="1" applyFill="1" applyBorder="1" applyAlignment="1">
      <alignment horizontal="center" vertical="center"/>
    </xf>
    <xf numFmtId="0" fontId="9" fillId="2" borderId="14" xfId="0" applyFont="1" applyFill="1" applyBorder="1" applyAlignment="1">
      <alignment horizontal="center" vertical="center"/>
    </xf>
    <xf numFmtId="0" fontId="7" fillId="2" borderId="15" xfId="0" applyFont="1" applyFill="1" applyBorder="1" applyAlignment="1">
      <alignment vertical="center"/>
    </xf>
    <xf numFmtId="0" fontId="7" fillId="2" borderId="1" xfId="0" applyFont="1" applyFill="1" applyBorder="1" applyAlignment="1">
      <alignment vertical="center"/>
    </xf>
    <xf numFmtId="0" fontId="7" fillId="2" borderId="8" xfId="0" applyFont="1" applyFill="1" applyBorder="1" applyAlignment="1">
      <alignment vertical="center"/>
    </xf>
    <xf numFmtId="0" fontId="7" fillId="2" borderId="5" xfId="0" applyFont="1" applyFill="1" applyBorder="1" applyAlignment="1">
      <alignment vertical="center"/>
    </xf>
    <xf numFmtId="0" fontId="7" fillId="2" borderId="6" xfId="0" applyFont="1" applyFill="1" applyBorder="1" applyAlignment="1">
      <alignment vertical="center"/>
    </xf>
    <xf numFmtId="0" fontId="8" fillId="2" borderId="15" xfId="0" applyFont="1" applyFill="1" applyBorder="1" applyAlignment="1">
      <alignment vertical="center"/>
    </xf>
    <xf numFmtId="0" fontId="10" fillId="2" borderId="5" xfId="0" applyFont="1" applyFill="1" applyBorder="1" applyAlignment="1">
      <alignment vertical="center"/>
    </xf>
    <xf numFmtId="0" fontId="10" fillId="2" borderId="0" xfId="0" applyFont="1" applyFill="1" applyBorder="1" applyAlignment="1">
      <alignment vertical="center"/>
    </xf>
    <xf numFmtId="0" fontId="8" fillId="2" borderId="5" xfId="0" applyFont="1" applyFill="1" applyBorder="1" applyAlignment="1">
      <alignment vertical="center"/>
    </xf>
    <xf numFmtId="0" fontId="17" fillId="2" borderId="0" xfId="0" applyFont="1" applyFill="1" applyBorder="1" applyAlignment="1">
      <alignment vertical="center"/>
    </xf>
    <xf numFmtId="170" fontId="11" fillId="2" borderId="0" xfId="0" applyNumberFormat="1" applyFont="1" applyFill="1" applyAlignment="1">
      <alignment vertical="center"/>
    </xf>
    <xf numFmtId="14" fontId="7" fillId="2" borderId="0" xfId="0" applyNumberFormat="1" applyFont="1" applyFill="1" applyAlignment="1">
      <alignment vertical="center"/>
    </xf>
    <xf numFmtId="10" fontId="7" fillId="2" borderId="0" xfId="0" applyNumberFormat="1" applyFont="1" applyFill="1" applyAlignment="1">
      <alignment vertical="center"/>
    </xf>
    <xf numFmtId="0" fontId="7" fillId="2" borderId="9" xfId="0" applyFont="1" applyFill="1" applyBorder="1" applyAlignment="1">
      <alignment vertical="center"/>
    </xf>
    <xf numFmtId="0" fontId="7" fillId="2" borderId="10" xfId="0" applyFont="1" applyFill="1" applyBorder="1" applyAlignment="1">
      <alignment vertical="center"/>
    </xf>
    <xf numFmtId="0" fontId="7" fillId="2" borderId="11" xfId="0" applyFont="1" applyFill="1" applyBorder="1" applyAlignment="1">
      <alignment vertical="center"/>
    </xf>
    <xf numFmtId="0" fontId="8" fillId="2" borderId="7" xfId="0" applyNumberFormat="1" applyFont="1" applyFill="1" applyBorder="1" applyAlignment="1">
      <alignment vertical="center"/>
    </xf>
    <xf numFmtId="170" fontId="7" fillId="2" borderId="0" xfId="5" applyNumberFormat="1" applyFont="1" applyFill="1" applyBorder="1" applyAlignment="1">
      <alignment horizontal="center" vertical="center"/>
    </xf>
    <xf numFmtId="10" fontId="7" fillId="2" borderId="0" xfId="5" applyNumberFormat="1" applyFont="1" applyFill="1" applyBorder="1" applyAlignment="1">
      <alignment horizontal="center" vertical="center"/>
    </xf>
    <xf numFmtId="0" fontId="7" fillId="2" borderId="0" xfId="0" applyFont="1" applyFill="1" applyBorder="1" applyAlignment="1">
      <alignment horizontal="center" vertical="center"/>
    </xf>
    <xf numFmtId="1" fontId="7" fillId="2" borderId="0" xfId="0" applyNumberFormat="1" applyFont="1" applyFill="1" applyBorder="1" applyAlignment="1">
      <alignment horizontal="center" vertical="center"/>
    </xf>
    <xf numFmtId="2" fontId="7" fillId="2" borderId="0" xfId="0" applyNumberFormat="1" applyFont="1" applyFill="1" applyBorder="1" applyAlignment="1">
      <alignment horizontal="center" vertical="center"/>
    </xf>
    <xf numFmtId="168" fontId="7" fillId="2" borderId="0" xfId="0" applyNumberFormat="1" applyFont="1" applyFill="1" applyBorder="1" applyAlignment="1">
      <alignment horizontal="center" vertical="center"/>
    </xf>
    <xf numFmtId="169" fontId="7" fillId="2" borderId="0" xfId="0" applyNumberFormat="1" applyFont="1" applyFill="1" applyBorder="1" applyAlignment="1">
      <alignment horizontal="center"/>
    </xf>
    <xf numFmtId="1" fontId="7" fillId="2" borderId="0" xfId="0" applyNumberFormat="1" applyFont="1" applyFill="1" applyBorder="1" applyAlignment="1">
      <alignment horizontal="center"/>
    </xf>
    <xf numFmtId="1" fontId="10" fillId="2" borderId="0" xfId="0" applyNumberFormat="1" applyFont="1" applyFill="1" applyBorder="1" applyAlignment="1">
      <alignment vertical="center"/>
    </xf>
    <xf numFmtId="0" fontId="7" fillId="2" borderId="6" xfId="0" applyFont="1" applyFill="1" applyBorder="1" applyAlignment="1">
      <alignment horizontal="center" vertical="center"/>
    </xf>
    <xf numFmtId="0" fontId="4" fillId="3" borderId="16" xfId="0" applyFont="1" applyFill="1" applyBorder="1" applyAlignment="1">
      <alignment horizontal="center" vertical="center"/>
    </xf>
    <xf numFmtId="0" fontId="4" fillId="3" borderId="17" xfId="0" applyFont="1" applyFill="1" applyBorder="1" applyAlignment="1">
      <alignment horizontal="center" vertical="center"/>
    </xf>
    <xf numFmtId="0" fontId="8" fillId="4" borderId="2" xfId="0" applyFont="1" applyFill="1" applyBorder="1" applyAlignment="1">
      <alignment vertical="center"/>
    </xf>
    <xf numFmtId="166" fontId="23" fillId="4" borderId="2" xfId="0" applyNumberFormat="1" applyFont="1" applyFill="1" applyBorder="1" applyAlignment="1">
      <alignment vertical="center"/>
    </xf>
    <xf numFmtId="0" fontId="23" fillId="4" borderId="8" xfId="0" applyFont="1" applyFill="1" applyBorder="1" applyAlignment="1">
      <alignment vertical="center"/>
    </xf>
    <xf numFmtId="166" fontId="23" fillId="4" borderId="9" xfId="0" applyNumberFormat="1" applyFont="1" applyFill="1" applyBorder="1" applyAlignment="1">
      <alignment vertical="center"/>
    </xf>
    <xf numFmtId="0" fontId="23" fillId="4" borderId="11" xfId="0" applyFont="1" applyFill="1" applyBorder="1" applyAlignment="1">
      <alignment vertical="center"/>
    </xf>
    <xf numFmtId="166" fontId="23" fillId="4" borderId="15" xfId="0" applyNumberFormat="1" applyFont="1" applyFill="1" applyBorder="1" applyAlignment="1">
      <alignment vertical="center"/>
    </xf>
    <xf numFmtId="0" fontId="23" fillId="4" borderId="12" xfId="0" applyFont="1" applyFill="1" applyBorder="1" applyAlignment="1">
      <alignment horizontal="center"/>
    </xf>
    <xf numFmtId="0" fontId="23" fillId="4" borderId="17" xfId="0" applyFont="1" applyFill="1" applyBorder="1" applyAlignment="1">
      <alignment vertical="center"/>
    </xf>
    <xf numFmtId="0" fontId="23" fillId="4" borderId="16" xfId="0" applyFont="1" applyFill="1" applyBorder="1" applyAlignment="1">
      <alignment vertical="center"/>
    </xf>
    <xf numFmtId="166" fontId="23" fillId="4" borderId="4" xfId="0" applyNumberFormat="1" applyFont="1" applyFill="1" applyBorder="1" applyAlignment="1">
      <alignment vertical="center"/>
    </xf>
    <xf numFmtId="0" fontId="8" fillId="4" borderId="16" xfId="0" applyFont="1" applyFill="1" applyBorder="1" applyAlignment="1">
      <alignment horizontal="center" vertical="center"/>
    </xf>
    <xf numFmtId="0" fontId="8" fillId="4" borderId="12" xfId="0" applyFont="1" applyFill="1" applyBorder="1" applyAlignment="1">
      <alignment horizontal="center" vertical="center"/>
    </xf>
    <xf numFmtId="0" fontId="8" fillId="4" borderId="3" xfId="0" applyFont="1" applyFill="1" applyBorder="1" applyAlignment="1">
      <alignment horizontal="center" vertical="center"/>
    </xf>
    <xf numFmtId="0" fontId="8" fillId="4" borderId="18" xfId="0" applyFont="1" applyFill="1" applyBorder="1" applyAlignment="1">
      <alignment horizontal="center" vertical="center"/>
    </xf>
    <xf numFmtId="0" fontId="8" fillId="4" borderId="9" xfId="0" applyFont="1" applyFill="1" applyBorder="1" applyAlignment="1">
      <alignment horizontal="center" vertical="center"/>
    </xf>
    <xf numFmtId="167" fontId="7" fillId="2" borderId="16" xfId="0" applyNumberFormat="1" applyFont="1" applyFill="1" applyBorder="1" applyAlignment="1">
      <alignment horizontal="center" vertical="center"/>
    </xf>
    <xf numFmtId="0" fontId="8" fillId="2" borderId="0" xfId="0" applyFont="1" applyFill="1" applyBorder="1" applyAlignment="1"/>
    <xf numFmtId="1" fontId="7" fillId="2" borderId="0" xfId="0" applyNumberFormat="1" applyFont="1" applyFill="1" applyBorder="1" applyAlignment="1">
      <alignment horizontal="right" vertical="center"/>
    </xf>
    <xf numFmtId="2" fontId="8" fillId="2" borderId="0" xfId="0" applyNumberFormat="1" applyFont="1" applyFill="1" applyBorder="1" applyAlignment="1">
      <alignment vertical="center"/>
    </xf>
    <xf numFmtId="0" fontId="8" fillId="4" borderId="0" xfId="0" applyFont="1" applyFill="1" applyBorder="1" applyAlignment="1">
      <alignment horizontal="right" vertical="top" wrapText="1"/>
    </xf>
    <xf numFmtId="0" fontId="21" fillId="2" borderId="0" xfId="0" applyFont="1" applyFill="1" applyBorder="1" applyAlignment="1">
      <alignment horizontal="left" vertical="top"/>
    </xf>
    <xf numFmtId="0" fontId="6" fillId="2" borderId="5" xfId="0" applyFont="1" applyFill="1" applyBorder="1" applyAlignment="1">
      <alignment vertical="center"/>
    </xf>
    <xf numFmtId="9" fontId="8" fillId="2" borderId="7" xfId="5" applyNumberFormat="1" applyFont="1" applyFill="1" applyBorder="1" applyAlignment="1">
      <alignment vertical="center"/>
    </xf>
    <xf numFmtId="0" fontId="7" fillId="2" borderId="0" xfId="0" applyFont="1" applyFill="1" applyBorder="1" applyAlignment="1">
      <alignment horizontal="justify" vertical="top" wrapText="1"/>
    </xf>
    <xf numFmtId="0" fontId="14" fillId="2" borderId="0" xfId="0" applyFont="1" applyFill="1" applyAlignment="1">
      <alignment horizontal="justify" vertical="top" wrapText="1"/>
    </xf>
    <xf numFmtId="0" fontId="7" fillId="2" borderId="0" xfId="0" applyFont="1" applyFill="1" applyAlignment="1">
      <alignment horizontal="justify" vertical="top" wrapText="1"/>
    </xf>
    <xf numFmtId="14" fontId="20" fillId="2" borderId="0" xfId="0" applyNumberFormat="1" applyFont="1" applyFill="1" applyBorder="1" applyAlignment="1">
      <alignment horizontal="justify" vertical="top" wrapText="1"/>
    </xf>
    <xf numFmtId="0" fontId="7" fillId="2" borderId="19" xfId="0" applyFont="1" applyFill="1" applyBorder="1" applyAlignment="1">
      <alignment horizontal="justify" vertical="top" wrapText="1"/>
    </xf>
    <xf numFmtId="0" fontId="7" fillId="5" borderId="0" xfId="0" applyFont="1" applyFill="1" applyBorder="1" applyAlignment="1">
      <alignment horizontal="left" vertical="top" wrapText="1"/>
    </xf>
    <xf numFmtId="0" fontId="14" fillId="2" borderId="4" xfId="0" applyFont="1" applyFill="1" applyBorder="1" applyAlignment="1">
      <alignment horizontal="justify" vertical="top" wrapText="1"/>
    </xf>
    <xf numFmtId="15" fontId="14" fillId="2" borderId="4" xfId="0" applyNumberFormat="1" applyFont="1" applyFill="1" applyBorder="1" applyAlignment="1">
      <alignment horizontal="justify" vertical="top" wrapText="1"/>
    </xf>
    <xf numFmtId="1" fontId="14" fillId="2" borderId="4" xfId="0" applyNumberFormat="1" applyFont="1" applyFill="1" applyBorder="1" applyAlignment="1">
      <alignment horizontal="justify" vertical="top" wrapText="1"/>
    </xf>
    <xf numFmtId="9" fontId="14" fillId="2" borderId="4" xfId="0" applyNumberFormat="1" applyFont="1" applyFill="1" applyBorder="1" applyAlignment="1">
      <alignment horizontal="justify" vertical="top" wrapText="1"/>
    </xf>
    <xf numFmtId="14" fontId="7" fillId="5" borderId="0" xfId="0" applyNumberFormat="1" applyFont="1" applyFill="1" applyBorder="1" applyAlignment="1">
      <alignment horizontal="justify" vertical="top" wrapText="1"/>
    </xf>
    <xf numFmtId="0" fontId="5" fillId="2" borderId="0" xfId="0" applyFont="1" applyFill="1" applyBorder="1" applyAlignment="1">
      <alignment horizontal="justify" vertical="top" wrapText="1"/>
    </xf>
    <xf numFmtId="0" fontId="18" fillId="2" borderId="0" xfId="0" applyFont="1" applyFill="1" applyBorder="1" applyAlignment="1">
      <alignment horizontal="justify" vertical="top" wrapText="1"/>
    </xf>
    <xf numFmtId="0" fontId="14" fillId="4" borderId="12" xfId="0" applyFont="1" applyFill="1" applyBorder="1" applyAlignment="1">
      <alignment horizontal="right" vertical="top" wrapText="1"/>
    </xf>
    <xf numFmtId="0" fontId="14" fillId="4" borderId="0" xfId="0" applyFont="1" applyFill="1" applyBorder="1" applyAlignment="1">
      <alignment horizontal="right" vertical="top" wrapText="1"/>
    </xf>
    <xf numFmtId="10" fontId="15" fillId="2" borderId="0" xfId="0" applyNumberFormat="1" applyFont="1" applyFill="1" applyBorder="1" applyAlignment="1">
      <alignment horizontal="right" vertical="top" wrapText="1"/>
    </xf>
    <xf numFmtId="0" fontId="15" fillId="2" borderId="0" xfId="0" applyFont="1" applyFill="1" applyBorder="1" applyAlignment="1">
      <alignment horizontal="justify" vertical="top" wrapText="1"/>
    </xf>
    <xf numFmtId="0" fontId="14" fillId="2" borderId="4" xfId="0" applyFont="1" applyFill="1" applyBorder="1" applyAlignment="1">
      <alignment horizontal="left" vertical="top"/>
    </xf>
    <xf numFmtId="14" fontId="14" fillId="2" borderId="0" xfId="0" applyNumberFormat="1" applyFont="1" applyFill="1" applyBorder="1" applyAlignment="1">
      <alignment horizontal="justify" vertical="top" wrapText="1"/>
    </xf>
    <xf numFmtId="170" fontId="8" fillId="2" borderId="7" xfId="0" applyNumberFormat="1" applyFont="1" applyFill="1" applyBorder="1" applyAlignment="1">
      <alignment vertical="center"/>
    </xf>
    <xf numFmtId="166" fontId="8" fillId="2" borderId="3" xfId="0" applyNumberFormat="1" applyFont="1" applyFill="1" applyBorder="1" applyAlignment="1">
      <alignment vertical="center"/>
    </xf>
    <xf numFmtId="0" fontId="8" fillId="2" borderId="10" xfId="0" applyFont="1" applyFill="1" applyBorder="1" applyAlignment="1">
      <alignment horizontal="center" vertical="center"/>
    </xf>
    <xf numFmtId="0" fontId="8" fillId="2" borderId="20" xfId="0" applyFont="1" applyFill="1" applyBorder="1" applyAlignment="1">
      <alignment horizontal="center" vertical="center"/>
    </xf>
    <xf numFmtId="1" fontId="17" fillId="2" borderId="21" xfId="0" applyNumberFormat="1" applyFont="1" applyFill="1" applyBorder="1" applyAlignment="1">
      <alignment vertical="center"/>
    </xf>
    <xf numFmtId="0" fontId="10" fillId="2" borderId="15" xfId="0" applyNumberFormat="1" applyFont="1" applyFill="1" applyBorder="1" applyAlignment="1">
      <alignment vertical="center"/>
    </xf>
    <xf numFmtId="0" fontId="10" fillId="2" borderId="9" xfId="0" applyFont="1" applyFill="1" applyBorder="1" applyAlignment="1">
      <alignment vertical="center"/>
    </xf>
    <xf numFmtId="10" fontId="22" fillId="2" borderId="0" xfId="0" applyNumberFormat="1" applyFont="1" applyFill="1" applyBorder="1" applyAlignment="1">
      <alignment horizontal="center" vertical="top" wrapText="1"/>
    </xf>
    <xf numFmtId="10" fontId="26" fillId="2" borderId="0" xfId="0" applyNumberFormat="1" applyFont="1" applyFill="1" applyBorder="1" applyAlignment="1">
      <alignment horizontal="center" vertical="top" wrapText="1"/>
    </xf>
    <xf numFmtId="0" fontId="7" fillId="2" borderId="0" xfId="0" applyFont="1" applyFill="1" applyAlignment="1">
      <alignment vertical="top"/>
    </xf>
    <xf numFmtId="0" fontId="8" fillId="2" borderId="0" xfId="0" applyFont="1" applyFill="1" applyAlignment="1">
      <alignment vertical="top"/>
    </xf>
    <xf numFmtId="0" fontId="8" fillId="2" borderId="0" xfId="0" applyFont="1" applyFill="1" applyAlignment="1">
      <alignment horizontal="left" vertical="top"/>
    </xf>
    <xf numFmtId="0" fontId="7" fillId="2" borderId="0" xfId="0" applyFont="1" applyFill="1" applyAlignment="1">
      <alignment horizontal="justify" vertical="top"/>
    </xf>
    <xf numFmtId="0" fontId="10" fillId="2" borderId="0" xfId="0" applyFont="1" applyFill="1" applyAlignment="1">
      <alignment horizontal="justify" vertical="top"/>
    </xf>
    <xf numFmtId="0" fontId="13" fillId="2" borderId="0" xfId="0" applyFont="1" applyFill="1" applyAlignment="1">
      <alignment vertical="top"/>
    </xf>
    <xf numFmtId="0" fontId="25" fillId="2" borderId="0" xfId="0" applyFont="1" applyFill="1" applyAlignment="1">
      <alignment vertical="top"/>
    </xf>
    <xf numFmtId="0" fontId="21" fillId="2" borderId="0" xfId="0" applyFont="1" applyFill="1" applyBorder="1" applyAlignment="1">
      <alignment horizontal="left" vertical="top" wrapText="1"/>
    </xf>
    <xf numFmtId="10" fontId="14" fillId="2" borderId="4" xfId="0" applyNumberFormat="1" applyFont="1" applyFill="1" applyBorder="1" applyAlignment="1">
      <alignment horizontal="justify" vertical="top" wrapText="1"/>
    </xf>
    <xf numFmtId="170" fontId="14" fillId="2" borderId="4" xfId="0" applyNumberFormat="1" applyFont="1" applyFill="1" applyBorder="1" applyAlignment="1">
      <alignment horizontal="justify" vertical="top" wrapText="1"/>
    </xf>
    <xf numFmtId="0" fontId="14" fillId="2" borderId="0" xfId="0" applyFont="1" applyFill="1" applyBorder="1" applyAlignment="1">
      <alignment horizontal="justify" vertical="top" wrapText="1"/>
    </xf>
    <xf numFmtId="14" fontId="14" fillId="2" borderId="4" xfId="0" applyNumberFormat="1" applyFont="1" applyFill="1" applyBorder="1" applyAlignment="1">
      <alignment horizontal="justify" vertical="top" wrapText="1"/>
    </xf>
    <xf numFmtId="10" fontId="8" fillId="2" borderId="2" xfId="5" applyNumberFormat="1" applyFont="1" applyFill="1" applyBorder="1" applyAlignment="1">
      <alignment vertical="center"/>
    </xf>
    <xf numFmtId="170" fontId="9" fillId="2" borderId="12" xfId="5" applyNumberFormat="1" applyFont="1" applyFill="1" applyBorder="1" applyAlignment="1">
      <alignment horizontal="center" vertical="center"/>
    </xf>
    <xf numFmtId="172" fontId="27" fillId="2" borderId="12" xfId="1" applyNumberFormat="1" applyFont="1" applyFill="1" applyBorder="1" applyAlignment="1">
      <alignment horizontal="center" vertical="center"/>
    </xf>
    <xf numFmtId="0" fontId="8" fillId="4" borderId="12" xfId="0" applyFont="1" applyFill="1" applyBorder="1" applyAlignment="1">
      <alignment horizontal="left" vertical="center"/>
    </xf>
    <xf numFmtId="14" fontId="7" fillId="2" borderId="12" xfId="1" applyNumberFormat="1" applyFont="1" applyFill="1" applyBorder="1" applyAlignment="1">
      <alignment vertical="center"/>
    </xf>
    <xf numFmtId="0" fontId="10" fillId="2" borderId="1" xfId="0" applyNumberFormat="1" applyFont="1" applyFill="1" applyBorder="1" applyAlignment="1">
      <alignment vertical="center"/>
    </xf>
    <xf numFmtId="0" fontId="10" fillId="2" borderId="5" xfId="0" applyNumberFormat="1" applyFont="1" applyFill="1" applyBorder="1" applyAlignment="1">
      <alignment vertical="center"/>
    </xf>
    <xf numFmtId="0" fontId="10" fillId="2" borderId="0" xfId="0" applyNumberFormat="1" applyFont="1" applyFill="1" applyBorder="1" applyAlignment="1">
      <alignment vertical="center"/>
    </xf>
    <xf numFmtId="0" fontId="10" fillId="2" borderId="9" xfId="0" applyNumberFormat="1" applyFont="1" applyFill="1" applyBorder="1" applyAlignment="1">
      <alignment vertical="center"/>
    </xf>
    <xf numFmtId="0" fontId="4" fillId="3" borderId="15" xfId="0" applyFont="1" applyFill="1" applyBorder="1" applyAlignment="1">
      <alignment vertical="center"/>
    </xf>
    <xf numFmtId="0" fontId="4" fillId="3" borderId="1" xfId="0" applyFont="1" applyFill="1" applyBorder="1" applyAlignment="1">
      <alignment vertical="center"/>
    </xf>
    <xf numFmtId="0" fontId="4" fillId="3" borderId="8" xfId="0" applyFont="1" applyFill="1" applyBorder="1" applyAlignment="1">
      <alignment vertical="center"/>
    </xf>
    <xf numFmtId="14" fontId="7" fillId="2" borderId="12" xfId="0" applyNumberFormat="1" applyFont="1" applyFill="1" applyBorder="1" applyAlignment="1">
      <alignment horizontal="center" vertical="center"/>
    </xf>
    <xf numFmtId="2" fontId="7" fillId="2" borderId="12" xfId="0" applyNumberFormat="1" applyFont="1" applyFill="1" applyBorder="1" applyAlignment="1">
      <alignment horizontal="center" vertical="center"/>
    </xf>
    <xf numFmtId="170" fontId="7" fillId="2" borderId="12" xfId="5" applyNumberFormat="1" applyFont="1" applyFill="1" applyBorder="1" applyAlignment="1">
      <alignment horizontal="center" vertical="center"/>
    </xf>
    <xf numFmtId="0" fontId="8" fillId="4" borderId="12" xfId="0" applyFont="1" applyFill="1" applyBorder="1" applyAlignment="1">
      <alignment horizontal="center"/>
    </xf>
    <xf numFmtId="14" fontId="7" fillId="2" borderId="0" xfId="0" applyNumberFormat="1" applyFont="1" applyFill="1" applyBorder="1" applyAlignment="1">
      <alignment vertical="center"/>
    </xf>
    <xf numFmtId="166" fontId="8" fillId="2" borderId="7" xfId="0" applyNumberFormat="1" applyFont="1" applyFill="1" applyBorder="1" applyAlignment="1">
      <alignment vertical="center"/>
    </xf>
    <xf numFmtId="0" fontId="8" fillId="2" borderId="14" xfId="0" applyFont="1" applyFill="1" applyBorder="1" applyAlignment="1">
      <alignment horizontal="center" vertical="center"/>
    </xf>
    <xf numFmtId="0" fontId="8" fillId="4" borderId="17" xfId="0" applyFont="1" applyFill="1" applyBorder="1" applyAlignment="1">
      <alignment horizontal="right" vertical="center"/>
    </xf>
    <xf numFmtId="10" fontId="10" fillId="2" borderId="1" xfId="5" applyNumberFormat="1" applyFont="1" applyFill="1" applyBorder="1" applyAlignment="1">
      <alignment horizontal="right" vertical="center"/>
    </xf>
    <xf numFmtId="10" fontId="10" fillId="2" borderId="0" xfId="5" applyNumberFormat="1" applyFont="1" applyFill="1" applyBorder="1" applyAlignment="1">
      <alignment horizontal="right" vertical="center"/>
    </xf>
    <xf numFmtId="168" fontId="14" fillId="2" borderId="0" xfId="0" applyNumberFormat="1" applyFont="1" applyFill="1" applyBorder="1" applyAlignment="1">
      <alignment horizontal="justify" vertical="top" wrapText="1"/>
    </xf>
    <xf numFmtId="2" fontId="14" fillId="2" borderId="0" xfId="0" applyNumberFormat="1" applyFont="1" applyFill="1" applyBorder="1" applyAlignment="1">
      <alignment horizontal="justify" vertical="top" wrapText="1"/>
    </xf>
    <xf numFmtId="10" fontId="7" fillId="2" borderId="12" xfId="5" applyNumberFormat="1" applyFont="1" applyFill="1" applyBorder="1" applyAlignment="1">
      <alignment horizontal="center" vertical="center"/>
    </xf>
    <xf numFmtId="0" fontId="28" fillId="2" borderId="0" xfId="0" applyFont="1" applyFill="1" applyAlignment="1">
      <alignment vertical="center"/>
    </xf>
    <xf numFmtId="166" fontId="29" fillId="2" borderId="0" xfId="0" applyNumberFormat="1" applyFont="1" applyFill="1" applyBorder="1" applyAlignment="1">
      <alignment vertical="center"/>
    </xf>
    <xf numFmtId="0" fontId="7" fillId="4" borderId="0" xfId="0" applyFont="1" applyFill="1" applyBorder="1" applyAlignment="1">
      <alignment horizontal="right" vertical="top" wrapText="1"/>
    </xf>
    <xf numFmtId="10" fontId="10" fillId="2" borderId="0" xfId="0" applyNumberFormat="1" applyFont="1" applyFill="1" applyBorder="1" applyAlignment="1">
      <alignment horizontal="right" vertical="top" wrapText="1"/>
    </xf>
    <xf numFmtId="10" fontId="24" fillId="2" borderId="0" xfId="0" applyNumberFormat="1" applyFont="1" applyFill="1" applyBorder="1" applyAlignment="1">
      <alignment horizontal="right" vertical="top" wrapText="1"/>
    </xf>
    <xf numFmtId="10" fontId="22" fillId="2" borderId="0" xfId="0" applyNumberFormat="1" applyFont="1" applyFill="1" applyBorder="1" applyAlignment="1">
      <alignment horizontal="right" vertical="top" wrapText="1"/>
    </xf>
    <xf numFmtId="10" fontId="14" fillId="2" borderId="12" xfId="0" applyNumberFormat="1" applyFont="1" applyFill="1" applyBorder="1" applyAlignment="1">
      <alignment horizontal="right" vertical="top" wrapText="1"/>
    </xf>
    <xf numFmtId="10" fontId="10" fillId="2" borderId="10" xfId="5" applyNumberFormat="1" applyFont="1" applyFill="1" applyBorder="1" applyAlignment="1">
      <alignment horizontal="right" vertical="center"/>
    </xf>
    <xf numFmtId="9" fontId="8" fillId="4" borderId="8" xfId="0" applyNumberFormat="1" applyFont="1" applyFill="1" applyBorder="1" applyAlignment="1">
      <alignment horizontal="right" vertical="center"/>
    </xf>
    <xf numFmtId="9" fontId="8" fillId="4" borderId="6" xfId="0" applyNumberFormat="1" applyFont="1" applyFill="1" applyBorder="1" applyAlignment="1">
      <alignment horizontal="right" vertical="center"/>
    </xf>
    <xf numFmtId="9" fontId="8" fillId="4" borderId="11" xfId="0" applyNumberFormat="1" applyFont="1" applyFill="1" applyBorder="1" applyAlignment="1">
      <alignment horizontal="right" vertical="center"/>
    </xf>
    <xf numFmtId="9" fontId="14" fillId="4" borderId="0" xfId="0" applyNumberFormat="1" applyFont="1" applyFill="1" applyBorder="1" applyAlignment="1">
      <alignment horizontal="right" vertical="top" wrapText="1"/>
    </xf>
    <xf numFmtId="9" fontId="14" fillId="4" borderId="10" xfId="0" applyNumberFormat="1" applyFont="1" applyFill="1" applyBorder="1" applyAlignment="1">
      <alignment horizontal="right" vertical="top" wrapText="1"/>
    </xf>
    <xf numFmtId="10" fontId="15" fillId="2" borderId="10" xfId="0" applyNumberFormat="1" applyFont="1" applyFill="1" applyBorder="1" applyAlignment="1">
      <alignment horizontal="right" vertical="top" wrapText="1"/>
    </xf>
    <xf numFmtId="0" fontId="22" fillId="2" borderId="0" xfId="0" applyFont="1" applyFill="1" applyBorder="1" applyAlignment="1">
      <alignment horizontal="justify" vertical="top" wrapText="1"/>
    </xf>
    <xf numFmtId="0" fontId="22" fillId="2" borderId="0" xfId="0" applyFont="1" applyFill="1" applyAlignment="1">
      <alignment horizontal="justify" vertical="top" wrapText="1"/>
    </xf>
    <xf numFmtId="0" fontId="14" fillId="2" borderId="16" xfId="0" applyFont="1" applyFill="1" applyBorder="1" applyAlignment="1">
      <alignment horizontal="justify" vertical="top" wrapText="1"/>
    </xf>
    <xf numFmtId="165" fontId="7" fillId="2" borderId="0" xfId="1" applyFont="1" applyFill="1" applyBorder="1" applyAlignment="1">
      <alignment vertical="center"/>
    </xf>
    <xf numFmtId="171" fontId="8" fillId="2" borderId="0" xfId="5" applyNumberFormat="1" applyFont="1" applyFill="1" applyBorder="1" applyAlignment="1">
      <alignment horizontal="center" vertical="center"/>
    </xf>
    <xf numFmtId="10" fontId="8" fillId="2" borderId="7" xfId="5" applyNumberFormat="1" applyFont="1" applyFill="1" applyBorder="1" applyAlignment="1">
      <alignment vertical="center"/>
    </xf>
    <xf numFmtId="0" fontId="14" fillId="4" borderId="16" xfId="0" applyFont="1" applyFill="1" applyBorder="1" applyAlignment="1">
      <alignment horizontal="center" vertical="center" wrapText="1"/>
    </xf>
    <xf numFmtId="0" fontId="14" fillId="4" borderId="12" xfId="0" applyFont="1" applyFill="1" applyBorder="1" applyAlignment="1">
      <alignment horizontal="center" vertical="center" wrapText="1"/>
    </xf>
    <xf numFmtId="0" fontId="22" fillId="2" borderId="0" xfId="0" applyFont="1" applyFill="1" applyAlignment="1">
      <alignment vertical="center" wrapText="1"/>
    </xf>
    <xf numFmtId="0" fontId="22" fillId="2" borderId="0" xfId="0" applyFont="1" applyFill="1" applyAlignment="1">
      <alignment vertical="center"/>
    </xf>
    <xf numFmtId="2" fontId="14" fillId="4" borderId="12" xfId="0" applyNumberFormat="1" applyFont="1" applyFill="1" applyBorder="1" applyAlignment="1">
      <alignment horizontal="center" vertical="center"/>
    </xf>
    <xf numFmtId="2" fontId="22" fillId="2" borderId="12" xfId="0" applyNumberFormat="1" applyFont="1" applyFill="1" applyBorder="1" applyAlignment="1">
      <alignment horizontal="center" vertical="center"/>
    </xf>
    <xf numFmtId="0" fontId="14" fillId="4" borderId="16" xfId="0" applyFont="1" applyFill="1" applyBorder="1" applyAlignment="1">
      <alignment horizontal="center" vertical="center"/>
    </xf>
    <xf numFmtId="0" fontId="14" fillId="4" borderId="17" xfId="0" applyFont="1" applyFill="1" applyBorder="1" applyAlignment="1">
      <alignment horizontal="center" vertical="center"/>
    </xf>
    <xf numFmtId="0" fontId="22" fillId="2" borderId="1" xfId="0" applyFont="1" applyFill="1" applyBorder="1" applyAlignment="1">
      <alignment vertical="center"/>
    </xf>
    <xf numFmtId="0" fontId="22" fillId="2" borderId="0" xfId="0" applyFont="1" applyFill="1" applyBorder="1" applyAlignment="1">
      <alignment vertical="center"/>
    </xf>
    <xf numFmtId="0" fontId="14" fillId="2" borderId="4" xfId="0" applyFont="1" applyFill="1" applyBorder="1" applyAlignment="1">
      <alignment vertical="center"/>
    </xf>
    <xf numFmtId="2" fontId="22" fillId="2" borderId="4" xfId="0" applyNumberFormat="1" applyFont="1" applyFill="1" applyBorder="1" applyAlignment="1">
      <alignment horizontal="right" vertical="center"/>
    </xf>
    <xf numFmtId="0" fontId="14" fillId="2" borderId="3" xfId="0" applyFont="1" applyFill="1" applyBorder="1" applyAlignment="1">
      <alignment vertical="center"/>
    </xf>
    <xf numFmtId="0" fontId="22" fillId="2" borderId="4" xfId="0" applyFont="1" applyFill="1" applyBorder="1" applyAlignment="1">
      <alignment vertical="center"/>
    </xf>
    <xf numFmtId="14" fontId="22" fillId="2" borderId="4" xfId="0" applyNumberFormat="1" applyFont="1" applyFill="1" applyBorder="1" applyAlignment="1">
      <alignment vertical="center"/>
    </xf>
    <xf numFmtId="0" fontId="32" fillId="3" borderId="9" xfId="0" applyFont="1" applyFill="1" applyBorder="1" applyAlignment="1">
      <alignment horizontal="center" vertical="center"/>
    </xf>
    <xf numFmtId="0" fontId="32" fillId="3" borderId="10" xfId="0" applyFont="1" applyFill="1" applyBorder="1" applyAlignment="1">
      <alignment horizontal="center" vertical="center"/>
    </xf>
    <xf numFmtId="0" fontId="32" fillId="3" borderId="11" xfId="0" applyFont="1" applyFill="1" applyBorder="1" applyAlignment="1">
      <alignment horizontal="center" vertical="center"/>
    </xf>
    <xf numFmtId="0" fontId="22" fillId="2" borderId="10" xfId="0" applyFont="1" applyFill="1" applyBorder="1" applyAlignment="1">
      <alignment vertical="center"/>
    </xf>
    <xf numFmtId="0" fontId="7" fillId="2" borderId="1" xfId="0" applyFont="1" applyFill="1" applyBorder="1" applyAlignment="1">
      <alignment horizontal="justify" vertical="top" wrapText="1"/>
    </xf>
    <xf numFmtId="0" fontId="14" fillId="4" borderId="12" xfId="0" applyFont="1" applyFill="1" applyBorder="1" applyAlignment="1">
      <alignment horizontal="center" vertical="center"/>
    </xf>
    <xf numFmtId="170" fontId="14" fillId="2" borderId="4" xfId="5" applyNumberFormat="1" applyFont="1" applyFill="1" applyBorder="1" applyAlignment="1">
      <alignment horizontal="justify" vertical="top" wrapText="1"/>
    </xf>
    <xf numFmtId="10" fontId="7" fillId="2" borderId="12" xfId="1" applyNumberFormat="1" applyFont="1" applyFill="1" applyBorder="1" applyAlignment="1">
      <alignment vertical="center"/>
    </xf>
    <xf numFmtId="0" fontId="33" fillId="4" borderId="10" xfId="0" applyFont="1" applyFill="1" applyBorder="1" applyAlignment="1">
      <alignment horizontal="left" vertical="top" wrapText="1"/>
    </xf>
    <xf numFmtId="0" fontId="18" fillId="4" borderId="10" xfId="0" applyFont="1" applyFill="1" applyBorder="1" applyAlignment="1">
      <alignment horizontal="left" vertical="top" wrapText="1"/>
    </xf>
    <xf numFmtId="0" fontId="33" fillId="4" borderId="10" xfId="0" applyFont="1" applyFill="1" applyBorder="1" applyAlignment="1">
      <alignment horizontal="right" vertical="top" wrapText="1"/>
    </xf>
    <xf numFmtId="0" fontId="34" fillId="4" borderId="0" xfId="0" applyFont="1" applyFill="1" applyBorder="1" applyAlignment="1">
      <alignment horizontal="left" vertical="top" wrapText="1"/>
    </xf>
    <xf numFmtId="0" fontId="33" fillId="4" borderId="0" xfId="0" applyFont="1" applyFill="1" applyBorder="1" applyAlignment="1">
      <alignment horizontal="left" vertical="top"/>
    </xf>
    <xf numFmtId="0" fontId="33" fillId="2" borderId="0" xfId="0" applyFont="1" applyFill="1" applyBorder="1" applyAlignment="1">
      <alignment horizontal="right" vertical="top" wrapText="1"/>
    </xf>
    <xf numFmtId="0" fontId="33" fillId="2" borderId="10" xfId="0" applyFont="1" applyFill="1" applyBorder="1" applyAlignment="1">
      <alignment horizontal="right" vertical="top" wrapText="1"/>
    </xf>
    <xf numFmtId="0" fontId="34" fillId="4" borderId="1" xfId="0" applyFont="1" applyFill="1" applyBorder="1" applyAlignment="1">
      <alignment horizontal="left" vertical="top"/>
    </xf>
    <xf numFmtId="0" fontId="33" fillId="2" borderId="1" xfId="0" applyFont="1" applyFill="1" applyBorder="1" applyAlignment="1">
      <alignment horizontal="right" vertical="top" wrapText="1"/>
    </xf>
    <xf numFmtId="10" fontId="14" fillId="2" borderId="4" xfId="5" applyNumberFormat="1" applyFont="1" applyFill="1" applyBorder="1" applyAlignment="1">
      <alignment horizontal="justify" vertical="top" wrapText="1"/>
    </xf>
    <xf numFmtId="0" fontId="7" fillId="4" borderId="1" xfId="0" applyFont="1" applyFill="1" applyBorder="1" applyAlignment="1">
      <alignment horizontal="right" vertical="top" wrapText="1"/>
    </xf>
    <xf numFmtId="10" fontId="30" fillId="2" borderId="1" xfId="0" applyNumberFormat="1" applyFont="1" applyFill="1" applyBorder="1" applyAlignment="1">
      <alignment horizontal="right" vertical="top" wrapText="1"/>
    </xf>
    <xf numFmtId="10" fontId="30" fillId="2" borderId="0" xfId="0" applyNumberFormat="1" applyFont="1" applyFill="1" applyBorder="1" applyAlignment="1">
      <alignment horizontal="right" vertical="top" wrapText="1"/>
    </xf>
    <xf numFmtId="0" fontId="7" fillId="4" borderId="10" xfId="0" applyFont="1" applyFill="1" applyBorder="1" applyAlignment="1">
      <alignment horizontal="right" vertical="top" wrapText="1"/>
    </xf>
    <xf numFmtId="10" fontId="10" fillId="2" borderId="10" xfId="5" applyNumberFormat="1" applyFont="1" applyFill="1" applyBorder="1" applyAlignment="1">
      <alignment vertical="center"/>
    </xf>
    <xf numFmtId="10" fontId="14" fillId="2" borderId="0" xfId="5" applyNumberFormat="1" applyFont="1" applyFill="1" applyBorder="1" applyAlignment="1">
      <alignment horizontal="justify" vertical="top" wrapText="1"/>
    </xf>
    <xf numFmtId="0" fontId="7" fillId="2" borderId="0" xfId="0" applyNumberFormat="1" applyFont="1" applyFill="1" applyBorder="1" applyAlignment="1">
      <alignment horizontal="justify" vertical="top" wrapText="1"/>
    </xf>
    <xf numFmtId="0" fontId="14" fillId="2" borderId="1" xfId="0" applyFont="1" applyFill="1" applyBorder="1" applyAlignment="1">
      <alignment horizontal="justify" vertical="top" wrapText="1"/>
    </xf>
    <xf numFmtId="0" fontId="36" fillId="2" borderId="0" xfId="0" applyFont="1" applyFill="1" applyBorder="1" applyAlignment="1">
      <alignment horizontal="justify" vertical="top" wrapText="1"/>
    </xf>
    <xf numFmtId="168" fontId="36" fillId="2" borderId="0" xfId="3" applyNumberFormat="1" applyFont="1" applyFill="1" applyBorder="1" applyAlignment="1">
      <alignment horizontal="left" vertical="top" wrapText="1"/>
    </xf>
    <xf numFmtId="10" fontId="36" fillId="2" borderId="0" xfId="0" applyNumberFormat="1" applyFont="1" applyFill="1" applyBorder="1" applyAlignment="1">
      <alignment horizontal="justify" vertical="top" wrapText="1"/>
    </xf>
    <xf numFmtId="0" fontId="37" fillId="2" borderId="0" xfId="0" applyFont="1" applyFill="1" applyBorder="1" applyAlignment="1">
      <alignment horizontal="justify" vertical="top" wrapText="1"/>
    </xf>
    <xf numFmtId="10" fontId="37" fillId="2" borderId="0" xfId="0" applyNumberFormat="1" applyFont="1" applyFill="1" applyBorder="1" applyAlignment="1">
      <alignment horizontal="justify" vertical="top" wrapText="1"/>
    </xf>
    <xf numFmtId="0" fontId="37" fillId="2" borderId="10" xfId="0" applyFont="1" applyFill="1" applyBorder="1" applyAlignment="1">
      <alignment horizontal="justify" vertical="top" wrapText="1"/>
    </xf>
    <xf numFmtId="10" fontId="37" fillId="2" borderId="10" xfId="0" applyNumberFormat="1" applyFont="1" applyFill="1" applyBorder="1" applyAlignment="1">
      <alignment horizontal="justify" vertical="top" wrapText="1"/>
    </xf>
    <xf numFmtId="169" fontId="22" fillId="2" borderId="0" xfId="0" applyNumberFormat="1" applyFont="1" applyFill="1" applyBorder="1" applyAlignment="1">
      <alignment horizontal="left" vertical="top" wrapText="1"/>
    </xf>
    <xf numFmtId="0" fontId="0" fillId="0" borderId="0" xfId="0" applyAlignment="1">
      <alignment vertical="top"/>
    </xf>
    <xf numFmtId="14" fontId="14" fillId="6" borderId="1" xfId="0" applyNumberFormat="1" applyFont="1" applyFill="1" applyBorder="1" applyAlignment="1">
      <alignment horizontal="left" vertical="top"/>
    </xf>
    <xf numFmtId="14" fontId="22" fillId="2" borderId="0" xfId="0" applyNumberFormat="1" applyFont="1" applyFill="1" applyBorder="1" applyAlignment="1">
      <alignment horizontal="left" vertical="top"/>
    </xf>
    <xf numFmtId="0" fontId="10" fillId="2" borderId="0" xfId="0" applyFont="1" applyFill="1" applyAlignment="1">
      <alignment horizontal="justify" vertical="top" wrapText="1"/>
    </xf>
    <xf numFmtId="0" fontId="7" fillId="7" borderId="0" xfId="0" applyFont="1" applyFill="1" applyBorder="1" applyAlignment="1">
      <alignment horizontal="justify" vertical="top" wrapText="1"/>
    </xf>
    <xf numFmtId="0" fontId="8" fillId="7" borderId="0" xfId="0" applyFont="1" applyFill="1" applyBorder="1" applyAlignment="1">
      <alignment horizontal="right" vertical="top" wrapText="1"/>
    </xf>
    <xf numFmtId="14" fontId="7" fillId="8" borderId="0" xfId="0" applyNumberFormat="1" applyFont="1" applyFill="1" applyBorder="1" applyAlignment="1">
      <alignment horizontal="justify" vertical="top" wrapText="1"/>
    </xf>
    <xf numFmtId="0" fontId="14" fillId="7" borderId="0" xfId="0" applyFont="1" applyFill="1" applyAlignment="1">
      <alignment horizontal="justify" vertical="top" wrapText="1"/>
    </xf>
    <xf numFmtId="0" fontId="8" fillId="7" borderId="0" xfId="0" applyFont="1" applyFill="1" applyAlignment="1">
      <alignment horizontal="left" vertical="top"/>
    </xf>
    <xf numFmtId="0" fontId="7" fillId="7" borderId="0" xfId="0" applyFont="1" applyFill="1" applyAlignment="1">
      <alignment horizontal="justify" vertical="top" wrapText="1"/>
    </xf>
    <xf numFmtId="0" fontId="18" fillId="9" borderId="10" xfId="0" applyFont="1" applyFill="1" applyBorder="1" applyAlignment="1">
      <alignment horizontal="left" vertical="top" wrapText="1"/>
    </xf>
    <xf numFmtId="0" fontId="14" fillId="4" borderId="1" xfId="0" applyFont="1" applyFill="1" applyBorder="1" applyAlignment="1">
      <alignment horizontal="center" vertical="top" wrapText="1"/>
    </xf>
    <xf numFmtId="0" fontId="14" fillId="4" borderId="10" xfId="0" applyFont="1" applyFill="1" applyBorder="1" applyAlignment="1">
      <alignment horizontal="center" vertical="top" wrapText="1"/>
    </xf>
    <xf numFmtId="170" fontId="26" fillId="2" borderId="12" xfId="0" applyNumberFormat="1" applyFont="1" applyFill="1" applyBorder="1" applyAlignment="1">
      <alignment horizontal="right" vertical="top" wrapText="1"/>
    </xf>
    <xf numFmtId="2" fontId="22" fillId="2" borderId="0" xfId="0" applyNumberFormat="1" applyFont="1" applyFill="1" applyAlignment="1">
      <alignment vertical="center"/>
    </xf>
    <xf numFmtId="0" fontId="22" fillId="4" borderId="12" xfId="0" applyFont="1" applyFill="1" applyBorder="1" applyAlignment="1">
      <alignment horizontal="center" vertical="center"/>
    </xf>
    <xf numFmtId="2" fontId="31" fillId="2" borderId="12" xfId="0" applyNumberFormat="1" applyFont="1" applyFill="1" applyBorder="1" applyAlignment="1">
      <alignment horizontal="center" vertical="center"/>
    </xf>
    <xf numFmtId="0" fontId="14" fillId="4" borderId="1" xfId="0" applyFont="1" applyFill="1" applyBorder="1" applyAlignment="1">
      <alignment horizontal="right" vertical="top"/>
    </xf>
    <xf numFmtId="1" fontId="14" fillId="4" borderId="1" xfId="0" applyNumberFormat="1" applyFont="1" applyFill="1" applyBorder="1" applyAlignment="1">
      <alignment horizontal="right" vertical="top"/>
    </xf>
    <xf numFmtId="1" fontId="22" fillId="2" borderId="1" xfId="0" applyNumberFormat="1" applyFont="1" applyFill="1" applyBorder="1" applyAlignment="1">
      <alignment horizontal="right" vertical="top"/>
    </xf>
    <xf numFmtId="1" fontId="22" fillId="2" borderId="1" xfId="4" applyNumberFormat="1" applyFont="1" applyFill="1" applyBorder="1" applyAlignment="1">
      <alignment horizontal="right" vertical="top" wrapText="1"/>
    </xf>
    <xf numFmtId="1" fontId="22" fillId="2" borderId="1" xfId="0" applyNumberFormat="1" applyFont="1" applyFill="1" applyBorder="1" applyAlignment="1">
      <alignment horizontal="right" vertical="top" wrapText="1"/>
    </xf>
    <xf numFmtId="0" fontId="15" fillId="2" borderId="0" xfId="0" applyFont="1" applyFill="1" applyBorder="1" applyAlignment="1">
      <alignment horizontal="left" vertical="top"/>
    </xf>
    <xf numFmtId="0" fontId="14" fillId="2" borderId="0" xfId="0" applyFont="1" applyFill="1" applyAlignment="1">
      <alignment horizontal="right" vertical="top" wrapText="1"/>
    </xf>
    <xf numFmtId="0" fontId="14" fillId="2" borderId="1" xfId="0" applyFont="1" applyFill="1" applyBorder="1" applyAlignment="1">
      <alignment horizontal="right" vertical="top" wrapText="1"/>
    </xf>
    <xf numFmtId="10" fontId="18" fillId="2" borderId="0" xfId="0" applyNumberFormat="1" applyFont="1" applyFill="1" applyBorder="1" applyAlignment="1">
      <alignment horizontal="left" vertical="top" wrapText="1"/>
    </xf>
    <xf numFmtId="10" fontId="18" fillId="2" borderId="0" xfId="5" applyNumberFormat="1" applyFont="1" applyFill="1" applyBorder="1" applyAlignment="1">
      <alignment horizontal="left" vertical="top" wrapText="1"/>
    </xf>
    <xf numFmtId="10" fontId="18" fillId="2" borderId="10" xfId="0" applyNumberFormat="1" applyFont="1" applyFill="1" applyBorder="1" applyAlignment="1">
      <alignment horizontal="left" vertical="top" wrapText="1"/>
    </xf>
    <xf numFmtId="10" fontId="18" fillId="2" borderId="10" xfId="5" applyNumberFormat="1" applyFont="1" applyFill="1" applyBorder="1" applyAlignment="1">
      <alignment horizontal="left" vertical="top" wrapText="1"/>
    </xf>
    <xf numFmtId="10" fontId="18" fillId="2" borderId="1" xfId="5" applyNumberFormat="1" applyFont="1" applyFill="1" applyBorder="1" applyAlignment="1">
      <alignment horizontal="left" vertical="top" wrapText="1"/>
    </xf>
    <xf numFmtId="1" fontId="7" fillId="2" borderId="0" xfId="0" applyNumberFormat="1" applyFont="1" applyFill="1" applyAlignment="1">
      <alignment horizontal="justify" vertical="top" wrapText="1"/>
    </xf>
    <xf numFmtId="0" fontId="8" fillId="4" borderId="12" xfId="0" applyFont="1" applyFill="1" applyBorder="1" applyAlignment="1">
      <alignment horizontal="right" vertical="center"/>
    </xf>
    <xf numFmtId="170" fontId="9" fillId="2" borderId="12" xfId="5" applyNumberFormat="1" applyFont="1" applyFill="1" applyBorder="1" applyAlignment="1">
      <alignment horizontal="right" vertical="center"/>
    </xf>
    <xf numFmtId="0" fontId="10" fillId="2" borderId="15" xfId="0" applyFont="1" applyFill="1" applyBorder="1" applyAlignment="1">
      <alignment vertical="center"/>
    </xf>
    <xf numFmtId="10" fontId="7" fillId="2" borderId="0" xfId="0" applyNumberFormat="1" applyFont="1" applyFill="1" applyAlignment="1">
      <alignment horizontal="justify" vertical="top" wrapText="1"/>
    </xf>
    <xf numFmtId="170" fontId="7" fillId="2" borderId="0" xfId="5" applyNumberFormat="1" applyFont="1" applyFill="1" applyAlignment="1">
      <alignment horizontal="justify" vertical="top" wrapText="1"/>
    </xf>
    <xf numFmtId="10" fontId="10" fillId="2" borderId="12" xfId="0" applyNumberFormat="1" applyFont="1" applyFill="1" applyBorder="1" applyAlignment="1">
      <alignment horizontal="right" vertical="top" wrapText="1"/>
    </xf>
    <xf numFmtId="0" fontId="7" fillId="2" borderId="12" xfId="0" applyFont="1" applyFill="1" applyBorder="1" applyAlignment="1">
      <alignment horizontal="right" vertical="center"/>
    </xf>
    <xf numFmtId="0" fontId="8" fillId="2" borderId="6" xfId="0" applyFont="1" applyFill="1" applyBorder="1" applyAlignment="1">
      <alignment vertical="center"/>
    </xf>
    <xf numFmtId="10" fontId="7" fillId="2" borderId="4" xfId="0" applyNumberFormat="1" applyFont="1" applyFill="1" applyBorder="1" applyAlignment="1">
      <alignment vertical="center"/>
    </xf>
    <xf numFmtId="170" fontId="14" fillId="2" borderId="4" xfId="6" applyNumberFormat="1" applyFont="1" applyFill="1" applyBorder="1" applyAlignment="1">
      <alignment horizontal="justify" vertical="top" wrapText="1"/>
    </xf>
    <xf numFmtId="0" fontId="8" fillId="2" borderId="0" xfId="0" applyFont="1" applyFill="1" applyAlignment="1">
      <alignment horizontal="left" vertical="center"/>
    </xf>
    <xf numFmtId="0" fontId="14" fillId="2" borderId="4" xfId="0" applyFont="1" applyFill="1" applyBorder="1" applyAlignment="1">
      <alignment horizontal="left" vertical="top" wrapText="1"/>
    </xf>
    <xf numFmtId="170" fontId="7" fillId="2" borderId="0" xfId="5" applyNumberFormat="1" applyFont="1" applyFill="1" applyBorder="1" applyAlignment="1">
      <alignment vertical="center"/>
    </xf>
    <xf numFmtId="1" fontId="10" fillId="2" borderId="6" xfId="0" applyNumberFormat="1" applyFont="1" applyFill="1" applyBorder="1" applyAlignment="1">
      <alignment vertical="center"/>
    </xf>
    <xf numFmtId="173" fontId="14" fillId="2" borderId="0" xfId="0" applyNumberFormat="1" applyFont="1" applyFill="1" applyAlignment="1">
      <alignment horizontal="justify" vertical="top" wrapText="1"/>
    </xf>
    <xf numFmtId="9" fontId="14" fillId="2" borderId="0" xfId="0" applyNumberFormat="1" applyFont="1" applyFill="1" applyBorder="1" applyAlignment="1">
      <alignment horizontal="justify" vertical="top" wrapText="1"/>
    </xf>
    <xf numFmtId="15" fontId="14" fillId="2" borderId="0" xfId="0" applyNumberFormat="1" applyFont="1" applyFill="1" applyBorder="1" applyAlignment="1">
      <alignment horizontal="justify" vertical="top" wrapText="1"/>
    </xf>
    <xf numFmtId="10" fontId="7" fillId="2" borderId="0" xfId="5" applyNumberFormat="1" applyFont="1" applyFill="1" applyAlignment="1">
      <alignment vertical="center"/>
    </xf>
    <xf numFmtId="10" fontId="22" fillId="2" borderId="1" xfId="0" applyNumberFormat="1" applyFont="1" applyFill="1" applyBorder="1" applyAlignment="1">
      <alignment horizontal="right" vertical="top" wrapText="1"/>
    </xf>
    <xf numFmtId="168" fontId="8" fillId="2" borderId="2" xfId="0" applyNumberFormat="1" applyFont="1" applyFill="1" applyBorder="1" applyAlignment="1">
      <alignment vertical="center"/>
    </xf>
    <xf numFmtId="0" fontId="8" fillId="2" borderId="16" xfId="0" applyFont="1" applyFill="1" applyBorder="1" applyAlignment="1">
      <alignment vertical="center"/>
    </xf>
    <xf numFmtId="3" fontId="8" fillId="2" borderId="4" xfId="0" applyNumberFormat="1" applyFont="1" applyFill="1" applyBorder="1" applyAlignment="1">
      <alignment vertical="center"/>
    </xf>
    <xf numFmtId="170" fontId="5" fillId="2" borderId="4" xfId="5" applyNumberFormat="1" applyFont="1" applyFill="1" applyBorder="1" applyAlignment="1">
      <alignment vertical="center"/>
    </xf>
    <xf numFmtId="0" fontId="22" fillId="2" borderId="0" xfId="0" applyFont="1" applyFill="1" applyAlignment="1">
      <alignment horizontal="right" vertical="center"/>
    </xf>
    <xf numFmtId="0" fontId="14" fillId="2" borderId="0" xfId="0" applyFont="1" applyFill="1" applyAlignment="1">
      <alignment horizontal="right" vertical="center"/>
    </xf>
    <xf numFmtId="170" fontId="14" fillId="2" borderId="0" xfId="5" applyNumberFormat="1" applyFont="1" applyFill="1" applyBorder="1" applyAlignment="1">
      <alignment horizontal="justify" vertical="top" wrapText="1"/>
    </xf>
    <xf numFmtId="10" fontId="14" fillId="2" borderId="0" xfId="0" applyNumberFormat="1" applyFont="1" applyFill="1" applyBorder="1" applyAlignment="1">
      <alignment horizontal="justify" vertical="top" wrapText="1"/>
    </xf>
    <xf numFmtId="0" fontId="10" fillId="2" borderId="0" xfId="0" applyNumberFormat="1" applyFont="1" applyFill="1" applyBorder="1" applyAlignment="1">
      <alignment horizontal="justify" vertical="top" wrapText="1"/>
    </xf>
    <xf numFmtId="10" fontId="14" fillId="2" borderId="0" xfId="5" applyNumberFormat="1" applyFont="1" applyFill="1" applyAlignment="1">
      <alignment horizontal="justify" vertical="top" wrapText="1"/>
    </xf>
    <xf numFmtId="2" fontId="38" fillId="7" borderId="3" xfId="0" applyNumberFormat="1" applyFont="1" applyFill="1" applyBorder="1" applyAlignment="1">
      <alignment vertical="center"/>
    </xf>
    <xf numFmtId="0" fontId="39" fillId="2" borderId="0" xfId="0" applyFont="1" applyFill="1" applyAlignment="1">
      <alignment vertical="center"/>
    </xf>
    <xf numFmtId="0" fontId="8" fillId="2" borderId="0" xfId="0" applyFont="1" applyFill="1" applyAlignment="1">
      <alignment vertical="center"/>
    </xf>
    <xf numFmtId="10" fontId="14" fillId="2" borderId="0" xfId="0" applyNumberFormat="1" applyFont="1" applyFill="1" applyAlignment="1">
      <alignment horizontal="justify" vertical="top" wrapText="1"/>
    </xf>
    <xf numFmtId="10" fontId="14" fillId="2" borderId="4" xfId="6" applyNumberFormat="1" applyFont="1" applyFill="1" applyBorder="1" applyAlignment="1">
      <alignment horizontal="justify" vertical="top" wrapText="1"/>
    </xf>
    <xf numFmtId="10" fontId="38" fillId="2" borderId="0" xfId="6" applyNumberFormat="1" applyFont="1" applyFill="1" applyAlignment="1">
      <alignment horizontal="justify" vertical="top" wrapText="1"/>
    </xf>
    <xf numFmtId="10" fontId="14" fillId="2" borderId="0" xfId="6" applyNumberFormat="1" applyFont="1" applyFill="1" applyAlignment="1">
      <alignment horizontal="justify" vertical="top" wrapText="1"/>
    </xf>
    <xf numFmtId="10" fontId="40" fillId="2" borderId="0" xfId="5" applyNumberFormat="1" applyFont="1" applyFill="1" applyBorder="1" applyAlignment="1">
      <alignment vertical="center"/>
    </xf>
    <xf numFmtId="10" fontId="41" fillId="2" borderId="0" xfId="5" applyNumberFormat="1" applyFont="1" applyFill="1" applyAlignment="1">
      <alignment vertical="center"/>
    </xf>
    <xf numFmtId="1" fontId="22" fillId="2" borderId="15" xfId="6" applyNumberFormat="1" applyFont="1" applyFill="1" applyBorder="1" applyAlignment="1">
      <alignment horizontal="right" vertical="center"/>
    </xf>
    <xf numFmtId="1" fontId="22" fillId="2" borderId="6" xfId="6" applyNumberFormat="1" applyFont="1" applyFill="1" applyBorder="1" applyAlignment="1">
      <alignment vertical="center"/>
    </xf>
    <xf numFmtId="1" fontId="22" fillId="2" borderId="5" xfId="6" applyNumberFormat="1" applyFont="1" applyFill="1" applyBorder="1" applyAlignment="1">
      <alignment horizontal="right" vertical="center"/>
    </xf>
    <xf numFmtId="1" fontId="22" fillId="2" borderId="11" xfId="6" applyNumberFormat="1" applyFont="1" applyFill="1" applyBorder="1" applyAlignment="1">
      <alignment vertical="center"/>
    </xf>
    <xf numFmtId="1" fontId="22" fillId="2" borderId="9" xfId="6" applyNumberFormat="1" applyFont="1" applyFill="1" applyBorder="1" applyAlignment="1">
      <alignment horizontal="right" vertical="center"/>
    </xf>
    <xf numFmtId="10" fontId="7" fillId="2" borderId="0" xfId="5" applyNumberFormat="1" applyFont="1" applyFill="1" applyBorder="1" applyAlignment="1">
      <alignment vertical="center"/>
    </xf>
    <xf numFmtId="168" fontId="23" fillId="4" borderId="5" xfId="0" applyNumberFormat="1" applyFont="1" applyFill="1" applyBorder="1" applyAlignment="1">
      <alignment horizontal="right" vertical="center"/>
    </xf>
    <xf numFmtId="168" fontId="8" fillId="4" borderId="5" xfId="0" applyNumberFormat="1" applyFont="1" applyFill="1" applyBorder="1" applyAlignment="1">
      <alignment horizontal="right" vertical="center"/>
    </xf>
    <xf numFmtId="14" fontId="22" fillId="2" borderId="0" xfId="0" applyNumberFormat="1" applyFont="1" applyFill="1" applyBorder="1" applyAlignment="1">
      <alignment vertical="center"/>
    </xf>
    <xf numFmtId="0" fontId="14" fillId="2" borderId="0" xfId="0" applyFont="1" applyFill="1" applyAlignment="1">
      <alignment horizontal="left" vertical="top" wrapText="1"/>
    </xf>
    <xf numFmtId="1" fontId="14" fillId="2" borderId="0" xfId="0" applyNumberFormat="1" applyFont="1" applyFill="1" applyAlignment="1">
      <alignment horizontal="justify" vertical="top" wrapText="1"/>
    </xf>
    <xf numFmtId="9" fontId="7" fillId="2" borderId="0" xfId="0" applyNumberFormat="1" applyFont="1" applyFill="1" applyAlignment="1">
      <alignment horizontal="justify" vertical="top" wrapText="1"/>
    </xf>
    <xf numFmtId="10" fontId="8" fillId="2" borderId="0" xfId="5" applyNumberFormat="1" applyFont="1" applyFill="1" applyBorder="1" applyAlignment="1">
      <alignment vertical="center"/>
    </xf>
    <xf numFmtId="9" fontId="7" fillId="2" borderId="0" xfId="0" applyNumberFormat="1" applyFont="1" applyFill="1" applyAlignment="1">
      <alignment horizontal="justify" vertical="top"/>
    </xf>
    <xf numFmtId="14" fontId="22" fillId="2" borderId="0" xfId="0" applyNumberFormat="1" applyFont="1" applyFill="1" applyAlignment="1">
      <alignment vertical="center"/>
    </xf>
    <xf numFmtId="0" fontId="14" fillId="2" borderId="0" xfId="0" applyFont="1" applyFill="1" applyAlignment="1">
      <alignment horizontal="left" vertical="top"/>
    </xf>
    <xf numFmtId="1" fontId="22" fillId="2" borderId="15" xfId="6" applyNumberFormat="1" applyFont="1" applyFill="1" applyBorder="1" applyAlignment="1">
      <alignment vertical="center"/>
    </xf>
    <xf numFmtId="1" fontId="22" fillId="2" borderId="0" xfId="0" applyNumberFormat="1" applyFont="1" applyFill="1" applyBorder="1" applyAlignment="1">
      <alignment vertical="center"/>
    </xf>
    <xf numFmtId="1" fontId="22" fillId="2" borderId="5" xfId="6" applyNumberFormat="1" applyFont="1" applyFill="1" applyBorder="1" applyAlignment="1">
      <alignment vertical="center"/>
    </xf>
    <xf numFmtId="1" fontId="22" fillId="2" borderId="9" xfId="6" applyNumberFormat="1" applyFont="1" applyFill="1" applyBorder="1" applyAlignment="1">
      <alignment vertical="center"/>
    </xf>
    <xf numFmtId="1" fontId="22" fillId="2" borderId="10" xfId="0" applyNumberFormat="1" applyFont="1" applyFill="1" applyBorder="1" applyAlignment="1">
      <alignment vertical="center"/>
    </xf>
    <xf numFmtId="0" fontId="7" fillId="5" borderId="0" xfId="0" applyFont="1" applyFill="1" applyBorder="1" applyAlignment="1">
      <alignment horizontal="left" vertical="top" wrapText="1"/>
    </xf>
    <xf numFmtId="0" fontId="7" fillId="5" borderId="0" xfId="0" applyFont="1" applyFill="1" applyBorder="1" applyAlignment="1">
      <alignment horizontal="center" vertical="top" wrapText="1"/>
    </xf>
    <xf numFmtId="0" fontId="8" fillId="4" borderId="0" xfId="0" applyFont="1" applyFill="1" applyBorder="1" applyAlignment="1">
      <alignment horizontal="right" vertical="top" wrapText="1"/>
    </xf>
    <xf numFmtId="14" fontId="7" fillId="5" borderId="0" xfId="0" applyNumberFormat="1" applyFont="1" applyFill="1" applyBorder="1" applyAlignment="1">
      <alignment horizontal="justify" vertical="top" wrapText="1"/>
    </xf>
    <xf numFmtId="0" fontId="7" fillId="5" borderId="1" xfId="0" applyFont="1" applyFill="1" applyBorder="1" applyAlignment="1">
      <alignment horizontal="left" vertical="top" wrapText="1"/>
    </xf>
    <xf numFmtId="0" fontId="8" fillId="5" borderId="1" xfId="0" applyFont="1" applyFill="1" applyBorder="1" applyAlignment="1">
      <alignment vertical="top" wrapText="1"/>
    </xf>
    <xf numFmtId="0" fontId="8" fillId="5" borderId="0" xfId="0" applyFont="1" applyFill="1" applyBorder="1" applyAlignment="1">
      <alignment vertical="top" wrapText="1"/>
    </xf>
    <xf numFmtId="0" fontId="8" fillId="5" borderId="10" xfId="0" applyFont="1" applyFill="1" applyBorder="1" applyAlignment="1">
      <alignment vertical="top" wrapText="1"/>
    </xf>
    <xf numFmtId="0" fontId="4" fillId="3" borderId="16" xfId="0" applyFont="1" applyFill="1" applyBorder="1" applyAlignment="1">
      <alignment horizontal="center" vertical="center"/>
    </xf>
    <xf numFmtId="0" fontId="4" fillId="3" borderId="12" xfId="0" applyFont="1" applyFill="1" applyBorder="1" applyAlignment="1">
      <alignment horizontal="center" vertical="center"/>
    </xf>
    <xf numFmtId="0" fontId="4" fillId="3" borderId="17" xfId="0" applyFont="1" applyFill="1" applyBorder="1" applyAlignment="1">
      <alignment horizontal="center" vertical="center"/>
    </xf>
    <xf numFmtId="0" fontId="8" fillId="4" borderId="16" xfId="0" applyFont="1" applyFill="1" applyBorder="1" applyAlignment="1">
      <alignment horizontal="center" vertical="center"/>
    </xf>
    <xf numFmtId="0" fontId="8" fillId="4" borderId="12" xfId="0" applyFont="1" applyFill="1" applyBorder="1" applyAlignment="1">
      <alignment horizontal="center" vertical="center"/>
    </xf>
    <xf numFmtId="0" fontId="8" fillId="4" borderId="12" xfId="0" applyFont="1" applyFill="1" applyBorder="1" applyAlignment="1">
      <alignment horizontal="center" vertical="center"/>
    </xf>
    <xf numFmtId="0" fontId="8" fillId="4" borderId="12" xfId="0" applyFont="1" applyFill="1" applyBorder="1" applyAlignment="1">
      <alignment horizontal="center" vertical="center"/>
    </xf>
    <xf numFmtId="0" fontId="4" fillId="3" borderId="16" xfId="0" applyFont="1" applyFill="1" applyBorder="1" applyAlignment="1">
      <alignment horizontal="center" vertical="center"/>
    </xf>
    <xf numFmtId="0" fontId="4" fillId="3" borderId="12" xfId="0" applyFont="1" applyFill="1" applyBorder="1" applyAlignment="1">
      <alignment horizontal="center" vertical="center"/>
    </xf>
    <xf numFmtId="0" fontId="4" fillId="3" borderId="17" xfId="0" applyFont="1" applyFill="1" applyBorder="1" applyAlignment="1">
      <alignment horizontal="center" vertical="center"/>
    </xf>
    <xf numFmtId="0" fontId="8" fillId="4" borderId="16" xfId="0" applyFont="1" applyFill="1" applyBorder="1" applyAlignment="1">
      <alignment horizontal="center" vertical="center"/>
    </xf>
    <xf numFmtId="0" fontId="8" fillId="4" borderId="12" xfId="0" applyFont="1" applyFill="1" applyBorder="1" applyAlignment="1">
      <alignment horizontal="center" vertical="center"/>
    </xf>
    <xf numFmtId="0" fontId="8" fillId="4" borderId="17" xfId="0" applyFont="1" applyFill="1" applyBorder="1" applyAlignment="1">
      <alignment horizontal="center" vertical="center"/>
    </xf>
    <xf numFmtId="0" fontId="22" fillId="2" borderId="9" xfId="0" applyFont="1" applyFill="1" applyBorder="1" applyAlignment="1">
      <alignment horizontal="center" vertical="center" wrapText="1"/>
    </xf>
    <xf numFmtId="0" fontId="22" fillId="2" borderId="10" xfId="0" applyFont="1" applyFill="1" applyBorder="1" applyAlignment="1">
      <alignment horizontal="center" vertical="center" wrapText="1"/>
    </xf>
    <xf numFmtId="0" fontId="22" fillId="2" borderId="11" xfId="0" applyFont="1" applyFill="1" applyBorder="1" applyAlignment="1">
      <alignment horizontal="center" vertical="center" wrapText="1"/>
    </xf>
    <xf numFmtId="0" fontId="22" fillId="2" borderId="16" xfId="0" applyFont="1" applyFill="1" applyBorder="1" applyAlignment="1">
      <alignment horizontal="center" vertical="center" wrapText="1"/>
    </xf>
    <xf numFmtId="0" fontId="22" fillId="2" borderId="12" xfId="0" applyFont="1" applyFill="1" applyBorder="1" applyAlignment="1">
      <alignment horizontal="center" vertical="center" wrapText="1"/>
    </xf>
    <xf numFmtId="0" fontId="22" fillId="2" borderId="17" xfId="0" applyFont="1" applyFill="1" applyBorder="1" applyAlignment="1">
      <alignment horizontal="center" vertical="center" wrapText="1"/>
    </xf>
    <xf numFmtId="0" fontId="32" fillId="3" borderId="16" xfId="0" applyFont="1" applyFill="1" applyBorder="1" applyAlignment="1">
      <alignment horizontal="center" vertical="center"/>
    </xf>
    <xf numFmtId="0" fontId="32" fillId="3" borderId="12" xfId="0" applyFont="1" applyFill="1" applyBorder="1" applyAlignment="1">
      <alignment horizontal="center" vertical="center"/>
    </xf>
    <xf numFmtId="0" fontId="32" fillId="3" borderId="17" xfId="0" applyFont="1" applyFill="1" applyBorder="1" applyAlignment="1">
      <alignment horizontal="center" vertical="center"/>
    </xf>
    <xf numFmtId="0" fontId="14" fillId="2" borderId="10" xfId="0" applyFont="1" applyFill="1" applyBorder="1" applyAlignment="1">
      <alignment horizontal="left" vertical="center"/>
    </xf>
    <xf numFmtId="0" fontId="7" fillId="7" borderId="0" xfId="0" applyFont="1" applyFill="1" applyBorder="1" applyAlignment="1">
      <alignment horizontal="justify" vertical="top" wrapText="1"/>
    </xf>
    <xf numFmtId="0" fontId="19" fillId="2" borderId="19" xfId="0" applyFont="1" applyFill="1" applyBorder="1" applyAlignment="1">
      <alignment horizontal="left" vertical="top" wrapText="1"/>
    </xf>
    <xf numFmtId="0" fontId="21" fillId="2" borderId="0" xfId="0" applyFont="1" applyFill="1" applyBorder="1" applyAlignment="1">
      <alignment horizontal="left" vertical="top" wrapText="1"/>
    </xf>
    <xf numFmtId="0" fontId="7" fillId="2" borderId="0" xfId="0" applyNumberFormat="1" applyFont="1" applyFill="1" applyBorder="1" applyAlignment="1">
      <alignment horizontal="justify" vertical="top" wrapText="1"/>
    </xf>
    <xf numFmtId="0" fontId="7" fillId="7" borderId="0" xfId="0" applyFont="1" applyFill="1" applyAlignment="1">
      <alignment horizontal="justify" vertical="top" wrapText="1"/>
    </xf>
    <xf numFmtId="0" fontId="15" fillId="2" borderId="0" xfId="0" applyFont="1" applyFill="1" applyBorder="1" applyAlignment="1">
      <alignment horizontal="left" vertical="top" wrapText="1"/>
    </xf>
    <xf numFmtId="14" fontId="7" fillId="5" borderId="0" xfId="0" applyNumberFormat="1" applyFont="1" applyFill="1" applyBorder="1" applyAlignment="1">
      <alignment horizontal="justify" vertical="top" wrapText="1"/>
    </xf>
    <xf numFmtId="0" fontId="14" fillId="4" borderId="1" xfId="0" applyFont="1" applyFill="1" applyBorder="1" applyAlignment="1">
      <alignment horizontal="center" vertical="top" wrapText="1"/>
    </xf>
    <xf numFmtId="0" fontId="14" fillId="4" borderId="10" xfId="0" applyFont="1" applyFill="1" applyBorder="1" applyAlignment="1">
      <alignment horizontal="center" vertical="top" wrapText="1"/>
    </xf>
    <xf numFmtId="0" fontId="20" fillId="2" borderId="22" xfId="0" applyFont="1" applyFill="1" applyBorder="1" applyAlignment="1">
      <alignment horizontal="left" vertical="top" wrapText="1"/>
    </xf>
    <xf numFmtId="10" fontId="7" fillId="5" borderId="0" xfId="0" applyNumberFormat="1" applyFont="1" applyFill="1" applyBorder="1" applyAlignment="1">
      <alignment horizontal="justify" vertical="top" wrapText="1"/>
    </xf>
    <xf numFmtId="0" fontId="8" fillId="5" borderId="1" xfId="0" applyFont="1" applyFill="1" applyBorder="1" applyAlignment="1">
      <alignment horizontal="left" vertical="top" wrapText="1"/>
    </xf>
    <xf numFmtId="0" fontId="8" fillId="5" borderId="10" xfId="0" applyFont="1" applyFill="1" applyBorder="1" applyAlignment="1">
      <alignment horizontal="left" vertical="top" wrapText="1"/>
    </xf>
    <xf numFmtId="0" fontId="15" fillId="2" borderId="0" xfId="0" applyFont="1" applyFill="1" applyBorder="1" applyAlignment="1">
      <alignment horizontal="justify" vertical="top" wrapText="1"/>
    </xf>
    <xf numFmtId="0" fontId="8" fillId="2" borderId="0" xfId="0" applyFont="1" applyFill="1" applyAlignment="1">
      <alignment horizontal="justify" vertical="top" wrapText="1"/>
    </xf>
    <xf numFmtId="0" fontId="10" fillId="2" borderId="0" xfId="0" applyFont="1" applyFill="1" applyAlignment="1">
      <alignment horizontal="justify" vertical="top" wrapText="1"/>
    </xf>
    <xf numFmtId="0" fontId="15" fillId="2" borderId="0" xfId="0" applyFont="1" applyFill="1" applyAlignment="1">
      <alignment horizontal="justify" vertical="top" wrapText="1"/>
    </xf>
    <xf numFmtId="0" fontId="14" fillId="4" borderId="1" xfId="0" applyFont="1" applyFill="1" applyBorder="1" applyAlignment="1">
      <alignment horizontal="right" vertical="top" wrapText="1"/>
    </xf>
    <xf numFmtId="0" fontId="14" fillId="4" borderId="0" xfId="0" applyFont="1" applyFill="1" applyBorder="1" applyAlignment="1">
      <alignment horizontal="right" vertical="top" wrapText="1"/>
    </xf>
    <xf numFmtId="0" fontId="14" fillId="4" borderId="10" xfId="0" applyFont="1" applyFill="1" applyBorder="1" applyAlignment="1">
      <alignment horizontal="right" vertical="top" wrapText="1"/>
    </xf>
    <xf numFmtId="0" fontId="33" fillId="4" borderId="1" xfId="0" applyFont="1" applyFill="1" applyBorder="1" applyAlignment="1">
      <alignment horizontal="left" vertical="top"/>
    </xf>
    <xf numFmtId="0" fontId="33" fillId="4" borderId="10" xfId="0" applyFont="1" applyFill="1" applyBorder="1" applyAlignment="1">
      <alignment horizontal="left" vertical="top"/>
    </xf>
    <xf numFmtId="0" fontId="33" fillId="4" borderId="0" xfId="0" applyFont="1" applyFill="1" applyBorder="1" applyAlignment="1">
      <alignment horizontal="left" vertical="top"/>
    </xf>
    <xf numFmtId="0" fontId="7" fillId="5" borderId="0" xfId="0" applyFont="1" applyFill="1" applyBorder="1" applyAlignment="1">
      <alignment horizontal="left" vertical="top" wrapText="1"/>
    </xf>
    <xf numFmtId="14" fontId="7" fillId="5" borderId="0" xfId="0" applyNumberFormat="1" applyFont="1" applyFill="1" applyBorder="1" applyAlignment="1">
      <alignment horizontal="left" vertical="top" wrapText="1"/>
    </xf>
    <xf numFmtId="0" fontId="8" fillId="4" borderId="0" xfId="0" applyFont="1" applyFill="1" applyBorder="1" applyAlignment="1">
      <alignment horizontal="right" vertical="top" wrapText="1"/>
    </xf>
    <xf numFmtId="0" fontId="10" fillId="2" borderId="0" xfId="0" applyNumberFormat="1" applyFont="1" applyFill="1" applyBorder="1" applyAlignment="1">
      <alignment horizontal="justify" vertical="top" wrapText="1"/>
    </xf>
    <xf numFmtId="0" fontId="7" fillId="5" borderId="0" xfId="0" applyFont="1" applyFill="1" applyBorder="1" applyAlignment="1">
      <alignment horizontal="center" vertical="top" wrapText="1"/>
    </xf>
    <xf numFmtId="0" fontId="19" fillId="2" borderId="0" xfId="0" applyFont="1" applyFill="1" applyBorder="1" applyAlignment="1">
      <alignment horizontal="center" vertical="top" wrapText="1"/>
    </xf>
    <xf numFmtId="0" fontId="7" fillId="5" borderId="0" xfId="0" applyFont="1" applyFill="1" applyBorder="1" applyAlignment="1">
      <alignment horizontal="justify" vertical="top" wrapText="1"/>
    </xf>
    <xf numFmtId="0" fontId="10" fillId="5" borderId="0" xfId="0" applyFont="1" applyFill="1" applyBorder="1" applyAlignment="1">
      <alignment horizontal="justify" vertical="top" wrapText="1"/>
    </xf>
    <xf numFmtId="174" fontId="7" fillId="5" borderId="0" xfId="0" applyNumberFormat="1" applyFont="1" applyFill="1" applyBorder="1" applyAlignment="1">
      <alignment horizontal="justify" vertical="top" wrapText="1"/>
    </xf>
    <xf numFmtId="9" fontId="7" fillId="5" borderId="0" xfId="5" applyFont="1" applyFill="1" applyBorder="1" applyAlignment="1">
      <alignment horizontal="justify" vertical="top" wrapText="1"/>
    </xf>
    <xf numFmtId="164" fontId="7" fillId="5" borderId="0" xfId="0" applyNumberFormat="1" applyFont="1" applyFill="1" applyBorder="1" applyAlignment="1">
      <alignment horizontal="justify" vertical="top" wrapText="1"/>
    </xf>
    <xf numFmtId="0" fontId="7" fillId="5" borderId="0" xfId="0" applyFont="1" applyFill="1" applyBorder="1" applyAlignment="1">
      <alignment horizontal="justify" vertical="justify" wrapText="1"/>
    </xf>
    <xf numFmtId="175" fontId="7" fillId="5" borderId="0" xfId="0" applyNumberFormat="1" applyFont="1" applyFill="1" applyBorder="1" applyAlignment="1">
      <alignment horizontal="justify" vertical="top" wrapText="1"/>
    </xf>
    <xf numFmtId="0" fontId="13" fillId="5" borderId="0" xfId="0" applyFont="1" applyFill="1" applyBorder="1" applyAlignment="1">
      <alignment horizontal="left" vertical="top" wrapText="1"/>
    </xf>
    <xf numFmtId="14" fontId="8" fillId="5" borderId="0" xfId="0" applyNumberFormat="1" applyFont="1" applyFill="1" applyBorder="1" applyAlignment="1">
      <alignment horizontal="left" vertical="top" wrapText="1"/>
    </xf>
    <xf numFmtId="0" fontId="8" fillId="5" borderId="1" xfId="0" applyFont="1" applyFill="1" applyBorder="1" applyAlignment="1">
      <alignment horizontal="center" vertical="center" wrapText="1"/>
    </xf>
    <xf numFmtId="0" fontId="8" fillId="5" borderId="0" xfId="0" applyFont="1" applyFill="1" applyBorder="1" applyAlignment="1">
      <alignment horizontal="center" vertical="center" wrapText="1"/>
    </xf>
    <xf numFmtId="0" fontId="8" fillId="5" borderId="10" xfId="0" applyFont="1" applyFill="1" applyBorder="1" applyAlignment="1">
      <alignment horizontal="center" vertical="center" wrapText="1"/>
    </xf>
    <xf numFmtId="0" fontId="14" fillId="2" borderId="10" xfId="0" applyFont="1" applyFill="1" applyBorder="1" applyAlignment="1">
      <alignment horizontal="center" vertical="top" wrapText="1"/>
    </xf>
  </cellXfs>
  <cellStyles count="7">
    <cellStyle name="Migliaia" xfId="1" builtinId="3"/>
    <cellStyle name="Normal_RETAIL ISPIM CURVENew" xfId="2"/>
    <cellStyle name="Normale" xfId="0" builtinId="0"/>
    <cellStyle name="Normale 2" xfId="3"/>
    <cellStyle name="Normale 3" xfId="4"/>
    <cellStyle name="Percentuale" xfId="5" builtinId="5"/>
    <cellStyle name="Percentuale 2" xfId="6"/>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externalLink" Target="externalLinks/externalLink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500" b="0" i="0" u="none" strike="noStrike" baseline="0">
                <a:solidFill>
                  <a:srgbClr val="000000"/>
                </a:solidFill>
                <a:latin typeface="Calibri"/>
                <a:ea typeface="Calibri"/>
                <a:cs typeface="Calibri"/>
              </a:defRPr>
            </a:pPr>
            <a:r>
              <a:rPr lang="it-IT"/>
              <a:t>Indici</a:t>
            </a:r>
          </a:p>
        </c:rich>
      </c:tx>
      <c:layout>
        <c:manualLayout>
          <c:xMode val="edge"/>
          <c:yMode val="edge"/>
          <c:x val="0.46905615325691646"/>
          <c:y val="0.04"/>
        </c:manualLayout>
      </c:layout>
      <c:overlay val="0"/>
      <c:spPr>
        <a:noFill/>
        <a:ln w="25400">
          <a:noFill/>
        </a:ln>
      </c:spPr>
    </c:title>
    <c:autoTitleDeleted val="0"/>
    <c:plotArea>
      <c:layout>
        <c:manualLayout>
          <c:layoutTarget val="inner"/>
          <c:xMode val="edge"/>
          <c:yMode val="edge"/>
          <c:x val="0.1009773593008183"/>
          <c:y val="0.10400020312539673"/>
          <c:w val="0.83713488194549368"/>
          <c:h val="0.60000117187728885"/>
        </c:manualLayout>
      </c:layout>
      <c:lineChart>
        <c:grouping val="standard"/>
        <c:varyColors val="0"/>
        <c:ser>
          <c:idx val="0"/>
          <c:order val="0"/>
          <c:tx>
            <c:strRef>
              <c:f>Dati_G!$A$7</c:f>
              <c:strCache>
                <c:ptCount val="1"/>
                <c:pt idx="0">
                  <c:v>MB IM Equity</c:v>
                </c:pt>
              </c:strCache>
            </c:strRef>
          </c:tx>
          <c:spPr>
            <a:ln w="25400">
              <a:solidFill>
                <a:srgbClr val="000080"/>
              </a:solidFill>
              <a:prstDash val="solid"/>
            </a:ln>
          </c:spPr>
          <c:marker>
            <c:symbol val="none"/>
          </c:marker>
          <c:cat>
            <c:numRef>
              <c:f>Dati_G!$A$10:$A$2000</c:f>
              <c:numCache>
                <c:formatCode>dd/mm/yy</c:formatCode>
                <c:ptCount val="1991"/>
                <c:pt idx="0">
                  <c:v>41716</c:v>
                </c:pt>
                <c:pt idx="1">
                  <c:v>41717</c:v>
                </c:pt>
                <c:pt idx="2">
                  <c:v>41718</c:v>
                </c:pt>
                <c:pt idx="3">
                  <c:v>41719</c:v>
                </c:pt>
                <c:pt idx="4">
                  <c:v>41722</c:v>
                </c:pt>
                <c:pt idx="5">
                  <c:v>41723</c:v>
                </c:pt>
                <c:pt idx="6">
                  <c:v>41724</c:v>
                </c:pt>
                <c:pt idx="7">
                  <c:v>41725</c:v>
                </c:pt>
                <c:pt idx="8">
                  <c:v>41726</c:v>
                </c:pt>
                <c:pt idx="9">
                  <c:v>41729</c:v>
                </c:pt>
                <c:pt idx="10">
                  <c:v>41730</c:v>
                </c:pt>
                <c:pt idx="11">
                  <c:v>41731</c:v>
                </c:pt>
                <c:pt idx="12">
                  <c:v>41732</c:v>
                </c:pt>
                <c:pt idx="13">
                  <c:v>41733</c:v>
                </c:pt>
                <c:pt idx="14">
                  <c:v>41736</c:v>
                </c:pt>
                <c:pt idx="15">
                  <c:v>41737</c:v>
                </c:pt>
                <c:pt idx="16">
                  <c:v>41738</c:v>
                </c:pt>
                <c:pt idx="17">
                  <c:v>41739</c:v>
                </c:pt>
                <c:pt idx="18">
                  <c:v>41740</c:v>
                </c:pt>
                <c:pt idx="19">
                  <c:v>41743</c:v>
                </c:pt>
                <c:pt idx="20">
                  <c:v>41744</c:v>
                </c:pt>
                <c:pt idx="21">
                  <c:v>41745</c:v>
                </c:pt>
                <c:pt idx="22">
                  <c:v>41746</c:v>
                </c:pt>
                <c:pt idx="23">
                  <c:v>41751</c:v>
                </c:pt>
                <c:pt idx="24">
                  <c:v>41752</c:v>
                </c:pt>
                <c:pt idx="25">
                  <c:v>41753</c:v>
                </c:pt>
                <c:pt idx="26">
                  <c:v>41754</c:v>
                </c:pt>
                <c:pt idx="27">
                  <c:v>41757</c:v>
                </c:pt>
                <c:pt idx="28">
                  <c:v>41758</c:v>
                </c:pt>
                <c:pt idx="29">
                  <c:v>41759</c:v>
                </c:pt>
                <c:pt idx="30">
                  <c:v>41761</c:v>
                </c:pt>
                <c:pt idx="31">
                  <c:v>41764</c:v>
                </c:pt>
                <c:pt idx="32">
                  <c:v>41765</c:v>
                </c:pt>
                <c:pt idx="33">
                  <c:v>41766</c:v>
                </c:pt>
                <c:pt idx="34">
                  <c:v>41767</c:v>
                </c:pt>
                <c:pt idx="35">
                  <c:v>41768</c:v>
                </c:pt>
                <c:pt idx="36">
                  <c:v>41771</c:v>
                </c:pt>
                <c:pt idx="37">
                  <c:v>41772</c:v>
                </c:pt>
                <c:pt idx="38">
                  <c:v>41773</c:v>
                </c:pt>
                <c:pt idx="39">
                  <c:v>41774</c:v>
                </c:pt>
                <c:pt idx="40">
                  <c:v>41775</c:v>
                </c:pt>
                <c:pt idx="41">
                  <c:v>41778</c:v>
                </c:pt>
                <c:pt idx="42">
                  <c:v>41779</c:v>
                </c:pt>
                <c:pt idx="43">
                  <c:v>41780</c:v>
                </c:pt>
                <c:pt idx="44">
                  <c:v>41781</c:v>
                </c:pt>
                <c:pt idx="45">
                  <c:v>41782</c:v>
                </c:pt>
                <c:pt idx="46">
                  <c:v>41785</c:v>
                </c:pt>
                <c:pt idx="47">
                  <c:v>41786</c:v>
                </c:pt>
                <c:pt idx="48">
                  <c:v>41787</c:v>
                </c:pt>
                <c:pt idx="49">
                  <c:v>41788</c:v>
                </c:pt>
                <c:pt idx="50">
                  <c:v>41789</c:v>
                </c:pt>
                <c:pt idx="51">
                  <c:v>41792</c:v>
                </c:pt>
                <c:pt idx="52">
                  <c:v>41793</c:v>
                </c:pt>
                <c:pt idx="53">
                  <c:v>41794</c:v>
                </c:pt>
                <c:pt idx="54">
                  <c:v>41795</c:v>
                </c:pt>
                <c:pt idx="55">
                  <c:v>41796</c:v>
                </c:pt>
                <c:pt idx="56">
                  <c:v>41799</c:v>
                </c:pt>
                <c:pt idx="57">
                  <c:v>41800</c:v>
                </c:pt>
                <c:pt idx="58">
                  <c:v>41801</c:v>
                </c:pt>
                <c:pt idx="59">
                  <c:v>41802</c:v>
                </c:pt>
                <c:pt idx="60">
                  <c:v>41803</c:v>
                </c:pt>
                <c:pt idx="61">
                  <c:v>41806</c:v>
                </c:pt>
                <c:pt idx="62">
                  <c:v>41807</c:v>
                </c:pt>
                <c:pt idx="63">
                  <c:v>41808</c:v>
                </c:pt>
                <c:pt idx="64">
                  <c:v>41809</c:v>
                </c:pt>
                <c:pt idx="65">
                  <c:v>41810</c:v>
                </c:pt>
                <c:pt idx="66">
                  <c:v>41813</c:v>
                </c:pt>
                <c:pt idx="67">
                  <c:v>41814</c:v>
                </c:pt>
                <c:pt idx="68">
                  <c:v>41815</c:v>
                </c:pt>
                <c:pt idx="69">
                  <c:v>41816</c:v>
                </c:pt>
                <c:pt idx="70">
                  <c:v>41817</c:v>
                </c:pt>
                <c:pt idx="71">
                  <c:v>41820</c:v>
                </c:pt>
                <c:pt idx="72">
                  <c:v>41821</c:v>
                </c:pt>
                <c:pt idx="73">
                  <c:v>41822</c:v>
                </c:pt>
                <c:pt idx="74">
                  <c:v>41823</c:v>
                </c:pt>
                <c:pt idx="75">
                  <c:v>41824</c:v>
                </c:pt>
                <c:pt idx="76">
                  <c:v>41827</c:v>
                </c:pt>
                <c:pt idx="77">
                  <c:v>41828</c:v>
                </c:pt>
                <c:pt idx="78">
                  <c:v>41829</c:v>
                </c:pt>
                <c:pt idx="79">
                  <c:v>41830</c:v>
                </c:pt>
                <c:pt idx="80">
                  <c:v>41831</c:v>
                </c:pt>
                <c:pt idx="81">
                  <c:v>41834</c:v>
                </c:pt>
                <c:pt idx="82">
                  <c:v>41835</c:v>
                </c:pt>
                <c:pt idx="83">
                  <c:v>41836</c:v>
                </c:pt>
                <c:pt idx="84">
                  <c:v>41837</c:v>
                </c:pt>
                <c:pt idx="85">
                  <c:v>41838</c:v>
                </c:pt>
                <c:pt idx="86">
                  <c:v>41841</c:v>
                </c:pt>
                <c:pt idx="87">
                  <c:v>41842</c:v>
                </c:pt>
                <c:pt idx="88">
                  <c:v>41843</c:v>
                </c:pt>
                <c:pt idx="89">
                  <c:v>41844</c:v>
                </c:pt>
                <c:pt idx="90">
                  <c:v>41845</c:v>
                </c:pt>
                <c:pt idx="91">
                  <c:v>41848</c:v>
                </c:pt>
                <c:pt idx="92">
                  <c:v>41849</c:v>
                </c:pt>
                <c:pt idx="93">
                  <c:v>41850</c:v>
                </c:pt>
                <c:pt idx="94">
                  <c:v>41851</c:v>
                </c:pt>
                <c:pt idx="95">
                  <c:v>41852</c:v>
                </c:pt>
                <c:pt idx="96">
                  <c:v>41855</c:v>
                </c:pt>
                <c:pt idx="97">
                  <c:v>41856</c:v>
                </c:pt>
                <c:pt idx="98">
                  <c:v>41857</c:v>
                </c:pt>
                <c:pt idx="99">
                  <c:v>41858</c:v>
                </c:pt>
                <c:pt idx="100">
                  <c:v>41859</c:v>
                </c:pt>
                <c:pt idx="101">
                  <c:v>41862</c:v>
                </c:pt>
                <c:pt idx="102">
                  <c:v>41863</c:v>
                </c:pt>
                <c:pt idx="103">
                  <c:v>41864</c:v>
                </c:pt>
                <c:pt idx="104">
                  <c:v>41865</c:v>
                </c:pt>
                <c:pt idx="105">
                  <c:v>41869</c:v>
                </c:pt>
                <c:pt idx="106">
                  <c:v>41870</c:v>
                </c:pt>
                <c:pt idx="107">
                  <c:v>41871</c:v>
                </c:pt>
                <c:pt idx="108">
                  <c:v>41872</c:v>
                </c:pt>
                <c:pt idx="109">
                  <c:v>41873</c:v>
                </c:pt>
                <c:pt idx="110">
                  <c:v>41876</c:v>
                </c:pt>
                <c:pt idx="111">
                  <c:v>41877</c:v>
                </c:pt>
                <c:pt idx="112">
                  <c:v>41878</c:v>
                </c:pt>
                <c:pt idx="113">
                  <c:v>41879</c:v>
                </c:pt>
                <c:pt idx="114">
                  <c:v>41880</c:v>
                </c:pt>
                <c:pt idx="115">
                  <c:v>41883</c:v>
                </c:pt>
                <c:pt idx="116">
                  <c:v>41884</c:v>
                </c:pt>
                <c:pt idx="117">
                  <c:v>41885</c:v>
                </c:pt>
                <c:pt idx="118">
                  <c:v>41886</c:v>
                </c:pt>
                <c:pt idx="119">
                  <c:v>41887</c:v>
                </c:pt>
                <c:pt idx="120">
                  <c:v>41890</c:v>
                </c:pt>
                <c:pt idx="121">
                  <c:v>41891</c:v>
                </c:pt>
                <c:pt idx="122">
                  <c:v>41892</c:v>
                </c:pt>
                <c:pt idx="123">
                  <c:v>41893</c:v>
                </c:pt>
                <c:pt idx="124">
                  <c:v>41894</c:v>
                </c:pt>
                <c:pt idx="125">
                  <c:v>41897</c:v>
                </c:pt>
                <c:pt idx="126">
                  <c:v>41898</c:v>
                </c:pt>
                <c:pt idx="127">
                  <c:v>41899</c:v>
                </c:pt>
                <c:pt idx="128">
                  <c:v>41900</c:v>
                </c:pt>
                <c:pt idx="129">
                  <c:v>41901</c:v>
                </c:pt>
                <c:pt idx="130">
                  <c:v>41904</c:v>
                </c:pt>
                <c:pt idx="131">
                  <c:v>41905</c:v>
                </c:pt>
                <c:pt idx="132">
                  <c:v>41906</c:v>
                </c:pt>
                <c:pt idx="133">
                  <c:v>41907</c:v>
                </c:pt>
                <c:pt idx="134">
                  <c:v>41908</c:v>
                </c:pt>
                <c:pt idx="135">
                  <c:v>41911</c:v>
                </c:pt>
                <c:pt idx="136">
                  <c:v>41912</c:v>
                </c:pt>
                <c:pt idx="137">
                  <c:v>41913</c:v>
                </c:pt>
                <c:pt idx="138">
                  <c:v>41914</c:v>
                </c:pt>
                <c:pt idx="139">
                  <c:v>41915</c:v>
                </c:pt>
                <c:pt idx="140">
                  <c:v>41918</c:v>
                </c:pt>
                <c:pt idx="141">
                  <c:v>41919</c:v>
                </c:pt>
                <c:pt idx="142">
                  <c:v>41920</c:v>
                </c:pt>
                <c:pt idx="143">
                  <c:v>41921</c:v>
                </c:pt>
                <c:pt idx="144">
                  <c:v>41922</c:v>
                </c:pt>
                <c:pt idx="145">
                  <c:v>41925</c:v>
                </c:pt>
                <c:pt idx="146">
                  <c:v>41926</c:v>
                </c:pt>
                <c:pt idx="147">
                  <c:v>41927</c:v>
                </c:pt>
                <c:pt idx="148">
                  <c:v>41928</c:v>
                </c:pt>
                <c:pt idx="149">
                  <c:v>41929</c:v>
                </c:pt>
                <c:pt idx="150">
                  <c:v>41932</c:v>
                </c:pt>
                <c:pt idx="151">
                  <c:v>41933</c:v>
                </c:pt>
                <c:pt idx="152">
                  <c:v>41934</c:v>
                </c:pt>
                <c:pt idx="153">
                  <c:v>41935</c:v>
                </c:pt>
                <c:pt idx="154">
                  <c:v>41936</c:v>
                </c:pt>
                <c:pt idx="155">
                  <c:v>41939</c:v>
                </c:pt>
                <c:pt idx="156">
                  <c:v>41940</c:v>
                </c:pt>
                <c:pt idx="157">
                  <c:v>41941</c:v>
                </c:pt>
                <c:pt idx="158">
                  <c:v>41942</c:v>
                </c:pt>
                <c:pt idx="159">
                  <c:v>41943</c:v>
                </c:pt>
                <c:pt idx="160">
                  <c:v>41946</c:v>
                </c:pt>
                <c:pt idx="161">
                  <c:v>41947</c:v>
                </c:pt>
                <c:pt idx="162">
                  <c:v>41948</c:v>
                </c:pt>
                <c:pt idx="163">
                  <c:v>41949</c:v>
                </c:pt>
                <c:pt idx="164">
                  <c:v>41950</c:v>
                </c:pt>
                <c:pt idx="165">
                  <c:v>41953</c:v>
                </c:pt>
                <c:pt idx="166">
                  <c:v>41954</c:v>
                </c:pt>
                <c:pt idx="167">
                  <c:v>41955</c:v>
                </c:pt>
                <c:pt idx="168">
                  <c:v>41956</c:v>
                </c:pt>
                <c:pt idx="169">
                  <c:v>41957</c:v>
                </c:pt>
                <c:pt idx="170">
                  <c:v>41960</c:v>
                </c:pt>
                <c:pt idx="171">
                  <c:v>41961</c:v>
                </c:pt>
                <c:pt idx="172">
                  <c:v>41962</c:v>
                </c:pt>
                <c:pt idx="173">
                  <c:v>41963</c:v>
                </c:pt>
                <c:pt idx="174">
                  <c:v>41964</c:v>
                </c:pt>
                <c:pt idx="175">
                  <c:v>41967</c:v>
                </c:pt>
                <c:pt idx="176">
                  <c:v>41968</c:v>
                </c:pt>
                <c:pt idx="177">
                  <c:v>41969</c:v>
                </c:pt>
                <c:pt idx="178">
                  <c:v>41970</c:v>
                </c:pt>
                <c:pt idx="179">
                  <c:v>41971</c:v>
                </c:pt>
                <c:pt idx="180">
                  <c:v>41974</c:v>
                </c:pt>
                <c:pt idx="181">
                  <c:v>41975</c:v>
                </c:pt>
                <c:pt idx="182">
                  <c:v>41976</c:v>
                </c:pt>
                <c:pt idx="183">
                  <c:v>41977</c:v>
                </c:pt>
                <c:pt idx="184">
                  <c:v>41978</c:v>
                </c:pt>
                <c:pt idx="185">
                  <c:v>41981</c:v>
                </c:pt>
                <c:pt idx="186">
                  <c:v>41982</c:v>
                </c:pt>
                <c:pt idx="187">
                  <c:v>41983</c:v>
                </c:pt>
                <c:pt idx="188">
                  <c:v>41984</c:v>
                </c:pt>
                <c:pt idx="189">
                  <c:v>41985</c:v>
                </c:pt>
                <c:pt idx="190">
                  <c:v>41988</c:v>
                </c:pt>
                <c:pt idx="191">
                  <c:v>41989</c:v>
                </c:pt>
                <c:pt idx="192">
                  <c:v>41990</c:v>
                </c:pt>
                <c:pt idx="193">
                  <c:v>41991</c:v>
                </c:pt>
                <c:pt idx="194">
                  <c:v>41992</c:v>
                </c:pt>
                <c:pt idx="195">
                  <c:v>41995</c:v>
                </c:pt>
                <c:pt idx="196">
                  <c:v>41996</c:v>
                </c:pt>
                <c:pt idx="197">
                  <c:v>42002</c:v>
                </c:pt>
                <c:pt idx="198">
                  <c:v>42003</c:v>
                </c:pt>
                <c:pt idx="199">
                  <c:v>42006</c:v>
                </c:pt>
                <c:pt idx="200">
                  <c:v>42009</c:v>
                </c:pt>
                <c:pt idx="201">
                  <c:v>42010</c:v>
                </c:pt>
                <c:pt idx="202">
                  <c:v>42011</c:v>
                </c:pt>
                <c:pt idx="203">
                  <c:v>42012</c:v>
                </c:pt>
                <c:pt idx="204">
                  <c:v>42013</c:v>
                </c:pt>
                <c:pt idx="205">
                  <c:v>42016</c:v>
                </c:pt>
                <c:pt idx="206">
                  <c:v>42017</c:v>
                </c:pt>
                <c:pt idx="207">
                  <c:v>42018</c:v>
                </c:pt>
                <c:pt idx="208">
                  <c:v>42019</c:v>
                </c:pt>
                <c:pt idx="209">
                  <c:v>42020</c:v>
                </c:pt>
                <c:pt idx="210">
                  <c:v>42023</c:v>
                </c:pt>
                <c:pt idx="211">
                  <c:v>42024</c:v>
                </c:pt>
                <c:pt idx="212">
                  <c:v>42025</c:v>
                </c:pt>
                <c:pt idx="213">
                  <c:v>42026</c:v>
                </c:pt>
                <c:pt idx="214">
                  <c:v>42027</c:v>
                </c:pt>
                <c:pt idx="215">
                  <c:v>42030</c:v>
                </c:pt>
                <c:pt idx="216">
                  <c:v>42031</c:v>
                </c:pt>
                <c:pt idx="217">
                  <c:v>42032</c:v>
                </c:pt>
                <c:pt idx="218">
                  <c:v>42033</c:v>
                </c:pt>
                <c:pt idx="219">
                  <c:v>42034</c:v>
                </c:pt>
                <c:pt idx="220">
                  <c:v>42037</c:v>
                </c:pt>
                <c:pt idx="221">
                  <c:v>42038</c:v>
                </c:pt>
                <c:pt idx="222">
                  <c:v>42039</c:v>
                </c:pt>
                <c:pt idx="223">
                  <c:v>42040</c:v>
                </c:pt>
                <c:pt idx="224">
                  <c:v>42041</c:v>
                </c:pt>
                <c:pt idx="225">
                  <c:v>42044</c:v>
                </c:pt>
                <c:pt idx="226">
                  <c:v>42045</c:v>
                </c:pt>
                <c:pt idx="227">
                  <c:v>42046</c:v>
                </c:pt>
                <c:pt idx="228">
                  <c:v>42047</c:v>
                </c:pt>
                <c:pt idx="229">
                  <c:v>42048</c:v>
                </c:pt>
                <c:pt idx="230">
                  <c:v>42051</c:v>
                </c:pt>
                <c:pt idx="231">
                  <c:v>42052</c:v>
                </c:pt>
                <c:pt idx="232">
                  <c:v>42053</c:v>
                </c:pt>
                <c:pt idx="233">
                  <c:v>42054</c:v>
                </c:pt>
                <c:pt idx="234">
                  <c:v>42055</c:v>
                </c:pt>
                <c:pt idx="235">
                  <c:v>42058</c:v>
                </c:pt>
                <c:pt idx="236">
                  <c:v>42059</c:v>
                </c:pt>
                <c:pt idx="237">
                  <c:v>42060</c:v>
                </c:pt>
                <c:pt idx="238">
                  <c:v>42061</c:v>
                </c:pt>
                <c:pt idx="239">
                  <c:v>42062</c:v>
                </c:pt>
                <c:pt idx="240">
                  <c:v>42065</c:v>
                </c:pt>
                <c:pt idx="241">
                  <c:v>42066</c:v>
                </c:pt>
                <c:pt idx="242">
                  <c:v>42067</c:v>
                </c:pt>
                <c:pt idx="243">
                  <c:v>42068</c:v>
                </c:pt>
                <c:pt idx="244">
                  <c:v>42069</c:v>
                </c:pt>
                <c:pt idx="245">
                  <c:v>42072</c:v>
                </c:pt>
                <c:pt idx="246">
                  <c:v>42073</c:v>
                </c:pt>
                <c:pt idx="247">
                  <c:v>42074</c:v>
                </c:pt>
                <c:pt idx="248">
                  <c:v>42075</c:v>
                </c:pt>
                <c:pt idx="249">
                  <c:v>42076</c:v>
                </c:pt>
                <c:pt idx="250">
                  <c:v>42079</c:v>
                </c:pt>
                <c:pt idx="251">
                  <c:v>42080</c:v>
                </c:pt>
                <c:pt idx="252">
                  <c:v>42081</c:v>
                </c:pt>
                <c:pt idx="253">
                  <c:v>42082</c:v>
                </c:pt>
                <c:pt idx="254">
                  <c:v>42083</c:v>
                </c:pt>
                <c:pt idx="255">
                  <c:v>42086</c:v>
                </c:pt>
                <c:pt idx="256">
                  <c:v>42087</c:v>
                </c:pt>
                <c:pt idx="257">
                  <c:v>42088</c:v>
                </c:pt>
                <c:pt idx="258">
                  <c:v>42089</c:v>
                </c:pt>
                <c:pt idx="259">
                  <c:v>42090</c:v>
                </c:pt>
                <c:pt idx="260">
                  <c:v>42093</c:v>
                </c:pt>
                <c:pt idx="261">
                  <c:v>42094</c:v>
                </c:pt>
                <c:pt idx="262">
                  <c:v>42095</c:v>
                </c:pt>
                <c:pt idx="263">
                  <c:v>42096</c:v>
                </c:pt>
                <c:pt idx="264">
                  <c:v>42101</c:v>
                </c:pt>
                <c:pt idx="265">
                  <c:v>42102</c:v>
                </c:pt>
                <c:pt idx="266">
                  <c:v>42103</c:v>
                </c:pt>
                <c:pt idx="267">
                  <c:v>42104</c:v>
                </c:pt>
                <c:pt idx="268">
                  <c:v>42107</c:v>
                </c:pt>
                <c:pt idx="269">
                  <c:v>42108</c:v>
                </c:pt>
                <c:pt idx="270">
                  <c:v>42109</c:v>
                </c:pt>
                <c:pt idx="271">
                  <c:v>42110</c:v>
                </c:pt>
                <c:pt idx="272">
                  <c:v>42111</c:v>
                </c:pt>
                <c:pt idx="273">
                  <c:v>42114</c:v>
                </c:pt>
                <c:pt idx="274">
                  <c:v>42115</c:v>
                </c:pt>
                <c:pt idx="275">
                  <c:v>42116</c:v>
                </c:pt>
                <c:pt idx="276">
                  <c:v>42117</c:v>
                </c:pt>
                <c:pt idx="277">
                  <c:v>42118</c:v>
                </c:pt>
                <c:pt idx="278">
                  <c:v>42121</c:v>
                </c:pt>
                <c:pt idx="279">
                  <c:v>42122</c:v>
                </c:pt>
                <c:pt idx="280">
                  <c:v>42123</c:v>
                </c:pt>
                <c:pt idx="281">
                  <c:v>42124</c:v>
                </c:pt>
                <c:pt idx="282">
                  <c:v>42128</c:v>
                </c:pt>
                <c:pt idx="283">
                  <c:v>42129</c:v>
                </c:pt>
                <c:pt idx="284">
                  <c:v>42130</c:v>
                </c:pt>
                <c:pt idx="285">
                  <c:v>42131</c:v>
                </c:pt>
                <c:pt idx="286">
                  <c:v>42132</c:v>
                </c:pt>
                <c:pt idx="287">
                  <c:v>42135</c:v>
                </c:pt>
                <c:pt idx="288">
                  <c:v>42136</c:v>
                </c:pt>
                <c:pt idx="289">
                  <c:v>42137</c:v>
                </c:pt>
                <c:pt idx="290">
                  <c:v>42138</c:v>
                </c:pt>
                <c:pt idx="291">
                  <c:v>42139</c:v>
                </c:pt>
                <c:pt idx="292">
                  <c:v>42142</c:v>
                </c:pt>
                <c:pt idx="293">
                  <c:v>42143</c:v>
                </c:pt>
                <c:pt idx="294">
                  <c:v>42144</c:v>
                </c:pt>
                <c:pt idx="295">
                  <c:v>42145</c:v>
                </c:pt>
                <c:pt idx="296">
                  <c:v>42146</c:v>
                </c:pt>
                <c:pt idx="297">
                  <c:v>42149</c:v>
                </c:pt>
                <c:pt idx="298">
                  <c:v>42150</c:v>
                </c:pt>
                <c:pt idx="299">
                  <c:v>42151</c:v>
                </c:pt>
                <c:pt idx="300">
                  <c:v>42152</c:v>
                </c:pt>
                <c:pt idx="301">
                  <c:v>42153</c:v>
                </c:pt>
                <c:pt idx="302">
                  <c:v>42156</c:v>
                </c:pt>
                <c:pt idx="303">
                  <c:v>42157</c:v>
                </c:pt>
                <c:pt idx="304">
                  <c:v>42158</c:v>
                </c:pt>
                <c:pt idx="305">
                  <c:v>42159</c:v>
                </c:pt>
                <c:pt idx="306">
                  <c:v>42160</c:v>
                </c:pt>
                <c:pt idx="307">
                  <c:v>42163</c:v>
                </c:pt>
                <c:pt idx="308">
                  <c:v>42164</c:v>
                </c:pt>
                <c:pt idx="309">
                  <c:v>42165</c:v>
                </c:pt>
                <c:pt idx="310">
                  <c:v>42166</c:v>
                </c:pt>
                <c:pt idx="311">
                  <c:v>42167</c:v>
                </c:pt>
                <c:pt idx="312">
                  <c:v>42170</c:v>
                </c:pt>
                <c:pt idx="313">
                  <c:v>42171</c:v>
                </c:pt>
                <c:pt idx="314">
                  <c:v>42172</c:v>
                </c:pt>
                <c:pt idx="315">
                  <c:v>42173</c:v>
                </c:pt>
                <c:pt idx="316">
                  <c:v>42174</c:v>
                </c:pt>
                <c:pt idx="317">
                  <c:v>42177</c:v>
                </c:pt>
                <c:pt idx="318">
                  <c:v>42178</c:v>
                </c:pt>
                <c:pt idx="319">
                  <c:v>42179</c:v>
                </c:pt>
                <c:pt idx="320">
                  <c:v>42180</c:v>
                </c:pt>
                <c:pt idx="321">
                  <c:v>42181</c:v>
                </c:pt>
                <c:pt idx="322">
                  <c:v>42184</c:v>
                </c:pt>
                <c:pt idx="323">
                  <c:v>42185</c:v>
                </c:pt>
                <c:pt idx="324">
                  <c:v>42186</c:v>
                </c:pt>
                <c:pt idx="325">
                  <c:v>42187</c:v>
                </c:pt>
                <c:pt idx="326">
                  <c:v>42188</c:v>
                </c:pt>
                <c:pt idx="327">
                  <c:v>42191</c:v>
                </c:pt>
                <c:pt idx="328">
                  <c:v>42192</c:v>
                </c:pt>
                <c:pt idx="329">
                  <c:v>42193</c:v>
                </c:pt>
                <c:pt idx="330">
                  <c:v>42194</c:v>
                </c:pt>
                <c:pt idx="331">
                  <c:v>42195</c:v>
                </c:pt>
                <c:pt idx="332">
                  <c:v>42198</c:v>
                </c:pt>
                <c:pt idx="333">
                  <c:v>42199</c:v>
                </c:pt>
                <c:pt idx="334">
                  <c:v>42200</c:v>
                </c:pt>
                <c:pt idx="335">
                  <c:v>42201</c:v>
                </c:pt>
                <c:pt idx="336">
                  <c:v>42202</c:v>
                </c:pt>
                <c:pt idx="337">
                  <c:v>42205</c:v>
                </c:pt>
                <c:pt idx="338">
                  <c:v>42206</c:v>
                </c:pt>
                <c:pt idx="339">
                  <c:v>42207</c:v>
                </c:pt>
                <c:pt idx="340">
                  <c:v>42208</c:v>
                </c:pt>
                <c:pt idx="341">
                  <c:v>42209</c:v>
                </c:pt>
                <c:pt idx="342">
                  <c:v>42212</c:v>
                </c:pt>
                <c:pt idx="343">
                  <c:v>42213</c:v>
                </c:pt>
                <c:pt idx="344">
                  <c:v>42214</c:v>
                </c:pt>
                <c:pt idx="345">
                  <c:v>42215</c:v>
                </c:pt>
                <c:pt idx="346">
                  <c:v>42216</c:v>
                </c:pt>
                <c:pt idx="347">
                  <c:v>42219</c:v>
                </c:pt>
                <c:pt idx="348">
                  <c:v>42220</c:v>
                </c:pt>
                <c:pt idx="349">
                  <c:v>42221</c:v>
                </c:pt>
                <c:pt idx="350">
                  <c:v>42222</c:v>
                </c:pt>
                <c:pt idx="351">
                  <c:v>42223</c:v>
                </c:pt>
                <c:pt idx="352">
                  <c:v>42226</c:v>
                </c:pt>
                <c:pt idx="353">
                  <c:v>42227</c:v>
                </c:pt>
                <c:pt idx="354">
                  <c:v>42228</c:v>
                </c:pt>
                <c:pt idx="355">
                  <c:v>42229</c:v>
                </c:pt>
                <c:pt idx="356">
                  <c:v>42230</c:v>
                </c:pt>
                <c:pt idx="357">
                  <c:v>42233</c:v>
                </c:pt>
                <c:pt idx="358">
                  <c:v>42234</c:v>
                </c:pt>
                <c:pt idx="359">
                  <c:v>42235</c:v>
                </c:pt>
                <c:pt idx="360">
                  <c:v>42236</c:v>
                </c:pt>
                <c:pt idx="361">
                  <c:v>42237</c:v>
                </c:pt>
                <c:pt idx="362">
                  <c:v>42240</c:v>
                </c:pt>
                <c:pt idx="363">
                  <c:v>42241</c:v>
                </c:pt>
                <c:pt idx="364">
                  <c:v>42242</c:v>
                </c:pt>
                <c:pt idx="365">
                  <c:v>42243</c:v>
                </c:pt>
                <c:pt idx="366">
                  <c:v>42244</c:v>
                </c:pt>
                <c:pt idx="367">
                  <c:v>42247</c:v>
                </c:pt>
                <c:pt idx="368">
                  <c:v>42248</c:v>
                </c:pt>
                <c:pt idx="369">
                  <c:v>42249</c:v>
                </c:pt>
                <c:pt idx="370">
                  <c:v>42250</c:v>
                </c:pt>
                <c:pt idx="371">
                  <c:v>42251</c:v>
                </c:pt>
                <c:pt idx="372">
                  <c:v>42254</c:v>
                </c:pt>
                <c:pt idx="373">
                  <c:v>42255</c:v>
                </c:pt>
                <c:pt idx="374">
                  <c:v>42256</c:v>
                </c:pt>
                <c:pt idx="375">
                  <c:v>42257</c:v>
                </c:pt>
                <c:pt idx="376">
                  <c:v>42258</c:v>
                </c:pt>
                <c:pt idx="377">
                  <c:v>42261</c:v>
                </c:pt>
                <c:pt idx="378">
                  <c:v>42262</c:v>
                </c:pt>
                <c:pt idx="379">
                  <c:v>42263</c:v>
                </c:pt>
                <c:pt idx="380">
                  <c:v>42264</c:v>
                </c:pt>
                <c:pt idx="381">
                  <c:v>42265</c:v>
                </c:pt>
                <c:pt idx="382">
                  <c:v>42268</c:v>
                </c:pt>
                <c:pt idx="383">
                  <c:v>42269</c:v>
                </c:pt>
                <c:pt idx="384">
                  <c:v>42270</c:v>
                </c:pt>
                <c:pt idx="385">
                  <c:v>42271</c:v>
                </c:pt>
                <c:pt idx="386">
                  <c:v>42272</c:v>
                </c:pt>
                <c:pt idx="387">
                  <c:v>42275</c:v>
                </c:pt>
                <c:pt idx="388">
                  <c:v>42276</c:v>
                </c:pt>
                <c:pt idx="389">
                  <c:v>42277</c:v>
                </c:pt>
                <c:pt idx="390">
                  <c:v>42278</c:v>
                </c:pt>
                <c:pt idx="391">
                  <c:v>42279</c:v>
                </c:pt>
                <c:pt idx="392">
                  <c:v>42282</c:v>
                </c:pt>
                <c:pt idx="393">
                  <c:v>42283</c:v>
                </c:pt>
                <c:pt idx="394">
                  <c:v>42284</c:v>
                </c:pt>
                <c:pt idx="395">
                  <c:v>42285</c:v>
                </c:pt>
                <c:pt idx="396">
                  <c:v>42286</c:v>
                </c:pt>
                <c:pt idx="397">
                  <c:v>42289</c:v>
                </c:pt>
                <c:pt idx="398">
                  <c:v>42290</c:v>
                </c:pt>
                <c:pt idx="399">
                  <c:v>42291</c:v>
                </c:pt>
                <c:pt idx="400">
                  <c:v>42292</c:v>
                </c:pt>
                <c:pt idx="401">
                  <c:v>42293</c:v>
                </c:pt>
                <c:pt idx="402">
                  <c:v>42296</c:v>
                </c:pt>
                <c:pt idx="403">
                  <c:v>42297</c:v>
                </c:pt>
                <c:pt idx="404">
                  <c:v>42298</c:v>
                </c:pt>
                <c:pt idx="405">
                  <c:v>42299</c:v>
                </c:pt>
                <c:pt idx="406">
                  <c:v>42300</c:v>
                </c:pt>
                <c:pt idx="407">
                  <c:v>42303</c:v>
                </c:pt>
                <c:pt idx="408">
                  <c:v>42304</c:v>
                </c:pt>
                <c:pt idx="409">
                  <c:v>42305</c:v>
                </c:pt>
                <c:pt idx="410">
                  <c:v>42306</c:v>
                </c:pt>
                <c:pt idx="411">
                  <c:v>42307</c:v>
                </c:pt>
                <c:pt idx="412">
                  <c:v>42310</c:v>
                </c:pt>
                <c:pt idx="413">
                  <c:v>42311</c:v>
                </c:pt>
                <c:pt idx="414">
                  <c:v>42312</c:v>
                </c:pt>
                <c:pt idx="415">
                  <c:v>42313</c:v>
                </c:pt>
                <c:pt idx="416">
                  <c:v>42314</c:v>
                </c:pt>
                <c:pt idx="417">
                  <c:v>42317</c:v>
                </c:pt>
                <c:pt idx="418">
                  <c:v>42318</c:v>
                </c:pt>
                <c:pt idx="419">
                  <c:v>42319</c:v>
                </c:pt>
                <c:pt idx="420">
                  <c:v>42320</c:v>
                </c:pt>
                <c:pt idx="421">
                  <c:v>42321</c:v>
                </c:pt>
                <c:pt idx="422">
                  <c:v>42324</c:v>
                </c:pt>
                <c:pt idx="423">
                  <c:v>42325</c:v>
                </c:pt>
                <c:pt idx="424">
                  <c:v>42326</c:v>
                </c:pt>
                <c:pt idx="425">
                  <c:v>42327</c:v>
                </c:pt>
                <c:pt idx="426">
                  <c:v>42328</c:v>
                </c:pt>
                <c:pt idx="427">
                  <c:v>42331</c:v>
                </c:pt>
                <c:pt idx="428">
                  <c:v>42332</c:v>
                </c:pt>
                <c:pt idx="429">
                  <c:v>42333</c:v>
                </c:pt>
                <c:pt idx="430">
                  <c:v>42334</c:v>
                </c:pt>
                <c:pt idx="431">
                  <c:v>42335</c:v>
                </c:pt>
                <c:pt idx="432">
                  <c:v>42338</c:v>
                </c:pt>
                <c:pt idx="433">
                  <c:v>42339</c:v>
                </c:pt>
                <c:pt idx="434">
                  <c:v>42340</c:v>
                </c:pt>
                <c:pt idx="435">
                  <c:v>42341</c:v>
                </c:pt>
                <c:pt idx="436">
                  <c:v>42342</c:v>
                </c:pt>
                <c:pt idx="437">
                  <c:v>42345</c:v>
                </c:pt>
                <c:pt idx="438">
                  <c:v>42346</c:v>
                </c:pt>
                <c:pt idx="439">
                  <c:v>42347</c:v>
                </c:pt>
                <c:pt idx="440">
                  <c:v>42348</c:v>
                </c:pt>
                <c:pt idx="441">
                  <c:v>42349</c:v>
                </c:pt>
                <c:pt idx="442">
                  <c:v>42352</c:v>
                </c:pt>
                <c:pt idx="443">
                  <c:v>42353</c:v>
                </c:pt>
                <c:pt idx="444">
                  <c:v>42354</c:v>
                </c:pt>
                <c:pt idx="445">
                  <c:v>42355</c:v>
                </c:pt>
                <c:pt idx="446">
                  <c:v>42356</c:v>
                </c:pt>
                <c:pt idx="447">
                  <c:v>42359</c:v>
                </c:pt>
                <c:pt idx="448">
                  <c:v>42360</c:v>
                </c:pt>
                <c:pt idx="449">
                  <c:v>42361</c:v>
                </c:pt>
                <c:pt idx="450">
                  <c:v>42366</c:v>
                </c:pt>
                <c:pt idx="451">
                  <c:v>42367</c:v>
                </c:pt>
                <c:pt idx="452">
                  <c:v>42368</c:v>
                </c:pt>
                <c:pt idx="453">
                  <c:v>42373</c:v>
                </c:pt>
                <c:pt idx="454">
                  <c:v>42374</c:v>
                </c:pt>
                <c:pt idx="455">
                  <c:v>42375</c:v>
                </c:pt>
                <c:pt idx="456">
                  <c:v>42376</c:v>
                </c:pt>
                <c:pt idx="457">
                  <c:v>42377</c:v>
                </c:pt>
                <c:pt idx="458">
                  <c:v>42380</c:v>
                </c:pt>
                <c:pt idx="459">
                  <c:v>42381</c:v>
                </c:pt>
                <c:pt idx="460">
                  <c:v>42382</c:v>
                </c:pt>
                <c:pt idx="461">
                  <c:v>42383</c:v>
                </c:pt>
                <c:pt idx="462">
                  <c:v>42384</c:v>
                </c:pt>
                <c:pt idx="463">
                  <c:v>42387</c:v>
                </c:pt>
                <c:pt idx="464">
                  <c:v>42388</c:v>
                </c:pt>
                <c:pt idx="465">
                  <c:v>42389</c:v>
                </c:pt>
                <c:pt idx="466">
                  <c:v>42390</c:v>
                </c:pt>
                <c:pt idx="467">
                  <c:v>42391</c:v>
                </c:pt>
                <c:pt idx="468">
                  <c:v>42394</c:v>
                </c:pt>
                <c:pt idx="469">
                  <c:v>42395</c:v>
                </c:pt>
                <c:pt idx="470">
                  <c:v>42396</c:v>
                </c:pt>
                <c:pt idx="471">
                  <c:v>42397</c:v>
                </c:pt>
                <c:pt idx="472">
                  <c:v>42398</c:v>
                </c:pt>
                <c:pt idx="473">
                  <c:v>42401</c:v>
                </c:pt>
                <c:pt idx="474">
                  <c:v>42402</c:v>
                </c:pt>
                <c:pt idx="475">
                  <c:v>42403</c:v>
                </c:pt>
                <c:pt idx="476">
                  <c:v>42404</c:v>
                </c:pt>
                <c:pt idx="477">
                  <c:v>42405</c:v>
                </c:pt>
                <c:pt idx="478">
                  <c:v>42408</c:v>
                </c:pt>
                <c:pt idx="479">
                  <c:v>42409</c:v>
                </c:pt>
                <c:pt idx="480">
                  <c:v>42410</c:v>
                </c:pt>
                <c:pt idx="481">
                  <c:v>42411</c:v>
                </c:pt>
                <c:pt idx="482">
                  <c:v>42412</c:v>
                </c:pt>
                <c:pt idx="483">
                  <c:v>42415</c:v>
                </c:pt>
                <c:pt idx="484">
                  <c:v>42416</c:v>
                </c:pt>
                <c:pt idx="485">
                  <c:v>42417</c:v>
                </c:pt>
                <c:pt idx="486">
                  <c:v>42418</c:v>
                </c:pt>
                <c:pt idx="487">
                  <c:v>42419</c:v>
                </c:pt>
                <c:pt idx="488">
                  <c:v>42422</c:v>
                </c:pt>
                <c:pt idx="489">
                  <c:v>42423</c:v>
                </c:pt>
                <c:pt idx="490">
                  <c:v>42424</c:v>
                </c:pt>
                <c:pt idx="491">
                  <c:v>42425</c:v>
                </c:pt>
                <c:pt idx="492">
                  <c:v>42426</c:v>
                </c:pt>
                <c:pt idx="493">
                  <c:v>42429</c:v>
                </c:pt>
                <c:pt idx="494">
                  <c:v>42430</c:v>
                </c:pt>
                <c:pt idx="495">
                  <c:v>42431</c:v>
                </c:pt>
                <c:pt idx="496">
                  <c:v>42432</c:v>
                </c:pt>
                <c:pt idx="497">
                  <c:v>42433</c:v>
                </c:pt>
                <c:pt idx="498">
                  <c:v>42436</c:v>
                </c:pt>
                <c:pt idx="499">
                  <c:v>42437</c:v>
                </c:pt>
                <c:pt idx="500">
                  <c:v>42438</c:v>
                </c:pt>
                <c:pt idx="501">
                  <c:v>42439</c:v>
                </c:pt>
                <c:pt idx="502">
                  <c:v>42440</c:v>
                </c:pt>
                <c:pt idx="503">
                  <c:v>42443</c:v>
                </c:pt>
                <c:pt idx="504">
                  <c:v>42444</c:v>
                </c:pt>
                <c:pt idx="505">
                  <c:v>42445</c:v>
                </c:pt>
                <c:pt idx="506">
                  <c:v>42446</c:v>
                </c:pt>
                <c:pt idx="507">
                  <c:v>42447</c:v>
                </c:pt>
                <c:pt idx="508">
                  <c:v>42450</c:v>
                </c:pt>
                <c:pt idx="509">
                  <c:v>42451</c:v>
                </c:pt>
                <c:pt idx="510">
                  <c:v>42452</c:v>
                </c:pt>
                <c:pt idx="511">
                  <c:v>42453</c:v>
                </c:pt>
                <c:pt idx="512">
                  <c:v>42458</c:v>
                </c:pt>
                <c:pt idx="513">
                  <c:v>42459</c:v>
                </c:pt>
                <c:pt idx="514">
                  <c:v>42460</c:v>
                </c:pt>
                <c:pt idx="515">
                  <c:v>42461</c:v>
                </c:pt>
                <c:pt idx="516">
                  <c:v>42464</c:v>
                </c:pt>
                <c:pt idx="517">
                  <c:v>42465</c:v>
                </c:pt>
                <c:pt idx="518">
                  <c:v>42466</c:v>
                </c:pt>
                <c:pt idx="519">
                  <c:v>42467</c:v>
                </c:pt>
                <c:pt idx="520">
                  <c:v>42468</c:v>
                </c:pt>
                <c:pt idx="521">
                  <c:v>42471</c:v>
                </c:pt>
                <c:pt idx="522">
                  <c:v>42472</c:v>
                </c:pt>
                <c:pt idx="523">
                  <c:v>42473</c:v>
                </c:pt>
                <c:pt idx="524">
                  <c:v>42474</c:v>
                </c:pt>
                <c:pt idx="525">
                  <c:v>42475</c:v>
                </c:pt>
                <c:pt idx="526">
                  <c:v>42478</c:v>
                </c:pt>
                <c:pt idx="527">
                  <c:v>42479</c:v>
                </c:pt>
                <c:pt idx="528">
                  <c:v>42480</c:v>
                </c:pt>
                <c:pt idx="529">
                  <c:v>42481</c:v>
                </c:pt>
                <c:pt idx="530">
                  <c:v>42482</c:v>
                </c:pt>
                <c:pt idx="531">
                  <c:v>42485</c:v>
                </c:pt>
                <c:pt idx="532">
                  <c:v>42486</c:v>
                </c:pt>
                <c:pt idx="533">
                  <c:v>42487</c:v>
                </c:pt>
                <c:pt idx="534">
                  <c:v>42488</c:v>
                </c:pt>
                <c:pt idx="535">
                  <c:v>42489</c:v>
                </c:pt>
                <c:pt idx="536">
                  <c:v>42492</c:v>
                </c:pt>
                <c:pt idx="537">
                  <c:v>42493</c:v>
                </c:pt>
                <c:pt idx="538">
                  <c:v>42494</c:v>
                </c:pt>
                <c:pt idx="539">
                  <c:v>42495</c:v>
                </c:pt>
                <c:pt idx="540">
                  <c:v>42496</c:v>
                </c:pt>
                <c:pt idx="541">
                  <c:v>42499</c:v>
                </c:pt>
                <c:pt idx="542">
                  <c:v>42500</c:v>
                </c:pt>
                <c:pt idx="543">
                  <c:v>42501</c:v>
                </c:pt>
                <c:pt idx="544">
                  <c:v>42502</c:v>
                </c:pt>
                <c:pt idx="545">
                  <c:v>42503</c:v>
                </c:pt>
                <c:pt idx="546">
                  <c:v>42506</c:v>
                </c:pt>
                <c:pt idx="547">
                  <c:v>42507</c:v>
                </c:pt>
                <c:pt idx="548">
                  <c:v>42508</c:v>
                </c:pt>
                <c:pt idx="549">
                  <c:v>42509</c:v>
                </c:pt>
                <c:pt idx="550">
                  <c:v>42510</c:v>
                </c:pt>
                <c:pt idx="551">
                  <c:v>42513</c:v>
                </c:pt>
                <c:pt idx="552">
                  <c:v>42514</c:v>
                </c:pt>
                <c:pt idx="553">
                  <c:v>42515</c:v>
                </c:pt>
                <c:pt idx="554">
                  <c:v>42516</c:v>
                </c:pt>
                <c:pt idx="555">
                  <c:v>42517</c:v>
                </c:pt>
                <c:pt idx="556">
                  <c:v>42520</c:v>
                </c:pt>
                <c:pt idx="557">
                  <c:v>42521</c:v>
                </c:pt>
                <c:pt idx="558">
                  <c:v>42522</c:v>
                </c:pt>
                <c:pt idx="559">
                  <c:v>42523</c:v>
                </c:pt>
                <c:pt idx="560">
                  <c:v>42524</c:v>
                </c:pt>
                <c:pt idx="561">
                  <c:v>42527</c:v>
                </c:pt>
                <c:pt idx="562">
                  <c:v>42528</c:v>
                </c:pt>
                <c:pt idx="563">
                  <c:v>42529</c:v>
                </c:pt>
                <c:pt idx="564">
                  <c:v>42530</c:v>
                </c:pt>
                <c:pt idx="565">
                  <c:v>42531</c:v>
                </c:pt>
                <c:pt idx="566">
                  <c:v>42534</c:v>
                </c:pt>
                <c:pt idx="567">
                  <c:v>42535</c:v>
                </c:pt>
                <c:pt idx="568">
                  <c:v>42536</c:v>
                </c:pt>
                <c:pt idx="569">
                  <c:v>42537</c:v>
                </c:pt>
                <c:pt idx="570">
                  <c:v>42538</c:v>
                </c:pt>
                <c:pt idx="571">
                  <c:v>42541</c:v>
                </c:pt>
                <c:pt idx="572">
                  <c:v>42542</c:v>
                </c:pt>
                <c:pt idx="573">
                  <c:v>42543</c:v>
                </c:pt>
                <c:pt idx="574">
                  <c:v>42544</c:v>
                </c:pt>
                <c:pt idx="575">
                  <c:v>42545</c:v>
                </c:pt>
                <c:pt idx="576">
                  <c:v>42548</c:v>
                </c:pt>
                <c:pt idx="577">
                  <c:v>42549</c:v>
                </c:pt>
                <c:pt idx="578">
                  <c:v>42550</c:v>
                </c:pt>
                <c:pt idx="579">
                  <c:v>42551</c:v>
                </c:pt>
                <c:pt idx="580">
                  <c:v>42552</c:v>
                </c:pt>
                <c:pt idx="581">
                  <c:v>42555</c:v>
                </c:pt>
                <c:pt idx="582">
                  <c:v>42556</c:v>
                </c:pt>
                <c:pt idx="583">
                  <c:v>42557</c:v>
                </c:pt>
                <c:pt idx="584">
                  <c:v>42558</c:v>
                </c:pt>
                <c:pt idx="585">
                  <c:v>42559</c:v>
                </c:pt>
                <c:pt idx="586">
                  <c:v>42562</c:v>
                </c:pt>
                <c:pt idx="587">
                  <c:v>42563</c:v>
                </c:pt>
                <c:pt idx="588">
                  <c:v>42564</c:v>
                </c:pt>
                <c:pt idx="589">
                  <c:v>42565</c:v>
                </c:pt>
                <c:pt idx="590">
                  <c:v>42566</c:v>
                </c:pt>
                <c:pt idx="591">
                  <c:v>42569</c:v>
                </c:pt>
                <c:pt idx="592">
                  <c:v>42570</c:v>
                </c:pt>
                <c:pt idx="593">
                  <c:v>42571</c:v>
                </c:pt>
                <c:pt idx="594">
                  <c:v>42572</c:v>
                </c:pt>
                <c:pt idx="595">
                  <c:v>42573</c:v>
                </c:pt>
                <c:pt idx="596">
                  <c:v>42576</c:v>
                </c:pt>
                <c:pt idx="597">
                  <c:v>42577</c:v>
                </c:pt>
                <c:pt idx="598">
                  <c:v>42578</c:v>
                </c:pt>
                <c:pt idx="599">
                  <c:v>42579</c:v>
                </c:pt>
                <c:pt idx="600">
                  <c:v>42580</c:v>
                </c:pt>
                <c:pt idx="601">
                  <c:v>42583</c:v>
                </c:pt>
                <c:pt idx="602">
                  <c:v>42584</c:v>
                </c:pt>
                <c:pt idx="603">
                  <c:v>42585</c:v>
                </c:pt>
                <c:pt idx="604">
                  <c:v>42586</c:v>
                </c:pt>
                <c:pt idx="605">
                  <c:v>42587</c:v>
                </c:pt>
                <c:pt idx="606">
                  <c:v>42590</c:v>
                </c:pt>
                <c:pt idx="607">
                  <c:v>42591</c:v>
                </c:pt>
                <c:pt idx="608">
                  <c:v>42592</c:v>
                </c:pt>
                <c:pt idx="609">
                  <c:v>42593</c:v>
                </c:pt>
                <c:pt idx="610">
                  <c:v>42594</c:v>
                </c:pt>
                <c:pt idx="611">
                  <c:v>42598</c:v>
                </c:pt>
                <c:pt idx="612">
                  <c:v>42599</c:v>
                </c:pt>
                <c:pt idx="613">
                  <c:v>42600</c:v>
                </c:pt>
                <c:pt idx="614">
                  <c:v>42601</c:v>
                </c:pt>
                <c:pt idx="615">
                  <c:v>42604</c:v>
                </c:pt>
                <c:pt idx="616">
                  <c:v>42605</c:v>
                </c:pt>
                <c:pt idx="617">
                  <c:v>42606</c:v>
                </c:pt>
                <c:pt idx="618">
                  <c:v>42607</c:v>
                </c:pt>
                <c:pt idx="619">
                  <c:v>42608</c:v>
                </c:pt>
                <c:pt idx="620">
                  <c:v>42611</c:v>
                </c:pt>
                <c:pt idx="621">
                  <c:v>42612</c:v>
                </c:pt>
                <c:pt idx="622">
                  <c:v>42613</c:v>
                </c:pt>
                <c:pt idx="623">
                  <c:v>42614</c:v>
                </c:pt>
                <c:pt idx="624">
                  <c:v>42615</c:v>
                </c:pt>
                <c:pt idx="625">
                  <c:v>42618</c:v>
                </c:pt>
                <c:pt idx="626">
                  <c:v>42619</c:v>
                </c:pt>
                <c:pt idx="627">
                  <c:v>42620</c:v>
                </c:pt>
                <c:pt idx="628">
                  <c:v>42621</c:v>
                </c:pt>
                <c:pt idx="629">
                  <c:v>42622</c:v>
                </c:pt>
                <c:pt idx="630">
                  <c:v>42625</c:v>
                </c:pt>
                <c:pt idx="631">
                  <c:v>42626</c:v>
                </c:pt>
                <c:pt idx="632">
                  <c:v>42627</c:v>
                </c:pt>
                <c:pt idx="633">
                  <c:v>42628</c:v>
                </c:pt>
                <c:pt idx="634">
                  <c:v>42629</c:v>
                </c:pt>
                <c:pt idx="635">
                  <c:v>42632</c:v>
                </c:pt>
                <c:pt idx="636">
                  <c:v>42633</c:v>
                </c:pt>
                <c:pt idx="637">
                  <c:v>42634</c:v>
                </c:pt>
                <c:pt idx="638">
                  <c:v>42635</c:v>
                </c:pt>
                <c:pt idx="639">
                  <c:v>42636</c:v>
                </c:pt>
                <c:pt idx="640">
                  <c:v>42639</c:v>
                </c:pt>
                <c:pt idx="641">
                  <c:v>42640</c:v>
                </c:pt>
                <c:pt idx="642">
                  <c:v>42641</c:v>
                </c:pt>
                <c:pt idx="643">
                  <c:v>42642</c:v>
                </c:pt>
                <c:pt idx="644">
                  <c:v>42643</c:v>
                </c:pt>
                <c:pt idx="645">
                  <c:v>42646</c:v>
                </c:pt>
                <c:pt idx="646">
                  <c:v>42647</c:v>
                </c:pt>
                <c:pt idx="647">
                  <c:v>42648</c:v>
                </c:pt>
                <c:pt idx="648">
                  <c:v>42649</c:v>
                </c:pt>
                <c:pt idx="649">
                  <c:v>42650</c:v>
                </c:pt>
                <c:pt idx="650">
                  <c:v>42653</c:v>
                </c:pt>
                <c:pt idx="651">
                  <c:v>42654</c:v>
                </c:pt>
                <c:pt idx="652">
                  <c:v>42655</c:v>
                </c:pt>
                <c:pt idx="653">
                  <c:v>42656</c:v>
                </c:pt>
                <c:pt idx="654">
                  <c:v>42657</c:v>
                </c:pt>
                <c:pt idx="655">
                  <c:v>42660</c:v>
                </c:pt>
                <c:pt idx="656">
                  <c:v>42661</c:v>
                </c:pt>
                <c:pt idx="657">
                  <c:v>42662</c:v>
                </c:pt>
                <c:pt idx="658">
                  <c:v>42663</c:v>
                </c:pt>
                <c:pt idx="659">
                  <c:v>42664</c:v>
                </c:pt>
                <c:pt idx="660">
                  <c:v>42667</c:v>
                </c:pt>
                <c:pt idx="661">
                  <c:v>42668</c:v>
                </c:pt>
                <c:pt idx="662">
                  <c:v>42669</c:v>
                </c:pt>
                <c:pt idx="663">
                  <c:v>42670</c:v>
                </c:pt>
                <c:pt idx="664">
                  <c:v>42671</c:v>
                </c:pt>
                <c:pt idx="665">
                  <c:v>42674</c:v>
                </c:pt>
                <c:pt idx="666">
                  <c:v>42675</c:v>
                </c:pt>
                <c:pt idx="667">
                  <c:v>42676</c:v>
                </c:pt>
                <c:pt idx="668">
                  <c:v>42677</c:v>
                </c:pt>
                <c:pt idx="669">
                  <c:v>42678</c:v>
                </c:pt>
                <c:pt idx="670">
                  <c:v>42681</c:v>
                </c:pt>
                <c:pt idx="671">
                  <c:v>42682</c:v>
                </c:pt>
                <c:pt idx="672">
                  <c:v>42683</c:v>
                </c:pt>
                <c:pt idx="673">
                  <c:v>42684</c:v>
                </c:pt>
                <c:pt idx="674">
                  <c:v>42685</c:v>
                </c:pt>
                <c:pt idx="675">
                  <c:v>42688</c:v>
                </c:pt>
                <c:pt idx="676">
                  <c:v>42689</c:v>
                </c:pt>
                <c:pt idx="677">
                  <c:v>42690</c:v>
                </c:pt>
                <c:pt idx="678">
                  <c:v>42691</c:v>
                </c:pt>
                <c:pt idx="679">
                  <c:v>42692</c:v>
                </c:pt>
                <c:pt idx="680">
                  <c:v>42695</c:v>
                </c:pt>
                <c:pt idx="681">
                  <c:v>42696</c:v>
                </c:pt>
                <c:pt idx="682">
                  <c:v>42697</c:v>
                </c:pt>
                <c:pt idx="683">
                  <c:v>42698</c:v>
                </c:pt>
                <c:pt idx="684">
                  <c:v>42699</c:v>
                </c:pt>
                <c:pt idx="685">
                  <c:v>42702</c:v>
                </c:pt>
                <c:pt idx="686">
                  <c:v>42703</c:v>
                </c:pt>
                <c:pt idx="687">
                  <c:v>42704</c:v>
                </c:pt>
                <c:pt idx="688">
                  <c:v>42705</c:v>
                </c:pt>
                <c:pt idx="689">
                  <c:v>42706</c:v>
                </c:pt>
                <c:pt idx="690">
                  <c:v>42709</c:v>
                </c:pt>
                <c:pt idx="691">
                  <c:v>42710</c:v>
                </c:pt>
                <c:pt idx="692">
                  <c:v>42711</c:v>
                </c:pt>
                <c:pt idx="693">
                  <c:v>42712</c:v>
                </c:pt>
                <c:pt idx="694">
                  <c:v>42713</c:v>
                </c:pt>
                <c:pt idx="695">
                  <c:v>42716</c:v>
                </c:pt>
                <c:pt idx="696">
                  <c:v>42717</c:v>
                </c:pt>
                <c:pt idx="697">
                  <c:v>42718</c:v>
                </c:pt>
                <c:pt idx="698">
                  <c:v>42719</c:v>
                </c:pt>
                <c:pt idx="699">
                  <c:v>42720</c:v>
                </c:pt>
                <c:pt idx="700">
                  <c:v>42723</c:v>
                </c:pt>
                <c:pt idx="701">
                  <c:v>42724</c:v>
                </c:pt>
                <c:pt idx="702">
                  <c:v>42725</c:v>
                </c:pt>
                <c:pt idx="703">
                  <c:v>42726</c:v>
                </c:pt>
                <c:pt idx="704">
                  <c:v>42727</c:v>
                </c:pt>
                <c:pt idx="705">
                  <c:v>42731</c:v>
                </c:pt>
                <c:pt idx="706">
                  <c:v>42732</c:v>
                </c:pt>
                <c:pt idx="707">
                  <c:v>42733</c:v>
                </c:pt>
                <c:pt idx="708">
                  <c:v>42734</c:v>
                </c:pt>
                <c:pt idx="709">
                  <c:v>42737</c:v>
                </c:pt>
                <c:pt idx="710">
                  <c:v>42738</c:v>
                </c:pt>
                <c:pt idx="711">
                  <c:v>42739</c:v>
                </c:pt>
                <c:pt idx="712">
                  <c:v>42740</c:v>
                </c:pt>
                <c:pt idx="713">
                  <c:v>42741</c:v>
                </c:pt>
                <c:pt idx="714">
                  <c:v>42744</c:v>
                </c:pt>
                <c:pt idx="715">
                  <c:v>42745</c:v>
                </c:pt>
                <c:pt idx="716">
                  <c:v>42746</c:v>
                </c:pt>
                <c:pt idx="717">
                  <c:v>42747</c:v>
                </c:pt>
                <c:pt idx="718">
                  <c:v>42748</c:v>
                </c:pt>
                <c:pt idx="719">
                  <c:v>42751</c:v>
                </c:pt>
                <c:pt idx="720">
                  <c:v>42752</c:v>
                </c:pt>
                <c:pt idx="721">
                  <c:v>42753</c:v>
                </c:pt>
                <c:pt idx="722">
                  <c:v>42754</c:v>
                </c:pt>
                <c:pt idx="723">
                  <c:v>42755</c:v>
                </c:pt>
                <c:pt idx="724">
                  <c:v>42758</c:v>
                </c:pt>
                <c:pt idx="725">
                  <c:v>42759</c:v>
                </c:pt>
                <c:pt idx="726">
                  <c:v>42760</c:v>
                </c:pt>
                <c:pt idx="727">
                  <c:v>42761</c:v>
                </c:pt>
                <c:pt idx="728">
                  <c:v>42762</c:v>
                </c:pt>
                <c:pt idx="729">
                  <c:v>42765</c:v>
                </c:pt>
                <c:pt idx="730">
                  <c:v>42766</c:v>
                </c:pt>
                <c:pt idx="731">
                  <c:v>42767</c:v>
                </c:pt>
                <c:pt idx="732">
                  <c:v>42768</c:v>
                </c:pt>
                <c:pt idx="733">
                  <c:v>42769</c:v>
                </c:pt>
                <c:pt idx="734">
                  <c:v>42772</c:v>
                </c:pt>
                <c:pt idx="735">
                  <c:v>42773</c:v>
                </c:pt>
                <c:pt idx="736">
                  <c:v>42774</c:v>
                </c:pt>
                <c:pt idx="737">
                  <c:v>42775</c:v>
                </c:pt>
                <c:pt idx="738">
                  <c:v>42776</c:v>
                </c:pt>
                <c:pt idx="739">
                  <c:v>42779</c:v>
                </c:pt>
                <c:pt idx="740">
                  <c:v>42780</c:v>
                </c:pt>
                <c:pt idx="741">
                  <c:v>42781</c:v>
                </c:pt>
                <c:pt idx="742">
                  <c:v>42782</c:v>
                </c:pt>
                <c:pt idx="743">
                  <c:v>42783</c:v>
                </c:pt>
                <c:pt idx="744">
                  <c:v>42786</c:v>
                </c:pt>
                <c:pt idx="745">
                  <c:v>42787</c:v>
                </c:pt>
                <c:pt idx="746">
                  <c:v>42788</c:v>
                </c:pt>
                <c:pt idx="747">
                  <c:v>42789</c:v>
                </c:pt>
                <c:pt idx="748">
                  <c:v>42790</c:v>
                </c:pt>
                <c:pt idx="749">
                  <c:v>42793</c:v>
                </c:pt>
                <c:pt idx="750">
                  <c:v>42794</c:v>
                </c:pt>
                <c:pt idx="751">
                  <c:v>42795</c:v>
                </c:pt>
                <c:pt idx="752">
                  <c:v>42796</c:v>
                </c:pt>
                <c:pt idx="753">
                  <c:v>42797</c:v>
                </c:pt>
                <c:pt idx="754">
                  <c:v>42800</c:v>
                </c:pt>
                <c:pt idx="755">
                  <c:v>42801</c:v>
                </c:pt>
                <c:pt idx="756">
                  <c:v>42802</c:v>
                </c:pt>
                <c:pt idx="757">
                  <c:v>42803</c:v>
                </c:pt>
                <c:pt idx="758">
                  <c:v>42804</c:v>
                </c:pt>
                <c:pt idx="759">
                  <c:v>42807</c:v>
                </c:pt>
                <c:pt idx="760">
                  <c:v>42808</c:v>
                </c:pt>
                <c:pt idx="761">
                  <c:v>42809</c:v>
                </c:pt>
                <c:pt idx="762">
                  <c:v>42810</c:v>
                </c:pt>
                <c:pt idx="763">
                  <c:v>42811</c:v>
                </c:pt>
                <c:pt idx="764">
                  <c:v>42814</c:v>
                </c:pt>
                <c:pt idx="765">
                  <c:v>42815</c:v>
                </c:pt>
                <c:pt idx="766">
                  <c:v>42816</c:v>
                </c:pt>
                <c:pt idx="767">
                  <c:v>42817</c:v>
                </c:pt>
                <c:pt idx="768">
                  <c:v>42818</c:v>
                </c:pt>
                <c:pt idx="769">
                  <c:v>42821</c:v>
                </c:pt>
                <c:pt idx="770">
                  <c:v>42822</c:v>
                </c:pt>
                <c:pt idx="771">
                  <c:v>42823</c:v>
                </c:pt>
                <c:pt idx="772">
                  <c:v>42824</c:v>
                </c:pt>
                <c:pt idx="773">
                  <c:v>42825</c:v>
                </c:pt>
                <c:pt idx="774">
                  <c:v>42828</c:v>
                </c:pt>
                <c:pt idx="775">
                  <c:v>42829</c:v>
                </c:pt>
                <c:pt idx="776">
                  <c:v>42830</c:v>
                </c:pt>
                <c:pt idx="777">
                  <c:v>42831</c:v>
                </c:pt>
                <c:pt idx="778">
                  <c:v>42832</c:v>
                </c:pt>
                <c:pt idx="779">
                  <c:v>42835</c:v>
                </c:pt>
                <c:pt idx="780">
                  <c:v>42836</c:v>
                </c:pt>
                <c:pt idx="781">
                  <c:v>42837</c:v>
                </c:pt>
                <c:pt idx="782">
                  <c:v>42838</c:v>
                </c:pt>
                <c:pt idx="783">
                  <c:v>42843</c:v>
                </c:pt>
                <c:pt idx="784">
                  <c:v>42844</c:v>
                </c:pt>
                <c:pt idx="785">
                  <c:v>42845</c:v>
                </c:pt>
                <c:pt idx="786">
                  <c:v>42846</c:v>
                </c:pt>
                <c:pt idx="787">
                  <c:v>42849</c:v>
                </c:pt>
                <c:pt idx="788">
                  <c:v>42850</c:v>
                </c:pt>
                <c:pt idx="789">
                  <c:v>42851</c:v>
                </c:pt>
                <c:pt idx="790">
                  <c:v>42852</c:v>
                </c:pt>
                <c:pt idx="791">
                  <c:v>42853</c:v>
                </c:pt>
                <c:pt idx="792">
                  <c:v>42857</c:v>
                </c:pt>
                <c:pt idx="793">
                  <c:v>42858</c:v>
                </c:pt>
                <c:pt idx="794">
                  <c:v>42859</c:v>
                </c:pt>
                <c:pt idx="795">
                  <c:v>42860</c:v>
                </c:pt>
                <c:pt idx="796">
                  <c:v>42863</c:v>
                </c:pt>
                <c:pt idx="797">
                  <c:v>42864</c:v>
                </c:pt>
                <c:pt idx="798">
                  <c:v>42865</c:v>
                </c:pt>
                <c:pt idx="799">
                  <c:v>42866</c:v>
                </c:pt>
                <c:pt idx="800">
                  <c:v>42867</c:v>
                </c:pt>
                <c:pt idx="801">
                  <c:v>42870</c:v>
                </c:pt>
                <c:pt idx="802">
                  <c:v>42871</c:v>
                </c:pt>
                <c:pt idx="803">
                  <c:v>42872</c:v>
                </c:pt>
                <c:pt idx="804">
                  <c:v>42873</c:v>
                </c:pt>
                <c:pt idx="805">
                  <c:v>42874</c:v>
                </c:pt>
                <c:pt idx="806">
                  <c:v>42877</c:v>
                </c:pt>
                <c:pt idx="807">
                  <c:v>42878</c:v>
                </c:pt>
                <c:pt idx="808">
                  <c:v>42879</c:v>
                </c:pt>
                <c:pt idx="809">
                  <c:v>42880</c:v>
                </c:pt>
                <c:pt idx="810">
                  <c:v>42881</c:v>
                </c:pt>
                <c:pt idx="811">
                  <c:v>42884</c:v>
                </c:pt>
                <c:pt idx="812">
                  <c:v>42885</c:v>
                </c:pt>
                <c:pt idx="813">
                  <c:v>42886</c:v>
                </c:pt>
                <c:pt idx="814">
                  <c:v>42887</c:v>
                </c:pt>
                <c:pt idx="815">
                  <c:v>42888</c:v>
                </c:pt>
                <c:pt idx="816">
                  <c:v>42891</c:v>
                </c:pt>
                <c:pt idx="817">
                  <c:v>42892</c:v>
                </c:pt>
                <c:pt idx="818">
                  <c:v>42893</c:v>
                </c:pt>
                <c:pt idx="819">
                  <c:v>42894</c:v>
                </c:pt>
                <c:pt idx="820">
                  <c:v>42895</c:v>
                </c:pt>
                <c:pt idx="821">
                  <c:v>42898</c:v>
                </c:pt>
                <c:pt idx="822">
                  <c:v>42899</c:v>
                </c:pt>
                <c:pt idx="823">
                  <c:v>42900</c:v>
                </c:pt>
                <c:pt idx="824">
                  <c:v>42901</c:v>
                </c:pt>
                <c:pt idx="825">
                  <c:v>42902</c:v>
                </c:pt>
                <c:pt idx="826">
                  <c:v>42905</c:v>
                </c:pt>
                <c:pt idx="827">
                  <c:v>42906</c:v>
                </c:pt>
                <c:pt idx="828">
                  <c:v>42907</c:v>
                </c:pt>
                <c:pt idx="829">
                  <c:v>42908</c:v>
                </c:pt>
                <c:pt idx="830">
                  <c:v>42909</c:v>
                </c:pt>
                <c:pt idx="831">
                  <c:v>42912</c:v>
                </c:pt>
                <c:pt idx="832">
                  <c:v>42913</c:v>
                </c:pt>
                <c:pt idx="833">
                  <c:v>42914</c:v>
                </c:pt>
                <c:pt idx="834">
                  <c:v>42915</c:v>
                </c:pt>
                <c:pt idx="835">
                  <c:v>42916</c:v>
                </c:pt>
                <c:pt idx="836">
                  <c:v>42919</c:v>
                </c:pt>
                <c:pt idx="837">
                  <c:v>42920</c:v>
                </c:pt>
                <c:pt idx="838">
                  <c:v>42921</c:v>
                </c:pt>
                <c:pt idx="839">
                  <c:v>42922</c:v>
                </c:pt>
                <c:pt idx="840">
                  <c:v>42923</c:v>
                </c:pt>
                <c:pt idx="841">
                  <c:v>42926</c:v>
                </c:pt>
                <c:pt idx="842">
                  <c:v>42927</c:v>
                </c:pt>
                <c:pt idx="843">
                  <c:v>42928</c:v>
                </c:pt>
                <c:pt idx="844">
                  <c:v>42929</c:v>
                </c:pt>
                <c:pt idx="845">
                  <c:v>42930</c:v>
                </c:pt>
                <c:pt idx="846">
                  <c:v>42933</c:v>
                </c:pt>
                <c:pt idx="847">
                  <c:v>42934</c:v>
                </c:pt>
                <c:pt idx="848">
                  <c:v>42935</c:v>
                </c:pt>
                <c:pt idx="849">
                  <c:v>42936</c:v>
                </c:pt>
                <c:pt idx="850">
                  <c:v>42937</c:v>
                </c:pt>
                <c:pt idx="851">
                  <c:v>42940</c:v>
                </c:pt>
                <c:pt idx="852">
                  <c:v>42941</c:v>
                </c:pt>
                <c:pt idx="853">
                  <c:v>42942</c:v>
                </c:pt>
                <c:pt idx="854">
                  <c:v>42943</c:v>
                </c:pt>
                <c:pt idx="855">
                  <c:v>42944</c:v>
                </c:pt>
                <c:pt idx="856">
                  <c:v>42947</c:v>
                </c:pt>
                <c:pt idx="857">
                  <c:v>42948</c:v>
                </c:pt>
                <c:pt idx="858">
                  <c:v>42949</c:v>
                </c:pt>
                <c:pt idx="859">
                  <c:v>42950</c:v>
                </c:pt>
                <c:pt idx="860">
                  <c:v>42951</c:v>
                </c:pt>
                <c:pt idx="861">
                  <c:v>42954</c:v>
                </c:pt>
                <c:pt idx="862">
                  <c:v>42955</c:v>
                </c:pt>
                <c:pt idx="863">
                  <c:v>42956</c:v>
                </c:pt>
                <c:pt idx="864">
                  <c:v>42957</c:v>
                </c:pt>
                <c:pt idx="865">
                  <c:v>42958</c:v>
                </c:pt>
                <c:pt idx="866">
                  <c:v>42961</c:v>
                </c:pt>
                <c:pt idx="867">
                  <c:v>42963</c:v>
                </c:pt>
                <c:pt idx="868">
                  <c:v>42964</c:v>
                </c:pt>
                <c:pt idx="869">
                  <c:v>42965</c:v>
                </c:pt>
                <c:pt idx="870">
                  <c:v>42968</c:v>
                </c:pt>
                <c:pt idx="871">
                  <c:v>42969</c:v>
                </c:pt>
                <c:pt idx="872">
                  <c:v>42970</c:v>
                </c:pt>
                <c:pt idx="873">
                  <c:v>42971</c:v>
                </c:pt>
                <c:pt idx="874">
                  <c:v>42972</c:v>
                </c:pt>
                <c:pt idx="875">
                  <c:v>42975</c:v>
                </c:pt>
                <c:pt idx="876">
                  <c:v>42976</c:v>
                </c:pt>
                <c:pt idx="877">
                  <c:v>42977</c:v>
                </c:pt>
                <c:pt idx="878">
                  <c:v>42978</c:v>
                </c:pt>
                <c:pt idx="879">
                  <c:v>42979</c:v>
                </c:pt>
                <c:pt idx="880">
                  <c:v>42982</c:v>
                </c:pt>
                <c:pt idx="881">
                  <c:v>42983</c:v>
                </c:pt>
                <c:pt idx="882">
                  <c:v>42984</c:v>
                </c:pt>
                <c:pt idx="883">
                  <c:v>42985</c:v>
                </c:pt>
                <c:pt idx="884">
                  <c:v>42986</c:v>
                </c:pt>
                <c:pt idx="885">
                  <c:v>42989</c:v>
                </c:pt>
                <c:pt idx="886">
                  <c:v>42990</c:v>
                </c:pt>
                <c:pt idx="887">
                  <c:v>42991</c:v>
                </c:pt>
                <c:pt idx="888">
                  <c:v>42992</c:v>
                </c:pt>
                <c:pt idx="889">
                  <c:v>42993</c:v>
                </c:pt>
                <c:pt idx="890">
                  <c:v>42996</c:v>
                </c:pt>
                <c:pt idx="891">
                  <c:v>42997</c:v>
                </c:pt>
                <c:pt idx="892">
                  <c:v>42998</c:v>
                </c:pt>
                <c:pt idx="893">
                  <c:v>42999</c:v>
                </c:pt>
                <c:pt idx="894">
                  <c:v>43000</c:v>
                </c:pt>
                <c:pt idx="895">
                  <c:v>43003</c:v>
                </c:pt>
                <c:pt idx="896">
                  <c:v>43004</c:v>
                </c:pt>
                <c:pt idx="897">
                  <c:v>43005</c:v>
                </c:pt>
                <c:pt idx="898">
                  <c:v>43006</c:v>
                </c:pt>
                <c:pt idx="899">
                  <c:v>43007</c:v>
                </c:pt>
                <c:pt idx="900">
                  <c:v>43010</c:v>
                </c:pt>
                <c:pt idx="901">
                  <c:v>43011</c:v>
                </c:pt>
                <c:pt idx="902">
                  <c:v>43012</c:v>
                </c:pt>
                <c:pt idx="903">
                  <c:v>43013</c:v>
                </c:pt>
                <c:pt idx="904">
                  <c:v>43014</c:v>
                </c:pt>
                <c:pt idx="905">
                  <c:v>43017</c:v>
                </c:pt>
                <c:pt idx="906">
                  <c:v>43018</c:v>
                </c:pt>
                <c:pt idx="907">
                  <c:v>43019</c:v>
                </c:pt>
                <c:pt idx="908">
                  <c:v>43020</c:v>
                </c:pt>
                <c:pt idx="909">
                  <c:v>43021</c:v>
                </c:pt>
                <c:pt idx="910">
                  <c:v>43024</c:v>
                </c:pt>
                <c:pt idx="911">
                  <c:v>43025</c:v>
                </c:pt>
                <c:pt idx="912">
                  <c:v>43026</c:v>
                </c:pt>
                <c:pt idx="913">
                  <c:v>43027</c:v>
                </c:pt>
                <c:pt idx="914">
                  <c:v>43028</c:v>
                </c:pt>
                <c:pt idx="915">
                  <c:v>43031</c:v>
                </c:pt>
                <c:pt idx="916">
                  <c:v>43032</c:v>
                </c:pt>
                <c:pt idx="917">
                  <c:v>43033</c:v>
                </c:pt>
                <c:pt idx="918">
                  <c:v>43034</c:v>
                </c:pt>
                <c:pt idx="919">
                  <c:v>43035</c:v>
                </c:pt>
                <c:pt idx="920">
                  <c:v>43038</c:v>
                </c:pt>
                <c:pt idx="921">
                  <c:v>43039</c:v>
                </c:pt>
                <c:pt idx="922">
                  <c:v>43040</c:v>
                </c:pt>
                <c:pt idx="923">
                  <c:v>43041</c:v>
                </c:pt>
                <c:pt idx="924">
                  <c:v>43042</c:v>
                </c:pt>
                <c:pt idx="925">
                  <c:v>43045</c:v>
                </c:pt>
                <c:pt idx="926">
                  <c:v>43046</c:v>
                </c:pt>
                <c:pt idx="927">
                  <c:v>43047</c:v>
                </c:pt>
                <c:pt idx="928">
                  <c:v>43048</c:v>
                </c:pt>
                <c:pt idx="929">
                  <c:v>43049</c:v>
                </c:pt>
                <c:pt idx="930">
                  <c:v>43052</c:v>
                </c:pt>
                <c:pt idx="931">
                  <c:v>43053</c:v>
                </c:pt>
                <c:pt idx="932">
                  <c:v>43054</c:v>
                </c:pt>
                <c:pt idx="933">
                  <c:v>43055</c:v>
                </c:pt>
                <c:pt idx="934">
                  <c:v>43056</c:v>
                </c:pt>
                <c:pt idx="935">
                  <c:v>43059</c:v>
                </c:pt>
                <c:pt idx="936">
                  <c:v>43060</c:v>
                </c:pt>
                <c:pt idx="937">
                  <c:v>43061</c:v>
                </c:pt>
                <c:pt idx="938">
                  <c:v>43062</c:v>
                </c:pt>
                <c:pt idx="939">
                  <c:v>43063</c:v>
                </c:pt>
                <c:pt idx="940">
                  <c:v>43066</c:v>
                </c:pt>
                <c:pt idx="941">
                  <c:v>43067</c:v>
                </c:pt>
                <c:pt idx="942">
                  <c:v>43068</c:v>
                </c:pt>
                <c:pt idx="943">
                  <c:v>43069</c:v>
                </c:pt>
                <c:pt idx="944">
                  <c:v>43070</c:v>
                </c:pt>
                <c:pt idx="945">
                  <c:v>43073</c:v>
                </c:pt>
                <c:pt idx="946">
                  <c:v>43074</c:v>
                </c:pt>
                <c:pt idx="947">
                  <c:v>43075</c:v>
                </c:pt>
                <c:pt idx="948">
                  <c:v>43076</c:v>
                </c:pt>
                <c:pt idx="949">
                  <c:v>43077</c:v>
                </c:pt>
                <c:pt idx="950">
                  <c:v>43080</c:v>
                </c:pt>
                <c:pt idx="951">
                  <c:v>43081</c:v>
                </c:pt>
                <c:pt idx="952">
                  <c:v>43082</c:v>
                </c:pt>
                <c:pt idx="953">
                  <c:v>43083</c:v>
                </c:pt>
                <c:pt idx="954">
                  <c:v>43084</c:v>
                </c:pt>
                <c:pt idx="955">
                  <c:v>43087</c:v>
                </c:pt>
                <c:pt idx="956">
                  <c:v>43088</c:v>
                </c:pt>
                <c:pt idx="957">
                  <c:v>43089</c:v>
                </c:pt>
                <c:pt idx="958">
                  <c:v>43090</c:v>
                </c:pt>
                <c:pt idx="959">
                  <c:v>43091</c:v>
                </c:pt>
                <c:pt idx="960">
                  <c:v>43096</c:v>
                </c:pt>
                <c:pt idx="961">
                  <c:v>43097</c:v>
                </c:pt>
                <c:pt idx="962">
                  <c:v>43098</c:v>
                </c:pt>
                <c:pt idx="963">
                  <c:v>43102</c:v>
                </c:pt>
                <c:pt idx="964">
                  <c:v>43103</c:v>
                </c:pt>
                <c:pt idx="965">
                  <c:v>43104</c:v>
                </c:pt>
                <c:pt idx="966">
                  <c:v>43105</c:v>
                </c:pt>
                <c:pt idx="967">
                  <c:v>43108</c:v>
                </c:pt>
                <c:pt idx="968">
                  <c:v>43109</c:v>
                </c:pt>
                <c:pt idx="969">
                  <c:v>43110</c:v>
                </c:pt>
                <c:pt idx="970">
                  <c:v>43111</c:v>
                </c:pt>
                <c:pt idx="971">
                  <c:v>43112</c:v>
                </c:pt>
                <c:pt idx="972">
                  <c:v>43115</c:v>
                </c:pt>
                <c:pt idx="973">
                  <c:v>43116</c:v>
                </c:pt>
                <c:pt idx="974">
                  <c:v>43117</c:v>
                </c:pt>
                <c:pt idx="975">
                  <c:v>43118</c:v>
                </c:pt>
                <c:pt idx="976">
                  <c:v>43119</c:v>
                </c:pt>
                <c:pt idx="977">
                  <c:v>43122</c:v>
                </c:pt>
                <c:pt idx="978">
                  <c:v>43123</c:v>
                </c:pt>
                <c:pt idx="979">
                  <c:v>43124</c:v>
                </c:pt>
                <c:pt idx="980">
                  <c:v>43125</c:v>
                </c:pt>
                <c:pt idx="981">
                  <c:v>43126</c:v>
                </c:pt>
                <c:pt idx="982">
                  <c:v>43129</c:v>
                </c:pt>
                <c:pt idx="983">
                  <c:v>43130</c:v>
                </c:pt>
                <c:pt idx="984">
                  <c:v>43131</c:v>
                </c:pt>
                <c:pt idx="985">
                  <c:v>43132</c:v>
                </c:pt>
                <c:pt idx="986">
                  <c:v>43133</c:v>
                </c:pt>
                <c:pt idx="987">
                  <c:v>43136</c:v>
                </c:pt>
                <c:pt idx="988">
                  <c:v>43137</c:v>
                </c:pt>
                <c:pt idx="989">
                  <c:v>43138</c:v>
                </c:pt>
                <c:pt idx="990">
                  <c:v>43139</c:v>
                </c:pt>
                <c:pt idx="991">
                  <c:v>43140</c:v>
                </c:pt>
                <c:pt idx="992">
                  <c:v>43143</c:v>
                </c:pt>
                <c:pt idx="993">
                  <c:v>43144</c:v>
                </c:pt>
                <c:pt idx="994">
                  <c:v>43145</c:v>
                </c:pt>
                <c:pt idx="995">
                  <c:v>43146</c:v>
                </c:pt>
                <c:pt idx="996">
                  <c:v>43147</c:v>
                </c:pt>
                <c:pt idx="997">
                  <c:v>43150</c:v>
                </c:pt>
                <c:pt idx="998">
                  <c:v>43151</c:v>
                </c:pt>
                <c:pt idx="999">
                  <c:v>43152</c:v>
                </c:pt>
                <c:pt idx="1000">
                  <c:v>43153</c:v>
                </c:pt>
                <c:pt idx="1001">
                  <c:v>43154</c:v>
                </c:pt>
                <c:pt idx="1002">
                  <c:v>43157</c:v>
                </c:pt>
                <c:pt idx="1003">
                  <c:v>43158</c:v>
                </c:pt>
                <c:pt idx="1004">
                  <c:v>43159</c:v>
                </c:pt>
                <c:pt idx="1005">
                  <c:v>43160</c:v>
                </c:pt>
                <c:pt idx="1006">
                  <c:v>43161</c:v>
                </c:pt>
                <c:pt idx="1007">
                  <c:v>43164</c:v>
                </c:pt>
                <c:pt idx="1008">
                  <c:v>43165</c:v>
                </c:pt>
                <c:pt idx="1009">
                  <c:v>43166</c:v>
                </c:pt>
                <c:pt idx="1010">
                  <c:v>43167</c:v>
                </c:pt>
                <c:pt idx="1011">
                  <c:v>43168</c:v>
                </c:pt>
                <c:pt idx="1012">
                  <c:v>43171</c:v>
                </c:pt>
                <c:pt idx="1013">
                  <c:v>43172</c:v>
                </c:pt>
                <c:pt idx="1014">
                  <c:v>43173</c:v>
                </c:pt>
                <c:pt idx="1015">
                  <c:v>43174</c:v>
                </c:pt>
                <c:pt idx="1016">
                  <c:v>43175</c:v>
                </c:pt>
                <c:pt idx="1017">
                  <c:v>43178</c:v>
                </c:pt>
                <c:pt idx="1018">
                  <c:v>43179</c:v>
                </c:pt>
                <c:pt idx="1019">
                  <c:v>43180</c:v>
                </c:pt>
                <c:pt idx="1020">
                  <c:v>43181</c:v>
                </c:pt>
                <c:pt idx="1021">
                  <c:v>43182</c:v>
                </c:pt>
                <c:pt idx="1022">
                  <c:v>43185</c:v>
                </c:pt>
                <c:pt idx="1023">
                  <c:v>43186</c:v>
                </c:pt>
                <c:pt idx="1024">
                  <c:v>43187</c:v>
                </c:pt>
                <c:pt idx="1025">
                  <c:v>43188</c:v>
                </c:pt>
                <c:pt idx="1026">
                  <c:v>43193</c:v>
                </c:pt>
                <c:pt idx="1027">
                  <c:v>43194</c:v>
                </c:pt>
                <c:pt idx="1028">
                  <c:v>43195</c:v>
                </c:pt>
                <c:pt idx="1029">
                  <c:v>43196</c:v>
                </c:pt>
                <c:pt idx="1030">
                  <c:v>43199</c:v>
                </c:pt>
                <c:pt idx="1031">
                  <c:v>43200</c:v>
                </c:pt>
                <c:pt idx="1032">
                  <c:v>43201</c:v>
                </c:pt>
                <c:pt idx="1033">
                  <c:v>43202</c:v>
                </c:pt>
                <c:pt idx="1034">
                  <c:v>43203</c:v>
                </c:pt>
                <c:pt idx="1035">
                  <c:v>43206</c:v>
                </c:pt>
                <c:pt idx="1036">
                  <c:v>43207</c:v>
                </c:pt>
                <c:pt idx="1037">
                  <c:v>43208</c:v>
                </c:pt>
                <c:pt idx="1038">
                  <c:v>43209</c:v>
                </c:pt>
                <c:pt idx="1039">
                  <c:v>43210</c:v>
                </c:pt>
                <c:pt idx="1040">
                  <c:v>43213</c:v>
                </c:pt>
                <c:pt idx="1041">
                  <c:v>43214</c:v>
                </c:pt>
                <c:pt idx="1042">
                  <c:v>43215</c:v>
                </c:pt>
                <c:pt idx="1043">
                  <c:v>43216</c:v>
                </c:pt>
                <c:pt idx="1044">
                  <c:v>43217</c:v>
                </c:pt>
                <c:pt idx="1045">
                  <c:v>43220</c:v>
                </c:pt>
                <c:pt idx="1046">
                  <c:v>43222</c:v>
                </c:pt>
                <c:pt idx="1047">
                  <c:v>43223</c:v>
                </c:pt>
                <c:pt idx="1048">
                  <c:v>43224</c:v>
                </c:pt>
                <c:pt idx="1049">
                  <c:v>43227</c:v>
                </c:pt>
                <c:pt idx="1050">
                  <c:v>43228</c:v>
                </c:pt>
                <c:pt idx="1051">
                  <c:v>43229</c:v>
                </c:pt>
                <c:pt idx="1052">
                  <c:v>43230</c:v>
                </c:pt>
                <c:pt idx="1053">
                  <c:v>43231</c:v>
                </c:pt>
                <c:pt idx="1054">
                  <c:v>43234</c:v>
                </c:pt>
                <c:pt idx="1055">
                  <c:v>43235</c:v>
                </c:pt>
                <c:pt idx="1056">
                  <c:v>43236</c:v>
                </c:pt>
                <c:pt idx="1057">
                  <c:v>43237</c:v>
                </c:pt>
                <c:pt idx="1058">
                  <c:v>43238</c:v>
                </c:pt>
                <c:pt idx="1059">
                  <c:v>43241</c:v>
                </c:pt>
                <c:pt idx="1060">
                  <c:v>43242</c:v>
                </c:pt>
                <c:pt idx="1061">
                  <c:v>43243</c:v>
                </c:pt>
                <c:pt idx="1062">
                  <c:v>43244</c:v>
                </c:pt>
                <c:pt idx="1063">
                  <c:v>43245</c:v>
                </c:pt>
                <c:pt idx="1064">
                  <c:v>43248</c:v>
                </c:pt>
                <c:pt idx="1065">
                  <c:v>43249</c:v>
                </c:pt>
                <c:pt idx="1066">
                  <c:v>43250</c:v>
                </c:pt>
                <c:pt idx="1067">
                  <c:v>43251</c:v>
                </c:pt>
                <c:pt idx="1068">
                  <c:v>43252</c:v>
                </c:pt>
                <c:pt idx="1069">
                  <c:v>43255</c:v>
                </c:pt>
                <c:pt idx="1070">
                  <c:v>43256</c:v>
                </c:pt>
                <c:pt idx="1071">
                  <c:v>43257</c:v>
                </c:pt>
                <c:pt idx="1072">
                  <c:v>43258</c:v>
                </c:pt>
                <c:pt idx="1073">
                  <c:v>43259</c:v>
                </c:pt>
                <c:pt idx="1074">
                  <c:v>43262</c:v>
                </c:pt>
                <c:pt idx="1075">
                  <c:v>43263</c:v>
                </c:pt>
                <c:pt idx="1076">
                  <c:v>43264</c:v>
                </c:pt>
                <c:pt idx="1077">
                  <c:v>43265</c:v>
                </c:pt>
                <c:pt idx="1078">
                  <c:v>43266</c:v>
                </c:pt>
                <c:pt idx="1079">
                  <c:v>43269</c:v>
                </c:pt>
                <c:pt idx="1080">
                  <c:v>43270</c:v>
                </c:pt>
                <c:pt idx="1081">
                  <c:v>43271</c:v>
                </c:pt>
                <c:pt idx="1082">
                  <c:v>43272</c:v>
                </c:pt>
                <c:pt idx="1083">
                  <c:v>43273</c:v>
                </c:pt>
                <c:pt idx="1084">
                  <c:v>43276</c:v>
                </c:pt>
                <c:pt idx="1085">
                  <c:v>43277</c:v>
                </c:pt>
                <c:pt idx="1086">
                  <c:v>43278</c:v>
                </c:pt>
                <c:pt idx="1087">
                  <c:v>43279</c:v>
                </c:pt>
                <c:pt idx="1088">
                  <c:v>43280</c:v>
                </c:pt>
                <c:pt idx="1089">
                  <c:v>43283</c:v>
                </c:pt>
                <c:pt idx="1090">
                  <c:v>43284</c:v>
                </c:pt>
                <c:pt idx="1091">
                  <c:v>43285</c:v>
                </c:pt>
                <c:pt idx="1092">
                  <c:v>43286</c:v>
                </c:pt>
                <c:pt idx="1093">
                  <c:v>43287</c:v>
                </c:pt>
                <c:pt idx="1094">
                  <c:v>43290</c:v>
                </c:pt>
                <c:pt idx="1095">
                  <c:v>43291</c:v>
                </c:pt>
                <c:pt idx="1096">
                  <c:v>43292</c:v>
                </c:pt>
                <c:pt idx="1097">
                  <c:v>43293</c:v>
                </c:pt>
                <c:pt idx="1098">
                  <c:v>43294</c:v>
                </c:pt>
                <c:pt idx="1099">
                  <c:v>43297</c:v>
                </c:pt>
                <c:pt idx="1100">
                  <c:v>43298</c:v>
                </c:pt>
                <c:pt idx="1101">
                  <c:v>43299</c:v>
                </c:pt>
                <c:pt idx="1102">
                  <c:v>43300</c:v>
                </c:pt>
                <c:pt idx="1103">
                  <c:v>43301</c:v>
                </c:pt>
                <c:pt idx="1104">
                  <c:v>43304</c:v>
                </c:pt>
                <c:pt idx="1105">
                  <c:v>43305</c:v>
                </c:pt>
                <c:pt idx="1106">
                  <c:v>43306</c:v>
                </c:pt>
                <c:pt idx="1107">
                  <c:v>43307</c:v>
                </c:pt>
                <c:pt idx="1108">
                  <c:v>43308</c:v>
                </c:pt>
                <c:pt idx="1109">
                  <c:v>43311</c:v>
                </c:pt>
                <c:pt idx="1110">
                  <c:v>43312</c:v>
                </c:pt>
                <c:pt idx="1111">
                  <c:v>43313</c:v>
                </c:pt>
                <c:pt idx="1112">
                  <c:v>43314</c:v>
                </c:pt>
                <c:pt idx="1113">
                  <c:v>43315</c:v>
                </c:pt>
                <c:pt idx="1114">
                  <c:v>43318</c:v>
                </c:pt>
                <c:pt idx="1115">
                  <c:v>43319</c:v>
                </c:pt>
                <c:pt idx="1116">
                  <c:v>43320</c:v>
                </c:pt>
                <c:pt idx="1117">
                  <c:v>43321</c:v>
                </c:pt>
                <c:pt idx="1118">
                  <c:v>43322</c:v>
                </c:pt>
                <c:pt idx="1119">
                  <c:v>43325</c:v>
                </c:pt>
                <c:pt idx="1120">
                  <c:v>43326</c:v>
                </c:pt>
                <c:pt idx="1121">
                  <c:v>43328</c:v>
                </c:pt>
                <c:pt idx="1122">
                  <c:v>43329</c:v>
                </c:pt>
                <c:pt idx="1123">
                  <c:v>43332</c:v>
                </c:pt>
                <c:pt idx="1124">
                  <c:v>43333</c:v>
                </c:pt>
                <c:pt idx="1125">
                  <c:v>43334</c:v>
                </c:pt>
                <c:pt idx="1126">
                  <c:v>43335</c:v>
                </c:pt>
                <c:pt idx="1127">
                  <c:v>43336</c:v>
                </c:pt>
                <c:pt idx="1128">
                  <c:v>43339</c:v>
                </c:pt>
                <c:pt idx="1129">
                  <c:v>43340</c:v>
                </c:pt>
                <c:pt idx="1130">
                  <c:v>43341</c:v>
                </c:pt>
                <c:pt idx="1131">
                  <c:v>43342</c:v>
                </c:pt>
                <c:pt idx="1132">
                  <c:v>43343</c:v>
                </c:pt>
                <c:pt idx="1133">
                  <c:v>43346</c:v>
                </c:pt>
                <c:pt idx="1134">
                  <c:v>43347</c:v>
                </c:pt>
                <c:pt idx="1135">
                  <c:v>43348</c:v>
                </c:pt>
                <c:pt idx="1136">
                  <c:v>43349</c:v>
                </c:pt>
                <c:pt idx="1137">
                  <c:v>43350</c:v>
                </c:pt>
                <c:pt idx="1138">
                  <c:v>43353</c:v>
                </c:pt>
                <c:pt idx="1139">
                  <c:v>43354</c:v>
                </c:pt>
                <c:pt idx="1140">
                  <c:v>43355</c:v>
                </c:pt>
                <c:pt idx="1141">
                  <c:v>43356</c:v>
                </c:pt>
                <c:pt idx="1142">
                  <c:v>43357</c:v>
                </c:pt>
                <c:pt idx="1143">
                  <c:v>43360</c:v>
                </c:pt>
                <c:pt idx="1144">
                  <c:v>43361</c:v>
                </c:pt>
                <c:pt idx="1145">
                  <c:v>43362</c:v>
                </c:pt>
                <c:pt idx="1146">
                  <c:v>43363</c:v>
                </c:pt>
                <c:pt idx="1147">
                  <c:v>43364</c:v>
                </c:pt>
                <c:pt idx="1148">
                  <c:v>43367</c:v>
                </c:pt>
                <c:pt idx="1149">
                  <c:v>43368</c:v>
                </c:pt>
                <c:pt idx="1150">
                  <c:v>43369</c:v>
                </c:pt>
                <c:pt idx="1151">
                  <c:v>43370</c:v>
                </c:pt>
                <c:pt idx="1152">
                  <c:v>43371</c:v>
                </c:pt>
                <c:pt idx="1153">
                  <c:v>43374</c:v>
                </c:pt>
                <c:pt idx="1154">
                  <c:v>43375</c:v>
                </c:pt>
                <c:pt idx="1155">
                  <c:v>43376</c:v>
                </c:pt>
                <c:pt idx="1156">
                  <c:v>43377</c:v>
                </c:pt>
                <c:pt idx="1157">
                  <c:v>43378</c:v>
                </c:pt>
                <c:pt idx="1158">
                  <c:v>43381</c:v>
                </c:pt>
                <c:pt idx="1159">
                  <c:v>43382</c:v>
                </c:pt>
                <c:pt idx="1160">
                  <c:v>43383</c:v>
                </c:pt>
                <c:pt idx="1161">
                  <c:v>43384</c:v>
                </c:pt>
                <c:pt idx="1162">
                  <c:v>43385</c:v>
                </c:pt>
                <c:pt idx="1163">
                  <c:v>43388</c:v>
                </c:pt>
                <c:pt idx="1164">
                  <c:v>43389</c:v>
                </c:pt>
                <c:pt idx="1165">
                  <c:v>43390</c:v>
                </c:pt>
                <c:pt idx="1166">
                  <c:v>43391</c:v>
                </c:pt>
                <c:pt idx="1167">
                  <c:v>43392</c:v>
                </c:pt>
                <c:pt idx="1168">
                  <c:v>43395</c:v>
                </c:pt>
                <c:pt idx="1169">
                  <c:v>43396</c:v>
                </c:pt>
                <c:pt idx="1170">
                  <c:v>43397</c:v>
                </c:pt>
                <c:pt idx="1171">
                  <c:v>43398</c:v>
                </c:pt>
                <c:pt idx="1172">
                  <c:v>43399</c:v>
                </c:pt>
                <c:pt idx="1173">
                  <c:v>43402</c:v>
                </c:pt>
                <c:pt idx="1174">
                  <c:v>43403</c:v>
                </c:pt>
                <c:pt idx="1175">
                  <c:v>43404</c:v>
                </c:pt>
                <c:pt idx="1176">
                  <c:v>43405</c:v>
                </c:pt>
                <c:pt idx="1177">
                  <c:v>43406</c:v>
                </c:pt>
                <c:pt idx="1178">
                  <c:v>43409</c:v>
                </c:pt>
                <c:pt idx="1179">
                  <c:v>43410</c:v>
                </c:pt>
                <c:pt idx="1180">
                  <c:v>43411</c:v>
                </c:pt>
                <c:pt idx="1181">
                  <c:v>43412</c:v>
                </c:pt>
                <c:pt idx="1182">
                  <c:v>43413</c:v>
                </c:pt>
                <c:pt idx="1183">
                  <c:v>43416</c:v>
                </c:pt>
                <c:pt idx="1184">
                  <c:v>43417</c:v>
                </c:pt>
                <c:pt idx="1185">
                  <c:v>43418</c:v>
                </c:pt>
                <c:pt idx="1186">
                  <c:v>43419</c:v>
                </c:pt>
                <c:pt idx="1187">
                  <c:v>43420</c:v>
                </c:pt>
                <c:pt idx="1188">
                  <c:v>43423</c:v>
                </c:pt>
                <c:pt idx="1189">
                  <c:v>43424</c:v>
                </c:pt>
                <c:pt idx="1190">
                  <c:v>43425</c:v>
                </c:pt>
                <c:pt idx="1191">
                  <c:v>43426</c:v>
                </c:pt>
                <c:pt idx="1192">
                  <c:v>43427</c:v>
                </c:pt>
                <c:pt idx="1193">
                  <c:v>43430</c:v>
                </c:pt>
                <c:pt idx="1194">
                  <c:v>43431</c:v>
                </c:pt>
                <c:pt idx="1195">
                  <c:v>43432</c:v>
                </c:pt>
                <c:pt idx="1196">
                  <c:v>43433</c:v>
                </c:pt>
                <c:pt idx="1197">
                  <c:v>43434</c:v>
                </c:pt>
                <c:pt idx="1198">
                  <c:v>43437</c:v>
                </c:pt>
                <c:pt idx="1199">
                  <c:v>43438</c:v>
                </c:pt>
                <c:pt idx="1200">
                  <c:v>43439</c:v>
                </c:pt>
                <c:pt idx="1201">
                  <c:v>43440</c:v>
                </c:pt>
                <c:pt idx="1202">
                  <c:v>43441</c:v>
                </c:pt>
                <c:pt idx="1203">
                  <c:v>43444</c:v>
                </c:pt>
                <c:pt idx="1204">
                  <c:v>43445</c:v>
                </c:pt>
                <c:pt idx="1205">
                  <c:v>43446</c:v>
                </c:pt>
                <c:pt idx="1206">
                  <c:v>43447</c:v>
                </c:pt>
                <c:pt idx="1207">
                  <c:v>43448</c:v>
                </c:pt>
                <c:pt idx="1208">
                  <c:v>43451</c:v>
                </c:pt>
                <c:pt idx="1209">
                  <c:v>43452</c:v>
                </c:pt>
                <c:pt idx="1210">
                  <c:v>43453</c:v>
                </c:pt>
                <c:pt idx="1211">
                  <c:v>43454</c:v>
                </c:pt>
                <c:pt idx="1212">
                  <c:v>43455</c:v>
                </c:pt>
                <c:pt idx="1213">
                  <c:v>43461</c:v>
                </c:pt>
                <c:pt idx="1214">
                  <c:v>43462</c:v>
                </c:pt>
                <c:pt idx="1215">
                  <c:v>43467</c:v>
                </c:pt>
                <c:pt idx="1216">
                  <c:v>43468</c:v>
                </c:pt>
                <c:pt idx="1217">
                  <c:v>43469</c:v>
                </c:pt>
                <c:pt idx="1218">
                  <c:v>43472</c:v>
                </c:pt>
                <c:pt idx="1219">
                  <c:v>43473</c:v>
                </c:pt>
                <c:pt idx="1220">
                  <c:v>43474</c:v>
                </c:pt>
                <c:pt idx="1221">
                  <c:v>43475</c:v>
                </c:pt>
                <c:pt idx="1222">
                  <c:v>43476</c:v>
                </c:pt>
                <c:pt idx="1223">
                  <c:v>43479</c:v>
                </c:pt>
                <c:pt idx="1224">
                  <c:v>43480</c:v>
                </c:pt>
                <c:pt idx="1225">
                  <c:v>43481</c:v>
                </c:pt>
                <c:pt idx="1226">
                  <c:v>43482</c:v>
                </c:pt>
                <c:pt idx="1227">
                  <c:v>43483</c:v>
                </c:pt>
                <c:pt idx="1228">
                  <c:v>43486</c:v>
                </c:pt>
                <c:pt idx="1229">
                  <c:v>43487</c:v>
                </c:pt>
                <c:pt idx="1230">
                  <c:v>43488</c:v>
                </c:pt>
                <c:pt idx="1231">
                  <c:v>43489</c:v>
                </c:pt>
                <c:pt idx="1232">
                  <c:v>43490</c:v>
                </c:pt>
                <c:pt idx="1233">
                  <c:v>43493</c:v>
                </c:pt>
                <c:pt idx="1234">
                  <c:v>43494</c:v>
                </c:pt>
                <c:pt idx="1235">
                  <c:v>43495</c:v>
                </c:pt>
                <c:pt idx="1236">
                  <c:v>43496</c:v>
                </c:pt>
                <c:pt idx="1237">
                  <c:v>43497</c:v>
                </c:pt>
                <c:pt idx="1238">
                  <c:v>43500</c:v>
                </c:pt>
                <c:pt idx="1239">
                  <c:v>43501</c:v>
                </c:pt>
                <c:pt idx="1240">
                  <c:v>43502</c:v>
                </c:pt>
                <c:pt idx="1241">
                  <c:v>43503</c:v>
                </c:pt>
                <c:pt idx="1242">
                  <c:v>43504</c:v>
                </c:pt>
                <c:pt idx="1243">
                  <c:v>43507</c:v>
                </c:pt>
                <c:pt idx="1244">
                  <c:v>43508</c:v>
                </c:pt>
                <c:pt idx="1245">
                  <c:v>43509</c:v>
                </c:pt>
                <c:pt idx="1246">
                  <c:v>43510</c:v>
                </c:pt>
                <c:pt idx="1247">
                  <c:v>43511</c:v>
                </c:pt>
                <c:pt idx="1248">
                  <c:v>43514</c:v>
                </c:pt>
                <c:pt idx="1249">
                  <c:v>43515</c:v>
                </c:pt>
                <c:pt idx="1250">
                  <c:v>43516</c:v>
                </c:pt>
                <c:pt idx="1251">
                  <c:v>43517</c:v>
                </c:pt>
                <c:pt idx="1252">
                  <c:v>43518</c:v>
                </c:pt>
                <c:pt idx="1253">
                  <c:v>43521</c:v>
                </c:pt>
                <c:pt idx="1254">
                  <c:v>43522</c:v>
                </c:pt>
                <c:pt idx="1255">
                  <c:v>43523</c:v>
                </c:pt>
                <c:pt idx="1256">
                  <c:v>43524</c:v>
                </c:pt>
                <c:pt idx="1257">
                  <c:v>43525</c:v>
                </c:pt>
                <c:pt idx="1258">
                  <c:v>43528</c:v>
                </c:pt>
                <c:pt idx="1259">
                  <c:v>43529</c:v>
                </c:pt>
                <c:pt idx="1260">
                  <c:v>43530</c:v>
                </c:pt>
                <c:pt idx="1261">
                  <c:v>43531</c:v>
                </c:pt>
                <c:pt idx="1262">
                  <c:v>43532</c:v>
                </c:pt>
                <c:pt idx="1263">
                  <c:v>43535</c:v>
                </c:pt>
                <c:pt idx="1264">
                  <c:v>43536</c:v>
                </c:pt>
                <c:pt idx="1265">
                  <c:v>43537</c:v>
                </c:pt>
                <c:pt idx="1266">
                  <c:v>43538</c:v>
                </c:pt>
                <c:pt idx="1267">
                  <c:v>43539</c:v>
                </c:pt>
                <c:pt idx="1268">
                  <c:v>43542</c:v>
                </c:pt>
              </c:numCache>
            </c:numRef>
          </c:cat>
          <c:val>
            <c:numRef>
              <c:f>Dati_G!$B$10:$B$2000</c:f>
              <c:numCache>
                <c:formatCode>0.000</c:formatCode>
                <c:ptCount val="1991"/>
                <c:pt idx="0">
                  <c:v>7.8250000000000002</c:v>
                </c:pt>
                <c:pt idx="1">
                  <c:v>7.7850000000000001</c:v>
                </c:pt>
                <c:pt idx="2">
                  <c:v>7.9950000000000001</c:v>
                </c:pt>
                <c:pt idx="3">
                  <c:v>7.835</c:v>
                </c:pt>
                <c:pt idx="4">
                  <c:v>7.68</c:v>
                </c:pt>
                <c:pt idx="5">
                  <c:v>7.77</c:v>
                </c:pt>
                <c:pt idx="6">
                  <c:v>7.82</c:v>
                </c:pt>
                <c:pt idx="7">
                  <c:v>7.91</c:v>
                </c:pt>
                <c:pt idx="8">
                  <c:v>7.98</c:v>
                </c:pt>
                <c:pt idx="9">
                  <c:v>8.3000000000000007</c:v>
                </c:pt>
                <c:pt idx="10">
                  <c:v>8.41</c:v>
                </c:pt>
                <c:pt idx="11">
                  <c:v>8.125</c:v>
                </c:pt>
                <c:pt idx="12">
                  <c:v>8.2799999999999994</c:v>
                </c:pt>
                <c:pt idx="13">
                  <c:v>8.3800000000000008</c:v>
                </c:pt>
                <c:pt idx="14">
                  <c:v>8.2349999999999994</c:v>
                </c:pt>
                <c:pt idx="15">
                  <c:v>7.9550000000000001</c:v>
                </c:pt>
                <c:pt idx="16">
                  <c:v>7.875</c:v>
                </c:pt>
                <c:pt idx="17">
                  <c:v>7.72</c:v>
                </c:pt>
                <c:pt idx="18">
                  <c:v>7.59</c:v>
                </c:pt>
                <c:pt idx="19">
                  <c:v>7.64</c:v>
                </c:pt>
                <c:pt idx="20">
                  <c:v>7.4249999999999998</c:v>
                </c:pt>
                <c:pt idx="21">
                  <c:v>7.82</c:v>
                </c:pt>
                <c:pt idx="22">
                  <c:v>8.0150000000000006</c:v>
                </c:pt>
                <c:pt idx="23">
                  <c:v>8.1449999999999996</c:v>
                </c:pt>
                <c:pt idx="24">
                  <c:v>7.9550000000000001</c:v>
                </c:pt>
                <c:pt idx="25">
                  <c:v>7.9649999999999999</c:v>
                </c:pt>
                <c:pt idx="26">
                  <c:v>7.8149999999999995</c:v>
                </c:pt>
                <c:pt idx="27">
                  <c:v>7.9</c:v>
                </c:pt>
                <c:pt idx="28">
                  <c:v>8.0050000000000008</c:v>
                </c:pt>
                <c:pt idx="29">
                  <c:v>7.98</c:v>
                </c:pt>
                <c:pt idx="30">
                  <c:v>7.8949999999999996</c:v>
                </c:pt>
                <c:pt idx="31">
                  <c:v>7.7149999999999999</c:v>
                </c:pt>
                <c:pt idx="32">
                  <c:v>7.63</c:v>
                </c:pt>
                <c:pt idx="33">
                  <c:v>7.46</c:v>
                </c:pt>
                <c:pt idx="34">
                  <c:v>7.61</c:v>
                </c:pt>
                <c:pt idx="35">
                  <c:v>7.2</c:v>
                </c:pt>
                <c:pt idx="36">
                  <c:v>7.13</c:v>
                </c:pt>
                <c:pt idx="37">
                  <c:v>7.1050000000000004</c:v>
                </c:pt>
                <c:pt idx="38">
                  <c:v>6.88</c:v>
                </c:pt>
                <c:pt idx="39">
                  <c:v>6.58</c:v>
                </c:pt>
                <c:pt idx="40">
                  <c:v>6.71</c:v>
                </c:pt>
                <c:pt idx="41">
                  <c:v>6.6850000000000005</c:v>
                </c:pt>
                <c:pt idx="42">
                  <c:v>6.86</c:v>
                </c:pt>
                <c:pt idx="43">
                  <c:v>6.8650000000000002</c:v>
                </c:pt>
                <c:pt idx="44">
                  <c:v>6.67</c:v>
                </c:pt>
                <c:pt idx="45">
                  <c:v>6.89</c:v>
                </c:pt>
                <c:pt idx="46">
                  <c:v>7.17</c:v>
                </c:pt>
                <c:pt idx="47">
                  <c:v>7.1849999999999996</c:v>
                </c:pt>
                <c:pt idx="48">
                  <c:v>7.2249999999999996</c:v>
                </c:pt>
                <c:pt idx="49">
                  <c:v>7.1749999999999998</c:v>
                </c:pt>
                <c:pt idx="50">
                  <c:v>7.35</c:v>
                </c:pt>
                <c:pt idx="51">
                  <c:v>7.41</c:v>
                </c:pt>
                <c:pt idx="52">
                  <c:v>7.2850000000000001</c:v>
                </c:pt>
                <c:pt idx="53">
                  <c:v>7.35</c:v>
                </c:pt>
                <c:pt idx="54">
                  <c:v>7.6449999999999996</c:v>
                </c:pt>
                <c:pt idx="55">
                  <c:v>8.0150000000000006</c:v>
                </c:pt>
                <c:pt idx="56">
                  <c:v>7.98</c:v>
                </c:pt>
                <c:pt idx="57">
                  <c:v>7.98</c:v>
                </c:pt>
                <c:pt idx="58">
                  <c:v>7.75</c:v>
                </c:pt>
                <c:pt idx="59">
                  <c:v>7.7549999999999999</c:v>
                </c:pt>
                <c:pt idx="60">
                  <c:v>7.82</c:v>
                </c:pt>
                <c:pt idx="61">
                  <c:v>7.6950000000000003</c:v>
                </c:pt>
                <c:pt idx="62">
                  <c:v>7.665</c:v>
                </c:pt>
                <c:pt idx="63">
                  <c:v>7.6950000000000003</c:v>
                </c:pt>
                <c:pt idx="64">
                  <c:v>7.8250000000000002</c:v>
                </c:pt>
                <c:pt idx="65">
                  <c:v>7.5949999999999998</c:v>
                </c:pt>
                <c:pt idx="66">
                  <c:v>7.5600000000000005</c:v>
                </c:pt>
                <c:pt idx="67">
                  <c:v>7.47</c:v>
                </c:pt>
                <c:pt idx="68">
                  <c:v>7.3849999999999998</c:v>
                </c:pt>
                <c:pt idx="69">
                  <c:v>7.43</c:v>
                </c:pt>
                <c:pt idx="70">
                  <c:v>7.39</c:v>
                </c:pt>
                <c:pt idx="71">
                  <c:v>7.28</c:v>
                </c:pt>
                <c:pt idx="72">
                  <c:v>7.3550000000000004</c:v>
                </c:pt>
                <c:pt idx="73">
                  <c:v>7.4249999999999998</c:v>
                </c:pt>
                <c:pt idx="74">
                  <c:v>7.49</c:v>
                </c:pt>
                <c:pt idx="75">
                  <c:v>7.38</c:v>
                </c:pt>
                <c:pt idx="76">
                  <c:v>7.17</c:v>
                </c:pt>
                <c:pt idx="77">
                  <c:v>6.915</c:v>
                </c:pt>
                <c:pt idx="78">
                  <c:v>7.08</c:v>
                </c:pt>
                <c:pt idx="79">
                  <c:v>6.9749999999999996</c:v>
                </c:pt>
                <c:pt idx="80">
                  <c:v>7.0149999999999997</c:v>
                </c:pt>
                <c:pt idx="81">
                  <c:v>7.07</c:v>
                </c:pt>
                <c:pt idx="82">
                  <c:v>6.76</c:v>
                </c:pt>
                <c:pt idx="83">
                  <c:v>7.0149999999999997</c:v>
                </c:pt>
                <c:pt idx="84">
                  <c:v>6.7649999999999997</c:v>
                </c:pt>
                <c:pt idx="85">
                  <c:v>6.8250000000000002</c:v>
                </c:pt>
                <c:pt idx="86">
                  <c:v>6.7450000000000001</c:v>
                </c:pt>
                <c:pt idx="87">
                  <c:v>6.8449999999999998</c:v>
                </c:pt>
                <c:pt idx="88">
                  <c:v>6.85</c:v>
                </c:pt>
                <c:pt idx="89">
                  <c:v>7.05</c:v>
                </c:pt>
                <c:pt idx="90">
                  <c:v>7.1</c:v>
                </c:pt>
                <c:pt idx="91">
                  <c:v>6.85</c:v>
                </c:pt>
                <c:pt idx="92">
                  <c:v>6.88</c:v>
                </c:pt>
                <c:pt idx="93">
                  <c:v>6.79</c:v>
                </c:pt>
                <c:pt idx="94">
                  <c:v>6.625</c:v>
                </c:pt>
                <c:pt idx="95">
                  <c:v>6.57</c:v>
                </c:pt>
                <c:pt idx="96">
                  <c:v>6.44</c:v>
                </c:pt>
                <c:pt idx="97">
                  <c:v>6.2850000000000001</c:v>
                </c:pt>
                <c:pt idx="98">
                  <c:v>5.98</c:v>
                </c:pt>
                <c:pt idx="99">
                  <c:v>5.915</c:v>
                </c:pt>
                <c:pt idx="100">
                  <c:v>6.02</c:v>
                </c:pt>
                <c:pt idx="101">
                  <c:v>5.9649999999999999</c:v>
                </c:pt>
                <c:pt idx="102">
                  <c:v>6.06</c:v>
                </c:pt>
                <c:pt idx="103">
                  <c:v>6.09</c:v>
                </c:pt>
                <c:pt idx="104">
                  <c:v>6.1749999999999998</c:v>
                </c:pt>
                <c:pt idx="105">
                  <c:v>6.31</c:v>
                </c:pt>
                <c:pt idx="106">
                  <c:v>6.39</c:v>
                </c:pt>
                <c:pt idx="107">
                  <c:v>6.37</c:v>
                </c:pt>
                <c:pt idx="108">
                  <c:v>6.55</c:v>
                </c:pt>
                <c:pt idx="109">
                  <c:v>6.5750000000000002</c:v>
                </c:pt>
                <c:pt idx="110">
                  <c:v>6.6850000000000005</c:v>
                </c:pt>
                <c:pt idx="111">
                  <c:v>6.85</c:v>
                </c:pt>
                <c:pt idx="112">
                  <c:v>6.8949999999999996</c:v>
                </c:pt>
                <c:pt idx="113">
                  <c:v>6.72</c:v>
                </c:pt>
                <c:pt idx="114">
                  <c:v>6.65</c:v>
                </c:pt>
                <c:pt idx="115">
                  <c:v>6.5449999999999999</c:v>
                </c:pt>
                <c:pt idx="116">
                  <c:v>6.5250000000000004</c:v>
                </c:pt>
                <c:pt idx="117">
                  <c:v>6.7949999999999999</c:v>
                </c:pt>
                <c:pt idx="118">
                  <c:v>7.11</c:v>
                </c:pt>
                <c:pt idx="119">
                  <c:v>7.24</c:v>
                </c:pt>
                <c:pt idx="120">
                  <c:v>7.22</c:v>
                </c:pt>
                <c:pt idx="121">
                  <c:v>7.1</c:v>
                </c:pt>
                <c:pt idx="122">
                  <c:v>7.13</c:v>
                </c:pt>
                <c:pt idx="123">
                  <c:v>7</c:v>
                </c:pt>
                <c:pt idx="124">
                  <c:v>7.0449999999999999</c:v>
                </c:pt>
                <c:pt idx="125">
                  <c:v>6.9350000000000005</c:v>
                </c:pt>
                <c:pt idx="126">
                  <c:v>6.8250000000000002</c:v>
                </c:pt>
                <c:pt idx="127">
                  <c:v>7.01</c:v>
                </c:pt>
                <c:pt idx="128">
                  <c:v>7.0750000000000002</c:v>
                </c:pt>
                <c:pt idx="129">
                  <c:v>7.09</c:v>
                </c:pt>
                <c:pt idx="130">
                  <c:v>6.88</c:v>
                </c:pt>
                <c:pt idx="131">
                  <c:v>6.7949999999999999</c:v>
                </c:pt>
                <c:pt idx="132">
                  <c:v>6.71</c:v>
                </c:pt>
                <c:pt idx="133">
                  <c:v>6.6550000000000002</c:v>
                </c:pt>
                <c:pt idx="134">
                  <c:v>6.77</c:v>
                </c:pt>
                <c:pt idx="135">
                  <c:v>6.5949999999999998</c:v>
                </c:pt>
                <c:pt idx="136">
                  <c:v>6.8100000000000005</c:v>
                </c:pt>
                <c:pt idx="137">
                  <c:v>6.91</c:v>
                </c:pt>
                <c:pt idx="138">
                  <c:v>6.64</c:v>
                </c:pt>
                <c:pt idx="139">
                  <c:v>6.7949999999999999</c:v>
                </c:pt>
                <c:pt idx="140">
                  <c:v>6.8100000000000005</c:v>
                </c:pt>
                <c:pt idx="141">
                  <c:v>6.67</c:v>
                </c:pt>
                <c:pt idx="142">
                  <c:v>6.6449999999999996</c:v>
                </c:pt>
                <c:pt idx="143">
                  <c:v>6.49</c:v>
                </c:pt>
                <c:pt idx="144">
                  <c:v>6.48</c:v>
                </c:pt>
                <c:pt idx="145">
                  <c:v>6.4450000000000003</c:v>
                </c:pt>
                <c:pt idx="146">
                  <c:v>6.415</c:v>
                </c:pt>
                <c:pt idx="147">
                  <c:v>6.0449999999999999</c:v>
                </c:pt>
                <c:pt idx="148">
                  <c:v>5.99</c:v>
                </c:pt>
                <c:pt idx="149">
                  <c:v>6.3</c:v>
                </c:pt>
                <c:pt idx="150">
                  <c:v>6.3550000000000004</c:v>
                </c:pt>
                <c:pt idx="151">
                  <c:v>6.63</c:v>
                </c:pt>
                <c:pt idx="152">
                  <c:v>6.665</c:v>
                </c:pt>
                <c:pt idx="153">
                  <c:v>6.7549999999999999</c:v>
                </c:pt>
                <c:pt idx="154">
                  <c:v>6.8650000000000002</c:v>
                </c:pt>
                <c:pt idx="155">
                  <c:v>6.6349999999999998</c:v>
                </c:pt>
                <c:pt idx="156">
                  <c:v>6.9450000000000003</c:v>
                </c:pt>
                <c:pt idx="157">
                  <c:v>6.8100000000000005</c:v>
                </c:pt>
                <c:pt idx="158">
                  <c:v>6.835</c:v>
                </c:pt>
                <c:pt idx="159">
                  <c:v>7.02</c:v>
                </c:pt>
                <c:pt idx="160">
                  <c:v>6.9450000000000003</c:v>
                </c:pt>
                <c:pt idx="161">
                  <c:v>6.82</c:v>
                </c:pt>
                <c:pt idx="162">
                  <c:v>7.0049999999999999</c:v>
                </c:pt>
                <c:pt idx="163">
                  <c:v>6.8849999999999998</c:v>
                </c:pt>
                <c:pt idx="164">
                  <c:v>6.835</c:v>
                </c:pt>
                <c:pt idx="165">
                  <c:v>6.7949999999999999</c:v>
                </c:pt>
                <c:pt idx="166">
                  <c:v>6.84</c:v>
                </c:pt>
                <c:pt idx="167">
                  <c:v>6.6050000000000004</c:v>
                </c:pt>
                <c:pt idx="168">
                  <c:v>6.67</c:v>
                </c:pt>
                <c:pt idx="169">
                  <c:v>6.72</c:v>
                </c:pt>
                <c:pt idx="170">
                  <c:v>6.8250000000000002</c:v>
                </c:pt>
                <c:pt idx="171">
                  <c:v>6.8250000000000002</c:v>
                </c:pt>
                <c:pt idx="172">
                  <c:v>6.915</c:v>
                </c:pt>
                <c:pt idx="173">
                  <c:v>6.83</c:v>
                </c:pt>
                <c:pt idx="174">
                  <c:v>7.06</c:v>
                </c:pt>
                <c:pt idx="175">
                  <c:v>7.0049999999999999</c:v>
                </c:pt>
                <c:pt idx="176">
                  <c:v>7.0750000000000002</c:v>
                </c:pt>
                <c:pt idx="177">
                  <c:v>7.085</c:v>
                </c:pt>
                <c:pt idx="178">
                  <c:v>7.24</c:v>
                </c:pt>
                <c:pt idx="179">
                  <c:v>7.2</c:v>
                </c:pt>
                <c:pt idx="180">
                  <c:v>7.19</c:v>
                </c:pt>
                <c:pt idx="181">
                  <c:v>7.19</c:v>
                </c:pt>
                <c:pt idx="182">
                  <c:v>7.31</c:v>
                </c:pt>
                <c:pt idx="183">
                  <c:v>7.02</c:v>
                </c:pt>
                <c:pt idx="184">
                  <c:v>7.38</c:v>
                </c:pt>
                <c:pt idx="185">
                  <c:v>7.41</c:v>
                </c:pt>
                <c:pt idx="186">
                  <c:v>7.1749999999999998</c:v>
                </c:pt>
                <c:pt idx="187">
                  <c:v>7.0250000000000004</c:v>
                </c:pt>
                <c:pt idx="188">
                  <c:v>6.82</c:v>
                </c:pt>
                <c:pt idx="189">
                  <c:v>6.625</c:v>
                </c:pt>
                <c:pt idx="190">
                  <c:v>6.4249999999999998</c:v>
                </c:pt>
                <c:pt idx="191">
                  <c:v>6.7050000000000001</c:v>
                </c:pt>
                <c:pt idx="192">
                  <c:v>6.6850000000000005</c:v>
                </c:pt>
                <c:pt idx="193">
                  <c:v>6.8449999999999998</c:v>
                </c:pt>
                <c:pt idx="194">
                  <c:v>6.73</c:v>
                </c:pt>
                <c:pt idx="195">
                  <c:v>6.7949999999999999</c:v>
                </c:pt>
                <c:pt idx="196">
                  <c:v>6.86</c:v>
                </c:pt>
                <c:pt idx="197">
                  <c:v>6.76</c:v>
                </c:pt>
                <c:pt idx="198">
                  <c:v>6.77</c:v>
                </c:pt>
                <c:pt idx="199">
                  <c:v>6.8650000000000002</c:v>
                </c:pt>
                <c:pt idx="200">
                  <c:v>6.5649999999999995</c:v>
                </c:pt>
                <c:pt idx="201">
                  <c:v>6.4749999999999996</c:v>
                </c:pt>
                <c:pt idx="202">
                  <c:v>6.4749999999999996</c:v>
                </c:pt>
                <c:pt idx="203">
                  <c:v>6.79</c:v>
                </c:pt>
                <c:pt idx="204">
                  <c:v>6.4649999999999999</c:v>
                </c:pt>
                <c:pt idx="205">
                  <c:v>6.54</c:v>
                </c:pt>
                <c:pt idx="206">
                  <c:v>6.64</c:v>
                </c:pt>
                <c:pt idx="207">
                  <c:v>6.5949999999999998</c:v>
                </c:pt>
                <c:pt idx="208">
                  <c:v>6.7249999999999996</c:v>
                </c:pt>
                <c:pt idx="209">
                  <c:v>6.8250000000000002</c:v>
                </c:pt>
                <c:pt idx="210">
                  <c:v>7.1349999999999998</c:v>
                </c:pt>
                <c:pt idx="211">
                  <c:v>7.13</c:v>
                </c:pt>
                <c:pt idx="212">
                  <c:v>7.23</c:v>
                </c:pt>
                <c:pt idx="213">
                  <c:v>7.36</c:v>
                </c:pt>
                <c:pt idx="214">
                  <c:v>7.34</c:v>
                </c:pt>
                <c:pt idx="215">
                  <c:v>7.5649999999999995</c:v>
                </c:pt>
                <c:pt idx="216">
                  <c:v>7.72</c:v>
                </c:pt>
                <c:pt idx="217">
                  <c:v>7.55</c:v>
                </c:pt>
                <c:pt idx="218">
                  <c:v>7.72</c:v>
                </c:pt>
                <c:pt idx="219">
                  <c:v>7.6899999999999995</c:v>
                </c:pt>
                <c:pt idx="220">
                  <c:v>7.7050000000000001</c:v>
                </c:pt>
                <c:pt idx="221">
                  <c:v>7.85</c:v>
                </c:pt>
                <c:pt idx="222">
                  <c:v>7.8550000000000004</c:v>
                </c:pt>
                <c:pt idx="223">
                  <c:v>7.6749999999999998</c:v>
                </c:pt>
                <c:pt idx="224">
                  <c:v>7.6749999999999998</c:v>
                </c:pt>
                <c:pt idx="225">
                  <c:v>7.4950000000000001</c:v>
                </c:pt>
                <c:pt idx="226">
                  <c:v>7.83</c:v>
                </c:pt>
                <c:pt idx="227">
                  <c:v>7.7350000000000003</c:v>
                </c:pt>
                <c:pt idx="228">
                  <c:v>7.9950000000000001</c:v>
                </c:pt>
                <c:pt idx="229">
                  <c:v>7.9450000000000003</c:v>
                </c:pt>
                <c:pt idx="230">
                  <c:v>8.0850000000000009</c:v>
                </c:pt>
                <c:pt idx="231">
                  <c:v>8.0649999999999995</c:v>
                </c:pt>
                <c:pt idx="232">
                  <c:v>8.1449999999999996</c:v>
                </c:pt>
                <c:pt idx="233">
                  <c:v>8.1750000000000007</c:v>
                </c:pt>
                <c:pt idx="234">
                  <c:v>8.2050000000000001</c:v>
                </c:pt>
                <c:pt idx="235">
                  <c:v>8.2650000000000006</c:v>
                </c:pt>
                <c:pt idx="236">
                  <c:v>8.2850000000000001</c:v>
                </c:pt>
                <c:pt idx="237">
                  <c:v>8.0649999999999995</c:v>
                </c:pt>
                <c:pt idx="238">
                  <c:v>8.2249999999999996</c:v>
                </c:pt>
                <c:pt idx="239">
                  <c:v>8.2349999999999994</c:v>
                </c:pt>
                <c:pt idx="240">
                  <c:v>8.2200000000000006</c:v>
                </c:pt>
                <c:pt idx="241">
                  <c:v>8.1</c:v>
                </c:pt>
                <c:pt idx="242">
                  <c:v>8.1999999999999993</c:v>
                </c:pt>
                <c:pt idx="243">
                  <c:v>8.4250000000000007</c:v>
                </c:pt>
                <c:pt idx="244">
                  <c:v>8.3450000000000006</c:v>
                </c:pt>
                <c:pt idx="245">
                  <c:v>8.3249999999999993</c:v>
                </c:pt>
                <c:pt idx="246">
                  <c:v>8.2799999999999994</c:v>
                </c:pt>
                <c:pt idx="247">
                  <c:v>8.4550000000000001</c:v>
                </c:pt>
                <c:pt idx="248">
                  <c:v>8.4849999999999994</c:v>
                </c:pt>
                <c:pt idx="249">
                  <c:v>8.7750000000000004</c:v>
                </c:pt>
                <c:pt idx="250">
                  <c:v>8.7449999999999992</c:v>
                </c:pt>
                <c:pt idx="251">
                  <c:v>8.6349999999999998</c:v>
                </c:pt>
                <c:pt idx="252">
                  <c:v>8.56</c:v>
                </c:pt>
                <c:pt idx="253">
                  <c:v>8.69</c:v>
                </c:pt>
                <c:pt idx="254">
                  <c:v>8.7200000000000006</c:v>
                </c:pt>
                <c:pt idx="255">
                  <c:v>8.7149999999999999</c:v>
                </c:pt>
                <c:pt idx="256">
                  <c:v>8.9600000000000009</c:v>
                </c:pt>
                <c:pt idx="257">
                  <c:v>8.94</c:v>
                </c:pt>
                <c:pt idx="258">
                  <c:v>8.6999999999999993</c:v>
                </c:pt>
                <c:pt idx="259">
                  <c:v>8.7949999999999999</c:v>
                </c:pt>
                <c:pt idx="260">
                  <c:v>9</c:v>
                </c:pt>
                <c:pt idx="261">
                  <c:v>8.9350000000000005</c:v>
                </c:pt>
                <c:pt idx="262">
                  <c:v>8.9450000000000003</c:v>
                </c:pt>
                <c:pt idx="263">
                  <c:v>8.9250000000000007</c:v>
                </c:pt>
                <c:pt idx="264">
                  <c:v>9.0649999999999995</c:v>
                </c:pt>
                <c:pt idx="265">
                  <c:v>8.9499999999999993</c:v>
                </c:pt>
                <c:pt idx="266">
                  <c:v>9.1300000000000008</c:v>
                </c:pt>
                <c:pt idx="267">
                  <c:v>9.1300000000000008</c:v>
                </c:pt>
                <c:pt idx="268">
                  <c:v>9.0850000000000009</c:v>
                </c:pt>
                <c:pt idx="269">
                  <c:v>8.9</c:v>
                </c:pt>
                <c:pt idx="270">
                  <c:v>8.9700000000000006</c:v>
                </c:pt>
                <c:pt idx="271">
                  <c:v>8.8049999999999997</c:v>
                </c:pt>
                <c:pt idx="272">
                  <c:v>8.5299999999999994</c:v>
                </c:pt>
                <c:pt idx="273">
                  <c:v>8.6199999999999992</c:v>
                </c:pt>
                <c:pt idx="274">
                  <c:v>8.5850000000000009</c:v>
                </c:pt>
                <c:pt idx="275">
                  <c:v>8.5500000000000007</c:v>
                </c:pt>
                <c:pt idx="276">
                  <c:v>8.49</c:v>
                </c:pt>
                <c:pt idx="277">
                  <c:v>8.5</c:v>
                </c:pt>
                <c:pt idx="278">
                  <c:v>8.8000000000000007</c:v>
                </c:pt>
                <c:pt idx="279">
                  <c:v>8.6</c:v>
                </c:pt>
                <c:pt idx="280">
                  <c:v>8.5050000000000008</c:v>
                </c:pt>
                <c:pt idx="281">
                  <c:v>8.7200000000000006</c:v>
                </c:pt>
                <c:pt idx="282">
                  <c:v>8.77</c:v>
                </c:pt>
                <c:pt idx="283">
                  <c:v>8.5050000000000008</c:v>
                </c:pt>
                <c:pt idx="284">
                  <c:v>8.6199999999999992</c:v>
                </c:pt>
                <c:pt idx="285">
                  <c:v>8.6</c:v>
                </c:pt>
                <c:pt idx="286">
                  <c:v>8.9600000000000009</c:v>
                </c:pt>
                <c:pt idx="287">
                  <c:v>8.9649999999999999</c:v>
                </c:pt>
                <c:pt idx="288">
                  <c:v>8.9250000000000007</c:v>
                </c:pt>
                <c:pt idx="289">
                  <c:v>9.0649999999999995</c:v>
                </c:pt>
                <c:pt idx="290">
                  <c:v>9.2200000000000006</c:v>
                </c:pt>
                <c:pt idx="291">
                  <c:v>9.25</c:v>
                </c:pt>
                <c:pt idx="292">
                  <c:v>9.1750000000000007</c:v>
                </c:pt>
                <c:pt idx="293">
                  <c:v>9.48</c:v>
                </c:pt>
                <c:pt idx="294">
                  <c:v>9.4949999999999992</c:v>
                </c:pt>
                <c:pt idx="295">
                  <c:v>9.33</c:v>
                </c:pt>
                <c:pt idx="296">
                  <c:v>9.3800000000000008</c:v>
                </c:pt>
                <c:pt idx="297">
                  <c:v>9.2100000000000009</c:v>
                </c:pt>
                <c:pt idx="298">
                  <c:v>9.24</c:v>
                </c:pt>
                <c:pt idx="299">
                  <c:v>9.5549999999999997</c:v>
                </c:pt>
                <c:pt idx="300">
                  <c:v>9.4450000000000003</c:v>
                </c:pt>
                <c:pt idx="301">
                  <c:v>9.3699999999999992</c:v>
                </c:pt>
                <c:pt idx="302">
                  <c:v>9.3249999999999993</c:v>
                </c:pt>
                <c:pt idx="303">
                  <c:v>9.4</c:v>
                </c:pt>
                <c:pt idx="304">
                  <c:v>9.4</c:v>
                </c:pt>
                <c:pt idx="305">
                  <c:v>9.4600000000000009</c:v>
                </c:pt>
                <c:pt idx="306">
                  <c:v>9.1300000000000008</c:v>
                </c:pt>
                <c:pt idx="307">
                  <c:v>8.875</c:v>
                </c:pt>
                <c:pt idx="308">
                  <c:v>8.8249999999999993</c:v>
                </c:pt>
                <c:pt idx="309">
                  <c:v>9.0500000000000007</c:v>
                </c:pt>
                <c:pt idx="310">
                  <c:v>9.0150000000000006</c:v>
                </c:pt>
                <c:pt idx="311">
                  <c:v>8.9550000000000001</c:v>
                </c:pt>
                <c:pt idx="312">
                  <c:v>8.6649999999999991</c:v>
                </c:pt>
                <c:pt idx="313">
                  <c:v>8.7200000000000006</c:v>
                </c:pt>
                <c:pt idx="314">
                  <c:v>8.6150000000000002</c:v>
                </c:pt>
                <c:pt idx="315">
                  <c:v>8.6549999999999994</c:v>
                </c:pt>
                <c:pt idx="316">
                  <c:v>8.7750000000000004</c:v>
                </c:pt>
                <c:pt idx="317">
                  <c:v>9.3000000000000007</c:v>
                </c:pt>
                <c:pt idx="318">
                  <c:v>9.2349999999999994</c:v>
                </c:pt>
                <c:pt idx="319">
                  <c:v>9.2349999999999994</c:v>
                </c:pt>
                <c:pt idx="320">
                  <c:v>9.3800000000000008</c:v>
                </c:pt>
                <c:pt idx="321">
                  <c:v>9.4550000000000001</c:v>
                </c:pt>
                <c:pt idx="322">
                  <c:v>8.8350000000000009</c:v>
                </c:pt>
                <c:pt idx="323">
                  <c:v>8.7949999999999999</c:v>
                </c:pt>
                <c:pt idx="324">
                  <c:v>9.0299999999999994</c:v>
                </c:pt>
                <c:pt idx="325">
                  <c:v>8.85</c:v>
                </c:pt>
                <c:pt idx="326">
                  <c:v>8.75</c:v>
                </c:pt>
                <c:pt idx="327">
                  <c:v>8.4600000000000009</c:v>
                </c:pt>
                <c:pt idx="328">
                  <c:v>8.1649999999999991</c:v>
                </c:pt>
                <c:pt idx="329">
                  <c:v>8.4250000000000007</c:v>
                </c:pt>
                <c:pt idx="330">
                  <c:v>8.7100000000000009</c:v>
                </c:pt>
                <c:pt idx="331">
                  <c:v>8.84</c:v>
                </c:pt>
                <c:pt idx="332">
                  <c:v>8.9</c:v>
                </c:pt>
                <c:pt idx="333">
                  <c:v>8.8450000000000006</c:v>
                </c:pt>
                <c:pt idx="334">
                  <c:v>8.9499999999999993</c:v>
                </c:pt>
                <c:pt idx="335">
                  <c:v>9.1300000000000008</c:v>
                </c:pt>
                <c:pt idx="336">
                  <c:v>9.1</c:v>
                </c:pt>
                <c:pt idx="337">
                  <c:v>9.4749999999999996</c:v>
                </c:pt>
                <c:pt idx="338">
                  <c:v>9.36</c:v>
                </c:pt>
                <c:pt idx="339">
                  <c:v>9.51</c:v>
                </c:pt>
                <c:pt idx="340">
                  <c:v>9.6449999999999996</c:v>
                </c:pt>
                <c:pt idx="341">
                  <c:v>9.5399999999999991</c:v>
                </c:pt>
                <c:pt idx="342">
                  <c:v>9.1999999999999993</c:v>
                </c:pt>
                <c:pt idx="343">
                  <c:v>9.5500000000000007</c:v>
                </c:pt>
                <c:pt idx="344">
                  <c:v>9.61</c:v>
                </c:pt>
                <c:pt idx="345">
                  <c:v>9.6150000000000002</c:v>
                </c:pt>
                <c:pt idx="346">
                  <c:v>9.9149999999999991</c:v>
                </c:pt>
                <c:pt idx="347">
                  <c:v>9.8949999999999996</c:v>
                </c:pt>
                <c:pt idx="348">
                  <c:v>9.76</c:v>
                </c:pt>
                <c:pt idx="349">
                  <c:v>9.94</c:v>
                </c:pt>
                <c:pt idx="350">
                  <c:v>9.82</c:v>
                </c:pt>
                <c:pt idx="351">
                  <c:v>9.6199999999999992</c:v>
                </c:pt>
                <c:pt idx="352">
                  <c:v>9.75</c:v>
                </c:pt>
                <c:pt idx="353">
                  <c:v>9.73</c:v>
                </c:pt>
                <c:pt idx="354">
                  <c:v>9.43</c:v>
                </c:pt>
                <c:pt idx="355">
                  <c:v>9.7149999999999999</c:v>
                </c:pt>
                <c:pt idx="356">
                  <c:v>9.7449999999999992</c:v>
                </c:pt>
                <c:pt idx="357">
                  <c:v>9.7949999999999999</c:v>
                </c:pt>
                <c:pt idx="358">
                  <c:v>9.8550000000000004</c:v>
                </c:pt>
                <c:pt idx="359">
                  <c:v>9.6750000000000007</c:v>
                </c:pt>
                <c:pt idx="360">
                  <c:v>9.4550000000000001</c:v>
                </c:pt>
                <c:pt idx="361">
                  <c:v>9.0150000000000006</c:v>
                </c:pt>
                <c:pt idx="362">
                  <c:v>8.4949999999999992</c:v>
                </c:pt>
                <c:pt idx="363">
                  <c:v>8.84</c:v>
                </c:pt>
                <c:pt idx="364">
                  <c:v>8.8650000000000002</c:v>
                </c:pt>
                <c:pt idx="365">
                  <c:v>9.1199999999999992</c:v>
                </c:pt>
                <c:pt idx="366">
                  <c:v>9.0250000000000004</c:v>
                </c:pt>
                <c:pt idx="367">
                  <c:v>8.9499999999999993</c:v>
                </c:pt>
                <c:pt idx="368">
                  <c:v>8.7249999999999996</c:v>
                </c:pt>
                <c:pt idx="369">
                  <c:v>8.81</c:v>
                </c:pt>
                <c:pt idx="370">
                  <c:v>9.0749999999999993</c:v>
                </c:pt>
                <c:pt idx="371">
                  <c:v>8.7149999999999999</c:v>
                </c:pt>
                <c:pt idx="372">
                  <c:v>8.7050000000000001</c:v>
                </c:pt>
                <c:pt idx="373">
                  <c:v>8.9350000000000005</c:v>
                </c:pt>
                <c:pt idx="374">
                  <c:v>8.9649999999999999</c:v>
                </c:pt>
                <c:pt idx="375">
                  <c:v>8.98</c:v>
                </c:pt>
                <c:pt idx="376">
                  <c:v>8.8699999999999992</c:v>
                </c:pt>
                <c:pt idx="377">
                  <c:v>8.7850000000000001</c:v>
                </c:pt>
                <c:pt idx="378">
                  <c:v>8.9049999999999994</c:v>
                </c:pt>
                <c:pt idx="379">
                  <c:v>8.9649999999999999</c:v>
                </c:pt>
                <c:pt idx="380">
                  <c:v>9.0350000000000001</c:v>
                </c:pt>
                <c:pt idx="381">
                  <c:v>8.83</c:v>
                </c:pt>
                <c:pt idx="382">
                  <c:v>8.9550000000000001</c:v>
                </c:pt>
                <c:pt idx="383">
                  <c:v>8.6199999999999992</c:v>
                </c:pt>
                <c:pt idx="384">
                  <c:v>8.52</c:v>
                </c:pt>
                <c:pt idx="385">
                  <c:v>8.5299999999999994</c:v>
                </c:pt>
                <c:pt idx="386">
                  <c:v>8.8249999999999993</c:v>
                </c:pt>
                <c:pt idx="387">
                  <c:v>8.7799999999999994</c:v>
                </c:pt>
                <c:pt idx="388">
                  <c:v>8.66</c:v>
                </c:pt>
                <c:pt idx="389">
                  <c:v>8.7899999999999991</c:v>
                </c:pt>
                <c:pt idx="390">
                  <c:v>8.7949999999999999</c:v>
                </c:pt>
                <c:pt idx="391">
                  <c:v>8.9149999999999991</c:v>
                </c:pt>
                <c:pt idx="392">
                  <c:v>9.25</c:v>
                </c:pt>
                <c:pt idx="393">
                  <c:v>9.34</c:v>
                </c:pt>
                <c:pt idx="394">
                  <c:v>9.1850000000000005</c:v>
                </c:pt>
                <c:pt idx="395">
                  <c:v>9.1199999999999992</c:v>
                </c:pt>
                <c:pt idx="396">
                  <c:v>9.02</c:v>
                </c:pt>
                <c:pt idx="397">
                  <c:v>8.8450000000000006</c:v>
                </c:pt>
                <c:pt idx="398">
                  <c:v>8.92</c:v>
                </c:pt>
                <c:pt idx="399">
                  <c:v>8.77</c:v>
                </c:pt>
                <c:pt idx="400">
                  <c:v>8.89</c:v>
                </c:pt>
                <c:pt idx="401">
                  <c:v>8.99</c:v>
                </c:pt>
                <c:pt idx="402">
                  <c:v>9.1999999999999993</c:v>
                </c:pt>
                <c:pt idx="403">
                  <c:v>9.16</c:v>
                </c:pt>
                <c:pt idx="404">
                  <c:v>9.14</c:v>
                </c:pt>
                <c:pt idx="405">
                  <c:v>9.2550000000000008</c:v>
                </c:pt>
                <c:pt idx="406">
                  <c:v>9.32</c:v>
                </c:pt>
                <c:pt idx="407">
                  <c:v>9.1300000000000008</c:v>
                </c:pt>
                <c:pt idx="408">
                  <c:v>9.15</c:v>
                </c:pt>
                <c:pt idx="409">
                  <c:v>9.2850000000000001</c:v>
                </c:pt>
                <c:pt idx="410">
                  <c:v>9.15</c:v>
                </c:pt>
                <c:pt idx="411">
                  <c:v>9.15</c:v>
                </c:pt>
                <c:pt idx="412">
                  <c:v>9.23</c:v>
                </c:pt>
                <c:pt idx="413">
                  <c:v>9.33</c:v>
                </c:pt>
                <c:pt idx="414">
                  <c:v>9.2100000000000009</c:v>
                </c:pt>
                <c:pt idx="415">
                  <c:v>9.1449999999999996</c:v>
                </c:pt>
                <c:pt idx="416">
                  <c:v>9.2949999999999999</c:v>
                </c:pt>
                <c:pt idx="417">
                  <c:v>9.1300000000000008</c:v>
                </c:pt>
                <c:pt idx="418">
                  <c:v>9.16</c:v>
                </c:pt>
                <c:pt idx="419">
                  <c:v>9.2799999999999994</c:v>
                </c:pt>
                <c:pt idx="420">
                  <c:v>9.1449999999999996</c:v>
                </c:pt>
                <c:pt idx="421">
                  <c:v>9.1349999999999998</c:v>
                </c:pt>
                <c:pt idx="422">
                  <c:v>9.1449999999999996</c:v>
                </c:pt>
                <c:pt idx="423">
                  <c:v>9.31</c:v>
                </c:pt>
                <c:pt idx="424">
                  <c:v>9.19</c:v>
                </c:pt>
                <c:pt idx="425">
                  <c:v>9.3450000000000006</c:v>
                </c:pt>
                <c:pt idx="426">
                  <c:v>9.2050000000000001</c:v>
                </c:pt>
                <c:pt idx="427">
                  <c:v>9.15</c:v>
                </c:pt>
                <c:pt idx="428">
                  <c:v>8.9749999999999996</c:v>
                </c:pt>
                <c:pt idx="429">
                  <c:v>9.07</c:v>
                </c:pt>
                <c:pt idx="430">
                  <c:v>9.1050000000000004</c:v>
                </c:pt>
                <c:pt idx="431">
                  <c:v>9.0350000000000001</c:v>
                </c:pt>
                <c:pt idx="432">
                  <c:v>9.07</c:v>
                </c:pt>
                <c:pt idx="433">
                  <c:v>9.0749999999999993</c:v>
                </c:pt>
                <c:pt idx="434">
                  <c:v>9.0950000000000006</c:v>
                </c:pt>
                <c:pt idx="435">
                  <c:v>9.0399999999999991</c:v>
                </c:pt>
                <c:pt idx="436">
                  <c:v>8.9949999999999992</c:v>
                </c:pt>
                <c:pt idx="437">
                  <c:v>8.9700000000000006</c:v>
                </c:pt>
                <c:pt idx="438">
                  <c:v>8.73</c:v>
                </c:pt>
                <c:pt idx="439">
                  <c:v>8.6300000000000008</c:v>
                </c:pt>
                <c:pt idx="440">
                  <c:v>8.6150000000000002</c:v>
                </c:pt>
                <c:pt idx="441">
                  <c:v>8.43</c:v>
                </c:pt>
                <c:pt idx="442">
                  <c:v>8.2449999999999992</c:v>
                </c:pt>
                <c:pt idx="443">
                  <c:v>8.58</c:v>
                </c:pt>
                <c:pt idx="444">
                  <c:v>8.6199999999999992</c:v>
                </c:pt>
                <c:pt idx="445">
                  <c:v>8.81</c:v>
                </c:pt>
                <c:pt idx="446">
                  <c:v>8.7349999999999994</c:v>
                </c:pt>
                <c:pt idx="447">
                  <c:v>8.7750000000000004</c:v>
                </c:pt>
                <c:pt idx="448">
                  <c:v>8.6999999999999993</c:v>
                </c:pt>
                <c:pt idx="449">
                  <c:v>8.8350000000000009</c:v>
                </c:pt>
                <c:pt idx="450">
                  <c:v>8.84</c:v>
                </c:pt>
                <c:pt idx="451">
                  <c:v>8.9450000000000003</c:v>
                </c:pt>
                <c:pt idx="452">
                  <c:v>8.8849999999999998</c:v>
                </c:pt>
                <c:pt idx="453">
                  <c:v>8.59</c:v>
                </c:pt>
                <c:pt idx="454">
                  <c:v>8.58</c:v>
                </c:pt>
                <c:pt idx="455">
                  <c:v>8.3650000000000002</c:v>
                </c:pt>
                <c:pt idx="456">
                  <c:v>8.2050000000000001</c:v>
                </c:pt>
                <c:pt idx="457">
                  <c:v>8.0050000000000008</c:v>
                </c:pt>
                <c:pt idx="458">
                  <c:v>7.96</c:v>
                </c:pt>
                <c:pt idx="459">
                  <c:v>8.15</c:v>
                </c:pt>
                <c:pt idx="460">
                  <c:v>8.24</c:v>
                </c:pt>
                <c:pt idx="461">
                  <c:v>8.14</c:v>
                </c:pt>
                <c:pt idx="462">
                  <c:v>7.83</c:v>
                </c:pt>
                <c:pt idx="463">
                  <c:v>7.4550000000000001</c:v>
                </c:pt>
                <c:pt idx="464">
                  <c:v>7.61</c:v>
                </c:pt>
                <c:pt idx="465">
                  <c:v>7.3049999999999997</c:v>
                </c:pt>
                <c:pt idx="466">
                  <c:v>7.71</c:v>
                </c:pt>
                <c:pt idx="467">
                  <c:v>7.7350000000000003</c:v>
                </c:pt>
                <c:pt idx="468">
                  <c:v>7.4850000000000003</c:v>
                </c:pt>
                <c:pt idx="469">
                  <c:v>7.6050000000000004</c:v>
                </c:pt>
                <c:pt idx="470">
                  <c:v>7.49</c:v>
                </c:pt>
                <c:pt idx="471">
                  <c:v>7.08</c:v>
                </c:pt>
                <c:pt idx="472">
                  <c:v>7.3650000000000002</c:v>
                </c:pt>
                <c:pt idx="473">
                  <c:v>7.1349999999999998</c:v>
                </c:pt>
                <c:pt idx="474">
                  <c:v>6.9399999999999995</c:v>
                </c:pt>
                <c:pt idx="475">
                  <c:v>6.625</c:v>
                </c:pt>
                <c:pt idx="476">
                  <c:v>6.77</c:v>
                </c:pt>
                <c:pt idx="477">
                  <c:v>6.6</c:v>
                </c:pt>
                <c:pt idx="478">
                  <c:v>5.9850000000000003</c:v>
                </c:pt>
                <c:pt idx="479">
                  <c:v>5.65</c:v>
                </c:pt>
                <c:pt idx="480">
                  <c:v>6.0750000000000002</c:v>
                </c:pt>
                <c:pt idx="481">
                  <c:v>5.7549999999999999</c:v>
                </c:pt>
                <c:pt idx="482">
                  <c:v>5.8650000000000002</c:v>
                </c:pt>
                <c:pt idx="483">
                  <c:v>6.0350000000000001</c:v>
                </c:pt>
                <c:pt idx="484">
                  <c:v>6.09</c:v>
                </c:pt>
                <c:pt idx="485">
                  <c:v>6.2050000000000001</c:v>
                </c:pt>
                <c:pt idx="486">
                  <c:v>6.0250000000000004</c:v>
                </c:pt>
                <c:pt idx="487">
                  <c:v>5.9749999999999996</c:v>
                </c:pt>
                <c:pt idx="488">
                  <c:v>6.2149999999999999</c:v>
                </c:pt>
                <c:pt idx="489">
                  <c:v>6.06</c:v>
                </c:pt>
                <c:pt idx="490">
                  <c:v>5.9950000000000001</c:v>
                </c:pt>
                <c:pt idx="491">
                  <c:v>6.08</c:v>
                </c:pt>
                <c:pt idx="492">
                  <c:v>6.2350000000000003</c:v>
                </c:pt>
                <c:pt idx="493">
                  <c:v>6.26</c:v>
                </c:pt>
                <c:pt idx="494">
                  <c:v>6.5149999999999997</c:v>
                </c:pt>
                <c:pt idx="495">
                  <c:v>6.7649999999999997</c:v>
                </c:pt>
                <c:pt idx="496">
                  <c:v>6.79</c:v>
                </c:pt>
                <c:pt idx="497">
                  <c:v>6.66</c:v>
                </c:pt>
                <c:pt idx="498">
                  <c:v>6.47</c:v>
                </c:pt>
                <c:pt idx="499">
                  <c:v>6.5549999999999997</c:v>
                </c:pt>
                <c:pt idx="500">
                  <c:v>6.5750000000000002</c:v>
                </c:pt>
                <c:pt idx="501">
                  <c:v>6.6749999999999998</c:v>
                </c:pt>
                <c:pt idx="502">
                  <c:v>7.2549999999999999</c:v>
                </c:pt>
                <c:pt idx="503">
                  <c:v>7.33</c:v>
                </c:pt>
                <c:pt idx="504">
                  <c:v>7.085</c:v>
                </c:pt>
                <c:pt idx="505">
                  <c:v>7.1150000000000002</c:v>
                </c:pt>
                <c:pt idx="506">
                  <c:v>6.68</c:v>
                </c:pt>
                <c:pt idx="507">
                  <c:v>6.74</c:v>
                </c:pt>
                <c:pt idx="508">
                  <c:v>6.7750000000000004</c:v>
                </c:pt>
                <c:pt idx="509">
                  <c:v>6.65</c:v>
                </c:pt>
                <c:pt idx="510">
                  <c:v>6.6050000000000004</c:v>
                </c:pt>
                <c:pt idx="511">
                  <c:v>6.42</c:v>
                </c:pt>
                <c:pt idx="512">
                  <c:v>6.46</c:v>
                </c:pt>
                <c:pt idx="513">
                  <c:v>6.33</c:v>
                </c:pt>
                <c:pt idx="514">
                  <c:v>6.33</c:v>
                </c:pt>
                <c:pt idx="515">
                  <c:v>6.2750000000000004</c:v>
                </c:pt>
                <c:pt idx="516">
                  <c:v>6.34</c:v>
                </c:pt>
                <c:pt idx="517">
                  <c:v>6.22</c:v>
                </c:pt>
                <c:pt idx="518">
                  <c:v>6.28</c:v>
                </c:pt>
                <c:pt idx="519">
                  <c:v>5.9649999999999999</c:v>
                </c:pt>
                <c:pt idx="520">
                  <c:v>6.31</c:v>
                </c:pt>
                <c:pt idx="521">
                  <c:v>6.38</c:v>
                </c:pt>
                <c:pt idx="522">
                  <c:v>6.2450000000000001</c:v>
                </c:pt>
                <c:pt idx="523">
                  <c:v>6.57</c:v>
                </c:pt>
                <c:pt idx="524">
                  <c:v>6.6899999999999995</c:v>
                </c:pt>
                <c:pt idx="525">
                  <c:v>6.57</c:v>
                </c:pt>
                <c:pt idx="526">
                  <c:v>6.68</c:v>
                </c:pt>
                <c:pt idx="527">
                  <c:v>6.58</c:v>
                </c:pt>
                <c:pt idx="528">
                  <c:v>6.79</c:v>
                </c:pt>
                <c:pt idx="529">
                  <c:v>7</c:v>
                </c:pt>
                <c:pt idx="530">
                  <c:v>7.3049999999999997</c:v>
                </c:pt>
                <c:pt idx="531">
                  <c:v>7.0049999999999999</c:v>
                </c:pt>
                <c:pt idx="532">
                  <c:v>7.23</c:v>
                </c:pt>
                <c:pt idx="533">
                  <c:v>7.26</c:v>
                </c:pt>
                <c:pt idx="534">
                  <c:v>7.2750000000000004</c:v>
                </c:pt>
                <c:pt idx="535">
                  <c:v>7.1749999999999998</c:v>
                </c:pt>
                <c:pt idx="536">
                  <c:v>6.97</c:v>
                </c:pt>
                <c:pt idx="537">
                  <c:v>6.7050000000000001</c:v>
                </c:pt>
                <c:pt idx="538">
                  <c:v>6.65</c:v>
                </c:pt>
                <c:pt idx="539">
                  <c:v>6.43</c:v>
                </c:pt>
                <c:pt idx="540">
                  <c:v>6.375</c:v>
                </c:pt>
                <c:pt idx="541">
                  <c:v>6.2450000000000001</c:v>
                </c:pt>
                <c:pt idx="542">
                  <c:v>6.2949999999999999</c:v>
                </c:pt>
                <c:pt idx="543">
                  <c:v>6.4050000000000002</c:v>
                </c:pt>
                <c:pt idx="544">
                  <c:v>6.45</c:v>
                </c:pt>
                <c:pt idx="545">
                  <c:v>6.51</c:v>
                </c:pt>
                <c:pt idx="546">
                  <c:v>6.49</c:v>
                </c:pt>
                <c:pt idx="547">
                  <c:v>6.4649999999999999</c:v>
                </c:pt>
                <c:pt idx="548">
                  <c:v>6.585</c:v>
                </c:pt>
                <c:pt idx="549">
                  <c:v>6.585</c:v>
                </c:pt>
                <c:pt idx="550">
                  <c:v>6.6449999999999996</c:v>
                </c:pt>
                <c:pt idx="551">
                  <c:v>6.58</c:v>
                </c:pt>
                <c:pt idx="552">
                  <c:v>6.98</c:v>
                </c:pt>
                <c:pt idx="553">
                  <c:v>7.14</c:v>
                </c:pt>
                <c:pt idx="554">
                  <c:v>7.125</c:v>
                </c:pt>
                <c:pt idx="555">
                  <c:v>7.21</c:v>
                </c:pt>
                <c:pt idx="556">
                  <c:v>7.19</c:v>
                </c:pt>
                <c:pt idx="557">
                  <c:v>6.97</c:v>
                </c:pt>
                <c:pt idx="558">
                  <c:v>6.84</c:v>
                </c:pt>
                <c:pt idx="559">
                  <c:v>6.7949999999999999</c:v>
                </c:pt>
                <c:pt idx="560">
                  <c:v>6.62</c:v>
                </c:pt>
                <c:pt idx="561">
                  <c:v>6.57</c:v>
                </c:pt>
                <c:pt idx="562">
                  <c:v>6.68</c:v>
                </c:pt>
                <c:pt idx="563">
                  <c:v>6.5949999999999998</c:v>
                </c:pt>
                <c:pt idx="564">
                  <c:v>6.48</c:v>
                </c:pt>
                <c:pt idx="565">
                  <c:v>6.125</c:v>
                </c:pt>
                <c:pt idx="566">
                  <c:v>5.8250000000000002</c:v>
                </c:pt>
                <c:pt idx="567">
                  <c:v>5.6050000000000004</c:v>
                </c:pt>
                <c:pt idx="568">
                  <c:v>5.76</c:v>
                </c:pt>
                <c:pt idx="569">
                  <c:v>5.74</c:v>
                </c:pt>
                <c:pt idx="570">
                  <c:v>5.97</c:v>
                </c:pt>
                <c:pt idx="571">
                  <c:v>6.3</c:v>
                </c:pt>
                <c:pt idx="572">
                  <c:v>6.3849999999999998</c:v>
                </c:pt>
                <c:pt idx="573">
                  <c:v>6.3449999999999998</c:v>
                </c:pt>
                <c:pt idx="574">
                  <c:v>6.74</c:v>
                </c:pt>
                <c:pt idx="575">
                  <c:v>5.31</c:v>
                </c:pt>
                <c:pt idx="576">
                  <c:v>4.6319999999999997</c:v>
                </c:pt>
                <c:pt idx="577">
                  <c:v>4.9000000000000004</c:v>
                </c:pt>
                <c:pt idx="578">
                  <c:v>5.07</c:v>
                </c:pt>
                <c:pt idx="579">
                  <c:v>5.1550000000000002</c:v>
                </c:pt>
                <c:pt idx="580">
                  <c:v>5.2050000000000001</c:v>
                </c:pt>
                <c:pt idx="581">
                  <c:v>4.9859999999999998</c:v>
                </c:pt>
                <c:pt idx="582">
                  <c:v>4.8259999999999996</c:v>
                </c:pt>
                <c:pt idx="583">
                  <c:v>4.7119999999999997</c:v>
                </c:pt>
                <c:pt idx="584">
                  <c:v>4.8739999999999997</c:v>
                </c:pt>
                <c:pt idx="585">
                  <c:v>5.29</c:v>
                </c:pt>
                <c:pt idx="586">
                  <c:v>5.31</c:v>
                </c:pt>
                <c:pt idx="587">
                  <c:v>5.7</c:v>
                </c:pt>
                <c:pt idx="588">
                  <c:v>5.7450000000000001</c:v>
                </c:pt>
                <c:pt idx="589">
                  <c:v>5.92</c:v>
                </c:pt>
                <c:pt idx="590">
                  <c:v>5.835</c:v>
                </c:pt>
                <c:pt idx="591">
                  <c:v>5.9350000000000005</c:v>
                </c:pt>
                <c:pt idx="592">
                  <c:v>5.88</c:v>
                </c:pt>
                <c:pt idx="593">
                  <c:v>5.95</c:v>
                </c:pt>
                <c:pt idx="594">
                  <c:v>5.9950000000000001</c:v>
                </c:pt>
                <c:pt idx="595">
                  <c:v>5.9399999999999995</c:v>
                </c:pt>
                <c:pt idx="596">
                  <c:v>5.99</c:v>
                </c:pt>
                <c:pt idx="597">
                  <c:v>5.85</c:v>
                </c:pt>
                <c:pt idx="598">
                  <c:v>6.0549999999999997</c:v>
                </c:pt>
                <c:pt idx="599">
                  <c:v>5.98</c:v>
                </c:pt>
                <c:pt idx="600">
                  <c:v>6.2649999999999997</c:v>
                </c:pt>
                <c:pt idx="601">
                  <c:v>6.1449999999999996</c:v>
                </c:pt>
                <c:pt idx="602">
                  <c:v>5.64</c:v>
                </c:pt>
                <c:pt idx="603">
                  <c:v>5.6050000000000004</c:v>
                </c:pt>
                <c:pt idx="604">
                  <c:v>5.66</c:v>
                </c:pt>
                <c:pt idx="605">
                  <c:v>6.1550000000000002</c:v>
                </c:pt>
                <c:pt idx="606">
                  <c:v>6.34</c:v>
                </c:pt>
                <c:pt idx="607">
                  <c:v>6.5649999999999995</c:v>
                </c:pt>
                <c:pt idx="608">
                  <c:v>6.52</c:v>
                </c:pt>
                <c:pt idx="609">
                  <c:v>6.4550000000000001</c:v>
                </c:pt>
                <c:pt idx="610">
                  <c:v>6.4749999999999996</c:v>
                </c:pt>
                <c:pt idx="611">
                  <c:v>6.37</c:v>
                </c:pt>
                <c:pt idx="612">
                  <c:v>6.3150000000000004</c:v>
                </c:pt>
                <c:pt idx="613">
                  <c:v>6.29</c:v>
                </c:pt>
                <c:pt idx="614">
                  <c:v>6.1150000000000002</c:v>
                </c:pt>
                <c:pt idx="615">
                  <c:v>6.17</c:v>
                </c:pt>
                <c:pt idx="616">
                  <c:v>6.4950000000000001</c:v>
                </c:pt>
                <c:pt idx="617">
                  <c:v>6.51</c:v>
                </c:pt>
                <c:pt idx="618">
                  <c:v>6.4450000000000003</c:v>
                </c:pt>
                <c:pt idx="619">
                  <c:v>6.49</c:v>
                </c:pt>
                <c:pt idx="620">
                  <c:v>6.38</c:v>
                </c:pt>
                <c:pt idx="621">
                  <c:v>6.54</c:v>
                </c:pt>
                <c:pt idx="622">
                  <c:v>6.65</c:v>
                </c:pt>
                <c:pt idx="623">
                  <c:v>6.7</c:v>
                </c:pt>
                <c:pt idx="624">
                  <c:v>6.84</c:v>
                </c:pt>
                <c:pt idx="625">
                  <c:v>6.8550000000000004</c:v>
                </c:pt>
                <c:pt idx="626">
                  <c:v>6.75</c:v>
                </c:pt>
                <c:pt idx="627">
                  <c:v>6.84</c:v>
                </c:pt>
                <c:pt idx="628">
                  <c:v>6.9350000000000005</c:v>
                </c:pt>
                <c:pt idx="629">
                  <c:v>6.875</c:v>
                </c:pt>
                <c:pt idx="630">
                  <c:v>6.75</c:v>
                </c:pt>
                <c:pt idx="631">
                  <c:v>6.7149999999999999</c:v>
                </c:pt>
                <c:pt idx="632">
                  <c:v>6.68</c:v>
                </c:pt>
                <c:pt idx="633">
                  <c:v>6.5549999999999997</c:v>
                </c:pt>
                <c:pt idx="634">
                  <c:v>6.1749999999999998</c:v>
                </c:pt>
                <c:pt idx="635">
                  <c:v>6.27</c:v>
                </c:pt>
                <c:pt idx="636">
                  <c:v>6.1</c:v>
                </c:pt>
                <c:pt idx="637">
                  <c:v>6.24</c:v>
                </c:pt>
                <c:pt idx="638">
                  <c:v>6.25</c:v>
                </c:pt>
                <c:pt idx="639">
                  <c:v>6.1749999999999998</c:v>
                </c:pt>
                <c:pt idx="640">
                  <c:v>5.9350000000000005</c:v>
                </c:pt>
                <c:pt idx="641">
                  <c:v>5.7850000000000001</c:v>
                </c:pt>
                <c:pt idx="642">
                  <c:v>5.86</c:v>
                </c:pt>
                <c:pt idx="643">
                  <c:v>5.75</c:v>
                </c:pt>
                <c:pt idx="644">
                  <c:v>5.79</c:v>
                </c:pt>
                <c:pt idx="645">
                  <c:v>5.7750000000000004</c:v>
                </c:pt>
                <c:pt idx="646">
                  <c:v>5.78</c:v>
                </c:pt>
                <c:pt idx="647">
                  <c:v>5.9950000000000001</c:v>
                </c:pt>
                <c:pt idx="648">
                  <c:v>6.0949999999999998</c:v>
                </c:pt>
                <c:pt idx="649">
                  <c:v>6.09</c:v>
                </c:pt>
                <c:pt idx="650">
                  <c:v>6.1749999999999998</c:v>
                </c:pt>
                <c:pt idx="651">
                  <c:v>6.17</c:v>
                </c:pt>
                <c:pt idx="652">
                  <c:v>6.2549999999999999</c:v>
                </c:pt>
                <c:pt idx="653">
                  <c:v>6.0449999999999999</c:v>
                </c:pt>
                <c:pt idx="654">
                  <c:v>6.1950000000000003</c:v>
                </c:pt>
                <c:pt idx="655">
                  <c:v>6.2750000000000004</c:v>
                </c:pt>
                <c:pt idx="656">
                  <c:v>6.41</c:v>
                </c:pt>
                <c:pt idx="657">
                  <c:v>6.61</c:v>
                </c:pt>
                <c:pt idx="658">
                  <c:v>6.6449999999999996</c:v>
                </c:pt>
                <c:pt idx="659">
                  <c:v>6.6899999999999995</c:v>
                </c:pt>
                <c:pt idx="660">
                  <c:v>6.8550000000000004</c:v>
                </c:pt>
                <c:pt idx="661">
                  <c:v>6.8</c:v>
                </c:pt>
                <c:pt idx="662">
                  <c:v>6.88</c:v>
                </c:pt>
                <c:pt idx="663">
                  <c:v>6.9399999999999995</c:v>
                </c:pt>
                <c:pt idx="664">
                  <c:v>7.01</c:v>
                </c:pt>
                <c:pt idx="665">
                  <c:v>6.6749999999999998</c:v>
                </c:pt>
                <c:pt idx="666">
                  <c:v>6.72</c:v>
                </c:pt>
                <c:pt idx="667">
                  <c:v>6.45</c:v>
                </c:pt>
                <c:pt idx="668">
                  <c:v>6.46</c:v>
                </c:pt>
                <c:pt idx="669">
                  <c:v>6.36</c:v>
                </c:pt>
                <c:pt idx="670">
                  <c:v>6.6349999999999998</c:v>
                </c:pt>
                <c:pt idx="671">
                  <c:v>6.75</c:v>
                </c:pt>
                <c:pt idx="672">
                  <c:v>6.86</c:v>
                </c:pt>
                <c:pt idx="673">
                  <c:v>6.85</c:v>
                </c:pt>
                <c:pt idx="674">
                  <c:v>7.01</c:v>
                </c:pt>
                <c:pt idx="675">
                  <c:v>7.04</c:v>
                </c:pt>
                <c:pt idx="676">
                  <c:v>7.0650000000000004</c:v>
                </c:pt>
                <c:pt idx="677">
                  <c:v>6.96</c:v>
                </c:pt>
                <c:pt idx="678">
                  <c:v>6.8049999999999997</c:v>
                </c:pt>
                <c:pt idx="679">
                  <c:v>6.53</c:v>
                </c:pt>
                <c:pt idx="680">
                  <c:v>6.335</c:v>
                </c:pt>
                <c:pt idx="681">
                  <c:v>6.4450000000000003</c:v>
                </c:pt>
                <c:pt idx="682">
                  <c:v>6.35</c:v>
                </c:pt>
                <c:pt idx="683">
                  <c:v>6.2850000000000001</c:v>
                </c:pt>
                <c:pt idx="684">
                  <c:v>6.2</c:v>
                </c:pt>
                <c:pt idx="685">
                  <c:v>6.02</c:v>
                </c:pt>
                <c:pt idx="686">
                  <c:v>6.2750000000000004</c:v>
                </c:pt>
                <c:pt idx="687">
                  <c:v>6.51</c:v>
                </c:pt>
                <c:pt idx="688">
                  <c:v>6.7149999999999999</c:v>
                </c:pt>
                <c:pt idx="689">
                  <c:v>6.7249999999999996</c:v>
                </c:pt>
                <c:pt idx="690">
                  <c:v>6.44</c:v>
                </c:pt>
                <c:pt idx="691">
                  <c:v>7.08</c:v>
                </c:pt>
                <c:pt idx="692">
                  <c:v>7.42</c:v>
                </c:pt>
                <c:pt idx="693">
                  <c:v>7.625</c:v>
                </c:pt>
                <c:pt idx="694">
                  <c:v>7.41</c:v>
                </c:pt>
                <c:pt idx="695">
                  <c:v>7.45</c:v>
                </c:pt>
                <c:pt idx="696">
                  <c:v>7.53</c:v>
                </c:pt>
                <c:pt idx="697">
                  <c:v>7.6</c:v>
                </c:pt>
                <c:pt idx="698">
                  <c:v>7.8550000000000004</c:v>
                </c:pt>
                <c:pt idx="699">
                  <c:v>7.7649999999999997</c:v>
                </c:pt>
                <c:pt idx="700">
                  <c:v>7.8</c:v>
                </c:pt>
                <c:pt idx="701">
                  <c:v>7.915</c:v>
                </c:pt>
                <c:pt idx="702">
                  <c:v>7.86</c:v>
                </c:pt>
                <c:pt idx="703">
                  <c:v>7.835</c:v>
                </c:pt>
                <c:pt idx="704">
                  <c:v>7.9350000000000005</c:v>
                </c:pt>
                <c:pt idx="705">
                  <c:v>7.93</c:v>
                </c:pt>
                <c:pt idx="706">
                  <c:v>7.83</c:v>
                </c:pt>
                <c:pt idx="707">
                  <c:v>7.77</c:v>
                </c:pt>
                <c:pt idx="708">
                  <c:v>7.7549999999999999</c:v>
                </c:pt>
                <c:pt idx="709">
                  <c:v>7.92</c:v>
                </c:pt>
                <c:pt idx="710">
                  <c:v>8.15</c:v>
                </c:pt>
                <c:pt idx="711">
                  <c:v>8.1999999999999993</c:v>
                </c:pt>
                <c:pt idx="712">
                  <c:v>8.16</c:v>
                </c:pt>
                <c:pt idx="713">
                  <c:v>8.19</c:v>
                </c:pt>
                <c:pt idx="714">
                  <c:v>7.82</c:v>
                </c:pt>
                <c:pt idx="715">
                  <c:v>7.9050000000000002</c:v>
                </c:pt>
                <c:pt idx="716">
                  <c:v>7.9</c:v>
                </c:pt>
                <c:pt idx="717">
                  <c:v>7.7149999999999999</c:v>
                </c:pt>
                <c:pt idx="718">
                  <c:v>8.0250000000000004</c:v>
                </c:pt>
                <c:pt idx="719">
                  <c:v>7.9950000000000001</c:v>
                </c:pt>
                <c:pt idx="720">
                  <c:v>7.9</c:v>
                </c:pt>
                <c:pt idx="721">
                  <c:v>7.9399999999999995</c:v>
                </c:pt>
                <c:pt idx="722">
                  <c:v>8.0649999999999995</c:v>
                </c:pt>
                <c:pt idx="723">
                  <c:v>7.95</c:v>
                </c:pt>
                <c:pt idx="724">
                  <c:v>8.07</c:v>
                </c:pt>
                <c:pt idx="725">
                  <c:v>8.52</c:v>
                </c:pt>
                <c:pt idx="726">
                  <c:v>8.7850000000000001</c:v>
                </c:pt>
                <c:pt idx="727">
                  <c:v>8.5050000000000008</c:v>
                </c:pt>
                <c:pt idx="728">
                  <c:v>8.4</c:v>
                </c:pt>
                <c:pt idx="729">
                  <c:v>8.1750000000000007</c:v>
                </c:pt>
                <c:pt idx="730">
                  <c:v>7.9550000000000001</c:v>
                </c:pt>
                <c:pt idx="731">
                  <c:v>8.0250000000000004</c:v>
                </c:pt>
                <c:pt idx="732">
                  <c:v>8.15</c:v>
                </c:pt>
                <c:pt idx="733">
                  <c:v>8.1449999999999996</c:v>
                </c:pt>
                <c:pt idx="734">
                  <c:v>7.8100000000000005</c:v>
                </c:pt>
                <c:pt idx="735">
                  <c:v>7.6449999999999996</c:v>
                </c:pt>
                <c:pt idx="736">
                  <c:v>7.7549999999999999</c:v>
                </c:pt>
                <c:pt idx="737">
                  <c:v>7.88</c:v>
                </c:pt>
                <c:pt idx="738">
                  <c:v>7.79</c:v>
                </c:pt>
                <c:pt idx="739">
                  <c:v>8.02</c:v>
                </c:pt>
                <c:pt idx="740">
                  <c:v>8.2100000000000009</c:v>
                </c:pt>
                <c:pt idx="741">
                  <c:v>8.1649999999999991</c:v>
                </c:pt>
                <c:pt idx="742">
                  <c:v>8.1199999999999992</c:v>
                </c:pt>
                <c:pt idx="743">
                  <c:v>8.0449999999999999</c:v>
                </c:pt>
                <c:pt idx="744">
                  <c:v>7.97</c:v>
                </c:pt>
                <c:pt idx="745">
                  <c:v>7.89</c:v>
                </c:pt>
                <c:pt idx="746">
                  <c:v>7.625</c:v>
                </c:pt>
                <c:pt idx="747">
                  <c:v>7.66</c:v>
                </c:pt>
                <c:pt idx="748">
                  <c:v>7.4450000000000003</c:v>
                </c:pt>
                <c:pt idx="749">
                  <c:v>7.5</c:v>
                </c:pt>
                <c:pt idx="750">
                  <c:v>7.5649999999999995</c:v>
                </c:pt>
                <c:pt idx="751">
                  <c:v>7.8550000000000004</c:v>
                </c:pt>
                <c:pt idx="752">
                  <c:v>7.85</c:v>
                </c:pt>
                <c:pt idx="753">
                  <c:v>8.07</c:v>
                </c:pt>
                <c:pt idx="754">
                  <c:v>7.9249999999999998</c:v>
                </c:pt>
                <c:pt idx="755">
                  <c:v>7.92</c:v>
                </c:pt>
                <c:pt idx="756">
                  <c:v>7.9950000000000001</c:v>
                </c:pt>
                <c:pt idx="757">
                  <c:v>8.2050000000000001</c:v>
                </c:pt>
                <c:pt idx="758">
                  <c:v>8.4</c:v>
                </c:pt>
                <c:pt idx="759">
                  <c:v>8.2750000000000004</c:v>
                </c:pt>
                <c:pt idx="760">
                  <c:v>8.15</c:v>
                </c:pt>
                <c:pt idx="761">
                  <c:v>8.2899999999999991</c:v>
                </c:pt>
                <c:pt idx="762">
                  <c:v>8.41</c:v>
                </c:pt>
                <c:pt idx="763">
                  <c:v>8.3249999999999993</c:v>
                </c:pt>
                <c:pt idx="764">
                  <c:v>8.3049999999999997</c:v>
                </c:pt>
                <c:pt idx="765">
                  <c:v>8.33</c:v>
                </c:pt>
                <c:pt idx="766">
                  <c:v>8.3450000000000006</c:v>
                </c:pt>
                <c:pt idx="767">
                  <c:v>8.4450000000000003</c:v>
                </c:pt>
                <c:pt idx="768">
                  <c:v>8.4649999999999999</c:v>
                </c:pt>
                <c:pt idx="769">
                  <c:v>8.375</c:v>
                </c:pt>
                <c:pt idx="770">
                  <c:v>8.4700000000000006</c:v>
                </c:pt>
                <c:pt idx="771">
                  <c:v>8.4350000000000005</c:v>
                </c:pt>
                <c:pt idx="772">
                  <c:v>8.49</c:v>
                </c:pt>
                <c:pt idx="773">
                  <c:v>8.4499999999999993</c:v>
                </c:pt>
                <c:pt idx="774">
                  <c:v>8.2449999999999992</c:v>
                </c:pt>
                <c:pt idx="775">
                  <c:v>8.26</c:v>
                </c:pt>
                <c:pt idx="776">
                  <c:v>8.2550000000000008</c:v>
                </c:pt>
                <c:pt idx="777">
                  <c:v>8.2100000000000009</c:v>
                </c:pt>
                <c:pt idx="778">
                  <c:v>8.31</c:v>
                </c:pt>
                <c:pt idx="779">
                  <c:v>8.14</c:v>
                </c:pt>
                <c:pt idx="780">
                  <c:v>8.06</c:v>
                </c:pt>
                <c:pt idx="781">
                  <c:v>7.85</c:v>
                </c:pt>
                <c:pt idx="782">
                  <c:v>7.79</c:v>
                </c:pt>
                <c:pt idx="783">
                  <c:v>7.6950000000000003</c:v>
                </c:pt>
                <c:pt idx="784">
                  <c:v>7.9</c:v>
                </c:pt>
                <c:pt idx="785">
                  <c:v>8.07</c:v>
                </c:pt>
                <c:pt idx="786">
                  <c:v>8.1199999999999992</c:v>
                </c:pt>
                <c:pt idx="787">
                  <c:v>8.5399999999999991</c:v>
                </c:pt>
                <c:pt idx="788">
                  <c:v>8.67</c:v>
                </c:pt>
                <c:pt idx="789">
                  <c:v>8.5500000000000007</c:v>
                </c:pt>
                <c:pt idx="790">
                  <c:v>8.4949999999999992</c:v>
                </c:pt>
                <c:pt idx="791">
                  <c:v>8.8249999999999993</c:v>
                </c:pt>
                <c:pt idx="792">
                  <c:v>8.85</c:v>
                </c:pt>
                <c:pt idx="793">
                  <c:v>8.8800000000000008</c:v>
                </c:pt>
                <c:pt idx="794">
                  <c:v>9.0549999999999997</c:v>
                </c:pt>
                <c:pt idx="795">
                  <c:v>9.18</c:v>
                </c:pt>
                <c:pt idx="796">
                  <c:v>9.125</c:v>
                </c:pt>
                <c:pt idx="797">
                  <c:v>9.1</c:v>
                </c:pt>
                <c:pt idx="798">
                  <c:v>9.0749999999999993</c:v>
                </c:pt>
                <c:pt idx="799">
                  <c:v>9.19</c:v>
                </c:pt>
                <c:pt idx="800">
                  <c:v>9.14</c:v>
                </c:pt>
                <c:pt idx="801">
                  <c:v>9.1750000000000007</c:v>
                </c:pt>
                <c:pt idx="802">
                  <c:v>9.0749999999999993</c:v>
                </c:pt>
                <c:pt idx="803">
                  <c:v>8.92</c:v>
                </c:pt>
                <c:pt idx="804">
                  <c:v>8.9499999999999993</c:v>
                </c:pt>
                <c:pt idx="805">
                  <c:v>9.0250000000000004</c:v>
                </c:pt>
                <c:pt idx="806">
                  <c:v>9.09</c:v>
                </c:pt>
                <c:pt idx="807">
                  <c:v>9.15</c:v>
                </c:pt>
                <c:pt idx="808">
                  <c:v>9.1050000000000004</c:v>
                </c:pt>
                <c:pt idx="809">
                  <c:v>9.0649999999999995</c:v>
                </c:pt>
                <c:pt idx="810">
                  <c:v>8.93</c:v>
                </c:pt>
                <c:pt idx="811">
                  <c:v>8.65</c:v>
                </c:pt>
                <c:pt idx="812">
                  <c:v>8.65</c:v>
                </c:pt>
                <c:pt idx="813">
                  <c:v>8.44</c:v>
                </c:pt>
                <c:pt idx="814">
                  <c:v>8.4749999999999996</c:v>
                </c:pt>
                <c:pt idx="815">
                  <c:v>8.41</c:v>
                </c:pt>
                <c:pt idx="816">
                  <c:v>8.3350000000000009</c:v>
                </c:pt>
                <c:pt idx="817">
                  <c:v>8.2899999999999991</c:v>
                </c:pt>
                <c:pt idx="818">
                  <c:v>8.3650000000000002</c:v>
                </c:pt>
                <c:pt idx="819">
                  <c:v>8.51</c:v>
                </c:pt>
                <c:pt idx="820">
                  <c:v>8.59</c:v>
                </c:pt>
                <c:pt idx="821">
                  <c:v>8.56</c:v>
                </c:pt>
                <c:pt idx="822">
                  <c:v>8.6449999999999996</c:v>
                </c:pt>
                <c:pt idx="823">
                  <c:v>8.5250000000000004</c:v>
                </c:pt>
                <c:pt idx="824">
                  <c:v>8.49</c:v>
                </c:pt>
                <c:pt idx="825">
                  <c:v>8.5549999999999997</c:v>
                </c:pt>
                <c:pt idx="826">
                  <c:v>8.56</c:v>
                </c:pt>
                <c:pt idx="827">
                  <c:v>8.3949999999999996</c:v>
                </c:pt>
                <c:pt idx="828">
                  <c:v>8.4749999999999996</c:v>
                </c:pt>
                <c:pt idx="829">
                  <c:v>8.4</c:v>
                </c:pt>
                <c:pt idx="830">
                  <c:v>8.2650000000000006</c:v>
                </c:pt>
                <c:pt idx="831">
                  <c:v>8.5</c:v>
                </c:pt>
                <c:pt idx="832">
                  <c:v>8.48</c:v>
                </c:pt>
                <c:pt idx="833">
                  <c:v>8.6950000000000003</c:v>
                </c:pt>
                <c:pt idx="834">
                  <c:v>8.6750000000000007</c:v>
                </c:pt>
                <c:pt idx="835">
                  <c:v>8.64</c:v>
                </c:pt>
                <c:pt idx="836">
                  <c:v>8.8000000000000007</c:v>
                </c:pt>
                <c:pt idx="837">
                  <c:v>8.875</c:v>
                </c:pt>
                <c:pt idx="838">
                  <c:v>8.7650000000000006</c:v>
                </c:pt>
                <c:pt idx="839">
                  <c:v>8.85</c:v>
                </c:pt>
                <c:pt idx="840">
                  <c:v>8.82</c:v>
                </c:pt>
                <c:pt idx="841">
                  <c:v>8.8699999999999992</c:v>
                </c:pt>
                <c:pt idx="842">
                  <c:v>8.98</c:v>
                </c:pt>
                <c:pt idx="843">
                  <c:v>9.09</c:v>
                </c:pt>
                <c:pt idx="844">
                  <c:v>9.07</c:v>
                </c:pt>
                <c:pt idx="845">
                  <c:v>9</c:v>
                </c:pt>
                <c:pt idx="846">
                  <c:v>9.0050000000000008</c:v>
                </c:pt>
                <c:pt idx="847">
                  <c:v>8.82</c:v>
                </c:pt>
                <c:pt idx="848">
                  <c:v>8.82</c:v>
                </c:pt>
                <c:pt idx="849">
                  <c:v>8.7850000000000001</c:v>
                </c:pt>
                <c:pt idx="850">
                  <c:v>8.6750000000000007</c:v>
                </c:pt>
                <c:pt idx="851">
                  <c:v>8.7100000000000009</c:v>
                </c:pt>
                <c:pt idx="852">
                  <c:v>8.74</c:v>
                </c:pt>
                <c:pt idx="853">
                  <c:v>8.8350000000000009</c:v>
                </c:pt>
                <c:pt idx="854">
                  <c:v>8.8949999999999996</c:v>
                </c:pt>
                <c:pt idx="855">
                  <c:v>8.8550000000000004</c:v>
                </c:pt>
                <c:pt idx="856">
                  <c:v>8.8149999999999995</c:v>
                </c:pt>
                <c:pt idx="857">
                  <c:v>8.7949999999999999</c:v>
                </c:pt>
                <c:pt idx="858">
                  <c:v>8.8800000000000008</c:v>
                </c:pt>
                <c:pt idx="859">
                  <c:v>9.01</c:v>
                </c:pt>
                <c:pt idx="860">
                  <c:v>8.9949999999999992</c:v>
                </c:pt>
                <c:pt idx="861">
                  <c:v>9.09</c:v>
                </c:pt>
                <c:pt idx="862">
                  <c:v>9.0649999999999995</c:v>
                </c:pt>
                <c:pt idx="863">
                  <c:v>8.9</c:v>
                </c:pt>
                <c:pt idx="864">
                  <c:v>8.8800000000000008</c:v>
                </c:pt>
                <c:pt idx="865">
                  <c:v>8.6999999999999993</c:v>
                </c:pt>
                <c:pt idx="866">
                  <c:v>8.7949999999999999</c:v>
                </c:pt>
                <c:pt idx="867">
                  <c:v>8.875</c:v>
                </c:pt>
                <c:pt idx="868">
                  <c:v>8.7799999999999994</c:v>
                </c:pt>
                <c:pt idx="869">
                  <c:v>8.8550000000000004</c:v>
                </c:pt>
                <c:pt idx="870">
                  <c:v>8.77</c:v>
                </c:pt>
                <c:pt idx="871">
                  <c:v>8.6850000000000005</c:v>
                </c:pt>
                <c:pt idx="872">
                  <c:v>8.56</c:v>
                </c:pt>
                <c:pt idx="873">
                  <c:v>8.59</c:v>
                </c:pt>
                <c:pt idx="874">
                  <c:v>8.5350000000000001</c:v>
                </c:pt>
                <c:pt idx="875">
                  <c:v>8.59</c:v>
                </c:pt>
                <c:pt idx="876">
                  <c:v>8.4649999999999999</c:v>
                </c:pt>
                <c:pt idx="877">
                  <c:v>8.5050000000000008</c:v>
                </c:pt>
                <c:pt idx="878">
                  <c:v>8.6199999999999992</c:v>
                </c:pt>
                <c:pt idx="879">
                  <c:v>8.64</c:v>
                </c:pt>
                <c:pt idx="880">
                  <c:v>8.6199999999999992</c:v>
                </c:pt>
                <c:pt idx="881">
                  <c:v>8.4749999999999996</c:v>
                </c:pt>
                <c:pt idx="882">
                  <c:v>8.44</c:v>
                </c:pt>
                <c:pt idx="883">
                  <c:v>8.33</c:v>
                </c:pt>
                <c:pt idx="884">
                  <c:v>8.4550000000000001</c:v>
                </c:pt>
                <c:pt idx="885">
                  <c:v>8.64</c:v>
                </c:pt>
                <c:pt idx="886">
                  <c:v>8.7249999999999996</c:v>
                </c:pt>
                <c:pt idx="887">
                  <c:v>8.7799999999999994</c:v>
                </c:pt>
                <c:pt idx="888">
                  <c:v>8.83</c:v>
                </c:pt>
                <c:pt idx="889">
                  <c:v>8.7349999999999994</c:v>
                </c:pt>
                <c:pt idx="890">
                  <c:v>8.75</c:v>
                </c:pt>
                <c:pt idx="891">
                  <c:v>8.8000000000000007</c:v>
                </c:pt>
                <c:pt idx="892">
                  <c:v>8.86</c:v>
                </c:pt>
                <c:pt idx="893">
                  <c:v>8.99</c:v>
                </c:pt>
                <c:pt idx="894">
                  <c:v>8.9700000000000006</c:v>
                </c:pt>
                <c:pt idx="895">
                  <c:v>8.8949999999999996</c:v>
                </c:pt>
                <c:pt idx="896">
                  <c:v>8.92</c:v>
                </c:pt>
                <c:pt idx="897">
                  <c:v>9.07</c:v>
                </c:pt>
                <c:pt idx="898">
                  <c:v>9.0299999999999994</c:v>
                </c:pt>
                <c:pt idx="899">
                  <c:v>9.08</c:v>
                </c:pt>
                <c:pt idx="900">
                  <c:v>9.1</c:v>
                </c:pt>
                <c:pt idx="901">
                  <c:v>9.1349999999999998</c:v>
                </c:pt>
                <c:pt idx="902">
                  <c:v>9.06</c:v>
                </c:pt>
                <c:pt idx="903">
                  <c:v>9.06</c:v>
                </c:pt>
                <c:pt idx="904">
                  <c:v>9.15</c:v>
                </c:pt>
                <c:pt idx="905">
                  <c:v>9.1999999999999993</c:v>
                </c:pt>
                <c:pt idx="906">
                  <c:v>9.1150000000000002</c:v>
                </c:pt>
                <c:pt idx="907">
                  <c:v>9.16</c:v>
                </c:pt>
                <c:pt idx="908">
                  <c:v>9.1150000000000002</c:v>
                </c:pt>
                <c:pt idx="909">
                  <c:v>9.1199999999999992</c:v>
                </c:pt>
                <c:pt idx="910">
                  <c:v>9.1649999999999991</c:v>
                </c:pt>
                <c:pt idx="911">
                  <c:v>9.17</c:v>
                </c:pt>
                <c:pt idx="912">
                  <c:v>9.1549999999999994</c:v>
                </c:pt>
                <c:pt idx="913">
                  <c:v>9.0649999999999995</c:v>
                </c:pt>
                <c:pt idx="914">
                  <c:v>9.125</c:v>
                </c:pt>
                <c:pt idx="915">
                  <c:v>9.1</c:v>
                </c:pt>
                <c:pt idx="916">
                  <c:v>9.19</c:v>
                </c:pt>
                <c:pt idx="917">
                  <c:v>9.17</c:v>
                </c:pt>
                <c:pt idx="918">
                  <c:v>9.23</c:v>
                </c:pt>
                <c:pt idx="919">
                  <c:v>9.3849999999999998</c:v>
                </c:pt>
                <c:pt idx="920">
                  <c:v>9.48</c:v>
                </c:pt>
                <c:pt idx="921">
                  <c:v>9.41</c:v>
                </c:pt>
                <c:pt idx="922">
                  <c:v>9.5399999999999991</c:v>
                </c:pt>
                <c:pt idx="923">
                  <c:v>9.64</c:v>
                </c:pt>
                <c:pt idx="924">
                  <c:v>9.6</c:v>
                </c:pt>
                <c:pt idx="925">
                  <c:v>9.57</c:v>
                </c:pt>
                <c:pt idx="926">
                  <c:v>9.69</c:v>
                </c:pt>
                <c:pt idx="927">
                  <c:v>9.68</c:v>
                </c:pt>
                <c:pt idx="928">
                  <c:v>9.8849999999999998</c:v>
                </c:pt>
                <c:pt idx="929">
                  <c:v>9.86</c:v>
                </c:pt>
                <c:pt idx="930">
                  <c:v>9.875</c:v>
                </c:pt>
                <c:pt idx="931">
                  <c:v>9.8650000000000002</c:v>
                </c:pt>
                <c:pt idx="932">
                  <c:v>9.8350000000000009</c:v>
                </c:pt>
                <c:pt idx="933">
                  <c:v>9.8849999999999998</c:v>
                </c:pt>
                <c:pt idx="934">
                  <c:v>9.875</c:v>
                </c:pt>
                <c:pt idx="935">
                  <c:v>9.5150000000000006</c:v>
                </c:pt>
                <c:pt idx="936">
                  <c:v>9.3650000000000002</c:v>
                </c:pt>
                <c:pt idx="937">
                  <c:v>9.48</c:v>
                </c:pt>
                <c:pt idx="938">
                  <c:v>9.4749999999999996</c:v>
                </c:pt>
                <c:pt idx="939">
                  <c:v>9.42</c:v>
                </c:pt>
                <c:pt idx="940">
                  <c:v>9.31</c:v>
                </c:pt>
                <c:pt idx="941">
                  <c:v>9.42</c:v>
                </c:pt>
                <c:pt idx="942">
                  <c:v>9.51</c:v>
                </c:pt>
                <c:pt idx="943">
                  <c:v>9.6950000000000003</c:v>
                </c:pt>
                <c:pt idx="944">
                  <c:v>9.6</c:v>
                </c:pt>
                <c:pt idx="945">
                  <c:v>9.67</c:v>
                </c:pt>
                <c:pt idx="946">
                  <c:v>9.61</c:v>
                </c:pt>
                <c:pt idx="947">
                  <c:v>9.4649999999999999</c:v>
                </c:pt>
                <c:pt idx="948">
                  <c:v>9.5</c:v>
                </c:pt>
                <c:pt idx="949">
                  <c:v>9.625</c:v>
                </c:pt>
                <c:pt idx="950">
                  <c:v>9.59</c:v>
                </c:pt>
                <c:pt idx="951">
                  <c:v>9.5950000000000006</c:v>
                </c:pt>
                <c:pt idx="952">
                  <c:v>9.5500000000000007</c:v>
                </c:pt>
                <c:pt idx="953">
                  <c:v>9.5399999999999991</c:v>
                </c:pt>
                <c:pt idx="954">
                  <c:v>9.35</c:v>
                </c:pt>
                <c:pt idx="955">
                  <c:v>9.4</c:v>
                </c:pt>
                <c:pt idx="956">
                  <c:v>9.4450000000000003</c:v>
                </c:pt>
                <c:pt idx="957">
                  <c:v>9.48</c:v>
                </c:pt>
                <c:pt idx="958">
                  <c:v>9.5299999999999994</c:v>
                </c:pt>
                <c:pt idx="959">
                  <c:v>9.5399999999999991</c:v>
                </c:pt>
                <c:pt idx="960">
                  <c:v>9.5649999999999995</c:v>
                </c:pt>
                <c:pt idx="961">
                  <c:v>9.56</c:v>
                </c:pt>
                <c:pt idx="962">
                  <c:v>9.4600000000000009</c:v>
                </c:pt>
                <c:pt idx="963">
                  <c:v>9.42</c:v>
                </c:pt>
                <c:pt idx="964">
                  <c:v>9.3849999999999998</c:v>
                </c:pt>
                <c:pt idx="965">
                  <c:v>9.4749999999999996</c:v>
                </c:pt>
                <c:pt idx="966">
                  <c:v>9.5150000000000006</c:v>
                </c:pt>
                <c:pt idx="967">
                  <c:v>9.59</c:v>
                </c:pt>
                <c:pt idx="968">
                  <c:v>9.5749999999999993</c:v>
                </c:pt>
                <c:pt idx="969">
                  <c:v>9.8000000000000007</c:v>
                </c:pt>
                <c:pt idx="970">
                  <c:v>9.8000000000000007</c:v>
                </c:pt>
                <c:pt idx="971">
                  <c:v>9.77</c:v>
                </c:pt>
                <c:pt idx="972">
                  <c:v>9.7750000000000004</c:v>
                </c:pt>
                <c:pt idx="973">
                  <c:v>9.76</c:v>
                </c:pt>
                <c:pt idx="974">
                  <c:v>9.7899999999999991</c:v>
                </c:pt>
                <c:pt idx="975">
                  <c:v>9.9149999999999991</c:v>
                </c:pt>
                <c:pt idx="976">
                  <c:v>9.9550000000000001</c:v>
                </c:pt>
                <c:pt idx="977">
                  <c:v>10.039999999999999</c:v>
                </c:pt>
                <c:pt idx="978">
                  <c:v>9.9749999999999996</c:v>
                </c:pt>
                <c:pt idx="979">
                  <c:v>9.9700000000000006</c:v>
                </c:pt>
                <c:pt idx="980">
                  <c:v>9.9049999999999994</c:v>
                </c:pt>
                <c:pt idx="981">
                  <c:v>9.83</c:v>
                </c:pt>
                <c:pt idx="982">
                  <c:v>9.8539999999999992</c:v>
                </c:pt>
                <c:pt idx="983">
                  <c:v>9.7200000000000006</c:v>
                </c:pt>
                <c:pt idx="984">
                  <c:v>9.7919999999999998</c:v>
                </c:pt>
                <c:pt idx="985">
                  <c:v>9.8879999999999999</c:v>
                </c:pt>
                <c:pt idx="986">
                  <c:v>9.9459999999999997</c:v>
                </c:pt>
                <c:pt idx="987">
                  <c:v>9.8580000000000005</c:v>
                </c:pt>
                <c:pt idx="988">
                  <c:v>9.57</c:v>
                </c:pt>
                <c:pt idx="989">
                  <c:v>9.7259999999999991</c:v>
                </c:pt>
                <c:pt idx="990">
                  <c:v>9.65</c:v>
                </c:pt>
                <c:pt idx="991">
                  <c:v>9.718</c:v>
                </c:pt>
                <c:pt idx="992">
                  <c:v>9.8000000000000007</c:v>
                </c:pt>
                <c:pt idx="993">
                  <c:v>9.7959999999999994</c:v>
                </c:pt>
                <c:pt idx="994">
                  <c:v>9.718</c:v>
                </c:pt>
                <c:pt idx="995">
                  <c:v>9.8559999999999999</c:v>
                </c:pt>
                <c:pt idx="996">
                  <c:v>9.8819999999999997</c:v>
                </c:pt>
                <c:pt idx="997">
                  <c:v>9.8420000000000005</c:v>
                </c:pt>
                <c:pt idx="998">
                  <c:v>9.8740000000000006</c:v>
                </c:pt>
                <c:pt idx="999">
                  <c:v>9.8919999999999995</c:v>
                </c:pt>
                <c:pt idx="1000">
                  <c:v>9.7720000000000002</c:v>
                </c:pt>
                <c:pt idx="1001">
                  <c:v>9.8659999999999997</c:v>
                </c:pt>
                <c:pt idx="1002">
                  <c:v>9.8859999999999992</c:v>
                </c:pt>
                <c:pt idx="1003">
                  <c:v>9.94</c:v>
                </c:pt>
                <c:pt idx="1004">
                  <c:v>9.8539999999999992</c:v>
                </c:pt>
                <c:pt idx="1005">
                  <c:v>9.8019999999999996</c:v>
                </c:pt>
                <c:pt idx="1006">
                  <c:v>9.66</c:v>
                </c:pt>
                <c:pt idx="1007">
                  <c:v>9.4819999999999993</c:v>
                </c:pt>
                <c:pt idx="1008">
                  <c:v>9.6359999999999992</c:v>
                </c:pt>
                <c:pt idx="1009">
                  <c:v>9.8000000000000007</c:v>
                </c:pt>
                <c:pt idx="1010">
                  <c:v>9.84</c:v>
                </c:pt>
                <c:pt idx="1011">
                  <c:v>9.8819999999999997</c:v>
                </c:pt>
                <c:pt idx="1012">
                  <c:v>9.8719999999999999</c:v>
                </c:pt>
                <c:pt idx="1013">
                  <c:v>9.8620000000000001</c:v>
                </c:pt>
                <c:pt idx="1014">
                  <c:v>9.7680000000000007</c:v>
                </c:pt>
                <c:pt idx="1015">
                  <c:v>9.81</c:v>
                </c:pt>
                <c:pt idx="1016">
                  <c:v>9.86</c:v>
                </c:pt>
                <c:pt idx="1017">
                  <c:v>9.782</c:v>
                </c:pt>
                <c:pt idx="1018">
                  <c:v>9.89</c:v>
                </c:pt>
                <c:pt idx="1019">
                  <c:v>9.89</c:v>
                </c:pt>
                <c:pt idx="1020">
                  <c:v>9.7959999999999994</c:v>
                </c:pt>
                <c:pt idx="1021">
                  <c:v>9.7319999999999993</c:v>
                </c:pt>
                <c:pt idx="1022">
                  <c:v>9.5540000000000003</c:v>
                </c:pt>
                <c:pt idx="1023">
                  <c:v>9.4920000000000009</c:v>
                </c:pt>
                <c:pt idx="1024">
                  <c:v>9.5380000000000003</c:v>
                </c:pt>
                <c:pt idx="1025">
                  <c:v>9.548</c:v>
                </c:pt>
                <c:pt idx="1026">
                  <c:v>9.5860000000000003</c:v>
                </c:pt>
                <c:pt idx="1027">
                  <c:v>9.59</c:v>
                </c:pt>
                <c:pt idx="1028">
                  <c:v>9.6999999999999993</c:v>
                </c:pt>
                <c:pt idx="1029">
                  <c:v>9.6880000000000006</c:v>
                </c:pt>
                <c:pt idx="1030">
                  <c:v>9.7200000000000006</c:v>
                </c:pt>
                <c:pt idx="1031">
                  <c:v>9.8420000000000005</c:v>
                </c:pt>
                <c:pt idx="1032">
                  <c:v>9.798</c:v>
                </c:pt>
                <c:pt idx="1033">
                  <c:v>9.8420000000000005</c:v>
                </c:pt>
                <c:pt idx="1034">
                  <c:v>9.7620000000000005</c:v>
                </c:pt>
                <c:pt idx="1035">
                  <c:v>9.7259999999999991</c:v>
                </c:pt>
                <c:pt idx="1036">
                  <c:v>9.8919999999999995</c:v>
                </c:pt>
                <c:pt idx="1037">
                  <c:v>9.9979999999999993</c:v>
                </c:pt>
                <c:pt idx="1038">
                  <c:v>10.130000000000001</c:v>
                </c:pt>
                <c:pt idx="1039">
                  <c:v>10.17</c:v>
                </c:pt>
                <c:pt idx="1040">
                  <c:v>10.375</c:v>
                </c:pt>
                <c:pt idx="1041">
                  <c:v>10.45</c:v>
                </c:pt>
                <c:pt idx="1042">
                  <c:v>10.24</c:v>
                </c:pt>
                <c:pt idx="1043">
                  <c:v>10.220000000000001</c:v>
                </c:pt>
                <c:pt idx="1044">
                  <c:v>10.130000000000001</c:v>
                </c:pt>
                <c:pt idx="1045">
                  <c:v>10.065</c:v>
                </c:pt>
                <c:pt idx="1046">
                  <c:v>10.19</c:v>
                </c:pt>
                <c:pt idx="1047">
                  <c:v>10.015000000000001</c:v>
                </c:pt>
                <c:pt idx="1048">
                  <c:v>10.225</c:v>
                </c:pt>
                <c:pt idx="1049">
                  <c:v>10.275</c:v>
                </c:pt>
                <c:pt idx="1050">
                  <c:v>9.9700000000000006</c:v>
                </c:pt>
                <c:pt idx="1051">
                  <c:v>10</c:v>
                </c:pt>
                <c:pt idx="1052">
                  <c:v>9.8699999999999992</c:v>
                </c:pt>
                <c:pt idx="1053">
                  <c:v>9.9480000000000004</c:v>
                </c:pt>
                <c:pt idx="1054">
                  <c:v>10.029999999999999</c:v>
                </c:pt>
                <c:pt idx="1055">
                  <c:v>9.9580000000000002</c:v>
                </c:pt>
                <c:pt idx="1056">
                  <c:v>9.56</c:v>
                </c:pt>
                <c:pt idx="1057">
                  <c:v>9.4779999999999998</c:v>
                </c:pt>
                <c:pt idx="1058">
                  <c:v>9.1839999999999993</c:v>
                </c:pt>
                <c:pt idx="1059">
                  <c:v>9.032</c:v>
                </c:pt>
                <c:pt idx="1060">
                  <c:v>9.1839999999999993</c:v>
                </c:pt>
                <c:pt idx="1061">
                  <c:v>9.09</c:v>
                </c:pt>
                <c:pt idx="1062">
                  <c:v>8.8759999999999994</c:v>
                </c:pt>
                <c:pt idx="1063">
                  <c:v>8.52</c:v>
                </c:pt>
                <c:pt idx="1064">
                  <c:v>8.0020000000000007</c:v>
                </c:pt>
                <c:pt idx="1065">
                  <c:v>7.6820000000000004</c:v>
                </c:pt>
                <c:pt idx="1066">
                  <c:v>8.2240000000000002</c:v>
                </c:pt>
                <c:pt idx="1067">
                  <c:v>8.0679999999999996</c:v>
                </c:pt>
                <c:pt idx="1068">
                  <c:v>8.2780000000000005</c:v>
                </c:pt>
                <c:pt idx="1069">
                  <c:v>8.1359999999999992</c:v>
                </c:pt>
                <c:pt idx="1070">
                  <c:v>7.9279999999999999</c:v>
                </c:pt>
                <c:pt idx="1071">
                  <c:v>8.1820000000000004</c:v>
                </c:pt>
                <c:pt idx="1072">
                  <c:v>7.9980000000000002</c:v>
                </c:pt>
                <c:pt idx="1073">
                  <c:v>7.8280000000000003</c:v>
                </c:pt>
                <c:pt idx="1074">
                  <c:v>8.2100000000000009</c:v>
                </c:pt>
                <c:pt idx="1075">
                  <c:v>8.1</c:v>
                </c:pt>
                <c:pt idx="1076">
                  <c:v>8.25</c:v>
                </c:pt>
                <c:pt idx="1077">
                  <c:v>8.1660000000000004</c:v>
                </c:pt>
                <c:pt idx="1078">
                  <c:v>8.0660000000000007</c:v>
                </c:pt>
                <c:pt idx="1079">
                  <c:v>8.032</c:v>
                </c:pt>
                <c:pt idx="1080">
                  <c:v>8.1359999999999992</c:v>
                </c:pt>
                <c:pt idx="1081">
                  <c:v>8.31</c:v>
                </c:pt>
                <c:pt idx="1082">
                  <c:v>8.2260000000000009</c:v>
                </c:pt>
                <c:pt idx="1083">
                  <c:v>8.4339999999999993</c:v>
                </c:pt>
                <c:pt idx="1084">
                  <c:v>8.1419999999999995</c:v>
                </c:pt>
                <c:pt idx="1085">
                  <c:v>8.09</c:v>
                </c:pt>
                <c:pt idx="1086">
                  <c:v>7.9660000000000002</c:v>
                </c:pt>
                <c:pt idx="1087">
                  <c:v>7.9139999999999997</c:v>
                </c:pt>
                <c:pt idx="1088">
                  <c:v>7.9619999999999997</c:v>
                </c:pt>
                <c:pt idx="1089">
                  <c:v>7.9219999999999997</c:v>
                </c:pt>
                <c:pt idx="1090">
                  <c:v>8.0180000000000007</c:v>
                </c:pt>
                <c:pt idx="1091">
                  <c:v>8.1259999999999994</c:v>
                </c:pt>
                <c:pt idx="1092">
                  <c:v>8.2319999999999993</c:v>
                </c:pt>
                <c:pt idx="1093">
                  <c:v>8.1020000000000003</c:v>
                </c:pt>
                <c:pt idx="1094">
                  <c:v>8.1539999999999999</c:v>
                </c:pt>
                <c:pt idx="1095">
                  <c:v>8.0440000000000005</c:v>
                </c:pt>
                <c:pt idx="1096">
                  <c:v>7.9080000000000004</c:v>
                </c:pt>
                <c:pt idx="1097">
                  <c:v>7.9420000000000002</c:v>
                </c:pt>
                <c:pt idx="1098">
                  <c:v>8.048</c:v>
                </c:pt>
                <c:pt idx="1099">
                  <c:v>8.0760000000000005</c:v>
                </c:pt>
                <c:pt idx="1100">
                  <c:v>8.15</c:v>
                </c:pt>
                <c:pt idx="1101">
                  <c:v>8.1</c:v>
                </c:pt>
                <c:pt idx="1102">
                  <c:v>8.1300000000000008</c:v>
                </c:pt>
                <c:pt idx="1103">
                  <c:v>8.0679999999999996</c:v>
                </c:pt>
                <c:pt idx="1104">
                  <c:v>8.1780000000000008</c:v>
                </c:pt>
                <c:pt idx="1105">
                  <c:v>8.4179999999999993</c:v>
                </c:pt>
                <c:pt idx="1106">
                  <c:v>8.5139999999999993</c:v>
                </c:pt>
                <c:pt idx="1107">
                  <c:v>8.5939999999999994</c:v>
                </c:pt>
                <c:pt idx="1108">
                  <c:v>8.7520000000000007</c:v>
                </c:pt>
                <c:pt idx="1109">
                  <c:v>8.6739999999999995</c:v>
                </c:pt>
                <c:pt idx="1110">
                  <c:v>8.8840000000000003</c:v>
                </c:pt>
                <c:pt idx="1111">
                  <c:v>8.7740000000000009</c:v>
                </c:pt>
                <c:pt idx="1112">
                  <c:v>8.6839999999999993</c:v>
                </c:pt>
                <c:pt idx="1113">
                  <c:v>8.8260000000000005</c:v>
                </c:pt>
                <c:pt idx="1114">
                  <c:v>8.68</c:v>
                </c:pt>
                <c:pt idx="1115">
                  <c:v>8.7940000000000005</c:v>
                </c:pt>
                <c:pt idx="1116">
                  <c:v>8.7880000000000003</c:v>
                </c:pt>
                <c:pt idx="1117">
                  <c:v>8.8060000000000009</c:v>
                </c:pt>
                <c:pt idx="1118">
                  <c:v>8.7159999999999993</c:v>
                </c:pt>
                <c:pt idx="1119">
                  <c:v>8.5440000000000005</c:v>
                </c:pt>
                <c:pt idx="1120">
                  <c:v>8.32</c:v>
                </c:pt>
                <c:pt idx="1121">
                  <c:v>8.4960000000000004</c:v>
                </c:pt>
                <c:pt idx="1122">
                  <c:v>8.4019999999999992</c:v>
                </c:pt>
                <c:pt idx="1123">
                  <c:v>8.4280000000000008</c:v>
                </c:pt>
                <c:pt idx="1124">
                  <c:v>8.5660000000000007</c:v>
                </c:pt>
                <c:pt idx="1125">
                  <c:v>8.3940000000000001</c:v>
                </c:pt>
                <c:pt idx="1126">
                  <c:v>8.2959999999999994</c:v>
                </c:pt>
                <c:pt idx="1127">
                  <c:v>8.3040000000000003</c:v>
                </c:pt>
                <c:pt idx="1128">
                  <c:v>8.2880000000000003</c:v>
                </c:pt>
                <c:pt idx="1129">
                  <c:v>8.2379999999999995</c:v>
                </c:pt>
                <c:pt idx="1130">
                  <c:v>8.2740000000000009</c:v>
                </c:pt>
                <c:pt idx="1131">
                  <c:v>8.1539999999999999</c:v>
                </c:pt>
                <c:pt idx="1132">
                  <c:v>8.016</c:v>
                </c:pt>
                <c:pt idx="1133">
                  <c:v>8.2379999999999995</c:v>
                </c:pt>
                <c:pt idx="1134">
                  <c:v>8.4819999999999993</c:v>
                </c:pt>
                <c:pt idx="1135">
                  <c:v>8.7579999999999991</c:v>
                </c:pt>
                <c:pt idx="1136">
                  <c:v>8.6820000000000004</c:v>
                </c:pt>
                <c:pt idx="1137">
                  <c:v>8.6839999999999993</c:v>
                </c:pt>
                <c:pt idx="1138">
                  <c:v>9.0660000000000007</c:v>
                </c:pt>
                <c:pt idx="1139">
                  <c:v>9.0180000000000007</c:v>
                </c:pt>
                <c:pt idx="1140">
                  <c:v>9.0640000000000001</c:v>
                </c:pt>
                <c:pt idx="1141">
                  <c:v>9.0039999999999996</c:v>
                </c:pt>
                <c:pt idx="1142">
                  <c:v>9.0280000000000005</c:v>
                </c:pt>
                <c:pt idx="1143">
                  <c:v>9.1820000000000004</c:v>
                </c:pt>
                <c:pt idx="1144">
                  <c:v>9.2119999999999997</c:v>
                </c:pt>
                <c:pt idx="1145">
                  <c:v>9.3079999999999998</c:v>
                </c:pt>
                <c:pt idx="1146">
                  <c:v>9.1739999999999995</c:v>
                </c:pt>
                <c:pt idx="1147">
                  <c:v>9.1720000000000006</c:v>
                </c:pt>
                <c:pt idx="1148">
                  <c:v>9.1059999999999999</c:v>
                </c:pt>
                <c:pt idx="1149">
                  <c:v>9.2759999999999998</c:v>
                </c:pt>
                <c:pt idx="1150">
                  <c:v>9.26</c:v>
                </c:pt>
                <c:pt idx="1151">
                  <c:v>9.1679999999999993</c:v>
                </c:pt>
                <c:pt idx="1152">
                  <c:v>8.6039999999999992</c:v>
                </c:pt>
                <c:pt idx="1153">
                  <c:v>8.3420000000000005</c:v>
                </c:pt>
                <c:pt idx="1154">
                  <c:v>8.3040000000000003</c:v>
                </c:pt>
                <c:pt idx="1155">
                  <c:v>8.3800000000000008</c:v>
                </c:pt>
                <c:pt idx="1156">
                  <c:v>8.3680000000000003</c:v>
                </c:pt>
                <c:pt idx="1157">
                  <c:v>8.2279999999999998</c:v>
                </c:pt>
                <c:pt idx="1158">
                  <c:v>7.8440000000000003</c:v>
                </c:pt>
                <c:pt idx="1159">
                  <c:v>7.91</c:v>
                </c:pt>
                <c:pt idx="1160">
                  <c:v>7.8440000000000003</c:v>
                </c:pt>
                <c:pt idx="1161">
                  <c:v>7.7439999999999998</c:v>
                </c:pt>
                <c:pt idx="1162">
                  <c:v>7.6779999999999999</c:v>
                </c:pt>
                <c:pt idx="1163">
                  <c:v>7.6879999999999997</c:v>
                </c:pt>
                <c:pt idx="1164">
                  <c:v>7.8079999999999998</c:v>
                </c:pt>
                <c:pt idx="1165">
                  <c:v>7.718</c:v>
                </c:pt>
                <c:pt idx="1166">
                  <c:v>7.6440000000000001</c:v>
                </c:pt>
                <c:pt idx="1167">
                  <c:v>7.8780000000000001</c:v>
                </c:pt>
                <c:pt idx="1168">
                  <c:v>7.7359999999999998</c:v>
                </c:pt>
                <c:pt idx="1169">
                  <c:v>7.7539999999999996</c:v>
                </c:pt>
                <c:pt idx="1170">
                  <c:v>7.492</c:v>
                </c:pt>
                <c:pt idx="1171">
                  <c:v>7.78</c:v>
                </c:pt>
                <c:pt idx="1172">
                  <c:v>7.57</c:v>
                </c:pt>
                <c:pt idx="1173">
                  <c:v>7.7859999999999996</c:v>
                </c:pt>
                <c:pt idx="1174">
                  <c:v>7.806</c:v>
                </c:pt>
                <c:pt idx="1175">
                  <c:v>7.7519999999999998</c:v>
                </c:pt>
                <c:pt idx="1176">
                  <c:v>7.8280000000000003</c:v>
                </c:pt>
                <c:pt idx="1177">
                  <c:v>7.9320000000000004</c:v>
                </c:pt>
                <c:pt idx="1178">
                  <c:v>7.8419999999999996</c:v>
                </c:pt>
                <c:pt idx="1179">
                  <c:v>7.8120000000000003</c:v>
                </c:pt>
                <c:pt idx="1180">
                  <c:v>7.8460000000000001</c:v>
                </c:pt>
                <c:pt idx="1181">
                  <c:v>7.8680000000000003</c:v>
                </c:pt>
                <c:pt idx="1182">
                  <c:v>7.8620000000000001</c:v>
                </c:pt>
                <c:pt idx="1183">
                  <c:v>7.8680000000000003</c:v>
                </c:pt>
                <c:pt idx="1184">
                  <c:v>7.9080000000000004</c:v>
                </c:pt>
                <c:pt idx="1185">
                  <c:v>7.8419999999999996</c:v>
                </c:pt>
                <c:pt idx="1186">
                  <c:v>7.758</c:v>
                </c:pt>
                <c:pt idx="1187">
                  <c:v>7.78</c:v>
                </c:pt>
                <c:pt idx="1188">
                  <c:v>7.4</c:v>
                </c:pt>
                <c:pt idx="1189">
                  <c:v>7.226</c:v>
                </c:pt>
                <c:pt idx="1190">
                  <c:v>7.3019999999999996</c:v>
                </c:pt>
                <c:pt idx="1191">
                  <c:v>7.2880000000000003</c:v>
                </c:pt>
                <c:pt idx="1192">
                  <c:v>7.3419999999999996</c:v>
                </c:pt>
                <c:pt idx="1193">
                  <c:v>7.6680000000000001</c:v>
                </c:pt>
                <c:pt idx="1194">
                  <c:v>7.7</c:v>
                </c:pt>
                <c:pt idx="1195">
                  <c:v>7.734</c:v>
                </c:pt>
                <c:pt idx="1196">
                  <c:v>7.8079999999999998</c:v>
                </c:pt>
                <c:pt idx="1197">
                  <c:v>7.806</c:v>
                </c:pt>
                <c:pt idx="1198">
                  <c:v>7.8559999999999999</c:v>
                </c:pt>
                <c:pt idx="1199">
                  <c:v>7.7140000000000004</c:v>
                </c:pt>
                <c:pt idx="1200">
                  <c:v>7.73</c:v>
                </c:pt>
                <c:pt idx="1201">
                  <c:v>7.4980000000000002</c:v>
                </c:pt>
                <c:pt idx="1202">
                  <c:v>7.492</c:v>
                </c:pt>
                <c:pt idx="1203">
                  <c:v>7.32</c:v>
                </c:pt>
                <c:pt idx="1204">
                  <c:v>7.2839999999999998</c:v>
                </c:pt>
                <c:pt idx="1205">
                  <c:v>7.524</c:v>
                </c:pt>
                <c:pt idx="1206">
                  <c:v>7.5540000000000003</c:v>
                </c:pt>
                <c:pt idx="1207">
                  <c:v>7.6219999999999999</c:v>
                </c:pt>
                <c:pt idx="1208">
                  <c:v>7.5039999999999996</c:v>
                </c:pt>
                <c:pt idx="1209">
                  <c:v>7.57</c:v>
                </c:pt>
                <c:pt idx="1210">
                  <c:v>7.7080000000000002</c:v>
                </c:pt>
                <c:pt idx="1211">
                  <c:v>7.54</c:v>
                </c:pt>
                <c:pt idx="1212">
                  <c:v>7.3559999999999999</c:v>
                </c:pt>
                <c:pt idx="1213">
                  <c:v>7.2439999999999998</c:v>
                </c:pt>
                <c:pt idx="1214">
                  <c:v>7.3760000000000003</c:v>
                </c:pt>
                <c:pt idx="1215">
                  <c:v>7.3040000000000003</c:v>
                </c:pt>
                <c:pt idx="1216">
                  <c:v>7.298</c:v>
                </c:pt>
                <c:pt idx="1217">
                  <c:v>7.7320000000000002</c:v>
                </c:pt>
                <c:pt idx="1218">
                  <c:v>7.718</c:v>
                </c:pt>
                <c:pt idx="1219">
                  <c:v>7.694</c:v>
                </c:pt>
                <c:pt idx="1220">
                  <c:v>7.6539999999999999</c:v>
                </c:pt>
                <c:pt idx="1221">
                  <c:v>7.6580000000000004</c:v>
                </c:pt>
                <c:pt idx="1222">
                  <c:v>7.7539999999999996</c:v>
                </c:pt>
                <c:pt idx="1223">
                  <c:v>7.67</c:v>
                </c:pt>
                <c:pt idx="1224">
                  <c:v>7.66</c:v>
                </c:pt>
                <c:pt idx="1225">
                  <c:v>7.8360000000000003</c:v>
                </c:pt>
                <c:pt idx="1226">
                  <c:v>7.8460000000000001</c:v>
                </c:pt>
                <c:pt idx="1227">
                  <c:v>7.8780000000000001</c:v>
                </c:pt>
                <c:pt idx="1228">
                  <c:v>7.9</c:v>
                </c:pt>
                <c:pt idx="1229">
                  <c:v>7.8739999999999997</c:v>
                </c:pt>
                <c:pt idx="1230">
                  <c:v>7.88</c:v>
                </c:pt>
                <c:pt idx="1231">
                  <c:v>7.8940000000000001</c:v>
                </c:pt>
                <c:pt idx="1232">
                  <c:v>7.976</c:v>
                </c:pt>
                <c:pt idx="1233">
                  <c:v>7.8760000000000003</c:v>
                </c:pt>
                <c:pt idx="1234">
                  <c:v>7.8159999999999998</c:v>
                </c:pt>
                <c:pt idx="1235">
                  <c:v>7.8319999999999999</c:v>
                </c:pt>
                <c:pt idx="1236">
                  <c:v>7.5960000000000001</c:v>
                </c:pt>
                <c:pt idx="1237">
                  <c:v>7.38</c:v>
                </c:pt>
                <c:pt idx="1238">
                  <c:v>7.3339999999999996</c:v>
                </c:pt>
                <c:pt idx="1239">
                  <c:v>7.5819999999999999</c:v>
                </c:pt>
                <c:pt idx="1240">
                  <c:v>7.7439999999999998</c:v>
                </c:pt>
                <c:pt idx="1241">
                  <c:v>7.718</c:v>
                </c:pt>
                <c:pt idx="1242">
                  <c:v>7.7519999999999998</c:v>
                </c:pt>
                <c:pt idx="1243">
                  <c:v>7.8879999999999999</c:v>
                </c:pt>
                <c:pt idx="1244">
                  <c:v>7.9279999999999999</c:v>
                </c:pt>
                <c:pt idx="1245">
                  <c:v>8.07</c:v>
                </c:pt>
                <c:pt idx="1246">
                  <c:v>8.02</c:v>
                </c:pt>
                <c:pt idx="1247">
                  <c:v>8.3059999999999992</c:v>
                </c:pt>
                <c:pt idx="1248">
                  <c:v>8.3260000000000005</c:v>
                </c:pt>
                <c:pt idx="1249">
                  <c:v>8.2880000000000003</c:v>
                </c:pt>
                <c:pt idx="1250">
                  <c:v>8.3179999999999996</c:v>
                </c:pt>
                <c:pt idx="1251">
                  <c:v>8.234</c:v>
                </c:pt>
                <c:pt idx="1252">
                  <c:v>8.2560000000000002</c:v>
                </c:pt>
                <c:pt idx="1253">
                  <c:v>8.36</c:v>
                </c:pt>
                <c:pt idx="1254">
                  <c:v>8.49</c:v>
                </c:pt>
                <c:pt idx="1255">
                  <c:v>8.58</c:v>
                </c:pt>
                <c:pt idx="1256">
                  <c:v>8.8219999999999992</c:v>
                </c:pt>
                <c:pt idx="1257">
                  <c:v>8.6440000000000001</c:v>
                </c:pt>
                <c:pt idx="1258">
                  <c:v>8.7219999999999995</c:v>
                </c:pt>
                <c:pt idx="1259">
                  <c:v>8.7360000000000007</c:v>
                </c:pt>
                <c:pt idx="1260">
                  <c:v>8.9</c:v>
                </c:pt>
                <c:pt idx="1261">
                  <c:v>8.7520000000000007</c:v>
                </c:pt>
                <c:pt idx="1262">
                  <c:v>8.6620000000000008</c:v>
                </c:pt>
                <c:pt idx="1263">
                  <c:v>8.7859999999999996</c:v>
                </c:pt>
                <c:pt idx="1264">
                  <c:v>8.7560000000000002</c:v>
                </c:pt>
                <c:pt idx="1265">
                  <c:v>8.8800000000000008</c:v>
                </c:pt>
                <c:pt idx="1266">
                  <c:v>8.9179999999999993</c:v>
                </c:pt>
                <c:pt idx="1267">
                  <c:v>8.9879999999999995</c:v>
                </c:pt>
                <c:pt idx="1268">
                  <c:v>9.18</c:v>
                </c:pt>
              </c:numCache>
            </c:numRef>
          </c:val>
          <c:smooth val="0"/>
          <c:extLst>
            <c:ext xmlns:c16="http://schemas.microsoft.com/office/drawing/2014/chart" uri="{C3380CC4-5D6E-409C-BE32-E72D297353CC}">
              <c16:uniqueId val="{00000000-68EC-4DCE-9907-241F849FF9C9}"/>
            </c:ext>
          </c:extLst>
        </c:ser>
        <c:ser>
          <c:idx val="1"/>
          <c:order val="1"/>
          <c:tx>
            <c:strRef>
              <c:f>Dati_G!$U$2</c:f>
              <c:strCache>
                <c:ptCount val="1"/>
                <c:pt idx="0">
                  <c:v>DRIFT STUDI</c:v>
                </c:pt>
              </c:strCache>
            </c:strRef>
          </c:tx>
          <c:marker>
            <c:symbol val="none"/>
          </c:marker>
          <c:val>
            <c:numRef>
              <c:f>Dati_G!$U$3:$U$1287</c:f>
              <c:numCache>
                <c:formatCode>General</c:formatCode>
                <c:ptCount val="1285"/>
                <c:pt idx="0">
                  <c:v>7.8250000000000002</c:v>
                </c:pt>
                <c:pt idx="1">
                  <c:v>7.783100012699518</c:v>
                </c:pt>
                <c:pt idx="2">
                  <c:v>7.9911589470639584</c:v>
                </c:pt>
                <c:pt idx="3">
                  <c:v>7.8292954838316113</c:v>
                </c:pt>
                <c:pt idx="4">
                  <c:v>7.672507306130556</c:v>
                </c:pt>
                <c:pt idx="5">
                  <c:v>7.7605565405562844</c:v>
                </c:pt>
                <c:pt idx="6">
                  <c:v>7.8086114320420803</c:v>
                </c:pt>
                <c:pt idx="7">
                  <c:v>7.8965843535725746</c:v>
                </c:pt>
                <c:pt idx="8">
                  <c:v>7.9645482623491306</c:v>
                </c:pt>
                <c:pt idx="9">
                  <c:v>8.2819947727995835</c:v>
                </c:pt>
                <c:pt idx="10">
                  <c:v>8.3897451991607515</c:v>
                </c:pt>
                <c:pt idx="11">
                  <c:v>8.1033944854619939</c:v>
                </c:pt>
                <c:pt idx="12">
                  <c:v>8.2560147344913979</c:v>
                </c:pt>
                <c:pt idx="13">
                  <c:v>8.353720415435868</c:v>
                </c:pt>
                <c:pt idx="14">
                  <c:v>8.207146767944133</c:v>
                </c:pt>
                <c:pt idx="15">
                  <c:v>7.9261010353461874</c:v>
                </c:pt>
                <c:pt idx="16">
                  <c:v>7.8444671241244182</c:v>
                </c:pt>
                <c:pt idx="17">
                  <c:v>7.6881633745549323</c:v>
                </c:pt>
                <c:pt idx="18">
                  <c:v>7.5568327215165727</c:v>
                </c:pt>
                <c:pt idx="19">
                  <c:v>7.6047793546097946</c:v>
                </c:pt>
                <c:pt idx="20">
                  <c:v>7.3889239959631112</c:v>
                </c:pt>
                <c:pt idx="21">
                  <c:v>7.7802106973967016</c:v>
                </c:pt>
                <c:pt idx="22">
                  <c:v>7.9723293968893234</c:v>
                </c:pt>
                <c:pt idx="23">
                  <c:v>8.0997015369420868</c:v>
                </c:pt>
                <c:pt idx="24">
                  <c:v>7.9087915354574916</c:v>
                </c:pt>
                <c:pt idx="25">
                  <c:v>7.9168131154225874</c:v>
                </c:pt>
                <c:pt idx="26">
                  <c:v>7.7657983092765166</c:v>
                </c:pt>
                <c:pt idx="27">
                  <c:v>7.848377553582111</c:v>
                </c:pt>
                <c:pt idx="28">
                  <c:v>7.9507857688574042</c:v>
                </c:pt>
                <c:pt idx="29">
                  <c:v>7.9240245531809377</c:v>
                </c:pt>
                <c:pt idx="30">
                  <c:v>7.8376967514374067</c:v>
                </c:pt>
                <c:pt idx="31">
                  <c:v>7.6571001517584589</c:v>
                </c:pt>
                <c:pt idx="32">
                  <c:v>7.5708788436839454</c:v>
                </c:pt>
                <c:pt idx="33">
                  <c:v>7.4003578067679623</c:v>
                </c:pt>
                <c:pt idx="34">
                  <c:v>7.5473616869765952</c:v>
                </c:pt>
                <c:pt idx="35">
                  <c:v>7.1389038447146893</c:v>
                </c:pt>
                <c:pt idx="36">
                  <c:v>7.0677644387370249</c:v>
                </c:pt>
                <c:pt idx="37">
                  <c:v>7.041266532966767</c:v>
                </c:pt>
                <c:pt idx="38">
                  <c:v>6.816575145102262</c:v>
                </c:pt>
                <c:pt idx="39">
                  <c:v>6.5176856319912977</c:v>
                </c:pt>
                <c:pt idx="40">
                  <c:v>6.6448719386036119</c:v>
                </c:pt>
                <c:pt idx="41">
                  <c:v>6.6185011510403449</c:v>
                </c:pt>
                <c:pt idx="42">
                  <c:v>6.7901533060145871</c:v>
                </c:pt>
                <c:pt idx="43">
                  <c:v>6.7934536810452126</c:v>
                </c:pt>
                <c:pt idx="44">
                  <c:v>6.5988364331840579</c:v>
                </c:pt>
                <c:pt idx="45">
                  <c:v>6.8148869464175652</c:v>
                </c:pt>
                <c:pt idx="46">
                  <c:v>7.0901797347042566</c:v>
                </c:pt>
                <c:pt idx="47">
                  <c:v>7.1032911810205128</c:v>
                </c:pt>
                <c:pt idx="48">
                  <c:v>7.1411115461893191</c:v>
                </c:pt>
                <c:pt idx="49">
                  <c:v>7.0899581566942667</c:v>
                </c:pt>
                <c:pt idx="50">
                  <c:v>7.2611624535144239</c:v>
                </c:pt>
                <c:pt idx="51">
                  <c:v>7.3186741670790783</c:v>
                </c:pt>
                <c:pt idx="52">
                  <c:v>7.1934377049187095</c:v>
                </c:pt>
                <c:pt idx="53">
                  <c:v>7.2558741077891451</c:v>
                </c:pt>
                <c:pt idx="54">
                  <c:v>7.5453344679452163</c:v>
                </c:pt>
                <c:pt idx="55">
                  <c:v>7.9086788091076921</c:v>
                </c:pt>
                <c:pt idx="56">
                  <c:v>7.8722227884421097</c:v>
                </c:pt>
                <c:pt idx="57">
                  <c:v>7.8703113349820963</c:v>
                </c:pt>
                <c:pt idx="58">
                  <c:v>7.641561798393008</c:v>
                </c:pt>
                <c:pt idx="59">
                  <c:v>7.6446363915699296</c:v>
                </c:pt>
                <c:pt idx="60">
                  <c:v>7.7068551648668571</c:v>
                </c:pt>
                <c:pt idx="61">
                  <c:v>7.5817924454237078</c:v>
                </c:pt>
                <c:pt idx="62">
                  <c:v>7.5503928663086421</c:v>
                </c:pt>
                <c:pt idx="63">
                  <c:v>7.5781109961228275</c:v>
                </c:pt>
                <c:pt idx="64">
                  <c:v>7.7042962229024452</c:v>
                </c:pt>
                <c:pt idx="65">
                  <c:v>7.4759733863209457</c:v>
                </c:pt>
                <c:pt idx="66">
                  <c:v>7.4397066558706362</c:v>
                </c:pt>
                <c:pt idx="67">
                  <c:v>7.3493322852208758</c:v>
                </c:pt>
                <c:pt idx="68">
                  <c:v>7.263920854413354</c:v>
                </c:pt>
                <c:pt idx="69">
                  <c:v>7.3064193150551464</c:v>
                </c:pt>
                <c:pt idx="70">
                  <c:v>7.2653105507816838</c:v>
                </c:pt>
                <c:pt idx="71">
                  <c:v>7.1554024615291576</c:v>
                </c:pt>
                <c:pt idx="72">
                  <c:v>7.2273814306387454</c:v>
                </c:pt>
                <c:pt idx="73">
                  <c:v>7.2944119623350865</c:v>
                </c:pt>
                <c:pt idx="74">
                  <c:v>7.3564976121091235</c:v>
                </c:pt>
                <c:pt idx="75">
                  <c:v>7.2466720310379555</c:v>
                </c:pt>
                <c:pt idx="76">
                  <c:v>7.0387063527771083</c:v>
                </c:pt>
                <c:pt idx="77">
                  <c:v>6.7866667246780752</c:v>
                </c:pt>
                <c:pt idx="78">
                  <c:v>6.9469566726796845</c:v>
                </c:pt>
                <c:pt idx="79">
                  <c:v>6.8422429831662726</c:v>
                </c:pt>
                <c:pt idx="80">
                  <c:v>6.8798202884153072</c:v>
                </c:pt>
                <c:pt idx="81">
                  <c:v>6.9320899448988529</c:v>
                </c:pt>
                <c:pt idx="82">
                  <c:v>6.6264537405224173</c:v>
                </c:pt>
                <c:pt idx="83">
                  <c:v>6.8748071543176108</c:v>
                </c:pt>
                <c:pt idx="84">
                  <c:v>6.6281340644698243</c:v>
                </c:pt>
                <c:pt idx="85">
                  <c:v>6.6853107994784553</c:v>
                </c:pt>
                <c:pt idx="86">
                  <c:v>6.6053249225446731</c:v>
                </c:pt>
                <c:pt idx="87">
                  <c:v>6.7016502900732755</c:v>
                </c:pt>
                <c:pt idx="88">
                  <c:v>6.7049183519232098</c:v>
                </c:pt>
                <c:pt idx="89">
                  <c:v>6.8990543709839915</c:v>
                </c:pt>
                <c:pt idx="90">
                  <c:v>6.9463086760533308</c:v>
                </c:pt>
                <c:pt idx="91">
                  <c:v>6.7000337100227423</c:v>
                </c:pt>
                <c:pt idx="92">
                  <c:v>6.7277500889791879</c:v>
                </c:pt>
                <c:pt idx="93">
                  <c:v>6.6381081660743444</c:v>
                </c:pt>
                <c:pt idx="94">
                  <c:v>6.4751874065102228</c:v>
                </c:pt>
                <c:pt idx="95">
                  <c:v>6.4198588942330099</c:v>
                </c:pt>
                <c:pt idx="96">
                  <c:v>6.291270917650734</c:v>
                </c:pt>
                <c:pt idx="97">
                  <c:v>6.1383229945133317</c:v>
                </c:pt>
                <c:pt idx="98">
                  <c:v>5.8389505262473378</c:v>
                </c:pt>
                <c:pt idx="99">
                  <c:v>5.7740659178324147</c:v>
                </c:pt>
                <c:pt idx="100">
                  <c:v>5.8751621291467089</c:v>
                </c:pt>
                <c:pt idx="101">
                  <c:v>5.8200588513272553</c:v>
                </c:pt>
                <c:pt idx="102">
                  <c:v>5.9113373165490062</c:v>
                </c:pt>
                <c:pt idx="103">
                  <c:v>5.9391660315740102</c:v>
                </c:pt>
                <c:pt idx="104">
                  <c:v>6.0206187073780519</c:v>
                </c:pt>
                <c:pt idx="105">
                  <c:v>6.1507817041087876</c:v>
                </c:pt>
                <c:pt idx="106">
                  <c:v>6.2272696180707632</c:v>
                </c:pt>
                <c:pt idx="107">
                  <c:v>6.2062669037593912</c:v>
                </c:pt>
                <c:pt idx="108">
                  <c:v>6.3801332799471036</c:v>
                </c:pt>
                <c:pt idx="109">
                  <c:v>6.4029357742998467</c:v>
                </c:pt>
                <c:pt idx="110">
                  <c:v>6.5085024372031173</c:v>
                </c:pt>
                <c:pt idx="111">
                  <c:v>6.6675657737574694</c:v>
                </c:pt>
                <c:pt idx="112">
                  <c:v>6.7097483499019015</c:v>
                </c:pt>
                <c:pt idx="113">
                  <c:v>6.5378209752496588</c:v>
                </c:pt>
                <c:pt idx="114">
                  <c:v>6.4681312259064674</c:v>
                </c:pt>
                <c:pt idx="115">
                  <c:v>6.3644323119709041</c:v>
                </c:pt>
                <c:pt idx="116">
                  <c:v>6.3434387378533961</c:v>
                </c:pt>
                <c:pt idx="117">
                  <c:v>6.6043856084502321</c:v>
                </c:pt>
                <c:pt idx="118">
                  <c:v>6.9089455696347066</c:v>
                </c:pt>
                <c:pt idx="119">
                  <c:v>7.0335919087034542</c:v>
                </c:pt>
                <c:pt idx="120">
                  <c:v>7.0124542712030911</c:v>
                </c:pt>
                <c:pt idx="121">
                  <c:v>6.8942010915304293</c:v>
                </c:pt>
                <c:pt idx="122">
                  <c:v>6.9216575385472767</c:v>
                </c:pt>
                <c:pt idx="123">
                  <c:v>6.793775562125413</c:v>
                </c:pt>
                <c:pt idx="124">
                  <c:v>6.8358002377763638</c:v>
                </c:pt>
                <c:pt idx="125">
                  <c:v>6.7274068643297591</c:v>
                </c:pt>
                <c:pt idx="126">
                  <c:v>6.619066136899022</c:v>
                </c:pt>
                <c:pt idx="127">
                  <c:v>6.7968768721914268</c:v>
                </c:pt>
                <c:pt idx="128">
                  <c:v>6.8582503459808599</c:v>
                </c:pt>
                <c:pt idx="129">
                  <c:v>6.8711255551440447</c:v>
                </c:pt>
                <c:pt idx="130">
                  <c:v>6.6659400599873777</c:v>
                </c:pt>
                <c:pt idx="131">
                  <c:v>6.5819661397770686</c:v>
                </c:pt>
                <c:pt idx="132">
                  <c:v>6.4980328561027312</c:v>
                </c:pt>
                <c:pt idx="133">
                  <c:v>6.4431925051391543</c:v>
                </c:pt>
                <c:pt idx="134">
                  <c:v>6.5529679499147147</c:v>
                </c:pt>
                <c:pt idx="135">
                  <c:v>6.3819869587960705</c:v>
                </c:pt>
                <c:pt idx="136">
                  <c:v>6.5884930272762565</c:v>
                </c:pt>
                <c:pt idx="137">
                  <c:v>6.6836406039439273</c:v>
                </c:pt>
                <c:pt idx="138">
                  <c:v>6.4208624731253652</c:v>
                </c:pt>
                <c:pt idx="139">
                  <c:v>6.5691880151510178</c:v>
                </c:pt>
                <c:pt idx="140">
                  <c:v>6.5820944702034332</c:v>
                </c:pt>
                <c:pt idx="141">
                  <c:v>6.4451815551947051</c:v>
                </c:pt>
                <c:pt idx="142">
                  <c:v>6.4194592492874705</c:v>
                </c:pt>
                <c:pt idx="143">
                  <c:v>6.2681614616116299</c:v>
                </c:pt>
                <c:pt idx="144">
                  <c:v>6.2569813060174608</c:v>
                </c:pt>
                <c:pt idx="145">
                  <c:v>6.2216666254250219</c:v>
                </c:pt>
                <c:pt idx="146">
                  <c:v>6.1911955090533288</c:v>
                </c:pt>
                <c:pt idx="147">
                  <c:v>5.8326006685926854</c:v>
                </c:pt>
                <c:pt idx="148">
                  <c:v>5.7781169556524272</c:v>
                </c:pt>
                <c:pt idx="149">
                  <c:v>6.0757484052066593</c:v>
                </c:pt>
                <c:pt idx="150">
                  <c:v>6.1273154014556104</c:v>
                </c:pt>
                <c:pt idx="151">
                  <c:v>6.3909750300683354</c:v>
                </c:pt>
                <c:pt idx="152">
                  <c:v>6.4231614170885543</c:v>
                </c:pt>
                <c:pt idx="153">
                  <c:v>6.5083361727656586</c:v>
                </c:pt>
                <c:pt idx="154">
                  <c:v>6.6127391529917432</c:v>
                </c:pt>
                <c:pt idx="155">
                  <c:v>6.3895850797587466</c:v>
                </c:pt>
                <c:pt idx="156">
                  <c:v>6.6865673668616843</c:v>
                </c:pt>
                <c:pt idx="157">
                  <c:v>6.5549673307566403</c:v>
                </c:pt>
                <c:pt idx="158">
                  <c:v>6.5774394766553037</c:v>
                </c:pt>
                <c:pt idx="159">
                  <c:v>6.7538711296639748</c:v>
                </c:pt>
                <c:pt idx="160">
                  <c:v>6.6800744801962342</c:v>
                </c:pt>
                <c:pt idx="161">
                  <c:v>6.558220770016522</c:v>
                </c:pt>
                <c:pt idx="162">
                  <c:v>6.7345273197334681</c:v>
                </c:pt>
                <c:pt idx="163">
                  <c:v>6.6175254749446051</c:v>
                </c:pt>
                <c:pt idx="164">
                  <c:v>6.5678611182872162</c:v>
                </c:pt>
                <c:pt idx="165">
                  <c:v>6.5278297352144996</c:v>
                </c:pt>
                <c:pt idx="166">
                  <c:v>6.5694753741667151</c:v>
                </c:pt>
                <c:pt idx="167">
                  <c:v>6.3421745808633139</c:v>
                </c:pt>
                <c:pt idx="168">
                  <c:v>6.4030481655137761</c:v>
                </c:pt>
                <c:pt idx="169">
                  <c:v>6.4494923039761272</c:v>
                </c:pt>
                <c:pt idx="170">
                  <c:v>6.5486996207820329</c:v>
                </c:pt>
                <c:pt idx="171">
                  <c:v>6.5471095318217571</c:v>
                </c:pt>
                <c:pt idx="172">
                  <c:v>6.6318553392605253</c:v>
                </c:pt>
                <c:pt idx="173">
                  <c:v>6.54872550701623</c:v>
                </c:pt>
                <c:pt idx="174">
                  <c:v>6.7676635035148429</c:v>
                </c:pt>
                <c:pt idx="175">
                  <c:v>6.7132976569277227</c:v>
                </c:pt>
                <c:pt idx="176">
                  <c:v>6.7787526606084905</c:v>
                </c:pt>
                <c:pt idx="177">
                  <c:v>6.7866879883429112</c:v>
                </c:pt>
                <c:pt idx="178">
                  <c:v>6.9335138803145817</c:v>
                </c:pt>
                <c:pt idx="179">
                  <c:v>6.8935236481295687</c:v>
                </c:pt>
                <c:pt idx="180">
                  <c:v>6.8822754940888746</c:v>
                </c:pt>
                <c:pt idx="181">
                  <c:v>6.8806044096112782</c:v>
                </c:pt>
                <c:pt idx="182">
                  <c:v>6.9937699658204249</c:v>
                </c:pt>
                <c:pt idx="183">
                  <c:v>6.7146171869366285</c:v>
                </c:pt>
                <c:pt idx="184">
                  <c:v>7.057326154472074</c:v>
                </c:pt>
                <c:pt idx="185">
                  <c:v>7.0843008836659775</c:v>
                </c:pt>
                <c:pt idx="186">
                  <c:v>6.8579099346775125</c:v>
                </c:pt>
                <c:pt idx="187">
                  <c:v>6.7128738269975177</c:v>
                </c:pt>
                <c:pt idx="188">
                  <c:v>6.5153521831694698</c:v>
                </c:pt>
                <c:pt idx="189">
                  <c:v>6.3274807960298975</c:v>
                </c:pt>
                <c:pt idx="190">
                  <c:v>6.1349261330035816</c:v>
                </c:pt>
                <c:pt idx="191">
                  <c:v>6.4007951609314855</c:v>
                </c:pt>
                <c:pt idx="192">
                  <c:v>6.380148381619704</c:v>
                </c:pt>
                <c:pt idx="193">
                  <c:v>6.5313028447522141</c:v>
                </c:pt>
                <c:pt idx="194">
                  <c:v>6.4199872754238054</c:v>
                </c:pt>
                <c:pt idx="195">
                  <c:v>6.480434259731795</c:v>
                </c:pt>
                <c:pt idx="196">
                  <c:v>6.5408516553090417</c:v>
                </c:pt>
                <c:pt idx="197">
                  <c:v>6.4439157801439562</c:v>
                </c:pt>
                <c:pt idx="198">
                  <c:v>6.4518835535284227</c:v>
                </c:pt>
                <c:pt idx="199">
                  <c:v>6.5408530046053048</c:v>
                </c:pt>
                <c:pt idx="200">
                  <c:v>6.253430020971031</c:v>
                </c:pt>
                <c:pt idx="201">
                  <c:v>6.1661829589245531</c:v>
                </c:pt>
                <c:pt idx="202">
                  <c:v>6.1646857487885267</c:v>
                </c:pt>
                <c:pt idx="203">
                  <c:v>6.4630925332120563</c:v>
                </c:pt>
                <c:pt idx="204">
                  <c:v>6.1521704951089413</c:v>
                </c:pt>
                <c:pt idx="205">
                  <c:v>6.2220475747518096</c:v>
                </c:pt>
                <c:pt idx="206">
                  <c:v>6.3156751422567794</c:v>
                </c:pt>
                <c:pt idx="207">
                  <c:v>6.2713396186705399</c:v>
                </c:pt>
                <c:pt idx="208">
                  <c:v>6.393436913430997</c:v>
                </c:pt>
                <c:pt idx="209">
                  <c:v>6.4869542176698669</c:v>
                </c:pt>
                <c:pt idx="210">
                  <c:v>6.780024660660593</c:v>
                </c:pt>
                <c:pt idx="211">
                  <c:v>6.773627160064998</c:v>
                </c:pt>
                <c:pt idx="212">
                  <c:v>6.8669842399273238</c:v>
                </c:pt>
                <c:pt idx="213">
                  <c:v>6.9887896139868033</c:v>
                </c:pt>
                <c:pt idx="214">
                  <c:v>6.9681013907037155</c:v>
                </c:pt>
                <c:pt idx="215">
                  <c:v>7.1800093051214668</c:v>
                </c:pt>
                <c:pt idx="216">
                  <c:v>7.3253778171988841</c:v>
                </c:pt>
                <c:pt idx="217">
                  <c:v>7.1622890098196956</c:v>
                </c:pt>
                <c:pt idx="218">
                  <c:v>7.3218200189591363</c:v>
                </c:pt>
                <c:pt idx="219">
                  <c:v>7.2915895402613344</c:v>
                </c:pt>
                <c:pt idx="220">
                  <c:v>7.304041936753304</c:v>
                </c:pt>
                <c:pt idx="221">
                  <c:v>7.4397228339799826</c:v>
                </c:pt>
                <c:pt idx="222">
                  <c:v>7.4426550727457492</c:v>
                </c:pt>
                <c:pt idx="223">
                  <c:v>7.2702969470016914</c:v>
                </c:pt>
                <c:pt idx="224">
                  <c:v>7.2685316470821979</c:v>
                </c:pt>
                <c:pt idx="225">
                  <c:v>7.096299584071863</c:v>
                </c:pt>
                <c:pt idx="226">
                  <c:v>7.4117560335202182</c:v>
                </c:pt>
                <c:pt idx="227">
                  <c:v>7.3200308657347399</c:v>
                </c:pt>
                <c:pt idx="228">
                  <c:v>7.5643049476002275</c:v>
                </c:pt>
                <c:pt idx="229">
                  <c:v>7.515161787165991</c:v>
                </c:pt>
                <c:pt idx="230">
                  <c:v>7.6457627900085283</c:v>
                </c:pt>
                <c:pt idx="231">
                  <c:v>7.6249928717209752</c:v>
                </c:pt>
                <c:pt idx="232">
                  <c:v>7.6987768392910416</c:v>
                </c:pt>
                <c:pt idx="233">
                  <c:v>7.7252639526676399</c:v>
                </c:pt>
                <c:pt idx="234">
                  <c:v>7.7517377747515601</c:v>
                </c:pt>
                <c:pt idx="235">
                  <c:v>7.8065410444314107</c:v>
                </c:pt>
                <c:pt idx="236">
                  <c:v>7.8235361405861195</c:v>
                </c:pt>
                <c:pt idx="237">
                  <c:v>7.613890226174898</c:v>
                </c:pt>
                <c:pt idx="238">
                  <c:v>7.7630920174691473</c:v>
                </c:pt>
                <c:pt idx="239">
                  <c:v>7.7706454717860733</c:v>
                </c:pt>
                <c:pt idx="240">
                  <c:v>7.754604501114768</c:v>
                </c:pt>
                <c:pt idx="241">
                  <c:v>7.6395157014110637</c:v>
                </c:pt>
                <c:pt idx="242">
                  <c:v>7.7319757601900099</c:v>
                </c:pt>
                <c:pt idx="243">
                  <c:v>7.9422562315625367</c:v>
                </c:pt>
                <c:pt idx="244">
                  <c:v>7.8649116903797172</c:v>
                </c:pt>
                <c:pt idx="245">
                  <c:v>7.8441526132280828</c:v>
                </c:pt>
                <c:pt idx="246">
                  <c:v>7.7998471505475386</c:v>
                </c:pt>
                <c:pt idx="247">
                  <c:v>7.9628051125573567</c:v>
                </c:pt>
                <c:pt idx="248">
                  <c:v>7.9891252607192085</c:v>
                </c:pt>
                <c:pt idx="249">
                  <c:v>8.2602374346305893</c:v>
                </c:pt>
                <c:pt idx="250">
                  <c:v>8.2299916393997741</c:v>
                </c:pt>
                <c:pt idx="251">
                  <c:v>8.1244714087146406</c:v>
                </c:pt>
                <c:pt idx="252">
                  <c:v>8.0519329447070014</c:v>
                </c:pt>
                <c:pt idx="253">
                  <c:v>8.1722618842116272</c:v>
                </c:pt>
                <c:pt idx="254">
                  <c:v>8.1984902200128236</c:v>
                </c:pt>
                <c:pt idx="255">
                  <c:v>8.1917985764344881</c:v>
                </c:pt>
                <c:pt idx="256">
                  <c:v>8.4201010530613178</c:v>
                </c:pt>
                <c:pt idx="257">
                  <c:v>8.39926170092434</c:v>
                </c:pt>
                <c:pt idx="258">
                  <c:v>8.1717387416146554</c:v>
                </c:pt>
                <c:pt idx="259">
                  <c:v>8.2589861926595685</c:v>
                </c:pt>
                <c:pt idx="260">
                  <c:v>8.4494870451987492</c:v>
                </c:pt>
                <c:pt idx="261">
                  <c:v>8.3864113531703879</c:v>
                </c:pt>
                <c:pt idx="262">
                  <c:v>8.3937610724265141</c:v>
                </c:pt>
                <c:pt idx="263">
                  <c:v>8.3729554917032303</c:v>
                </c:pt>
                <c:pt idx="264">
                  <c:v>8.5022629336975246</c:v>
                </c:pt>
                <c:pt idx="265">
                  <c:v>8.3923374702193847</c:v>
                </c:pt>
                <c:pt idx="266">
                  <c:v>8.559084168518444</c:v>
                </c:pt>
                <c:pt idx="267">
                  <c:v>8.5570059383300805</c:v>
                </c:pt>
                <c:pt idx="268">
                  <c:v>8.5127523894022268</c:v>
                </c:pt>
                <c:pt idx="269">
                  <c:v>8.3373382222317751</c:v>
                </c:pt>
                <c:pt idx="270">
                  <c:v>8.4008884044369374</c:v>
                </c:pt>
                <c:pt idx="271">
                  <c:v>8.2443171936879942</c:v>
                </c:pt>
                <c:pt idx="272">
                  <c:v>7.9848267800755464</c:v>
                </c:pt>
                <c:pt idx="273">
                  <c:v>8.0671358645279376</c:v>
                </c:pt>
                <c:pt idx="274">
                  <c:v>8.0324218922222279</c:v>
                </c:pt>
                <c:pt idx="275">
                  <c:v>7.997724334520691</c:v>
                </c:pt>
                <c:pt idx="276">
                  <c:v>7.9396580267506209</c:v>
                </c:pt>
                <c:pt idx="277">
                  <c:v>7.9470819755873867</c:v>
                </c:pt>
                <c:pt idx="278">
                  <c:v>8.2256375917744275</c:v>
                </c:pt>
                <c:pt idx="279">
                  <c:v>8.0366940168049368</c:v>
                </c:pt>
                <c:pt idx="280">
                  <c:v>7.9459651941993572</c:v>
                </c:pt>
                <c:pt idx="281">
                  <c:v>8.1449038561369793</c:v>
                </c:pt>
                <c:pt idx="282">
                  <c:v>8.1896286233877618</c:v>
                </c:pt>
                <c:pt idx="283">
                  <c:v>7.9401769780559643</c:v>
                </c:pt>
                <c:pt idx="284">
                  <c:v>8.0456117938980238</c:v>
                </c:pt>
                <c:pt idx="285">
                  <c:v>8.0249909271277726</c:v>
                </c:pt>
                <c:pt idx="286">
                  <c:v>8.3589722328180311</c:v>
                </c:pt>
                <c:pt idx="287">
                  <c:v>8.3616071968251262</c:v>
                </c:pt>
                <c:pt idx="288">
                  <c:v>8.3222691315152044</c:v>
                </c:pt>
                <c:pt idx="289">
                  <c:v>8.4507938004986531</c:v>
                </c:pt>
                <c:pt idx="290">
                  <c:v>8.5932397174614739</c:v>
                </c:pt>
                <c:pt idx="291">
                  <c:v>8.6191138438083108</c:v>
                </c:pt>
                <c:pt idx="292">
                  <c:v>8.5471363309800861</c:v>
                </c:pt>
                <c:pt idx="293">
                  <c:v>8.8291892395503098</c:v>
                </c:pt>
                <c:pt idx="294">
                  <c:v>8.8410156613209505</c:v>
                </c:pt>
                <c:pt idx="295">
                  <c:v>8.6852336321353274</c:v>
                </c:pt>
                <c:pt idx="296">
                  <c:v>8.7296694320190245</c:v>
                </c:pt>
                <c:pt idx="297">
                  <c:v>8.5693361569429722</c:v>
                </c:pt>
                <c:pt idx="298">
                  <c:v>8.5951685845615629</c:v>
                </c:pt>
                <c:pt idx="299">
                  <c:v>8.8860987035578418</c:v>
                </c:pt>
                <c:pt idx="300">
                  <c:v>8.7816416615497968</c:v>
                </c:pt>
                <c:pt idx="301">
                  <c:v>8.7097769279773782</c:v>
                </c:pt>
                <c:pt idx="302">
                  <c:v>8.6658328699170539</c:v>
                </c:pt>
                <c:pt idx="303">
                  <c:v>8.7334271077831591</c:v>
                </c:pt>
                <c:pt idx="304">
                  <c:v>8.7313065454068681</c:v>
                </c:pt>
                <c:pt idx="305">
                  <c:v>8.7849182418309208</c:v>
                </c:pt>
                <c:pt idx="306">
                  <c:v>8.4763345405556816</c:v>
                </c:pt>
                <c:pt idx="307">
                  <c:v>8.2375332146409157</c:v>
                </c:pt>
                <c:pt idx="308">
                  <c:v>8.1891244223716804</c:v>
                </c:pt>
                <c:pt idx="309">
                  <c:v>8.3959238968557326</c:v>
                </c:pt>
                <c:pt idx="310">
                  <c:v>8.3614148596826414</c:v>
                </c:pt>
                <c:pt idx="311">
                  <c:v>8.3037346098501263</c:v>
                </c:pt>
                <c:pt idx="312">
                  <c:v>8.0328090525415909</c:v>
                </c:pt>
                <c:pt idx="313">
                  <c:v>8.0818458544543503</c:v>
                </c:pt>
                <c:pt idx="314">
                  <c:v>7.9825676980030105</c:v>
                </c:pt>
                <c:pt idx="315">
                  <c:v>8.0176930277878409</c:v>
                </c:pt>
                <c:pt idx="316">
                  <c:v>8.126910107521347</c:v>
                </c:pt>
                <c:pt idx="317">
                  <c:v>8.6111622045125777</c:v>
                </c:pt>
                <c:pt idx="318">
                  <c:v>8.5488857869730097</c:v>
                </c:pt>
                <c:pt idx="319">
                  <c:v>8.5468100330524326</c:v>
                </c:pt>
                <c:pt idx="320">
                  <c:v>8.6789294182068755</c:v>
                </c:pt>
                <c:pt idx="321">
                  <c:v>8.7462165133936391</c:v>
                </c:pt>
                <c:pt idx="322">
                  <c:v>8.1705704513024298</c:v>
                </c:pt>
                <c:pt idx="323">
                  <c:v>8.1315947260823602</c:v>
                </c:pt>
                <c:pt idx="324">
                  <c:v>8.3468942866661298</c:v>
                </c:pt>
                <c:pt idx="325">
                  <c:v>8.1784843034599657</c:v>
                </c:pt>
                <c:pt idx="326">
                  <c:v>8.0840862346621574</c:v>
                </c:pt>
                <c:pt idx="327">
                  <c:v>7.8141936234585305</c:v>
                </c:pt>
                <c:pt idx="328">
                  <c:v>7.5398155131357338</c:v>
                </c:pt>
                <c:pt idx="329">
                  <c:v>7.7780768759670655</c:v>
                </c:pt>
                <c:pt idx="330">
                  <c:v>8.039304235732363</c:v>
                </c:pt>
                <c:pt idx="331">
                  <c:v>8.1573418287050963</c:v>
                </c:pt>
                <c:pt idx="332">
                  <c:v>8.2107277190235113</c:v>
                </c:pt>
                <c:pt idx="333">
                  <c:v>8.1579936210261668</c:v>
                </c:pt>
                <c:pt idx="334">
                  <c:v>8.2528572488000886</c:v>
                </c:pt>
                <c:pt idx="335">
                  <c:v>8.4168326254641173</c:v>
                </c:pt>
                <c:pt idx="336">
                  <c:v>8.3871323111756038</c:v>
                </c:pt>
                <c:pt idx="337">
                  <c:v>8.7307194168485989</c:v>
                </c:pt>
                <c:pt idx="338">
                  <c:v>8.6226329965768009</c:v>
                </c:pt>
                <c:pt idx="339">
                  <c:v>8.7587225572041945</c:v>
                </c:pt>
                <c:pt idx="340">
                  <c:v>8.88093103109974</c:v>
                </c:pt>
                <c:pt idx="341">
                  <c:v>8.7820926669720496</c:v>
                </c:pt>
                <c:pt idx="342">
                  <c:v>8.4669716605731598</c:v>
                </c:pt>
                <c:pt idx="343">
                  <c:v>8.787028848516087</c:v>
                </c:pt>
                <c:pt idx="344">
                  <c:v>8.840101735077365</c:v>
                </c:pt>
                <c:pt idx="345">
                  <c:v>8.8425546996300106</c:v>
                </c:pt>
                <c:pt idx="346">
                  <c:v>9.1163063825745443</c:v>
                </c:pt>
                <c:pt idx="347">
                  <c:v>9.0957039347549831</c:v>
                </c:pt>
                <c:pt idx="348">
                  <c:v>8.9694004073605331</c:v>
                </c:pt>
                <c:pt idx="349">
                  <c:v>9.1326418181438829</c:v>
                </c:pt>
                <c:pt idx="350">
                  <c:v>9.0201711013476178</c:v>
                </c:pt>
                <c:pt idx="351">
                  <c:v>8.8342707089669492</c:v>
                </c:pt>
                <c:pt idx="352">
                  <c:v>8.951507697375753</c:v>
                </c:pt>
                <c:pt idx="353">
                  <c:v>8.9309721158064264</c:v>
                </c:pt>
                <c:pt idx="354">
                  <c:v>8.653439596313099</c:v>
                </c:pt>
                <c:pt idx="355">
                  <c:v>8.912868708605604</c:v>
                </c:pt>
                <c:pt idx="356">
                  <c:v>8.9382275880028619</c:v>
                </c:pt>
                <c:pt idx="357">
                  <c:v>8.98191788084827</c:v>
                </c:pt>
                <c:pt idx="358">
                  <c:v>9.0347563875469454</c:v>
                </c:pt>
                <c:pt idx="359">
                  <c:v>8.8675442779370925</c:v>
                </c:pt>
                <c:pt idx="360">
                  <c:v>8.6637519008561217</c:v>
                </c:pt>
                <c:pt idx="361">
                  <c:v>8.2584699552637701</c:v>
                </c:pt>
                <c:pt idx="362">
                  <c:v>7.7801026121580596</c:v>
                </c:pt>
                <c:pt idx="363">
                  <c:v>8.0941800244674518</c:v>
                </c:pt>
                <c:pt idx="364">
                  <c:v>8.1151054582100723</c:v>
                </c:pt>
                <c:pt idx="365">
                  <c:v>8.3465644598624618</c:v>
                </c:pt>
                <c:pt idx="366">
                  <c:v>8.2575944517685365</c:v>
                </c:pt>
                <c:pt idx="367">
                  <c:v>8.1869667576874576</c:v>
                </c:pt>
                <c:pt idx="368">
                  <c:v>7.9791612812288681</c:v>
                </c:pt>
                <c:pt idx="369">
                  <c:v>8.0549578114910343</c:v>
                </c:pt>
                <c:pt idx="370">
                  <c:v>8.29529073050562</c:v>
                </c:pt>
                <c:pt idx="371">
                  <c:v>7.9642071676192954</c:v>
                </c:pt>
                <c:pt idx="372">
                  <c:v>7.953134874374352</c:v>
                </c:pt>
                <c:pt idx="373">
                  <c:v>8.161338297475746</c:v>
                </c:pt>
                <c:pt idx="374">
                  <c:v>8.1867590108893609</c:v>
                </c:pt>
                <c:pt idx="375">
                  <c:v>8.1984690527648585</c:v>
                </c:pt>
                <c:pt idx="376">
                  <c:v>8.0960517024417609</c:v>
                </c:pt>
                <c:pt idx="377">
                  <c:v>8.0165025420677356</c:v>
                </c:pt>
                <c:pt idx="378">
                  <c:v>8.1240586519658358</c:v>
                </c:pt>
                <c:pt idx="379">
                  <c:v>8.1768242332145427</c:v>
                </c:pt>
                <c:pt idx="380">
                  <c:v>8.2386846305938821</c:v>
                </c:pt>
                <c:pt idx="381">
                  <c:v>8.0497522265428323</c:v>
                </c:pt>
                <c:pt idx="382">
                  <c:v>8.1617522570249665</c:v>
                </c:pt>
                <c:pt idx="383">
                  <c:v>7.8544453208053886</c:v>
                </c:pt>
                <c:pt idx="384">
                  <c:v>7.7614193286603737</c:v>
                </c:pt>
                <c:pt idx="385">
                  <c:v>7.7686444264743493</c:v>
                </c:pt>
                <c:pt idx="386">
                  <c:v>8.0354275373784816</c:v>
                </c:pt>
                <c:pt idx="387">
                  <c:v>7.9925026047277967</c:v>
                </c:pt>
                <c:pt idx="388">
                  <c:v>7.8813250084901485</c:v>
                </c:pt>
                <c:pt idx="389">
                  <c:v>7.9977222284204625</c:v>
                </c:pt>
                <c:pt idx="390">
                  <c:v>8.0003296325069524</c:v>
                </c:pt>
                <c:pt idx="391">
                  <c:v>8.1075444987837137</c:v>
                </c:pt>
                <c:pt idx="392">
                  <c:v>8.4102340568701059</c:v>
                </c:pt>
                <c:pt idx="393">
                  <c:v>8.4900212732964029</c:v>
                </c:pt>
                <c:pt idx="394">
                  <c:v>8.34706545494209</c:v>
                </c:pt>
                <c:pt idx="395">
                  <c:v>8.2859685629590452</c:v>
                </c:pt>
                <c:pt idx="396">
                  <c:v>8.1931017294842281</c:v>
                </c:pt>
                <c:pt idx="397">
                  <c:v>8.0321552899818744</c:v>
                </c:pt>
                <c:pt idx="398">
                  <c:v>8.098312594822783</c:v>
                </c:pt>
                <c:pt idx="399">
                  <c:v>7.9601638578400769</c:v>
                </c:pt>
                <c:pt idx="400">
                  <c:v>8.0671500551757518</c:v>
                </c:pt>
                <c:pt idx="401">
                  <c:v>8.1559353665585927</c:v>
                </c:pt>
                <c:pt idx="402">
                  <c:v>8.3444718688170951</c:v>
                </c:pt>
                <c:pt idx="403">
                  <c:v>8.3061654361420629</c:v>
                </c:pt>
                <c:pt idx="404">
                  <c:v>8.2860128847270946</c:v>
                </c:pt>
                <c:pt idx="405">
                  <c:v>8.3882560444739482</c:v>
                </c:pt>
                <c:pt idx="406">
                  <c:v>8.4451319502961972</c:v>
                </c:pt>
                <c:pt idx="407">
                  <c:v>8.270916681690883</c:v>
                </c:pt>
                <c:pt idx="408">
                  <c:v>8.2870265302467701</c:v>
                </c:pt>
                <c:pt idx="409">
                  <c:v>8.4072819628851665</c:v>
                </c:pt>
                <c:pt idx="410">
                  <c:v>8.283002243361647</c:v>
                </c:pt>
                <c:pt idx="411">
                  <c:v>8.2809910485920302</c:v>
                </c:pt>
                <c:pt idx="412">
                  <c:v>8.3513824496890425</c:v>
                </c:pt>
                <c:pt idx="413">
                  <c:v>8.4398355014722846</c:v>
                </c:pt>
                <c:pt idx="414">
                  <c:v>8.3292352871126099</c:v>
                </c:pt>
                <c:pt idx="415">
                  <c:v>8.2684289041077736</c:v>
                </c:pt>
                <c:pt idx="416">
                  <c:v>8.4020433731613</c:v>
                </c:pt>
                <c:pt idx="417">
                  <c:v>8.2508545750975451</c:v>
                </c:pt>
                <c:pt idx="418">
                  <c:v>8.2759624278576176</c:v>
                </c:pt>
                <c:pt idx="419">
                  <c:v>8.3823716641870742</c:v>
                </c:pt>
                <c:pt idx="420">
                  <c:v>8.2583945123739309</c:v>
                </c:pt>
                <c:pt idx="421">
                  <c:v>8.2473587901305976</c:v>
                </c:pt>
                <c:pt idx="422">
                  <c:v>8.2543845573218935</c:v>
                </c:pt>
                <c:pt idx="423">
                  <c:v>8.4013112518278632</c:v>
                </c:pt>
                <c:pt idx="424">
                  <c:v>8.2909837525654417</c:v>
                </c:pt>
                <c:pt idx="425">
                  <c:v>8.4288076689520981</c:v>
                </c:pt>
                <c:pt idx="426">
                  <c:v>8.3004867989907467</c:v>
                </c:pt>
                <c:pt idx="427">
                  <c:v>8.248875837457236</c:v>
                </c:pt>
                <c:pt idx="428">
                  <c:v>8.0891075440466942</c:v>
                </c:pt>
                <c:pt idx="429">
                  <c:v>8.1727662941942292</c:v>
                </c:pt>
                <c:pt idx="430">
                  <c:v>8.2023195527145987</c:v>
                </c:pt>
                <c:pt idx="431">
                  <c:v>8.1372678311253352</c:v>
                </c:pt>
                <c:pt idx="432">
                  <c:v>8.166814365673412</c:v>
                </c:pt>
                <c:pt idx="433">
                  <c:v>8.1693334852056925</c:v>
                </c:pt>
                <c:pt idx="434">
                  <c:v>8.1853539310721963</c:v>
                </c:pt>
                <c:pt idx="435">
                  <c:v>8.1338673295969546</c:v>
                </c:pt>
                <c:pt idx="436">
                  <c:v>8.0914029624266934</c:v>
                </c:pt>
                <c:pt idx="437">
                  <c:v>8.0669496768412614</c:v>
                </c:pt>
                <c:pt idx="438">
                  <c:v>7.8491528233251913</c:v>
                </c:pt>
                <c:pt idx="439">
                  <c:v>7.7573368589568377</c:v>
                </c:pt>
                <c:pt idx="440">
                  <c:v>7.7419700966614524</c:v>
                </c:pt>
                <c:pt idx="441">
                  <c:v>7.5738378649801605</c:v>
                </c:pt>
                <c:pt idx="442">
                  <c:v>7.4057877110791228</c:v>
                </c:pt>
                <c:pt idx="443">
                  <c:v>7.7048917422829897</c:v>
                </c:pt>
                <c:pt idx="444">
                  <c:v>7.7389411596767514</c:v>
                </c:pt>
                <c:pt idx="445">
                  <c:v>7.9076419778648859</c:v>
                </c:pt>
                <c:pt idx="446">
                  <c:v>7.8384037462576392</c:v>
                </c:pt>
                <c:pt idx="447">
                  <c:v>7.8723947402108729</c:v>
                </c:pt>
                <c:pt idx="448">
                  <c:v>7.8031978198692631</c:v>
                </c:pt>
                <c:pt idx="449">
                  <c:v>7.9223872304549134</c:v>
                </c:pt>
                <c:pt idx="450">
                  <c:v>7.9249471207553075</c:v>
                </c:pt>
                <c:pt idx="451">
                  <c:v>8.0171540245463024</c:v>
                </c:pt>
                <c:pt idx="452">
                  <c:v>7.9614310537464359</c:v>
                </c:pt>
                <c:pt idx="453">
                  <c:v>7.6951622996996658</c:v>
                </c:pt>
                <c:pt idx="454">
                  <c:v>7.6843355585318998</c:v>
                </c:pt>
                <c:pt idx="455">
                  <c:v>7.489913531881605</c:v>
                </c:pt>
                <c:pt idx="456">
                  <c:v>7.3448329624624682</c:v>
                </c:pt>
                <c:pt idx="457">
                  <c:v>7.1640164636098822</c:v>
                </c:pt>
                <c:pt idx="458">
                  <c:v>7.1220045472978226</c:v>
                </c:pt>
                <c:pt idx="459">
                  <c:v>7.2902728502161205</c:v>
                </c:pt>
                <c:pt idx="460">
                  <c:v>7.3690087805045241</c:v>
                </c:pt>
                <c:pt idx="461">
                  <c:v>7.2777897941667096</c:v>
                </c:pt>
                <c:pt idx="462">
                  <c:v>6.9988586901197714</c:v>
                </c:pt>
                <c:pt idx="463">
                  <c:v>6.6619649163797767</c:v>
                </c:pt>
                <c:pt idx="464">
                  <c:v>6.7988590038287198</c:v>
                </c:pt>
                <c:pt idx="465">
                  <c:v>6.5247177668438425</c:v>
                </c:pt>
                <c:pt idx="466">
                  <c:v>6.8848735003084167</c:v>
                </c:pt>
                <c:pt idx="467">
                  <c:v>6.905526277552398</c:v>
                </c:pt>
                <c:pt idx="468">
                  <c:v>6.6806586529992211</c:v>
                </c:pt>
                <c:pt idx="469">
                  <c:v>6.7861412710262199</c:v>
                </c:pt>
                <c:pt idx="470">
                  <c:v>6.681876008024016</c:v>
                </c:pt>
                <c:pt idx="471">
                  <c:v>6.3144900093183978</c:v>
                </c:pt>
                <c:pt idx="472">
                  <c:v>6.5671417679541246</c:v>
                </c:pt>
                <c:pt idx="473">
                  <c:v>6.3604633440821674</c:v>
                </c:pt>
                <c:pt idx="474">
                  <c:v>6.1850870964051738</c:v>
                </c:pt>
                <c:pt idx="475">
                  <c:v>5.9028500749232915</c:v>
                </c:pt>
                <c:pt idx="476">
                  <c:v>6.0306112590828933</c:v>
                </c:pt>
                <c:pt idx="477">
                  <c:v>5.8777135972212813</c:v>
                </c:pt>
                <c:pt idx="478">
                  <c:v>5.3285903905548926</c:v>
                </c:pt>
                <c:pt idx="479">
                  <c:v>5.0290379461711128</c:v>
                </c:pt>
                <c:pt idx="480">
                  <c:v>5.4061073110551199</c:v>
                </c:pt>
                <c:pt idx="481">
                  <c:v>5.1200285083689732</c:v>
                </c:pt>
                <c:pt idx="482">
                  <c:v>5.21664858783436</c:v>
                </c:pt>
                <c:pt idx="483">
                  <c:v>5.366589139468231</c:v>
                </c:pt>
                <c:pt idx="484">
                  <c:v>5.4141945131872413</c:v>
                </c:pt>
                <c:pt idx="485">
                  <c:v>5.5151183775136428</c:v>
                </c:pt>
                <c:pt idx="486">
                  <c:v>5.3537919343279086</c:v>
                </c:pt>
                <c:pt idx="487">
                  <c:v>5.3080621721743508</c:v>
                </c:pt>
                <c:pt idx="488">
                  <c:v>5.5199841877356226</c:v>
                </c:pt>
                <c:pt idx="489">
                  <c:v>5.3809773405622705</c:v>
                </c:pt>
                <c:pt idx="490">
                  <c:v>5.3219540324542631</c:v>
                </c:pt>
                <c:pt idx="491">
                  <c:v>5.3961190392593803</c:v>
                </c:pt>
                <c:pt idx="492">
                  <c:v>5.5323743429682057</c:v>
                </c:pt>
                <c:pt idx="493">
                  <c:v>5.5532137637634342</c:v>
                </c:pt>
                <c:pt idx="494">
                  <c:v>5.7780745754658716</c:v>
                </c:pt>
                <c:pt idx="495">
                  <c:v>5.9983935733093396</c:v>
                </c:pt>
                <c:pt idx="496">
                  <c:v>6.019104116559709</c:v>
                </c:pt>
                <c:pt idx="497">
                  <c:v>5.9024020390683338</c:v>
                </c:pt>
                <c:pt idx="498">
                  <c:v>5.7325820325870431</c:v>
                </c:pt>
                <c:pt idx="499">
                  <c:v>5.8065022337518286</c:v>
                </c:pt>
                <c:pt idx="500">
                  <c:v>5.822808611604037</c:v>
                </c:pt>
                <c:pt idx="501">
                  <c:v>5.9099546029440724</c:v>
                </c:pt>
                <c:pt idx="502">
                  <c:v>6.4220437528586114</c:v>
                </c:pt>
                <c:pt idx="503">
                  <c:v>6.4868735669481357</c:v>
                </c:pt>
                <c:pt idx="504">
                  <c:v>6.2684793871128797</c:v>
                </c:pt>
                <c:pt idx="505">
                  <c:v>6.2934999469487085</c:v>
                </c:pt>
                <c:pt idx="506">
                  <c:v>5.9071970546244659</c:v>
                </c:pt>
                <c:pt idx="507">
                  <c:v>5.9588213850036977</c:v>
                </c:pt>
                <c:pt idx="508">
                  <c:v>5.988317958798131</c:v>
                </c:pt>
                <c:pt idx="509">
                  <c:v>5.8763783648456647</c:v>
                </c:pt>
                <c:pt idx="510">
                  <c:v>5.8351865557493054</c:v>
                </c:pt>
                <c:pt idx="511">
                  <c:v>5.6703314842550956</c:v>
                </c:pt>
                <c:pt idx="512">
                  <c:v>5.704283839881664</c:v>
                </c:pt>
                <c:pt idx="513">
                  <c:v>5.5881066937576218</c:v>
                </c:pt>
                <c:pt idx="514">
                  <c:v>5.5867498462493943</c:v>
                </c:pt>
                <c:pt idx="515">
                  <c:v>5.5368512679216773</c:v>
                </c:pt>
                <c:pt idx="516">
                  <c:v>5.5928607035722218</c:v>
                </c:pt>
                <c:pt idx="517">
                  <c:v>5.4856441395307245</c:v>
                </c:pt>
                <c:pt idx="518">
                  <c:v>5.5372283523531198</c:v>
                </c:pt>
                <c:pt idx="519">
                  <c:v>5.2581407167312095</c:v>
                </c:pt>
                <c:pt idx="520">
                  <c:v>5.5609810958952961</c:v>
                </c:pt>
                <c:pt idx="521">
                  <c:v>5.6213215917569563</c:v>
                </c:pt>
                <c:pt idx="522">
                  <c:v>5.5010102193297108</c:v>
                </c:pt>
                <c:pt idx="523">
                  <c:v>5.7859560763563351</c:v>
                </c:pt>
                <c:pt idx="524">
                  <c:v>5.8902307521019965</c:v>
                </c:pt>
                <c:pt idx="525">
                  <c:v>5.7831461826214206</c:v>
                </c:pt>
                <c:pt idx="526">
                  <c:v>5.8785678649788355</c:v>
                </c:pt>
                <c:pt idx="527">
                  <c:v>5.7891379776800846</c:v>
                </c:pt>
                <c:pt idx="528">
                  <c:v>5.9724920404821189</c:v>
                </c:pt>
                <c:pt idx="529">
                  <c:v>6.1557581090891995</c:v>
                </c:pt>
                <c:pt idx="530">
                  <c:v>6.4224786049628682</c:v>
                </c:pt>
                <c:pt idx="531">
                  <c:v>6.1571623421530779</c:v>
                </c:pt>
                <c:pt idx="532">
                  <c:v>6.3534348493617996</c:v>
                </c:pt>
                <c:pt idx="533">
                  <c:v>6.3782549728217983</c:v>
                </c:pt>
                <c:pt idx="534">
                  <c:v>6.3898844822595757</c:v>
                </c:pt>
                <c:pt idx="535">
                  <c:v>6.3004994915101413</c:v>
                </c:pt>
                <c:pt idx="536">
                  <c:v>6.1189553968071326</c:v>
                </c:pt>
                <c:pt idx="537">
                  <c:v>5.8848264430637807</c:v>
                </c:pt>
                <c:pt idx="538">
                  <c:v>5.8351252963669911</c:v>
                </c:pt>
                <c:pt idx="539">
                  <c:v>5.6406667311739076</c:v>
                </c:pt>
                <c:pt idx="540">
                  <c:v>5.5910488058283834</c:v>
                </c:pt>
                <c:pt idx="541">
                  <c:v>5.4756776996705652</c:v>
                </c:pt>
                <c:pt idx="542">
                  <c:v>5.5181886450253081</c:v>
                </c:pt>
                <c:pt idx="543">
                  <c:v>5.6132746283136283</c:v>
                </c:pt>
                <c:pt idx="544">
                  <c:v>5.6513491964448894</c:v>
                </c:pt>
                <c:pt idx="545">
                  <c:v>5.702547683231745</c:v>
                </c:pt>
                <c:pt idx="546">
                  <c:v>5.6836437005996086</c:v>
                </c:pt>
                <c:pt idx="547">
                  <c:v>5.6603698048355335</c:v>
                </c:pt>
                <c:pt idx="548">
                  <c:v>5.7640602798973228</c:v>
                </c:pt>
                <c:pt idx="549">
                  <c:v>5.7626607091201958</c:v>
                </c:pt>
                <c:pt idx="550">
                  <c:v>5.8137686372535002</c:v>
                </c:pt>
                <c:pt idx="551">
                  <c:v>5.7554879281097033</c:v>
                </c:pt>
                <c:pt idx="552">
                  <c:v>6.1039681243836474</c:v>
                </c:pt>
                <c:pt idx="553">
                  <c:v>6.2424050607245301</c:v>
                </c:pt>
                <c:pt idx="554">
                  <c:v>6.2277750467631545</c:v>
                </c:pt>
                <c:pt idx="555">
                  <c:v>6.3005591451755238</c:v>
                </c:pt>
                <c:pt idx="556">
                  <c:v>6.2815520279918413</c:v>
                </c:pt>
                <c:pt idx="557">
                  <c:v>6.0878235441662083</c:v>
                </c:pt>
                <c:pt idx="558">
                  <c:v>5.9727991537640577</c:v>
                </c:pt>
                <c:pt idx="559">
                  <c:v>5.9320541678515326</c:v>
                </c:pt>
                <c:pt idx="560">
                  <c:v>5.7778383128455797</c:v>
                </c:pt>
                <c:pt idx="561">
                  <c:v>5.7327961344443317</c:v>
                </c:pt>
                <c:pt idx="562">
                  <c:v>5.8273870430062864</c:v>
                </c:pt>
                <c:pt idx="563">
                  <c:v>5.751821212833228</c:v>
                </c:pt>
                <c:pt idx="564">
                  <c:v>5.6501275039702046</c:v>
                </c:pt>
                <c:pt idx="565">
                  <c:v>5.339219291037713</c:v>
                </c:pt>
                <c:pt idx="566">
                  <c:v>5.0764100942476924</c:v>
                </c:pt>
                <c:pt idx="567">
                  <c:v>4.8834504152077578</c:v>
                </c:pt>
                <c:pt idx="568">
                  <c:v>5.0173110192384174</c:v>
                </c:pt>
                <c:pt idx="569">
                  <c:v>4.998671547741858</c:v>
                </c:pt>
                <c:pt idx="570">
                  <c:v>5.1977530223002626</c:v>
                </c:pt>
                <c:pt idx="571">
                  <c:v>5.4838039376518086</c:v>
                </c:pt>
                <c:pt idx="572">
                  <c:v>5.5564602467879602</c:v>
                </c:pt>
                <c:pt idx="573">
                  <c:v>5.5203016221325294</c:v>
                </c:pt>
                <c:pt idx="574">
                  <c:v>5.8626206774108027</c:v>
                </c:pt>
                <c:pt idx="575">
                  <c:v>4.6173473875549442</c:v>
                </c:pt>
                <c:pt idx="576">
                  <c:v>4.0266666400596662</c:v>
                </c:pt>
                <c:pt idx="577">
                  <c:v>4.2586653201671725</c:v>
                </c:pt>
                <c:pt idx="578">
                  <c:v>4.4053808873062028</c:v>
                </c:pt>
                <c:pt idx="579">
                  <c:v>4.4781686878047662</c:v>
                </c:pt>
                <c:pt idx="580">
                  <c:v>4.5205165400170788</c:v>
                </c:pt>
                <c:pt idx="581">
                  <c:v>4.3292185062089459</c:v>
                </c:pt>
                <c:pt idx="582">
                  <c:v>4.1892433498479376</c:v>
                </c:pt>
                <c:pt idx="583">
                  <c:v>4.0892676558513843</c:v>
                </c:pt>
                <c:pt idx="584">
                  <c:v>4.2288650129675505</c:v>
                </c:pt>
                <c:pt idx="585">
                  <c:v>4.5887753889372949</c:v>
                </c:pt>
                <c:pt idx="586">
                  <c:v>4.6050100561968881</c:v>
                </c:pt>
                <c:pt idx="587">
                  <c:v>4.9421129918377176</c:v>
                </c:pt>
                <c:pt idx="588">
                  <c:v>4.9799296794963732</c:v>
                </c:pt>
                <c:pt idx="589">
                  <c:v>5.1304154892606215</c:v>
                </c:pt>
                <c:pt idx="590">
                  <c:v>5.0555067134639033</c:v>
                </c:pt>
                <c:pt idx="591">
                  <c:v>5.1409202612731351</c:v>
                </c:pt>
                <c:pt idx="592">
                  <c:v>5.0920307794847055</c:v>
                </c:pt>
                <c:pt idx="593">
                  <c:v>5.1514137981505108</c:v>
                </c:pt>
                <c:pt idx="594">
                  <c:v>5.1891232564142618</c:v>
                </c:pt>
                <c:pt idx="595">
                  <c:v>5.1402566506460934</c:v>
                </c:pt>
                <c:pt idx="596">
                  <c:v>5.1822766991774563</c:v>
                </c:pt>
                <c:pt idx="597">
                  <c:v>5.0598967321216941</c:v>
                </c:pt>
                <c:pt idx="598">
                  <c:v>5.2359807597374974</c:v>
                </c:pt>
                <c:pt idx="599">
                  <c:v>5.169854158873795</c:v>
                </c:pt>
                <c:pt idx="600">
                  <c:v>5.4149882376608076</c:v>
                </c:pt>
                <c:pt idx="601">
                  <c:v>5.3099545760982316</c:v>
                </c:pt>
                <c:pt idx="602">
                  <c:v>4.8722898295800601</c:v>
                </c:pt>
                <c:pt idx="603">
                  <c:v>4.8408709483367529</c:v>
                </c:pt>
                <c:pt idx="604">
                  <c:v>4.8871973929204771</c:v>
                </c:pt>
                <c:pt idx="605">
                  <c:v>5.3134246393858477</c:v>
                </c:pt>
                <c:pt idx="606">
                  <c:v>5.4718393709497812</c:v>
                </c:pt>
                <c:pt idx="607">
                  <c:v>5.6647006373345343</c:v>
                </c:pt>
                <c:pt idx="608">
                  <c:v>5.6244963224973192</c:v>
                </c:pt>
                <c:pt idx="609">
                  <c:v>5.5670582065648206</c:v>
                </c:pt>
                <c:pt idx="610">
                  <c:v>5.5829552946445409</c:v>
                </c:pt>
                <c:pt idx="611">
                  <c:v>5.4910652877634822</c:v>
                </c:pt>
                <c:pt idx="612">
                  <c:v>5.4423209211047894</c:v>
                </c:pt>
                <c:pt idx="613">
                  <c:v>5.4194542583579395</c:v>
                </c:pt>
                <c:pt idx="614">
                  <c:v>5.2673586323584631</c:v>
                </c:pt>
                <c:pt idx="615">
                  <c:v>5.3134557449252426</c:v>
                </c:pt>
                <c:pt idx="616">
                  <c:v>5.5920477761586458</c:v>
                </c:pt>
                <c:pt idx="617">
                  <c:v>5.6036046317078059</c:v>
                </c:pt>
                <c:pt idx="618">
                  <c:v>5.5462940517061305</c:v>
                </c:pt>
                <c:pt idx="619">
                  <c:v>5.5836724509526832</c:v>
                </c:pt>
                <c:pt idx="620">
                  <c:v>5.4876781640045706</c:v>
                </c:pt>
                <c:pt idx="621">
                  <c:v>5.623967724457211</c:v>
                </c:pt>
                <c:pt idx="622">
                  <c:v>5.7171948988469135</c:v>
                </c:pt>
                <c:pt idx="623">
                  <c:v>5.7587931352581512</c:v>
                </c:pt>
                <c:pt idx="624">
                  <c:v>5.8777278342817647</c:v>
                </c:pt>
                <c:pt idx="625">
                  <c:v>5.889190417922098</c:v>
                </c:pt>
                <c:pt idx="626">
                  <c:v>5.797554046531352</c:v>
                </c:pt>
                <c:pt idx="627">
                  <c:v>5.8734470637572302</c:v>
                </c:pt>
                <c:pt idx="628">
                  <c:v>5.9535965864516829</c:v>
                </c:pt>
                <c:pt idx="629">
                  <c:v>5.9006418674674066</c:v>
                </c:pt>
                <c:pt idx="630">
                  <c:v>5.7919247357412589</c:v>
                </c:pt>
                <c:pt idx="631">
                  <c:v>5.7604861968655161</c:v>
                </c:pt>
                <c:pt idx="632">
                  <c:v>5.7290626217010345</c:v>
                </c:pt>
                <c:pt idx="633">
                  <c:v>5.6204660355704137</c:v>
                </c:pt>
                <c:pt idx="634">
                  <c:v>5.2932772128902448</c:v>
                </c:pt>
                <c:pt idx="635">
                  <c:v>5.3734269869369555</c:v>
                </c:pt>
                <c:pt idx="636">
                  <c:v>5.2264312629466803</c:v>
                </c:pt>
                <c:pt idx="637">
                  <c:v>5.3451131152505988</c:v>
                </c:pt>
                <c:pt idx="638">
                  <c:v>5.3523811553863272</c:v>
                </c:pt>
                <c:pt idx="639">
                  <c:v>5.2868529705028315</c:v>
                </c:pt>
                <c:pt idx="640">
                  <c:v>5.0800883452052519</c:v>
                </c:pt>
                <c:pt idx="641">
                  <c:v>4.9504617153194053</c:v>
                </c:pt>
                <c:pt idx="642">
                  <c:v>5.0134402697040956</c:v>
                </c:pt>
                <c:pt idx="643">
                  <c:v>4.9181140098383329</c:v>
                </c:pt>
                <c:pt idx="644">
                  <c:v>4.9511328101973504</c:v>
                </c:pt>
                <c:pt idx="645">
                  <c:v>4.9371038573021631</c:v>
                </c:pt>
                <c:pt idx="646">
                  <c:v>4.9401796285078605</c:v>
                </c:pt>
                <c:pt idx="647">
                  <c:v>5.1227411110344896</c:v>
                </c:pt>
                <c:pt idx="648">
                  <c:v>5.2069474859267073</c:v>
                </c:pt>
                <c:pt idx="649">
                  <c:v>5.2014116966748167</c:v>
                </c:pt>
                <c:pt idx="650">
                  <c:v>5.272746442731802</c:v>
                </c:pt>
                <c:pt idx="651">
                  <c:v>5.2671967374898578</c:v>
                </c:pt>
                <c:pt idx="652">
                  <c:v>5.3384804879962431</c:v>
                </c:pt>
                <c:pt idx="653">
                  <c:v>5.1579546914486709</c:v>
                </c:pt>
                <c:pt idx="654">
                  <c:v>5.2846912392559435</c:v>
                </c:pt>
                <c:pt idx="655">
                  <c:v>5.3516526643629216</c:v>
                </c:pt>
                <c:pt idx="656">
                  <c:v>5.4654883871514279</c:v>
                </c:pt>
                <c:pt idx="657">
                  <c:v>5.6346913714608275</c:v>
                </c:pt>
                <c:pt idx="658">
                  <c:v>5.6631589461670195</c:v>
                </c:pt>
                <c:pt idx="659">
                  <c:v>5.7001348387485518</c:v>
                </c:pt>
                <c:pt idx="660">
                  <c:v>5.8393370749606479</c:v>
                </c:pt>
                <c:pt idx="661">
                  <c:v>5.7910682358441345</c:v>
                </c:pt>
                <c:pt idx="662">
                  <c:v>5.8577923218078434</c:v>
                </c:pt>
                <c:pt idx="663">
                  <c:v>5.907455390120294</c:v>
                </c:pt>
                <c:pt idx="664">
                  <c:v>5.9656062865086117</c:v>
                </c:pt>
                <c:pt idx="665">
                  <c:v>5.6790681769463403</c:v>
                </c:pt>
                <c:pt idx="666">
                  <c:v>5.7159750959697071</c:v>
                </c:pt>
                <c:pt idx="667">
                  <c:v>5.4849274870729001</c:v>
                </c:pt>
                <c:pt idx="668">
                  <c:v>5.492099456041176</c:v>
                </c:pt>
                <c:pt idx="669">
                  <c:v>5.4057489005953272</c:v>
                </c:pt>
                <c:pt idx="670">
                  <c:v>5.6381754740751493</c:v>
                </c:pt>
                <c:pt idx="671">
                  <c:v>5.7345291791717914</c:v>
                </c:pt>
                <c:pt idx="672">
                  <c:v>5.8265883654611876</c:v>
                </c:pt>
                <c:pt idx="673">
                  <c:v>5.8166800432013304</c:v>
                </c:pt>
                <c:pt idx="674">
                  <c:v>5.9511317552291025</c:v>
                </c:pt>
                <c:pt idx="675">
                  <c:v>5.9751552285052236</c:v>
                </c:pt>
                <c:pt idx="676">
                  <c:v>5.9949229927995571</c:v>
                </c:pt>
                <c:pt idx="677">
                  <c:v>5.9043708462122853</c:v>
                </c:pt>
                <c:pt idx="678">
                  <c:v>5.7714461892351139</c:v>
                </c:pt>
                <c:pt idx="679">
                  <c:v>5.5368122458004692</c:v>
                </c:pt>
                <c:pt idx="680">
                  <c:v>5.3701265991964249</c:v>
                </c:pt>
                <c:pt idx="681">
                  <c:v>5.4620687608468028</c:v>
                </c:pt>
                <c:pt idx="682">
                  <c:v>5.3802310298163549</c:v>
                </c:pt>
                <c:pt idx="683">
                  <c:v>5.3238514255589964</c:v>
                </c:pt>
                <c:pt idx="684">
                  <c:v>5.2505575690205637</c:v>
                </c:pt>
                <c:pt idx="685">
                  <c:v>5.0968471394479495</c:v>
                </c:pt>
                <c:pt idx="686">
                  <c:v>5.3115059235425965</c:v>
                </c:pt>
                <c:pt idx="687">
                  <c:v>5.5091331923393998</c:v>
                </c:pt>
                <c:pt idx="688">
                  <c:v>5.6812782092299381</c:v>
                </c:pt>
                <c:pt idx="689">
                  <c:v>5.6883593168798017</c:v>
                </c:pt>
                <c:pt idx="690">
                  <c:v>5.4459101113847295</c:v>
                </c:pt>
                <c:pt idx="691">
                  <c:v>5.9857962488856717</c:v>
                </c:pt>
                <c:pt idx="692">
                  <c:v>6.2717963306029452</c:v>
                </c:pt>
                <c:pt idx="693">
                  <c:v>6.4435508683801919</c:v>
                </c:pt>
                <c:pt idx="694">
                  <c:v>6.2602993024836957</c:v>
                </c:pt>
                <c:pt idx="695">
                  <c:v>6.2925730283771788</c:v>
                </c:pt>
                <c:pt idx="696">
                  <c:v>6.3586163834797214</c:v>
                </c:pt>
                <c:pt idx="697">
                  <c:v>6.4161830922783549</c:v>
                </c:pt>
                <c:pt idx="698">
                  <c:v>6.6299050070785714</c:v>
                </c:pt>
                <c:pt idx="699">
                  <c:v>6.5523319351311695</c:v>
                </c:pt>
                <c:pt idx="700">
                  <c:v>6.5802749780828274</c:v>
                </c:pt>
                <c:pt idx="701">
                  <c:v>6.6756940969907381</c:v>
                </c:pt>
                <c:pt idx="702">
                  <c:v>6.6276849002069982</c:v>
                </c:pt>
                <c:pt idx="703">
                  <c:v>6.6049952101300269</c:v>
                </c:pt>
                <c:pt idx="704">
                  <c:v>6.68769260341824</c:v>
                </c:pt>
                <c:pt idx="705">
                  <c:v>6.6818547185796309</c:v>
                </c:pt>
                <c:pt idx="706">
                  <c:v>6.5959718352124259</c:v>
                </c:pt>
                <c:pt idx="707">
                  <c:v>6.5438264226109446</c:v>
                </c:pt>
                <c:pt idx="708">
                  <c:v>6.529604647369605</c:v>
                </c:pt>
                <c:pt idx="709">
                  <c:v>6.6669469533121779</c:v>
                </c:pt>
                <c:pt idx="710">
                  <c:v>6.8589389859715659</c:v>
                </c:pt>
                <c:pt idx="711">
                  <c:v>6.8993529481107077</c:v>
                </c:pt>
                <c:pt idx="712">
                  <c:v>6.8640223368238873</c:v>
                </c:pt>
                <c:pt idx="713">
                  <c:v>6.8875910606315145</c:v>
                </c:pt>
                <c:pt idx="714">
                  <c:v>6.5747576729746893</c:v>
                </c:pt>
                <c:pt idx="715">
                  <c:v>6.6446260141768647</c:v>
                </c:pt>
                <c:pt idx="716">
                  <c:v>6.6388098338376906</c:v>
                </c:pt>
                <c:pt idx="717">
                  <c:v>6.4817320653211912</c:v>
                </c:pt>
                <c:pt idx="718">
                  <c:v>6.7406037247876487</c:v>
                </c:pt>
                <c:pt idx="719">
                  <c:v>6.713768521017828</c:v>
                </c:pt>
                <c:pt idx="720">
                  <c:v>6.6323624905976422</c:v>
                </c:pt>
                <c:pt idx="721">
                  <c:v>6.6643336696969708</c:v>
                </c:pt>
                <c:pt idx="722">
                  <c:v>6.7676325954246535</c:v>
                </c:pt>
                <c:pt idx="723">
                  <c:v>6.6694886966036622</c:v>
                </c:pt>
                <c:pt idx="724">
                  <c:v>6.7685408063584465</c:v>
                </c:pt>
                <c:pt idx="725">
                  <c:v>7.1443252637916936</c:v>
                </c:pt>
                <c:pt idx="726">
                  <c:v>7.3648025457484492</c:v>
                </c:pt>
                <c:pt idx="727">
                  <c:v>7.1282795564420169</c:v>
                </c:pt>
                <c:pt idx="728">
                  <c:v>7.0385452884337925</c:v>
                </c:pt>
                <c:pt idx="729">
                  <c:v>6.8483037970233465</c:v>
                </c:pt>
                <c:pt idx="730">
                  <c:v>6.662344100616715</c:v>
                </c:pt>
                <c:pt idx="731">
                  <c:v>6.719351695723617</c:v>
                </c:pt>
                <c:pt idx="732">
                  <c:v>6.8223829697525407</c:v>
                </c:pt>
                <c:pt idx="733">
                  <c:v>6.8165409167471225</c:v>
                </c:pt>
                <c:pt idx="734">
                  <c:v>6.5345246874289362</c:v>
                </c:pt>
                <c:pt idx="735">
                  <c:v>6.3948847018156991</c:v>
                </c:pt>
                <c:pt idx="736">
                  <c:v>6.4853446901597609</c:v>
                </c:pt>
                <c:pt idx="737">
                  <c:v>6.5883048762490475</c:v>
                </c:pt>
                <c:pt idx="738">
                  <c:v>6.5114580338300243</c:v>
                </c:pt>
                <c:pt idx="739">
                  <c:v>6.7021279949122734</c:v>
                </c:pt>
                <c:pt idx="740">
                  <c:v>6.8592792454227709</c:v>
                </c:pt>
                <c:pt idx="741">
                  <c:v>6.8200172079935522</c:v>
                </c:pt>
                <c:pt idx="742">
                  <c:v>6.7807738828972619</c:v>
                </c:pt>
                <c:pt idx="743">
                  <c:v>6.7164971433710399</c:v>
                </c:pt>
                <c:pt idx="744">
                  <c:v>6.6522513598984032</c:v>
                </c:pt>
                <c:pt idx="745">
                  <c:v>6.5838632155338628</c:v>
                </c:pt>
                <c:pt idx="746">
                  <c:v>6.3611335679583307</c:v>
                </c:pt>
                <c:pt idx="747">
                  <c:v>6.3887876677742916</c:v>
                </c:pt>
                <c:pt idx="748">
                  <c:v>6.2079166487167736</c:v>
                </c:pt>
                <c:pt idx="749">
                  <c:v>6.2522703415858008</c:v>
                </c:pt>
                <c:pt idx="750">
                  <c:v>6.3049385715432456</c:v>
                </c:pt>
                <c:pt idx="751">
                  <c:v>6.5451039273776619</c:v>
                </c:pt>
                <c:pt idx="752">
                  <c:v>6.5393485091146495</c:v>
                </c:pt>
                <c:pt idx="753">
                  <c:v>6.7210290565572004</c:v>
                </c:pt>
                <c:pt idx="754">
                  <c:v>6.5986351400199519</c:v>
                </c:pt>
                <c:pt idx="755">
                  <c:v>6.592869749477817</c:v>
                </c:pt>
                <c:pt idx="756">
                  <c:v>6.6537014142621889</c:v>
                </c:pt>
                <c:pt idx="757">
                  <c:v>6.8268547225114879</c:v>
                </c:pt>
                <c:pt idx="758">
                  <c:v>6.9874440991188438</c:v>
                </c:pt>
                <c:pt idx="759">
                  <c:v>6.8817676557614682</c:v>
                </c:pt>
                <c:pt idx="760">
                  <c:v>6.7761425003962419</c:v>
                </c:pt>
                <c:pt idx="761">
                  <c:v>6.8908971799298016</c:v>
                </c:pt>
                <c:pt idx="762">
                  <c:v>6.9889716089688259</c:v>
                </c:pt>
                <c:pt idx="763">
                  <c:v>6.9166369735346303</c:v>
                </c:pt>
                <c:pt idx="764">
                  <c:v>6.8983410004686156</c:v>
                </c:pt>
                <c:pt idx="765">
                  <c:v>6.9174316412576129</c:v>
                </c:pt>
                <c:pt idx="766">
                  <c:v>6.9282083800182521</c:v>
                </c:pt>
                <c:pt idx="767">
                  <c:v>7.0095484119652793</c:v>
                </c:pt>
                <c:pt idx="768">
                  <c:v>7.0244468942580989</c:v>
                </c:pt>
                <c:pt idx="769">
                  <c:v>6.9480572702016357</c:v>
                </c:pt>
                <c:pt idx="770">
                  <c:v>7.0251839972194601</c:v>
                </c:pt>
                <c:pt idx="771">
                  <c:v>6.9944485272066368</c:v>
                </c:pt>
                <c:pt idx="772">
                  <c:v>7.0383571614318781</c:v>
                </c:pt>
                <c:pt idx="773">
                  <c:v>7.0034874854434932</c:v>
                </c:pt>
                <c:pt idx="774">
                  <c:v>6.8318798766548641</c:v>
                </c:pt>
                <c:pt idx="775">
                  <c:v>6.842650161314384</c:v>
                </c:pt>
                <c:pt idx="776">
                  <c:v>6.8368466582098097</c:v>
                </c:pt>
                <c:pt idx="777">
                  <c:v>6.797917300895989</c:v>
                </c:pt>
                <c:pt idx="778">
                  <c:v>6.8790671537559529</c:v>
                </c:pt>
                <c:pt idx="779">
                  <c:v>6.7366698427429164</c:v>
                </c:pt>
                <c:pt idx="780">
                  <c:v>6.6688260553333203</c:v>
                </c:pt>
                <c:pt idx="781">
                  <c:v>6.4934532660289905</c:v>
                </c:pt>
                <c:pt idx="782">
                  <c:v>6.4422451014979769</c:v>
                </c:pt>
                <c:pt idx="783">
                  <c:v>6.3621168960941965</c:v>
                </c:pt>
                <c:pt idx="784">
                  <c:v>6.5300632046608813</c:v>
                </c:pt>
                <c:pt idx="785">
                  <c:v>6.6689979882486101</c:v>
                </c:pt>
                <c:pt idx="786">
                  <c:v>6.7086983797941722</c:v>
                </c:pt>
                <c:pt idx="787">
                  <c:v>7.0540710818888162</c:v>
                </c:pt>
                <c:pt idx="788">
                  <c:v>7.159738756888899</c:v>
                </c:pt>
                <c:pt idx="789">
                  <c:v>7.058903571390978</c:v>
                </c:pt>
                <c:pt idx="790">
                  <c:v>7.0117814482425329</c:v>
                </c:pt>
                <c:pt idx="791">
                  <c:v>7.2824612466235639</c:v>
                </c:pt>
                <c:pt idx="792">
                  <c:v>7.3013231949237483</c:v>
                </c:pt>
                <c:pt idx="793">
                  <c:v>7.3243006096431476</c:v>
                </c:pt>
                <c:pt idx="794">
                  <c:v>7.4668637068629904</c:v>
                </c:pt>
                <c:pt idx="795">
                  <c:v>7.5681272068483638</c:v>
                </c:pt>
                <c:pt idx="796">
                  <c:v>7.5209467807368</c:v>
                </c:pt>
                <c:pt idx="797">
                  <c:v>7.4985152869157377</c:v>
                </c:pt>
                <c:pt idx="798">
                  <c:v>7.476094256606526</c:v>
                </c:pt>
                <c:pt idx="799">
                  <c:v>7.5690173715862397</c:v>
                </c:pt>
                <c:pt idx="800">
                  <c:v>7.5259988137623912</c:v>
                </c:pt>
                <c:pt idx="801">
                  <c:v>7.5529908971970565</c:v>
                </c:pt>
                <c:pt idx="802">
                  <c:v>7.4688355297213702</c:v>
                </c:pt>
                <c:pt idx="803">
                  <c:v>7.3394551348372365</c:v>
                </c:pt>
                <c:pt idx="804">
                  <c:v>7.3623573087751009</c:v>
                </c:pt>
                <c:pt idx="805">
                  <c:v>7.4222653873281157</c:v>
                </c:pt>
                <c:pt idx="806">
                  <c:v>7.4739199469923738</c:v>
                </c:pt>
                <c:pt idx="807">
                  <c:v>7.5214380103276035</c:v>
                </c:pt>
                <c:pt idx="808">
                  <c:v>7.4826210521376826</c:v>
                </c:pt>
                <c:pt idx="809">
                  <c:v>7.4479316176977806</c:v>
                </c:pt>
                <c:pt idx="810">
                  <c:v>7.3352052857861016</c:v>
                </c:pt>
                <c:pt idx="811">
                  <c:v>7.103428986956656</c:v>
                </c:pt>
                <c:pt idx="812">
                  <c:v>7.1017042042262926</c:v>
                </c:pt>
                <c:pt idx="813">
                  <c:v>6.9275685243494598</c:v>
                </c:pt>
                <c:pt idx="814">
                  <c:v>6.9546145108018269</c:v>
                </c:pt>
                <c:pt idx="815">
                  <c:v>6.8995866353598281</c:v>
                </c:pt>
                <c:pt idx="816">
                  <c:v>6.8363811457050057</c:v>
                </c:pt>
                <c:pt idx="817">
                  <c:v>6.7978121284570374</c:v>
                </c:pt>
                <c:pt idx="818">
                  <c:v>6.8576616622456932</c:v>
                </c:pt>
                <c:pt idx="819">
                  <c:v>6.9748681550895029</c:v>
                </c:pt>
                <c:pt idx="820">
                  <c:v>7.0387432665078391</c:v>
                </c:pt>
                <c:pt idx="821">
                  <c:v>7.0124518504126412</c:v>
                </c:pt>
                <c:pt idx="822">
                  <c:v>7.0803821493350263</c:v>
                </c:pt>
                <c:pt idx="823">
                  <c:v>6.9803811976629007</c:v>
                </c:pt>
                <c:pt idx="824">
                  <c:v>6.9500278356213299</c:v>
                </c:pt>
                <c:pt idx="825">
                  <c:v>7.0015501717389315</c:v>
                </c:pt>
                <c:pt idx="826">
                  <c:v>7.0039422069462898</c:v>
                </c:pt>
                <c:pt idx="827">
                  <c:v>6.8672356852447329</c:v>
                </c:pt>
                <c:pt idx="828">
                  <c:v>6.9310094502965542</c:v>
                </c:pt>
                <c:pt idx="829">
                  <c:v>6.8679901659161819</c:v>
                </c:pt>
                <c:pt idx="830">
                  <c:v>6.7559441366765904</c:v>
                </c:pt>
                <c:pt idx="831">
                  <c:v>6.9463965121958982</c:v>
                </c:pt>
                <c:pt idx="832">
                  <c:v>6.9283653961200393</c:v>
                </c:pt>
                <c:pt idx="833">
                  <c:v>7.1023433281256461</c:v>
                </c:pt>
                <c:pt idx="834">
                  <c:v>7.0842821941031646</c:v>
                </c:pt>
                <c:pt idx="835">
                  <c:v>7.0539799420408738</c:v>
                </c:pt>
                <c:pt idx="836">
                  <c:v>7.1828964242130473</c:v>
                </c:pt>
                <c:pt idx="837">
                  <c:v>7.2423702132557013</c:v>
                </c:pt>
                <c:pt idx="838">
                  <c:v>7.1508471056643783</c:v>
                </c:pt>
                <c:pt idx="839">
                  <c:v>7.2184573015290763</c:v>
                </c:pt>
                <c:pt idx="840">
                  <c:v>7.1922352420027655</c:v>
                </c:pt>
                <c:pt idx="841">
                  <c:v>7.2312612048645217</c:v>
                </c:pt>
                <c:pt idx="842">
                  <c:v>7.3191828051406436</c:v>
                </c:pt>
                <c:pt idx="843">
                  <c:v>7.4070615493460172</c:v>
                </c:pt>
                <c:pt idx="844">
                  <c:v>7.3889658765049502</c:v>
                </c:pt>
                <c:pt idx="845">
                  <c:v>7.330145565093737</c:v>
                </c:pt>
                <c:pt idx="846">
                  <c:v>7.3324380364302657</c:v>
                </c:pt>
                <c:pt idx="847">
                  <c:v>7.180018998763364</c:v>
                </c:pt>
                <c:pt idx="848">
                  <c:v>7.1782756192215276</c:v>
                </c:pt>
                <c:pt idx="849">
                  <c:v>7.1480474422782692</c:v>
                </c:pt>
                <c:pt idx="850">
                  <c:v>7.0568086705212991</c:v>
                </c:pt>
                <c:pt idx="851">
                  <c:v>7.083566481839326</c:v>
                </c:pt>
                <c:pt idx="852">
                  <c:v>7.1062445695052503</c:v>
                </c:pt>
                <c:pt idx="853">
                  <c:v>7.1817608919225995</c:v>
                </c:pt>
                <c:pt idx="854">
                  <c:v>7.2287896591563259</c:v>
                </c:pt>
                <c:pt idx="855">
                  <c:v>7.1945272328534289</c:v>
                </c:pt>
                <c:pt idx="856">
                  <c:v>7.1602810545312989</c:v>
                </c:pt>
                <c:pt idx="857">
                  <c:v>7.1422967930149781</c:v>
                </c:pt>
                <c:pt idx="858">
                  <c:v>7.2095898868856043</c:v>
                </c:pt>
                <c:pt idx="859">
                  <c:v>7.3133851251336051</c:v>
                </c:pt>
                <c:pt idx="860">
                  <c:v>7.2994339160446229</c:v>
                </c:pt>
                <c:pt idx="861">
                  <c:v>7.3747539507224262</c:v>
                </c:pt>
                <c:pt idx="862">
                  <c:v>7.3526806859858844</c:v>
                </c:pt>
                <c:pt idx="863">
                  <c:v>7.2170628051847885</c:v>
                </c:pt>
                <c:pt idx="864">
                  <c:v>7.1990923123774735</c:v>
                </c:pt>
                <c:pt idx="865">
                  <c:v>7.0514167547741557</c:v>
                </c:pt>
                <c:pt idx="866">
                  <c:v>7.1267028300590187</c:v>
                </c:pt>
                <c:pt idx="867">
                  <c:v>7.1897974361646924</c:v>
                </c:pt>
                <c:pt idx="868">
                  <c:v>7.1110904703289073</c:v>
                </c:pt>
                <c:pt idx="869">
                  <c:v>7.1701077664120376</c:v>
                </c:pt>
                <c:pt idx="870">
                  <c:v>7.0995402366513467</c:v>
                </c:pt>
                <c:pt idx="871">
                  <c:v>7.0290067151245568</c:v>
                </c:pt>
                <c:pt idx="872">
                  <c:v>6.9261341030998684</c:v>
                </c:pt>
                <c:pt idx="873">
                  <c:v>6.9487262037922193</c:v>
                </c:pt>
                <c:pt idx="874">
                  <c:v>6.902547722352689</c:v>
                </c:pt>
                <c:pt idx="875">
                  <c:v>6.9453521051184524</c:v>
                </c:pt>
                <c:pt idx="876">
                  <c:v>6.8425982995288317</c:v>
                </c:pt>
                <c:pt idx="877">
                  <c:v>6.8732704500088735</c:v>
                </c:pt>
                <c:pt idx="878">
                  <c:v>6.9645381895230098</c:v>
                </c:pt>
                <c:pt idx="879">
                  <c:v>6.979006152171717</c:v>
                </c:pt>
                <c:pt idx="880">
                  <c:v>6.9611564737010374</c:v>
                </c:pt>
                <c:pt idx="881">
                  <c:v>6.842370216573137</c:v>
                </c:pt>
                <c:pt idx="882">
                  <c:v>6.8124512453754908</c:v>
                </c:pt>
                <c:pt idx="883">
                  <c:v>6.7220092432338188</c:v>
                </c:pt>
                <c:pt idx="884">
                  <c:v>6.8212475598283895</c:v>
                </c:pt>
                <c:pt idx="885">
                  <c:v>6.9688439012910726</c:v>
                </c:pt>
                <c:pt idx="886">
                  <c:v>7.0357110253445985</c:v>
                </c:pt>
                <c:pt idx="887">
                  <c:v>7.0783538721835262</c:v>
                </c:pt>
                <c:pt idx="888">
                  <c:v>7.1169447102404666</c:v>
                </c:pt>
                <c:pt idx="889">
                  <c:v>7.0386470254336215</c:v>
                </c:pt>
                <c:pt idx="890">
                  <c:v>7.0490249449714772</c:v>
                </c:pt>
                <c:pt idx="891">
                  <c:v>7.0875935146226405</c:v>
                </c:pt>
                <c:pt idx="892">
                  <c:v>7.1341970781374542</c:v>
                </c:pt>
                <c:pt idx="893">
                  <c:v>7.2371426598428696</c:v>
                </c:pt>
                <c:pt idx="894">
                  <c:v>7.219284981502601</c:v>
                </c:pt>
                <c:pt idx="895">
                  <c:v>7.1571701532312009</c:v>
                </c:pt>
                <c:pt idx="896">
                  <c:v>7.1755480331190773</c:v>
                </c:pt>
                <c:pt idx="897">
                  <c:v>7.2944707845718497</c:v>
                </c:pt>
                <c:pt idx="898">
                  <c:v>7.2605299533318224</c:v>
                </c:pt>
                <c:pt idx="899">
                  <c:v>7.2989692948868798</c:v>
                </c:pt>
                <c:pt idx="900">
                  <c:v>7.3132740579166793</c:v>
                </c:pt>
                <c:pt idx="901">
                  <c:v>7.3396262998759321</c:v>
                </c:pt>
                <c:pt idx="902">
                  <c:v>7.2775845084702313</c:v>
                </c:pt>
                <c:pt idx="903">
                  <c:v>7.2758174390588222</c:v>
                </c:pt>
                <c:pt idx="904">
                  <c:v>7.3463271308854017</c:v>
                </c:pt>
                <c:pt idx="905">
                  <c:v>7.3846872341893812</c:v>
                </c:pt>
                <c:pt idx="906">
                  <c:v>7.3146660706013868</c:v>
                </c:pt>
                <c:pt idx="907">
                  <c:v>7.3490018979334923</c:v>
                </c:pt>
                <c:pt idx="908">
                  <c:v>7.3111143124116396</c:v>
                </c:pt>
                <c:pt idx="909">
                  <c:v>7.3133495867189495</c:v>
                </c:pt>
                <c:pt idx="910">
                  <c:v>7.3476594397066446</c:v>
                </c:pt>
                <c:pt idx="911">
                  <c:v>7.3498838984755359</c:v>
                </c:pt>
                <c:pt idx="912">
                  <c:v>7.3360765632099056</c:v>
                </c:pt>
                <c:pt idx="913">
                  <c:v>7.2621765703570036</c:v>
                </c:pt>
                <c:pt idx="914">
                  <c:v>7.3084805994779325</c:v>
                </c:pt>
                <c:pt idx="915">
                  <c:v>7.2866827936712966</c:v>
                </c:pt>
                <c:pt idx="916">
                  <c:v>7.3569796086701427</c:v>
                </c:pt>
                <c:pt idx="917">
                  <c:v>7.3391824243284836</c:v>
                </c:pt>
                <c:pt idx="918">
                  <c:v>7.3854212211764434</c:v>
                </c:pt>
                <c:pt idx="919">
                  <c:v>7.5076518346070484</c:v>
                </c:pt>
                <c:pt idx="920">
                  <c:v>7.5818253782593859</c:v>
                </c:pt>
                <c:pt idx="921">
                  <c:v>7.524000493492828</c:v>
                </c:pt>
                <c:pt idx="922">
                  <c:v>7.6261183383023257</c:v>
                </c:pt>
                <c:pt idx="923">
                  <c:v>7.7042049887956461</c:v>
                </c:pt>
                <c:pt idx="924">
                  <c:v>7.6703666761620068</c:v>
                </c:pt>
                <c:pt idx="925">
                  <c:v>7.6445343394971159</c:v>
                </c:pt>
                <c:pt idx="926">
                  <c:v>7.7385344010041059</c:v>
                </c:pt>
                <c:pt idx="927">
                  <c:v>7.7286693047922173</c:v>
                </c:pt>
                <c:pt idx="928">
                  <c:v>7.8904680388876356</c:v>
                </c:pt>
                <c:pt idx="929">
                  <c:v>7.8685964951111771</c:v>
                </c:pt>
                <c:pt idx="930">
                  <c:v>7.8786564036344426</c:v>
                </c:pt>
                <c:pt idx="931">
                  <c:v>7.8687650017975761</c:v>
                </c:pt>
                <c:pt idx="932">
                  <c:v>7.8429250468119358</c:v>
                </c:pt>
                <c:pt idx="933">
                  <c:v>7.8808932289775049</c:v>
                </c:pt>
                <c:pt idx="934">
                  <c:v>7.8710070923743425</c:v>
                </c:pt>
                <c:pt idx="935">
                  <c:v>7.5821528907297724</c:v>
                </c:pt>
                <c:pt idx="936">
                  <c:v>7.4607823963150981</c:v>
                </c:pt>
                <c:pt idx="937">
                  <c:v>7.5505874998070723</c:v>
                </c:pt>
                <c:pt idx="938">
                  <c:v>7.5447717651991466</c:v>
                </c:pt>
                <c:pt idx="939">
                  <c:v>7.4991443111550753</c:v>
                </c:pt>
                <c:pt idx="940">
                  <c:v>7.4097538191207368</c:v>
                </c:pt>
                <c:pt idx="941">
                  <c:v>7.4955027694139789</c:v>
                </c:pt>
                <c:pt idx="942">
                  <c:v>7.5652958710802807</c:v>
                </c:pt>
                <c:pt idx="943">
                  <c:v>7.7106282102417767</c:v>
                </c:pt>
                <c:pt idx="944">
                  <c:v>7.6332005856022365</c:v>
                </c:pt>
                <c:pt idx="945">
                  <c:v>7.687005923364306</c:v>
                </c:pt>
                <c:pt idx="946">
                  <c:v>7.6374434387278276</c:v>
                </c:pt>
                <c:pt idx="947">
                  <c:v>7.5203518121364832</c:v>
                </c:pt>
                <c:pt idx="948">
                  <c:v>7.5463348099939145</c:v>
                </c:pt>
                <c:pt idx="949">
                  <c:v>7.6437963644332694</c:v>
                </c:pt>
                <c:pt idx="950">
                  <c:v>7.614144752022157</c:v>
                </c:pt>
                <c:pt idx="951">
                  <c:v>7.6162657980959834</c:v>
                </c:pt>
                <c:pt idx="952">
                  <c:v>7.5786966435046113</c:v>
                </c:pt>
                <c:pt idx="953">
                  <c:v>7.5689206530885613</c:v>
                </c:pt>
                <c:pt idx="954">
                  <c:v>7.416339141648761</c:v>
                </c:pt>
                <c:pt idx="955">
                  <c:v>7.4541979488441052</c:v>
                </c:pt>
                <c:pt idx="956">
                  <c:v>7.4880729861253057</c:v>
                </c:pt>
                <c:pt idx="957">
                  <c:v>7.5140030933169202</c:v>
                </c:pt>
                <c:pt idx="958">
                  <c:v>7.5518094371403368</c:v>
                </c:pt>
                <c:pt idx="959">
                  <c:v>7.5579000323543237</c:v>
                </c:pt>
                <c:pt idx="960">
                  <c:v>7.5758707172594235</c:v>
                </c:pt>
                <c:pt idx="961">
                  <c:v>7.5700710167666445</c:v>
                </c:pt>
                <c:pt idx="962">
                  <c:v>7.4890480854700296</c:v>
                </c:pt>
                <c:pt idx="963">
                  <c:v>7.4555635053468903</c:v>
                </c:pt>
                <c:pt idx="964">
                  <c:v>7.42605208258734</c:v>
                </c:pt>
                <c:pt idx="965">
                  <c:v>7.4954631020276503</c:v>
                </c:pt>
                <c:pt idx="966">
                  <c:v>7.525286245539383</c:v>
                </c:pt>
                <c:pt idx="967">
                  <c:v>7.5827755286425464</c:v>
                </c:pt>
                <c:pt idx="968">
                  <c:v>7.5690739144466095</c:v>
                </c:pt>
                <c:pt idx="969">
                  <c:v>7.7450994242198634</c:v>
                </c:pt>
                <c:pt idx="970">
                  <c:v>7.7432188375684907</c:v>
                </c:pt>
                <c:pt idx="971">
                  <c:v>7.7176349764067202</c:v>
                </c:pt>
                <c:pt idx="972">
                  <c:v>7.7197107180549818</c:v>
                </c:pt>
                <c:pt idx="973">
                  <c:v>7.7059901926286072</c:v>
                </c:pt>
                <c:pt idx="974">
                  <c:v>7.7278055473492371</c:v>
                </c:pt>
                <c:pt idx="975">
                  <c:v>7.824598791427591</c:v>
                </c:pt>
                <c:pt idx="976">
                  <c:v>7.85426561376409</c:v>
                </c:pt>
                <c:pt idx="977">
                  <c:v>7.9194215618867885</c:v>
                </c:pt>
                <c:pt idx="978">
                  <c:v>7.8662274925681785</c:v>
                </c:pt>
                <c:pt idx="979">
                  <c:v>7.8603745236510099</c:v>
                </c:pt>
                <c:pt idx="980">
                  <c:v>7.8072197741442331</c:v>
                </c:pt>
                <c:pt idx="981">
                  <c:v>7.7462083561469957</c:v>
                </c:pt>
                <c:pt idx="982">
                  <c:v>7.7632399112784691</c:v>
                </c:pt>
                <c:pt idx="983">
                  <c:v>7.6557862018423135</c:v>
                </c:pt>
                <c:pt idx="984">
                  <c:v>7.7106368287446809</c:v>
                </c:pt>
                <c:pt idx="985">
                  <c:v>7.7843590886651155</c:v>
                </c:pt>
                <c:pt idx="986">
                  <c:v>7.8281296517360337</c:v>
                </c:pt>
                <c:pt idx="987">
                  <c:v>7.7569673512019719</c:v>
                </c:pt>
                <c:pt idx="988">
                  <c:v>7.5284652384346549</c:v>
                </c:pt>
                <c:pt idx="989">
                  <c:v>7.6493583161514822</c:v>
                </c:pt>
                <c:pt idx="990">
                  <c:v>7.5877280757055203</c:v>
                </c:pt>
                <c:pt idx="991">
                  <c:v>7.6393536287812998</c:v>
                </c:pt>
                <c:pt idx="992">
                  <c:v>7.7019592036992579</c:v>
                </c:pt>
                <c:pt idx="993">
                  <c:v>7.6969454351017577</c:v>
                </c:pt>
                <c:pt idx="994">
                  <c:v>7.6337901234077865</c:v>
                </c:pt>
                <c:pt idx="995">
                  <c:v>7.7403398398429664</c:v>
                </c:pt>
                <c:pt idx="996">
                  <c:v>7.7588793248393086</c:v>
                </c:pt>
                <c:pt idx="997">
                  <c:v>7.7255892829017778</c:v>
                </c:pt>
                <c:pt idx="998">
                  <c:v>7.7488321956526622</c:v>
                </c:pt>
                <c:pt idx="999">
                  <c:v>7.7610765867392395</c:v>
                </c:pt>
                <c:pt idx="1000">
                  <c:v>7.6650423844832325</c:v>
                </c:pt>
                <c:pt idx="1001">
                  <c:v>7.7369137358724354</c:v>
                </c:pt>
                <c:pt idx="1002">
                  <c:v>7.7507191297647005</c:v>
                </c:pt>
                <c:pt idx="1003">
                  <c:v>7.7911736982177535</c:v>
                </c:pt>
                <c:pt idx="1004">
                  <c:v>7.7218733792023784</c:v>
                </c:pt>
                <c:pt idx="1005">
                  <c:v>7.679249759878414</c:v>
                </c:pt>
                <c:pt idx="1006">
                  <c:v>7.5661371040345751</c:v>
                </c:pt>
                <c:pt idx="1007">
                  <c:v>7.4248825380225174</c:v>
                </c:pt>
                <c:pt idx="1008">
                  <c:v>7.543669442791078</c:v>
                </c:pt>
                <c:pt idx="1009">
                  <c:v>7.6702273241312273</c:v>
                </c:pt>
                <c:pt idx="1010">
                  <c:v>7.6996719674679666</c:v>
                </c:pt>
                <c:pt idx="1011">
                  <c:v>7.7306668645715346</c:v>
                </c:pt>
                <c:pt idx="1012">
                  <c:v>7.7209668042831883</c:v>
                </c:pt>
                <c:pt idx="1013">
                  <c:v>7.7112710006857688</c:v>
                </c:pt>
                <c:pt idx="1014">
                  <c:v>7.6358983770413795</c:v>
                </c:pt>
                <c:pt idx="1015">
                  <c:v>7.6668767923621912</c:v>
                </c:pt>
                <c:pt idx="1016">
                  <c:v>7.7040920429363355</c:v>
                </c:pt>
                <c:pt idx="1017">
                  <c:v>7.6412762632468381</c:v>
                </c:pt>
                <c:pt idx="1018">
                  <c:v>7.7237858252048301</c:v>
                </c:pt>
                <c:pt idx="1019">
                  <c:v>7.7219104137058485</c:v>
                </c:pt>
                <c:pt idx="1020">
                  <c:v>7.6466421735623262</c:v>
                </c:pt>
                <c:pt idx="1021">
                  <c:v>7.5948278474171467</c:v>
                </c:pt>
                <c:pt idx="1022">
                  <c:v>7.4540730045762533</c:v>
                </c:pt>
                <c:pt idx="1023">
                  <c:v>7.4038904081309393</c:v>
                </c:pt>
                <c:pt idx="1024">
                  <c:v>7.4379733023814509</c:v>
                </c:pt>
                <c:pt idx="1025">
                  <c:v>7.4439655415576222</c:v>
                </c:pt>
                <c:pt idx="1026">
                  <c:v>7.4717842452216061</c:v>
                </c:pt>
                <c:pt idx="1027">
                  <c:v>7.4730878124085836</c:v>
                </c:pt>
                <c:pt idx="1028">
                  <c:v>7.5569916940696036</c:v>
                </c:pt>
                <c:pt idx="1029">
                  <c:v>7.5458079261293607</c:v>
                </c:pt>
                <c:pt idx="1030">
                  <c:v>7.5688999504831642</c:v>
                </c:pt>
                <c:pt idx="1031">
                  <c:v>7.6620627428909396</c:v>
                </c:pt>
                <c:pt idx="1032">
                  <c:v>7.625948024453546</c:v>
                </c:pt>
                <c:pt idx="1033">
                  <c:v>7.6583423082201652</c:v>
                </c:pt>
                <c:pt idx="1034">
                  <c:v>7.5942324939569126</c:v>
                </c:pt>
                <c:pt idx="1035">
                  <c:v>7.5643827648773865</c:v>
                </c:pt>
                <c:pt idx="1036">
                  <c:v>7.6916523235898238</c:v>
                </c:pt>
                <c:pt idx="1037">
                  <c:v>7.7722063830739581</c:v>
                </c:pt>
                <c:pt idx="1038">
                  <c:v>7.8729328615711696</c:v>
                </c:pt>
                <c:pt idx="1039">
                  <c:v>7.9021088284390393</c:v>
                </c:pt>
                <c:pt idx="1040">
                  <c:v>8.0594754978842538</c:v>
                </c:pt>
                <c:pt idx="1041">
                  <c:v>8.115779846275986</c:v>
                </c:pt>
                <c:pt idx="1042">
                  <c:v>7.950717028180434</c:v>
                </c:pt>
                <c:pt idx="1043">
                  <c:v>7.9332577713479298</c:v>
                </c:pt>
                <c:pt idx="1044">
                  <c:v>7.8614691497111515</c:v>
                </c:pt>
                <c:pt idx="1045">
                  <c:v>7.8091165270120051</c:v>
                </c:pt>
                <c:pt idx="1046">
                  <c:v>7.9042039598010563</c:v>
                </c:pt>
                <c:pt idx="1047">
                  <c:v>7.7665403157793191</c:v>
                </c:pt>
                <c:pt idx="1048">
                  <c:v>7.9275075900984868</c:v>
                </c:pt>
                <c:pt idx="1049">
                  <c:v>7.9643480312314816</c:v>
                </c:pt>
                <c:pt idx="1050">
                  <c:v>7.7260029047623631</c:v>
                </c:pt>
                <c:pt idx="1051">
                  <c:v>7.7473747069047594</c:v>
                </c:pt>
                <c:pt idx="1052">
                  <c:v>7.6447776966025112</c:v>
                </c:pt>
                <c:pt idx="1053">
                  <c:v>7.703336125626544</c:v>
                </c:pt>
                <c:pt idx="1054">
                  <c:v>7.7649632229727432</c:v>
                </c:pt>
                <c:pt idx="1055">
                  <c:v>7.7073372995303959</c:v>
                </c:pt>
                <c:pt idx="1056">
                  <c:v>7.397420064943427</c:v>
                </c:pt>
                <c:pt idx="1057">
                  <c:v>7.3321732240778772</c:v>
                </c:pt>
                <c:pt idx="1058">
                  <c:v>7.102954734986116</c:v>
                </c:pt>
                <c:pt idx="1059">
                  <c:v>6.983672454199116</c:v>
                </c:pt>
                <c:pt idx="1060">
                  <c:v>7.0995053382268516</c:v>
                </c:pt>
                <c:pt idx="1061">
                  <c:v>7.0251167105280263</c:v>
                </c:pt>
                <c:pt idx="1062">
                  <c:v>6.8580231566475547</c:v>
                </c:pt>
                <c:pt idx="1063">
                  <c:v>6.5812952925843105</c:v>
                </c:pt>
                <c:pt idx="1064">
                  <c:v>6.1795668945237807</c:v>
                </c:pt>
                <c:pt idx="1065">
                  <c:v>5.9309455390789134</c:v>
                </c:pt>
                <c:pt idx="1066">
                  <c:v>6.3479605995002233</c:v>
                </c:pt>
                <c:pt idx="1067">
                  <c:v>6.226005602453208</c:v>
                </c:pt>
                <c:pt idx="1068">
                  <c:v>6.3865490448393292</c:v>
                </c:pt>
                <c:pt idx="1069">
                  <c:v>6.2754440917906145</c:v>
                </c:pt>
                <c:pt idx="1070">
                  <c:v>6.1134861864003405</c:v>
                </c:pt>
                <c:pt idx="1071">
                  <c:v>6.3078677518016297</c:v>
                </c:pt>
                <c:pt idx="1072">
                  <c:v>6.1644823545084915</c:v>
                </c:pt>
                <c:pt idx="1073">
                  <c:v>6.0319575502609526</c:v>
                </c:pt>
                <c:pt idx="1074">
                  <c:v>6.3248475282375098</c:v>
                </c:pt>
                <c:pt idx="1075">
                  <c:v>6.2385696212655617</c:v>
                </c:pt>
                <c:pt idx="1076">
                  <c:v>6.3525839019933095</c:v>
                </c:pt>
                <c:pt idx="1077">
                  <c:v>6.2863605775920739</c:v>
                </c:pt>
                <c:pt idx="1078">
                  <c:v>6.20785205908044</c:v>
                </c:pt>
                <c:pt idx="1079">
                  <c:v>6.1801772418122392</c:v>
                </c:pt>
                <c:pt idx="1080">
                  <c:v>6.2586988490085114</c:v>
                </c:pt>
                <c:pt idx="1081">
                  <c:v>6.3910304041721551</c:v>
                </c:pt>
                <c:pt idx="1082">
                  <c:v>6.324876125455658</c:v>
                </c:pt>
                <c:pt idx="1083">
                  <c:v>6.4832691739695223</c:v>
                </c:pt>
                <c:pt idx="1084">
                  <c:v>6.2572327242668528</c:v>
                </c:pt>
                <c:pt idx="1085">
                  <c:v>6.2157507311258176</c:v>
                </c:pt>
                <c:pt idx="1086">
                  <c:v>6.1189691627429861</c:v>
                </c:pt>
                <c:pt idx="1087">
                  <c:v>6.0775403590306531</c:v>
                </c:pt>
                <c:pt idx="1088">
                  <c:v>6.1129261755083686</c:v>
                </c:pt>
                <c:pt idx="1089">
                  <c:v>6.0807313908654645</c:v>
                </c:pt>
                <c:pt idx="1090">
                  <c:v>6.1529421563694582</c:v>
                </c:pt>
                <c:pt idx="1091">
                  <c:v>6.2343264042951851</c:v>
                </c:pt>
                <c:pt idx="1092">
                  <c:v>6.3141366205507481</c:v>
                </c:pt>
                <c:pt idx="1093">
                  <c:v>6.2128904439343691</c:v>
                </c:pt>
                <c:pt idx="1094">
                  <c:v>6.2512572695905524</c:v>
                </c:pt>
                <c:pt idx="1095">
                  <c:v>6.165407994715828</c:v>
                </c:pt>
                <c:pt idx="1096">
                  <c:v>6.0596723492677436</c:v>
                </c:pt>
                <c:pt idx="1097">
                  <c:v>6.0842542204686616</c:v>
                </c:pt>
                <c:pt idx="1098">
                  <c:v>6.163982008875295</c:v>
                </c:pt>
                <c:pt idx="1099">
                  <c:v>6.1839305985901154</c:v>
                </c:pt>
                <c:pt idx="1100">
                  <c:v>6.2390921381285347</c:v>
                </c:pt>
                <c:pt idx="1101">
                  <c:v>6.1993005860393282</c:v>
                </c:pt>
                <c:pt idx="1102">
                  <c:v>6.2207557071571671</c:v>
                </c:pt>
                <c:pt idx="1103">
                  <c:v>6.171805288796409</c:v>
                </c:pt>
                <c:pt idx="1104">
                  <c:v>6.2544537861069678</c:v>
                </c:pt>
                <c:pt idx="1105">
                  <c:v>6.4364847771638773</c:v>
                </c:pt>
                <c:pt idx="1106">
                  <c:v>6.508324469954724</c:v>
                </c:pt>
                <c:pt idx="1107">
                  <c:v>6.5678982786303051</c:v>
                </c:pt>
                <c:pt idx="1108">
                  <c:v>6.6870538105716824</c:v>
                </c:pt>
                <c:pt idx="1109">
                  <c:v>6.6258334416928246</c:v>
                </c:pt>
                <c:pt idx="1110">
                  <c:v>6.7846379306295441</c:v>
                </c:pt>
                <c:pt idx="1111">
                  <c:v>6.6989844557715843</c:v>
                </c:pt>
                <c:pt idx="1112">
                  <c:v>6.6286425124783737</c:v>
                </c:pt>
                <c:pt idx="1113">
                  <c:v>6.7354239887310605</c:v>
                </c:pt>
                <c:pt idx="1114">
                  <c:v>6.6223709425826831</c:v>
                </c:pt>
                <c:pt idx="1115">
                  <c:v>6.7077388050661817</c:v>
                </c:pt>
                <c:pt idx="1116">
                  <c:v>6.7015335211501386</c:v>
                </c:pt>
                <c:pt idx="1117">
                  <c:v>6.7136327226296215</c:v>
                </c:pt>
                <c:pt idx="1118">
                  <c:v>6.6433872166443946</c:v>
                </c:pt>
                <c:pt idx="1119">
                  <c:v>6.5106747101132116</c:v>
                </c:pt>
                <c:pt idx="1120">
                  <c:v>6.3384020076443246</c:v>
                </c:pt>
                <c:pt idx="1121">
                  <c:v>6.4709445619529129</c:v>
                </c:pt>
                <c:pt idx="1122">
                  <c:v>6.3977786270742074</c:v>
                </c:pt>
                <c:pt idx="1123">
                  <c:v>6.4160231175596314</c:v>
                </c:pt>
                <c:pt idx="1124">
                  <c:v>6.5195211514801468</c:v>
                </c:pt>
                <c:pt idx="1125">
                  <c:v>6.3870301811888632</c:v>
                </c:pt>
                <c:pt idx="1126">
                  <c:v>6.3109107317550048</c:v>
                </c:pt>
                <c:pt idx="1127">
                  <c:v>6.3154641186965828</c:v>
                </c:pt>
                <c:pt idx="1128">
                  <c:v>6.3017621373067856</c:v>
                </c:pt>
                <c:pt idx="1129">
                  <c:v>6.2622146197955484</c:v>
                </c:pt>
                <c:pt idx="1130">
                  <c:v>6.2880599245023845</c:v>
                </c:pt>
                <c:pt idx="1131">
                  <c:v>6.1953357331174788</c:v>
                </c:pt>
                <c:pt idx="1132">
                  <c:v>6.0889802877687611</c:v>
                </c:pt>
                <c:pt idx="1133">
                  <c:v>6.2561337623113173</c:v>
                </c:pt>
                <c:pt idx="1134">
                  <c:v>6.4399141331791903</c:v>
                </c:pt>
                <c:pt idx="1135">
                  <c:v>6.6479020147359957</c:v>
                </c:pt>
                <c:pt idx="1136">
                  <c:v>6.5885988052140236</c:v>
                </c:pt>
                <c:pt idx="1137">
                  <c:v>6.588516788946972</c:v>
                </c:pt>
                <c:pt idx="1138">
                  <c:v>6.8767389358745783</c:v>
                </c:pt>
                <c:pt idx="1139">
                  <c:v>6.8386602536452861</c:v>
                </c:pt>
                <c:pt idx="1140">
                  <c:v>6.8718831450151763</c:v>
                </c:pt>
                <c:pt idx="1141">
                  <c:v>6.8247255074792843</c:v>
                </c:pt>
                <c:pt idx="1142">
                  <c:v>6.8412595797566542</c:v>
                </c:pt>
                <c:pt idx="1143">
                  <c:v>6.9562969451859136</c:v>
                </c:pt>
                <c:pt idx="1144">
                  <c:v>6.9773359324778825</c:v>
                </c:pt>
                <c:pt idx="1145">
                  <c:v>7.0483539081060416</c:v>
                </c:pt>
                <c:pt idx="1146">
                  <c:v>6.9451728565839774</c:v>
                </c:pt>
                <c:pt idx="1147">
                  <c:v>6.9419724008433201</c:v>
                </c:pt>
                <c:pt idx="1148">
                  <c:v>6.8903336837246858</c:v>
                </c:pt>
                <c:pt idx="1149">
                  <c:v>7.0172963472550309</c:v>
                </c:pt>
                <c:pt idx="1150">
                  <c:v>7.0034884743317249</c:v>
                </c:pt>
                <c:pt idx="1151">
                  <c:v>6.9322068631517437</c:v>
                </c:pt>
                <c:pt idx="1152">
                  <c:v>6.5040659027919556</c:v>
                </c:pt>
                <c:pt idx="1153">
                  <c:v>6.3044316459312064</c:v>
                </c:pt>
                <c:pt idx="1154">
                  <c:v>6.2741825264176967</c:v>
                </c:pt>
                <c:pt idx="1155">
                  <c:v>6.3300817653677379</c:v>
                </c:pt>
                <c:pt idx="1156">
                  <c:v>6.31948020275515</c:v>
                </c:pt>
                <c:pt idx="1157">
                  <c:v>6.2122183292832664</c:v>
                </c:pt>
                <c:pt idx="1158">
                  <c:v>5.9207862856841347</c:v>
                </c:pt>
                <c:pt idx="1159">
                  <c:v>5.9691665969055627</c:v>
                </c:pt>
                <c:pt idx="1160">
                  <c:v>5.9179112830248037</c:v>
                </c:pt>
                <c:pt idx="1161">
                  <c:v>5.8410292858033985</c:v>
                </c:pt>
                <c:pt idx="1162">
                  <c:v>5.789829526596372</c:v>
                </c:pt>
                <c:pt idx="1163">
                  <c:v>5.795964503072117</c:v>
                </c:pt>
                <c:pt idx="1164">
                  <c:v>5.8850248937989278</c:v>
                </c:pt>
                <c:pt idx="1165">
                  <c:v>5.8157613921357525</c:v>
                </c:pt>
                <c:pt idx="1166">
                  <c:v>5.7585878862399609</c:v>
                </c:pt>
                <c:pt idx="1167">
                  <c:v>5.9334729468540717</c:v>
                </c:pt>
                <c:pt idx="1168">
                  <c:v>5.8250821066522551</c:v>
                </c:pt>
                <c:pt idx="1169">
                  <c:v>5.8372214262461668</c:v>
                </c:pt>
                <c:pt idx="1170">
                  <c:v>5.6385701456852173</c:v>
                </c:pt>
                <c:pt idx="1171">
                  <c:v>5.8539533411957754</c:v>
                </c:pt>
                <c:pt idx="1172">
                  <c:v>5.694520349452783</c:v>
                </c:pt>
                <c:pt idx="1173">
                  <c:v>5.8556233169578338</c:v>
                </c:pt>
                <c:pt idx="1174">
                  <c:v>5.8692429299458659</c:v>
                </c:pt>
                <c:pt idx="1175">
                  <c:v>5.8272158317964537</c:v>
                </c:pt>
                <c:pt idx="1176">
                  <c:v>5.8829304932058291</c:v>
                </c:pt>
                <c:pt idx="1177">
                  <c:v>5.9596605638197495</c:v>
                </c:pt>
                <c:pt idx="1178">
                  <c:v>5.8905925398627064</c:v>
                </c:pt>
                <c:pt idx="1179">
                  <c:v>5.8666274617942351</c:v>
                </c:pt>
                <c:pt idx="1180">
                  <c:v>5.8907361835304437</c:v>
                </c:pt>
                <c:pt idx="1181">
                  <c:v>5.9058233407048988</c:v>
                </c:pt>
                <c:pt idx="1182">
                  <c:v>5.8998856702604199</c:v>
                </c:pt>
                <c:pt idx="1183">
                  <c:v>5.9029557035603926</c:v>
                </c:pt>
                <c:pt idx="1184">
                  <c:v>5.9315323501725095</c:v>
                </c:pt>
                <c:pt idx="1185">
                  <c:v>5.8805876725390895</c:v>
                </c:pt>
                <c:pt idx="1186">
                  <c:v>5.8161695802040061</c:v>
                </c:pt>
                <c:pt idx="1187">
                  <c:v>5.8312507482105103</c:v>
                </c:pt>
                <c:pt idx="1188">
                  <c:v>5.545017988332666</c:v>
                </c:pt>
                <c:pt idx="1189">
                  <c:v>5.4132887477864378</c:v>
                </c:pt>
                <c:pt idx="1190">
                  <c:v>5.4689090204888355</c:v>
                </c:pt>
                <c:pt idx="1191">
                  <c:v>5.4570956694086767</c:v>
                </c:pt>
                <c:pt idx="1192">
                  <c:v>5.4962046565665528</c:v>
                </c:pt>
                <c:pt idx="1193">
                  <c:v>5.7389129892181296</c:v>
                </c:pt>
                <c:pt idx="1194">
                  <c:v>5.7614690830920514</c:v>
                </c:pt>
                <c:pt idx="1195">
                  <c:v>5.7855103945772788</c:v>
                </c:pt>
                <c:pt idx="1196">
                  <c:v>5.8394621928470238</c:v>
                </c:pt>
                <c:pt idx="1197">
                  <c:v>5.8365485498591987</c:v>
                </c:pt>
                <c:pt idx="1198">
                  <c:v>5.8725163932656592</c:v>
                </c:pt>
                <c:pt idx="1199">
                  <c:v>5.7649426614087886</c:v>
                </c:pt>
                <c:pt idx="1200">
                  <c:v>5.7755002373584858</c:v>
                </c:pt>
                <c:pt idx="1201">
                  <c:v>5.6007581663282844</c:v>
                </c:pt>
                <c:pt idx="1202">
                  <c:v>5.5949164452373603</c:v>
                </c:pt>
                <c:pt idx="1203">
                  <c:v>5.4651108502097783</c:v>
                </c:pt>
                <c:pt idx="1204">
                  <c:v>5.436906272962104</c:v>
                </c:pt>
                <c:pt idx="1205">
                  <c:v>5.6147263780460159</c:v>
                </c:pt>
                <c:pt idx="1206">
                  <c:v>5.6357503332756282</c:v>
                </c:pt>
                <c:pt idx="1207">
                  <c:v>5.6851141152848168</c:v>
                </c:pt>
                <c:pt idx="1208">
                  <c:v>5.5957196140193819</c:v>
                </c:pt>
                <c:pt idx="1209">
                  <c:v>5.6435770020441334</c:v>
                </c:pt>
                <c:pt idx="1210">
                  <c:v>5.7450882744737113</c:v>
                </c:pt>
                <c:pt idx="1211">
                  <c:v>5.6184760256331066</c:v>
                </c:pt>
                <c:pt idx="1212">
                  <c:v>5.4800031053823259</c:v>
                </c:pt>
                <c:pt idx="1213">
                  <c:v>5.395235808858307</c:v>
                </c:pt>
                <c:pt idx="1214">
                  <c:v>5.4922376540910669</c:v>
                </c:pt>
                <c:pt idx="1215">
                  <c:v>5.4372922202303204</c:v>
                </c:pt>
                <c:pt idx="1216">
                  <c:v>5.4315054320918783</c:v>
                </c:pt>
                <c:pt idx="1217">
                  <c:v>5.7531892613598368</c:v>
                </c:pt>
                <c:pt idx="1218">
                  <c:v>5.7413752777084461</c:v>
                </c:pt>
                <c:pt idx="1219">
                  <c:v>5.7221277547649292</c:v>
                </c:pt>
                <c:pt idx="1220">
                  <c:v>5.6909898459686872</c:v>
                </c:pt>
                <c:pt idx="1221">
                  <c:v>5.6925821432814754</c:v>
                </c:pt>
                <c:pt idx="1222">
                  <c:v>5.7625616264246968</c:v>
                </c:pt>
                <c:pt idx="1223">
                  <c:v>5.6987359072037806</c:v>
                </c:pt>
                <c:pt idx="1224">
                  <c:v>5.6899222944304384</c:v>
                </c:pt>
                <c:pt idx="1225">
                  <c:v>5.8192752321146433</c:v>
                </c:pt>
                <c:pt idx="1226">
                  <c:v>5.8252885884864485</c:v>
                </c:pt>
                <c:pt idx="1227">
                  <c:v>5.8476326564576278</c:v>
                </c:pt>
                <c:pt idx="1228">
                  <c:v>5.8625428161325699</c:v>
                </c:pt>
                <c:pt idx="1229">
                  <c:v>5.8418248881114474</c:v>
                </c:pt>
                <c:pt idx="1230">
                  <c:v>5.8448579147869353</c:v>
                </c:pt>
                <c:pt idx="1231">
                  <c:v>5.8538229908767239</c:v>
                </c:pt>
                <c:pt idx="1232">
                  <c:v>5.9132090083143334</c:v>
                </c:pt>
                <c:pt idx="1233">
                  <c:v>5.8376356975730905</c:v>
                </c:pt>
                <c:pt idx="1234">
                  <c:v>5.7917466847796675</c:v>
                </c:pt>
                <c:pt idx="1235">
                  <c:v>5.8021965771091919</c:v>
                </c:pt>
                <c:pt idx="1236">
                  <c:v>5.6259513838222013</c:v>
                </c:pt>
                <c:pt idx="1237">
                  <c:v>5.4646056870458963</c:v>
                </c:pt>
                <c:pt idx="1238">
                  <c:v>5.4292175989424862</c:v>
                </c:pt>
                <c:pt idx="1239">
                  <c:v>5.6114889092059697</c:v>
                </c:pt>
                <c:pt idx="1240">
                  <c:v>5.7300236677377248</c:v>
                </c:pt>
                <c:pt idx="1241">
                  <c:v>5.7093941620885929</c:v>
                </c:pt>
                <c:pt idx="1242">
                  <c:v>5.7331593809174457</c:v>
                </c:pt>
                <c:pt idx="1243">
                  <c:v>5.8323490567087175</c:v>
                </c:pt>
                <c:pt idx="1244">
                  <c:v>5.8605087113175802</c:v>
                </c:pt>
                <c:pt idx="1245">
                  <c:v>5.9640544702696605</c:v>
                </c:pt>
                <c:pt idx="1246">
                  <c:v>5.9256543285788021</c:v>
                </c:pt>
                <c:pt idx="1247">
                  <c:v>6.1355293787730067</c:v>
                </c:pt>
                <c:pt idx="1248">
                  <c:v>6.1488133399670613</c:v>
                </c:pt>
                <c:pt idx="1249">
                  <c:v>6.1192570628254774</c:v>
                </c:pt>
                <c:pt idx="1250">
                  <c:v>6.139921067210004</c:v>
                </c:pt>
                <c:pt idx="1251">
                  <c:v>6.0764257410968137</c:v>
                </c:pt>
                <c:pt idx="1252">
                  <c:v>6.0911856134965223</c:v>
                </c:pt>
                <c:pt idx="1253">
                  <c:v>6.166436664789642</c:v>
                </c:pt>
                <c:pt idx="1254">
                  <c:v>6.260828958412886</c:v>
                </c:pt>
                <c:pt idx="1255">
                  <c:v>6.3256779788664899</c:v>
                </c:pt>
                <c:pt idx="1256">
                  <c:v>6.5025586001423097</c:v>
                </c:pt>
                <c:pt idx="1257">
                  <c:v>6.3697786910066831</c:v>
                </c:pt>
                <c:pt idx="1258">
                  <c:v>6.4257103819908643</c:v>
                </c:pt>
                <c:pt idx="1259">
                  <c:v>6.4344642978978888</c:v>
                </c:pt>
                <c:pt idx="1260">
                  <c:v>6.5536954611524143</c:v>
                </c:pt>
                <c:pt idx="1261">
                  <c:v>6.4431213582257154</c:v>
                </c:pt>
                <c:pt idx="1262">
                  <c:v>6.3752999437598836</c:v>
                </c:pt>
                <c:pt idx="1263">
                  <c:v>6.4650169305962848</c:v>
                </c:pt>
                <c:pt idx="1264">
                  <c:v>6.4413722109365121</c:v>
                </c:pt>
                <c:pt idx="1265">
                  <c:v>6.5310290768502037</c:v>
                </c:pt>
                <c:pt idx="1266">
                  <c:v>6.5573913758734896</c:v>
                </c:pt>
                <c:pt idx="1267">
                  <c:v>6.6072700663897272</c:v>
                </c:pt>
                <c:pt idx="1268">
                  <c:v>6.7468090417440374</c:v>
                </c:pt>
              </c:numCache>
            </c:numRef>
          </c:val>
          <c:smooth val="0"/>
          <c:extLst>
            <c:ext xmlns:c16="http://schemas.microsoft.com/office/drawing/2014/chart" uri="{C3380CC4-5D6E-409C-BE32-E72D297353CC}">
              <c16:uniqueId val="{00000001-68EC-4DCE-9907-241F849FF9C9}"/>
            </c:ext>
          </c:extLst>
        </c:ser>
        <c:dLbls>
          <c:showLegendKey val="0"/>
          <c:showVal val="0"/>
          <c:showCatName val="0"/>
          <c:showSerName val="0"/>
          <c:showPercent val="0"/>
          <c:showBubbleSize val="0"/>
        </c:dLbls>
        <c:smooth val="0"/>
        <c:axId val="503194016"/>
        <c:axId val="1"/>
      </c:lineChart>
      <c:dateAx>
        <c:axId val="503194016"/>
        <c:scaling>
          <c:orientation val="minMax"/>
        </c:scaling>
        <c:delete val="0"/>
        <c:axPos val="b"/>
        <c:numFmt formatCode="dd/mm/yy;@" sourceLinked="0"/>
        <c:majorTickMark val="out"/>
        <c:minorTickMark val="none"/>
        <c:tickLblPos val="nextTo"/>
        <c:spPr>
          <a:ln w="3175">
            <a:solidFill>
              <a:srgbClr val="000000"/>
            </a:solidFill>
            <a:prstDash val="solid"/>
          </a:ln>
        </c:spPr>
        <c:txPr>
          <a:bodyPr rot="-5400000" vert="horz"/>
          <a:lstStyle/>
          <a:p>
            <a:pPr>
              <a:defRPr sz="900" b="0" i="0" u="none" strike="noStrike" baseline="0">
                <a:solidFill>
                  <a:srgbClr val="000000"/>
                </a:solidFill>
                <a:latin typeface="Calibri"/>
                <a:ea typeface="Calibri"/>
                <a:cs typeface="Calibri"/>
              </a:defRPr>
            </a:pPr>
            <a:endParaRPr lang="it-IT"/>
          </a:p>
        </c:txPr>
        <c:crossAx val="1"/>
        <c:crosses val="autoZero"/>
        <c:auto val="1"/>
        <c:lblOffset val="100"/>
        <c:baseTimeUnit val="days"/>
        <c:majorUnit val="12"/>
        <c:majorTimeUnit val="months"/>
        <c:minorUnit val="3"/>
        <c:minorTimeUnit val="days"/>
      </c:dateAx>
      <c:valAx>
        <c:axId val="1"/>
        <c:scaling>
          <c:orientation val="minMax"/>
        </c:scaling>
        <c:delete val="0"/>
        <c:axPos val="l"/>
        <c:majorGridlines>
          <c:spPr>
            <a:ln w="3175">
              <a:solidFill>
                <a:srgbClr val="000000"/>
              </a:solidFill>
              <a:prstDash val="sysDash"/>
            </a:ln>
          </c:spPr>
        </c:majorGridlines>
        <c:numFmt formatCode="0" sourceLinked="0"/>
        <c:majorTickMark val="out"/>
        <c:minorTickMark val="none"/>
        <c:tickLblPos val="nextTo"/>
        <c:spPr>
          <a:ln w="3175">
            <a:solidFill>
              <a:srgbClr val="000000"/>
            </a:solidFill>
            <a:prstDash val="solid"/>
          </a:ln>
        </c:spPr>
        <c:txPr>
          <a:bodyPr rot="0" vert="horz"/>
          <a:lstStyle/>
          <a:p>
            <a:pPr>
              <a:defRPr sz="500" b="0" i="0" u="none" strike="noStrike" baseline="0">
                <a:solidFill>
                  <a:srgbClr val="000000"/>
                </a:solidFill>
                <a:latin typeface="Calibri"/>
                <a:ea typeface="Calibri"/>
                <a:cs typeface="Calibri"/>
              </a:defRPr>
            </a:pPr>
            <a:endParaRPr lang="it-IT"/>
          </a:p>
        </c:txPr>
        <c:crossAx val="503194016"/>
        <c:crosses val="autoZero"/>
        <c:crossBetween val="between"/>
      </c:valAx>
      <c:spPr>
        <a:solidFill>
          <a:srgbClr val="FFFFFF"/>
        </a:solidFill>
        <a:ln w="3175">
          <a:solidFill>
            <a:srgbClr val="000000"/>
          </a:solidFill>
          <a:prstDash val="solid"/>
        </a:ln>
      </c:spPr>
    </c:plotArea>
    <c:legend>
      <c:legendPos val="r"/>
      <c:layout>
        <c:manualLayout>
          <c:xMode val="edge"/>
          <c:yMode val="edge"/>
          <c:x val="0.13419936004931898"/>
          <c:y val="0.85861194460666845"/>
          <c:w val="0.29220847394075739"/>
          <c:h val="0.13367648737002502"/>
        </c:manualLayout>
      </c:layout>
      <c:overlay val="0"/>
      <c:spPr>
        <a:solidFill>
          <a:srgbClr val="FFFFFF"/>
        </a:solidFill>
        <a:ln w="3175">
          <a:solidFill>
            <a:srgbClr val="000000"/>
          </a:solidFill>
          <a:prstDash val="solid"/>
        </a:ln>
      </c:spPr>
      <c:txPr>
        <a:bodyPr/>
        <a:lstStyle/>
        <a:p>
          <a:pPr>
            <a:defRPr sz="110" b="0" i="0" u="none" strike="noStrike" baseline="0">
              <a:solidFill>
                <a:srgbClr val="000000"/>
              </a:solidFill>
              <a:latin typeface="Calibri"/>
              <a:ea typeface="Calibri"/>
              <a:cs typeface="Calibri"/>
            </a:defRPr>
          </a:pPr>
          <a:endParaRPr lang="it-IT"/>
        </a:p>
      </c:txPr>
    </c:legend>
    <c:plotVisOnly val="1"/>
    <c:dispBlanksAs val="gap"/>
    <c:showDLblsOverMax val="0"/>
  </c:chart>
  <c:spPr>
    <a:solidFill>
      <a:srgbClr val="FFFFFF"/>
    </a:solidFill>
    <a:ln w="3175">
      <a:solidFill>
        <a:srgbClr val="000000"/>
      </a:solidFill>
      <a:prstDash val="solid"/>
    </a:ln>
  </c:spPr>
  <c:txPr>
    <a:bodyPr/>
    <a:lstStyle/>
    <a:p>
      <a:pPr>
        <a:defRPr sz="500" b="0" i="0" u="none" strike="noStrike" baseline="0">
          <a:solidFill>
            <a:srgbClr val="000000"/>
          </a:solidFill>
          <a:latin typeface="Calibri"/>
          <a:ea typeface="Calibri"/>
          <a:cs typeface="Calibri"/>
        </a:defRPr>
      </a:pPr>
      <a:endParaRPr lang="it-IT"/>
    </a:p>
  </c:txPr>
  <c:printSettings>
    <c:headerFooter alignWithMargins="0"/>
    <c:pageMargins b="1" l="0.75" r="0.75" t="1" header="0.5" footer="0.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Calibri"/>
                <a:ea typeface="Calibri"/>
                <a:cs typeface="Calibri"/>
              </a:defRPr>
            </a:pPr>
            <a:r>
              <a:rPr lang="it-IT"/>
              <a:t>Probabilità Annuale di Rimborso</a:t>
            </a:r>
          </a:p>
        </c:rich>
      </c:tx>
      <c:layout>
        <c:manualLayout>
          <c:xMode val="edge"/>
          <c:yMode val="edge"/>
          <c:x val="0.24929188538932634"/>
          <c:y val="4.2194092827004218E-2"/>
        </c:manualLayout>
      </c:layout>
      <c:overlay val="0"/>
      <c:spPr>
        <a:noFill/>
        <a:ln w="25400">
          <a:noFill/>
        </a:ln>
      </c:spPr>
    </c:title>
    <c:autoTitleDeleted val="0"/>
    <c:plotArea>
      <c:layout>
        <c:manualLayout>
          <c:layoutTarget val="inner"/>
          <c:xMode val="edge"/>
          <c:yMode val="edge"/>
          <c:x val="0.15297450424929179"/>
          <c:y val="0.18143534676352668"/>
          <c:w val="0.80736543909348446"/>
          <c:h val="0.58650030697977229"/>
        </c:manualLayout>
      </c:layout>
      <c:barChart>
        <c:barDir val="col"/>
        <c:grouping val="clustered"/>
        <c:varyColors val="0"/>
        <c:ser>
          <c:idx val="0"/>
          <c:order val="0"/>
          <c:spPr>
            <a:solidFill>
              <a:srgbClr val="FF6600"/>
            </a:solidFill>
            <a:ln w="12700">
              <a:solidFill>
                <a:srgbClr val="000000"/>
              </a:solidFill>
              <a:prstDash val="solid"/>
            </a:ln>
          </c:spPr>
          <c:invertIfNegative val="0"/>
          <c:dPt>
            <c:idx val="2"/>
            <c:invertIfNegative val="0"/>
            <c:bubble3D val="0"/>
            <c:spPr>
              <a:solidFill>
                <a:schemeClr val="tx1"/>
              </a:solidFill>
              <a:ln w="12700">
                <a:solidFill>
                  <a:srgbClr val="000000"/>
                </a:solidFill>
                <a:prstDash val="solid"/>
              </a:ln>
            </c:spPr>
            <c:extLst>
              <c:ext xmlns:c16="http://schemas.microsoft.com/office/drawing/2014/chart" uri="{C3380CC4-5D6E-409C-BE32-E72D297353CC}">
                <c16:uniqueId val="{00000000-F8D7-40FE-957A-584900029F1B}"/>
              </c:ext>
            </c:extLst>
          </c:dPt>
          <c:dPt>
            <c:idx val="3"/>
            <c:invertIfNegative val="0"/>
            <c:bubble3D val="0"/>
            <c:spPr>
              <a:solidFill>
                <a:srgbClr val="000000"/>
              </a:solidFill>
              <a:ln w="12700">
                <a:solidFill>
                  <a:srgbClr val="000000"/>
                </a:solidFill>
                <a:prstDash val="solid"/>
              </a:ln>
            </c:spPr>
            <c:extLst>
              <c:ext xmlns:c16="http://schemas.microsoft.com/office/drawing/2014/chart" uri="{C3380CC4-5D6E-409C-BE32-E72D297353CC}">
                <c16:uniqueId val="{00000001-F8D7-40FE-957A-584900029F1B}"/>
              </c:ext>
            </c:extLst>
          </c:dPt>
          <c:cat>
            <c:strRef>
              <c:f>Autocallable!$V$2:$X$2</c:f>
              <c:strCache>
                <c:ptCount val="3"/>
                <c:pt idx="0">
                  <c:v>6m</c:v>
                </c:pt>
                <c:pt idx="1">
                  <c:v>7m</c:v>
                </c:pt>
                <c:pt idx="2">
                  <c:v>8m</c:v>
                </c:pt>
              </c:strCache>
            </c:strRef>
          </c:cat>
          <c:val>
            <c:numRef>
              <c:f>IdR!$C$208:$E$208</c:f>
              <c:numCache>
                <c:formatCode>0.00%</c:formatCode>
                <c:ptCount val="3"/>
                <c:pt idx="0">
                  <c:v>0.503</c:v>
                </c:pt>
                <c:pt idx="1">
                  <c:v>5.8700000000000002E-2</c:v>
                </c:pt>
                <c:pt idx="2">
                  <c:v>4.2799999999999998E-2</c:v>
                </c:pt>
              </c:numCache>
            </c:numRef>
          </c:val>
          <c:extLst>
            <c:ext xmlns:c16="http://schemas.microsoft.com/office/drawing/2014/chart" uri="{C3380CC4-5D6E-409C-BE32-E72D297353CC}">
              <c16:uniqueId val="{00000002-F8D7-40FE-957A-584900029F1B}"/>
            </c:ext>
          </c:extLst>
        </c:ser>
        <c:dLbls>
          <c:showLegendKey val="0"/>
          <c:showVal val="0"/>
          <c:showCatName val="0"/>
          <c:showSerName val="0"/>
          <c:showPercent val="0"/>
          <c:showBubbleSize val="0"/>
        </c:dLbls>
        <c:gapWidth val="150"/>
        <c:axId val="503193360"/>
        <c:axId val="1"/>
      </c:barChart>
      <c:catAx>
        <c:axId val="503193360"/>
        <c:scaling>
          <c:orientation val="minMax"/>
        </c:scaling>
        <c:delete val="0"/>
        <c:axPos val="b"/>
        <c:title>
          <c:tx>
            <c:rich>
              <a:bodyPr/>
              <a:lstStyle/>
              <a:p>
                <a:pPr>
                  <a:defRPr sz="800" b="1" i="0" u="none" strike="noStrike" baseline="0">
                    <a:solidFill>
                      <a:srgbClr val="000000"/>
                    </a:solidFill>
                    <a:latin typeface="Calibri"/>
                    <a:ea typeface="Calibri"/>
                    <a:cs typeface="Calibri"/>
                  </a:defRPr>
                </a:pPr>
                <a:r>
                  <a:rPr lang="it-IT"/>
                  <a:t>Anni</a:t>
                </a:r>
              </a:p>
            </c:rich>
          </c:tx>
          <c:layout>
            <c:manualLayout>
              <c:xMode val="edge"/>
              <c:yMode val="edge"/>
              <c:x val="0.51841371391076108"/>
              <c:y val="0.89451698284549885"/>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Calibri"/>
                <a:ea typeface="Calibri"/>
                <a:cs typeface="Calibri"/>
              </a:defRPr>
            </a:pPr>
            <a:endParaRPr lang="it-IT"/>
          </a:p>
        </c:txPr>
        <c:crossAx val="1"/>
        <c:crosses val="autoZero"/>
        <c:auto val="1"/>
        <c:lblAlgn val="ctr"/>
        <c:lblOffset val="100"/>
        <c:tickLblSkip val="1"/>
        <c:tickMarkSkip val="1"/>
        <c:noMultiLvlLbl val="0"/>
      </c:catAx>
      <c:valAx>
        <c:axId val="1"/>
        <c:scaling>
          <c:orientation val="minMax"/>
        </c:scaling>
        <c:delete val="0"/>
        <c:axPos val="l"/>
        <c:majorGridlines>
          <c:spPr>
            <a:ln w="3175">
              <a:solidFill>
                <a:srgbClr val="000000"/>
              </a:solidFill>
              <a:prstDash val="sysDash"/>
            </a:ln>
          </c:spPr>
        </c:majorGridlines>
        <c:title>
          <c:tx>
            <c:rich>
              <a:bodyPr/>
              <a:lstStyle/>
              <a:p>
                <a:pPr>
                  <a:defRPr sz="800" b="1" i="0" u="none" strike="noStrike" baseline="0">
                    <a:solidFill>
                      <a:srgbClr val="000000"/>
                    </a:solidFill>
                    <a:latin typeface="Calibri"/>
                    <a:ea typeface="Calibri"/>
                    <a:cs typeface="Calibri"/>
                  </a:defRPr>
                </a:pPr>
                <a:r>
                  <a:rPr lang="it-IT"/>
                  <a:t>Prob (%)</a:t>
                </a:r>
              </a:p>
            </c:rich>
          </c:tx>
          <c:layout>
            <c:manualLayout>
              <c:xMode val="edge"/>
              <c:yMode val="edge"/>
              <c:x val="1.4164206036745406E-2"/>
              <c:y val="0.38396668770834025"/>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Calibri"/>
                <a:ea typeface="Calibri"/>
                <a:cs typeface="Calibri"/>
              </a:defRPr>
            </a:pPr>
            <a:endParaRPr lang="it-IT"/>
          </a:p>
        </c:txPr>
        <c:crossAx val="503193360"/>
        <c:crosses val="autoZero"/>
        <c:crossBetween val="between"/>
      </c:valAx>
      <c:spPr>
        <a:gradFill rotWithShape="0">
          <a:gsLst>
            <a:gs pos="0">
              <a:srgbClr val="FFFFFF"/>
            </a:gs>
            <a:gs pos="100000">
              <a:srgbClr val="FFFFCC"/>
            </a:gs>
          </a:gsLst>
          <a:lin ang="5400000" scaled="1"/>
        </a:gra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Calibri"/>
          <a:ea typeface="Calibri"/>
          <a:cs typeface="Calibri"/>
        </a:defRPr>
      </a:pPr>
      <a:endParaRPr lang="it-IT"/>
    </a:p>
  </c:txPr>
  <c:printSettings>
    <c:headerFooter alignWithMargins="0"/>
    <c:pageMargins b="1" l="0.75" r="0.75" t="1" header="0.5" footer="0.5"/>
    <c:pageSetup paperSize="9"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838200</xdr:colOff>
      <xdr:row>4</xdr:row>
      <xdr:rowOff>152400</xdr:rowOff>
    </xdr:from>
    <xdr:to>
      <xdr:col>16</xdr:col>
      <xdr:colOff>504825</xdr:colOff>
      <xdr:row>27</xdr:row>
      <xdr:rowOff>152400</xdr:rowOff>
    </xdr:to>
    <xdr:graphicFrame macro="">
      <xdr:nvGraphicFramePr>
        <xdr:cNvPr id="3664905" name="Grafico 10">
          <a:extLst>
            <a:ext uri="{FF2B5EF4-FFF2-40B4-BE49-F238E27FC236}">
              <a16:creationId xmlns:a16="http://schemas.microsoft.com/office/drawing/2014/main" id="{EA1C7A00-1EA0-4D4E-9C0A-E98109A4F8E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30</xdr:row>
      <xdr:rowOff>131445</xdr:rowOff>
    </xdr:from>
    <xdr:to>
      <xdr:col>7</xdr:col>
      <xdr:colOff>179335</xdr:colOff>
      <xdr:row>31</xdr:row>
      <xdr:rowOff>99544</xdr:rowOff>
    </xdr:to>
    <xdr:sp macro="[0]!Copia_BTP" textlink="">
      <xdr:nvSpPr>
        <xdr:cNvPr id="2646" name="Text Box 14">
          <a:extLst>
            <a:ext uri="{FF2B5EF4-FFF2-40B4-BE49-F238E27FC236}">
              <a16:creationId xmlns:a16="http://schemas.microsoft.com/office/drawing/2014/main" id="{C206DCE3-02DF-4BEC-91A4-C0924D698A0E}"/>
            </a:ext>
          </a:extLst>
        </xdr:cNvPr>
        <xdr:cNvSpPr txBox="1">
          <a:spLocks noChangeArrowheads="1"/>
        </xdr:cNvSpPr>
      </xdr:nvSpPr>
      <xdr:spPr bwMode="auto">
        <a:xfrm>
          <a:off x="5257800" y="4819650"/>
          <a:ext cx="1028700" cy="134076"/>
        </a:xfrm>
        <a:prstGeom prst="rect">
          <a:avLst/>
        </a:prstGeom>
        <a:solidFill>
          <a:srgbClr xmlns:mc="http://schemas.openxmlformats.org/markup-compatibility/2006" xmlns:a14="http://schemas.microsoft.com/office/drawing/2010/main" val="FFFFFF" mc:Ignorable="a14" a14:legacySpreadsheetColorIndex="9">
            <a:alpha val="30000"/>
          </a:srgbClr>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it-IT" sz="1000" b="1" i="0" u="none" strike="noStrike" baseline="0">
              <a:solidFill>
                <a:srgbClr val="000000"/>
              </a:solidFill>
              <a:latin typeface="Calibri"/>
              <a:cs typeface="Calibri"/>
            </a:rPr>
            <a:t>Copia BTP</a:t>
          </a:r>
        </a:p>
      </xdr:txBody>
    </xdr:sp>
    <xdr:clientData/>
  </xdr:twoCellAnchor>
  <xdr:twoCellAnchor>
    <xdr:from>
      <xdr:col>4</xdr:col>
      <xdr:colOff>219075</xdr:colOff>
      <xdr:row>30</xdr:row>
      <xdr:rowOff>93345</xdr:rowOff>
    </xdr:from>
    <xdr:to>
      <xdr:col>5</xdr:col>
      <xdr:colOff>396386</xdr:colOff>
      <xdr:row>31</xdr:row>
      <xdr:rowOff>68812</xdr:rowOff>
    </xdr:to>
    <xdr:sp macro="[0]!BTP" textlink="">
      <xdr:nvSpPr>
        <xdr:cNvPr id="2647" name="Text Box 14">
          <a:extLst>
            <a:ext uri="{FF2B5EF4-FFF2-40B4-BE49-F238E27FC236}">
              <a16:creationId xmlns:a16="http://schemas.microsoft.com/office/drawing/2014/main" id="{7E26BBA0-313D-41A4-99DA-91A12797D72E}"/>
            </a:ext>
          </a:extLst>
        </xdr:cNvPr>
        <xdr:cNvSpPr txBox="1">
          <a:spLocks noChangeArrowheads="1"/>
        </xdr:cNvSpPr>
      </xdr:nvSpPr>
      <xdr:spPr bwMode="auto">
        <a:xfrm>
          <a:off x="3810000" y="4810125"/>
          <a:ext cx="1028700" cy="134076"/>
        </a:xfrm>
        <a:prstGeom prst="rect">
          <a:avLst/>
        </a:prstGeom>
        <a:solidFill>
          <a:srgbClr xmlns:mc="http://schemas.openxmlformats.org/markup-compatibility/2006" xmlns:a14="http://schemas.microsoft.com/office/drawing/2010/main" val="FFFFFF" mc:Ignorable="a14" a14:legacySpreadsheetColorIndex="9">
            <a:alpha val="30000"/>
          </a:srgbClr>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it-IT" sz="1000" b="1" i="0" u="none" strike="noStrike" baseline="0">
              <a:solidFill>
                <a:srgbClr val="000000"/>
              </a:solidFill>
              <a:latin typeface="Calibri"/>
              <a:cs typeface="Calibri"/>
            </a:rPr>
            <a:t>BTP</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85725</xdr:colOff>
      <xdr:row>1</xdr:row>
      <xdr:rowOff>19050</xdr:rowOff>
    </xdr:from>
    <xdr:to>
      <xdr:col>4</xdr:col>
      <xdr:colOff>285750</xdr:colOff>
      <xdr:row>2</xdr:row>
      <xdr:rowOff>133350</xdr:rowOff>
    </xdr:to>
    <xdr:pic>
      <xdr:nvPicPr>
        <xdr:cNvPr id="3666956" name="Picture 1025">
          <a:extLst>
            <a:ext uri="{FF2B5EF4-FFF2-40B4-BE49-F238E27FC236}">
              <a16:creationId xmlns:a16="http://schemas.microsoft.com/office/drawing/2014/main" id="{9B54324C-5124-4063-AD87-15FB6708529A}"/>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14325" y="180975"/>
          <a:ext cx="2428875" cy="276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38100</xdr:colOff>
      <xdr:row>214</xdr:row>
      <xdr:rowOff>19050</xdr:rowOff>
    </xdr:from>
    <xdr:to>
      <xdr:col>5</xdr:col>
      <xdr:colOff>504825</xdr:colOff>
      <xdr:row>228</xdr:row>
      <xdr:rowOff>9525</xdr:rowOff>
    </xdr:to>
    <xdr:graphicFrame macro="">
      <xdr:nvGraphicFramePr>
        <xdr:cNvPr id="3666957" name="Grafico 1061">
          <a:extLst>
            <a:ext uri="{FF2B5EF4-FFF2-40B4-BE49-F238E27FC236}">
              <a16:creationId xmlns:a16="http://schemas.microsoft.com/office/drawing/2014/main" id="{11B3A0D8-DB1A-48F7-9FA1-C9ABBFA28C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85725</xdr:colOff>
      <xdr:row>175</xdr:row>
      <xdr:rowOff>19050</xdr:rowOff>
    </xdr:from>
    <xdr:to>
      <xdr:col>4</xdr:col>
      <xdr:colOff>285750</xdr:colOff>
      <xdr:row>176</xdr:row>
      <xdr:rowOff>133350</xdr:rowOff>
    </xdr:to>
    <xdr:pic>
      <xdr:nvPicPr>
        <xdr:cNvPr id="3666958" name="Picture 1072">
          <a:extLst>
            <a:ext uri="{FF2B5EF4-FFF2-40B4-BE49-F238E27FC236}">
              <a16:creationId xmlns:a16="http://schemas.microsoft.com/office/drawing/2014/main" id="{93A71CC6-6DEA-486B-8FB9-2CBCA8B6127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14325" y="12068175"/>
          <a:ext cx="2428875" cy="276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248</xdr:row>
      <xdr:rowOff>19050</xdr:rowOff>
    </xdr:from>
    <xdr:to>
      <xdr:col>4</xdr:col>
      <xdr:colOff>285750</xdr:colOff>
      <xdr:row>249</xdr:row>
      <xdr:rowOff>133350</xdr:rowOff>
    </xdr:to>
    <xdr:pic>
      <xdr:nvPicPr>
        <xdr:cNvPr id="3666959" name="Picture 1098">
          <a:extLst>
            <a:ext uri="{FF2B5EF4-FFF2-40B4-BE49-F238E27FC236}">
              <a16:creationId xmlns:a16="http://schemas.microsoft.com/office/drawing/2014/main" id="{AE83A4A3-0239-43CA-B921-6B15BC70EAB3}"/>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14325" y="24050625"/>
          <a:ext cx="2428875" cy="276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11</xdr:col>
      <xdr:colOff>800100</xdr:colOff>
      <xdr:row>0</xdr:row>
      <xdr:rowOff>9525</xdr:rowOff>
    </xdr:from>
    <xdr:to>
      <xdr:col>13</xdr:col>
      <xdr:colOff>9525</xdr:colOff>
      <xdr:row>1</xdr:row>
      <xdr:rowOff>95250</xdr:rowOff>
    </xdr:to>
    <xdr:sp macro="[0]!Run_Istruttorie" textlink="">
      <xdr:nvSpPr>
        <xdr:cNvPr id="2" name="CasellaDiTesto 1">
          <a:extLst>
            <a:ext uri="{FF2B5EF4-FFF2-40B4-BE49-F238E27FC236}">
              <a16:creationId xmlns:a16="http://schemas.microsoft.com/office/drawing/2014/main" id="{9365C7E4-81F7-42E0-B45F-02BE44FDAA6C}"/>
            </a:ext>
          </a:extLst>
        </xdr:cNvPr>
        <xdr:cNvSpPr txBox="1"/>
      </xdr:nvSpPr>
      <xdr:spPr>
        <a:xfrm>
          <a:off x="8029575" y="9525"/>
          <a:ext cx="638175" cy="247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it-IT" sz="1100" b="1">
              <a:solidFill>
                <a:srgbClr val="FF0000"/>
              </a:solidFill>
            </a:rPr>
            <a:t>RUN</a:t>
          </a:r>
        </a:p>
      </xdr:txBody>
    </xdr:sp>
    <xdr:clientData/>
  </xdr:twoCellAnchor>
  <xdr:twoCellAnchor>
    <xdr:from>
      <xdr:col>5</xdr:col>
      <xdr:colOff>0</xdr:colOff>
      <xdr:row>44</xdr:row>
      <xdr:rowOff>228600</xdr:rowOff>
    </xdr:from>
    <xdr:to>
      <xdr:col>6</xdr:col>
      <xdr:colOff>400050</xdr:colOff>
      <xdr:row>45</xdr:row>
      <xdr:rowOff>57150</xdr:rowOff>
    </xdr:to>
    <xdr:sp macro="" textlink="">
      <xdr:nvSpPr>
        <xdr:cNvPr id="7" name="Object 1056" hidden="1">
          <a:extLst>
            <a:ext uri="{FF2B5EF4-FFF2-40B4-BE49-F238E27FC236}">
              <a16:creationId xmlns:a16="http://schemas.microsoft.com/office/drawing/2014/main" id="{2537BF75-A9A1-4FE8-A62E-0E595C6B0EE4}"/>
            </a:ext>
          </a:extLst>
        </xdr:cNvPr>
        <xdr:cNvSpPr>
          <a:spLocks noChangeArrowheads="1"/>
        </xdr:cNvSpPr>
      </xdr:nvSpPr>
      <xdr:spPr bwMode="auto">
        <a:xfrm>
          <a:off x="2771775" y="7877175"/>
          <a:ext cx="1057275" cy="57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4</xdr:col>
      <xdr:colOff>0</xdr:colOff>
      <xdr:row>45</xdr:row>
      <xdr:rowOff>57150</xdr:rowOff>
    </xdr:from>
    <xdr:to>
      <xdr:col>5</xdr:col>
      <xdr:colOff>361950</xdr:colOff>
      <xdr:row>82</xdr:row>
      <xdr:rowOff>0</xdr:rowOff>
    </xdr:to>
    <xdr:sp macro="" textlink="">
      <xdr:nvSpPr>
        <xdr:cNvPr id="8" name="Object 1057" hidden="1">
          <a:extLst>
            <a:ext uri="{FF2B5EF4-FFF2-40B4-BE49-F238E27FC236}">
              <a16:creationId xmlns:a16="http://schemas.microsoft.com/office/drawing/2014/main" id="{33DF6A6D-F5A8-4D96-A793-957439311DEA}"/>
            </a:ext>
          </a:extLst>
        </xdr:cNvPr>
        <xdr:cNvSpPr>
          <a:spLocks noChangeArrowheads="1"/>
        </xdr:cNvSpPr>
      </xdr:nvSpPr>
      <xdr:spPr bwMode="auto">
        <a:xfrm>
          <a:off x="2771775" y="7934325"/>
          <a:ext cx="1019175" cy="590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4</xdr:col>
      <xdr:colOff>0</xdr:colOff>
      <xdr:row>45</xdr:row>
      <xdr:rowOff>57150</xdr:rowOff>
    </xdr:from>
    <xdr:to>
      <xdr:col>5</xdr:col>
      <xdr:colOff>400050</xdr:colOff>
      <xdr:row>82</xdr:row>
      <xdr:rowOff>0</xdr:rowOff>
    </xdr:to>
    <xdr:sp macro="" textlink="">
      <xdr:nvSpPr>
        <xdr:cNvPr id="9" name="Object 1056" hidden="1">
          <a:extLst>
            <a:ext uri="{FF2B5EF4-FFF2-40B4-BE49-F238E27FC236}">
              <a16:creationId xmlns:a16="http://schemas.microsoft.com/office/drawing/2014/main" id="{27D438D9-4B6A-4306-BF02-F1B31DEA489C}"/>
            </a:ext>
          </a:extLst>
        </xdr:cNvPr>
        <xdr:cNvSpPr>
          <a:spLocks noChangeArrowheads="1"/>
        </xdr:cNvSpPr>
      </xdr:nvSpPr>
      <xdr:spPr bwMode="auto">
        <a:xfrm>
          <a:off x="2771775" y="7934325"/>
          <a:ext cx="1057275" cy="590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5</xdr:col>
      <xdr:colOff>0</xdr:colOff>
      <xdr:row>45</xdr:row>
      <xdr:rowOff>228600</xdr:rowOff>
    </xdr:from>
    <xdr:to>
      <xdr:col>6</xdr:col>
      <xdr:colOff>400050</xdr:colOff>
      <xdr:row>46</xdr:row>
      <xdr:rowOff>57150</xdr:rowOff>
    </xdr:to>
    <xdr:sp macro="" textlink="">
      <xdr:nvSpPr>
        <xdr:cNvPr id="10" name="Object 1056" hidden="1">
          <a:extLst>
            <a:ext uri="{FF2B5EF4-FFF2-40B4-BE49-F238E27FC236}">
              <a16:creationId xmlns:a16="http://schemas.microsoft.com/office/drawing/2014/main" id="{60FD264B-F341-47BA-998D-046FDD00460D}"/>
            </a:ext>
          </a:extLst>
        </xdr:cNvPr>
        <xdr:cNvSpPr>
          <a:spLocks noChangeArrowheads="1"/>
        </xdr:cNvSpPr>
      </xdr:nvSpPr>
      <xdr:spPr bwMode="auto">
        <a:xfrm>
          <a:off x="2771775" y="8039100"/>
          <a:ext cx="1057275" cy="57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5</xdr:col>
      <xdr:colOff>0</xdr:colOff>
      <xdr:row>46</xdr:row>
      <xdr:rowOff>228600</xdr:rowOff>
    </xdr:from>
    <xdr:to>
      <xdr:col>6</xdr:col>
      <xdr:colOff>400050</xdr:colOff>
      <xdr:row>47</xdr:row>
      <xdr:rowOff>57150</xdr:rowOff>
    </xdr:to>
    <xdr:sp macro="" textlink="">
      <xdr:nvSpPr>
        <xdr:cNvPr id="11" name="Object 1056" hidden="1">
          <a:extLst>
            <a:ext uri="{FF2B5EF4-FFF2-40B4-BE49-F238E27FC236}">
              <a16:creationId xmlns:a16="http://schemas.microsoft.com/office/drawing/2014/main" id="{38A50EED-150F-47B1-8E19-BFA328130E67}"/>
            </a:ext>
          </a:extLst>
        </xdr:cNvPr>
        <xdr:cNvSpPr>
          <a:spLocks noChangeArrowheads="1"/>
        </xdr:cNvSpPr>
      </xdr:nvSpPr>
      <xdr:spPr bwMode="auto">
        <a:xfrm>
          <a:off x="2771775" y="8201025"/>
          <a:ext cx="1057275" cy="57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5</xdr:col>
      <xdr:colOff>0</xdr:colOff>
      <xdr:row>45</xdr:row>
      <xdr:rowOff>228600</xdr:rowOff>
    </xdr:from>
    <xdr:to>
      <xdr:col>6</xdr:col>
      <xdr:colOff>400050</xdr:colOff>
      <xdr:row>46</xdr:row>
      <xdr:rowOff>57150</xdr:rowOff>
    </xdr:to>
    <xdr:sp macro="" textlink="">
      <xdr:nvSpPr>
        <xdr:cNvPr id="12" name="Object 1056" hidden="1">
          <a:extLst>
            <a:ext uri="{FF2B5EF4-FFF2-40B4-BE49-F238E27FC236}">
              <a16:creationId xmlns:a16="http://schemas.microsoft.com/office/drawing/2014/main" id="{19FDC35B-B85B-4091-BBB7-D4CE0DA87A9D}"/>
            </a:ext>
          </a:extLst>
        </xdr:cNvPr>
        <xdr:cNvSpPr>
          <a:spLocks noChangeArrowheads="1"/>
        </xdr:cNvSpPr>
      </xdr:nvSpPr>
      <xdr:spPr bwMode="auto">
        <a:xfrm>
          <a:off x="3419475" y="7315200"/>
          <a:ext cx="1057275" cy="57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5</xdr:col>
      <xdr:colOff>0</xdr:colOff>
      <xdr:row>46</xdr:row>
      <xdr:rowOff>228600</xdr:rowOff>
    </xdr:from>
    <xdr:to>
      <xdr:col>6</xdr:col>
      <xdr:colOff>400050</xdr:colOff>
      <xdr:row>47</xdr:row>
      <xdr:rowOff>57150</xdr:rowOff>
    </xdr:to>
    <xdr:sp macro="" textlink="">
      <xdr:nvSpPr>
        <xdr:cNvPr id="13" name="Object 1056" hidden="1">
          <a:extLst>
            <a:ext uri="{FF2B5EF4-FFF2-40B4-BE49-F238E27FC236}">
              <a16:creationId xmlns:a16="http://schemas.microsoft.com/office/drawing/2014/main" id="{6F9A7FFF-B320-48A3-B1BC-65FEE5DF77E0}"/>
            </a:ext>
          </a:extLst>
        </xdr:cNvPr>
        <xdr:cNvSpPr>
          <a:spLocks noChangeArrowheads="1"/>
        </xdr:cNvSpPr>
      </xdr:nvSpPr>
      <xdr:spPr bwMode="auto">
        <a:xfrm>
          <a:off x="3419475" y="7315200"/>
          <a:ext cx="1057275" cy="57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5</xdr:col>
      <xdr:colOff>0</xdr:colOff>
      <xdr:row>47</xdr:row>
      <xdr:rowOff>228600</xdr:rowOff>
    </xdr:from>
    <xdr:to>
      <xdr:col>6</xdr:col>
      <xdr:colOff>400050</xdr:colOff>
      <xdr:row>48</xdr:row>
      <xdr:rowOff>57150</xdr:rowOff>
    </xdr:to>
    <xdr:sp macro="" textlink="">
      <xdr:nvSpPr>
        <xdr:cNvPr id="14" name="Object 1056" hidden="1">
          <a:extLst>
            <a:ext uri="{FF2B5EF4-FFF2-40B4-BE49-F238E27FC236}">
              <a16:creationId xmlns:a16="http://schemas.microsoft.com/office/drawing/2014/main" id="{8B394394-A96E-462A-B01A-A42623921DD1}"/>
            </a:ext>
          </a:extLst>
        </xdr:cNvPr>
        <xdr:cNvSpPr>
          <a:spLocks noChangeArrowheads="1"/>
        </xdr:cNvSpPr>
      </xdr:nvSpPr>
      <xdr:spPr bwMode="auto">
        <a:xfrm>
          <a:off x="3419475" y="7315200"/>
          <a:ext cx="1057275" cy="57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5</xdr:col>
      <xdr:colOff>0</xdr:colOff>
      <xdr:row>48</xdr:row>
      <xdr:rowOff>228600</xdr:rowOff>
    </xdr:from>
    <xdr:to>
      <xdr:col>6</xdr:col>
      <xdr:colOff>400050</xdr:colOff>
      <xdr:row>49</xdr:row>
      <xdr:rowOff>57150</xdr:rowOff>
    </xdr:to>
    <xdr:sp macro="" textlink="">
      <xdr:nvSpPr>
        <xdr:cNvPr id="15" name="Object 1056" hidden="1">
          <a:extLst>
            <a:ext uri="{FF2B5EF4-FFF2-40B4-BE49-F238E27FC236}">
              <a16:creationId xmlns:a16="http://schemas.microsoft.com/office/drawing/2014/main" id="{361C1A55-0989-4C72-BE8D-045A337AAA0A}"/>
            </a:ext>
          </a:extLst>
        </xdr:cNvPr>
        <xdr:cNvSpPr>
          <a:spLocks noChangeArrowheads="1"/>
        </xdr:cNvSpPr>
      </xdr:nvSpPr>
      <xdr:spPr bwMode="auto">
        <a:xfrm>
          <a:off x="3419475" y="7315200"/>
          <a:ext cx="1057275" cy="57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5</xdr:col>
      <xdr:colOff>0</xdr:colOff>
      <xdr:row>49</xdr:row>
      <xdr:rowOff>228600</xdr:rowOff>
    </xdr:from>
    <xdr:to>
      <xdr:col>6</xdr:col>
      <xdr:colOff>400050</xdr:colOff>
      <xdr:row>50</xdr:row>
      <xdr:rowOff>57150</xdr:rowOff>
    </xdr:to>
    <xdr:sp macro="" textlink="">
      <xdr:nvSpPr>
        <xdr:cNvPr id="16" name="Object 1056" hidden="1">
          <a:extLst>
            <a:ext uri="{FF2B5EF4-FFF2-40B4-BE49-F238E27FC236}">
              <a16:creationId xmlns:a16="http://schemas.microsoft.com/office/drawing/2014/main" id="{B39F8658-6160-4DEF-89F0-EF001813C9CA}"/>
            </a:ext>
          </a:extLst>
        </xdr:cNvPr>
        <xdr:cNvSpPr>
          <a:spLocks noChangeArrowheads="1"/>
        </xdr:cNvSpPr>
      </xdr:nvSpPr>
      <xdr:spPr bwMode="auto">
        <a:xfrm>
          <a:off x="3419475" y="7315200"/>
          <a:ext cx="1057275" cy="57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5</xdr:col>
      <xdr:colOff>0</xdr:colOff>
      <xdr:row>50</xdr:row>
      <xdr:rowOff>228600</xdr:rowOff>
    </xdr:from>
    <xdr:to>
      <xdr:col>6</xdr:col>
      <xdr:colOff>400050</xdr:colOff>
      <xdr:row>51</xdr:row>
      <xdr:rowOff>57150</xdr:rowOff>
    </xdr:to>
    <xdr:sp macro="" textlink="">
      <xdr:nvSpPr>
        <xdr:cNvPr id="17" name="Object 1056" hidden="1">
          <a:extLst>
            <a:ext uri="{FF2B5EF4-FFF2-40B4-BE49-F238E27FC236}">
              <a16:creationId xmlns:a16="http://schemas.microsoft.com/office/drawing/2014/main" id="{39372C73-741C-4815-8797-26F80D540376}"/>
            </a:ext>
          </a:extLst>
        </xdr:cNvPr>
        <xdr:cNvSpPr>
          <a:spLocks noChangeArrowheads="1"/>
        </xdr:cNvSpPr>
      </xdr:nvSpPr>
      <xdr:spPr bwMode="auto">
        <a:xfrm>
          <a:off x="3419475" y="7315200"/>
          <a:ext cx="1057275" cy="57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5</xdr:col>
      <xdr:colOff>0</xdr:colOff>
      <xdr:row>51</xdr:row>
      <xdr:rowOff>228600</xdr:rowOff>
    </xdr:from>
    <xdr:to>
      <xdr:col>6</xdr:col>
      <xdr:colOff>400050</xdr:colOff>
      <xdr:row>52</xdr:row>
      <xdr:rowOff>57150</xdr:rowOff>
    </xdr:to>
    <xdr:sp macro="" textlink="">
      <xdr:nvSpPr>
        <xdr:cNvPr id="18" name="Object 1056" hidden="1">
          <a:extLst>
            <a:ext uri="{FF2B5EF4-FFF2-40B4-BE49-F238E27FC236}">
              <a16:creationId xmlns:a16="http://schemas.microsoft.com/office/drawing/2014/main" id="{BE67A29E-993E-4017-9FCB-F08FBBFDA24A}"/>
            </a:ext>
          </a:extLst>
        </xdr:cNvPr>
        <xdr:cNvSpPr>
          <a:spLocks noChangeArrowheads="1"/>
        </xdr:cNvSpPr>
      </xdr:nvSpPr>
      <xdr:spPr bwMode="auto">
        <a:xfrm>
          <a:off x="3419475" y="7315200"/>
          <a:ext cx="1057275" cy="57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5</xdr:col>
      <xdr:colOff>0</xdr:colOff>
      <xdr:row>52</xdr:row>
      <xdr:rowOff>228600</xdr:rowOff>
    </xdr:from>
    <xdr:to>
      <xdr:col>6</xdr:col>
      <xdr:colOff>400050</xdr:colOff>
      <xdr:row>53</xdr:row>
      <xdr:rowOff>57150</xdr:rowOff>
    </xdr:to>
    <xdr:sp macro="" textlink="">
      <xdr:nvSpPr>
        <xdr:cNvPr id="19" name="Object 1056" hidden="1">
          <a:extLst>
            <a:ext uri="{FF2B5EF4-FFF2-40B4-BE49-F238E27FC236}">
              <a16:creationId xmlns:a16="http://schemas.microsoft.com/office/drawing/2014/main" id="{5560E854-7631-4E02-8AFB-0A685FF1F78A}"/>
            </a:ext>
          </a:extLst>
        </xdr:cNvPr>
        <xdr:cNvSpPr>
          <a:spLocks noChangeArrowheads="1"/>
        </xdr:cNvSpPr>
      </xdr:nvSpPr>
      <xdr:spPr bwMode="auto">
        <a:xfrm>
          <a:off x="3419475" y="7315200"/>
          <a:ext cx="1057275" cy="57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5</xdr:col>
      <xdr:colOff>0</xdr:colOff>
      <xdr:row>53</xdr:row>
      <xdr:rowOff>228600</xdr:rowOff>
    </xdr:from>
    <xdr:to>
      <xdr:col>6</xdr:col>
      <xdr:colOff>400050</xdr:colOff>
      <xdr:row>54</xdr:row>
      <xdr:rowOff>57150</xdr:rowOff>
    </xdr:to>
    <xdr:sp macro="" textlink="">
      <xdr:nvSpPr>
        <xdr:cNvPr id="20" name="Object 1056" hidden="1">
          <a:extLst>
            <a:ext uri="{FF2B5EF4-FFF2-40B4-BE49-F238E27FC236}">
              <a16:creationId xmlns:a16="http://schemas.microsoft.com/office/drawing/2014/main" id="{07AF8B8F-8A1C-4E0F-911A-041C09D6C56F}"/>
            </a:ext>
          </a:extLst>
        </xdr:cNvPr>
        <xdr:cNvSpPr>
          <a:spLocks noChangeArrowheads="1"/>
        </xdr:cNvSpPr>
      </xdr:nvSpPr>
      <xdr:spPr bwMode="auto">
        <a:xfrm>
          <a:off x="3419475" y="7315200"/>
          <a:ext cx="1057275" cy="57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5</xdr:col>
      <xdr:colOff>0</xdr:colOff>
      <xdr:row>54</xdr:row>
      <xdr:rowOff>228600</xdr:rowOff>
    </xdr:from>
    <xdr:to>
      <xdr:col>6</xdr:col>
      <xdr:colOff>400050</xdr:colOff>
      <xdr:row>55</xdr:row>
      <xdr:rowOff>57150</xdr:rowOff>
    </xdr:to>
    <xdr:sp macro="" textlink="">
      <xdr:nvSpPr>
        <xdr:cNvPr id="21" name="Object 1056" hidden="1">
          <a:extLst>
            <a:ext uri="{FF2B5EF4-FFF2-40B4-BE49-F238E27FC236}">
              <a16:creationId xmlns:a16="http://schemas.microsoft.com/office/drawing/2014/main" id="{AE758A07-79F3-46EB-8530-3BD5B24DE52C}"/>
            </a:ext>
          </a:extLst>
        </xdr:cNvPr>
        <xdr:cNvSpPr>
          <a:spLocks noChangeArrowheads="1"/>
        </xdr:cNvSpPr>
      </xdr:nvSpPr>
      <xdr:spPr bwMode="auto">
        <a:xfrm>
          <a:off x="3419475" y="7315200"/>
          <a:ext cx="1057275" cy="57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5</xdr:col>
      <xdr:colOff>0</xdr:colOff>
      <xdr:row>55</xdr:row>
      <xdr:rowOff>228600</xdr:rowOff>
    </xdr:from>
    <xdr:to>
      <xdr:col>6</xdr:col>
      <xdr:colOff>400050</xdr:colOff>
      <xdr:row>56</xdr:row>
      <xdr:rowOff>57150</xdr:rowOff>
    </xdr:to>
    <xdr:sp macro="" textlink="">
      <xdr:nvSpPr>
        <xdr:cNvPr id="22" name="Object 1056" hidden="1">
          <a:extLst>
            <a:ext uri="{FF2B5EF4-FFF2-40B4-BE49-F238E27FC236}">
              <a16:creationId xmlns:a16="http://schemas.microsoft.com/office/drawing/2014/main" id="{94FFC88D-E60E-4A1E-B0DD-142E20A68CB2}"/>
            </a:ext>
          </a:extLst>
        </xdr:cNvPr>
        <xdr:cNvSpPr>
          <a:spLocks noChangeArrowheads="1"/>
        </xdr:cNvSpPr>
      </xdr:nvSpPr>
      <xdr:spPr bwMode="auto">
        <a:xfrm>
          <a:off x="3419475" y="7315200"/>
          <a:ext cx="1057275" cy="57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5</xdr:col>
      <xdr:colOff>0</xdr:colOff>
      <xdr:row>56</xdr:row>
      <xdr:rowOff>228600</xdr:rowOff>
    </xdr:from>
    <xdr:to>
      <xdr:col>6</xdr:col>
      <xdr:colOff>400050</xdr:colOff>
      <xdr:row>57</xdr:row>
      <xdr:rowOff>57150</xdr:rowOff>
    </xdr:to>
    <xdr:sp macro="" textlink="">
      <xdr:nvSpPr>
        <xdr:cNvPr id="23" name="Object 1056" hidden="1">
          <a:extLst>
            <a:ext uri="{FF2B5EF4-FFF2-40B4-BE49-F238E27FC236}">
              <a16:creationId xmlns:a16="http://schemas.microsoft.com/office/drawing/2014/main" id="{C837D745-1A8C-4CDC-AB90-522C23874C1C}"/>
            </a:ext>
          </a:extLst>
        </xdr:cNvPr>
        <xdr:cNvSpPr>
          <a:spLocks noChangeArrowheads="1"/>
        </xdr:cNvSpPr>
      </xdr:nvSpPr>
      <xdr:spPr bwMode="auto">
        <a:xfrm>
          <a:off x="3419475" y="7315200"/>
          <a:ext cx="1057275" cy="57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5</xdr:col>
      <xdr:colOff>0</xdr:colOff>
      <xdr:row>57</xdr:row>
      <xdr:rowOff>228600</xdr:rowOff>
    </xdr:from>
    <xdr:to>
      <xdr:col>6</xdr:col>
      <xdr:colOff>400050</xdr:colOff>
      <xdr:row>58</xdr:row>
      <xdr:rowOff>57150</xdr:rowOff>
    </xdr:to>
    <xdr:sp macro="" textlink="">
      <xdr:nvSpPr>
        <xdr:cNvPr id="24" name="Object 1056" hidden="1">
          <a:extLst>
            <a:ext uri="{FF2B5EF4-FFF2-40B4-BE49-F238E27FC236}">
              <a16:creationId xmlns:a16="http://schemas.microsoft.com/office/drawing/2014/main" id="{11FC7A63-D47B-4DC3-BC00-8EE9A35A6352}"/>
            </a:ext>
          </a:extLst>
        </xdr:cNvPr>
        <xdr:cNvSpPr>
          <a:spLocks noChangeArrowheads="1"/>
        </xdr:cNvSpPr>
      </xdr:nvSpPr>
      <xdr:spPr bwMode="auto">
        <a:xfrm>
          <a:off x="3419475" y="7315200"/>
          <a:ext cx="1057275" cy="57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5</xdr:col>
      <xdr:colOff>0</xdr:colOff>
      <xdr:row>58</xdr:row>
      <xdr:rowOff>228600</xdr:rowOff>
    </xdr:from>
    <xdr:to>
      <xdr:col>6</xdr:col>
      <xdr:colOff>400050</xdr:colOff>
      <xdr:row>59</xdr:row>
      <xdr:rowOff>57150</xdr:rowOff>
    </xdr:to>
    <xdr:sp macro="" textlink="">
      <xdr:nvSpPr>
        <xdr:cNvPr id="25" name="Object 1056" hidden="1">
          <a:extLst>
            <a:ext uri="{FF2B5EF4-FFF2-40B4-BE49-F238E27FC236}">
              <a16:creationId xmlns:a16="http://schemas.microsoft.com/office/drawing/2014/main" id="{1F2341D4-B65B-4527-9836-2D91D3747B3C}"/>
            </a:ext>
          </a:extLst>
        </xdr:cNvPr>
        <xdr:cNvSpPr>
          <a:spLocks noChangeArrowheads="1"/>
        </xdr:cNvSpPr>
      </xdr:nvSpPr>
      <xdr:spPr bwMode="auto">
        <a:xfrm>
          <a:off x="3419475" y="7315200"/>
          <a:ext cx="1057275" cy="57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5</xdr:col>
      <xdr:colOff>0</xdr:colOff>
      <xdr:row>59</xdr:row>
      <xdr:rowOff>228600</xdr:rowOff>
    </xdr:from>
    <xdr:to>
      <xdr:col>6</xdr:col>
      <xdr:colOff>400050</xdr:colOff>
      <xdr:row>60</xdr:row>
      <xdr:rowOff>57150</xdr:rowOff>
    </xdr:to>
    <xdr:sp macro="" textlink="">
      <xdr:nvSpPr>
        <xdr:cNvPr id="26" name="Object 1056" hidden="1">
          <a:extLst>
            <a:ext uri="{FF2B5EF4-FFF2-40B4-BE49-F238E27FC236}">
              <a16:creationId xmlns:a16="http://schemas.microsoft.com/office/drawing/2014/main" id="{A5B27B3E-DF1A-41D3-BF53-9E65970BFB68}"/>
            </a:ext>
          </a:extLst>
        </xdr:cNvPr>
        <xdr:cNvSpPr>
          <a:spLocks noChangeArrowheads="1"/>
        </xdr:cNvSpPr>
      </xdr:nvSpPr>
      <xdr:spPr bwMode="auto">
        <a:xfrm>
          <a:off x="3419475" y="7315200"/>
          <a:ext cx="1057275" cy="57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5</xdr:col>
      <xdr:colOff>0</xdr:colOff>
      <xdr:row>60</xdr:row>
      <xdr:rowOff>228600</xdr:rowOff>
    </xdr:from>
    <xdr:to>
      <xdr:col>6</xdr:col>
      <xdr:colOff>400050</xdr:colOff>
      <xdr:row>61</xdr:row>
      <xdr:rowOff>57150</xdr:rowOff>
    </xdr:to>
    <xdr:sp macro="" textlink="">
      <xdr:nvSpPr>
        <xdr:cNvPr id="27" name="Object 1056" hidden="1">
          <a:extLst>
            <a:ext uri="{FF2B5EF4-FFF2-40B4-BE49-F238E27FC236}">
              <a16:creationId xmlns:a16="http://schemas.microsoft.com/office/drawing/2014/main" id="{8ABCEEBC-2EEC-4C7B-A122-6524BA5CEFEA}"/>
            </a:ext>
          </a:extLst>
        </xdr:cNvPr>
        <xdr:cNvSpPr>
          <a:spLocks noChangeArrowheads="1"/>
        </xdr:cNvSpPr>
      </xdr:nvSpPr>
      <xdr:spPr bwMode="auto">
        <a:xfrm>
          <a:off x="3419475" y="7315200"/>
          <a:ext cx="1057275" cy="57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5</xdr:col>
      <xdr:colOff>0</xdr:colOff>
      <xdr:row>61</xdr:row>
      <xdr:rowOff>228600</xdr:rowOff>
    </xdr:from>
    <xdr:to>
      <xdr:col>6</xdr:col>
      <xdr:colOff>400050</xdr:colOff>
      <xdr:row>62</xdr:row>
      <xdr:rowOff>57150</xdr:rowOff>
    </xdr:to>
    <xdr:sp macro="" textlink="">
      <xdr:nvSpPr>
        <xdr:cNvPr id="28" name="Object 1056" hidden="1">
          <a:extLst>
            <a:ext uri="{FF2B5EF4-FFF2-40B4-BE49-F238E27FC236}">
              <a16:creationId xmlns:a16="http://schemas.microsoft.com/office/drawing/2014/main" id="{96A1297D-A2C1-4890-987B-67ECBB5D1CA4}"/>
            </a:ext>
          </a:extLst>
        </xdr:cNvPr>
        <xdr:cNvSpPr>
          <a:spLocks noChangeArrowheads="1"/>
        </xdr:cNvSpPr>
      </xdr:nvSpPr>
      <xdr:spPr bwMode="auto">
        <a:xfrm>
          <a:off x="3419475" y="7315200"/>
          <a:ext cx="1057275" cy="57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5</xdr:col>
      <xdr:colOff>0</xdr:colOff>
      <xdr:row>62</xdr:row>
      <xdr:rowOff>228600</xdr:rowOff>
    </xdr:from>
    <xdr:to>
      <xdr:col>6</xdr:col>
      <xdr:colOff>400050</xdr:colOff>
      <xdr:row>63</xdr:row>
      <xdr:rowOff>57150</xdr:rowOff>
    </xdr:to>
    <xdr:sp macro="" textlink="">
      <xdr:nvSpPr>
        <xdr:cNvPr id="29" name="Object 1056" hidden="1">
          <a:extLst>
            <a:ext uri="{FF2B5EF4-FFF2-40B4-BE49-F238E27FC236}">
              <a16:creationId xmlns:a16="http://schemas.microsoft.com/office/drawing/2014/main" id="{4067D994-3D2B-4FDA-B0B1-8B5AC7F384BC}"/>
            </a:ext>
          </a:extLst>
        </xdr:cNvPr>
        <xdr:cNvSpPr>
          <a:spLocks noChangeArrowheads="1"/>
        </xdr:cNvSpPr>
      </xdr:nvSpPr>
      <xdr:spPr bwMode="auto">
        <a:xfrm>
          <a:off x="3419475" y="7315200"/>
          <a:ext cx="1057275" cy="57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5</xdr:col>
      <xdr:colOff>0</xdr:colOff>
      <xdr:row>63</xdr:row>
      <xdr:rowOff>228600</xdr:rowOff>
    </xdr:from>
    <xdr:to>
      <xdr:col>6</xdr:col>
      <xdr:colOff>400050</xdr:colOff>
      <xdr:row>64</xdr:row>
      <xdr:rowOff>57150</xdr:rowOff>
    </xdr:to>
    <xdr:sp macro="" textlink="">
      <xdr:nvSpPr>
        <xdr:cNvPr id="30" name="Object 1056" hidden="1">
          <a:extLst>
            <a:ext uri="{FF2B5EF4-FFF2-40B4-BE49-F238E27FC236}">
              <a16:creationId xmlns:a16="http://schemas.microsoft.com/office/drawing/2014/main" id="{E92A064D-5EF5-474E-BAAD-A33CB6E7F543}"/>
            </a:ext>
          </a:extLst>
        </xdr:cNvPr>
        <xdr:cNvSpPr>
          <a:spLocks noChangeArrowheads="1"/>
        </xdr:cNvSpPr>
      </xdr:nvSpPr>
      <xdr:spPr bwMode="auto">
        <a:xfrm>
          <a:off x="3419475" y="7315200"/>
          <a:ext cx="1057275" cy="57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5</xdr:col>
      <xdr:colOff>0</xdr:colOff>
      <xdr:row>64</xdr:row>
      <xdr:rowOff>228600</xdr:rowOff>
    </xdr:from>
    <xdr:to>
      <xdr:col>6</xdr:col>
      <xdr:colOff>400050</xdr:colOff>
      <xdr:row>65</xdr:row>
      <xdr:rowOff>57150</xdr:rowOff>
    </xdr:to>
    <xdr:sp macro="" textlink="">
      <xdr:nvSpPr>
        <xdr:cNvPr id="31" name="Object 1056" hidden="1">
          <a:extLst>
            <a:ext uri="{FF2B5EF4-FFF2-40B4-BE49-F238E27FC236}">
              <a16:creationId xmlns:a16="http://schemas.microsoft.com/office/drawing/2014/main" id="{0F2A8209-1227-4CA5-9031-F2906E6BE49A}"/>
            </a:ext>
          </a:extLst>
        </xdr:cNvPr>
        <xdr:cNvSpPr>
          <a:spLocks noChangeArrowheads="1"/>
        </xdr:cNvSpPr>
      </xdr:nvSpPr>
      <xdr:spPr bwMode="auto">
        <a:xfrm>
          <a:off x="3419475" y="7315200"/>
          <a:ext cx="1057275" cy="57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5</xdr:col>
      <xdr:colOff>0</xdr:colOff>
      <xdr:row>65</xdr:row>
      <xdr:rowOff>228600</xdr:rowOff>
    </xdr:from>
    <xdr:to>
      <xdr:col>6</xdr:col>
      <xdr:colOff>400050</xdr:colOff>
      <xdr:row>66</xdr:row>
      <xdr:rowOff>57150</xdr:rowOff>
    </xdr:to>
    <xdr:sp macro="" textlink="">
      <xdr:nvSpPr>
        <xdr:cNvPr id="32" name="Object 1056" hidden="1">
          <a:extLst>
            <a:ext uri="{FF2B5EF4-FFF2-40B4-BE49-F238E27FC236}">
              <a16:creationId xmlns:a16="http://schemas.microsoft.com/office/drawing/2014/main" id="{D467CCD4-B77A-40A0-A6ED-5DA63A38728A}"/>
            </a:ext>
          </a:extLst>
        </xdr:cNvPr>
        <xdr:cNvSpPr>
          <a:spLocks noChangeArrowheads="1"/>
        </xdr:cNvSpPr>
      </xdr:nvSpPr>
      <xdr:spPr bwMode="auto">
        <a:xfrm>
          <a:off x="3419475" y="7315200"/>
          <a:ext cx="1057275" cy="57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5</xdr:col>
      <xdr:colOff>0</xdr:colOff>
      <xdr:row>66</xdr:row>
      <xdr:rowOff>228600</xdr:rowOff>
    </xdr:from>
    <xdr:to>
      <xdr:col>6</xdr:col>
      <xdr:colOff>400050</xdr:colOff>
      <xdr:row>67</xdr:row>
      <xdr:rowOff>57150</xdr:rowOff>
    </xdr:to>
    <xdr:sp macro="" textlink="">
      <xdr:nvSpPr>
        <xdr:cNvPr id="33" name="Object 1056" hidden="1">
          <a:extLst>
            <a:ext uri="{FF2B5EF4-FFF2-40B4-BE49-F238E27FC236}">
              <a16:creationId xmlns:a16="http://schemas.microsoft.com/office/drawing/2014/main" id="{F3225107-CDA3-4439-B752-95BC9FFD4C73}"/>
            </a:ext>
          </a:extLst>
        </xdr:cNvPr>
        <xdr:cNvSpPr>
          <a:spLocks noChangeArrowheads="1"/>
        </xdr:cNvSpPr>
      </xdr:nvSpPr>
      <xdr:spPr bwMode="auto">
        <a:xfrm>
          <a:off x="3419475" y="7315200"/>
          <a:ext cx="1057275" cy="57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5</xdr:col>
      <xdr:colOff>0</xdr:colOff>
      <xdr:row>67</xdr:row>
      <xdr:rowOff>228600</xdr:rowOff>
    </xdr:from>
    <xdr:to>
      <xdr:col>6</xdr:col>
      <xdr:colOff>400050</xdr:colOff>
      <xdr:row>68</xdr:row>
      <xdr:rowOff>57150</xdr:rowOff>
    </xdr:to>
    <xdr:sp macro="" textlink="">
      <xdr:nvSpPr>
        <xdr:cNvPr id="34" name="Object 1056" hidden="1">
          <a:extLst>
            <a:ext uri="{FF2B5EF4-FFF2-40B4-BE49-F238E27FC236}">
              <a16:creationId xmlns:a16="http://schemas.microsoft.com/office/drawing/2014/main" id="{8B92CFF3-8E0B-440D-A731-75314BC579F4}"/>
            </a:ext>
          </a:extLst>
        </xdr:cNvPr>
        <xdr:cNvSpPr>
          <a:spLocks noChangeArrowheads="1"/>
        </xdr:cNvSpPr>
      </xdr:nvSpPr>
      <xdr:spPr bwMode="auto">
        <a:xfrm>
          <a:off x="3419475" y="7315200"/>
          <a:ext cx="1057275" cy="57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5</xdr:col>
      <xdr:colOff>0</xdr:colOff>
      <xdr:row>68</xdr:row>
      <xdr:rowOff>228600</xdr:rowOff>
    </xdr:from>
    <xdr:to>
      <xdr:col>6</xdr:col>
      <xdr:colOff>400050</xdr:colOff>
      <xdr:row>69</xdr:row>
      <xdr:rowOff>57150</xdr:rowOff>
    </xdr:to>
    <xdr:sp macro="" textlink="">
      <xdr:nvSpPr>
        <xdr:cNvPr id="35" name="Object 1056" hidden="1">
          <a:extLst>
            <a:ext uri="{FF2B5EF4-FFF2-40B4-BE49-F238E27FC236}">
              <a16:creationId xmlns:a16="http://schemas.microsoft.com/office/drawing/2014/main" id="{F822EEB3-7B11-4817-BD51-42D8FC224B80}"/>
            </a:ext>
          </a:extLst>
        </xdr:cNvPr>
        <xdr:cNvSpPr>
          <a:spLocks noChangeArrowheads="1"/>
        </xdr:cNvSpPr>
      </xdr:nvSpPr>
      <xdr:spPr bwMode="auto">
        <a:xfrm>
          <a:off x="3419475" y="7315200"/>
          <a:ext cx="1057275" cy="57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5</xdr:col>
      <xdr:colOff>0</xdr:colOff>
      <xdr:row>69</xdr:row>
      <xdr:rowOff>228600</xdr:rowOff>
    </xdr:from>
    <xdr:to>
      <xdr:col>6</xdr:col>
      <xdr:colOff>400050</xdr:colOff>
      <xdr:row>70</xdr:row>
      <xdr:rowOff>57150</xdr:rowOff>
    </xdr:to>
    <xdr:sp macro="" textlink="">
      <xdr:nvSpPr>
        <xdr:cNvPr id="36" name="Object 1056" hidden="1">
          <a:extLst>
            <a:ext uri="{FF2B5EF4-FFF2-40B4-BE49-F238E27FC236}">
              <a16:creationId xmlns:a16="http://schemas.microsoft.com/office/drawing/2014/main" id="{3C894944-0B1B-44F1-8E0B-CF342958DF6E}"/>
            </a:ext>
          </a:extLst>
        </xdr:cNvPr>
        <xdr:cNvSpPr>
          <a:spLocks noChangeArrowheads="1"/>
        </xdr:cNvSpPr>
      </xdr:nvSpPr>
      <xdr:spPr bwMode="auto">
        <a:xfrm>
          <a:off x="3419475" y="7315200"/>
          <a:ext cx="1057275" cy="57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5</xdr:col>
      <xdr:colOff>0</xdr:colOff>
      <xdr:row>70</xdr:row>
      <xdr:rowOff>228600</xdr:rowOff>
    </xdr:from>
    <xdr:to>
      <xdr:col>6</xdr:col>
      <xdr:colOff>400050</xdr:colOff>
      <xdr:row>71</xdr:row>
      <xdr:rowOff>57150</xdr:rowOff>
    </xdr:to>
    <xdr:sp macro="" textlink="">
      <xdr:nvSpPr>
        <xdr:cNvPr id="37" name="Object 1056" hidden="1">
          <a:extLst>
            <a:ext uri="{FF2B5EF4-FFF2-40B4-BE49-F238E27FC236}">
              <a16:creationId xmlns:a16="http://schemas.microsoft.com/office/drawing/2014/main" id="{7D007425-96D5-4503-9B1B-9D495C47E30E}"/>
            </a:ext>
          </a:extLst>
        </xdr:cNvPr>
        <xdr:cNvSpPr>
          <a:spLocks noChangeArrowheads="1"/>
        </xdr:cNvSpPr>
      </xdr:nvSpPr>
      <xdr:spPr bwMode="auto">
        <a:xfrm>
          <a:off x="3419475" y="7315200"/>
          <a:ext cx="1057275" cy="57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5</xdr:col>
      <xdr:colOff>0</xdr:colOff>
      <xdr:row>71</xdr:row>
      <xdr:rowOff>228600</xdr:rowOff>
    </xdr:from>
    <xdr:to>
      <xdr:col>6</xdr:col>
      <xdr:colOff>400050</xdr:colOff>
      <xdr:row>72</xdr:row>
      <xdr:rowOff>57150</xdr:rowOff>
    </xdr:to>
    <xdr:sp macro="" textlink="">
      <xdr:nvSpPr>
        <xdr:cNvPr id="38" name="Object 1056" hidden="1">
          <a:extLst>
            <a:ext uri="{FF2B5EF4-FFF2-40B4-BE49-F238E27FC236}">
              <a16:creationId xmlns:a16="http://schemas.microsoft.com/office/drawing/2014/main" id="{9BDDA27B-0CCB-41FA-8132-9765C199EA8A}"/>
            </a:ext>
          </a:extLst>
        </xdr:cNvPr>
        <xdr:cNvSpPr>
          <a:spLocks noChangeArrowheads="1"/>
        </xdr:cNvSpPr>
      </xdr:nvSpPr>
      <xdr:spPr bwMode="auto">
        <a:xfrm>
          <a:off x="3419475" y="7315200"/>
          <a:ext cx="1057275" cy="57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5</xdr:col>
      <xdr:colOff>0</xdr:colOff>
      <xdr:row>72</xdr:row>
      <xdr:rowOff>228600</xdr:rowOff>
    </xdr:from>
    <xdr:to>
      <xdr:col>6</xdr:col>
      <xdr:colOff>400050</xdr:colOff>
      <xdr:row>73</xdr:row>
      <xdr:rowOff>57150</xdr:rowOff>
    </xdr:to>
    <xdr:sp macro="" textlink="">
      <xdr:nvSpPr>
        <xdr:cNvPr id="39" name="Object 1056" hidden="1">
          <a:extLst>
            <a:ext uri="{FF2B5EF4-FFF2-40B4-BE49-F238E27FC236}">
              <a16:creationId xmlns:a16="http://schemas.microsoft.com/office/drawing/2014/main" id="{26A5AE2F-2547-4708-85DD-63BA2CC60023}"/>
            </a:ext>
          </a:extLst>
        </xdr:cNvPr>
        <xdr:cNvSpPr>
          <a:spLocks noChangeArrowheads="1"/>
        </xdr:cNvSpPr>
      </xdr:nvSpPr>
      <xdr:spPr bwMode="auto">
        <a:xfrm>
          <a:off x="3419475" y="7315200"/>
          <a:ext cx="1057275" cy="57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5</xdr:col>
      <xdr:colOff>0</xdr:colOff>
      <xdr:row>73</xdr:row>
      <xdr:rowOff>228600</xdr:rowOff>
    </xdr:from>
    <xdr:to>
      <xdr:col>6</xdr:col>
      <xdr:colOff>400050</xdr:colOff>
      <xdr:row>74</xdr:row>
      <xdr:rowOff>57150</xdr:rowOff>
    </xdr:to>
    <xdr:sp macro="" textlink="">
      <xdr:nvSpPr>
        <xdr:cNvPr id="40" name="Object 1056" hidden="1">
          <a:extLst>
            <a:ext uri="{FF2B5EF4-FFF2-40B4-BE49-F238E27FC236}">
              <a16:creationId xmlns:a16="http://schemas.microsoft.com/office/drawing/2014/main" id="{057BDFEA-F4C8-49BF-AB1B-14EEEFCB591B}"/>
            </a:ext>
          </a:extLst>
        </xdr:cNvPr>
        <xdr:cNvSpPr>
          <a:spLocks noChangeArrowheads="1"/>
        </xdr:cNvSpPr>
      </xdr:nvSpPr>
      <xdr:spPr bwMode="auto">
        <a:xfrm>
          <a:off x="3419475" y="7315200"/>
          <a:ext cx="1057275" cy="57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5</xdr:col>
      <xdr:colOff>0</xdr:colOff>
      <xdr:row>74</xdr:row>
      <xdr:rowOff>228600</xdr:rowOff>
    </xdr:from>
    <xdr:to>
      <xdr:col>6</xdr:col>
      <xdr:colOff>400050</xdr:colOff>
      <xdr:row>75</xdr:row>
      <xdr:rowOff>57150</xdr:rowOff>
    </xdr:to>
    <xdr:sp macro="" textlink="">
      <xdr:nvSpPr>
        <xdr:cNvPr id="41" name="Object 1056" hidden="1">
          <a:extLst>
            <a:ext uri="{FF2B5EF4-FFF2-40B4-BE49-F238E27FC236}">
              <a16:creationId xmlns:a16="http://schemas.microsoft.com/office/drawing/2014/main" id="{7699FDD2-09BB-4B6C-A00B-6969D0DC2041}"/>
            </a:ext>
          </a:extLst>
        </xdr:cNvPr>
        <xdr:cNvSpPr>
          <a:spLocks noChangeArrowheads="1"/>
        </xdr:cNvSpPr>
      </xdr:nvSpPr>
      <xdr:spPr bwMode="auto">
        <a:xfrm>
          <a:off x="3419475" y="7315200"/>
          <a:ext cx="1057275" cy="57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5</xdr:col>
      <xdr:colOff>0</xdr:colOff>
      <xdr:row>75</xdr:row>
      <xdr:rowOff>228600</xdr:rowOff>
    </xdr:from>
    <xdr:to>
      <xdr:col>6</xdr:col>
      <xdr:colOff>400050</xdr:colOff>
      <xdr:row>76</xdr:row>
      <xdr:rowOff>57150</xdr:rowOff>
    </xdr:to>
    <xdr:sp macro="" textlink="">
      <xdr:nvSpPr>
        <xdr:cNvPr id="42" name="Object 1056" hidden="1">
          <a:extLst>
            <a:ext uri="{FF2B5EF4-FFF2-40B4-BE49-F238E27FC236}">
              <a16:creationId xmlns:a16="http://schemas.microsoft.com/office/drawing/2014/main" id="{9A620739-9A15-4473-9BE8-CFB07A4A7C43}"/>
            </a:ext>
          </a:extLst>
        </xdr:cNvPr>
        <xdr:cNvSpPr>
          <a:spLocks noChangeArrowheads="1"/>
        </xdr:cNvSpPr>
      </xdr:nvSpPr>
      <xdr:spPr bwMode="auto">
        <a:xfrm>
          <a:off x="3419475" y="7315200"/>
          <a:ext cx="1057275" cy="57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5</xdr:col>
      <xdr:colOff>0</xdr:colOff>
      <xdr:row>76</xdr:row>
      <xdr:rowOff>228600</xdr:rowOff>
    </xdr:from>
    <xdr:to>
      <xdr:col>6</xdr:col>
      <xdr:colOff>400050</xdr:colOff>
      <xdr:row>77</xdr:row>
      <xdr:rowOff>57150</xdr:rowOff>
    </xdr:to>
    <xdr:sp macro="" textlink="">
      <xdr:nvSpPr>
        <xdr:cNvPr id="43" name="Object 1056" hidden="1">
          <a:extLst>
            <a:ext uri="{FF2B5EF4-FFF2-40B4-BE49-F238E27FC236}">
              <a16:creationId xmlns:a16="http://schemas.microsoft.com/office/drawing/2014/main" id="{0173BC42-A061-42B7-A0FE-12C7B6F75A70}"/>
            </a:ext>
          </a:extLst>
        </xdr:cNvPr>
        <xdr:cNvSpPr>
          <a:spLocks noChangeArrowheads="1"/>
        </xdr:cNvSpPr>
      </xdr:nvSpPr>
      <xdr:spPr bwMode="auto">
        <a:xfrm>
          <a:off x="3419475" y="7315200"/>
          <a:ext cx="1057275" cy="57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5</xdr:col>
      <xdr:colOff>0</xdr:colOff>
      <xdr:row>77</xdr:row>
      <xdr:rowOff>228600</xdr:rowOff>
    </xdr:from>
    <xdr:to>
      <xdr:col>6</xdr:col>
      <xdr:colOff>400050</xdr:colOff>
      <xdr:row>78</xdr:row>
      <xdr:rowOff>57150</xdr:rowOff>
    </xdr:to>
    <xdr:sp macro="" textlink="">
      <xdr:nvSpPr>
        <xdr:cNvPr id="44" name="Object 1056" hidden="1">
          <a:extLst>
            <a:ext uri="{FF2B5EF4-FFF2-40B4-BE49-F238E27FC236}">
              <a16:creationId xmlns:a16="http://schemas.microsoft.com/office/drawing/2014/main" id="{9DF60857-8F60-41C8-88B3-C8425E88644C}"/>
            </a:ext>
          </a:extLst>
        </xdr:cNvPr>
        <xdr:cNvSpPr>
          <a:spLocks noChangeArrowheads="1"/>
        </xdr:cNvSpPr>
      </xdr:nvSpPr>
      <xdr:spPr bwMode="auto">
        <a:xfrm>
          <a:off x="3419475" y="7315200"/>
          <a:ext cx="1057275" cy="57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rogram%20Files/MATLAB/R2017b/toolbox/exlink/excllink.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s>
    <definedNames>
      <definedName name="MLEvalString"/>
      <definedName name="Mlgetmatrix"/>
      <definedName name="MLPutMatrix"/>
    </definedNames>
    <sheetDataSet>
      <sheetData sheetId="0"/>
      <sheetData sheetId="1"/>
      <sheetData sheetId="2"/>
    </sheetDataSet>
  </externalBook>
</externalLink>
</file>

<file path=xl/theme/theme1.xml><?xml version="1.0" encoding="utf-8"?>
<a:theme xmlns:a="http://schemas.openxmlformats.org/drawingml/2006/main" name="Tema di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3"/>
  <dimension ref="A1:X1322"/>
  <sheetViews>
    <sheetView zoomScaleNormal="100" workbookViewId="0">
      <selection activeCell="F4" sqref="F4"/>
    </sheetView>
  </sheetViews>
  <sheetFormatPr defaultColWidth="12.7109375" defaultRowHeight="12.75" x14ac:dyDescent="0.2"/>
  <cols>
    <col min="1" max="2" width="12.7109375" style="13" customWidth="1"/>
    <col min="3" max="3" width="12.7109375" style="10" customWidth="1"/>
    <col min="4" max="4" width="15.42578125" style="10" bestFit="1" customWidth="1"/>
    <col min="5" max="7" width="12.7109375" style="10" customWidth="1"/>
    <col min="8" max="16" width="12.7109375" style="13" customWidth="1"/>
    <col min="17" max="17" width="12.7109375" style="3" customWidth="1"/>
    <col min="18" max="18" width="12.7109375" style="12" customWidth="1"/>
    <col min="19" max="19" width="12.7109375" style="11" customWidth="1"/>
    <col min="20" max="20" width="12.7109375" style="148" customWidth="1"/>
    <col min="21" max="21" width="12.7109375" style="14" customWidth="1"/>
    <col min="22" max="16384" width="12.7109375" style="3"/>
  </cols>
  <sheetData>
    <row r="1" spans="1:24" x14ac:dyDescent="0.2">
      <c r="A1" s="61" t="s">
        <v>3</v>
      </c>
      <c r="B1" s="2">
        <f>DATE(YEAR(B2)-5,MONTH(B2),DAY(B2)-1)</f>
        <v>41715</v>
      </c>
      <c r="C1" s="3"/>
      <c r="D1" s="322" t="s">
        <v>7</v>
      </c>
      <c r="E1" s="323"/>
      <c r="F1" s="324"/>
      <c r="G1" s="81"/>
      <c r="L1" s="56"/>
      <c r="M1" s="56"/>
      <c r="N1" s="56"/>
      <c r="O1" s="56"/>
      <c r="P1" s="56"/>
      <c r="R1" s="3"/>
      <c r="S1" s="3"/>
      <c r="V1" s="279" t="s">
        <v>163</v>
      </c>
      <c r="W1" s="285">
        <f>W2*252</f>
        <v>3.1767567567567566E-2</v>
      </c>
    </row>
    <row r="2" spans="1:24" x14ac:dyDescent="0.2">
      <c r="A2" s="63" t="s">
        <v>4</v>
      </c>
      <c r="B2" s="4">
        <v>43542</v>
      </c>
      <c r="C2" s="3"/>
      <c r="D2" s="132" t="s">
        <v>8</v>
      </c>
      <c r="E2" s="133" t="s">
        <v>9</v>
      </c>
      <c r="F2" s="134" t="s">
        <v>10</v>
      </c>
      <c r="G2" s="81"/>
      <c r="L2" s="56"/>
      <c r="M2" s="56"/>
      <c r="N2" s="56"/>
      <c r="O2" s="56"/>
      <c r="P2" s="56"/>
      <c r="R2" s="68" t="s">
        <v>0</v>
      </c>
      <c r="S2" s="69" t="str">
        <f>A7</f>
        <v>MB IM Equity</v>
      </c>
      <c r="T2" s="149" t="str">
        <f>A7</f>
        <v>MB IM Equity</v>
      </c>
      <c r="U2" s="149" t="s">
        <v>161</v>
      </c>
      <c r="V2" s="284">
        <f>V3*252</f>
        <v>9.2955656988850749E-2</v>
      </c>
      <c r="W2" s="278">
        <f>Autocallable!P16/252</f>
        <v>1.2606177606177605E-4</v>
      </c>
    </row>
    <row r="3" spans="1:24" x14ac:dyDescent="0.2">
      <c r="A3" s="65" t="s">
        <v>53</v>
      </c>
      <c r="B3" s="2">
        <v>37863</v>
      </c>
      <c r="C3" s="3"/>
      <c r="D3" s="250">
        <f>[1]!MLPutMatrix("Indici",A10:B2506)</f>
        <v>0</v>
      </c>
      <c r="E3" s="1">
        <f>[1]!MLEvalString("[Index] = Nuovo_Indice(Indici)")</f>
        <v>0</v>
      </c>
      <c r="F3" s="17">
        <f>[1]!Mlgetmatrix("Index","R3")</f>
        <v>0</v>
      </c>
      <c r="L3" s="56"/>
      <c r="M3" s="56"/>
      <c r="N3" s="56"/>
      <c r="O3" s="56"/>
      <c r="P3" s="56"/>
      <c r="R3" s="12">
        <v>41716</v>
      </c>
      <c r="S3" s="47">
        <v>7.8250000000000002</v>
      </c>
      <c r="T3" s="148">
        <v>1</v>
      </c>
      <c r="U3" s="148">
        <f>S3</f>
        <v>7.8250000000000002</v>
      </c>
      <c r="V3" s="278">
        <f>AVERAGE(V4:V1307)</f>
        <v>3.688716547176617E-4</v>
      </c>
      <c r="W3" s="278">
        <f>AVERAGE(W4:W1307)</f>
        <v>1.2606177606177952E-4</v>
      </c>
      <c r="X3" s="279" t="s">
        <v>162</v>
      </c>
    </row>
    <row r="4" spans="1:24" x14ac:dyDescent="0.2">
      <c r="A4" s="63" t="s">
        <v>54</v>
      </c>
      <c r="B4" s="4">
        <v>39691</v>
      </c>
      <c r="C4" s="3"/>
      <c r="D4" s="18"/>
      <c r="E4" s="19">
        <f>[1]!MLEvalString("[Index1] = Index(:,2:end)./repmat(Index(1,2:end),size(Index,1),1)")</f>
        <v>0</v>
      </c>
      <c r="F4" s="20">
        <f>[1]!Mlgetmatrix("Index1","T3")</f>
        <v>0</v>
      </c>
      <c r="L4" s="56"/>
      <c r="M4" s="56"/>
      <c r="N4" s="56"/>
      <c r="O4" s="56"/>
      <c r="P4" s="56"/>
      <c r="R4" s="12">
        <v>41717</v>
      </c>
      <c r="S4" s="11">
        <v>7.7850000000000001</v>
      </c>
      <c r="T4" s="148">
        <v>0.99488817891373804</v>
      </c>
      <c r="U4" s="148">
        <f t="shared" ref="U4:U9" si="0">U3*(1+W4)</f>
        <v>7.783100012699518</v>
      </c>
      <c r="V4" s="278">
        <f t="shared" ref="V4:V9" si="1">S4/S3-1</f>
        <v>-5.1118210862619584E-3</v>
      </c>
      <c r="W4" s="278">
        <f t="shared" ref="W4:W9" si="2">V4-$V$3+$W$2</f>
        <v>-5.3546309649178444E-3</v>
      </c>
    </row>
    <row r="5" spans="1:24" x14ac:dyDescent="0.2">
      <c r="A5" s="6" t="s">
        <v>2</v>
      </c>
      <c r="B5" s="7">
        <f>B2-B1</f>
        <v>1827</v>
      </c>
      <c r="H5" s="16"/>
      <c r="I5" s="16"/>
      <c r="R5" s="12">
        <v>41718</v>
      </c>
      <c r="S5" s="11">
        <v>7.9950000000000001</v>
      </c>
      <c r="T5" s="148">
        <v>1.0217252396166134</v>
      </c>
      <c r="U5" s="148">
        <f t="shared" si="0"/>
        <v>7.9911589470639584</v>
      </c>
      <c r="V5" s="278">
        <f t="shared" si="1"/>
        <v>2.6974951830443183E-2</v>
      </c>
      <c r="W5" s="278">
        <f t="shared" si="2"/>
        <v>2.6732141951787299E-2</v>
      </c>
    </row>
    <row r="6" spans="1:24" x14ac:dyDescent="0.2">
      <c r="A6" s="3"/>
      <c r="B6" s="3"/>
      <c r="R6" s="12">
        <v>41719</v>
      </c>
      <c r="S6" s="11">
        <v>7.835</v>
      </c>
      <c r="T6" s="148">
        <v>1.0012779552715654</v>
      </c>
      <c r="U6" s="148">
        <f t="shared" si="0"/>
        <v>7.8292954838316113</v>
      </c>
      <c r="V6" s="278">
        <f t="shared" si="1"/>
        <v>-2.0012507817385838E-2</v>
      </c>
      <c r="W6" s="278">
        <f t="shared" si="2"/>
        <v>-2.0255317696041723E-2</v>
      </c>
    </row>
    <row r="7" spans="1:24" x14ac:dyDescent="0.2">
      <c r="A7" s="65" t="str">
        <f>IdR!L12</f>
        <v>MB IM Equity</v>
      </c>
      <c r="B7" s="62"/>
      <c r="R7" s="12">
        <v>41722</v>
      </c>
      <c r="S7" s="11">
        <v>7.68</v>
      </c>
      <c r="T7" s="148">
        <v>0.98146964856230023</v>
      </c>
      <c r="U7" s="148">
        <f t="shared" si="0"/>
        <v>7.672507306130556</v>
      </c>
      <c r="V7" s="278">
        <f t="shared" si="1"/>
        <v>-1.9783024888321621E-2</v>
      </c>
      <c r="W7" s="278">
        <f t="shared" si="2"/>
        <v>-2.0025834766977505E-2</v>
      </c>
    </row>
    <row r="8" spans="1:24" x14ac:dyDescent="0.2">
      <c r="A8" s="63" t="s">
        <v>0</v>
      </c>
      <c r="B8" s="64" t="s">
        <v>1</v>
      </c>
      <c r="R8" s="12">
        <v>41723</v>
      </c>
      <c r="S8" s="11">
        <v>7.77</v>
      </c>
      <c r="T8" s="148">
        <v>0.99297124600638975</v>
      </c>
      <c r="U8" s="148">
        <f t="shared" si="0"/>
        <v>7.7605565405562844</v>
      </c>
      <c r="V8" s="278">
        <f t="shared" si="1"/>
        <v>1.171875E-2</v>
      </c>
      <c r="W8" s="278">
        <f t="shared" si="2"/>
        <v>1.1475940121344114E-2</v>
      </c>
    </row>
    <row r="9" spans="1:24" x14ac:dyDescent="0.2">
      <c r="A9" s="8" t="e">
        <f ca="1">_xll.BDH(A7,B8,$B$1,$B$2,"cols=2;rows=1270")</f>
        <v>#NAME?</v>
      </c>
      <c r="B9" s="9">
        <v>7.67</v>
      </c>
      <c r="R9" s="12">
        <v>41724</v>
      </c>
      <c r="S9" s="11">
        <v>7.82</v>
      </c>
      <c r="T9" s="148">
        <v>0.99936102236421731</v>
      </c>
      <c r="U9" s="148">
        <f t="shared" si="0"/>
        <v>7.8086114320420803</v>
      </c>
      <c r="V9" s="278">
        <f t="shared" si="1"/>
        <v>6.4350064350064962E-3</v>
      </c>
      <c r="W9" s="278">
        <f t="shared" si="2"/>
        <v>6.1921965563506102E-3</v>
      </c>
    </row>
    <row r="10" spans="1:24" x14ac:dyDescent="0.2">
      <c r="A10" s="8">
        <v>41716</v>
      </c>
      <c r="B10" s="9">
        <v>7.8250000000000002</v>
      </c>
      <c r="R10" s="12">
        <v>41725</v>
      </c>
      <c r="S10" s="11">
        <v>7.91</v>
      </c>
      <c r="T10" s="148">
        <v>1.0108626198083066</v>
      </c>
      <c r="U10" s="148">
        <f t="shared" ref="U10:U24" si="3">U9*(1+W10)</f>
        <v>7.8965843535725746</v>
      </c>
      <c r="V10" s="278">
        <f t="shared" ref="V10:V24" si="4">S10/S9-1</f>
        <v>1.1508951406649537E-2</v>
      </c>
      <c r="W10" s="278">
        <f t="shared" ref="W10:W24" si="5">V10-$V$3+$W$2</f>
        <v>1.1266141527993651E-2</v>
      </c>
    </row>
    <row r="11" spans="1:24" x14ac:dyDescent="0.2">
      <c r="A11" s="8">
        <v>41717</v>
      </c>
      <c r="B11" s="9">
        <v>7.7850000000000001</v>
      </c>
      <c r="R11" s="12">
        <v>41726</v>
      </c>
      <c r="S11" s="11">
        <v>7.98</v>
      </c>
      <c r="T11" s="148">
        <v>1.0198083067092651</v>
      </c>
      <c r="U11" s="148">
        <f t="shared" si="3"/>
        <v>7.9645482623491306</v>
      </c>
      <c r="V11" s="278">
        <f t="shared" si="4"/>
        <v>8.8495575221239076E-3</v>
      </c>
      <c r="W11" s="278">
        <f t="shared" si="5"/>
        <v>8.6067476434680216E-3</v>
      </c>
    </row>
    <row r="12" spans="1:24" x14ac:dyDescent="0.2">
      <c r="A12" s="8">
        <v>41718</v>
      </c>
      <c r="B12" s="9">
        <v>7.9950000000000001</v>
      </c>
      <c r="R12" s="12">
        <v>41729</v>
      </c>
      <c r="S12" s="11">
        <v>8.3000000000000007</v>
      </c>
      <c r="T12" s="148">
        <v>1.060702875399361</v>
      </c>
      <c r="U12" s="148">
        <f t="shared" si="3"/>
        <v>8.2819947727995835</v>
      </c>
      <c r="V12" s="278">
        <f t="shared" si="4"/>
        <v>4.0100250626566414E-2</v>
      </c>
      <c r="W12" s="278">
        <f t="shared" si="5"/>
        <v>3.9857440747910526E-2</v>
      </c>
    </row>
    <row r="13" spans="1:24" x14ac:dyDescent="0.2">
      <c r="A13" s="8">
        <v>41719</v>
      </c>
      <c r="B13" s="9">
        <v>7.835</v>
      </c>
      <c r="R13" s="12">
        <v>41730</v>
      </c>
      <c r="S13" s="11">
        <v>8.41</v>
      </c>
      <c r="T13" s="148">
        <v>1.0747603833865815</v>
      </c>
      <c r="U13" s="148">
        <f t="shared" si="3"/>
        <v>8.3897451991607515</v>
      </c>
      <c r="V13" s="278">
        <f t="shared" si="4"/>
        <v>1.3253012048192625E-2</v>
      </c>
      <c r="W13" s="278">
        <f t="shared" si="5"/>
        <v>1.3010202169536739E-2</v>
      </c>
    </row>
    <row r="14" spans="1:24" x14ac:dyDescent="0.2">
      <c r="A14" s="8">
        <v>41722</v>
      </c>
      <c r="B14" s="9">
        <v>7.68</v>
      </c>
      <c r="R14" s="12">
        <v>41731</v>
      </c>
      <c r="S14" s="11">
        <v>8.125</v>
      </c>
      <c r="T14" s="148">
        <v>1.0383386581469649</v>
      </c>
      <c r="U14" s="148">
        <f t="shared" si="3"/>
        <v>8.1033944854619939</v>
      </c>
      <c r="V14" s="278">
        <f t="shared" si="4"/>
        <v>-3.388822829964333E-2</v>
      </c>
      <c r="W14" s="278">
        <f t="shared" si="5"/>
        <v>-3.4131038178299218E-2</v>
      </c>
    </row>
    <row r="15" spans="1:24" x14ac:dyDescent="0.2">
      <c r="A15" s="8">
        <v>41723</v>
      </c>
      <c r="B15" s="9">
        <v>7.77</v>
      </c>
      <c r="R15" s="12">
        <v>41732</v>
      </c>
      <c r="S15" s="11">
        <v>8.2799999999999994</v>
      </c>
      <c r="T15" s="148">
        <v>1.0581469648562298</v>
      </c>
      <c r="U15" s="148">
        <f t="shared" si="3"/>
        <v>8.2560147344913979</v>
      </c>
      <c r="V15" s="278">
        <f t="shared" si="4"/>
        <v>1.9076923076922991E-2</v>
      </c>
      <c r="W15" s="278">
        <f t="shared" si="5"/>
        <v>1.8834113198267107E-2</v>
      </c>
    </row>
    <row r="16" spans="1:24" x14ac:dyDescent="0.2">
      <c r="A16" s="8">
        <v>41724</v>
      </c>
      <c r="B16" s="9">
        <v>7.82</v>
      </c>
      <c r="R16" s="12">
        <v>41733</v>
      </c>
      <c r="S16" s="11">
        <v>8.3800000000000008</v>
      </c>
      <c r="T16" s="148">
        <v>1.070926517571885</v>
      </c>
      <c r="U16" s="148">
        <f t="shared" si="3"/>
        <v>8.353720415435868</v>
      </c>
      <c r="V16" s="278">
        <f t="shared" si="4"/>
        <v>1.2077294685990614E-2</v>
      </c>
      <c r="W16" s="278">
        <f t="shared" si="5"/>
        <v>1.1834484807334728E-2</v>
      </c>
    </row>
    <row r="17" spans="1:23" x14ac:dyDescent="0.2">
      <c r="A17" s="8">
        <v>41725</v>
      </c>
      <c r="B17" s="9">
        <v>7.91</v>
      </c>
      <c r="R17" s="12">
        <v>41736</v>
      </c>
      <c r="S17" s="11">
        <v>8.2349999999999994</v>
      </c>
      <c r="T17" s="148">
        <v>1.0523961661341852</v>
      </c>
      <c r="U17" s="148">
        <f t="shared" si="3"/>
        <v>8.207146767944133</v>
      </c>
      <c r="V17" s="278">
        <f t="shared" si="4"/>
        <v>-1.7303102625298439E-2</v>
      </c>
      <c r="W17" s="278">
        <f t="shared" si="5"/>
        <v>-1.7545912503954323E-2</v>
      </c>
    </row>
    <row r="18" spans="1:23" x14ac:dyDescent="0.2">
      <c r="A18" s="8">
        <v>41726</v>
      </c>
      <c r="B18" s="9">
        <v>7.98</v>
      </c>
      <c r="R18" s="12">
        <v>41737</v>
      </c>
      <c r="S18" s="11">
        <v>7.9550000000000001</v>
      </c>
      <c r="T18" s="148">
        <v>1.0166134185303515</v>
      </c>
      <c r="U18" s="148">
        <f t="shared" si="3"/>
        <v>7.9261010353461874</v>
      </c>
      <c r="V18" s="278">
        <f t="shared" si="4"/>
        <v>-3.4001214329083096E-2</v>
      </c>
      <c r="W18" s="278">
        <f t="shared" si="5"/>
        <v>-3.4244024207738984E-2</v>
      </c>
    </row>
    <row r="19" spans="1:23" x14ac:dyDescent="0.2">
      <c r="A19" s="8">
        <v>41729</v>
      </c>
      <c r="B19" s="9">
        <v>8.3000000000000007</v>
      </c>
      <c r="R19" s="12">
        <v>41738</v>
      </c>
      <c r="S19" s="11">
        <v>7.875</v>
      </c>
      <c r="T19" s="148">
        <v>1.0063897763578276</v>
      </c>
      <c r="U19" s="148">
        <f t="shared" si="3"/>
        <v>7.8444671241244182</v>
      </c>
      <c r="V19" s="278">
        <f t="shared" si="4"/>
        <v>-1.0056568196103122E-2</v>
      </c>
      <c r="W19" s="278">
        <f t="shared" si="5"/>
        <v>-1.0299378074759008E-2</v>
      </c>
    </row>
    <row r="20" spans="1:23" x14ac:dyDescent="0.2">
      <c r="A20" s="8">
        <v>41730</v>
      </c>
      <c r="B20" s="9">
        <v>8.41</v>
      </c>
      <c r="R20" s="12">
        <v>41739</v>
      </c>
      <c r="S20" s="11">
        <v>7.72</v>
      </c>
      <c r="T20" s="148">
        <v>0.98658146964856219</v>
      </c>
      <c r="U20" s="148">
        <f t="shared" si="3"/>
        <v>7.6881633745549323</v>
      </c>
      <c r="V20" s="278">
        <f t="shared" si="4"/>
        <v>-1.9682539682539746E-2</v>
      </c>
      <c r="W20" s="278">
        <f t="shared" si="5"/>
        <v>-1.992534956119563E-2</v>
      </c>
    </row>
    <row r="21" spans="1:23" x14ac:dyDescent="0.2">
      <c r="A21" s="8">
        <v>41731</v>
      </c>
      <c r="B21" s="9">
        <v>8.125</v>
      </c>
      <c r="R21" s="12">
        <v>41740</v>
      </c>
      <c r="S21" s="11">
        <v>7.59</v>
      </c>
      <c r="T21" s="148">
        <v>0.96996805111821083</v>
      </c>
      <c r="U21" s="148">
        <f t="shared" si="3"/>
        <v>7.5568327215165727</v>
      </c>
      <c r="V21" s="278">
        <f t="shared" si="4"/>
        <v>-1.6839378238341918E-2</v>
      </c>
      <c r="W21" s="278">
        <f t="shared" si="5"/>
        <v>-1.7082188116997802E-2</v>
      </c>
    </row>
    <row r="22" spans="1:23" x14ac:dyDescent="0.2">
      <c r="A22" s="8">
        <v>41732</v>
      </c>
      <c r="B22" s="9">
        <v>8.2799999999999994</v>
      </c>
      <c r="R22" s="12">
        <v>41743</v>
      </c>
      <c r="S22" s="11">
        <v>7.64</v>
      </c>
      <c r="T22" s="148">
        <v>0.97635782747603828</v>
      </c>
      <c r="U22" s="148">
        <f t="shared" si="3"/>
        <v>7.6047793546097946</v>
      </c>
      <c r="V22" s="278">
        <f t="shared" si="4"/>
        <v>6.5876152832673451E-3</v>
      </c>
      <c r="W22" s="278">
        <f t="shared" si="5"/>
        <v>6.3448054046114592E-3</v>
      </c>
    </row>
    <row r="23" spans="1:23" x14ac:dyDescent="0.2">
      <c r="A23" s="8">
        <v>41733</v>
      </c>
      <c r="B23" s="9">
        <v>8.3800000000000008</v>
      </c>
      <c r="R23" s="12">
        <v>41744</v>
      </c>
      <c r="S23" s="11">
        <v>7.4249999999999998</v>
      </c>
      <c r="T23" s="148">
        <v>0.94888178913738019</v>
      </c>
      <c r="U23" s="148">
        <f t="shared" si="3"/>
        <v>7.3889239959631112</v>
      </c>
      <c r="V23" s="278">
        <f t="shared" si="4"/>
        <v>-2.8141361256544539E-2</v>
      </c>
      <c r="W23" s="278">
        <f t="shared" si="5"/>
        <v>-2.8384171135200423E-2</v>
      </c>
    </row>
    <row r="24" spans="1:23" x14ac:dyDescent="0.2">
      <c r="A24" s="8">
        <v>41736</v>
      </c>
      <c r="B24" s="9">
        <v>8.2349999999999994</v>
      </c>
      <c r="H24" s="13">
        <v>1.6779891304347827</v>
      </c>
      <c r="R24" s="12">
        <v>41745</v>
      </c>
      <c r="S24" s="11">
        <v>7.82</v>
      </c>
      <c r="T24" s="148">
        <v>0.99936102236421731</v>
      </c>
      <c r="U24" s="148">
        <f t="shared" si="3"/>
        <v>7.7802106973967016</v>
      </c>
      <c r="V24" s="278">
        <f t="shared" si="4"/>
        <v>5.3198653198653245E-2</v>
      </c>
      <c r="W24" s="278">
        <f t="shared" si="5"/>
        <v>5.2955843319997357E-2</v>
      </c>
    </row>
    <row r="25" spans="1:23" x14ac:dyDescent="0.2">
      <c r="A25" s="8">
        <v>41737</v>
      </c>
      <c r="B25" s="9">
        <v>7.9550000000000001</v>
      </c>
      <c r="G25" s="10">
        <v>-1.3147436516745493E-3</v>
      </c>
      <c r="H25" s="13">
        <v>-5.9724259574496221E-3</v>
      </c>
      <c r="R25" s="12">
        <v>41746</v>
      </c>
      <c r="S25" s="11">
        <v>8.0150000000000006</v>
      </c>
      <c r="T25" s="148">
        <v>1.0242811501597444</v>
      </c>
      <c r="U25" s="148">
        <f t="shared" ref="U25:U88" si="6">U24*(1+W25)</f>
        <v>7.9723293968893234</v>
      </c>
      <c r="V25" s="278">
        <f t="shared" ref="V25:V88" si="7">S25/S24-1</f>
        <v>2.4936061381074293E-2</v>
      </c>
      <c r="W25" s="278">
        <f t="shared" ref="W25:W88" si="8">V25-$V$3+$W$2</f>
        <v>2.4693251502418408E-2</v>
      </c>
    </row>
    <row r="26" spans="1:23" x14ac:dyDescent="0.2">
      <c r="A26" s="8">
        <v>41738</v>
      </c>
      <c r="B26" s="9">
        <v>7.875</v>
      </c>
      <c r="R26" s="12">
        <v>41751</v>
      </c>
      <c r="S26" s="11">
        <v>8.1449999999999996</v>
      </c>
      <c r="T26" s="148">
        <v>1.0408945686900957</v>
      </c>
      <c r="U26" s="148">
        <f t="shared" si="6"/>
        <v>8.0997015369420868</v>
      </c>
      <c r="V26" s="278">
        <f t="shared" si="7"/>
        <v>1.6219588271989993E-2</v>
      </c>
      <c r="W26" s="278">
        <f t="shared" si="8"/>
        <v>1.5976778393334109E-2</v>
      </c>
    </row>
    <row r="27" spans="1:23" x14ac:dyDescent="0.2">
      <c r="A27" s="8">
        <v>41739</v>
      </c>
      <c r="B27" s="9">
        <v>7.72</v>
      </c>
      <c r="L27" s="21"/>
      <c r="M27" s="21"/>
      <c r="N27" s="21"/>
      <c r="O27" s="21"/>
      <c r="P27" s="21"/>
      <c r="R27" s="12">
        <v>41752</v>
      </c>
      <c r="S27" s="11">
        <v>7.9550000000000001</v>
      </c>
      <c r="T27" s="148">
        <v>1.0166134185303515</v>
      </c>
      <c r="U27" s="148">
        <f t="shared" si="6"/>
        <v>7.9087915354574916</v>
      </c>
      <c r="V27" s="278">
        <f t="shared" si="7"/>
        <v>-2.332719459791277E-2</v>
      </c>
      <c r="W27" s="278">
        <f t="shared" si="8"/>
        <v>-2.3570004476568655E-2</v>
      </c>
    </row>
    <row r="28" spans="1:23" x14ac:dyDescent="0.2">
      <c r="A28" s="8">
        <v>41740</v>
      </c>
      <c r="B28" s="9">
        <v>7.59</v>
      </c>
      <c r="L28" s="21"/>
      <c r="M28" s="21"/>
      <c r="N28" s="21"/>
      <c r="O28" s="21"/>
      <c r="P28" s="21"/>
      <c r="R28" s="12">
        <v>41753</v>
      </c>
      <c r="S28" s="11">
        <v>7.9649999999999999</v>
      </c>
      <c r="T28" s="148">
        <v>1.0178913738019169</v>
      </c>
      <c r="U28" s="148">
        <f t="shared" si="6"/>
        <v>7.9168131154225874</v>
      </c>
      <c r="V28" s="278">
        <f t="shared" si="7"/>
        <v>1.2570710245127792E-3</v>
      </c>
      <c r="W28" s="278">
        <f t="shared" si="8"/>
        <v>1.0142611458568936E-3</v>
      </c>
    </row>
    <row r="29" spans="1:23" x14ac:dyDescent="0.2">
      <c r="A29" s="8">
        <v>41743</v>
      </c>
      <c r="B29" s="9">
        <v>7.64</v>
      </c>
      <c r="E29" s="21"/>
      <c r="F29" s="21"/>
      <c r="G29" s="21"/>
      <c r="H29" s="21"/>
      <c r="I29" s="21"/>
      <c r="L29" s="21"/>
      <c r="M29" s="21"/>
      <c r="N29" s="21"/>
      <c r="O29" s="21"/>
      <c r="P29" s="21"/>
      <c r="R29" s="12">
        <v>41754</v>
      </c>
      <c r="S29" s="11">
        <v>7.8149999999999995</v>
      </c>
      <c r="T29" s="148">
        <v>0.9987220447284344</v>
      </c>
      <c r="U29" s="148">
        <f t="shared" si="6"/>
        <v>7.7657983092765166</v>
      </c>
      <c r="V29" s="278">
        <f t="shared" si="7"/>
        <v>-1.8832391713747731E-2</v>
      </c>
      <c r="W29" s="278">
        <f t="shared" si="8"/>
        <v>-1.9075201592403616E-2</v>
      </c>
    </row>
    <row r="30" spans="1:23" x14ac:dyDescent="0.2">
      <c r="A30" s="8">
        <v>41744</v>
      </c>
      <c r="B30" s="9">
        <v>7.4249999999999998</v>
      </c>
      <c r="L30" s="21"/>
      <c r="M30" s="21"/>
      <c r="N30" s="21"/>
      <c r="O30" s="21"/>
      <c r="P30" s="21"/>
      <c r="R30" s="12">
        <v>41757</v>
      </c>
      <c r="S30" s="11">
        <v>7.9</v>
      </c>
      <c r="T30" s="148">
        <v>1.0095846645367412</v>
      </c>
      <c r="U30" s="148">
        <f t="shared" si="6"/>
        <v>7.848377553582111</v>
      </c>
      <c r="V30" s="278">
        <f t="shared" si="7"/>
        <v>1.0876519513755678E-2</v>
      </c>
      <c r="W30" s="278">
        <f t="shared" si="8"/>
        <v>1.0633709635099792E-2</v>
      </c>
    </row>
    <row r="31" spans="1:23" x14ac:dyDescent="0.2">
      <c r="A31" s="8">
        <v>41745</v>
      </c>
      <c r="B31" s="9">
        <v>7.82</v>
      </c>
      <c r="E31" s="21"/>
      <c r="F31" s="21"/>
      <c r="G31" s="21"/>
      <c r="H31" s="21"/>
      <c r="I31" s="21"/>
      <c r="J31" s="22"/>
      <c r="K31" s="54"/>
      <c r="L31" s="54"/>
      <c r="M31" s="54"/>
      <c r="N31" s="54"/>
      <c r="O31" s="54"/>
      <c r="P31" s="54"/>
      <c r="R31" s="12">
        <v>41758</v>
      </c>
      <c r="S31" s="11">
        <v>8.0050000000000008</v>
      </c>
      <c r="T31" s="148">
        <v>1.023003194888179</v>
      </c>
      <c r="U31" s="148">
        <f t="shared" si="6"/>
        <v>7.9507857688574042</v>
      </c>
      <c r="V31" s="278">
        <f t="shared" si="7"/>
        <v>1.32911392405064E-2</v>
      </c>
      <c r="W31" s="278">
        <f t="shared" si="8"/>
        <v>1.3048329361850514E-2</v>
      </c>
    </row>
    <row r="32" spans="1:23" x14ac:dyDescent="0.2">
      <c r="A32" s="8">
        <v>41746</v>
      </c>
      <c r="B32" s="9">
        <v>8.0150000000000006</v>
      </c>
      <c r="R32" s="12">
        <v>41759</v>
      </c>
      <c r="S32" s="11">
        <v>7.98</v>
      </c>
      <c r="T32" s="148">
        <v>1.0198083067092651</v>
      </c>
      <c r="U32" s="148">
        <f t="shared" si="6"/>
        <v>7.9240245531809377</v>
      </c>
      <c r="V32" s="278">
        <f t="shared" si="7"/>
        <v>-3.1230480949406836E-3</v>
      </c>
      <c r="W32" s="278">
        <f t="shared" si="8"/>
        <v>-3.3658579735965696E-3</v>
      </c>
    </row>
    <row r="33" spans="1:23" x14ac:dyDescent="0.2">
      <c r="A33" s="8">
        <v>41751</v>
      </c>
      <c r="B33" s="9">
        <v>8.1449999999999996</v>
      </c>
      <c r="D33" s="267" t="s">
        <v>141</v>
      </c>
      <c r="E33" s="66" t="s">
        <v>71</v>
      </c>
      <c r="F33" s="66" t="s">
        <v>72</v>
      </c>
      <c r="G33" s="66" t="s">
        <v>133</v>
      </c>
      <c r="H33" s="66" t="s">
        <v>135</v>
      </c>
      <c r="I33" s="66" t="s">
        <v>451</v>
      </c>
      <c r="J33" s="66" t="s">
        <v>45</v>
      </c>
      <c r="K33" s="138" t="s">
        <v>66</v>
      </c>
      <c r="L33" s="66" t="s">
        <v>50</v>
      </c>
      <c r="M33" s="66" t="s">
        <v>44</v>
      </c>
      <c r="N33" s="138" t="s">
        <v>93</v>
      </c>
      <c r="O33" s="66" t="s">
        <v>26</v>
      </c>
      <c r="P33" s="66" t="s">
        <v>23</v>
      </c>
      <c r="Q33" s="67" t="s">
        <v>25</v>
      </c>
      <c r="R33" s="12">
        <v>41761</v>
      </c>
      <c r="S33" s="11">
        <v>7.8949999999999996</v>
      </c>
      <c r="T33" s="148">
        <v>1.0089456869009583</v>
      </c>
      <c r="U33" s="148">
        <f t="shared" si="6"/>
        <v>7.8376967514374067</v>
      </c>
      <c r="V33" s="278">
        <f t="shared" si="7"/>
        <v>-1.0651629072681801E-2</v>
      </c>
      <c r="W33" s="278">
        <f t="shared" si="8"/>
        <v>-1.0894438951337687E-2</v>
      </c>
    </row>
    <row r="34" spans="1:23" x14ac:dyDescent="0.2">
      <c r="A34" s="8">
        <v>41752</v>
      </c>
      <c r="B34" s="9">
        <v>7.9550000000000001</v>
      </c>
      <c r="D34" s="292" t="s">
        <v>350</v>
      </c>
      <c r="E34" s="55">
        <f>ABS(VALUE($L$34)-Autocallable!$J$77)</f>
        <v>2405</v>
      </c>
      <c r="F34" s="55">
        <f>ABS(VALUE($L$34)-Autocallable!$B$19)</f>
        <v>2586</v>
      </c>
      <c r="G34" s="55">
        <f>ABS(VALUE($L$34)-Autocallable!$B$34)</f>
        <v>2770</v>
      </c>
      <c r="H34" s="55">
        <f>ABS(VALUE($L$34)-Autocallable!$B$48)</f>
        <v>2951</v>
      </c>
      <c r="I34" s="55">
        <f>ABS(VALUE($L$34)-Autocallable!$B$62)</f>
        <v>3135</v>
      </c>
      <c r="J34" s="53" t="s">
        <v>453</v>
      </c>
      <c r="K34" s="53" t="s">
        <v>454</v>
      </c>
      <c r="L34" s="53" t="s">
        <v>455</v>
      </c>
      <c r="M34" s="53">
        <v>2.8</v>
      </c>
      <c r="N34" s="53">
        <v>99.54</v>
      </c>
      <c r="O34" s="139" t="e">
        <f ca="1">_xll.BDH(D34,$P$33:$Q$33,$B$2,$B$2,"Dts=S","cols=3;rows=1")</f>
        <v>#NAME?</v>
      </c>
      <c r="P34" s="50">
        <v>103.108</v>
      </c>
      <c r="Q34" s="57">
        <v>2.4529999999999998</v>
      </c>
      <c r="R34" s="12">
        <v>41764</v>
      </c>
      <c r="S34" s="11">
        <v>7.7149999999999999</v>
      </c>
      <c r="T34" s="148">
        <v>0.9859424920127795</v>
      </c>
      <c r="U34" s="148">
        <f t="shared" si="6"/>
        <v>7.6571001517584589</v>
      </c>
      <c r="V34" s="278">
        <f t="shared" si="7"/>
        <v>-2.2799240025332401E-2</v>
      </c>
      <c r="W34" s="278">
        <f t="shared" si="8"/>
        <v>-2.3042049903988285E-2</v>
      </c>
    </row>
    <row r="35" spans="1:23" x14ac:dyDescent="0.2">
      <c r="A35" s="8">
        <v>41753</v>
      </c>
      <c r="B35" s="9">
        <v>7.9649999999999999</v>
      </c>
      <c r="D35" s="292" t="s">
        <v>419</v>
      </c>
      <c r="E35" s="55">
        <f>ABS(VALUE($L$35)-Autocallable!$J$77)</f>
        <v>2648</v>
      </c>
      <c r="F35" s="55">
        <f>ABS(VALUE($L$35)-Autocallable!$B$19)</f>
        <v>2829</v>
      </c>
      <c r="G35" s="55">
        <f>ABS(VALUE($L$35)-Autocallable!$B$34)</f>
        <v>3013</v>
      </c>
      <c r="H35" s="55">
        <f>ABS(VALUE($L$35)-Autocallable!$B$48)</f>
        <v>3194</v>
      </c>
      <c r="I35" s="55">
        <f>ABS(VALUE($L$35)-Autocallable!$B$62)</f>
        <v>3378</v>
      </c>
      <c r="J35" s="53" t="s">
        <v>456</v>
      </c>
      <c r="K35" s="53" t="s">
        <v>457</v>
      </c>
      <c r="L35" s="53" t="s">
        <v>458</v>
      </c>
      <c r="M35" s="53">
        <v>3</v>
      </c>
      <c r="N35" s="53">
        <v>101.85</v>
      </c>
      <c r="O35" s="139" t="e">
        <f ca="1">_xll.BDH(D35,$P$33:$Q$33,$B$2,$B$2,"Dts=S","cols=3;rows=1")</f>
        <v>#NAME?</v>
      </c>
      <c r="P35" s="50">
        <v>103.74299999999999</v>
      </c>
      <c r="Q35" s="57">
        <v>2.6029999999999998</v>
      </c>
      <c r="R35" s="12">
        <v>41765</v>
      </c>
      <c r="S35" s="11">
        <v>7.63</v>
      </c>
      <c r="T35" s="148">
        <v>0.97507987220447279</v>
      </c>
      <c r="U35" s="148">
        <f t="shared" si="6"/>
        <v>7.5708788436839454</v>
      </c>
      <c r="V35" s="278">
        <f t="shared" si="7"/>
        <v>-1.1017498379779611E-2</v>
      </c>
      <c r="W35" s="278">
        <f t="shared" si="8"/>
        <v>-1.1260308258435497E-2</v>
      </c>
    </row>
    <row r="36" spans="1:23" x14ac:dyDescent="0.2">
      <c r="A36" s="8">
        <v>41754</v>
      </c>
      <c r="B36" s="9">
        <v>7.8149999999999995</v>
      </c>
      <c r="D36" s="292" t="s">
        <v>420</v>
      </c>
      <c r="E36" s="55">
        <f>ABS(VALUE($L$36)-Autocallable!$J$77)</f>
        <v>9984</v>
      </c>
      <c r="F36" s="55">
        <f>ABS(VALUE($L$36)-Autocallable!$B$19)</f>
        <v>10165</v>
      </c>
      <c r="G36" s="55">
        <f>ABS(VALUE($L$36)-Autocallable!$B$34)</f>
        <v>10349</v>
      </c>
      <c r="H36" s="55">
        <f>ABS(VALUE($L$36)-Autocallable!$B$48)</f>
        <v>10530</v>
      </c>
      <c r="I36" s="55">
        <f>ABS(VALUE($L$36)-Autocallable!$B$62)</f>
        <v>10714</v>
      </c>
      <c r="J36" s="53" t="s">
        <v>459</v>
      </c>
      <c r="K36" s="53" t="s">
        <v>460</v>
      </c>
      <c r="L36" s="53" t="s">
        <v>461</v>
      </c>
      <c r="M36" s="53">
        <v>3.85</v>
      </c>
      <c r="N36" s="53">
        <v>99.594000000000008</v>
      </c>
      <c r="O36" s="139" t="e">
        <f ca="1">_xll.BDH(D36,$P$33:$Q$33,$B$2,$B$2,"Dts=S","cols=3;rows=1")</f>
        <v>#NAME?</v>
      </c>
      <c r="P36" s="50">
        <v>104.02800000000001</v>
      </c>
      <c r="Q36" s="57">
        <v>3.6630000000000003</v>
      </c>
      <c r="R36" s="12">
        <v>41766</v>
      </c>
      <c r="S36" s="11">
        <v>7.46</v>
      </c>
      <c r="T36" s="148">
        <v>0.95335463258785935</v>
      </c>
      <c r="U36" s="148">
        <f t="shared" si="6"/>
        <v>7.4003578067679623</v>
      </c>
      <c r="V36" s="278">
        <f t="shared" si="7"/>
        <v>-2.2280471821756187E-2</v>
      </c>
      <c r="W36" s="278">
        <f t="shared" si="8"/>
        <v>-2.2523281700412071E-2</v>
      </c>
    </row>
    <row r="37" spans="1:23" x14ac:dyDescent="0.2">
      <c r="A37" s="8">
        <v>41757</v>
      </c>
      <c r="B37" s="9">
        <v>7.9</v>
      </c>
      <c r="D37" s="292" t="s">
        <v>354</v>
      </c>
      <c r="E37" s="55">
        <f>ABS(VALUE($L$37)-Autocallable!$J$77)</f>
        <v>564</v>
      </c>
      <c r="F37" s="55">
        <f>ABS(VALUE($L$37)-Autocallable!$B$19)</f>
        <v>383</v>
      </c>
      <c r="G37" s="55">
        <f>ABS(VALUE($L$37)-Autocallable!$B$34)</f>
        <v>199</v>
      </c>
      <c r="H37" s="55">
        <f>ABS(VALUE($L$37)-Autocallable!$B$48)</f>
        <v>18</v>
      </c>
      <c r="I37" s="55">
        <f>ABS(VALUE($L$37)-Autocallable!$B$62)</f>
        <v>166</v>
      </c>
      <c r="J37" s="53" t="s">
        <v>462</v>
      </c>
      <c r="K37" s="53" t="s">
        <v>463</v>
      </c>
      <c r="L37" s="53" t="s">
        <v>464</v>
      </c>
      <c r="M37" s="53">
        <v>0.2</v>
      </c>
      <c r="N37" s="53">
        <v>100.15</v>
      </c>
      <c r="O37" s="139" t="e">
        <f ca="1">_xll.BDH(D37,$P$33:$Q$33,$B$2,$B$2,"Dts=S","cols=3;rows=1")</f>
        <v>#NAME?</v>
      </c>
      <c r="P37" s="50">
        <v>100.107</v>
      </c>
      <c r="Q37" s="57">
        <v>0.13200000000000001</v>
      </c>
      <c r="R37" s="12">
        <v>41767</v>
      </c>
      <c r="S37" s="11">
        <v>7.61</v>
      </c>
      <c r="T37" s="148">
        <v>0.97252396166134192</v>
      </c>
      <c r="U37" s="148">
        <f t="shared" si="6"/>
        <v>7.5473616869765952</v>
      </c>
      <c r="V37" s="278">
        <f t="shared" si="7"/>
        <v>2.0107238605898248E-2</v>
      </c>
      <c r="W37" s="278">
        <f t="shared" si="8"/>
        <v>1.9864428727242363E-2</v>
      </c>
    </row>
    <row r="38" spans="1:23" x14ac:dyDescent="0.2">
      <c r="A38" s="8">
        <v>41758</v>
      </c>
      <c r="B38" s="9">
        <v>8.0050000000000008</v>
      </c>
      <c r="D38" s="292" t="s">
        <v>352</v>
      </c>
      <c r="E38" s="55">
        <f>ABS(VALUE($L$38)-Autocallable!$J$77)</f>
        <v>9435</v>
      </c>
      <c r="F38" s="55">
        <f>ABS(VALUE($L$38)-Autocallable!$B$19)</f>
        <v>9616</v>
      </c>
      <c r="G38" s="55">
        <f>ABS(VALUE($L$38)-Autocallable!$B$34)</f>
        <v>9800</v>
      </c>
      <c r="H38" s="55">
        <f>ABS(VALUE($L$38)-Autocallable!$B$48)</f>
        <v>9981</v>
      </c>
      <c r="I38" s="55">
        <f>ABS(VALUE($L$38)-Autocallable!$B$62)</f>
        <v>10165</v>
      </c>
      <c r="J38" s="53" t="s">
        <v>465</v>
      </c>
      <c r="K38" s="53" t="s">
        <v>466</v>
      </c>
      <c r="L38" s="53" t="s">
        <v>467</v>
      </c>
      <c r="M38" s="53">
        <v>3.45</v>
      </c>
      <c r="N38" s="53">
        <v>98.956000000000003</v>
      </c>
      <c r="O38" s="139" t="e">
        <f ca="1">_xll.BDH(D38,$P$33:$Q$33,$B$2,$B$2,"Dts=S","cols=3;rows=1")</f>
        <v>#NAME?</v>
      </c>
      <c r="P38" s="50">
        <v>99.006</v>
      </c>
      <c r="Q38" s="57">
        <v>3.5350000000000001</v>
      </c>
      <c r="R38" s="12">
        <v>41768</v>
      </c>
      <c r="S38" s="11">
        <v>7.2</v>
      </c>
      <c r="T38" s="148">
        <v>0.92012779552715651</v>
      </c>
      <c r="U38" s="148">
        <f t="shared" si="6"/>
        <v>7.1389038447146893</v>
      </c>
      <c r="V38" s="278">
        <f t="shared" si="7"/>
        <v>-5.3876478318002685E-2</v>
      </c>
      <c r="W38" s="278">
        <f t="shared" si="8"/>
        <v>-5.4119288196658573E-2</v>
      </c>
    </row>
    <row r="39" spans="1:23" x14ac:dyDescent="0.2">
      <c r="A39" s="8">
        <v>41759</v>
      </c>
      <c r="B39" s="9">
        <v>7.98</v>
      </c>
      <c r="D39" s="292" t="s">
        <v>144</v>
      </c>
      <c r="E39" s="55">
        <f>ABS(VALUE($L$39)-Autocallable!$J$77)</f>
        <v>2314</v>
      </c>
      <c r="F39" s="55">
        <f>ABS(VALUE($L$39)-Autocallable!$B$19)</f>
        <v>2495</v>
      </c>
      <c r="G39" s="55">
        <f>ABS(VALUE($L$39)-Autocallable!$B$34)</f>
        <v>2679</v>
      </c>
      <c r="H39" s="55">
        <f>ABS(VALUE($L$39)-Autocallable!$B$48)</f>
        <v>2860</v>
      </c>
      <c r="I39" s="55">
        <f>ABS(VALUE($L$39)-Autocallable!$B$62)</f>
        <v>3044</v>
      </c>
      <c r="J39" s="53" t="s">
        <v>468</v>
      </c>
      <c r="K39" s="53" t="s">
        <v>469</v>
      </c>
      <c r="L39" s="53" t="s">
        <v>470</v>
      </c>
      <c r="M39" s="53">
        <v>4.75</v>
      </c>
      <c r="N39" s="53">
        <v>100.017</v>
      </c>
      <c r="O39" s="139" t="e">
        <f ca="1">_xll.BDH(D39,$P$33:$Q$33,$B$2,$B$2,"Dts=S","cols=3;rows=1")</f>
        <v>#NAME?</v>
      </c>
      <c r="P39" s="50">
        <v>120.167</v>
      </c>
      <c r="Q39" s="57">
        <v>2.37</v>
      </c>
      <c r="R39" s="12">
        <v>41771</v>
      </c>
      <c r="S39" s="11">
        <v>7.13</v>
      </c>
      <c r="T39" s="148">
        <v>0.91118210862619808</v>
      </c>
      <c r="U39" s="148">
        <f t="shared" si="6"/>
        <v>7.0677644387370249</v>
      </c>
      <c r="V39" s="278">
        <f t="shared" si="7"/>
        <v>-9.7222222222222987E-3</v>
      </c>
      <c r="W39" s="278">
        <f t="shared" si="8"/>
        <v>-9.9650321008781847E-3</v>
      </c>
    </row>
    <row r="40" spans="1:23" x14ac:dyDescent="0.2">
      <c r="A40" s="8">
        <v>41761</v>
      </c>
      <c r="B40" s="9">
        <v>7.8949999999999996</v>
      </c>
      <c r="D40" s="292" t="s">
        <v>178</v>
      </c>
      <c r="E40" s="55">
        <f>ABS(VALUE($L$40)-Autocallable!$J$77)</f>
        <v>2101</v>
      </c>
      <c r="F40" s="55">
        <f>ABS(VALUE($L$40)-Autocallable!$B$19)</f>
        <v>2282</v>
      </c>
      <c r="G40" s="55">
        <f>ABS(VALUE($L$40)-Autocallable!$B$34)</f>
        <v>2466</v>
      </c>
      <c r="H40" s="55">
        <f>ABS(VALUE($L$40)-Autocallable!$B$48)</f>
        <v>2647</v>
      </c>
      <c r="I40" s="55">
        <f>ABS(VALUE($L$40)-Autocallable!$B$62)</f>
        <v>2831</v>
      </c>
      <c r="J40" s="53" t="s">
        <v>471</v>
      </c>
      <c r="K40" s="53" t="s">
        <v>472</v>
      </c>
      <c r="L40" s="53" t="s">
        <v>473</v>
      </c>
      <c r="M40" s="53">
        <v>2</v>
      </c>
      <c r="N40" s="53">
        <v>99.55</v>
      </c>
      <c r="O40" s="139" t="e">
        <f ca="1">_xll.BDH(D40,$P$33:$Q$33,$B$2,$B$2,"Dts=S","cols=3;rows=1")</f>
        <v>#NAME?</v>
      </c>
      <c r="P40" s="50">
        <v>98.045000000000002</v>
      </c>
      <c r="Q40" s="57">
        <v>2.2570000000000001</v>
      </c>
      <c r="R40" s="12">
        <v>41772</v>
      </c>
      <c r="S40" s="11">
        <v>7.1050000000000004</v>
      </c>
      <c r="T40" s="148">
        <v>0.90798722044728442</v>
      </c>
      <c r="U40" s="148">
        <f t="shared" si="6"/>
        <v>7.041266532966767</v>
      </c>
      <c r="V40" s="278">
        <f t="shared" si="7"/>
        <v>-3.5063113604487661E-3</v>
      </c>
      <c r="W40" s="278">
        <f t="shared" si="8"/>
        <v>-3.7491212391046521E-3</v>
      </c>
    </row>
    <row r="41" spans="1:23" x14ac:dyDescent="0.2">
      <c r="A41" s="8">
        <v>41764</v>
      </c>
      <c r="B41" s="9">
        <v>7.7149999999999999</v>
      </c>
      <c r="D41" s="292" t="s">
        <v>353</v>
      </c>
      <c r="E41" s="55">
        <f>ABS(VALUE($L$41)-Autocallable!$J$77)</f>
        <v>199</v>
      </c>
      <c r="F41" s="55">
        <f>ABS(VALUE($L$41)-Autocallable!$B$19)</f>
        <v>18</v>
      </c>
      <c r="G41" s="55">
        <f>ABS(VALUE($L$41)-Autocallable!$B$34)</f>
        <v>166</v>
      </c>
      <c r="H41" s="55">
        <f>ABS(VALUE($L$41)-Autocallable!$B$48)</f>
        <v>347</v>
      </c>
      <c r="I41" s="55">
        <f>ABS(VALUE($L$41)-Autocallable!$B$62)</f>
        <v>531</v>
      </c>
      <c r="J41" s="53" t="s">
        <v>474</v>
      </c>
      <c r="K41" s="53" t="s">
        <v>475</v>
      </c>
      <c r="L41" s="53" t="s">
        <v>476</v>
      </c>
      <c r="M41" s="53">
        <v>2.2999999999999998</v>
      </c>
      <c r="N41" s="53">
        <v>99.45</v>
      </c>
      <c r="O41" s="139" t="e">
        <f ca="1">_xll.BDH(D41,$P$33:$Q$33,$B$2,$B$2,"Dts=S","cols=3;rows=1")</f>
        <v>#NAME?</v>
      </c>
      <c r="P41" s="50">
        <v>104.16200000000001</v>
      </c>
      <c r="Q41" s="57">
        <v>0.66600000000000004</v>
      </c>
      <c r="R41" s="12">
        <v>41773</v>
      </c>
      <c r="S41" s="11">
        <v>6.88</v>
      </c>
      <c r="T41" s="148">
        <v>0.87923322683706062</v>
      </c>
      <c r="U41" s="148">
        <f t="shared" si="6"/>
        <v>6.816575145102262</v>
      </c>
      <c r="V41" s="278">
        <f t="shared" si="7"/>
        <v>-3.1667839549613053E-2</v>
      </c>
      <c r="W41" s="278">
        <f t="shared" si="8"/>
        <v>-3.191064942826894E-2</v>
      </c>
    </row>
    <row r="42" spans="1:23" x14ac:dyDescent="0.2">
      <c r="A42" s="8">
        <v>41765</v>
      </c>
      <c r="B42" s="9">
        <v>7.63</v>
      </c>
      <c r="D42" s="292" t="s">
        <v>355</v>
      </c>
      <c r="E42" s="55">
        <f>ABS(VALUE($L$42)-Autocallable!$J$77)</f>
        <v>1293</v>
      </c>
      <c r="F42" s="55">
        <f>ABS(VALUE($L$42)-Autocallable!$B$19)</f>
        <v>1474</v>
      </c>
      <c r="G42" s="55">
        <f>ABS(VALUE($L$42)-Autocallable!$B$34)</f>
        <v>1658</v>
      </c>
      <c r="H42" s="55">
        <f>ABS(VALUE($L$42)-Autocallable!$B$48)</f>
        <v>1839</v>
      </c>
      <c r="I42" s="55">
        <f>ABS(VALUE($L$42)-Autocallable!$B$62)</f>
        <v>2023</v>
      </c>
      <c r="J42" s="53" t="s">
        <v>477</v>
      </c>
      <c r="K42" s="53" t="s">
        <v>478</v>
      </c>
      <c r="L42" s="53" t="s">
        <v>479</v>
      </c>
      <c r="M42" s="53">
        <v>2.5</v>
      </c>
      <c r="N42" s="53">
        <v>99.79</v>
      </c>
      <c r="O42" s="139" t="e">
        <f ca="1">_xll.BDH(D42,$P$33:$Q$33,$B$2,$B$2,"Dts=S","cols=3;rows=1")</f>
        <v>#NAME?</v>
      </c>
      <c r="P42" s="50">
        <v>103.401</v>
      </c>
      <c r="Q42" s="57">
        <v>1.96</v>
      </c>
      <c r="R42" s="12">
        <v>41774</v>
      </c>
      <c r="S42" s="11">
        <v>6.58</v>
      </c>
      <c r="T42" s="148">
        <v>0.84089456869009582</v>
      </c>
      <c r="U42" s="148">
        <f t="shared" si="6"/>
        <v>6.5176856319912977</v>
      </c>
      <c r="V42" s="278">
        <f t="shared" si="7"/>
        <v>-4.3604651162790664E-2</v>
      </c>
      <c r="W42" s="278">
        <f t="shared" si="8"/>
        <v>-4.3847461041446552E-2</v>
      </c>
    </row>
    <row r="43" spans="1:23" x14ac:dyDescent="0.2">
      <c r="A43" s="8">
        <v>41766</v>
      </c>
      <c r="B43" s="9">
        <v>7.46</v>
      </c>
      <c r="D43" s="292" t="s">
        <v>357</v>
      </c>
      <c r="E43" s="55">
        <f>ABS(VALUE($L$43)-Autocallable!$J$77)</f>
        <v>16374</v>
      </c>
      <c r="F43" s="55">
        <f>ABS(VALUE($L$43)-Autocallable!$B$19)</f>
        <v>16555</v>
      </c>
      <c r="G43" s="55">
        <f>ABS(VALUE($L$43)-Autocallable!$B$34)</f>
        <v>16739</v>
      </c>
      <c r="H43" s="55">
        <f>ABS(VALUE($L$43)-Autocallable!$B$48)</f>
        <v>16920</v>
      </c>
      <c r="I43" s="55">
        <f>ABS(VALUE($L$43)-Autocallable!$B$62)</f>
        <v>17104</v>
      </c>
      <c r="J43" s="53" t="s">
        <v>480</v>
      </c>
      <c r="K43" s="53" t="s">
        <v>481</v>
      </c>
      <c r="L43" s="53" t="s">
        <v>482</v>
      </c>
      <c r="M43" s="53">
        <v>2.8</v>
      </c>
      <c r="N43" s="53">
        <v>99.194000000000003</v>
      </c>
      <c r="O43" s="139" t="e">
        <f ca="1">_xll.BDH(D43,$P$33:$Q$33,$B$2,$B$2,"Dts=S","cols=3;rows=1")</f>
        <v>#NAME?</v>
      </c>
      <c r="P43" s="50">
        <v>82.75</v>
      </c>
      <c r="Q43" s="57">
        <v>3.5830000000000002</v>
      </c>
      <c r="R43" s="12">
        <v>41775</v>
      </c>
      <c r="S43" s="11">
        <v>6.71</v>
      </c>
      <c r="T43" s="148">
        <v>0.8575079872204473</v>
      </c>
      <c r="U43" s="148">
        <f t="shared" si="6"/>
        <v>6.6448719386036119</v>
      </c>
      <c r="V43" s="278">
        <f t="shared" si="7"/>
        <v>1.9756838905774954E-2</v>
      </c>
      <c r="W43" s="278">
        <f t="shared" si="8"/>
        <v>1.951402902711907E-2</v>
      </c>
    </row>
    <row r="44" spans="1:23" x14ac:dyDescent="0.2">
      <c r="A44" s="8">
        <v>41767</v>
      </c>
      <c r="B44" s="9">
        <v>7.61</v>
      </c>
      <c r="D44" s="292" t="s">
        <v>421</v>
      </c>
      <c r="E44" s="55">
        <f>ABS(VALUE($L$44)-Autocallable!$J$77)</f>
        <v>4686</v>
      </c>
      <c r="F44" s="55">
        <f>ABS(VALUE($L$44)-Autocallable!$B$19)</f>
        <v>4867</v>
      </c>
      <c r="G44" s="55">
        <f>ABS(VALUE($L$44)-Autocallable!$B$34)</f>
        <v>5051</v>
      </c>
      <c r="H44" s="55">
        <f>ABS(VALUE($L$44)-Autocallable!$B$48)</f>
        <v>5232</v>
      </c>
      <c r="I44" s="55">
        <f>ABS(VALUE($L$44)-Autocallable!$B$62)</f>
        <v>5416</v>
      </c>
      <c r="J44" s="53" t="s">
        <v>483</v>
      </c>
      <c r="K44" s="53" t="s">
        <v>484</v>
      </c>
      <c r="L44" s="53" t="s">
        <v>485</v>
      </c>
      <c r="M44" s="53">
        <v>3.35</v>
      </c>
      <c r="N44" s="53">
        <v>99.609000000000009</v>
      </c>
      <c r="O44" s="139" t="e">
        <f ca="1">_xll.BDH(D44,$P$33:$Q$33,$B$2,$B$2,"Dts=S","cols=3;rows=1")</f>
        <v>#NAME?</v>
      </c>
      <c r="P44" s="50">
        <v>103.44</v>
      </c>
      <c r="Q44" s="57">
        <v>3.0990000000000002</v>
      </c>
      <c r="R44" s="12">
        <v>41778</v>
      </c>
      <c r="S44" s="11">
        <v>6.6850000000000005</v>
      </c>
      <c r="T44" s="148">
        <v>0.85431309904153363</v>
      </c>
      <c r="U44" s="148">
        <f t="shared" si="6"/>
        <v>6.6185011510403449</v>
      </c>
      <c r="V44" s="278">
        <f t="shared" si="7"/>
        <v>-3.7257824143068774E-3</v>
      </c>
      <c r="W44" s="278">
        <f t="shared" si="8"/>
        <v>-3.9685922929627634E-3</v>
      </c>
    </row>
    <row r="45" spans="1:23" x14ac:dyDescent="0.2">
      <c r="A45" s="8">
        <v>41768</v>
      </c>
      <c r="B45" s="9">
        <v>7.2</v>
      </c>
      <c r="D45" s="292" t="s">
        <v>364</v>
      </c>
      <c r="E45" s="55">
        <f>ABS(VALUE($L$45)-Autocallable!$J$77)</f>
        <v>928</v>
      </c>
      <c r="F45" s="55">
        <f>ABS(VALUE($L$45)-Autocallable!$B$19)</f>
        <v>1109</v>
      </c>
      <c r="G45" s="55">
        <f>ABS(VALUE($L$45)-Autocallable!$B$34)</f>
        <v>1293</v>
      </c>
      <c r="H45" s="55">
        <f>ABS(VALUE($L$45)-Autocallable!$B$48)</f>
        <v>1474</v>
      </c>
      <c r="I45" s="55">
        <f>ABS(VALUE($L$45)-Autocallable!$B$62)</f>
        <v>1658</v>
      </c>
      <c r="J45" s="53" t="s">
        <v>486</v>
      </c>
      <c r="K45" s="53" t="s">
        <v>487</v>
      </c>
      <c r="L45" s="53" t="s">
        <v>488</v>
      </c>
      <c r="M45" s="53">
        <v>1.45</v>
      </c>
      <c r="N45" s="53">
        <v>99.56</v>
      </c>
      <c r="O45" s="139" t="e">
        <f ca="1">_xll.BDH(D45,$P$33:$Q$33,$B$2,$B$2,"Dts=S","cols=3;rows=1")</f>
        <v>#NAME?</v>
      </c>
      <c r="P45" s="50">
        <v>98.685000000000002</v>
      </c>
      <c r="Q45" s="57">
        <v>1.702</v>
      </c>
      <c r="R45" s="12">
        <v>41779</v>
      </c>
      <c r="S45" s="11">
        <v>6.86</v>
      </c>
      <c r="T45" s="148">
        <v>0.87667731629392975</v>
      </c>
      <c r="U45" s="148">
        <f t="shared" si="6"/>
        <v>6.7901533060145871</v>
      </c>
      <c r="V45" s="278">
        <f t="shared" si="7"/>
        <v>2.6178010471204161E-2</v>
      </c>
      <c r="W45" s="278">
        <f t="shared" si="8"/>
        <v>2.5935200592548276E-2</v>
      </c>
    </row>
    <row r="46" spans="1:23" x14ac:dyDescent="0.2">
      <c r="A46" s="8">
        <v>41771</v>
      </c>
      <c r="B46" s="9">
        <v>7.13</v>
      </c>
      <c r="D46" s="292" t="s">
        <v>387</v>
      </c>
      <c r="E46" s="55">
        <f>ABS(VALUE($L$46)-Autocallable!$J$77)</f>
        <v>744</v>
      </c>
      <c r="F46" s="55">
        <f>ABS(VALUE($L$46)-Autocallable!$B$19)</f>
        <v>925</v>
      </c>
      <c r="G46" s="55">
        <f>ABS(VALUE($L$46)-Autocallable!$B$34)</f>
        <v>1109</v>
      </c>
      <c r="H46" s="55">
        <f>ABS(VALUE($L$46)-Autocallable!$B$48)</f>
        <v>1290</v>
      </c>
      <c r="I46" s="55">
        <f>ABS(VALUE($L$46)-Autocallable!$B$62)</f>
        <v>1474</v>
      </c>
      <c r="J46" s="53" t="s">
        <v>489</v>
      </c>
      <c r="K46" s="53" t="s">
        <v>490</v>
      </c>
      <c r="L46" s="53" t="s">
        <v>491</v>
      </c>
      <c r="M46" s="53">
        <v>1.85</v>
      </c>
      <c r="N46" s="53">
        <v>99.710000000000008</v>
      </c>
      <c r="O46" s="139" t="e">
        <f ca="1">_xll.BDH(D46,$P$33:$Q$33,$B$2,$B$2,"Dts=S","cols=3;rows=1")</f>
        <v>#NAME?</v>
      </c>
      <c r="P46" s="50">
        <v>101.36799999999999</v>
      </c>
      <c r="Q46" s="57">
        <v>1.579</v>
      </c>
      <c r="R46" s="12">
        <v>41780</v>
      </c>
      <c r="S46" s="11">
        <v>6.8650000000000002</v>
      </c>
      <c r="T46" s="148">
        <v>0.87731629392971244</v>
      </c>
      <c r="U46" s="148">
        <f t="shared" si="6"/>
        <v>6.7934536810452126</v>
      </c>
      <c r="V46" s="278">
        <f t="shared" si="7"/>
        <v>7.2886297376095754E-4</v>
      </c>
      <c r="W46" s="278">
        <f t="shared" si="8"/>
        <v>4.8605309510507189E-4</v>
      </c>
    </row>
    <row r="47" spans="1:23" x14ac:dyDescent="0.2">
      <c r="A47" s="8">
        <v>41772</v>
      </c>
      <c r="B47" s="9">
        <v>7.1050000000000004</v>
      </c>
      <c r="D47" s="292" t="s">
        <v>179</v>
      </c>
      <c r="E47" s="55">
        <f>ABS(VALUE($L$47)-Autocallable!$J$77)</f>
        <v>303</v>
      </c>
      <c r="F47" s="55">
        <f>ABS(VALUE($L$47)-Autocallable!$B$19)</f>
        <v>484</v>
      </c>
      <c r="G47" s="55">
        <f>ABS(VALUE($L$47)-Autocallable!$B$34)</f>
        <v>668</v>
      </c>
      <c r="H47" s="55">
        <f>ABS(VALUE($L$47)-Autocallable!$B$48)</f>
        <v>849</v>
      </c>
      <c r="I47" s="55">
        <f>ABS(VALUE($L$47)-Autocallable!$B$62)</f>
        <v>1033</v>
      </c>
      <c r="J47" s="53" t="s">
        <v>492</v>
      </c>
      <c r="K47" s="53" t="s">
        <v>493</v>
      </c>
      <c r="L47" s="53" t="s">
        <v>494</v>
      </c>
      <c r="M47" s="53">
        <v>0.95</v>
      </c>
      <c r="N47" s="53">
        <v>100.30000000000001</v>
      </c>
      <c r="O47" s="139" t="e">
        <f ca="1">_xll.BDH(D47,$P$33:$Q$33,$B$2,$B$2,"Dts=S","cols=3;rows=1")</f>
        <v>#NAME?</v>
      </c>
      <c r="P47" s="50">
        <v>99.162000000000006</v>
      </c>
      <c r="Q47" s="57">
        <v>1.171</v>
      </c>
      <c r="R47" s="12">
        <v>41781</v>
      </c>
      <c r="S47" s="11">
        <v>6.67</v>
      </c>
      <c r="T47" s="148">
        <v>0.85239616613418523</v>
      </c>
      <c r="U47" s="148">
        <f t="shared" si="6"/>
        <v>6.5988364331840579</v>
      </c>
      <c r="V47" s="278">
        <f t="shared" si="7"/>
        <v>-2.8404952658412252E-2</v>
      </c>
      <c r="W47" s="278">
        <f t="shared" si="8"/>
        <v>-2.8647762537068137E-2</v>
      </c>
    </row>
    <row r="48" spans="1:23" x14ac:dyDescent="0.2">
      <c r="A48" s="8">
        <v>41773</v>
      </c>
      <c r="B48" s="9">
        <v>6.88</v>
      </c>
      <c r="D48" s="292" t="s">
        <v>372</v>
      </c>
      <c r="E48" s="55">
        <f>ABS(VALUE($L$48)-Autocallable!$J$77)</f>
        <v>91</v>
      </c>
      <c r="F48" s="55">
        <f>ABS(VALUE($L$48)-Autocallable!$B$19)</f>
        <v>272</v>
      </c>
      <c r="G48" s="55">
        <f>ABS(VALUE($L$48)-Autocallable!$B$34)</f>
        <v>456</v>
      </c>
      <c r="H48" s="55">
        <f>ABS(VALUE($L$48)-Autocallable!$B$48)</f>
        <v>637</v>
      </c>
      <c r="I48" s="55">
        <f>ABS(VALUE($L$48)-Autocallable!$B$62)</f>
        <v>821</v>
      </c>
      <c r="J48" s="53" t="s">
        <v>495</v>
      </c>
      <c r="K48" s="53" t="s">
        <v>496</v>
      </c>
      <c r="L48" s="53" t="s">
        <v>497</v>
      </c>
      <c r="M48" s="53">
        <v>0.9</v>
      </c>
      <c r="N48" s="53">
        <v>100.13</v>
      </c>
      <c r="O48" s="139" t="e">
        <f ca="1">_xll.BDH(D48,$P$33:$Q$33,$B$2,$B$2,"Dts=S","cols=3;rows=1")</f>
        <v>#NAME?</v>
      </c>
      <c r="P48" s="50">
        <v>99.771000000000001</v>
      </c>
      <c r="Q48" s="57">
        <v>0.97099999999999997</v>
      </c>
      <c r="R48" s="12">
        <v>41782</v>
      </c>
      <c r="S48" s="11">
        <v>6.89</v>
      </c>
      <c r="T48" s="148">
        <v>0.88051118210862611</v>
      </c>
      <c r="U48" s="148">
        <f t="shared" si="6"/>
        <v>6.8148869464175652</v>
      </c>
      <c r="V48" s="278">
        <f t="shared" si="7"/>
        <v>3.2983508245876925E-2</v>
      </c>
      <c r="W48" s="278">
        <f t="shared" si="8"/>
        <v>3.2740698367221037E-2</v>
      </c>
    </row>
    <row r="49" spans="1:23" x14ac:dyDescent="0.2">
      <c r="A49" s="8">
        <v>41774</v>
      </c>
      <c r="B49" s="9">
        <v>6.58</v>
      </c>
      <c r="D49" s="292" t="s">
        <v>180</v>
      </c>
      <c r="E49" s="55">
        <f>ABS(VALUE($L$49)-Autocallable!$J$77)</f>
        <v>686</v>
      </c>
      <c r="F49" s="55">
        <f>ABS(VALUE($L$49)-Autocallable!$B$19)</f>
        <v>505</v>
      </c>
      <c r="G49" s="55">
        <f>ABS(VALUE($L$49)-Autocallable!$B$34)</f>
        <v>321</v>
      </c>
      <c r="H49" s="55">
        <f>ABS(VALUE($L$49)-Autocallable!$B$48)</f>
        <v>140</v>
      </c>
      <c r="I49" s="55">
        <f>ABS(VALUE($L$49)-Autocallable!$B$62)</f>
        <v>44</v>
      </c>
      <c r="J49" s="53" t="s">
        <v>498</v>
      </c>
      <c r="K49" s="53" t="s">
        <v>499</v>
      </c>
      <c r="L49" s="53" t="s">
        <v>500</v>
      </c>
      <c r="M49" s="53">
        <v>0.35</v>
      </c>
      <c r="N49" s="53">
        <v>99.64</v>
      </c>
      <c r="O49" s="139" t="e">
        <f ca="1">_xll.BDH(D49,$P$33:$Q$33,$B$2,$B$2,"Dts=S","cols=3;rows=1")</f>
        <v>#NAME?</v>
      </c>
      <c r="P49" s="50">
        <v>100.374</v>
      </c>
      <c r="Q49" s="57">
        <v>4.8000000000000001E-2</v>
      </c>
      <c r="R49" s="12">
        <v>41785</v>
      </c>
      <c r="S49" s="11">
        <v>7.17</v>
      </c>
      <c r="T49" s="148">
        <v>0.91629392971246004</v>
      </c>
      <c r="U49" s="148">
        <f t="shared" si="6"/>
        <v>7.0901797347042566</v>
      </c>
      <c r="V49" s="278">
        <f t="shared" si="7"/>
        <v>4.063860667634267E-2</v>
      </c>
      <c r="W49" s="278">
        <f t="shared" si="8"/>
        <v>4.0395796797686782E-2</v>
      </c>
    </row>
    <row r="50" spans="1:23" x14ac:dyDescent="0.2">
      <c r="A50" s="8">
        <v>41775</v>
      </c>
      <c r="B50" s="9">
        <v>6.71</v>
      </c>
      <c r="D50" s="292" t="s">
        <v>359</v>
      </c>
      <c r="E50" s="55">
        <f>ABS(VALUE($L$50)-Autocallable!$J$77)</f>
        <v>5966</v>
      </c>
      <c r="F50" s="55">
        <f>ABS(VALUE($L$50)-Autocallable!$B$19)</f>
        <v>6147</v>
      </c>
      <c r="G50" s="55">
        <f>ABS(VALUE($L$50)-Autocallable!$B$34)</f>
        <v>6331</v>
      </c>
      <c r="H50" s="55">
        <f>ABS(VALUE($L$50)-Autocallable!$B$48)</f>
        <v>6512</v>
      </c>
      <c r="I50" s="55">
        <f>ABS(VALUE($L$50)-Autocallable!$B$62)</f>
        <v>6696</v>
      </c>
      <c r="J50" s="53" t="s">
        <v>501</v>
      </c>
      <c r="K50" s="53" t="s">
        <v>502</v>
      </c>
      <c r="L50" s="53" t="s">
        <v>503</v>
      </c>
      <c r="M50" s="53">
        <v>2.95</v>
      </c>
      <c r="N50" s="53">
        <v>99.766000000000005</v>
      </c>
      <c r="O50" s="139" t="e">
        <f ca="1">_xll.BDH(D50,$P$33:$Q$33,$B$2,$B$2,"Dts=S","cols=3;rows=1")</f>
        <v>#NAME?</v>
      </c>
      <c r="P50" s="50">
        <v>95.546000000000006</v>
      </c>
      <c r="Q50" s="57">
        <v>3.2869999999999999</v>
      </c>
      <c r="R50" s="12">
        <v>41786</v>
      </c>
      <c r="S50" s="11">
        <v>7.1849999999999996</v>
      </c>
      <c r="T50" s="148">
        <v>0.91821086261980822</v>
      </c>
      <c r="U50" s="148">
        <f t="shared" si="6"/>
        <v>7.1032911810205128</v>
      </c>
      <c r="V50" s="278">
        <f t="shared" si="7"/>
        <v>2.0920502092049986E-3</v>
      </c>
      <c r="W50" s="278">
        <f t="shared" si="8"/>
        <v>1.8492403305491129E-3</v>
      </c>
    </row>
    <row r="51" spans="1:23" x14ac:dyDescent="0.2">
      <c r="A51" s="8">
        <v>41778</v>
      </c>
      <c r="B51" s="9">
        <v>6.6850000000000005</v>
      </c>
      <c r="D51" s="292" t="s">
        <v>351</v>
      </c>
      <c r="E51" s="55">
        <f>ABS(VALUE($L$51)-Autocallable!$J$77)</f>
        <v>382</v>
      </c>
      <c r="F51" s="55">
        <f>ABS(VALUE($L$51)-Autocallable!$B$19)</f>
        <v>201</v>
      </c>
      <c r="G51" s="55">
        <f>ABS(VALUE($L$51)-Autocallable!$B$34)</f>
        <v>17</v>
      </c>
      <c r="H51" s="55">
        <f>ABS(VALUE($L$51)-Autocallable!$B$48)</f>
        <v>164</v>
      </c>
      <c r="I51" s="55">
        <f>ABS(VALUE($L$51)-Autocallable!$B$62)</f>
        <v>348</v>
      </c>
      <c r="J51" s="53" t="s">
        <v>347</v>
      </c>
      <c r="K51" s="53" t="s">
        <v>348</v>
      </c>
      <c r="L51" s="53" t="s">
        <v>349</v>
      </c>
      <c r="M51" s="53">
        <v>0.05</v>
      </c>
      <c r="N51" s="53">
        <v>100</v>
      </c>
      <c r="O51" s="139" t="e">
        <f ca="1">_xll.BDH(D51,$P$33:$Q$33,$B$2,$B$2,"Dts=S","cols=3;rows=1")</f>
        <v>#NAME?</v>
      </c>
      <c r="P51" s="50">
        <v>99.305999999999997</v>
      </c>
      <c r="Q51" s="57">
        <v>0.38700000000000001</v>
      </c>
      <c r="R51" s="12">
        <v>41787</v>
      </c>
      <c r="S51" s="11">
        <v>7.2249999999999996</v>
      </c>
      <c r="T51" s="148">
        <v>0.92332268370607018</v>
      </c>
      <c r="U51" s="148">
        <f t="shared" si="6"/>
        <v>7.1411115461893191</v>
      </c>
      <c r="V51" s="278">
        <f t="shared" si="7"/>
        <v>5.5671537926236248E-3</v>
      </c>
      <c r="W51" s="278">
        <f t="shared" si="8"/>
        <v>5.3243439139677388E-3</v>
      </c>
    </row>
    <row r="52" spans="1:23" x14ac:dyDescent="0.2">
      <c r="A52" s="8">
        <v>41779</v>
      </c>
      <c r="B52" s="9">
        <v>6.86</v>
      </c>
      <c r="D52" s="292" t="s">
        <v>381</v>
      </c>
      <c r="E52" s="55">
        <f>ABS(VALUE($L$52)-Autocallable!$J$77)</f>
        <v>1856</v>
      </c>
      <c r="F52" s="55">
        <f>ABS(VALUE($L$52)-Autocallable!$B$19)</f>
        <v>2037</v>
      </c>
      <c r="G52" s="55">
        <f>ABS(VALUE($L$52)-Autocallable!$B$34)</f>
        <v>2221</v>
      </c>
      <c r="H52" s="55">
        <f>ABS(VALUE($L$52)-Autocallable!$B$48)</f>
        <v>2402</v>
      </c>
      <c r="I52" s="55">
        <f>ABS(VALUE($L$52)-Autocallable!$B$62)</f>
        <v>2586</v>
      </c>
      <c r="J52" s="53" t="s">
        <v>193</v>
      </c>
      <c r="K52" s="53" t="s">
        <v>194</v>
      </c>
      <c r="L52" s="53" t="s">
        <v>195</v>
      </c>
      <c r="M52" s="53">
        <v>2.2000000000000002</v>
      </c>
      <c r="N52" s="53">
        <v>98.58</v>
      </c>
      <c r="O52" s="139" t="e">
        <f ca="1">_xll.BDH(D52,$P$33:$Q$33,$B$2,$B$2,"Dts=S","cols=3;rows=1")</f>
        <v>#NAME?</v>
      </c>
      <c r="P52" s="50">
        <v>100.246</v>
      </c>
      <c r="Q52" s="57">
        <v>2.1789999999999998</v>
      </c>
      <c r="R52" s="12">
        <v>41788</v>
      </c>
      <c r="S52" s="11">
        <v>7.1749999999999998</v>
      </c>
      <c r="T52" s="148">
        <v>0.91693290734824273</v>
      </c>
      <c r="U52" s="148">
        <f t="shared" si="6"/>
        <v>7.0899581566942667</v>
      </c>
      <c r="V52" s="278">
        <f t="shared" si="7"/>
        <v>-6.9204152249134898E-3</v>
      </c>
      <c r="W52" s="278">
        <f t="shared" si="8"/>
        <v>-7.1632251035693758E-3</v>
      </c>
    </row>
    <row r="53" spans="1:23" x14ac:dyDescent="0.2">
      <c r="A53" s="8">
        <v>41780</v>
      </c>
      <c r="B53" s="9">
        <v>6.8650000000000002</v>
      </c>
      <c r="D53" s="292" t="s">
        <v>370</v>
      </c>
      <c r="E53" s="55">
        <f>ABS(VALUE($L$53)-Autocallable!$J$77)</f>
        <v>9069</v>
      </c>
      <c r="F53" s="55">
        <f>ABS(VALUE($L$53)-Autocallable!$B$19)</f>
        <v>9250</v>
      </c>
      <c r="G53" s="55">
        <f>ABS(VALUE($L$53)-Autocallable!$B$34)</f>
        <v>9434</v>
      </c>
      <c r="H53" s="55">
        <f>ABS(VALUE($L$53)-Autocallable!$B$48)</f>
        <v>9615</v>
      </c>
      <c r="I53" s="55">
        <f>ABS(VALUE($L$53)-Autocallable!$B$62)</f>
        <v>9799</v>
      </c>
      <c r="J53" s="53" t="s">
        <v>181</v>
      </c>
      <c r="K53" s="53" t="s">
        <v>182</v>
      </c>
      <c r="L53" s="53" t="s">
        <v>183</v>
      </c>
      <c r="M53" s="53">
        <v>2.7</v>
      </c>
      <c r="N53" s="53">
        <v>99.182000000000002</v>
      </c>
      <c r="O53" s="139" t="e">
        <f ca="1">_xll.BDH(D53,$P$33:$Q$33,$B$2,$B$2,"Dts=S","cols=3;rows=1")</f>
        <v>#NAME?</v>
      </c>
      <c r="P53" s="50">
        <v>87.754999999999995</v>
      </c>
      <c r="Q53" s="57">
        <v>3.4089999999999998</v>
      </c>
      <c r="R53" s="12">
        <v>41789</v>
      </c>
      <c r="S53" s="11">
        <v>7.35</v>
      </c>
      <c r="T53" s="148">
        <v>0.93929712460063897</v>
      </c>
      <c r="U53" s="148">
        <f t="shared" si="6"/>
        <v>7.2611624535144239</v>
      </c>
      <c r="V53" s="278">
        <f t="shared" si="7"/>
        <v>2.4390243902439046E-2</v>
      </c>
      <c r="W53" s="278">
        <f t="shared" si="8"/>
        <v>2.4147434023783162E-2</v>
      </c>
    </row>
    <row r="54" spans="1:23" x14ac:dyDescent="0.2">
      <c r="A54" s="8">
        <v>41781</v>
      </c>
      <c r="B54" s="9">
        <v>6.67</v>
      </c>
      <c r="D54" s="292" t="s">
        <v>356</v>
      </c>
      <c r="E54" s="55">
        <f>ABS(VALUE($L$54)-Autocallable!$J$77)</f>
        <v>427</v>
      </c>
      <c r="F54" s="55">
        <f>ABS(VALUE($L$54)-Autocallable!$B$19)</f>
        <v>246</v>
      </c>
      <c r="G54" s="55">
        <f>ABS(VALUE($L$54)-Autocallable!$B$34)</f>
        <v>62</v>
      </c>
      <c r="H54" s="55">
        <f>ABS(VALUE($L$54)-Autocallable!$B$48)</f>
        <v>119</v>
      </c>
      <c r="I54" s="55">
        <f>ABS(VALUE($L$54)-Autocallable!$B$62)</f>
        <v>303</v>
      </c>
      <c r="J54" s="53" t="s">
        <v>223</v>
      </c>
      <c r="K54" s="53" t="s">
        <v>224</v>
      </c>
      <c r="L54" s="53" t="s">
        <v>225</v>
      </c>
      <c r="M54" s="53">
        <v>3.75</v>
      </c>
      <c r="N54" s="53">
        <v>99.83</v>
      </c>
      <c r="O54" s="139" t="e">
        <f ca="1">_xll.BDH(D54,$P$33:$Q$33,$B$2,$B$2,"Dts=S","cols=3;rows=1")</f>
        <v>#NAME?</v>
      </c>
      <c r="P54" s="50">
        <v>106.631</v>
      </c>
      <c r="Q54" s="57">
        <v>0.33300000000000002</v>
      </c>
      <c r="R54" s="12">
        <v>41792</v>
      </c>
      <c r="S54" s="11">
        <v>7.41</v>
      </c>
      <c r="T54" s="148">
        <v>0.9469648562300319</v>
      </c>
      <c r="U54" s="148">
        <f t="shared" si="6"/>
        <v>7.3186741670790783</v>
      </c>
      <c r="V54" s="278">
        <f t="shared" si="7"/>
        <v>8.1632653061225469E-3</v>
      </c>
      <c r="W54" s="278">
        <f t="shared" si="8"/>
        <v>7.9204554274666609E-3</v>
      </c>
    </row>
    <row r="55" spans="1:23" x14ac:dyDescent="0.2">
      <c r="A55" s="8">
        <v>41782</v>
      </c>
      <c r="B55" s="9">
        <v>6.89</v>
      </c>
      <c r="D55" s="292" t="s">
        <v>358</v>
      </c>
      <c r="E55" s="55">
        <f>ABS(VALUE($L$55)-Autocallable!$J$77)</f>
        <v>1917</v>
      </c>
      <c r="F55" s="55">
        <f>ABS(VALUE($L$55)-Autocallable!$B$19)</f>
        <v>2098</v>
      </c>
      <c r="G55" s="55">
        <f>ABS(VALUE($L$55)-Autocallable!$B$34)</f>
        <v>2282</v>
      </c>
      <c r="H55" s="55">
        <f>ABS(VALUE($L$55)-Autocallable!$B$48)</f>
        <v>2463</v>
      </c>
      <c r="I55" s="55">
        <f>ABS(VALUE($L$55)-Autocallable!$B$62)</f>
        <v>2647</v>
      </c>
      <c r="J55" s="53" t="s">
        <v>169</v>
      </c>
      <c r="K55" s="53" t="s">
        <v>170</v>
      </c>
      <c r="L55" s="53" t="s">
        <v>171</v>
      </c>
      <c r="M55" s="53">
        <v>2.0499999999999998</v>
      </c>
      <c r="N55" s="53">
        <v>99.08</v>
      </c>
      <c r="O55" s="139" t="e">
        <f ca="1">_xll.BDH(D55,$P$33:$Q$33,$B$2,$B$2,"Dts=S","cols=3;rows=1")</f>
        <v>#NAME?</v>
      </c>
      <c r="P55" s="50">
        <v>98.885000000000005</v>
      </c>
      <c r="Q55" s="57">
        <v>2.2080000000000002</v>
      </c>
      <c r="R55" s="12">
        <v>41793</v>
      </c>
      <c r="S55" s="11">
        <v>7.2850000000000001</v>
      </c>
      <c r="T55" s="148">
        <v>0.93099041533546323</v>
      </c>
      <c r="U55" s="148">
        <f t="shared" si="6"/>
        <v>7.1934377049187095</v>
      </c>
      <c r="V55" s="278">
        <f t="shared" si="7"/>
        <v>-1.686909581646423E-2</v>
      </c>
      <c r="W55" s="278">
        <f t="shared" si="8"/>
        <v>-1.7111905695120114E-2</v>
      </c>
    </row>
    <row r="56" spans="1:23" x14ac:dyDescent="0.2">
      <c r="A56" s="8">
        <v>41785</v>
      </c>
      <c r="B56" s="9">
        <v>7.17</v>
      </c>
      <c r="D56" s="292" t="s">
        <v>399</v>
      </c>
      <c r="E56" s="55">
        <f>ABS(VALUE($L$56)-Autocallable!$J$77)</f>
        <v>669</v>
      </c>
      <c r="F56" s="55">
        <f>ABS(VALUE($L$56)-Autocallable!$B$19)</f>
        <v>850</v>
      </c>
      <c r="G56" s="55">
        <f>ABS(VALUE($L$56)-Autocallable!$B$34)</f>
        <v>1034</v>
      </c>
      <c r="H56" s="55">
        <f>ABS(VALUE($L$56)-Autocallable!$B$48)</f>
        <v>1215</v>
      </c>
      <c r="I56" s="55">
        <f>ABS(VALUE($L$56)-Autocallable!$B$62)</f>
        <v>1399</v>
      </c>
      <c r="J56" s="53" t="s">
        <v>256</v>
      </c>
      <c r="K56" s="53" t="s">
        <v>257</v>
      </c>
      <c r="L56" s="53" t="s">
        <v>258</v>
      </c>
      <c r="M56" s="53">
        <v>4.5</v>
      </c>
      <c r="N56" s="53">
        <v>100.77</v>
      </c>
      <c r="O56" s="139" t="e">
        <f ca="1">_xll.BDH(D56,$P$33:$Q$33,$B$2,$B$2,"Dts=S","cols=3;rows=1")</f>
        <v>#NAME?</v>
      </c>
      <c r="P56" s="50">
        <v>113.973</v>
      </c>
      <c r="Q56" s="57">
        <v>1.5609999999999999</v>
      </c>
      <c r="R56" s="12">
        <v>41794</v>
      </c>
      <c r="S56" s="11">
        <v>7.35</v>
      </c>
      <c r="T56" s="148">
        <v>0.93929712460063897</v>
      </c>
      <c r="U56" s="148">
        <f t="shared" si="6"/>
        <v>7.2558741077891451</v>
      </c>
      <c r="V56" s="278">
        <f t="shared" si="7"/>
        <v>8.9224433768015921E-3</v>
      </c>
      <c r="W56" s="278">
        <f t="shared" si="8"/>
        <v>8.6796334981457061E-3</v>
      </c>
    </row>
    <row r="57" spans="1:23" x14ac:dyDescent="0.2">
      <c r="A57" s="8">
        <v>41786</v>
      </c>
      <c r="B57" s="9">
        <v>7.1849999999999996</v>
      </c>
      <c r="D57" s="292" t="s">
        <v>362</v>
      </c>
      <c r="E57" s="55">
        <f>ABS(VALUE($L$57)-Autocallable!$J$77)</f>
        <v>2860</v>
      </c>
      <c r="F57" s="55">
        <f>ABS(VALUE($L$57)-Autocallable!$B$19)</f>
        <v>3041</v>
      </c>
      <c r="G57" s="55">
        <f>ABS(VALUE($L$57)-Autocallable!$B$34)</f>
        <v>3225</v>
      </c>
      <c r="H57" s="55">
        <f>ABS(VALUE($L$57)-Autocallable!$B$48)</f>
        <v>3406</v>
      </c>
      <c r="I57" s="55">
        <f>ABS(VALUE($L$57)-Autocallable!$B$62)</f>
        <v>3590</v>
      </c>
      <c r="J57" s="53" t="s">
        <v>235</v>
      </c>
      <c r="K57" s="53" t="s">
        <v>236</v>
      </c>
      <c r="L57" s="53" t="s">
        <v>237</v>
      </c>
      <c r="M57" s="53">
        <v>3.5</v>
      </c>
      <c r="N57" s="53">
        <v>99.471000000000004</v>
      </c>
      <c r="O57" s="139" t="e">
        <f ca="1">_xll.BDH(D57,$P$33:$Q$33,$B$2,$B$2,"Dts=S","cols=3;rows=1")</f>
        <v>#NAME?</v>
      </c>
      <c r="P57" s="50">
        <v>108</v>
      </c>
      <c r="Q57" s="57">
        <v>2.6710000000000003</v>
      </c>
      <c r="R57" s="12">
        <v>41795</v>
      </c>
      <c r="S57" s="11">
        <v>7.6449999999999996</v>
      </c>
      <c r="T57" s="148">
        <v>0.97699680511182097</v>
      </c>
      <c r="U57" s="148">
        <f t="shared" si="6"/>
        <v>7.5453344679452163</v>
      </c>
      <c r="V57" s="278">
        <f t="shared" si="7"/>
        <v>4.0136054421768597E-2</v>
      </c>
      <c r="W57" s="278">
        <f t="shared" si="8"/>
        <v>3.9893244543112709E-2</v>
      </c>
    </row>
    <row r="58" spans="1:23" x14ac:dyDescent="0.2">
      <c r="A58" s="8">
        <v>41787</v>
      </c>
      <c r="B58" s="9">
        <v>7.2249999999999996</v>
      </c>
      <c r="D58" s="292" t="s">
        <v>360</v>
      </c>
      <c r="E58" s="55">
        <f>ABS(VALUE($L$58)-Autocallable!$J$77)</f>
        <v>531</v>
      </c>
      <c r="F58" s="55">
        <f>ABS(VALUE($L$58)-Autocallable!$B$19)</f>
        <v>712</v>
      </c>
      <c r="G58" s="55">
        <f>ABS(VALUE($L$58)-Autocallable!$B$34)</f>
        <v>896</v>
      </c>
      <c r="H58" s="55">
        <f>ABS(VALUE($L$58)-Autocallable!$B$48)</f>
        <v>1077</v>
      </c>
      <c r="I58" s="55">
        <f>ABS(VALUE($L$58)-Autocallable!$B$62)</f>
        <v>1261</v>
      </c>
      <c r="J58" s="53" t="s">
        <v>196</v>
      </c>
      <c r="K58" s="53" t="s">
        <v>197</v>
      </c>
      <c r="L58" s="53" t="s">
        <v>198</v>
      </c>
      <c r="M58" s="53">
        <v>0.65</v>
      </c>
      <c r="N58" s="53">
        <v>99.7</v>
      </c>
      <c r="O58" s="139" t="e">
        <f ca="1">_xll.BDH(D58,$P$33:$Q$33,$B$2,$B$2,"Dts=S","cols=3;rows=1")</f>
        <v>#NAME?</v>
      </c>
      <c r="P58" s="50">
        <v>97.171000000000006</v>
      </c>
      <c r="Q58" s="57">
        <v>1.2929999999999999</v>
      </c>
      <c r="R58" s="12">
        <v>41796</v>
      </c>
      <c r="S58" s="11">
        <v>8.0150000000000006</v>
      </c>
      <c r="T58" s="148">
        <v>1.0242811501597444</v>
      </c>
      <c r="U58" s="148">
        <f t="shared" si="6"/>
        <v>7.9086788091076921</v>
      </c>
      <c r="V58" s="278">
        <f t="shared" si="7"/>
        <v>4.8397645519947741E-2</v>
      </c>
      <c r="W58" s="278">
        <f t="shared" si="8"/>
        <v>4.8154835641291853E-2</v>
      </c>
    </row>
    <row r="59" spans="1:23" x14ac:dyDescent="0.2">
      <c r="A59" s="8">
        <v>41788</v>
      </c>
      <c r="B59" s="9">
        <v>7.1749999999999998</v>
      </c>
      <c r="D59" s="292" t="s">
        <v>365</v>
      </c>
      <c r="E59" s="55">
        <f>ABS(VALUE($L$59)-Autocallable!$J$77)</f>
        <v>1674</v>
      </c>
      <c r="F59" s="55">
        <f>ABS(VALUE($L$59)-Autocallable!$B$19)</f>
        <v>1855</v>
      </c>
      <c r="G59" s="55">
        <f>ABS(VALUE($L$59)-Autocallable!$B$34)</f>
        <v>2039</v>
      </c>
      <c r="H59" s="55">
        <f>ABS(VALUE($L$59)-Autocallable!$B$48)</f>
        <v>2220</v>
      </c>
      <c r="I59" s="55">
        <f>ABS(VALUE($L$59)-Autocallable!$B$62)</f>
        <v>2404</v>
      </c>
      <c r="J59" s="53" t="s">
        <v>199</v>
      </c>
      <c r="K59" s="53" t="s">
        <v>200</v>
      </c>
      <c r="L59" s="53" t="s">
        <v>201</v>
      </c>
      <c r="M59" s="53">
        <v>1.25</v>
      </c>
      <c r="N59" s="53">
        <v>100.18</v>
      </c>
      <c r="O59" s="139" t="e">
        <f ca="1">_xll.BDH(D59,$P$33:$Q$33,$B$2,$B$2,"Dts=S","cols=3;rows=1")</f>
        <v>#NAME?</v>
      </c>
      <c r="P59" s="50">
        <v>94.831000000000003</v>
      </c>
      <c r="Q59" s="57">
        <v>1.9870000000000001</v>
      </c>
      <c r="R59" s="12">
        <v>41799</v>
      </c>
      <c r="S59" s="11">
        <v>7.98</v>
      </c>
      <c r="T59" s="148">
        <v>1.0198083067092651</v>
      </c>
      <c r="U59" s="148">
        <f t="shared" si="6"/>
        <v>7.8722227884421097</v>
      </c>
      <c r="V59" s="278">
        <f t="shared" si="7"/>
        <v>-4.366812227074246E-3</v>
      </c>
      <c r="W59" s="278">
        <f t="shared" si="8"/>
        <v>-4.609622105730132E-3</v>
      </c>
    </row>
    <row r="60" spans="1:23" x14ac:dyDescent="0.2">
      <c r="A60" s="8">
        <v>41789</v>
      </c>
      <c r="B60" s="9">
        <v>7.35</v>
      </c>
      <c r="D60" s="292" t="s">
        <v>395</v>
      </c>
      <c r="E60" s="55">
        <f>ABS(VALUE($L$60)-Autocallable!$J$77)</f>
        <v>62</v>
      </c>
      <c r="F60" s="55">
        <f>ABS(VALUE($L$60)-Autocallable!$B$19)</f>
        <v>119</v>
      </c>
      <c r="G60" s="55">
        <f>ABS(VALUE($L$60)-Autocallable!$B$34)</f>
        <v>303</v>
      </c>
      <c r="H60" s="55">
        <f>ABS(VALUE($L$60)-Autocallable!$B$48)</f>
        <v>484</v>
      </c>
      <c r="I60" s="55">
        <f>ABS(VALUE($L$60)-Autocallable!$B$62)</f>
        <v>668</v>
      </c>
      <c r="J60" s="53" t="s">
        <v>295</v>
      </c>
      <c r="K60" s="53" t="s">
        <v>296</v>
      </c>
      <c r="L60" s="53" t="s">
        <v>297</v>
      </c>
      <c r="M60" s="53">
        <v>5</v>
      </c>
      <c r="N60" s="53">
        <v>98.75</v>
      </c>
      <c r="O60" s="139" t="e">
        <f ca="1">_xll.BDH(D60,$P$33:$Q$33,$B$2,$B$2,"Dts=S","cols=3;rows=1")</f>
        <v>#NAME?</v>
      </c>
      <c r="P60" s="50">
        <v>112.086</v>
      </c>
      <c r="Q60" s="57">
        <v>0.84299999999999997</v>
      </c>
      <c r="R60" s="12">
        <v>41800</v>
      </c>
      <c r="S60" s="11">
        <v>7.98</v>
      </c>
      <c r="T60" s="148">
        <v>1.0198083067092651</v>
      </c>
      <c r="U60" s="148">
        <f t="shared" si="6"/>
        <v>7.8703113349820963</v>
      </c>
      <c r="V60" s="278">
        <f t="shared" si="7"/>
        <v>0</v>
      </c>
      <c r="W60" s="278">
        <f t="shared" si="8"/>
        <v>-2.4280987865588565E-4</v>
      </c>
    </row>
    <row r="61" spans="1:23" x14ac:dyDescent="0.2">
      <c r="A61" s="8">
        <v>41792</v>
      </c>
      <c r="B61" s="9">
        <v>7.41</v>
      </c>
      <c r="D61" s="292" t="s">
        <v>369</v>
      </c>
      <c r="E61" s="55">
        <f>ABS(VALUE($L$61)-Autocallable!$J$77)</f>
        <v>366</v>
      </c>
      <c r="F61" s="55">
        <f>ABS(VALUE($L$61)-Autocallable!$B$19)</f>
        <v>185</v>
      </c>
      <c r="G61" s="55">
        <f>ABS(VALUE($L$61)-Autocallable!$B$34)</f>
        <v>1</v>
      </c>
      <c r="H61" s="55">
        <f>ABS(VALUE($L$61)-Autocallable!$B$48)</f>
        <v>180</v>
      </c>
      <c r="I61" s="55">
        <f>ABS(VALUE($L$61)-Autocallable!$B$62)</f>
        <v>364</v>
      </c>
      <c r="J61" s="53" t="s">
        <v>301</v>
      </c>
      <c r="K61" s="53" t="s">
        <v>302</v>
      </c>
      <c r="L61" s="53" t="s">
        <v>303</v>
      </c>
      <c r="M61" s="53">
        <v>3.75</v>
      </c>
      <c r="N61" s="53">
        <v>100.13800000000001</v>
      </c>
      <c r="O61" s="139" t="e">
        <f ca="1">_xll.BDH(D61,$P$33:$Q$33,$B$2,$B$2,"Dts=S","cols=3;rows=1")</f>
        <v>#NAME?</v>
      </c>
      <c r="P61" s="50">
        <v>106.999</v>
      </c>
      <c r="Q61" s="57">
        <v>0.42299999999999999</v>
      </c>
      <c r="R61" s="12">
        <v>41801</v>
      </c>
      <c r="S61" s="11">
        <v>7.75</v>
      </c>
      <c r="T61" s="148">
        <v>0.99041533546325877</v>
      </c>
      <c r="U61" s="148">
        <f t="shared" si="6"/>
        <v>7.641561798393008</v>
      </c>
      <c r="V61" s="278">
        <f t="shared" si="7"/>
        <v>-2.8822055137844638E-2</v>
      </c>
      <c r="W61" s="278">
        <f t="shared" si="8"/>
        <v>-2.9064865016500522E-2</v>
      </c>
    </row>
    <row r="62" spans="1:23" x14ac:dyDescent="0.2">
      <c r="A62" s="8">
        <v>41793</v>
      </c>
      <c r="B62" s="9">
        <v>7.2850000000000001</v>
      </c>
      <c r="D62" s="292" t="s">
        <v>367</v>
      </c>
      <c r="E62" s="55">
        <f>ABS(VALUE($L$62)-Autocallable!$J$77)</f>
        <v>136</v>
      </c>
      <c r="F62" s="55">
        <f>ABS(VALUE($L$62)-Autocallable!$B$19)</f>
        <v>317</v>
      </c>
      <c r="G62" s="55">
        <f>ABS(VALUE($L$62)-Autocallable!$B$34)</f>
        <v>501</v>
      </c>
      <c r="H62" s="55">
        <f>ABS(VALUE($L$62)-Autocallable!$B$48)</f>
        <v>682</v>
      </c>
      <c r="I62" s="55">
        <f>ABS(VALUE($L$62)-Autocallable!$B$62)</f>
        <v>866</v>
      </c>
      <c r="J62" s="53" t="s">
        <v>262</v>
      </c>
      <c r="K62" s="53" t="s">
        <v>263</v>
      </c>
      <c r="L62" s="53" t="s">
        <v>264</v>
      </c>
      <c r="M62" s="53">
        <v>1.45</v>
      </c>
      <c r="N62" s="53">
        <v>100.54</v>
      </c>
      <c r="O62" s="139" t="e">
        <f ca="1">_xll.BDH(D62,$P$33:$Q$33,$B$2,$B$2,"Dts=S","cols=3;rows=1")</f>
        <v>#NAME?</v>
      </c>
      <c r="P62" s="50">
        <v>101.54600000000001</v>
      </c>
      <c r="Q62" s="57">
        <v>1</v>
      </c>
      <c r="R62" s="12">
        <v>41802</v>
      </c>
      <c r="S62" s="11">
        <v>7.7549999999999999</v>
      </c>
      <c r="T62" s="148">
        <v>0.99105431309904146</v>
      </c>
      <c r="U62" s="148">
        <f t="shared" si="6"/>
        <v>7.6446363915699296</v>
      </c>
      <c r="V62" s="278">
        <f t="shared" si="7"/>
        <v>6.4516129032266001E-4</v>
      </c>
      <c r="W62" s="278">
        <f t="shared" si="8"/>
        <v>4.0235141166677436E-4</v>
      </c>
    </row>
    <row r="63" spans="1:23" x14ac:dyDescent="0.2">
      <c r="A63" s="8">
        <v>41794</v>
      </c>
      <c r="B63" s="9">
        <v>7.35</v>
      </c>
      <c r="D63" s="292" t="s">
        <v>389</v>
      </c>
      <c r="E63" s="55">
        <f>ABS(VALUE($L$63)-Autocallable!$J$77)</f>
        <v>1309</v>
      </c>
      <c r="F63" s="55">
        <f>ABS(VALUE($L$63)-Autocallable!$B$19)</f>
        <v>1490</v>
      </c>
      <c r="G63" s="55">
        <f>ABS(VALUE($L$63)-Autocallable!$B$34)</f>
        <v>1674</v>
      </c>
      <c r="H63" s="55">
        <f>ABS(VALUE($L$63)-Autocallable!$B$48)</f>
        <v>1855</v>
      </c>
      <c r="I63" s="55">
        <f>ABS(VALUE($L$63)-Autocallable!$B$62)</f>
        <v>2039</v>
      </c>
      <c r="J63" s="53" t="s">
        <v>226</v>
      </c>
      <c r="K63" s="53" t="s">
        <v>227</v>
      </c>
      <c r="L63" s="53" t="s">
        <v>228</v>
      </c>
      <c r="M63" s="53">
        <v>2</v>
      </c>
      <c r="N63" s="53">
        <v>100.51</v>
      </c>
      <c r="O63" s="139" t="e">
        <f ca="1">_xll.BDH(D63,$P$33:$Q$33,$B$2,$B$2,"Dts=S","cols=3;rows=1")</f>
        <v>#NAME?</v>
      </c>
      <c r="P63" s="50">
        <v>100.678</v>
      </c>
      <c r="Q63" s="57">
        <v>1.9</v>
      </c>
      <c r="R63" s="12">
        <v>41803</v>
      </c>
      <c r="S63" s="11">
        <v>7.82</v>
      </c>
      <c r="T63" s="148">
        <v>0.99936102236421731</v>
      </c>
      <c r="U63" s="148">
        <f t="shared" si="6"/>
        <v>7.7068551648668571</v>
      </c>
      <c r="V63" s="278">
        <f t="shared" si="7"/>
        <v>8.3816892327530645E-3</v>
      </c>
      <c r="W63" s="278">
        <f t="shared" si="8"/>
        <v>8.1388793540971786E-3</v>
      </c>
    </row>
    <row r="64" spans="1:23" ht="13.15" customHeight="1" x14ac:dyDescent="0.2">
      <c r="A64" s="8">
        <v>41795</v>
      </c>
      <c r="B64" s="9">
        <v>7.6449999999999996</v>
      </c>
      <c r="D64" s="292" t="s">
        <v>406</v>
      </c>
      <c r="E64" s="55">
        <f>ABS(VALUE($L$64)-Autocallable!$J$77)</f>
        <v>8158</v>
      </c>
      <c r="F64" s="55">
        <f>ABS(VALUE($L$64)-Autocallable!$B$19)</f>
        <v>8339</v>
      </c>
      <c r="G64" s="55">
        <f>ABS(VALUE($L$64)-Autocallable!$B$34)</f>
        <v>8523</v>
      </c>
      <c r="H64" s="55">
        <f>ABS(VALUE($L$64)-Autocallable!$B$48)</f>
        <v>8704</v>
      </c>
      <c r="I64" s="55">
        <f>ABS(VALUE($L$64)-Autocallable!$B$62)</f>
        <v>8888</v>
      </c>
      <c r="J64" s="53" t="s">
        <v>289</v>
      </c>
      <c r="K64" s="53" t="s">
        <v>290</v>
      </c>
      <c r="L64" s="53" t="s">
        <v>291</v>
      </c>
      <c r="M64" s="53">
        <v>4.75</v>
      </c>
      <c r="N64" s="53">
        <v>97.221000000000004</v>
      </c>
      <c r="O64" s="139" t="e">
        <f ca="1">_xll.BDH(D64,$P$33:$Q$33,$B$2,$B$2,"Dts=S","cols=3;rows=1")</f>
        <v>#NAME?</v>
      </c>
      <c r="P64" s="50">
        <v>120.566</v>
      </c>
      <c r="Q64" s="57">
        <v>3.5510000000000002</v>
      </c>
      <c r="R64" s="12">
        <v>41806</v>
      </c>
      <c r="S64" s="11">
        <v>7.6950000000000003</v>
      </c>
      <c r="T64" s="148">
        <v>0.98338658146964852</v>
      </c>
      <c r="U64" s="148">
        <f t="shared" si="6"/>
        <v>7.5817924454237078</v>
      </c>
      <c r="V64" s="278">
        <f t="shared" si="7"/>
        <v>-1.5984654731457826E-2</v>
      </c>
      <c r="W64" s="278">
        <f t="shared" si="8"/>
        <v>-1.622746461011371E-2</v>
      </c>
    </row>
    <row r="65" spans="1:23" x14ac:dyDescent="0.2">
      <c r="A65" s="8">
        <v>41796</v>
      </c>
      <c r="B65" s="9">
        <v>8.0150000000000006</v>
      </c>
      <c r="D65" s="292" t="s">
        <v>391</v>
      </c>
      <c r="E65" s="55">
        <f>ABS(VALUE($L$65)-Autocallable!$J$77)</f>
        <v>4140</v>
      </c>
      <c r="F65" s="55">
        <f>ABS(VALUE($L$65)-Autocallable!$B$19)</f>
        <v>4321</v>
      </c>
      <c r="G65" s="55">
        <f>ABS(VALUE($L$65)-Autocallable!$B$34)</f>
        <v>4505</v>
      </c>
      <c r="H65" s="55">
        <f>ABS(VALUE($L$65)-Autocallable!$B$48)</f>
        <v>4686</v>
      </c>
      <c r="I65" s="55">
        <f>ABS(VALUE($L$65)-Autocallable!$B$62)</f>
        <v>4870</v>
      </c>
      <c r="J65" s="53" t="s">
        <v>205</v>
      </c>
      <c r="K65" s="53" t="s">
        <v>206</v>
      </c>
      <c r="L65" s="53" t="s">
        <v>207</v>
      </c>
      <c r="M65" s="53">
        <v>2.4500000000000002</v>
      </c>
      <c r="N65" s="53">
        <v>99.131</v>
      </c>
      <c r="O65" s="139" t="e">
        <f ca="1">_xll.BDH(D65,$P$33:$Q$33,$B$2,$B$2,"Dts=S","cols=3;rows=1")</f>
        <v>#NAME?</v>
      </c>
      <c r="P65" s="50">
        <v>94.766000000000005</v>
      </c>
      <c r="Q65" s="57">
        <v>2.9169999999999998</v>
      </c>
      <c r="R65" s="12">
        <v>41807</v>
      </c>
      <c r="S65" s="11">
        <v>7.665</v>
      </c>
      <c r="T65" s="148">
        <v>0.97955271565495206</v>
      </c>
      <c r="U65" s="148">
        <f t="shared" si="6"/>
        <v>7.5503928663086421</v>
      </c>
      <c r="V65" s="278">
        <f t="shared" si="7"/>
        <v>-3.8986354775828458E-3</v>
      </c>
      <c r="W65" s="278">
        <f t="shared" si="8"/>
        <v>-4.1414453562387318E-3</v>
      </c>
    </row>
    <row r="66" spans="1:23" x14ac:dyDescent="0.2">
      <c r="A66" s="8">
        <v>41799</v>
      </c>
      <c r="B66" s="9">
        <v>7.98</v>
      </c>
      <c r="D66" s="292" t="s">
        <v>390</v>
      </c>
      <c r="E66" s="55">
        <f>ABS(VALUE($L$66)-Autocallable!$J$77)</f>
        <v>31</v>
      </c>
      <c r="F66" s="55">
        <f>ABS(VALUE($L$66)-Autocallable!$B$19)</f>
        <v>150</v>
      </c>
      <c r="G66" s="55">
        <f>ABS(VALUE($L$66)-Autocallable!$B$34)</f>
        <v>334</v>
      </c>
      <c r="H66" s="55">
        <f>ABS(VALUE($L$66)-Autocallable!$B$48)</f>
        <v>515</v>
      </c>
      <c r="I66" s="55">
        <f>ABS(VALUE($L$66)-Autocallable!$B$62)</f>
        <v>699</v>
      </c>
      <c r="J66" s="53" t="s">
        <v>259</v>
      </c>
      <c r="K66" s="53" t="s">
        <v>260</v>
      </c>
      <c r="L66" s="53" t="s">
        <v>261</v>
      </c>
      <c r="M66" s="53">
        <v>1.2</v>
      </c>
      <c r="N66" s="53">
        <v>100.46</v>
      </c>
      <c r="O66" s="139" t="e">
        <f ca="1">_xll.BDH(D66,$P$33:$Q$33,$B$2,$B$2,"Dts=S","cols=3;rows=1")</f>
        <v>#NAME?</v>
      </c>
      <c r="P66" s="50">
        <v>101.075</v>
      </c>
      <c r="Q66" s="57">
        <v>0.84199999999999997</v>
      </c>
      <c r="R66" s="12">
        <v>41808</v>
      </c>
      <c r="S66" s="11">
        <v>7.6950000000000003</v>
      </c>
      <c r="T66" s="148">
        <v>0.98338658146964852</v>
      </c>
      <c r="U66" s="148">
        <f t="shared" si="6"/>
        <v>7.5781109961228275</v>
      </c>
      <c r="V66" s="278">
        <f t="shared" si="7"/>
        <v>3.9138943248533398E-3</v>
      </c>
      <c r="W66" s="278">
        <f t="shared" si="8"/>
        <v>3.6710844461974538E-3</v>
      </c>
    </row>
    <row r="67" spans="1:23" x14ac:dyDescent="0.2">
      <c r="A67" s="8">
        <v>41800</v>
      </c>
      <c r="B67" s="9">
        <v>7.98</v>
      </c>
      <c r="D67" s="292" t="s">
        <v>371</v>
      </c>
      <c r="E67" s="55">
        <f>ABS(VALUE($L$67)-Autocallable!$J$77)</f>
        <v>3591</v>
      </c>
      <c r="F67" s="55">
        <f>ABS(VALUE($L$67)-Autocallable!$B$19)</f>
        <v>3772</v>
      </c>
      <c r="G67" s="55">
        <f>ABS(VALUE($L$67)-Autocallable!$B$34)</f>
        <v>3956</v>
      </c>
      <c r="H67" s="55">
        <f>ABS(VALUE($L$67)-Autocallable!$B$48)</f>
        <v>4137</v>
      </c>
      <c r="I67" s="55">
        <f>ABS(VALUE($L$67)-Autocallable!$B$62)</f>
        <v>4321</v>
      </c>
      <c r="J67" s="53" t="s">
        <v>211</v>
      </c>
      <c r="K67" s="53" t="s">
        <v>212</v>
      </c>
      <c r="L67" s="53" t="s">
        <v>213</v>
      </c>
      <c r="M67" s="53">
        <v>1.65</v>
      </c>
      <c r="N67" s="53">
        <v>99.501000000000005</v>
      </c>
      <c r="O67" s="139" t="e">
        <f ca="1">_xll.BDH(D67,$P$33:$Q$33,$B$2,$B$2,"Dts=S","cols=3;rows=1")</f>
        <v>#NAME?</v>
      </c>
      <c r="P67" s="50">
        <v>88.206999999999994</v>
      </c>
      <c r="Q67" s="57">
        <v>2.7570000000000001</v>
      </c>
      <c r="R67" s="12">
        <v>41809</v>
      </c>
      <c r="S67" s="11">
        <v>7.8250000000000002</v>
      </c>
      <c r="T67" s="148">
        <v>1</v>
      </c>
      <c r="U67" s="148">
        <f t="shared" si="6"/>
        <v>7.7042962229024452</v>
      </c>
      <c r="V67" s="278">
        <f t="shared" si="7"/>
        <v>1.6894087069525554E-2</v>
      </c>
      <c r="W67" s="278">
        <f t="shared" si="8"/>
        <v>1.665127719086967E-2</v>
      </c>
    </row>
    <row r="68" spans="1:23" x14ac:dyDescent="0.2">
      <c r="A68" s="8">
        <v>41801</v>
      </c>
      <c r="B68" s="9">
        <v>7.75</v>
      </c>
      <c r="D68" s="292" t="s">
        <v>377</v>
      </c>
      <c r="E68" s="55">
        <f>ABS(VALUE($L$68)-Autocallable!$J$77)</f>
        <v>1109</v>
      </c>
      <c r="F68" s="55">
        <f>ABS(VALUE($L$68)-Autocallable!$B$19)</f>
        <v>1290</v>
      </c>
      <c r="G68" s="55">
        <f>ABS(VALUE($L$68)-Autocallable!$B$34)</f>
        <v>1474</v>
      </c>
      <c r="H68" s="55">
        <f>ABS(VALUE($L$68)-Autocallable!$B$48)</f>
        <v>1655</v>
      </c>
      <c r="I68" s="55">
        <f>ABS(VALUE($L$68)-Autocallable!$B$62)</f>
        <v>1839</v>
      </c>
      <c r="J68" s="53" t="s">
        <v>344</v>
      </c>
      <c r="K68" s="53" t="s">
        <v>345</v>
      </c>
      <c r="L68" s="53" t="s">
        <v>346</v>
      </c>
      <c r="M68" s="53">
        <v>1.45</v>
      </c>
      <c r="N68" s="53">
        <v>99.92</v>
      </c>
      <c r="O68" s="139" t="e">
        <f ca="1">_xll.BDH(D68,$P$33:$Q$33,$B$2,$B$2,"Dts=S","cols=3;rows=1")</f>
        <v>#NAME?</v>
      </c>
      <c r="P68" s="50">
        <v>97.885999999999996</v>
      </c>
      <c r="Q68" s="57">
        <v>1.823</v>
      </c>
      <c r="R68" s="12">
        <v>41810</v>
      </c>
      <c r="S68" s="11">
        <v>7.5949999999999998</v>
      </c>
      <c r="T68" s="148">
        <v>0.97060702875399352</v>
      </c>
      <c r="U68" s="148">
        <f t="shared" si="6"/>
        <v>7.4759733863209457</v>
      </c>
      <c r="V68" s="278">
        <f t="shared" si="7"/>
        <v>-2.9392971246006483E-2</v>
      </c>
      <c r="W68" s="278">
        <f t="shared" si="8"/>
        <v>-2.9635781124662367E-2</v>
      </c>
    </row>
    <row r="69" spans="1:23" x14ac:dyDescent="0.2">
      <c r="A69" s="8">
        <v>41802</v>
      </c>
      <c r="B69" s="9">
        <v>7.7549999999999999</v>
      </c>
      <c r="D69" s="292" t="s">
        <v>401</v>
      </c>
      <c r="E69" s="55">
        <f>ABS(VALUE($L$69)-Autocallable!$J$77)</f>
        <v>2740</v>
      </c>
      <c r="F69" s="55">
        <f>ABS(VALUE($L$69)-Autocallable!$B$19)</f>
        <v>2921</v>
      </c>
      <c r="G69" s="55">
        <f>ABS(VALUE($L$69)-Autocallable!$B$34)</f>
        <v>3105</v>
      </c>
      <c r="H69" s="55">
        <f>ABS(VALUE($L$69)-Autocallable!$B$48)</f>
        <v>3286</v>
      </c>
      <c r="I69" s="55">
        <f>ABS(VALUE($L$69)-Autocallable!$B$62)</f>
        <v>3470</v>
      </c>
      <c r="J69" s="53" t="s">
        <v>292</v>
      </c>
      <c r="K69" s="53" t="s">
        <v>293</v>
      </c>
      <c r="L69" s="53" t="s">
        <v>294</v>
      </c>
      <c r="M69" s="53">
        <v>5.25</v>
      </c>
      <c r="N69" s="53">
        <v>99.7</v>
      </c>
      <c r="O69" s="139" t="e">
        <f ca="1">_xll.BDH(D69,$P$33:$Q$33,$B$2,$B$2,"Dts=S","cols=3;rows=1")</f>
        <v>#NAME?</v>
      </c>
      <c r="P69" s="50">
        <v>124.572</v>
      </c>
      <c r="Q69" s="57">
        <v>2.6040000000000001</v>
      </c>
      <c r="R69" s="12">
        <v>41813</v>
      </c>
      <c r="S69" s="11">
        <v>7.5600000000000005</v>
      </c>
      <c r="T69" s="148">
        <v>0.96613418530351447</v>
      </c>
      <c r="U69" s="148">
        <f t="shared" si="6"/>
        <v>7.4397066558706362</v>
      </c>
      <c r="V69" s="278">
        <f t="shared" si="7"/>
        <v>-4.6082949308754451E-3</v>
      </c>
      <c r="W69" s="278">
        <f t="shared" si="8"/>
        <v>-4.851104809531331E-3</v>
      </c>
    </row>
    <row r="70" spans="1:23" x14ac:dyDescent="0.2">
      <c r="A70" s="8">
        <v>41803</v>
      </c>
      <c r="B70" s="9">
        <v>7.82</v>
      </c>
      <c r="D70" s="292" t="s">
        <v>385</v>
      </c>
      <c r="E70" s="55">
        <f>ABS(VALUE($L$70)-Autocallable!$J$77)</f>
        <v>8888</v>
      </c>
      <c r="F70" s="55">
        <f>ABS(VALUE($L$70)-Autocallable!$B$19)</f>
        <v>9069</v>
      </c>
      <c r="G70" s="55">
        <f>ABS(VALUE($L$70)-Autocallable!$B$34)</f>
        <v>9253</v>
      </c>
      <c r="H70" s="55">
        <f>ABS(VALUE($L$70)-Autocallable!$B$48)</f>
        <v>9434</v>
      </c>
      <c r="I70" s="55">
        <f>ABS(VALUE($L$70)-Autocallable!$B$62)</f>
        <v>9618</v>
      </c>
      <c r="J70" s="53" t="s">
        <v>208</v>
      </c>
      <c r="K70" s="53" t="s">
        <v>209</v>
      </c>
      <c r="L70" s="53" t="s">
        <v>210</v>
      </c>
      <c r="M70" s="53">
        <v>3.25</v>
      </c>
      <c r="N70" s="53">
        <v>99.706999999999994</v>
      </c>
      <c r="O70" s="139" t="e">
        <f ca="1">_xll.BDH(D70,$P$33:$Q$33,$B$2,$B$2,"Dts=S","cols=3;rows=1")</f>
        <v>#NAME?</v>
      </c>
      <c r="P70" s="50">
        <v>96.897999999999996</v>
      </c>
      <c r="Q70" s="57">
        <v>3.4540000000000002</v>
      </c>
      <c r="R70" s="12">
        <v>41814</v>
      </c>
      <c r="S70" s="11">
        <v>7.47</v>
      </c>
      <c r="T70" s="148">
        <v>0.95463258785942484</v>
      </c>
      <c r="U70" s="148">
        <f t="shared" si="6"/>
        <v>7.3493322852208758</v>
      </c>
      <c r="V70" s="278">
        <f t="shared" si="7"/>
        <v>-1.1904761904761973E-2</v>
      </c>
      <c r="W70" s="278">
        <f t="shared" si="8"/>
        <v>-1.2147571783417859E-2</v>
      </c>
    </row>
    <row r="71" spans="1:23" x14ac:dyDescent="0.2">
      <c r="A71" s="8">
        <v>41806</v>
      </c>
      <c r="B71" s="9">
        <v>7.6950000000000003</v>
      </c>
      <c r="D71" s="292" t="s">
        <v>376</v>
      </c>
      <c r="E71" s="55">
        <f>ABS(VALUE($L$71)-Autocallable!$J$77)</f>
        <v>274</v>
      </c>
      <c r="F71" s="55">
        <f>ABS(VALUE($L$71)-Autocallable!$B$19)</f>
        <v>93</v>
      </c>
      <c r="G71" s="55">
        <f>ABS(VALUE($L$71)-Autocallable!$B$34)</f>
        <v>91</v>
      </c>
      <c r="H71" s="55">
        <f>ABS(VALUE($L$71)-Autocallable!$B$48)</f>
        <v>272</v>
      </c>
      <c r="I71" s="55">
        <f>ABS(VALUE($L$71)-Autocallable!$B$62)</f>
        <v>456</v>
      </c>
      <c r="J71" s="53" t="s">
        <v>323</v>
      </c>
      <c r="K71" s="53" t="s">
        <v>324</v>
      </c>
      <c r="L71" s="53" t="s">
        <v>325</v>
      </c>
      <c r="M71" s="53">
        <v>3.75</v>
      </c>
      <c r="N71" s="53">
        <v>98.26</v>
      </c>
      <c r="O71" s="139" t="e">
        <f ca="1">_xll.BDH(D71,$P$33:$Q$33,$B$2,$B$2,"Dts=S","cols=3;rows=1")</f>
        <v>#NAME?</v>
      </c>
      <c r="P71" s="50">
        <v>107.505</v>
      </c>
      <c r="Q71" s="57">
        <v>0.55800000000000005</v>
      </c>
      <c r="R71" s="12">
        <v>41815</v>
      </c>
      <c r="S71" s="11">
        <v>7.3849999999999998</v>
      </c>
      <c r="T71" s="148">
        <v>0.94376996805111812</v>
      </c>
      <c r="U71" s="148">
        <f t="shared" si="6"/>
        <v>7.263920854413354</v>
      </c>
      <c r="V71" s="278">
        <f t="shared" si="7"/>
        <v>-1.1378848728246349E-2</v>
      </c>
      <c r="W71" s="278">
        <f t="shared" si="8"/>
        <v>-1.1621658606902235E-2</v>
      </c>
    </row>
    <row r="72" spans="1:23" x14ac:dyDescent="0.2">
      <c r="A72" s="8">
        <v>41807</v>
      </c>
      <c r="B72" s="9">
        <v>7.665</v>
      </c>
      <c r="D72" s="292" t="s">
        <v>368</v>
      </c>
      <c r="E72" s="55">
        <f>ABS(VALUE($L$72)-Autocallable!$J$77)</f>
        <v>182</v>
      </c>
      <c r="F72" s="55">
        <f>ABS(VALUE($L$72)-Autocallable!$B$19)</f>
        <v>1</v>
      </c>
      <c r="G72" s="55">
        <f>ABS(VALUE($L$72)-Autocallable!$B$34)</f>
        <v>183</v>
      </c>
      <c r="H72" s="55">
        <f>ABS(VALUE($L$72)-Autocallable!$B$48)</f>
        <v>364</v>
      </c>
      <c r="I72" s="55">
        <f>ABS(VALUE($L$72)-Autocallable!$B$62)</f>
        <v>548</v>
      </c>
      <c r="J72" s="53" t="s">
        <v>202</v>
      </c>
      <c r="K72" s="53" t="s">
        <v>203</v>
      </c>
      <c r="L72" s="53" t="s">
        <v>204</v>
      </c>
      <c r="M72" s="53">
        <v>0.35</v>
      </c>
      <c r="N72" s="53">
        <v>100.33</v>
      </c>
      <c r="O72" s="139" t="e">
        <f ca="1">_xll.BDH(D72,$P$33:$Q$33,$B$2,$B$2,"Dts=S","cols=3;rows=1")</f>
        <v>#NAME?</v>
      </c>
      <c r="P72" s="50">
        <v>99.4</v>
      </c>
      <c r="Q72" s="57">
        <v>0.58199999999999996</v>
      </c>
      <c r="R72" s="12">
        <v>41816</v>
      </c>
      <c r="S72" s="11">
        <v>7.43</v>
      </c>
      <c r="T72" s="148">
        <v>0.94952076677316288</v>
      </c>
      <c r="U72" s="148">
        <f t="shared" si="6"/>
        <v>7.3064193150551464</v>
      </c>
      <c r="V72" s="278">
        <f t="shared" si="7"/>
        <v>6.0934326337169775E-3</v>
      </c>
      <c r="W72" s="278">
        <f t="shared" si="8"/>
        <v>5.8506227550610915E-3</v>
      </c>
    </row>
    <row r="73" spans="1:23" x14ac:dyDescent="0.2">
      <c r="A73" s="8">
        <v>41808</v>
      </c>
      <c r="B73" s="9">
        <v>7.6950000000000003</v>
      </c>
      <c r="D73" s="292" t="s">
        <v>396</v>
      </c>
      <c r="E73" s="55">
        <f>ABS(VALUE($L$73)-Autocallable!$J$77)</f>
        <v>1491</v>
      </c>
      <c r="F73" s="55">
        <f>ABS(VALUE($L$73)-Autocallable!$B$19)</f>
        <v>1672</v>
      </c>
      <c r="G73" s="55">
        <f>ABS(VALUE($L$73)-Autocallable!$B$34)</f>
        <v>1856</v>
      </c>
      <c r="H73" s="55">
        <f>ABS(VALUE($L$73)-Autocallable!$B$48)</f>
        <v>2037</v>
      </c>
      <c r="I73" s="55">
        <f>ABS(VALUE($L$73)-Autocallable!$B$62)</f>
        <v>2221</v>
      </c>
      <c r="J73" s="53" t="s">
        <v>187</v>
      </c>
      <c r="K73" s="53" t="s">
        <v>188</v>
      </c>
      <c r="L73" s="53" t="s">
        <v>189</v>
      </c>
      <c r="M73" s="53">
        <v>1.6</v>
      </c>
      <c r="N73" s="53">
        <v>100.97</v>
      </c>
      <c r="O73" s="139" t="e">
        <f ca="1">_xll.BDH(D73,$P$33:$Q$33,$B$2,$B$2,"Dts=S","cols=3;rows=1")</f>
        <v>#NAME?</v>
      </c>
      <c r="P73" s="50">
        <v>97.65</v>
      </c>
      <c r="Q73" s="57">
        <v>1.9609999999999999</v>
      </c>
      <c r="R73" s="12">
        <v>41817</v>
      </c>
      <c r="S73" s="11">
        <v>7.39</v>
      </c>
      <c r="T73" s="148">
        <v>0.94440894568690092</v>
      </c>
      <c r="U73" s="148">
        <f t="shared" si="6"/>
        <v>7.2653105507816838</v>
      </c>
      <c r="V73" s="278">
        <f t="shared" si="7"/>
        <v>-5.3835800807536804E-3</v>
      </c>
      <c r="W73" s="278">
        <f t="shared" si="8"/>
        <v>-5.6263899594095664E-3</v>
      </c>
    </row>
    <row r="74" spans="1:23" x14ac:dyDescent="0.2">
      <c r="A74" s="8">
        <v>41809</v>
      </c>
      <c r="B74" s="9">
        <v>7.8250000000000002</v>
      </c>
      <c r="D74" s="292" t="s">
        <v>375</v>
      </c>
      <c r="E74" s="55">
        <f>ABS(VALUE($L$74)-Autocallable!$J$77)</f>
        <v>731</v>
      </c>
      <c r="F74" s="55">
        <f>ABS(VALUE($L$74)-Autocallable!$B$19)</f>
        <v>550</v>
      </c>
      <c r="G74" s="55">
        <f>ABS(VALUE($L$74)-Autocallable!$B$34)</f>
        <v>366</v>
      </c>
      <c r="H74" s="55">
        <f>ABS(VALUE($L$74)-Autocallable!$B$48)</f>
        <v>185</v>
      </c>
      <c r="I74" s="55">
        <f>ABS(VALUE($L$74)-Autocallable!$B$62)</f>
        <v>1</v>
      </c>
      <c r="J74" s="53" t="s">
        <v>247</v>
      </c>
      <c r="K74" s="53" t="s">
        <v>248</v>
      </c>
      <c r="L74" s="53" t="s">
        <v>249</v>
      </c>
      <c r="M74" s="53">
        <v>0.7</v>
      </c>
      <c r="N74" s="53">
        <v>100.33</v>
      </c>
      <c r="O74" s="139" t="e">
        <f ca="1">_xll.BDH(D74,$P$33:$Q$33,$B$2,$B$2,"Dts=S","cols=3;rows=1")</f>
        <v>#NAME?</v>
      </c>
      <c r="P74" s="50">
        <v>100.732</v>
      </c>
      <c r="Q74" s="57">
        <v>4.3999999999999997E-2</v>
      </c>
      <c r="R74" s="12">
        <v>41820</v>
      </c>
      <c r="S74" s="11">
        <v>7.28</v>
      </c>
      <c r="T74" s="148">
        <v>0.93035143769968054</v>
      </c>
      <c r="U74" s="148">
        <f t="shared" si="6"/>
        <v>7.1554024615291576</v>
      </c>
      <c r="V74" s="278">
        <f t="shared" si="7"/>
        <v>-1.4884979702300294E-2</v>
      </c>
      <c r="W74" s="278">
        <f t="shared" si="8"/>
        <v>-1.512778958095618E-2</v>
      </c>
    </row>
    <row r="75" spans="1:23" x14ac:dyDescent="0.2">
      <c r="A75" s="8">
        <v>41810</v>
      </c>
      <c r="B75" s="9">
        <v>7.5949999999999998</v>
      </c>
      <c r="D75" s="292" t="s">
        <v>374</v>
      </c>
      <c r="E75" s="55">
        <f>ABS(VALUE($L$75)-Autocallable!$J$77)</f>
        <v>5389</v>
      </c>
      <c r="F75" s="55">
        <f>ABS(VALUE($L$75)-Autocallable!$B$19)</f>
        <v>5570</v>
      </c>
      <c r="G75" s="55">
        <f>ABS(VALUE($L$75)-Autocallable!$B$34)</f>
        <v>5754</v>
      </c>
      <c r="H75" s="55">
        <f>ABS(VALUE($L$75)-Autocallable!$B$48)</f>
        <v>5935</v>
      </c>
      <c r="I75" s="55">
        <f>ABS(VALUE($L$75)-Autocallable!$B$62)</f>
        <v>6119</v>
      </c>
      <c r="J75" s="53" t="s">
        <v>250</v>
      </c>
      <c r="K75" s="53" t="s">
        <v>251</v>
      </c>
      <c r="L75" s="53" t="s">
        <v>252</v>
      </c>
      <c r="M75" s="53">
        <v>4</v>
      </c>
      <c r="N75" s="53">
        <v>101.289</v>
      </c>
      <c r="O75" s="139" t="e">
        <f ca="1">_xll.BDH(D75,$P$33:$Q$33,$B$2,$B$2,"Dts=S","cols=3;rows=1")</f>
        <v>#NAME?</v>
      </c>
      <c r="P75" s="50">
        <v>110.953</v>
      </c>
      <c r="Q75" s="57">
        <v>3.2160000000000002</v>
      </c>
      <c r="R75" s="12">
        <v>41821</v>
      </c>
      <c r="S75" s="11">
        <v>7.3550000000000004</v>
      </c>
      <c r="T75" s="148">
        <v>0.93993610223642177</v>
      </c>
      <c r="U75" s="148">
        <f t="shared" si="6"/>
        <v>7.2273814306387454</v>
      </c>
      <c r="V75" s="278">
        <f t="shared" si="7"/>
        <v>1.0302197802197766E-2</v>
      </c>
      <c r="W75" s="278">
        <f t="shared" si="8"/>
        <v>1.005938792354188E-2</v>
      </c>
    </row>
    <row r="76" spans="1:23" x14ac:dyDescent="0.2">
      <c r="A76" s="8">
        <v>41813</v>
      </c>
      <c r="B76" s="9">
        <v>7.5600000000000005</v>
      </c>
      <c r="D76" s="292" t="s">
        <v>361</v>
      </c>
      <c r="E76" s="55">
        <f>ABS(VALUE($L$76)-Autocallable!$J$77)</f>
        <v>547</v>
      </c>
      <c r="F76" s="55">
        <f>ABS(VALUE($L$76)-Autocallable!$B$19)</f>
        <v>366</v>
      </c>
      <c r="G76" s="55">
        <f>ABS(VALUE($L$76)-Autocallable!$B$34)</f>
        <v>182</v>
      </c>
      <c r="H76" s="55">
        <f>ABS(VALUE($L$76)-Autocallable!$B$48)</f>
        <v>1</v>
      </c>
      <c r="I76" s="55">
        <f>ABS(VALUE($L$76)-Autocallable!$B$62)</f>
        <v>183</v>
      </c>
      <c r="J76" s="53" t="s">
        <v>271</v>
      </c>
      <c r="K76" s="53" t="s">
        <v>272</v>
      </c>
      <c r="L76" s="53" t="s">
        <v>273</v>
      </c>
      <c r="M76" s="53">
        <v>0.65</v>
      </c>
      <c r="N76" s="53">
        <v>100.57000000000001</v>
      </c>
      <c r="O76" s="139" t="e">
        <f ca="1">_xll.BDH(D76,$P$33:$Q$33,$B$2,$B$2,"Dts=S","cols=3;rows=1")</f>
        <v>#NAME?</v>
      </c>
      <c r="P76" s="50">
        <v>100.788</v>
      </c>
      <c r="Q76" s="57">
        <v>0.161</v>
      </c>
      <c r="R76" s="12">
        <v>41822</v>
      </c>
      <c r="S76" s="11">
        <v>7.4249999999999998</v>
      </c>
      <c r="T76" s="148">
        <v>0.94888178913738019</v>
      </c>
      <c r="U76" s="148">
        <f t="shared" si="6"/>
        <v>7.2944119623350865</v>
      </c>
      <c r="V76" s="278">
        <f t="shared" si="7"/>
        <v>9.517335146159045E-3</v>
      </c>
      <c r="W76" s="278">
        <f t="shared" si="8"/>
        <v>9.274525267503159E-3</v>
      </c>
    </row>
    <row r="77" spans="1:23" x14ac:dyDescent="0.2">
      <c r="A77" s="8">
        <v>41814</v>
      </c>
      <c r="B77" s="9">
        <v>7.47</v>
      </c>
      <c r="D77" s="292" t="s">
        <v>382</v>
      </c>
      <c r="E77" s="55">
        <f>ABS(VALUE($L$77)-Autocallable!$J$77)</f>
        <v>608</v>
      </c>
      <c r="F77" s="55">
        <f>ABS(VALUE($L$77)-Autocallable!$B$19)</f>
        <v>427</v>
      </c>
      <c r="G77" s="55">
        <f>ABS(VALUE($L$77)-Autocallable!$B$34)</f>
        <v>243</v>
      </c>
      <c r="H77" s="55">
        <f>ABS(VALUE($L$77)-Autocallable!$B$48)</f>
        <v>62</v>
      </c>
      <c r="I77" s="55">
        <f>ABS(VALUE($L$77)-Autocallable!$B$62)</f>
        <v>122</v>
      </c>
      <c r="J77" s="53" t="s">
        <v>274</v>
      </c>
      <c r="K77" s="53" t="s">
        <v>275</v>
      </c>
      <c r="L77" s="53" t="s">
        <v>276</v>
      </c>
      <c r="M77" s="53">
        <v>4</v>
      </c>
      <c r="N77" s="53">
        <v>100.7</v>
      </c>
      <c r="O77" s="139" t="e">
        <f ca="1">_xll.BDH(D77,$P$33:$Q$33,$B$2,$B$2,"Dts=S","cols=3;rows=1")</f>
        <v>#NAME?</v>
      </c>
      <c r="P77" s="50">
        <v>105.60899999999999</v>
      </c>
      <c r="Q77" s="57">
        <v>0.123</v>
      </c>
      <c r="R77" s="12">
        <v>41823</v>
      </c>
      <c r="S77" s="11">
        <v>7.49</v>
      </c>
      <c r="T77" s="148">
        <v>0.95718849840255593</v>
      </c>
      <c r="U77" s="148">
        <f t="shared" si="6"/>
        <v>7.3564976121091235</v>
      </c>
      <c r="V77" s="278">
        <f t="shared" si="7"/>
        <v>8.7542087542087366E-3</v>
      </c>
      <c r="W77" s="278">
        <f t="shared" si="8"/>
        <v>8.5113988755528506E-3</v>
      </c>
    </row>
    <row r="78" spans="1:23" x14ac:dyDescent="0.2">
      <c r="A78" s="8">
        <v>41815</v>
      </c>
      <c r="B78" s="9">
        <v>7.3849999999999998</v>
      </c>
      <c r="D78" s="292" t="s">
        <v>388</v>
      </c>
      <c r="E78" s="55">
        <f>ABS(VALUE($L$78)-Autocallable!$J$77)</f>
        <v>335</v>
      </c>
      <c r="F78" s="55">
        <f>ABS(VALUE($L$78)-Autocallable!$B$19)</f>
        <v>154</v>
      </c>
      <c r="G78" s="55">
        <f>ABS(VALUE($L$78)-Autocallable!$B$34)</f>
        <v>30</v>
      </c>
      <c r="H78" s="55">
        <f>ABS(VALUE($L$78)-Autocallable!$B$48)</f>
        <v>211</v>
      </c>
      <c r="I78" s="55">
        <f>ABS(VALUE($L$78)-Autocallable!$B$62)</f>
        <v>395</v>
      </c>
      <c r="J78" s="53" t="s">
        <v>238</v>
      </c>
      <c r="K78" s="53" t="s">
        <v>239</v>
      </c>
      <c r="L78" s="53" t="s">
        <v>240</v>
      </c>
      <c r="M78" s="53">
        <v>0.45</v>
      </c>
      <c r="N78" s="53">
        <v>100.55</v>
      </c>
      <c r="O78" s="139" t="e">
        <f ca="1">_xll.BDH(D78,$P$33:$Q$33,$B$2,$B$2,"Dts=S","cols=3;rows=1")</f>
        <v>#NAME?</v>
      </c>
      <c r="P78" s="50">
        <v>100.137</v>
      </c>
      <c r="Q78" s="57">
        <v>0.38800000000000001</v>
      </c>
      <c r="R78" s="12">
        <v>41824</v>
      </c>
      <c r="S78" s="11">
        <v>7.38</v>
      </c>
      <c r="T78" s="148">
        <v>0.94313099041533544</v>
      </c>
      <c r="U78" s="148">
        <f t="shared" si="6"/>
        <v>7.2466720310379555</v>
      </c>
      <c r="V78" s="278">
        <f t="shared" si="7"/>
        <v>-1.4686248331108209E-2</v>
      </c>
      <c r="W78" s="278">
        <f t="shared" si="8"/>
        <v>-1.4929058209764095E-2</v>
      </c>
    </row>
    <row r="79" spans="1:23" x14ac:dyDescent="0.2">
      <c r="A79" s="8">
        <v>41816</v>
      </c>
      <c r="B79" s="9">
        <v>7.43</v>
      </c>
      <c r="D79" s="292" t="s">
        <v>380</v>
      </c>
      <c r="E79" s="55">
        <f>ABS(VALUE($L$79)-Autocallable!$J$77)</f>
        <v>974</v>
      </c>
      <c r="F79" s="55">
        <f>ABS(VALUE($L$79)-Autocallable!$B$19)</f>
        <v>793</v>
      </c>
      <c r="G79" s="55">
        <f>ABS(VALUE($L$79)-Autocallable!$B$34)</f>
        <v>609</v>
      </c>
      <c r="H79" s="55">
        <f>ABS(VALUE($L$79)-Autocallable!$B$48)</f>
        <v>428</v>
      </c>
      <c r="I79" s="55">
        <f>ABS(VALUE($L$79)-Autocallable!$B$62)</f>
        <v>244</v>
      </c>
      <c r="J79" s="53" t="s">
        <v>320</v>
      </c>
      <c r="K79" s="53" t="s">
        <v>321</v>
      </c>
      <c r="L79" s="53" t="s">
        <v>322</v>
      </c>
      <c r="M79" s="53">
        <v>4.25</v>
      </c>
      <c r="N79" s="53">
        <v>99.2</v>
      </c>
      <c r="O79" s="139" t="e">
        <f ca="1">_xll.BDH(D79,$P$33:$Q$33,$B$2,$B$2,"Dts=S","cols=3;rows=1")</f>
        <v>#NAME?</v>
      </c>
      <c r="P79" s="50">
        <v>101.952</v>
      </c>
      <c r="Q79" s="57">
        <v>-0.10100000000000001</v>
      </c>
      <c r="R79" s="12">
        <v>41827</v>
      </c>
      <c r="S79" s="11">
        <v>7.17</v>
      </c>
      <c r="T79" s="148">
        <v>0.91629392971246004</v>
      </c>
      <c r="U79" s="148">
        <f t="shared" si="6"/>
        <v>7.0387063527771083</v>
      </c>
      <c r="V79" s="278">
        <f t="shared" si="7"/>
        <v>-2.8455284552845517E-2</v>
      </c>
      <c r="W79" s="278">
        <f t="shared" si="8"/>
        <v>-2.8698094431501401E-2</v>
      </c>
    </row>
    <row r="80" spans="1:23" x14ac:dyDescent="0.2">
      <c r="A80" s="8">
        <v>41817</v>
      </c>
      <c r="B80" s="9">
        <v>7.39</v>
      </c>
      <c r="D80" s="292" t="s">
        <v>384</v>
      </c>
      <c r="E80" s="55">
        <f>ABS(VALUE($L$80)-Autocallable!$J$77)</f>
        <v>17</v>
      </c>
      <c r="F80" s="55">
        <f>ABS(VALUE($L$80)-Autocallable!$B$19)</f>
        <v>164</v>
      </c>
      <c r="G80" s="55">
        <f>ABS(VALUE($L$80)-Autocallable!$B$34)</f>
        <v>348</v>
      </c>
      <c r="H80" s="55">
        <f>ABS(VALUE($L$80)-Autocallable!$B$48)</f>
        <v>529</v>
      </c>
      <c r="I80" s="55">
        <f>ABS(VALUE($L$80)-Autocallable!$B$62)</f>
        <v>713</v>
      </c>
      <c r="J80" s="53" t="s">
        <v>280</v>
      </c>
      <c r="K80" s="53" t="s">
        <v>281</v>
      </c>
      <c r="L80" s="53" t="s">
        <v>282</v>
      </c>
      <c r="M80" s="53">
        <v>1.35</v>
      </c>
      <c r="N80" s="53">
        <v>100.8</v>
      </c>
      <c r="O80" s="139" t="e">
        <f ca="1">_xll.BDH(D80,$P$33:$Q$33,$B$2,$B$2,"Dts=S","cols=3;rows=1")</f>
        <v>#NAME?</v>
      </c>
      <c r="P80" s="50">
        <v>101.483</v>
      </c>
      <c r="Q80" s="57">
        <v>0.85799999999999998</v>
      </c>
      <c r="R80" s="12">
        <v>41828</v>
      </c>
      <c r="S80" s="11">
        <v>6.915</v>
      </c>
      <c r="T80" s="148">
        <v>0.88370607028753989</v>
      </c>
      <c r="U80" s="148">
        <f t="shared" si="6"/>
        <v>6.7866667246780752</v>
      </c>
      <c r="V80" s="278">
        <f t="shared" si="7"/>
        <v>-3.556485355648531E-2</v>
      </c>
      <c r="W80" s="278">
        <f t="shared" si="8"/>
        <v>-3.5807663435141197E-2</v>
      </c>
    </row>
    <row r="81" spans="1:23" x14ac:dyDescent="0.2">
      <c r="A81" s="8">
        <v>41820</v>
      </c>
      <c r="B81" s="9">
        <v>7.28</v>
      </c>
      <c r="D81" s="292" t="s">
        <v>373</v>
      </c>
      <c r="E81" s="55">
        <f>ABS(VALUE($L$81)-Autocallable!$J$77)</f>
        <v>138</v>
      </c>
      <c r="F81" s="55">
        <f>ABS(VALUE($L$81)-Autocallable!$B$19)</f>
        <v>43</v>
      </c>
      <c r="G81" s="55">
        <f>ABS(VALUE($L$81)-Autocallable!$B$34)</f>
        <v>227</v>
      </c>
      <c r="H81" s="55">
        <f>ABS(VALUE($L$81)-Autocallable!$B$48)</f>
        <v>408</v>
      </c>
      <c r="I81" s="55">
        <f>ABS(VALUE($L$81)-Autocallable!$B$62)</f>
        <v>592</v>
      </c>
      <c r="J81" s="53" t="s">
        <v>312</v>
      </c>
      <c r="K81" s="53" t="s">
        <v>313</v>
      </c>
      <c r="L81" s="53" t="s">
        <v>314</v>
      </c>
      <c r="M81" s="53">
        <v>2.15</v>
      </c>
      <c r="N81" s="53">
        <v>100.27</v>
      </c>
      <c r="O81" s="139" t="e">
        <f ca="1">_xll.BDH(D81,$P$33:$Q$33,$B$2,$B$2,"Dts=S","cols=3;rows=1")</f>
        <v>#NAME?</v>
      </c>
      <c r="P81" s="50">
        <v>103.914</v>
      </c>
      <c r="Q81" s="57">
        <v>0.70599999999999996</v>
      </c>
      <c r="R81" s="12">
        <v>41829</v>
      </c>
      <c r="S81" s="11">
        <v>7.08</v>
      </c>
      <c r="T81" s="148">
        <v>0.90479233226837064</v>
      </c>
      <c r="U81" s="148">
        <f t="shared" si="6"/>
        <v>6.9469566726796845</v>
      </c>
      <c r="V81" s="278">
        <f t="shared" si="7"/>
        <v>2.386117136659438E-2</v>
      </c>
      <c r="W81" s="278">
        <f t="shared" si="8"/>
        <v>2.3618361487938496E-2</v>
      </c>
    </row>
    <row r="82" spans="1:23" x14ac:dyDescent="0.2">
      <c r="A82" s="8">
        <v>41821</v>
      </c>
      <c r="B82" s="9">
        <v>7.3550000000000004</v>
      </c>
      <c r="D82" s="292" t="s">
        <v>404</v>
      </c>
      <c r="E82" s="55">
        <f>ABS(VALUE($L$82)-Autocallable!$J$77)</f>
        <v>792</v>
      </c>
      <c r="F82" s="55">
        <f>ABS(VALUE($L$82)-Autocallable!$B$19)</f>
        <v>611</v>
      </c>
      <c r="G82" s="55">
        <f>ABS(VALUE($L$82)-Autocallable!$B$34)</f>
        <v>427</v>
      </c>
      <c r="H82" s="55">
        <f>ABS(VALUE($L$82)-Autocallable!$B$48)</f>
        <v>246</v>
      </c>
      <c r="I82" s="55">
        <f>ABS(VALUE($L$82)-Autocallable!$B$62)</f>
        <v>62</v>
      </c>
      <c r="J82" s="53" t="s">
        <v>326</v>
      </c>
      <c r="K82" s="53" t="s">
        <v>327</v>
      </c>
      <c r="L82" s="53" t="s">
        <v>328</v>
      </c>
      <c r="M82" s="53">
        <v>4.25</v>
      </c>
      <c r="N82" s="53">
        <v>101.92</v>
      </c>
      <c r="O82" s="139" t="e">
        <f ca="1">_xll.BDH(D82,$P$33:$Q$33,$B$2,$B$2,"Dts=S","cols=3;rows=1")</f>
        <v>#NAME?</v>
      </c>
      <c r="P82" s="50">
        <v>104.065</v>
      </c>
      <c r="Q82" s="57">
        <v>-3.5000000000000003E-2</v>
      </c>
      <c r="R82" s="12">
        <v>41830</v>
      </c>
      <c r="S82" s="11">
        <v>6.9749999999999996</v>
      </c>
      <c r="T82" s="148">
        <v>0.89137380191693283</v>
      </c>
      <c r="U82" s="148">
        <f t="shared" si="6"/>
        <v>6.8422429831662726</v>
      </c>
      <c r="V82" s="278">
        <f t="shared" si="7"/>
        <v>-1.4830508474576343E-2</v>
      </c>
      <c r="W82" s="278">
        <f t="shared" si="8"/>
        <v>-1.5073318353232229E-2</v>
      </c>
    </row>
    <row r="83" spans="1:23" x14ac:dyDescent="0.2">
      <c r="A83" s="8">
        <v>41822</v>
      </c>
      <c r="B83" s="9">
        <v>7.4249999999999998</v>
      </c>
      <c r="D83" s="292" t="s">
        <v>408</v>
      </c>
      <c r="E83" s="55">
        <f>ABS(VALUE($L$83)-Autocallable!$J$77)</f>
        <v>1399</v>
      </c>
      <c r="F83" s="55">
        <f>ABS(VALUE($L$83)-Autocallable!$B$19)</f>
        <v>1580</v>
      </c>
      <c r="G83" s="55">
        <f>ABS(VALUE($L$83)-Autocallable!$B$34)</f>
        <v>1764</v>
      </c>
      <c r="H83" s="55">
        <f>ABS(VALUE($L$83)-Autocallable!$B$48)</f>
        <v>1945</v>
      </c>
      <c r="I83" s="55">
        <f>ABS(VALUE($L$83)-Autocallable!$B$62)</f>
        <v>2129</v>
      </c>
      <c r="J83" s="53" t="s">
        <v>232</v>
      </c>
      <c r="K83" s="53" t="s">
        <v>233</v>
      </c>
      <c r="L83" s="53" t="s">
        <v>234</v>
      </c>
      <c r="M83" s="53">
        <v>4.5</v>
      </c>
      <c r="N83" s="53">
        <v>100.07000000000001</v>
      </c>
      <c r="O83" s="139" t="e">
        <f ca="1">_xll.BDH(D83,$P$33:$Q$33,$B$2,$B$2,"Dts=S","cols=3;rows=1")</f>
        <v>#NAME?</v>
      </c>
      <c r="P83" s="50">
        <v>116.15300000000001</v>
      </c>
      <c r="Q83" s="57">
        <v>2.008</v>
      </c>
      <c r="R83" s="12">
        <v>41831</v>
      </c>
      <c r="S83" s="11">
        <v>7.0149999999999997</v>
      </c>
      <c r="T83" s="148">
        <v>0.89648562300319479</v>
      </c>
      <c r="U83" s="148">
        <f t="shared" si="6"/>
        <v>6.8798202884153072</v>
      </c>
      <c r="V83" s="278">
        <f t="shared" si="7"/>
        <v>5.734767025089571E-3</v>
      </c>
      <c r="W83" s="278">
        <f t="shared" si="8"/>
        <v>5.4919571464336851E-3</v>
      </c>
    </row>
    <row r="84" spans="1:23" x14ac:dyDescent="0.2">
      <c r="A84" s="8">
        <v>41823</v>
      </c>
      <c r="B84" s="9">
        <v>7.49</v>
      </c>
      <c r="D84" s="293" t="s">
        <v>378</v>
      </c>
      <c r="E84" s="55">
        <f>ABS(VALUE($L$84)-Autocallable!$J$77)</f>
        <v>1126</v>
      </c>
      <c r="F84" s="55">
        <f>ABS(VALUE($L$84)-Autocallable!$B$19)</f>
        <v>1307</v>
      </c>
      <c r="G84" s="55">
        <f>ABS(VALUE($L$84)-Autocallable!$B$34)</f>
        <v>1491</v>
      </c>
      <c r="H84" s="55">
        <f>ABS(VALUE($L$84)-Autocallable!$B$48)</f>
        <v>1672</v>
      </c>
      <c r="I84" s="55">
        <f>ABS(VALUE($L$84)-Autocallable!$B$62)</f>
        <v>1856</v>
      </c>
      <c r="J84" s="53" t="s">
        <v>190</v>
      </c>
      <c r="K84" s="53" t="s">
        <v>191</v>
      </c>
      <c r="L84" s="53" t="s">
        <v>192</v>
      </c>
      <c r="M84" s="53">
        <v>1.5</v>
      </c>
      <c r="N84" s="53">
        <v>101.4</v>
      </c>
      <c r="O84" s="139" t="e">
        <f ca="1">_xll.BDH(D84,$P$33:$Q$33,$B$2,$B$2,"Dts=S","cols=3;rows=1")</f>
        <v>#NAME?</v>
      </c>
      <c r="P84" s="50">
        <v>98.173000000000002</v>
      </c>
      <c r="Q84" s="57">
        <v>1.8199999999999998</v>
      </c>
      <c r="R84" s="12">
        <v>41834</v>
      </c>
      <c r="S84" s="11">
        <v>7.07</v>
      </c>
      <c r="T84" s="148">
        <v>0.90351437699680515</v>
      </c>
      <c r="U84" s="148">
        <f t="shared" si="6"/>
        <v>6.9320899448988529</v>
      </c>
      <c r="V84" s="278">
        <f t="shared" si="7"/>
        <v>7.8403421240200721E-3</v>
      </c>
      <c r="W84" s="278">
        <f t="shared" si="8"/>
        <v>7.5975322453641862E-3</v>
      </c>
    </row>
    <row r="85" spans="1:23" x14ac:dyDescent="0.2">
      <c r="A85" s="8">
        <v>41824</v>
      </c>
      <c r="B85" s="9">
        <v>7.38</v>
      </c>
      <c r="D85" s="293" t="s">
        <v>383</v>
      </c>
      <c r="E85" s="55">
        <f>ABS(VALUE($L$85)-Autocallable!$J$77)</f>
        <v>317</v>
      </c>
      <c r="F85" s="55">
        <f>ABS(VALUE($L$85)-Autocallable!$B$19)</f>
        <v>498</v>
      </c>
      <c r="G85" s="55">
        <f>ABS(VALUE($L$85)-Autocallable!$B$34)</f>
        <v>682</v>
      </c>
      <c r="H85" s="55">
        <f>ABS(VALUE($L$85)-Autocallable!$B$48)</f>
        <v>863</v>
      </c>
      <c r="I85" s="55">
        <f>ABS(VALUE($L$85)-Autocallable!$B$62)</f>
        <v>1047</v>
      </c>
      <c r="J85" s="53" t="s">
        <v>184</v>
      </c>
      <c r="K85" s="53" t="s">
        <v>185</v>
      </c>
      <c r="L85" s="53" t="s">
        <v>186</v>
      </c>
      <c r="M85" s="53">
        <v>0.95</v>
      </c>
      <c r="N85" s="53">
        <v>101.07000000000001</v>
      </c>
      <c r="O85" s="139" t="e">
        <f ca="1">_xll.BDH(D85,$P$33:$Q$33,$B$2,$B$2,"Dts=S","cols=3;rows=1")</f>
        <v>#NAME?</v>
      </c>
      <c r="P85" s="50">
        <v>99.116</v>
      </c>
      <c r="Q85" s="57">
        <v>1.181</v>
      </c>
      <c r="R85" s="12">
        <v>41835</v>
      </c>
      <c r="S85" s="11">
        <v>6.76</v>
      </c>
      <c r="T85" s="148">
        <v>0.86389776357827475</v>
      </c>
      <c r="U85" s="148">
        <f t="shared" si="6"/>
        <v>6.6264537405224173</v>
      </c>
      <c r="V85" s="278">
        <f t="shared" si="7"/>
        <v>-4.3847241867043918E-2</v>
      </c>
      <c r="W85" s="278">
        <f t="shared" si="8"/>
        <v>-4.4090051745699806E-2</v>
      </c>
    </row>
    <row r="86" spans="1:23" x14ac:dyDescent="0.2">
      <c r="A86" s="8">
        <v>41827</v>
      </c>
      <c r="B86" s="9">
        <v>7.17</v>
      </c>
      <c r="D86" s="293" t="s">
        <v>379</v>
      </c>
      <c r="E86" s="55">
        <f>ABS(VALUE($L$86)-Autocallable!$J$77)</f>
        <v>930</v>
      </c>
      <c r="F86" s="55">
        <f>ABS(VALUE($L$86)-Autocallable!$B$19)</f>
        <v>749</v>
      </c>
      <c r="G86" s="55">
        <f>ABS(VALUE($L$86)-Autocallable!$B$34)</f>
        <v>565</v>
      </c>
      <c r="H86" s="55">
        <f>ABS(VALUE($L$86)-Autocallable!$B$48)</f>
        <v>384</v>
      </c>
      <c r="I86" s="55">
        <f>ABS(VALUE($L$86)-Autocallable!$B$62)</f>
        <v>200</v>
      </c>
      <c r="J86" s="53" t="s">
        <v>214</v>
      </c>
      <c r="K86" s="53" t="s">
        <v>215</v>
      </c>
      <c r="L86" s="53" t="s">
        <v>216</v>
      </c>
      <c r="M86" s="53">
        <v>0.05</v>
      </c>
      <c r="N86" s="53">
        <v>100.05</v>
      </c>
      <c r="O86" s="139" t="e">
        <f ca="1">_xll.BDH(D86,$P$33:$Q$33,$B$2,$B$2,"Dts=S","cols=3;rows=1")</f>
        <v>#NAME?</v>
      </c>
      <c r="P86" s="50">
        <v>100.078</v>
      </c>
      <c r="Q86" s="57">
        <v>-8.5999999999999993E-2</v>
      </c>
      <c r="R86" s="12">
        <v>41836</v>
      </c>
      <c r="S86" s="11">
        <v>7.0149999999999997</v>
      </c>
      <c r="T86" s="148">
        <v>0.89648562300319479</v>
      </c>
      <c r="U86" s="148">
        <f t="shared" si="6"/>
        <v>6.8748071543176108</v>
      </c>
      <c r="V86" s="278">
        <f t="shared" si="7"/>
        <v>3.7721893491124314E-2</v>
      </c>
      <c r="W86" s="278">
        <f t="shared" si="8"/>
        <v>3.7479083612468427E-2</v>
      </c>
    </row>
    <row r="87" spans="1:23" x14ac:dyDescent="0.2">
      <c r="A87" s="8">
        <v>41828</v>
      </c>
      <c r="B87" s="9">
        <v>6.915</v>
      </c>
      <c r="D87" s="293" t="s">
        <v>363</v>
      </c>
      <c r="E87" s="55">
        <f>ABS(VALUE($L$87)-Autocallable!$J$77)</f>
        <v>944</v>
      </c>
      <c r="F87" s="55">
        <f>ABS(VALUE($L$87)-Autocallable!$B$19)</f>
        <v>1125</v>
      </c>
      <c r="G87" s="55">
        <f>ABS(VALUE($L$87)-Autocallable!$B$34)</f>
        <v>1309</v>
      </c>
      <c r="H87" s="55">
        <f>ABS(VALUE($L$87)-Autocallable!$B$48)</f>
        <v>1490</v>
      </c>
      <c r="I87" s="55">
        <f>ABS(VALUE($L$87)-Autocallable!$B$62)</f>
        <v>1674</v>
      </c>
      <c r="J87" s="53" t="s">
        <v>286</v>
      </c>
      <c r="K87" s="53" t="s">
        <v>287</v>
      </c>
      <c r="L87" s="53" t="s">
        <v>288</v>
      </c>
      <c r="M87" s="53">
        <v>2.5</v>
      </c>
      <c r="N87" s="53">
        <v>101.14</v>
      </c>
      <c r="O87" s="139" t="e">
        <f ca="1">_xll.BDH(D87,$P$33:$Q$33,$B$2,$B$2,"Dts=S","cols=3;rows=1")</f>
        <v>#NAME?</v>
      </c>
      <c r="P87" s="50">
        <v>104.349</v>
      </c>
      <c r="Q87" s="57">
        <v>1.7029999999999998</v>
      </c>
      <c r="R87" s="12">
        <v>41837</v>
      </c>
      <c r="S87" s="11">
        <v>6.7649999999999997</v>
      </c>
      <c r="T87" s="148">
        <v>0.86453674121405744</v>
      </c>
      <c r="U87" s="148">
        <f t="shared" si="6"/>
        <v>6.6281340644698243</v>
      </c>
      <c r="V87" s="278">
        <f t="shared" si="7"/>
        <v>-3.5637918745545227E-2</v>
      </c>
      <c r="W87" s="278">
        <f t="shared" si="8"/>
        <v>-3.5880728624201115E-2</v>
      </c>
    </row>
    <row r="88" spans="1:23" x14ac:dyDescent="0.2">
      <c r="A88" s="8">
        <v>41829</v>
      </c>
      <c r="B88" s="9">
        <v>7.08</v>
      </c>
      <c r="D88" s="293" t="s">
        <v>386</v>
      </c>
      <c r="E88" s="55">
        <f>ABS(VALUE($L$88)-Autocallable!$J$77)</f>
        <v>821</v>
      </c>
      <c r="F88" s="55">
        <f>ABS(VALUE($L$88)-Autocallable!$B$19)</f>
        <v>640</v>
      </c>
      <c r="G88" s="55">
        <f>ABS(VALUE($L$88)-Autocallable!$B$34)</f>
        <v>456</v>
      </c>
      <c r="H88" s="55">
        <f>ABS(VALUE($L$88)-Autocallable!$B$48)</f>
        <v>275</v>
      </c>
      <c r="I88" s="55">
        <f>ABS(VALUE($L$88)-Autocallable!$B$62)</f>
        <v>91</v>
      </c>
      <c r="J88" s="53" t="s">
        <v>315</v>
      </c>
      <c r="K88" s="53" t="s">
        <v>316</v>
      </c>
      <c r="L88" s="53" t="s">
        <v>317</v>
      </c>
      <c r="M88" s="53">
        <v>4.5</v>
      </c>
      <c r="N88" s="53">
        <v>99.668999999999997</v>
      </c>
      <c r="O88" s="139" t="e">
        <f ca="1">_xll.BDH(D88,$P$33:$Q$33,$B$2,$B$2,"Dts=S","cols=3;rows=1")</f>
        <v>#NAME?</v>
      </c>
      <c r="P88" s="50">
        <v>103.94199999999999</v>
      </c>
      <c r="Q88" s="57">
        <v>-2.9000000000000001E-2</v>
      </c>
      <c r="R88" s="12">
        <v>41838</v>
      </c>
      <c r="S88" s="11">
        <v>6.8250000000000002</v>
      </c>
      <c r="T88" s="148">
        <v>0.87220447284345048</v>
      </c>
      <c r="U88" s="148">
        <f t="shared" si="6"/>
        <v>6.6853107994784553</v>
      </c>
      <c r="V88" s="278">
        <f t="shared" si="7"/>
        <v>8.8691796008870671E-3</v>
      </c>
      <c r="W88" s="278">
        <f t="shared" si="8"/>
        <v>8.6263697222311812E-3</v>
      </c>
    </row>
    <row r="89" spans="1:23" x14ac:dyDescent="0.2">
      <c r="A89" s="8">
        <v>41830</v>
      </c>
      <c r="B89" s="9">
        <v>6.9749999999999996</v>
      </c>
      <c r="D89" s="293" t="s">
        <v>392</v>
      </c>
      <c r="E89" s="55">
        <f>ABS(VALUE($L$89)-Autocallable!$J$77)</f>
        <v>853</v>
      </c>
      <c r="F89" s="55">
        <f>ABS(VALUE($L$89)-Autocallable!$B$19)</f>
        <v>1034</v>
      </c>
      <c r="G89" s="55">
        <f>ABS(VALUE($L$89)-Autocallable!$B$34)</f>
        <v>1218</v>
      </c>
      <c r="H89" s="55">
        <f>ABS(VALUE($L$89)-Autocallable!$B$48)</f>
        <v>1399</v>
      </c>
      <c r="I89" s="55">
        <f>ABS(VALUE($L$89)-Autocallable!$B$62)</f>
        <v>1583</v>
      </c>
      <c r="J89" s="53" t="s">
        <v>241</v>
      </c>
      <c r="K89" s="53" t="s">
        <v>242</v>
      </c>
      <c r="L89" s="53" t="s">
        <v>243</v>
      </c>
      <c r="M89" s="53">
        <v>3.75</v>
      </c>
      <c r="N89" s="53">
        <v>103.11</v>
      </c>
      <c r="O89" s="139" t="e">
        <f ca="1">_xll.BDH(D89,$P$33:$Q$33,$B$2,$B$2,"Dts=S","cols=3;rows=1")</f>
        <v>#NAME?</v>
      </c>
      <c r="P89" s="50">
        <v>110.586</v>
      </c>
      <c r="Q89" s="57">
        <v>1.7130000000000001</v>
      </c>
      <c r="R89" s="12">
        <v>41841</v>
      </c>
      <c r="S89" s="11">
        <v>6.7450000000000001</v>
      </c>
      <c r="T89" s="148">
        <v>0.86198083067092646</v>
      </c>
      <c r="U89" s="148">
        <f t="shared" ref="U89:U152" si="9">U88*(1+W89)</f>
        <v>6.6053249225446731</v>
      </c>
      <c r="V89" s="278">
        <f t="shared" ref="V89:V152" si="10">S89/S88-1</f>
        <v>-1.172161172161168E-2</v>
      </c>
      <c r="W89" s="278">
        <f t="shared" ref="W89:W152" si="11">V89-$V$3+$W$2</f>
        <v>-1.1964421600267566E-2</v>
      </c>
    </row>
    <row r="90" spans="1:23" x14ac:dyDescent="0.2">
      <c r="A90" s="8">
        <v>41831</v>
      </c>
      <c r="B90" s="9">
        <v>7.0149999999999997</v>
      </c>
      <c r="D90" s="293" t="s">
        <v>393</v>
      </c>
      <c r="E90" s="55">
        <f>ABS(VALUE($L$90)-Autocallable!$J$77)</f>
        <v>183</v>
      </c>
      <c r="F90" s="55">
        <f>ABS(VALUE($L$90)-Autocallable!$B$19)</f>
        <v>364</v>
      </c>
      <c r="G90" s="55">
        <f>ABS(VALUE($L$90)-Autocallable!$B$34)</f>
        <v>548</v>
      </c>
      <c r="H90" s="55">
        <f>ABS(VALUE($L$90)-Autocallable!$B$48)</f>
        <v>729</v>
      </c>
      <c r="I90" s="55">
        <f>ABS(VALUE($L$90)-Autocallable!$B$62)</f>
        <v>913</v>
      </c>
      <c r="J90" s="53" t="s">
        <v>220</v>
      </c>
      <c r="K90" s="53" t="s">
        <v>221</v>
      </c>
      <c r="L90" s="53" t="s">
        <v>222</v>
      </c>
      <c r="M90" s="53">
        <v>5.5</v>
      </c>
      <c r="N90" s="53">
        <v>98.2</v>
      </c>
      <c r="O90" s="139" t="e">
        <f ca="1">_xll.BDH(D90,$P$33:$Q$33,$B$2,$B$2,"Dts=S","cols=3;rows=1")</f>
        <v>#NAME?</v>
      </c>
      <c r="P90" s="50">
        <v>115.559</v>
      </c>
      <c r="Q90" s="57">
        <v>1.1020000000000001</v>
      </c>
      <c r="R90" s="12">
        <v>41842</v>
      </c>
      <c r="S90" s="11">
        <v>6.8449999999999998</v>
      </c>
      <c r="T90" s="148">
        <v>0.87476038338658146</v>
      </c>
      <c r="U90" s="148">
        <f t="shared" si="9"/>
        <v>6.7016502900732755</v>
      </c>
      <c r="V90" s="278">
        <f t="shared" si="10"/>
        <v>1.4825796886582587E-2</v>
      </c>
      <c r="W90" s="278">
        <f t="shared" si="11"/>
        <v>1.4582987007926701E-2</v>
      </c>
    </row>
    <row r="91" spans="1:23" x14ac:dyDescent="0.2">
      <c r="A91" s="8">
        <v>41834</v>
      </c>
      <c r="B91" s="9">
        <v>7.07</v>
      </c>
      <c r="D91" s="293" t="s">
        <v>400</v>
      </c>
      <c r="E91" s="55">
        <f>ABS(VALUE($L$91)-Autocallable!$J$77)</f>
        <v>3286</v>
      </c>
      <c r="F91" s="55">
        <f>ABS(VALUE($L$91)-Autocallable!$B$19)</f>
        <v>3467</v>
      </c>
      <c r="G91" s="55">
        <f>ABS(VALUE($L$91)-Autocallable!$B$34)</f>
        <v>3651</v>
      </c>
      <c r="H91" s="55">
        <f>ABS(VALUE($L$91)-Autocallable!$B$48)</f>
        <v>3832</v>
      </c>
      <c r="I91" s="55">
        <f>ABS(VALUE($L$91)-Autocallable!$B$62)</f>
        <v>4016</v>
      </c>
      <c r="J91" s="53" t="s">
        <v>283</v>
      </c>
      <c r="K91" s="53" t="s">
        <v>284</v>
      </c>
      <c r="L91" s="53" t="s">
        <v>285</v>
      </c>
      <c r="M91" s="53">
        <v>6</v>
      </c>
      <c r="N91" s="53">
        <v>102.4</v>
      </c>
      <c r="O91" s="139" t="e">
        <f ca="1">_xll.BDH(D91,$P$33:$Q$33,$B$2,$B$2,"Dts=S","cols=3;rows=1")</f>
        <v>#NAME?</v>
      </c>
      <c r="P91" s="50">
        <v>133.19399999999999</v>
      </c>
      <c r="Q91" s="57">
        <v>2.7759999999999998</v>
      </c>
      <c r="R91" s="12">
        <v>41843</v>
      </c>
      <c r="S91" s="11">
        <v>6.85</v>
      </c>
      <c r="T91" s="148">
        <v>0.87539936102236415</v>
      </c>
      <c r="U91" s="148">
        <f t="shared" si="9"/>
        <v>6.7049183519232098</v>
      </c>
      <c r="V91" s="278">
        <f t="shared" si="10"/>
        <v>7.3046018991962391E-4</v>
      </c>
      <c r="W91" s="278">
        <f t="shared" si="11"/>
        <v>4.8765031126373826E-4</v>
      </c>
    </row>
    <row r="92" spans="1:23" x14ac:dyDescent="0.2">
      <c r="A92" s="8">
        <v>41835</v>
      </c>
      <c r="B92" s="9">
        <v>6.76</v>
      </c>
      <c r="D92" s="293" t="s">
        <v>402</v>
      </c>
      <c r="E92" s="55">
        <f>ABS(VALUE($L$92)-Autocallable!$J$77)</f>
        <v>5236</v>
      </c>
      <c r="F92" s="55">
        <f>ABS(VALUE($L$92)-Autocallable!$B$19)</f>
        <v>5417</v>
      </c>
      <c r="G92" s="55">
        <f>ABS(VALUE($L$92)-Autocallable!$B$34)</f>
        <v>5601</v>
      </c>
      <c r="H92" s="55">
        <f>ABS(VALUE($L$92)-Autocallable!$B$48)</f>
        <v>5782</v>
      </c>
      <c r="I92" s="55">
        <f>ABS(VALUE($L$92)-Autocallable!$B$62)</f>
        <v>5966</v>
      </c>
      <c r="J92" s="53" t="s">
        <v>217</v>
      </c>
      <c r="K92" s="53" t="s">
        <v>218</v>
      </c>
      <c r="L92" s="53" t="s">
        <v>219</v>
      </c>
      <c r="M92" s="53">
        <v>2.25</v>
      </c>
      <c r="N92" s="53">
        <v>99.367999999999995</v>
      </c>
      <c r="O92" s="139" t="e">
        <f ca="1">_xll.BDH(D92,$P$33:$Q$33,$B$2,$B$2,"Dts=S","cols=3;rows=1")</f>
        <v>#NAME?</v>
      </c>
      <c r="P92" s="50">
        <v>89.372</v>
      </c>
      <c r="Q92" s="57">
        <v>3.0619999999999998</v>
      </c>
      <c r="R92" s="12">
        <v>41844</v>
      </c>
      <c r="S92" s="11">
        <v>7.05</v>
      </c>
      <c r="T92" s="148">
        <v>0.90095846645367406</v>
      </c>
      <c r="U92" s="148">
        <f t="shared" si="9"/>
        <v>6.8990543709839915</v>
      </c>
      <c r="V92" s="278">
        <f t="shared" si="10"/>
        <v>2.9197080291970767E-2</v>
      </c>
      <c r="W92" s="278">
        <f t="shared" si="11"/>
        <v>2.8954270413314883E-2</v>
      </c>
    </row>
    <row r="93" spans="1:23" x14ac:dyDescent="0.2">
      <c r="A93" s="8">
        <v>41836</v>
      </c>
      <c r="B93" s="9">
        <v>7.0149999999999997</v>
      </c>
      <c r="D93" s="293" t="s">
        <v>403</v>
      </c>
      <c r="E93" s="55">
        <f>ABS(VALUE($L$93)-Autocallable!$J$77)</f>
        <v>243</v>
      </c>
      <c r="F93" s="55">
        <f>ABS(VALUE($L$93)-Autocallable!$B$19)</f>
        <v>62</v>
      </c>
      <c r="G93" s="55">
        <f>ABS(VALUE($L$93)-Autocallable!$B$34)</f>
        <v>122</v>
      </c>
      <c r="H93" s="55">
        <f>ABS(VALUE($L$93)-Autocallable!$B$48)</f>
        <v>303</v>
      </c>
      <c r="I93" s="55">
        <f>ABS(VALUE($L$93)-Autocallable!$B$62)</f>
        <v>487</v>
      </c>
      <c r="J93" s="53" t="s">
        <v>268</v>
      </c>
      <c r="K93" s="53" t="s">
        <v>269</v>
      </c>
      <c r="L93" s="53" t="s">
        <v>270</v>
      </c>
      <c r="M93" s="53">
        <v>4.75</v>
      </c>
      <c r="N93" s="53">
        <v>99.73</v>
      </c>
      <c r="O93" s="139" t="e">
        <f ca="1">_xll.BDH(D93,$P$33:$Q$33,$B$2,$B$2,"Dts=S","cols=3;rows=1")</f>
        <v>#NAME?</v>
      </c>
      <c r="P93" s="50">
        <v>110.065</v>
      </c>
      <c r="Q93" s="57">
        <v>0.60299999999999998</v>
      </c>
      <c r="R93" s="12">
        <v>41845</v>
      </c>
      <c r="S93" s="11">
        <v>7.1</v>
      </c>
      <c r="T93" s="148">
        <v>0.9073482428115015</v>
      </c>
      <c r="U93" s="148">
        <f t="shared" si="9"/>
        <v>6.9463086760533308</v>
      </c>
      <c r="V93" s="278">
        <f t="shared" si="10"/>
        <v>7.0921985815601829E-3</v>
      </c>
      <c r="W93" s="278">
        <f t="shared" si="11"/>
        <v>6.8493887029042969E-3</v>
      </c>
    </row>
    <row r="94" spans="1:23" x14ac:dyDescent="0.2">
      <c r="A94" s="8">
        <v>41837</v>
      </c>
      <c r="B94" s="9">
        <v>6.7649999999999997</v>
      </c>
      <c r="D94" s="293" t="s">
        <v>366</v>
      </c>
      <c r="E94" s="55">
        <f>ABS(VALUE($L$94)-Autocallable!$J$77)</f>
        <v>883</v>
      </c>
      <c r="F94" s="55">
        <f>ABS(VALUE($L$94)-Autocallable!$B$19)</f>
        <v>702</v>
      </c>
      <c r="G94" s="55">
        <f>ABS(VALUE($L$94)-Autocallable!$B$34)</f>
        <v>518</v>
      </c>
      <c r="H94" s="55">
        <f>ABS(VALUE($L$94)-Autocallable!$B$48)</f>
        <v>337</v>
      </c>
      <c r="I94" s="55">
        <f>ABS(VALUE($L$94)-Autocallable!$B$62)</f>
        <v>153</v>
      </c>
      <c r="J94" s="53" t="s">
        <v>309</v>
      </c>
      <c r="K94" s="53" t="s">
        <v>310</v>
      </c>
      <c r="L94" s="53" t="s">
        <v>311</v>
      </c>
      <c r="M94" s="53">
        <v>1.05</v>
      </c>
      <c r="N94" s="53">
        <v>100.53</v>
      </c>
      <c r="O94" s="139" t="e">
        <f ca="1">_xll.BDH(D94,$P$33:$Q$33,$B$2,$B$2,"Dts=S","cols=3;rows=1")</f>
        <v>#NAME?</v>
      </c>
      <c r="P94" s="50">
        <v>100.798</v>
      </c>
      <c r="Q94" s="57">
        <v>-8.7999999999999995E-2</v>
      </c>
      <c r="R94" s="12">
        <v>41848</v>
      </c>
      <c r="S94" s="11">
        <v>6.85</v>
      </c>
      <c r="T94" s="148">
        <v>0.87539936102236415</v>
      </c>
      <c r="U94" s="148">
        <f t="shared" si="9"/>
        <v>6.7000337100227423</v>
      </c>
      <c r="V94" s="278">
        <f t="shared" si="10"/>
        <v>-3.5211267605633756E-2</v>
      </c>
      <c r="W94" s="278">
        <f t="shared" si="11"/>
        <v>-3.5454077484289644E-2</v>
      </c>
    </row>
    <row r="95" spans="1:23" x14ac:dyDescent="0.2">
      <c r="A95" s="8">
        <v>41838</v>
      </c>
      <c r="B95" s="9">
        <v>6.8250000000000002</v>
      </c>
      <c r="D95" s="293" t="s">
        <v>407</v>
      </c>
      <c r="E95" s="55">
        <f>ABS(VALUE($L$95)-Autocallable!$J$77)</f>
        <v>456</v>
      </c>
      <c r="F95" s="55">
        <f>ABS(VALUE($L$95)-Autocallable!$B$19)</f>
        <v>637</v>
      </c>
      <c r="G95" s="55">
        <f>ABS(VALUE($L$95)-Autocallable!$B$34)</f>
        <v>821</v>
      </c>
      <c r="H95" s="55">
        <f>ABS(VALUE($L$95)-Autocallable!$B$48)</f>
        <v>1002</v>
      </c>
      <c r="I95" s="55">
        <f>ABS(VALUE($L$95)-Autocallable!$B$62)</f>
        <v>1186</v>
      </c>
      <c r="J95" s="53" t="s">
        <v>277</v>
      </c>
      <c r="K95" s="53" t="s">
        <v>278</v>
      </c>
      <c r="L95" s="53" t="s">
        <v>279</v>
      </c>
      <c r="M95" s="53">
        <v>4.75</v>
      </c>
      <c r="N95" s="53">
        <v>99.135000000000005</v>
      </c>
      <c r="O95" s="139" t="e">
        <f ca="1">_xll.BDH(D95,$P$33:$Q$33,$B$2,$B$2,"Dts=S","cols=3;rows=1")</f>
        <v>#NAME?</v>
      </c>
      <c r="P95" s="50">
        <v>114.517</v>
      </c>
      <c r="Q95" s="57">
        <v>1.3240000000000001</v>
      </c>
      <c r="R95" s="12">
        <v>41849</v>
      </c>
      <c r="S95" s="11">
        <v>6.88</v>
      </c>
      <c r="T95" s="148">
        <v>0.87923322683706062</v>
      </c>
      <c r="U95" s="148">
        <f t="shared" si="9"/>
        <v>6.7277500889791879</v>
      </c>
      <c r="V95" s="278">
        <f t="shared" si="10"/>
        <v>4.3795620437956373E-3</v>
      </c>
      <c r="W95" s="278">
        <f t="shared" si="11"/>
        <v>4.1367521651397513E-3</v>
      </c>
    </row>
    <row r="96" spans="1:23" x14ac:dyDescent="0.2">
      <c r="A96" s="8">
        <v>41841</v>
      </c>
      <c r="B96" s="9">
        <v>6.7450000000000001</v>
      </c>
      <c r="D96" s="293" t="s">
        <v>405</v>
      </c>
      <c r="E96" s="55">
        <f>ABS(VALUE($L$96)-Autocallable!$J$77)</f>
        <v>6697</v>
      </c>
      <c r="F96" s="55">
        <f>ABS(VALUE($L$96)-Autocallable!$B$19)</f>
        <v>6878</v>
      </c>
      <c r="G96" s="55">
        <f>ABS(VALUE($L$96)-Autocallable!$B$34)</f>
        <v>7062</v>
      </c>
      <c r="H96" s="55">
        <f>ABS(VALUE($L$96)-Autocallable!$B$48)</f>
        <v>7243</v>
      </c>
      <c r="I96" s="55">
        <f>ABS(VALUE($L$96)-Autocallable!$B$62)</f>
        <v>7427</v>
      </c>
      <c r="J96" s="53" t="s">
        <v>244</v>
      </c>
      <c r="K96" s="53" t="s">
        <v>245</v>
      </c>
      <c r="L96" s="53" t="s">
        <v>246</v>
      </c>
      <c r="M96" s="53">
        <v>5</v>
      </c>
      <c r="N96" s="53">
        <v>98.185999999999993</v>
      </c>
      <c r="O96" s="139" t="e">
        <f ca="1">_xll.BDH(D96,$P$33:$Q$33,$B$2,$B$2,"Dts=S","cols=3;rows=1")</f>
        <v>#NAME?</v>
      </c>
      <c r="P96" s="50">
        <v>123.378</v>
      </c>
      <c r="Q96" s="57">
        <v>3.4779999999999998</v>
      </c>
      <c r="R96" s="12">
        <v>41850</v>
      </c>
      <c r="S96" s="11">
        <v>6.79</v>
      </c>
      <c r="T96" s="148">
        <v>0.86773162939297122</v>
      </c>
      <c r="U96" s="148">
        <f t="shared" si="9"/>
        <v>6.6381081660743444</v>
      </c>
      <c r="V96" s="278">
        <f t="shared" si="10"/>
        <v>-1.3081395348837233E-2</v>
      </c>
      <c r="W96" s="278">
        <f t="shared" si="11"/>
        <v>-1.3324205227493119E-2</v>
      </c>
    </row>
    <row r="97" spans="1:23" x14ac:dyDescent="0.2">
      <c r="A97" s="8">
        <v>41842</v>
      </c>
      <c r="B97" s="9">
        <v>6.8449999999999998</v>
      </c>
      <c r="D97" s="293" t="s">
        <v>415</v>
      </c>
      <c r="E97" s="55">
        <f>ABS(VALUE($L$97)-Autocallable!$J$77)</f>
        <v>122</v>
      </c>
      <c r="F97" s="55">
        <f>ABS(VALUE($L$97)-Autocallable!$B$19)</f>
        <v>303</v>
      </c>
      <c r="G97" s="55">
        <f>ABS(VALUE($L$97)-Autocallable!$B$34)</f>
        <v>487</v>
      </c>
      <c r="H97" s="55">
        <f>ABS(VALUE($L$97)-Autocallable!$B$48)</f>
        <v>668</v>
      </c>
      <c r="I97" s="55">
        <f>ABS(VALUE($L$97)-Autocallable!$B$62)</f>
        <v>852</v>
      </c>
      <c r="J97" s="53" t="s">
        <v>306</v>
      </c>
      <c r="K97" s="53" t="s">
        <v>307</v>
      </c>
      <c r="L97" s="53" t="s">
        <v>308</v>
      </c>
      <c r="M97" s="53">
        <v>5.5</v>
      </c>
      <c r="N97" s="53">
        <v>100.58</v>
      </c>
      <c r="O97" s="139" t="e">
        <f ca="1">_xll.BDH(D97,$P$33:$Q$33,$B$2,$B$2,"Dts=S","cols=3;rows=1")</f>
        <v>#NAME?</v>
      </c>
      <c r="P97" s="50">
        <v>115.11799999999999</v>
      </c>
      <c r="Q97" s="57">
        <v>1.0289999999999999</v>
      </c>
      <c r="R97" s="12">
        <v>41851</v>
      </c>
      <c r="S97" s="11">
        <v>6.625</v>
      </c>
      <c r="T97" s="148">
        <v>0.84664536741214058</v>
      </c>
      <c r="U97" s="148">
        <f t="shared" si="9"/>
        <v>6.4751874065102228</v>
      </c>
      <c r="V97" s="278">
        <f t="shared" si="10"/>
        <v>-2.4300441826215047E-2</v>
      </c>
      <c r="W97" s="278">
        <f t="shared" si="11"/>
        <v>-2.4543251704870931E-2</v>
      </c>
    </row>
    <row r="98" spans="1:23" x14ac:dyDescent="0.2">
      <c r="A98" s="8">
        <v>41843</v>
      </c>
      <c r="B98" s="9">
        <v>6.85</v>
      </c>
      <c r="D98" s="293" t="s">
        <v>409</v>
      </c>
      <c r="E98" s="55">
        <f>ABS(VALUE($L$98)-Autocallable!$J$77)</f>
        <v>2009</v>
      </c>
      <c r="F98" s="55">
        <f>ABS(VALUE($L$98)-Autocallable!$B$19)</f>
        <v>2190</v>
      </c>
      <c r="G98" s="55">
        <f>ABS(VALUE($L$98)-Autocallable!$B$34)</f>
        <v>2374</v>
      </c>
      <c r="H98" s="55">
        <f>ABS(VALUE($L$98)-Autocallable!$B$48)</f>
        <v>2555</v>
      </c>
      <c r="I98" s="55">
        <f>ABS(VALUE($L$98)-Autocallable!$B$62)</f>
        <v>2739</v>
      </c>
      <c r="J98" s="53" t="s">
        <v>265</v>
      </c>
      <c r="K98" s="53" t="s">
        <v>266</v>
      </c>
      <c r="L98" s="53" t="s">
        <v>267</v>
      </c>
      <c r="M98" s="53">
        <v>6.5</v>
      </c>
      <c r="N98" s="53">
        <v>100.15</v>
      </c>
      <c r="O98" s="139" t="e">
        <f ca="1">_xll.BDH(D98,$P$33:$Q$33,$B$2,$B$2,"Dts=S","cols=3;rows=1")</f>
        <v>#NAME?</v>
      </c>
      <c r="P98" s="50">
        <v>133.053</v>
      </c>
      <c r="Q98" s="57">
        <v>2.2690000000000001</v>
      </c>
      <c r="R98" s="12">
        <v>41852</v>
      </c>
      <c r="S98" s="11">
        <v>6.57</v>
      </c>
      <c r="T98" s="148">
        <v>0.83961661341853033</v>
      </c>
      <c r="U98" s="148">
        <f t="shared" si="9"/>
        <v>6.4198588942330099</v>
      </c>
      <c r="V98" s="278">
        <f t="shared" si="10"/>
        <v>-8.3018867924528061E-3</v>
      </c>
      <c r="W98" s="278">
        <f t="shared" si="11"/>
        <v>-8.5446966711086921E-3</v>
      </c>
    </row>
    <row r="99" spans="1:23" x14ac:dyDescent="0.2">
      <c r="A99" s="8">
        <v>41844</v>
      </c>
      <c r="B99" s="9">
        <v>7.05</v>
      </c>
      <c r="D99" s="293" t="s">
        <v>414</v>
      </c>
      <c r="E99" s="55">
        <f>ABS(VALUE($L$99)-Autocallable!$J$77)</f>
        <v>1034</v>
      </c>
      <c r="F99" s="55">
        <f>ABS(VALUE($L$99)-Autocallable!$B$19)</f>
        <v>1215</v>
      </c>
      <c r="G99" s="55">
        <f>ABS(VALUE($L$99)-Autocallable!$B$34)</f>
        <v>1399</v>
      </c>
      <c r="H99" s="55">
        <f>ABS(VALUE($L$99)-Autocallable!$B$48)</f>
        <v>1580</v>
      </c>
      <c r="I99" s="55">
        <f>ABS(VALUE($L$99)-Autocallable!$B$62)</f>
        <v>1764</v>
      </c>
      <c r="J99" s="53" t="s">
        <v>229</v>
      </c>
      <c r="K99" s="53" t="s">
        <v>230</v>
      </c>
      <c r="L99" s="53" t="s">
        <v>231</v>
      </c>
      <c r="M99" s="53">
        <v>5</v>
      </c>
      <c r="N99" s="53">
        <v>99.013999999999996</v>
      </c>
      <c r="O99" s="139" t="e">
        <f ca="1">_xll.BDH(D99,$P$33:$Q$33,$B$2,$B$2,"Dts=S","cols=3;rows=1")</f>
        <v>#NAME?</v>
      </c>
      <c r="P99" s="50">
        <v>118.086</v>
      </c>
      <c r="Q99" s="57">
        <v>1.788</v>
      </c>
      <c r="R99" s="12">
        <v>41855</v>
      </c>
      <c r="S99" s="11">
        <v>6.44</v>
      </c>
      <c r="T99" s="148">
        <v>0.82300319488817897</v>
      </c>
      <c r="U99" s="148">
        <f t="shared" si="9"/>
        <v>6.291270917650734</v>
      </c>
      <c r="V99" s="278">
        <f t="shared" si="10"/>
        <v>-1.9786910197869045E-2</v>
      </c>
      <c r="W99" s="278">
        <f t="shared" si="11"/>
        <v>-2.002972007652493E-2</v>
      </c>
    </row>
    <row r="100" spans="1:23" x14ac:dyDescent="0.2">
      <c r="A100" s="8">
        <v>41845</v>
      </c>
      <c r="B100" s="9">
        <v>7.1</v>
      </c>
      <c r="D100" s="293" t="s">
        <v>412</v>
      </c>
      <c r="E100" s="55">
        <f>ABS(VALUE($L$100)-Autocallable!$J$77)</f>
        <v>4474</v>
      </c>
      <c r="F100" s="55">
        <f>ABS(VALUE($L$100)-Autocallable!$B$19)</f>
        <v>4655</v>
      </c>
      <c r="G100" s="55">
        <f>ABS(VALUE($L$100)-Autocallable!$B$34)</f>
        <v>4839</v>
      </c>
      <c r="H100" s="55">
        <f>ABS(VALUE($L$100)-Autocallable!$B$48)</f>
        <v>5020</v>
      </c>
      <c r="I100" s="55">
        <f>ABS(VALUE($L$100)-Autocallable!$B$62)</f>
        <v>5204</v>
      </c>
      <c r="J100" s="53" t="s">
        <v>304</v>
      </c>
      <c r="K100" s="53" t="s">
        <v>305</v>
      </c>
      <c r="L100" s="53" t="s">
        <v>155</v>
      </c>
      <c r="M100" s="53">
        <v>5</v>
      </c>
      <c r="N100" s="53">
        <v>98.106000000000009</v>
      </c>
      <c r="O100" s="139" t="e">
        <f ca="1">_xll.BDH(D100,$P$33:$Q$33,$B$2,$B$2,"Dts=S","cols=3;rows=1")</f>
        <v>#NAME?</v>
      </c>
      <c r="P100" s="50">
        <v>123.851</v>
      </c>
      <c r="Q100" s="57">
        <v>3.0680000000000001</v>
      </c>
      <c r="R100" s="12">
        <v>41856</v>
      </c>
      <c r="S100" s="11">
        <v>6.2850000000000001</v>
      </c>
      <c r="T100" s="148">
        <v>0.80319488817891371</v>
      </c>
      <c r="U100" s="148">
        <f t="shared" si="9"/>
        <v>6.1383229945133317</v>
      </c>
      <c r="V100" s="278">
        <f t="shared" si="10"/>
        <v>-2.4068322981366519E-2</v>
      </c>
      <c r="W100" s="278">
        <f t="shared" si="11"/>
        <v>-2.4311132860022403E-2</v>
      </c>
    </row>
    <row r="101" spans="1:23" x14ac:dyDescent="0.2">
      <c r="A101" s="8">
        <v>41848</v>
      </c>
      <c r="B101" s="9">
        <v>6.85</v>
      </c>
      <c r="D101" s="293" t="s">
        <v>397</v>
      </c>
      <c r="E101" s="55">
        <f>ABS(VALUE($L$101)-Autocallable!$J$77)</f>
        <v>1097</v>
      </c>
      <c r="F101" s="55">
        <f>ABS(VALUE($L$101)-Autocallable!$B$19)</f>
        <v>916</v>
      </c>
      <c r="G101" s="55">
        <f>ABS(VALUE($L$101)-Autocallable!$B$34)</f>
        <v>732</v>
      </c>
      <c r="H101" s="55">
        <f>ABS(VALUE($L$101)-Autocallable!$B$48)</f>
        <v>551</v>
      </c>
      <c r="I101" s="55">
        <f>ABS(VALUE($L$101)-Autocallable!$B$62)</f>
        <v>367</v>
      </c>
      <c r="J101" s="53" t="s">
        <v>338</v>
      </c>
      <c r="K101" s="53" t="s">
        <v>339</v>
      </c>
      <c r="L101" s="53" t="s">
        <v>340</v>
      </c>
      <c r="M101" s="53">
        <v>2.5</v>
      </c>
      <c r="N101" s="53">
        <v>100.4</v>
      </c>
      <c r="O101" s="139" t="e">
        <f ca="1">_xll.BDH(D101,$P$33:$Q$33,$B$2,$B$2,"Dts=S","cols=3;rows=1")</f>
        <v>#NAME?</v>
      </c>
      <c r="P101" s="50">
        <v>100.321</v>
      </c>
      <c r="Q101" s="57">
        <v>-0.26300000000000001</v>
      </c>
      <c r="R101" s="12">
        <v>41857</v>
      </c>
      <c r="S101" s="11">
        <v>5.98</v>
      </c>
      <c r="T101" s="148">
        <v>0.76421725239616622</v>
      </c>
      <c r="U101" s="148">
        <f t="shared" si="9"/>
        <v>5.8389505262473378</v>
      </c>
      <c r="V101" s="278">
        <f t="shared" si="10"/>
        <v>-4.8528241845664288E-2</v>
      </c>
      <c r="W101" s="278">
        <f t="shared" si="11"/>
        <v>-4.8771051724320176E-2</v>
      </c>
    </row>
    <row r="102" spans="1:23" x14ac:dyDescent="0.2">
      <c r="A102" s="8">
        <v>41849</v>
      </c>
      <c r="B102" s="9">
        <v>6.88</v>
      </c>
      <c r="D102" s="293" t="s">
        <v>394</v>
      </c>
      <c r="E102" s="55">
        <f>ABS(VALUE($L$102)-Autocallable!$J$77)</f>
        <v>1005</v>
      </c>
      <c r="F102" s="55">
        <f>ABS(VALUE($L$102)-Autocallable!$B$19)</f>
        <v>824</v>
      </c>
      <c r="G102" s="55">
        <f>ABS(VALUE($L$102)-Autocallable!$B$34)</f>
        <v>640</v>
      </c>
      <c r="H102" s="55">
        <f>ABS(VALUE($L$102)-Autocallable!$B$48)</f>
        <v>459</v>
      </c>
      <c r="I102" s="55">
        <f>ABS(VALUE($L$102)-Autocallable!$B$62)</f>
        <v>275</v>
      </c>
      <c r="J102" s="53" t="s">
        <v>329</v>
      </c>
      <c r="K102" s="53" t="s">
        <v>330</v>
      </c>
      <c r="L102" s="53" t="s">
        <v>331</v>
      </c>
      <c r="M102" s="53">
        <v>1.5</v>
      </c>
      <c r="N102" s="53">
        <v>100.74000000000001</v>
      </c>
      <c r="O102" s="139" t="e">
        <f ca="1">_xll.BDH(D102,$P$33:$Q$33,$B$2,$B$2,"Dts=S","cols=3;rows=1")</f>
        <v>#NAME?</v>
      </c>
      <c r="P102" s="50">
        <v>100.60299999999999</v>
      </c>
      <c r="Q102" s="57">
        <v>-0.128</v>
      </c>
      <c r="R102" s="12">
        <v>41858</v>
      </c>
      <c r="S102" s="11">
        <v>5.915</v>
      </c>
      <c r="T102" s="148">
        <v>0.75591054313099038</v>
      </c>
      <c r="U102" s="148">
        <f t="shared" si="9"/>
        <v>5.7740659178324147</v>
      </c>
      <c r="V102" s="278">
        <f t="shared" si="10"/>
        <v>-1.0869565217391353E-2</v>
      </c>
      <c r="W102" s="278">
        <f t="shared" si="11"/>
        <v>-1.1112375096047239E-2</v>
      </c>
    </row>
    <row r="103" spans="1:23" x14ac:dyDescent="0.2">
      <c r="A103" s="8">
        <v>41850</v>
      </c>
      <c r="B103" s="9">
        <v>6.79</v>
      </c>
      <c r="D103" s="293" t="s">
        <v>398</v>
      </c>
      <c r="E103" s="55">
        <f>ABS(VALUE($L$103)-Autocallable!$J$77)</f>
        <v>364</v>
      </c>
      <c r="F103" s="55">
        <f>ABS(VALUE($L$103)-Autocallable!$B$19)</f>
        <v>545</v>
      </c>
      <c r="G103" s="55">
        <f>ABS(VALUE($L$103)-Autocallable!$B$34)</f>
        <v>729</v>
      </c>
      <c r="H103" s="55">
        <f>ABS(VALUE($L$103)-Autocallable!$B$48)</f>
        <v>910</v>
      </c>
      <c r="I103" s="55">
        <f>ABS(VALUE($L$103)-Autocallable!$B$62)</f>
        <v>1094</v>
      </c>
      <c r="J103" s="53" t="s">
        <v>253</v>
      </c>
      <c r="K103" s="53" t="s">
        <v>254</v>
      </c>
      <c r="L103" s="53" t="s">
        <v>255</v>
      </c>
      <c r="M103" s="53">
        <v>4.5</v>
      </c>
      <c r="N103" s="53">
        <v>97.81</v>
      </c>
      <c r="O103" s="139" t="e">
        <f ca="1">_xll.BDH(D103,$P$33:$Q$33,$B$2,$B$2,"Dts=S","cols=3;rows=1")</f>
        <v>#NAME?</v>
      </c>
      <c r="P103" s="50">
        <v>112.941</v>
      </c>
      <c r="Q103" s="57">
        <v>1.266</v>
      </c>
      <c r="R103" s="12">
        <v>41859</v>
      </c>
      <c r="S103" s="11">
        <v>6.02</v>
      </c>
      <c r="T103" s="148">
        <v>0.76932907348242807</v>
      </c>
      <c r="U103" s="148">
        <f t="shared" si="9"/>
        <v>5.8751621291467089</v>
      </c>
      <c r="V103" s="278">
        <f t="shared" si="10"/>
        <v>1.7751479289940697E-2</v>
      </c>
      <c r="W103" s="278">
        <f t="shared" si="11"/>
        <v>1.7508669411284813E-2</v>
      </c>
    </row>
    <row r="104" spans="1:23" x14ac:dyDescent="0.2">
      <c r="A104" s="8">
        <v>41851</v>
      </c>
      <c r="B104" s="9">
        <v>6.625</v>
      </c>
      <c r="D104" s="293" t="s">
        <v>413</v>
      </c>
      <c r="E104" s="55">
        <f>ABS(VALUE($L$104)-Autocallable!$J$77)</f>
        <v>3928</v>
      </c>
      <c r="F104" s="55">
        <f>ABS(VALUE($L$104)-Autocallable!$B$19)</f>
        <v>4109</v>
      </c>
      <c r="G104" s="55">
        <f>ABS(VALUE($L$104)-Autocallable!$B$34)</f>
        <v>4293</v>
      </c>
      <c r="H104" s="55">
        <f>ABS(VALUE($L$104)-Autocallable!$B$48)</f>
        <v>4474</v>
      </c>
      <c r="I104" s="55">
        <f>ABS(VALUE($L$104)-Autocallable!$B$62)</f>
        <v>4658</v>
      </c>
      <c r="J104" s="53" t="s">
        <v>335</v>
      </c>
      <c r="K104" s="53" t="s">
        <v>336</v>
      </c>
      <c r="L104" s="53" t="s">
        <v>337</v>
      </c>
      <c r="M104" s="53">
        <v>5.75</v>
      </c>
      <c r="N104" s="53">
        <v>101.15</v>
      </c>
      <c r="O104" s="139" t="e">
        <f ca="1">_xll.BDH(D104,$P$33:$Q$33,$B$2,$B$2,"Dts=S","cols=3;rows=1")</f>
        <v>#NAME?</v>
      </c>
      <c r="P104" s="50">
        <v>131.703</v>
      </c>
      <c r="Q104" s="57">
        <v>2.9699999999999998</v>
      </c>
      <c r="R104" s="12">
        <v>41862</v>
      </c>
      <c r="S104" s="11">
        <v>5.9649999999999999</v>
      </c>
      <c r="T104" s="148">
        <v>0.76230031948881782</v>
      </c>
      <c r="U104" s="148">
        <f t="shared" si="9"/>
        <v>5.8200588513272553</v>
      </c>
      <c r="V104" s="278">
        <f t="shared" si="10"/>
        <v>-9.1362126245846387E-3</v>
      </c>
      <c r="W104" s="278">
        <f t="shared" si="11"/>
        <v>-9.3790225032405247E-3</v>
      </c>
    </row>
    <row r="105" spans="1:23" x14ac:dyDescent="0.2">
      <c r="A105" s="8">
        <v>41852</v>
      </c>
      <c r="B105" s="9">
        <v>6.57</v>
      </c>
      <c r="D105" s="293" t="s">
        <v>410</v>
      </c>
      <c r="E105" s="55">
        <f>ABS(VALUE($L$105)-Autocallable!$J$77)</f>
        <v>548</v>
      </c>
      <c r="F105" s="55">
        <f>ABS(VALUE($L$105)-Autocallable!$B$19)</f>
        <v>729</v>
      </c>
      <c r="G105" s="55">
        <f>ABS(VALUE($L$105)-Autocallable!$B$34)</f>
        <v>913</v>
      </c>
      <c r="H105" s="55">
        <f>ABS(VALUE($L$105)-Autocallable!$B$48)</f>
        <v>1094</v>
      </c>
      <c r="I105" s="55">
        <f>ABS(VALUE($L$105)-Autocallable!$B$62)</f>
        <v>1278</v>
      </c>
      <c r="J105" s="53" t="s">
        <v>298</v>
      </c>
      <c r="K105" s="53" t="s">
        <v>299</v>
      </c>
      <c r="L105" s="53" t="s">
        <v>300</v>
      </c>
      <c r="M105" s="53">
        <v>9</v>
      </c>
      <c r="N105" s="53">
        <v>93.75</v>
      </c>
      <c r="O105" s="139" t="e">
        <f ca="1">_xll.BDH(D105,$P$33:$Q$33,$B$2,$B$2,"Dts=S","cols=3;rows=1")</f>
        <v>#NAME?</v>
      </c>
      <c r="P105" s="50">
        <v>133.91999999999999</v>
      </c>
      <c r="Q105" s="57">
        <v>1.3759999999999999</v>
      </c>
      <c r="R105" s="12">
        <v>41863</v>
      </c>
      <c r="S105" s="11">
        <v>6.06</v>
      </c>
      <c r="T105" s="148">
        <v>0.77444089456869003</v>
      </c>
      <c r="U105" s="148">
        <f t="shared" si="9"/>
        <v>5.9113373165490062</v>
      </c>
      <c r="V105" s="278">
        <f t="shared" si="10"/>
        <v>1.5926236378876801E-2</v>
      </c>
      <c r="W105" s="278">
        <f t="shared" si="11"/>
        <v>1.5683426500220917E-2</v>
      </c>
    </row>
    <row r="106" spans="1:23" x14ac:dyDescent="0.2">
      <c r="A106" s="8">
        <v>41855</v>
      </c>
      <c r="B106" s="9">
        <v>6.44</v>
      </c>
      <c r="D106" s="293" t="s">
        <v>417</v>
      </c>
      <c r="E106" s="55">
        <f>ABS(VALUE($L$106)-Autocallable!$J$77)</f>
        <v>6300</v>
      </c>
      <c r="F106" s="55">
        <f>ABS(VALUE($L$106)-Autocallable!$B$19)</f>
        <v>6481</v>
      </c>
      <c r="G106" s="55">
        <f>ABS(VALUE($L$106)-Autocallable!$B$34)</f>
        <v>6665</v>
      </c>
      <c r="H106" s="55">
        <f>ABS(VALUE($L$106)-Autocallable!$B$48)</f>
        <v>6846</v>
      </c>
      <c r="I106" s="55">
        <f>ABS(VALUE($L$106)-Autocallable!$B$62)</f>
        <v>7030</v>
      </c>
      <c r="J106" s="53" t="s">
        <v>318</v>
      </c>
      <c r="K106" s="53" t="s">
        <v>319</v>
      </c>
      <c r="L106" s="53" t="s">
        <v>156</v>
      </c>
      <c r="M106" s="53">
        <v>5</v>
      </c>
      <c r="N106" s="53">
        <v>99.98</v>
      </c>
      <c r="O106" s="139" t="e">
        <f ca="1">_xll.BDH(D106,$P$33:$Q$33,$B$2,$B$2,"Dts=S","cols=3;rows=1")</f>
        <v>#NAME?</v>
      </c>
      <c r="P106" s="50">
        <v>123.822</v>
      </c>
      <c r="Q106" s="57">
        <v>3.4020000000000001</v>
      </c>
      <c r="R106" s="12">
        <v>41864</v>
      </c>
      <c r="S106" s="11">
        <v>6.09</v>
      </c>
      <c r="T106" s="148">
        <v>0.7782747603833865</v>
      </c>
      <c r="U106" s="148">
        <f t="shared" si="9"/>
        <v>5.9391660315740102</v>
      </c>
      <c r="V106" s="278">
        <f t="shared" si="10"/>
        <v>4.9504950495049549E-3</v>
      </c>
      <c r="W106" s="278">
        <f t="shared" si="11"/>
        <v>4.7076851708490689E-3</v>
      </c>
    </row>
    <row r="107" spans="1:23" x14ac:dyDescent="0.2">
      <c r="A107" s="8">
        <v>41856</v>
      </c>
      <c r="B107" s="9">
        <v>6.2850000000000001</v>
      </c>
      <c r="D107" s="293" t="s">
        <v>416</v>
      </c>
      <c r="E107" s="55">
        <f>ABS(VALUE($L$107)-Autocallable!$J$77)</f>
        <v>1644</v>
      </c>
      <c r="F107" s="55">
        <f>ABS(VALUE($L$107)-Autocallable!$B$19)</f>
        <v>1825</v>
      </c>
      <c r="G107" s="55">
        <f>ABS(VALUE($L$107)-Autocallable!$B$34)</f>
        <v>2009</v>
      </c>
      <c r="H107" s="55">
        <f>ABS(VALUE($L$107)-Autocallable!$B$48)</f>
        <v>2190</v>
      </c>
      <c r="I107" s="55">
        <f>ABS(VALUE($L$107)-Autocallable!$B$62)</f>
        <v>2374</v>
      </c>
      <c r="J107" s="53" t="s">
        <v>332</v>
      </c>
      <c r="K107" s="53" t="s">
        <v>333</v>
      </c>
      <c r="L107" s="53" t="s">
        <v>334</v>
      </c>
      <c r="M107" s="53">
        <v>7.25</v>
      </c>
      <c r="N107" s="53">
        <v>99.45</v>
      </c>
      <c r="O107" s="139" t="e">
        <f ca="1">_xll.BDH(D107,$P$33:$Q$33,$B$2,$B$2,"Dts=S","cols=3;rows=1")</f>
        <v>#NAME?</v>
      </c>
      <c r="P107" s="50">
        <v>136.17699999999999</v>
      </c>
      <c r="Q107" s="57">
        <v>2.097</v>
      </c>
      <c r="R107" s="12">
        <v>41865</v>
      </c>
      <c r="S107" s="11">
        <v>6.1749999999999998</v>
      </c>
      <c r="T107" s="148">
        <v>0.78913738019169322</v>
      </c>
      <c r="U107" s="148">
        <f t="shared" si="9"/>
        <v>6.0206187073780519</v>
      </c>
      <c r="V107" s="278">
        <f t="shared" si="10"/>
        <v>1.3957307060755264E-2</v>
      </c>
      <c r="W107" s="278">
        <f t="shared" si="11"/>
        <v>1.3714497182099378E-2</v>
      </c>
    </row>
    <row r="108" spans="1:23" x14ac:dyDescent="0.2">
      <c r="A108" s="8">
        <v>41857</v>
      </c>
      <c r="B108" s="9">
        <v>5.98</v>
      </c>
      <c r="D108" s="293" t="s">
        <v>411</v>
      </c>
      <c r="E108" s="55">
        <f>ABS(VALUE($L$108)-Autocallable!$J$77)</f>
        <v>1113</v>
      </c>
      <c r="F108" s="55">
        <f>ABS(VALUE($L$108)-Autocallable!$B$19)</f>
        <v>932</v>
      </c>
      <c r="G108" s="55">
        <f>ABS(VALUE($L$108)-Autocallable!$B$34)</f>
        <v>748</v>
      </c>
      <c r="H108" s="55">
        <f>ABS(VALUE($L$108)-Autocallable!$B$48)</f>
        <v>567</v>
      </c>
      <c r="I108" s="55">
        <f>ABS(VALUE($L$108)-Autocallable!$B$62)</f>
        <v>383</v>
      </c>
      <c r="J108" s="53" t="s">
        <v>341</v>
      </c>
      <c r="K108" s="53" t="s">
        <v>342</v>
      </c>
      <c r="L108" s="53" t="s">
        <v>343</v>
      </c>
      <c r="M108" s="53">
        <v>0.1</v>
      </c>
      <c r="N108" s="53">
        <v>100.15</v>
      </c>
      <c r="O108" s="139" t="e">
        <f ca="1">_xll.BDH(D108,$P$33:$Q$33,$B$2,$B$2,"Dts=S","cols=3;rows=1")</f>
        <v>#NAME?</v>
      </c>
      <c r="P108" s="50">
        <v>100.03</v>
      </c>
      <c r="Q108" s="57">
        <v>-0.32</v>
      </c>
      <c r="R108" s="12">
        <v>41869</v>
      </c>
      <c r="S108" s="11">
        <v>6.31</v>
      </c>
      <c r="T108" s="148">
        <v>0.80638977635782738</v>
      </c>
      <c r="U108" s="148">
        <f t="shared" si="9"/>
        <v>6.1507817041087876</v>
      </c>
      <c r="V108" s="278">
        <f t="shared" si="10"/>
        <v>2.1862348178137703E-2</v>
      </c>
      <c r="W108" s="278">
        <f t="shared" si="11"/>
        <v>2.1619538299481818E-2</v>
      </c>
    </row>
    <row r="109" spans="1:23" x14ac:dyDescent="0.2">
      <c r="A109" s="8">
        <v>41858</v>
      </c>
      <c r="B109" s="9">
        <v>5.915</v>
      </c>
      <c r="D109" s="293" t="s">
        <v>418</v>
      </c>
      <c r="E109" s="55">
        <f>ABS(VALUE($L$109)-Autocallable!$J$77)</f>
        <v>599</v>
      </c>
      <c r="F109" s="55">
        <f>ABS(VALUE($L$109)-Autocallable!$B$19)</f>
        <v>780</v>
      </c>
      <c r="G109" s="55">
        <f>ABS(VALUE($L$109)-Autocallable!$B$34)</f>
        <v>964</v>
      </c>
      <c r="H109" s="55">
        <f>ABS(VALUE($L$109)-Autocallable!$B$48)</f>
        <v>1145</v>
      </c>
      <c r="I109" s="55">
        <f>ABS(VALUE($L$109)-Autocallable!$B$62)</f>
        <v>1329</v>
      </c>
      <c r="J109" s="53" t="s">
        <v>423</v>
      </c>
      <c r="K109" s="53" t="s">
        <v>424</v>
      </c>
      <c r="L109" s="53" t="s">
        <v>425</v>
      </c>
      <c r="M109" s="53">
        <v>8.5</v>
      </c>
      <c r="N109" s="53">
        <v>92.5</v>
      </c>
      <c r="O109" s="139" t="e">
        <f ca="1">_xll.BDH(D109,$P$33:$Q$33,$B$2,$B$2,"Dts=S","cols=3;rows=1")</f>
        <v>#NAME?</v>
      </c>
      <c r="P109" s="50">
        <v>131.60499999999999</v>
      </c>
      <c r="Q109" s="57">
        <v>1.5649999999999999</v>
      </c>
      <c r="R109" s="12">
        <v>41870</v>
      </c>
      <c r="S109" s="11">
        <v>6.39</v>
      </c>
      <c r="T109" s="148">
        <v>0.81661341853035141</v>
      </c>
      <c r="U109" s="148">
        <f t="shared" si="9"/>
        <v>6.2272696180707632</v>
      </c>
      <c r="V109" s="278">
        <f t="shared" si="10"/>
        <v>1.267828843106189E-2</v>
      </c>
      <c r="W109" s="278">
        <f t="shared" si="11"/>
        <v>1.2435478552406004E-2</v>
      </c>
    </row>
    <row r="110" spans="1:23" x14ac:dyDescent="0.2">
      <c r="A110" s="8">
        <v>41859</v>
      </c>
      <c r="B110" s="9">
        <v>6.02</v>
      </c>
      <c r="D110" s="293" t="s">
        <v>422</v>
      </c>
      <c r="E110" s="55">
        <f>ABS(VALUE($L$110)-Autocallable!$J$77)</f>
        <v>74</v>
      </c>
      <c r="F110" s="55">
        <f>ABS(VALUE($L$110)-Autocallable!$B$19)</f>
        <v>255</v>
      </c>
      <c r="G110" s="55">
        <f>ABS(VALUE($L$110)-Autocallable!$B$34)</f>
        <v>439</v>
      </c>
      <c r="H110" s="55">
        <f>ABS(VALUE($L$110)-Autocallable!$B$48)</f>
        <v>620</v>
      </c>
      <c r="I110" s="55">
        <f>ABS(VALUE($L$110)-Autocallable!$B$62)</f>
        <v>804</v>
      </c>
      <c r="J110" s="53" t="s">
        <v>426</v>
      </c>
      <c r="K110" s="53" t="s">
        <v>427</v>
      </c>
      <c r="L110" s="53" t="s">
        <v>428</v>
      </c>
      <c r="M110" s="53">
        <v>1</v>
      </c>
      <c r="N110" s="53">
        <v>99.800000000000011</v>
      </c>
      <c r="O110" s="139" t="e">
        <f ca="1">_xll.BDH(D110,$P$33:$Q$33,$B$2,$B$2,"Dts=S","cols=3;rows=1")</f>
        <v>#NAME?</v>
      </c>
      <c r="P110" s="50">
        <v>100.08799999999999</v>
      </c>
      <c r="Q110" s="57">
        <v>0.97499999999999998</v>
      </c>
      <c r="R110" s="12">
        <v>41871</v>
      </c>
      <c r="S110" s="11">
        <v>6.37</v>
      </c>
      <c r="T110" s="148">
        <v>0.81405750798722043</v>
      </c>
      <c r="U110" s="148">
        <f t="shared" si="9"/>
        <v>6.2062669037593912</v>
      </c>
      <c r="V110" s="278">
        <f t="shared" si="10"/>
        <v>-3.12989045383405E-3</v>
      </c>
      <c r="W110" s="278">
        <f t="shared" si="11"/>
        <v>-3.3727003324899359E-3</v>
      </c>
    </row>
    <row r="111" spans="1:23" x14ac:dyDescent="0.2">
      <c r="A111" s="8">
        <v>41862</v>
      </c>
      <c r="B111" s="9">
        <v>5.9649999999999999</v>
      </c>
      <c r="E111" s="51"/>
      <c r="F111" s="51"/>
      <c r="G111" s="51"/>
      <c r="H111" s="51"/>
      <c r="I111" s="51"/>
      <c r="J111" s="53"/>
      <c r="K111" s="53"/>
      <c r="L111" s="53"/>
      <c r="M111" s="53"/>
      <c r="N111" s="53"/>
      <c r="O111" s="139"/>
      <c r="P111" s="50"/>
      <c r="Q111" s="57"/>
      <c r="R111" s="12">
        <v>41872</v>
      </c>
      <c r="S111" s="11">
        <v>6.55</v>
      </c>
      <c r="T111" s="148">
        <v>0.83706070287539935</v>
      </c>
      <c r="U111" s="148">
        <f t="shared" si="9"/>
        <v>6.3801332799471036</v>
      </c>
      <c r="V111" s="278">
        <f t="shared" si="10"/>
        <v>2.8257456828885363E-2</v>
      </c>
      <c r="W111" s="278">
        <f t="shared" si="11"/>
        <v>2.8014646950229479E-2</v>
      </c>
    </row>
    <row r="112" spans="1:23" x14ac:dyDescent="0.2">
      <c r="A112" s="8">
        <v>41863</v>
      </c>
      <c r="B112" s="9">
        <v>6.06</v>
      </c>
      <c r="E112" s="51"/>
      <c r="F112" s="51"/>
      <c r="G112" s="51"/>
      <c r="H112" s="51"/>
      <c r="I112" s="51"/>
      <c r="J112" s="53"/>
      <c r="K112" s="53"/>
      <c r="L112" s="53"/>
      <c r="M112" s="53"/>
      <c r="N112" s="53"/>
      <c r="O112" s="139"/>
      <c r="P112" s="50"/>
      <c r="Q112" s="57"/>
      <c r="R112" s="12">
        <v>41873</v>
      </c>
      <c r="S112" s="11">
        <v>6.5750000000000002</v>
      </c>
      <c r="T112" s="148">
        <v>0.84025559105431313</v>
      </c>
      <c r="U112" s="148">
        <f t="shared" si="9"/>
        <v>6.4029357742998467</v>
      </c>
      <c r="V112" s="278">
        <f t="shared" si="10"/>
        <v>3.8167938931297218E-3</v>
      </c>
      <c r="W112" s="278">
        <f t="shared" si="11"/>
        <v>3.5739840144738359E-3</v>
      </c>
    </row>
    <row r="113" spans="1:23" x14ac:dyDescent="0.2">
      <c r="A113" s="8">
        <v>41864</v>
      </c>
      <c r="B113" s="9">
        <v>6.09</v>
      </c>
      <c r="E113" s="51"/>
      <c r="F113" s="51"/>
      <c r="G113" s="51"/>
      <c r="H113" s="51"/>
      <c r="I113" s="51"/>
      <c r="J113" s="53"/>
      <c r="K113" s="53"/>
      <c r="L113" s="53"/>
      <c r="M113" s="53"/>
      <c r="N113" s="53"/>
      <c r="O113" s="139"/>
      <c r="P113" s="50"/>
      <c r="Q113" s="57"/>
      <c r="R113" s="12">
        <v>41876</v>
      </c>
      <c r="S113" s="11">
        <v>6.6850000000000005</v>
      </c>
      <c r="T113" s="148">
        <v>0.85431309904153363</v>
      </c>
      <c r="U113" s="148">
        <f t="shared" si="9"/>
        <v>6.5085024372031173</v>
      </c>
      <c r="V113" s="278">
        <f t="shared" si="10"/>
        <v>1.6730038022813698E-2</v>
      </c>
      <c r="W113" s="278">
        <f t="shared" si="11"/>
        <v>1.6487228144157814E-2</v>
      </c>
    </row>
    <row r="114" spans="1:23" x14ac:dyDescent="0.2">
      <c r="A114" s="8">
        <v>41865</v>
      </c>
      <c r="B114" s="9">
        <v>6.1749999999999998</v>
      </c>
      <c r="E114" s="51"/>
      <c r="F114" s="51"/>
      <c r="G114" s="51"/>
      <c r="H114" s="51"/>
      <c r="I114" s="51"/>
      <c r="J114" s="53"/>
      <c r="K114" s="53"/>
      <c r="L114" s="53"/>
      <c r="M114" s="53"/>
      <c r="N114" s="53"/>
      <c r="O114" s="139"/>
      <c r="P114" s="50"/>
      <c r="Q114" s="57"/>
      <c r="R114" s="12">
        <v>41877</v>
      </c>
      <c r="S114" s="11">
        <v>6.85</v>
      </c>
      <c r="T114" s="148">
        <v>0.87539936102236415</v>
      </c>
      <c r="U114" s="148">
        <f t="shared" si="9"/>
        <v>6.6675657737574694</v>
      </c>
      <c r="V114" s="278">
        <f t="shared" si="10"/>
        <v>2.4682124158563745E-2</v>
      </c>
      <c r="W114" s="278">
        <f t="shared" si="11"/>
        <v>2.4439314279907861E-2</v>
      </c>
    </row>
    <row r="115" spans="1:23" x14ac:dyDescent="0.2">
      <c r="A115" s="8">
        <v>41869</v>
      </c>
      <c r="B115" s="9">
        <v>6.31</v>
      </c>
      <c r="E115" s="51"/>
      <c r="F115" s="51"/>
      <c r="G115" s="51"/>
      <c r="H115" s="51"/>
      <c r="I115" s="51"/>
      <c r="J115" s="53"/>
      <c r="K115" s="53"/>
      <c r="L115" s="53"/>
      <c r="M115" s="53"/>
      <c r="N115" s="53"/>
      <c r="O115" s="139"/>
      <c r="P115" s="50"/>
      <c r="Q115" s="57"/>
      <c r="R115" s="12">
        <v>41878</v>
      </c>
      <c r="S115" s="11">
        <v>6.8949999999999996</v>
      </c>
      <c r="T115" s="148">
        <v>0.88115015974440891</v>
      </c>
      <c r="U115" s="148">
        <f t="shared" si="9"/>
        <v>6.7097483499019015</v>
      </c>
      <c r="V115" s="278">
        <f t="shared" si="10"/>
        <v>6.5693430656934559E-3</v>
      </c>
      <c r="W115" s="278">
        <f t="shared" si="11"/>
        <v>6.32653318703757E-3</v>
      </c>
    </row>
    <row r="116" spans="1:23" x14ac:dyDescent="0.2">
      <c r="A116" s="8">
        <v>41870</v>
      </c>
      <c r="B116" s="9">
        <v>6.39</v>
      </c>
      <c r="E116" s="51"/>
      <c r="F116" s="51"/>
      <c r="G116" s="51"/>
      <c r="H116" s="51"/>
      <c r="I116" s="51"/>
      <c r="J116" s="53"/>
      <c r="K116" s="53"/>
      <c r="L116" s="53"/>
      <c r="M116" s="53"/>
      <c r="N116" s="53"/>
      <c r="O116" s="139"/>
      <c r="P116" s="50"/>
      <c r="Q116" s="57"/>
      <c r="R116" s="12">
        <v>41879</v>
      </c>
      <c r="S116" s="11">
        <v>6.72</v>
      </c>
      <c r="T116" s="148">
        <v>0.85878594249201268</v>
      </c>
      <c r="U116" s="148">
        <f t="shared" si="9"/>
        <v>6.5378209752496588</v>
      </c>
      <c r="V116" s="278">
        <f t="shared" si="10"/>
        <v>-2.5380710659898442E-2</v>
      </c>
      <c r="W116" s="278">
        <f t="shared" si="11"/>
        <v>-2.5623520538554326E-2</v>
      </c>
    </row>
    <row r="117" spans="1:23" x14ac:dyDescent="0.2">
      <c r="A117" s="8">
        <v>41871</v>
      </c>
      <c r="B117" s="9">
        <v>6.37</v>
      </c>
      <c r="E117" s="51"/>
      <c r="F117" s="51"/>
      <c r="G117" s="51"/>
      <c r="H117" s="51"/>
      <c r="I117" s="51"/>
      <c r="J117" s="53"/>
      <c r="K117" s="53"/>
      <c r="L117" s="53"/>
      <c r="M117" s="53"/>
      <c r="N117" s="53"/>
      <c r="O117" s="139"/>
      <c r="P117" s="50"/>
      <c r="Q117" s="57"/>
      <c r="R117" s="12">
        <v>41880</v>
      </c>
      <c r="S117" s="11">
        <v>6.65</v>
      </c>
      <c r="T117" s="148">
        <v>0.84984025559105436</v>
      </c>
      <c r="U117" s="148">
        <f t="shared" si="9"/>
        <v>6.4681312259064674</v>
      </c>
      <c r="V117" s="278">
        <f t="shared" si="10"/>
        <v>-1.041666666666663E-2</v>
      </c>
      <c r="W117" s="278">
        <f t="shared" si="11"/>
        <v>-1.0659476545322516E-2</v>
      </c>
    </row>
    <row r="118" spans="1:23" x14ac:dyDescent="0.2">
      <c r="A118" s="8">
        <v>41872</v>
      </c>
      <c r="B118" s="9">
        <v>6.55</v>
      </c>
      <c r="E118" s="51"/>
      <c r="F118" s="51"/>
      <c r="G118" s="51"/>
      <c r="H118" s="51"/>
      <c r="I118" s="51"/>
      <c r="J118" s="53"/>
      <c r="K118" s="53"/>
      <c r="L118" s="53"/>
      <c r="M118" s="53"/>
      <c r="N118" s="53"/>
      <c r="O118" s="139"/>
      <c r="P118" s="50"/>
      <c r="Q118" s="57"/>
      <c r="R118" s="12">
        <v>41883</v>
      </c>
      <c r="S118" s="11">
        <v>6.5449999999999999</v>
      </c>
      <c r="T118" s="148">
        <v>0.83642172523961655</v>
      </c>
      <c r="U118" s="148">
        <f t="shared" si="9"/>
        <v>6.3644323119709041</v>
      </c>
      <c r="V118" s="278">
        <f t="shared" si="10"/>
        <v>-1.5789473684210575E-2</v>
      </c>
      <c r="W118" s="278">
        <f t="shared" si="11"/>
        <v>-1.603228356286646E-2</v>
      </c>
    </row>
    <row r="119" spans="1:23" x14ac:dyDescent="0.2">
      <c r="A119" s="8">
        <v>41873</v>
      </c>
      <c r="B119" s="9">
        <v>6.5750000000000002</v>
      </c>
      <c r="E119" s="51"/>
      <c r="F119" s="51"/>
      <c r="G119" s="51"/>
      <c r="H119" s="51"/>
      <c r="I119" s="51"/>
      <c r="J119" s="53"/>
      <c r="K119" s="53"/>
      <c r="L119" s="53"/>
      <c r="M119" s="53"/>
      <c r="N119" s="53"/>
      <c r="O119" s="139"/>
      <c r="P119" s="50"/>
      <c r="Q119" s="57"/>
      <c r="R119" s="12">
        <v>41884</v>
      </c>
      <c r="S119" s="11">
        <v>6.5250000000000004</v>
      </c>
      <c r="T119" s="148">
        <v>0.83386581469648569</v>
      </c>
      <c r="U119" s="148">
        <f t="shared" si="9"/>
        <v>6.3434387378533961</v>
      </c>
      <c r="V119" s="278">
        <f t="shared" si="10"/>
        <v>-3.0557677616500634E-3</v>
      </c>
      <c r="W119" s="278">
        <f t="shared" si="11"/>
        <v>-3.2985776403059493E-3</v>
      </c>
    </row>
    <row r="120" spans="1:23" x14ac:dyDescent="0.2">
      <c r="A120" s="8">
        <v>41876</v>
      </c>
      <c r="B120" s="9">
        <v>6.6850000000000005</v>
      </c>
      <c r="E120" s="51"/>
      <c r="F120" s="51"/>
      <c r="G120" s="51"/>
      <c r="H120" s="51"/>
      <c r="I120" s="51"/>
      <c r="J120" s="53"/>
      <c r="K120" s="53"/>
      <c r="L120" s="53"/>
      <c r="M120" s="53"/>
      <c r="N120" s="53"/>
      <c r="O120" s="139"/>
      <c r="P120" s="50"/>
      <c r="Q120" s="57"/>
      <c r="R120" s="12">
        <v>41885</v>
      </c>
      <c r="S120" s="11">
        <v>6.7949999999999999</v>
      </c>
      <c r="T120" s="148">
        <v>0.86837060702875402</v>
      </c>
      <c r="U120" s="148">
        <f t="shared" si="9"/>
        <v>6.6043856084502321</v>
      </c>
      <c r="V120" s="278">
        <f t="shared" si="10"/>
        <v>4.1379310344827447E-2</v>
      </c>
      <c r="W120" s="278">
        <f t="shared" si="11"/>
        <v>4.1136500466171559E-2</v>
      </c>
    </row>
    <row r="121" spans="1:23" x14ac:dyDescent="0.2">
      <c r="A121" s="8">
        <v>41877</v>
      </c>
      <c r="B121" s="9">
        <v>6.85</v>
      </c>
      <c r="E121" s="51"/>
      <c r="F121" s="51"/>
      <c r="G121" s="51"/>
      <c r="H121" s="51"/>
      <c r="I121" s="51"/>
      <c r="J121" s="53"/>
      <c r="K121" s="53"/>
      <c r="L121" s="53"/>
      <c r="M121" s="53"/>
      <c r="N121" s="53"/>
      <c r="O121" s="139"/>
      <c r="P121" s="50"/>
      <c r="Q121" s="57"/>
      <c r="R121" s="12">
        <v>41886</v>
      </c>
      <c r="S121" s="11">
        <v>7.11</v>
      </c>
      <c r="T121" s="148">
        <v>0.9086261980830671</v>
      </c>
      <c r="U121" s="148">
        <f t="shared" si="9"/>
        <v>6.9089455696347066</v>
      </c>
      <c r="V121" s="278">
        <f t="shared" si="10"/>
        <v>4.635761589403975E-2</v>
      </c>
      <c r="W121" s="278">
        <f t="shared" si="11"/>
        <v>4.6114806015383862E-2</v>
      </c>
    </row>
    <row r="122" spans="1:23" x14ac:dyDescent="0.2">
      <c r="A122" s="8">
        <v>41878</v>
      </c>
      <c r="B122" s="9">
        <v>6.8949999999999996</v>
      </c>
      <c r="E122" s="51"/>
      <c r="F122" s="51"/>
      <c r="G122" s="51"/>
      <c r="H122" s="51"/>
      <c r="I122" s="51"/>
      <c r="J122" s="53"/>
      <c r="K122" s="53"/>
      <c r="L122" s="53"/>
      <c r="M122" s="53"/>
      <c r="N122" s="53"/>
      <c r="O122" s="139"/>
      <c r="P122" s="50"/>
      <c r="Q122" s="57"/>
      <c r="R122" s="12">
        <v>41887</v>
      </c>
      <c r="S122" s="11">
        <v>7.24</v>
      </c>
      <c r="T122" s="148">
        <v>0.92523961661341858</v>
      </c>
      <c r="U122" s="148">
        <f t="shared" si="9"/>
        <v>7.0335919087034542</v>
      </c>
      <c r="V122" s="278">
        <f t="shared" si="10"/>
        <v>1.8284106891701901E-2</v>
      </c>
      <c r="W122" s="278">
        <f t="shared" si="11"/>
        <v>1.8041297013046017E-2</v>
      </c>
    </row>
    <row r="123" spans="1:23" x14ac:dyDescent="0.2">
      <c r="A123" s="8">
        <v>41879</v>
      </c>
      <c r="B123" s="9">
        <v>6.72</v>
      </c>
      <c r="E123" s="51"/>
      <c r="F123" s="51"/>
      <c r="G123" s="51"/>
      <c r="H123" s="51"/>
      <c r="I123" s="51"/>
      <c r="J123" s="53"/>
      <c r="K123" s="53"/>
      <c r="L123" s="53"/>
      <c r="M123" s="53"/>
      <c r="N123" s="53"/>
      <c r="O123" s="139"/>
      <c r="P123" s="50"/>
      <c r="Q123" s="57"/>
      <c r="R123" s="12">
        <v>41890</v>
      </c>
      <c r="S123" s="11">
        <v>7.22</v>
      </c>
      <c r="T123" s="148">
        <v>0.92268370607028749</v>
      </c>
      <c r="U123" s="148">
        <f t="shared" si="9"/>
        <v>7.0124542712030911</v>
      </c>
      <c r="V123" s="278">
        <f t="shared" si="10"/>
        <v>-2.7624309392265678E-3</v>
      </c>
      <c r="W123" s="278">
        <f t="shared" si="11"/>
        <v>-3.0052408178824538E-3</v>
      </c>
    </row>
    <row r="124" spans="1:23" x14ac:dyDescent="0.2">
      <c r="A124" s="8">
        <v>41880</v>
      </c>
      <c r="B124" s="9">
        <v>6.65</v>
      </c>
      <c r="E124" s="51"/>
      <c r="F124" s="51"/>
      <c r="G124" s="51"/>
      <c r="H124" s="51"/>
      <c r="I124" s="51"/>
      <c r="J124" s="53"/>
      <c r="K124" s="53"/>
      <c r="L124" s="53"/>
      <c r="M124" s="53"/>
      <c r="N124" s="53"/>
      <c r="O124" s="139"/>
      <c r="P124" s="50"/>
      <c r="Q124" s="57"/>
      <c r="R124" s="12">
        <v>41891</v>
      </c>
      <c r="S124" s="11">
        <v>7.1</v>
      </c>
      <c r="T124" s="148">
        <v>0.9073482428115015</v>
      </c>
      <c r="U124" s="148">
        <f t="shared" si="9"/>
        <v>6.8942010915304293</v>
      </c>
      <c r="V124" s="278">
        <f t="shared" si="10"/>
        <v>-1.6620498614958512E-2</v>
      </c>
      <c r="W124" s="278">
        <f t="shared" si="11"/>
        <v>-1.6863308493614396E-2</v>
      </c>
    </row>
    <row r="125" spans="1:23" x14ac:dyDescent="0.2">
      <c r="A125" s="8">
        <v>41883</v>
      </c>
      <c r="B125" s="9">
        <v>6.5449999999999999</v>
      </c>
      <c r="E125" s="51"/>
      <c r="F125" s="51"/>
      <c r="G125" s="51"/>
      <c r="H125" s="51"/>
      <c r="I125" s="51"/>
      <c r="J125" s="53"/>
      <c r="K125" s="53"/>
      <c r="L125" s="53"/>
      <c r="M125" s="53"/>
      <c r="N125" s="53"/>
      <c r="O125" s="139"/>
      <c r="P125" s="50"/>
      <c r="Q125" s="57"/>
      <c r="R125" s="12">
        <v>41892</v>
      </c>
      <c r="S125" s="11">
        <v>7.13</v>
      </c>
      <c r="T125" s="148">
        <v>0.91118210862619808</v>
      </c>
      <c r="U125" s="148">
        <f t="shared" si="9"/>
        <v>6.9216575385472767</v>
      </c>
      <c r="V125" s="278">
        <f t="shared" si="10"/>
        <v>4.2253521126760507E-3</v>
      </c>
      <c r="W125" s="278">
        <f t="shared" si="11"/>
        <v>3.9825422340201647E-3</v>
      </c>
    </row>
    <row r="126" spans="1:23" x14ac:dyDescent="0.2">
      <c r="A126" s="8">
        <v>41884</v>
      </c>
      <c r="B126" s="9">
        <v>6.5250000000000004</v>
      </c>
      <c r="E126" s="51"/>
      <c r="F126" s="51"/>
      <c r="G126" s="51"/>
      <c r="H126" s="51"/>
      <c r="I126" s="51"/>
      <c r="J126" s="53"/>
      <c r="K126" s="53"/>
      <c r="L126" s="53"/>
      <c r="M126" s="53"/>
      <c r="N126" s="53"/>
      <c r="O126" s="139"/>
      <c r="P126" s="50"/>
      <c r="Q126" s="57"/>
      <c r="R126" s="12">
        <v>41893</v>
      </c>
      <c r="S126" s="11">
        <v>7</v>
      </c>
      <c r="T126" s="148">
        <v>0.89456869009584661</v>
      </c>
      <c r="U126" s="148">
        <f t="shared" si="9"/>
        <v>6.793775562125413</v>
      </c>
      <c r="V126" s="278">
        <f t="shared" si="10"/>
        <v>-1.8232819074333828E-2</v>
      </c>
      <c r="W126" s="278">
        <f t="shared" si="11"/>
        <v>-1.8475628952989712E-2</v>
      </c>
    </row>
    <row r="127" spans="1:23" x14ac:dyDescent="0.2">
      <c r="A127" s="8">
        <v>41885</v>
      </c>
      <c r="B127" s="9">
        <v>6.7949999999999999</v>
      </c>
      <c r="E127" s="51"/>
      <c r="F127" s="51"/>
      <c r="G127" s="51"/>
      <c r="H127" s="51"/>
      <c r="I127" s="51"/>
      <c r="J127" s="53"/>
      <c r="K127" s="53"/>
      <c r="L127" s="53"/>
      <c r="M127" s="53"/>
      <c r="N127" s="53"/>
      <c r="O127" s="139"/>
      <c r="P127" s="50"/>
      <c r="Q127" s="57"/>
      <c r="R127" s="12">
        <v>41894</v>
      </c>
      <c r="S127" s="11">
        <v>7.0449999999999999</v>
      </c>
      <c r="T127" s="148">
        <v>0.90031948881789137</v>
      </c>
      <c r="U127" s="148">
        <f t="shared" si="9"/>
        <v>6.8358002377763638</v>
      </c>
      <c r="V127" s="278">
        <f t="shared" si="10"/>
        <v>6.4285714285714501E-3</v>
      </c>
      <c r="W127" s="278">
        <f t="shared" si="11"/>
        <v>6.1857615499155642E-3</v>
      </c>
    </row>
    <row r="128" spans="1:23" x14ac:dyDescent="0.2">
      <c r="A128" s="8">
        <v>41886</v>
      </c>
      <c r="B128" s="9">
        <v>7.11</v>
      </c>
      <c r="E128" s="51"/>
      <c r="F128" s="51"/>
      <c r="G128" s="51"/>
      <c r="H128" s="51"/>
      <c r="I128" s="51"/>
      <c r="J128" s="53"/>
      <c r="K128" s="53"/>
      <c r="L128" s="53"/>
      <c r="M128" s="53"/>
      <c r="N128" s="53"/>
      <c r="O128" s="139"/>
      <c r="P128" s="50"/>
      <c r="Q128" s="57"/>
      <c r="R128" s="12">
        <v>41897</v>
      </c>
      <c r="S128" s="11">
        <v>6.9350000000000005</v>
      </c>
      <c r="T128" s="148">
        <v>0.88626198083067098</v>
      </c>
      <c r="U128" s="148">
        <f t="shared" si="9"/>
        <v>6.7274068643297591</v>
      </c>
      <c r="V128" s="278">
        <f t="shared" si="10"/>
        <v>-1.5613910574875711E-2</v>
      </c>
      <c r="W128" s="278">
        <f t="shared" si="11"/>
        <v>-1.5856720453531595E-2</v>
      </c>
    </row>
    <row r="129" spans="1:23" x14ac:dyDescent="0.2">
      <c r="A129" s="8">
        <v>41887</v>
      </c>
      <c r="B129" s="9">
        <v>7.24</v>
      </c>
      <c r="E129" s="51"/>
      <c r="F129" s="51"/>
      <c r="G129" s="51"/>
      <c r="H129" s="51"/>
      <c r="I129" s="51"/>
      <c r="J129" s="53"/>
      <c r="K129" s="53"/>
      <c r="L129" s="53"/>
      <c r="M129" s="53"/>
      <c r="N129" s="53"/>
      <c r="O129" s="139"/>
      <c r="P129" s="50"/>
      <c r="Q129" s="57"/>
      <c r="R129" s="12">
        <v>41898</v>
      </c>
      <c r="S129" s="11">
        <v>6.8250000000000002</v>
      </c>
      <c r="T129" s="148">
        <v>0.87220447284345048</v>
      </c>
      <c r="U129" s="148">
        <f t="shared" si="9"/>
        <v>6.619066136899022</v>
      </c>
      <c r="V129" s="278">
        <f t="shared" si="10"/>
        <v>-1.5861571737563085E-2</v>
      </c>
      <c r="W129" s="278">
        <f t="shared" si="11"/>
        <v>-1.6104381616218969E-2</v>
      </c>
    </row>
    <row r="130" spans="1:23" x14ac:dyDescent="0.2">
      <c r="A130" s="8">
        <v>41890</v>
      </c>
      <c r="B130" s="9">
        <v>7.22</v>
      </c>
      <c r="E130" s="51"/>
      <c r="F130" s="51"/>
      <c r="G130" s="51"/>
      <c r="H130" s="51"/>
      <c r="I130" s="51"/>
      <c r="J130" s="53"/>
      <c r="K130" s="53"/>
      <c r="L130" s="53"/>
      <c r="M130" s="53"/>
      <c r="N130" s="53"/>
      <c r="O130" s="139"/>
      <c r="P130" s="50"/>
      <c r="Q130" s="57"/>
      <c r="R130" s="12">
        <v>41899</v>
      </c>
      <c r="S130" s="11">
        <v>7.01</v>
      </c>
      <c r="T130" s="148">
        <v>0.8958466453674121</v>
      </c>
      <c r="U130" s="148">
        <f t="shared" si="9"/>
        <v>6.7968768721914268</v>
      </c>
      <c r="V130" s="278">
        <f t="shared" si="10"/>
        <v>2.710622710622701E-2</v>
      </c>
      <c r="W130" s="278">
        <f t="shared" si="11"/>
        <v>2.6863417227571126E-2</v>
      </c>
    </row>
    <row r="131" spans="1:23" x14ac:dyDescent="0.2">
      <c r="A131" s="8">
        <v>41891</v>
      </c>
      <c r="B131" s="9">
        <v>7.1</v>
      </c>
      <c r="E131" s="51"/>
      <c r="F131" s="51"/>
      <c r="G131" s="51"/>
      <c r="H131" s="51"/>
      <c r="I131" s="51"/>
      <c r="J131" s="53"/>
      <c r="K131" s="53"/>
      <c r="L131" s="53"/>
      <c r="M131" s="53"/>
      <c r="N131" s="53"/>
      <c r="O131" s="139"/>
      <c r="P131" s="50"/>
      <c r="Q131" s="57"/>
      <c r="R131" s="12">
        <v>41900</v>
      </c>
      <c r="S131" s="11">
        <v>7.0750000000000002</v>
      </c>
      <c r="T131" s="148">
        <v>0.90415335463258784</v>
      </c>
      <c r="U131" s="148">
        <f t="shared" si="9"/>
        <v>6.8582503459808599</v>
      </c>
      <c r="V131" s="278">
        <f t="shared" si="10"/>
        <v>9.2724679029958512E-3</v>
      </c>
      <c r="W131" s="278">
        <f t="shared" si="11"/>
        <v>9.0296580243399652E-3</v>
      </c>
    </row>
    <row r="132" spans="1:23" x14ac:dyDescent="0.2">
      <c r="A132" s="8">
        <v>41892</v>
      </c>
      <c r="B132" s="9">
        <v>7.13</v>
      </c>
      <c r="E132" s="51"/>
      <c r="F132" s="51"/>
      <c r="G132" s="51"/>
      <c r="H132" s="51"/>
      <c r="I132" s="51"/>
      <c r="J132" s="53"/>
      <c r="K132" s="53"/>
      <c r="L132" s="53"/>
      <c r="M132" s="53"/>
      <c r="N132" s="53"/>
      <c r="O132" s="139"/>
      <c r="P132" s="50"/>
      <c r="Q132" s="57"/>
      <c r="R132" s="12">
        <v>41901</v>
      </c>
      <c r="S132" s="11">
        <v>7.09</v>
      </c>
      <c r="T132" s="148">
        <v>0.90607028753993601</v>
      </c>
      <c r="U132" s="148">
        <f t="shared" si="9"/>
        <v>6.8711255551440447</v>
      </c>
      <c r="V132" s="278">
        <f t="shared" si="10"/>
        <v>2.1201413427560656E-3</v>
      </c>
      <c r="W132" s="278">
        <f t="shared" si="11"/>
        <v>1.8773314641001798E-3</v>
      </c>
    </row>
    <row r="133" spans="1:23" x14ac:dyDescent="0.2">
      <c r="A133" s="8">
        <v>41893</v>
      </c>
      <c r="B133" s="9">
        <v>7</v>
      </c>
      <c r="E133" s="51"/>
      <c r="F133" s="51"/>
      <c r="G133" s="51"/>
      <c r="H133" s="51"/>
      <c r="I133" s="51"/>
      <c r="J133" s="53"/>
      <c r="K133" s="53"/>
      <c r="L133" s="53"/>
      <c r="M133" s="53"/>
      <c r="N133" s="53"/>
      <c r="O133" s="139"/>
      <c r="P133" s="50"/>
      <c r="Q133" s="57"/>
      <c r="R133" s="12">
        <v>41904</v>
      </c>
      <c r="S133" s="11">
        <v>6.88</v>
      </c>
      <c r="T133" s="148">
        <v>0.87923322683706062</v>
      </c>
      <c r="U133" s="148">
        <f t="shared" si="9"/>
        <v>6.6659400599873777</v>
      </c>
      <c r="V133" s="278">
        <f t="shared" si="10"/>
        <v>-2.9619181946403339E-2</v>
      </c>
      <c r="W133" s="278">
        <f t="shared" si="11"/>
        <v>-2.9861991825059223E-2</v>
      </c>
    </row>
    <row r="134" spans="1:23" x14ac:dyDescent="0.2">
      <c r="A134" s="8">
        <v>41894</v>
      </c>
      <c r="B134" s="9">
        <v>7.0449999999999999</v>
      </c>
      <c r="E134" s="51"/>
      <c r="F134" s="51"/>
      <c r="G134" s="51"/>
      <c r="H134" s="51"/>
      <c r="I134" s="51"/>
      <c r="J134" s="53"/>
      <c r="K134" s="53"/>
      <c r="L134" s="53"/>
      <c r="M134" s="53"/>
      <c r="N134" s="53"/>
      <c r="O134" s="139"/>
      <c r="P134" s="50"/>
      <c r="Q134" s="57"/>
      <c r="R134" s="12">
        <v>41905</v>
      </c>
      <c r="S134" s="11">
        <v>6.7949999999999999</v>
      </c>
      <c r="T134" s="148">
        <v>0.86837060702875402</v>
      </c>
      <c r="U134" s="148">
        <f t="shared" si="9"/>
        <v>6.5819661397770686</v>
      </c>
      <c r="V134" s="278">
        <f t="shared" si="10"/>
        <v>-1.2354651162790664E-2</v>
      </c>
      <c r="W134" s="278">
        <f t="shared" si="11"/>
        <v>-1.259746104144655E-2</v>
      </c>
    </row>
    <row r="135" spans="1:23" x14ac:dyDescent="0.2">
      <c r="A135" s="8">
        <v>41897</v>
      </c>
      <c r="B135" s="9">
        <v>6.9350000000000005</v>
      </c>
      <c r="E135" s="51"/>
      <c r="F135" s="51"/>
      <c r="G135" s="51"/>
      <c r="H135" s="51"/>
      <c r="I135" s="51"/>
      <c r="J135" s="53"/>
      <c r="K135" s="53"/>
      <c r="L135" s="53"/>
      <c r="M135" s="53"/>
      <c r="N135" s="53"/>
      <c r="O135" s="139"/>
      <c r="P135" s="50"/>
      <c r="Q135" s="57"/>
      <c r="R135" s="12">
        <v>41906</v>
      </c>
      <c r="S135" s="11">
        <v>6.71</v>
      </c>
      <c r="T135" s="148">
        <v>0.8575079872204473</v>
      </c>
      <c r="U135" s="148">
        <f t="shared" si="9"/>
        <v>6.4980328561027312</v>
      </c>
      <c r="V135" s="278">
        <f t="shared" si="10"/>
        <v>-1.2509197939661543E-2</v>
      </c>
      <c r="W135" s="278">
        <f t="shared" si="11"/>
        <v>-1.2752007818317429E-2</v>
      </c>
    </row>
    <row r="136" spans="1:23" x14ac:dyDescent="0.2">
      <c r="A136" s="8">
        <v>41898</v>
      </c>
      <c r="B136" s="9">
        <v>6.8250000000000002</v>
      </c>
      <c r="E136" s="51"/>
      <c r="F136" s="51"/>
      <c r="G136" s="51"/>
      <c r="H136" s="51"/>
      <c r="I136" s="51"/>
      <c r="J136" s="53"/>
      <c r="K136" s="53"/>
      <c r="L136" s="53"/>
      <c r="M136" s="53"/>
      <c r="N136" s="53"/>
      <c r="O136" s="139"/>
      <c r="P136" s="50"/>
      <c r="Q136" s="57"/>
      <c r="R136" s="12">
        <v>41907</v>
      </c>
      <c r="S136" s="11">
        <v>6.6550000000000002</v>
      </c>
      <c r="T136" s="148">
        <v>0.85047923322683705</v>
      </c>
      <c r="U136" s="148">
        <f t="shared" si="9"/>
        <v>6.4431925051391543</v>
      </c>
      <c r="V136" s="278">
        <f t="shared" si="10"/>
        <v>-8.1967213114754189E-3</v>
      </c>
      <c r="W136" s="278">
        <f t="shared" si="11"/>
        <v>-8.4395311901313049E-3</v>
      </c>
    </row>
    <row r="137" spans="1:23" x14ac:dyDescent="0.2">
      <c r="A137" s="8">
        <v>41899</v>
      </c>
      <c r="B137" s="9">
        <v>7.01</v>
      </c>
      <c r="E137" s="51"/>
      <c r="F137" s="51"/>
      <c r="G137" s="51"/>
      <c r="H137" s="51"/>
      <c r="I137" s="51"/>
      <c r="J137" s="53"/>
      <c r="K137" s="53"/>
      <c r="L137" s="53"/>
      <c r="M137" s="53"/>
      <c r="N137" s="53"/>
      <c r="O137" s="139"/>
      <c r="P137" s="50"/>
      <c r="Q137" s="57"/>
      <c r="R137" s="12">
        <v>41908</v>
      </c>
      <c r="S137" s="11">
        <v>6.77</v>
      </c>
      <c r="T137" s="148">
        <v>0.86517571884984024</v>
      </c>
      <c r="U137" s="148">
        <f t="shared" si="9"/>
        <v>6.5529679499147147</v>
      </c>
      <c r="V137" s="278">
        <f t="shared" si="10"/>
        <v>1.728024042073617E-2</v>
      </c>
      <c r="W137" s="278">
        <f t="shared" si="11"/>
        <v>1.7037430542080286E-2</v>
      </c>
    </row>
    <row r="138" spans="1:23" x14ac:dyDescent="0.2">
      <c r="A138" s="8">
        <v>41900</v>
      </c>
      <c r="B138" s="9">
        <v>7.0750000000000002</v>
      </c>
      <c r="E138" s="51"/>
      <c r="F138" s="51"/>
      <c r="G138" s="51"/>
      <c r="H138" s="51"/>
      <c r="I138" s="51"/>
      <c r="J138" s="53"/>
      <c r="K138" s="53"/>
      <c r="L138" s="53"/>
      <c r="M138" s="53"/>
      <c r="N138" s="53"/>
      <c r="O138" s="139"/>
      <c r="P138" s="50"/>
      <c r="Q138" s="57"/>
      <c r="R138" s="12">
        <v>41911</v>
      </c>
      <c r="S138" s="11">
        <v>6.5949999999999998</v>
      </c>
      <c r="T138" s="148">
        <v>0.842811501597444</v>
      </c>
      <c r="U138" s="148">
        <f t="shared" si="9"/>
        <v>6.3819869587960705</v>
      </c>
      <c r="V138" s="278">
        <f t="shared" si="10"/>
        <v>-2.584933530280642E-2</v>
      </c>
      <c r="W138" s="278">
        <f t="shared" si="11"/>
        <v>-2.6092145181462304E-2</v>
      </c>
    </row>
    <row r="139" spans="1:23" x14ac:dyDescent="0.2">
      <c r="A139" s="8">
        <v>41901</v>
      </c>
      <c r="B139" s="9">
        <v>7.09</v>
      </c>
      <c r="E139" s="51"/>
      <c r="F139" s="51"/>
      <c r="G139" s="51"/>
      <c r="H139" s="51"/>
      <c r="I139" s="51"/>
      <c r="J139" s="53"/>
      <c r="K139" s="53"/>
      <c r="L139" s="53"/>
      <c r="M139" s="53"/>
      <c r="N139" s="53"/>
      <c r="O139" s="139"/>
      <c r="P139" s="50"/>
      <c r="Q139" s="57"/>
      <c r="R139" s="12">
        <v>41912</v>
      </c>
      <c r="S139" s="11">
        <v>6.8100000000000005</v>
      </c>
      <c r="T139" s="148">
        <v>0.87028753993610231</v>
      </c>
      <c r="U139" s="148">
        <f t="shared" si="9"/>
        <v>6.5884930272762565</v>
      </c>
      <c r="V139" s="278">
        <f t="shared" si="10"/>
        <v>3.2600454890068242E-2</v>
      </c>
      <c r="W139" s="278">
        <f t="shared" si="11"/>
        <v>3.2357645011412355E-2</v>
      </c>
    </row>
    <row r="140" spans="1:23" x14ac:dyDescent="0.2">
      <c r="A140" s="8">
        <v>41904</v>
      </c>
      <c r="B140" s="9">
        <v>6.88</v>
      </c>
      <c r="E140" s="51"/>
      <c r="F140" s="51"/>
      <c r="G140" s="51"/>
      <c r="H140" s="51"/>
      <c r="I140" s="51"/>
      <c r="J140" s="53"/>
      <c r="K140" s="53"/>
      <c r="L140" s="53"/>
      <c r="M140" s="53"/>
      <c r="N140" s="53"/>
      <c r="O140" s="139"/>
      <c r="P140" s="50"/>
      <c r="Q140" s="57"/>
      <c r="R140" s="12">
        <v>41913</v>
      </c>
      <c r="S140" s="11">
        <v>6.91</v>
      </c>
      <c r="T140" s="148">
        <v>0.8830670926517572</v>
      </c>
      <c r="U140" s="148">
        <f t="shared" si="9"/>
        <v>6.6836406039439273</v>
      </c>
      <c r="V140" s="278">
        <f t="shared" si="10"/>
        <v>1.4684287812041008E-2</v>
      </c>
      <c r="W140" s="278">
        <f t="shared" si="11"/>
        <v>1.4441477933385122E-2</v>
      </c>
    </row>
    <row r="141" spans="1:23" x14ac:dyDescent="0.2">
      <c r="A141" s="8">
        <v>41905</v>
      </c>
      <c r="B141" s="9">
        <v>6.7949999999999999</v>
      </c>
      <c r="E141" s="51"/>
      <c r="F141" s="51"/>
      <c r="G141" s="51"/>
      <c r="H141" s="51"/>
      <c r="I141" s="51"/>
      <c r="J141" s="53"/>
      <c r="K141" s="53"/>
      <c r="L141" s="53"/>
      <c r="M141" s="53"/>
      <c r="N141" s="53"/>
      <c r="O141" s="139"/>
      <c r="P141" s="50"/>
      <c r="Q141" s="57"/>
      <c r="R141" s="12">
        <v>41914</v>
      </c>
      <c r="S141" s="11">
        <v>6.64</v>
      </c>
      <c r="T141" s="148">
        <v>0.84856230031948876</v>
      </c>
      <c r="U141" s="148">
        <f t="shared" si="9"/>
        <v>6.4208624731253652</v>
      </c>
      <c r="V141" s="278">
        <f t="shared" si="10"/>
        <v>-3.9073806078147699E-2</v>
      </c>
      <c r="W141" s="278">
        <f t="shared" si="11"/>
        <v>-3.9316615956803587E-2</v>
      </c>
    </row>
    <row r="142" spans="1:23" x14ac:dyDescent="0.2">
      <c r="A142" s="8">
        <v>41906</v>
      </c>
      <c r="B142" s="9">
        <v>6.71</v>
      </c>
      <c r="E142" s="51"/>
      <c r="F142" s="51"/>
      <c r="G142" s="51"/>
      <c r="H142" s="51"/>
      <c r="I142" s="51"/>
      <c r="J142" s="53"/>
      <c r="K142" s="53"/>
      <c r="L142" s="53"/>
      <c r="M142" s="53"/>
      <c r="N142" s="53"/>
      <c r="O142" s="139"/>
      <c r="P142" s="50"/>
      <c r="Q142" s="57"/>
      <c r="R142" s="12">
        <v>41915</v>
      </c>
      <c r="S142" s="11">
        <v>6.7949999999999999</v>
      </c>
      <c r="T142" s="148">
        <v>0.86837060702875402</v>
      </c>
      <c r="U142" s="148">
        <f t="shared" si="9"/>
        <v>6.5691880151510178</v>
      </c>
      <c r="V142" s="278">
        <f t="shared" si="10"/>
        <v>2.3343373493975861E-2</v>
      </c>
      <c r="W142" s="278">
        <f t="shared" si="11"/>
        <v>2.3100563615319977E-2</v>
      </c>
    </row>
    <row r="143" spans="1:23" x14ac:dyDescent="0.2">
      <c r="A143" s="8">
        <v>41907</v>
      </c>
      <c r="B143" s="9">
        <v>6.6550000000000002</v>
      </c>
      <c r="E143" s="51"/>
      <c r="F143" s="51"/>
      <c r="G143" s="51"/>
      <c r="H143" s="51"/>
      <c r="I143" s="51"/>
      <c r="J143" s="53"/>
      <c r="K143" s="53"/>
      <c r="L143" s="53"/>
      <c r="M143" s="53"/>
      <c r="N143" s="53"/>
      <c r="O143" s="139"/>
      <c r="P143" s="50"/>
      <c r="Q143" s="57"/>
      <c r="R143" s="12">
        <v>41918</v>
      </c>
      <c r="S143" s="11">
        <v>6.8100000000000005</v>
      </c>
      <c r="T143" s="148">
        <v>0.87028753993610231</v>
      </c>
      <c r="U143" s="148">
        <f t="shared" si="9"/>
        <v>6.5820944702034332</v>
      </c>
      <c r="V143" s="278">
        <f t="shared" si="10"/>
        <v>2.2075055187638082E-3</v>
      </c>
      <c r="W143" s="278">
        <f t="shared" si="11"/>
        <v>1.9646956401079222E-3</v>
      </c>
    </row>
    <row r="144" spans="1:23" x14ac:dyDescent="0.2">
      <c r="A144" s="8">
        <v>41908</v>
      </c>
      <c r="B144" s="9">
        <v>6.77</v>
      </c>
      <c r="E144" s="51"/>
      <c r="F144" s="51"/>
      <c r="G144" s="51"/>
      <c r="H144" s="51"/>
      <c r="I144" s="51"/>
      <c r="J144" s="53"/>
      <c r="K144" s="53"/>
      <c r="L144" s="53"/>
      <c r="M144" s="53"/>
      <c r="N144" s="53"/>
      <c r="O144" s="139"/>
      <c r="P144" s="50"/>
      <c r="Q144" s="57"/>
      <c r="R144" s="12">
        <v>41919</v>
      </c>
      <c r="S144" s="11">
        <v>6.67</v>
      </c>
      <c r="T144" s="148">
        <v>0.85239616613418523</v>
      </c>
      <c r="U144" s="148">
        <f t="shared" si="9"/>
        <v>6.4451815551947051</v>
      </c>
      <c r="V144" s="278">
        <f t="shared" si="10"/>
        <v>-2.0558002936857611E-2</v>
      </c>
      <c r="W144" s="278">
        <f t="shared" si="11"/>
        <v>-2.0800812815513495E-2</v>
      </c>
    </row>
    <row r="145" spans="1:23" x14ac:dyDescent="0.2">
      <c r="A145" s="8">
        <v>41911</v>
      </c>
      <c r="B145" s="9">
        <v>6.5949999999999998</v>
      </c>
      <c r="E145" s="51"/>
      <c r="F145" s="51"/>
      <c r="G145" s="51"/>
      <c r="H145" s="51"/>
      <c r="I145" s="51"/>
      <c r="J145" s="53"/>
      <c r="K145" s="53"/>
      <c r="L145" s="53"/>
      <c r="M145" s="53"/>
      <c r="N145" s="53"/>
      <c r="O145" s="139"/>
      <c r="P145" s="50"/>
      <c r="Q145" s="57"/>
      <c r="R145" s="12">
        <v>41920</v>
      </c>
      <c r="S145" s="11">
        <v>6.6449999999999996</v>
      </c>
      <c r="T145" s="148">
        <v>0.84920127795527145</v>
      </c>
      <c r="U145" s="148">
        <f t="shared" si="9"/>
        <v>6.4194592492874705</v>
      </c>
      <c r="V145" s="278">
        <f t="shared" si="10"/>
        <v>-3.7481259370315545E-3</v>
      </c>
      <c r="W145" s="278">
        <f t="shared" si="11"/>
        <v>-3.9909358156874405E-3</v>
      </c>
    </row>
    <row r="146" spans="1:23" x14ac:dyDescent="0.2">
      <c r="A146" s="8">
        <v>41912</v>
      </c>
      <c r="B146" s="9">
        <v>6.8100000000000005</v>
      </c>
      <c r="E146" s="51"/>
      <c r="F146" s="51"/>
      <c r="G146" s="51"/>
      <c r="H146" s="51"/>
      <c r="I146" s="51"/>
      <c r="J146" s="53"/>
      <c r="K146" s="53"/>
      <c r="L146" s="53"/>
      <c r="M146" s="53"/>
      <c r="N146" s="53"/>
      <c r="O146" s="139"/>
      <c r="P146" s="50"/>
      <c r="Q146" s="57"/>
      <c r="R146" s="12">
        <v>41921</v>
      </c>
      <c r="S146" s="11">
        <v>6.49</v>
      </c>
      <c r="T146" s="148">
        <v>0.82939297124600642</v>
      </c>
      <c r="U146" s="148">
        <f t="shared" si="9"/>
        <v>6.2681614616116299</v>
      </c>
      <c r="V146" s="278">
        <f t="shared" si="10"/>
        <v>-2.3325808878856158E-2</v>
      </c>
      <c r="W146" s="278">
        <f t="shared" si="11"/>
        <v>-2.3568618757512042E-2</v>
      </c>
    </row>
    <row r="147" spans="1:23" x14ac:dyDescent="0.2">
      <c r="A147" s="8">
        <v>41913</v>
      </c>
      <c r="B147" s="9">
        <v>6.91</v>
      </c>
      <c r="E147" s="51"/>
      <c r="F147" s="51"/>
      <c r="G147" s="51"/>
      <c r="H147" s="51"/>
      <c r="I147" s="51"/>
      <c r="J147" s="53"/>
      <c r="K147" s="53"/>
      <c r="L147" s="53"/>
      <c r="M147" s="53"/>
      <c r="N147" s="53"/>
      <c r="O147" s="139"/>
      <c r="P147" s="50"/>
      <c r="Q147" s="57"/>
      <c r="R147" s="12">
        <v>41922</v>
      </c>
      <c r="S147" s="11">
        <v>6.48</v>
      </c>
      <c r="T147" s="148">
        <v>0.82811501597444093</v>
      </c>
      <c r="U147" s="148">
        <f t="shared" si="9"/>
        <v>6.2569813060174608</v>
      </c>
      <c r="V147" s="278">
        <f t="shared" si="10"/>
        <v>-1.5408320493065508E-3</v>
      </c>
      <c r="W147" s="278">
        <f t="shared" si="11"/>
        <v>-1.7836419279624366E-3</v>
      </c>
    </row>
    <row r="148" spans="1:23" x14ac:dyDescent="0.2">
      <c r="A148" s="8">
        <v>41914</v>
      </c>
      <c r="B148" s="9">
        <v>6.64</v>
      </c>
      <c r="E148" s="51"/>
      <c r="F148" s="51"/>
      <c r="G148" s="51"/>
      <c r="H148" s="51"/>
      <c r="I148" s="51"/>
      <c r="J148" s="53"/>
      <c r="K148" s="53"/>
      <c r="L148" s="53"/>
      <c r="M148" s="53"/>
      <c r="N148" s="53"/>
      <c r="O148" s="139"/>
      <c r="P148" s="50"/>
      <c r="Q148" s="57"/>
      <c r="R148" s="12">
        <v>41925</v>
      </c>
      <c r="S148" s="11">
        <v>6.4450000000000003</v>
      </c>
      <c r="T148" s="148">
        <v>0.82364217252396166</v>
      </c>
      <c r="U148" s="148">
        <f t="shared" si="9"/>
        <v>6.2216666254250219</v>
      </c>
      <c r="V148" s="278">
        <f t="shared" si="10"/>
        <v>-5.401234567901203E-3</v>
      </c>
      <c r="W148" s="278">
        <f t="shared" si="11"/>
        <v>-5.644044446557089E-3</v>
      </c>
    </row>
    <row r="149" spans="1:23" x14ac:dyDescent="0.2">
      <c r="A149" s="8">
        <v>41915</v>
      </c>
      <c r="B149" s="9">
        <v>6.7949999999999999</v>
      </c>
      <c r="E149" s="51"/>
      <c r="F149" s="51"/>
      <c r="G149" s="51"/>
      <c r="H149" s="51"/>
      <c r="I149" s="51"/>
      <c r="J149" s="53"/>
      <c r="K149" s="53"/>
      <c r="L149" s="53"/>
      <c r="M149" s="53"/>
      <c r="N149" s="53"/>
      <c r="O149" s="139"/>
      <c r="P149" s="50"/>
      <c r="Q149" s="57"/>
      <c r="R149" s="12">
        <v>41926</v>
      </c>
      <c r="S149" s="11">
        <v>6.415</v>
      </c>
      <c r="T149" s="148">
        <v>0.81980830670926519</v>
      </c>
      <c r="U149" s="148">
        <f t="shared" si="9"/>
        <v>6.1911955090533288</v>
      </c>
      <c r="V149" s="278">
        <f t="shared" si="10"/>
        <v>-4.6547711404190117E-3</v>
      </c>
      <c r="W149" s="278">
        <f t="shared" si="11"/>
        <v>-4.8975810190748977E-3</v>
      </c>
    </row>
    <row r="150" spans="1:23" x14ac:dyDescent="0.2">
      <c r="A150" s="8">
        <v>41918</v>
      </c>
      <c r="B150" s="9">
        <v>6.8100000000000005</v>
      </c>
      <c r="E150" s="51"/>
      <c r="F150" s="51"/>
      <c r="G150" s="51"/>
      <c r="H150" s="51"/>
      <c r="I150" s="51"/>
      <c r="J150" s="53"/>
      <c r="K150" s="53"/>
      <c r="L150" s="53"/>
      <c r="M150" s="53"/>
      <c r="N150" s="53"/>
      <c r="O150" s="139"/>
      <c r="P150" s="50"/>
      <c r="Q150" s="57"/>
      <c r="R150" s="12">
        <v>41927</v>
      </c>
      <c r="S150" s="11">
        <v>6.0449999999999999</v>
      </c>
      <c r="T150" s="148">
        <v>0.77252396166134185</v>
      </c>
      <c r="U150" s="148">
        <f t="shared" si="9"/>
        <v>5.8326006685926854</v>
      </c>
      <c r="V150" s="278">
        <f t="shared" si="10"/>
        <v>-5.7677318784099763E-2</v>
      </c>
      <c r="W150" s="278">
        <f t="shared" si="11"/>
        <v>-5.792012866275565E-2</v>
      </c>
    </row>
    <row r="151" spans="1:23" x14ac:dyDescent="0.2">
      <c r="A151" s="8">
        <v>41919</v>
      </c>
      <c r="B151" s="9">
        <v>6.67</v>
      </c>
      <c r="E151" s="51"/>
      <c r="F151" s="51"/>
      <c r="G151" s="51"/>
      <c r="H151" s="51"/>
      <c r="I151" s="51"/>
      <c r="J151" s="53"/>
      <c r="K151" s="53"/>
      <c r="L151" s="53"/>
      <c r="M151" s="53"/>
      <c r="N151" s="53"/>
      <c r="O151" s="139"/>
      <c r="P151" s="50"/>
      <c r="Q151" s="57"/>
      <c r="R151" s="12">
        <v>41928</v>
      </c>
      <c r="S151" s="11">
        <v>5.99</v>
      </c>
      <c r="T151" s="148">
        <v>0.7654952076677316</v>
      </c>
      <c r="U151" s="148">
        <f t="shared" si="9"/>
        <v>5.7781169556524272</v>
      </c>
      <c r="V151" s="278">
        <f t="shared" si="10"/>
        <v>-9.0984284532671378E-3</v>
      </c>
      <c r="W151" s="278">
        <f t="shared" si="11"/>
        <v>-9.3412383319230238E-3</v>
      </c>
    </row>
    <row r="152" spans="1:23" x14ac:dyDescent="0.2">
      <c r="A152" s="8">
        <v>41920</v>
      </c>
      <c r="B152" s="9">
        <v>6.6449999999999996</v>
      </c>
      <c r="E152" s="51"/>
      <c r="F152" s="51"/>
      <c r="G152" s="51"/>
      <c r="H152" s="51"/>
      <c r="I152" s="51"/>
      <c r="J152" s="53"/>
      <c r="K152" s="53"/>
      <c r="L152" s="53"/>
      <c r="M152" s="53"/>
      <c r="N152" s="53"/>
      <c r="O152" s="139"/>
      <c r="P152" s="50"/>
      <c r="Q152" s="57"/>
      <c r="R152" s="12">
        <v>41929</v>
      </c>
      <c r="S152" s="11">
        <v>6.3</v>
      </c>
      <c r="T152" s="148">
        <v>0.80511182108626189</v>
      </c>
      <c r="U152" s="148">
        <f t="shared" si="9"/>
        <v>6.0757484052066593</v>
      </c>
      <c r="V152" s="278">
        <f t="shared" si="10"/>
        <v>5.175292153589317E-2</v>
      </c>
      <c r="W152" s="278">
        <f t="shared" si="11"/>
        <v>5.1510111657237283E-2</v>
      </c>
    </row>
    <row r="153" spans="1:23" x14ac:dyDescent="0.2">
      <c r="A153" s="8">
        <v>41921</v>
      </c>
      <c r="B153" s="9">
        <v>6.49</v>
      </c>
      <c r="E153" s="51"/>
      <c r="F153" s="51"/>
      <c r="G153" s="51"/>
      <c r="H153" s="51"/>
      <c r="I153" s="51"/>
      <c r="J153" s="53"/>
      <c r="K153" s="53"/>
      <c r="L153" s="53"/>
      <c r="M153" s="53"/>
      <c r="N153" s="53"/>
      <c r="O153" s="139"/>
      <c r="P153" s="50"/>
      <c r="Q153" s="57"/>
      <c r="R153" s="12">
        <v>41932</v>
      </c>
      <c r="S153" s="11">
        <v>6.3550000000000004</v>
      </c>
      <c r="T153" s="148">
        <v>0.81214057507987225</v>
      </c>
      <c r="U153" s="148">
        <f t="shared" ref="U153:U216" si="12">U152*(1+W153)</f>
        <v>6.1273154014556104</v>
      </c>
      <c r="V153" s="278">
        <f t="shared" ref="V153:V216" si="13">S153/S152-1</f>
        <v>8.7301587301589212E-3</v>
      </c>
      <c r="W153" s="278">
        <f t="shared" ref="W153:W216" si="14">V153-$V$3+$W$2</f>
        <v>8.4873488515030352E-3</v>
      </c>
    </row>
    <row r="154" spans="1:23" x14ac:dyDescent="0.2">
      <c r="A154" s="8">
        <v>41922</v>
      </c>
      <c r="B154" s="9">
        <v>6.48</v>
      </c>
      <c r="E154" s="51"/>
      <c r="F154" s="51"/>
      <c r="G154" s="51"/>
      <c r="H154" s="51"/>
      <c r="I154" s="51"/>
      <c r="J154" s="53"/>
      <c r="K154" s="53"/>
      <c r="L154" s="53"/>
      <c r="M154" s="53"/>
      <c r="N154" s="53"/>
      <c r="O154" s="139"/>
      <c r="P154" s="50"/>
      <c r="Q154" s="57"/>
      <c r="R154" s="12">
        <v>41933</v>
      </c>
      <c r="S154" s="11">
        <v>6.63</v>
      </c>
      <c r="T154" s="148">
        <v>0.84728434504792327</v>
      </c>
      <c r="U154" s="148">
        <f t="shared" si="12"/>
        <v>6.3909750300683354</v>
      </c>
      <c r="V154" s="278">
        <f t="shared" si="13"/>
        <v>4.3273013375294989E-2</v>
      </c>
      <c r="W154" s="278">
        <f t="shared" si="14"/>
        <v>4.3030203496639101E-2</v>
      </c>
    </row>
    <row r="155" spans="1:23" x14ac:dyDescent="0.2">
      <c r="A155" s="8">
        <v>41925</v>
      </c>
      <c r="B155" s="9">
        <v>6.4450000000000003</v>
      </c>
      <c r="E155" s="51"/>
      <c r="F155" s="51"/>
      <c r="G155" s="51"/>
      <c r="H155" s="51"/>
      <c r="I155" s="51"/>
      <c r="J155" s="53"/>
      <c r="K155" s="53"/>
      <c r="L155" s="53"/>
      <c r="M155" s="53"/>
      <c r="N155" s="53"/>
      <c r="O155" s="139"/>
      <c r="P155" s="50"/>
      <c r="Q155" s="57"/>
      <c r="R155" s="12">
        <v>41934</v>
      </c>
      <c r="S155" s="11">
        <v>6.665</v>
      </c>
      <c r="T155" s="148">
        <v>0.85175718849840254</v>
      </c>
      <c r="U155" s="148">
        <f t="shared" si="12"/>
        <v>6.4231614170885543</v>
      </c>
      <c r="V155" s="278">
        <f t="shared" si="13"/>
        <v>5.2790346907993779E-3</v>
      </c>
      <c r="W155" s="278">
        <f t="shared" si="14"/>
        <v>5.0362248121434919E-3</v>
      </c>
    </row>
    <row r="156" spans="1:23" x14ac:dyDescent="0.2">
      <c r="A156" s="8">
        <v>41926</v>
      </c>
      <c r="B156" s="9">
        <v>6.415</v>
      </c>
      <c r="E156" s="51"/>
      <c r="F156" s="51"/>
      <c r="G156" s="51"/>
      <c r="H156" s="51"/>
      <c r="I156" s="51"/>
      <c r="J156" s="53"/>
      <c r="K156" s="53"/>
      <c r="L156" s="53"/>
      <c r="M156" s="53"/>
      <c r="N156" s="53"/>
      <c r="O156" s="139"/>
      <c r="P156" s="50"/>
      <c r="Q156" s="57"/>
      <c r="R156" s="12">
        <v>41935</v>
      </c>
      <c r="S156" s="11">
        <v>6.7549999999999999</v>
      </c>
      <c r="T156" s="148">
        <v>0.86325878594249195</v>
      </c>
      <c r="U156" s="148">
        <f t="shared" si="12"/>
        <v>6.5083361727656586</v>
      </c>
      <c r="V156" s="278">
        <f t="shared" si="13"/>
        <v>1.3503375843960885E-2</v>
      </c>
      <c r="W156" s="278">
        <f t="shared" si="14"/>
        <v>1.3260565965304999E-2</v>
      </c>
    </row>
    <row r="157" spans="1:23" x14ac:dyDescent="0.2">
      <c r="A157" s="8">
        <v>41927</v>
      </c>
      <c r="B157" s="9">
        <v>6.0449999999999999</v>
      </c>
      <c r="E157" s="51"/>
      <c r="F157" s="51"/>
      <c r="G157" s="51"/>
      <c r="H157" s="51"/>
      <c r="I157" s="51"/>
      <c r="J157" s="53"/>
      <c r="K157" s="53"/>
      <c r="L157" s="53"/>
      <c r="M157" s="53"/>
      <c r="N157" s="53"/>
      <c r="O157" s="139"/>
      <c r="P157" s="50"/>
      <c r="Q157" s="57"/>
      <c r="R157" s="12">
        <v>41936</v>
      </c>
      <c r="S157" s="11">
        <v>6.8650000000000002</v>
      </c>
      <c r="T157" s="148">
        <v>0.87731629392971244</v>
      </c>
      <c r="U157" s="148">
        <f t="shared" si="12"/>
        <v>6.6127391529917432</v>
      </c>
      <c r="V157" s="278">
        <f t="shared" si="13"/>
        <v>1.6284233900814238E-2</v>
      </c>
      <c r="W157" s="278">
        <f t="shared" si="14"/>
        <v>1.6041424022158354E-2</v>
      </c>
    </row>
    <row r="158" spans="1:23" x14ac:dyDescent="0.2">
      <c r="A158" s="8">
        <v>41928</v>
      </c>
      <c r="B158" s="9">
        <v>5.99</v>
      </c>
      <c r="E158" s="51"/>
      <c r="F158" s="51"/>
      <c r="G158" s="51"/>
      <c r="H158" s="51"/>
      <c r="I158" s="51"/>
      <c r="J158" s="53"/>
      <c r="K158" s="53"/>
      <c r="L158" s="53"/>
      <c r="M158" s="53"/>
      <c r="N158" s="53"/>
      <c r="O158" s="139"/>
      <c r="P158" s="50"/>
      <c r="Q158" s="57"/>
      <c r="R158" s="12">
        <v>41939</v>
      </c>
      <c r="S158" s="11">
        <v>6.6349999999999998</v>
      </c>
      <c r="T158" s="148">
        <v>0.84792332268370607</v>
      </c>
      <c r="U158" s="148">
        <f t="shared" si="12"/>
        <v>6.3895850797587466</v>
      </c>
      <c r="V158" s="278">
        <f t="shared" si="13"/>
        <v>-3.350327749453752E-2</v>
      </c>
      <c r="W158" s="278">
        <f t="shared" si="14"/>
        <v>-3.3746087373193408E-2</v>
      </c>
    </row>
    <row r="159" spans="1:23" x14ac:dyDescent="0.2">
      <c r="A159" s="8">
        <v>41929</v>
      </c>
      <c r="B159" s="9">
        <v>6.3</v>
      </c>
      <c r="E159" s="51"/>
      <c r="F159" s="51"/>
      <c r="G159" s="51"/>
      <c r="H159" s="51"/>
      <c r="I159" s="51"/>
      <c r="J159" s="53"/>
      <c r="K159" s="53"/>
      <c r="L159" s="53"/>
      <c r="M159" s="53"/>
      <c r="N159" s="53"/>
      <c r="O159" s="139"/>
      <c r="P159" s="50"/>
      <c r="Q159" s="57"/>
      <c r="R159" s="12">
        <v>41940</v>
      </c>
      <c r="S159" s="11">
        <v>6.9450000000000003</v>
      </c>
      <c r="T159" s="148">
        <v>0.88753993610223647</v>
      </c>
      <c r="U159" s="148">
        <f t="shared" si="12"/>
        <v>6.6865673668616843</v>
      </c>
      <c r="V159" s="278">
        <f t="shared" si="13"/>
        <v>4.6721929163526799E-2</v>
      </c>
      <c r="W159" s="278">
        <f t="shared" si="14"/>
        <v>4.6479119284870911E-2</v>
      </c>
    </row>
    <row r="160" spans="1:23" x14ac:dyDescent="0.2">
      <c r="A160" s="8">
        <v>41932</v>
      </c>
      <c r="B160" s="9">
        <v>6.3550000000000004</v>
      </c>
      <c r="E160" s="51"/>
      <c r="F160" s="51"/>
      <c r="G160" s="51"/>
      <c r="H160" s="51"/>
      <c r="I160" s="51"/>
      <c r="J160" s="53"/>
      <c r="K160" s="53"/>
      <c r="L160" s="53"/>
      <c r="M160" s="53"/>
      <c r="N160" s="53"/>
      <c r="O160" s="139"/>
      <c r="P160" s="50"/>
      <c r="Q160" s="57"/>
      <c r="R160" s="12">
        <v>41941</v>
      </c>
      <c r="S160" s="11">
        <v>6.8100000000000005</v>
      </c>
      <c r="T160" s="148">
        <v>0.87028753993610231</v>
      </c>
      <c r="U160" s="148">
        <f t="shared" si="12"/>
        <v>6.5549673307566403</v>
      </c>
      <c r="V160" s="278">
        <f t="shared" si="13"/>
        <v>-1.9438444924406051E-2</v>
      </c>
      <c r="W160" s="278">
        <f t="shared" si="14"/>
        <v>-1.9681254803061935E-2</v>
      </c>
    </row>
    <row r="161" spans="1:23" x14ac:dyDescent="0.2">
      <c r="A161" s="8">
        <v>41933</v>
      </c>
      <c r="B161" s="9">
        <v>6.63</v>
      </c>
      <c r="E161" s="51"/>
      <c r="F161" s="51"/>
      <c r="G161" s="51"/>
      <c r="H161" s="51"/>
      <c r="I161" s="51"/>
      <c r="J161" s="53"/>
      <c r="K161" s="53"/>
      <c r="L161" s="53"/>
      <c r="M161" s="53"/>
      <c r="N161" s="53"/>
      <c r="O161" s="139"/>
      <c r="P161" s="50"/>
      <c r="Q161" s="57"/>
      <c r="R161" s="12">
        <v>41942</v>
      </c>
      <c r="S161" s="11">
        <v>6.835</v>
      </c>
      <c r="T161" s="148">
        <v>0.87348242811501597</v>
      </c>
      <c r="U161" s="148">
        <f t="shared" si="12"/>
        <v>6.5774394766553037</v>
      </c>
      <c r="V161" s="278">
        <f t="shared" si="13"/>
        <v>3.6710719530101965E-3</v>
      </c>
      <c r="W161" s="278">
        <f t="shared" si="14"/>
        <v>3.4282620743543105E-3</v>
      </c>
    </row>
    <row r="162" spans="1:23" x14ac:dyDescent="0.2">
      <c r="A162" s="8">
        <v>41934</v>
      </c>
      <c r="B162" s="9">
        <v>6.665</v>
      </c>
      <c r="E162" s="51"/>
      <c r="F162" s="51"/>
      <c r="G162" s="51"/>
      <c r="H162" s="51"/>
      <c r="I162" s="51"/>
      <c r="J162" s="53"/>
      <c r="K162" s="53"/>
      <c r="L162" s="53"/>
      <c r="M162" s="53"/>
      <c r="N162" s="53"/>
      <c r="O162" s="139"/>
      <c r="P162" s="50"/>
      <c r="Q162" s="57"/>
      <c r="R162" s="12">
        <v>41943</v>
      </c>
      <c r="S162" s="11">
        <v>7.02</v>
      </c>
      <c r="T162" s="148">
        <v>0.89712460063897759</v>
      </c>
      <c r="U162" s="148">
        <f t="shared" si="12"/>
        <v>6.7538711296639748</v>
      </c>
      <c r="V162" s="278">
        <f t="shared" si="13"/>
        <v>2.7066569129480467E-2</v>
      </c>
      <c r="W162" s="278">
        <f t="shared" si="14"/>
        <v>2.6823759250824582E-2</v>
      </c>
    </row>
    <row r="163" spans="1:23" x14ac:dyDescent="0.2">
      <c r="A163" s="8">
        <v>41935</v>
      </c>
      <c r="B163" s="9">
        <v>6.7549999999999999</v>
      </c>
      <c r="E163" s="51"/>
      <c r="F163" s="51"/>
      <c r="G163" s="51"/>
      <c r="H163" s="51"/>
      <c r="I163" s="51"/>
      <c r="J163" s="53"/>
      <c r="K163" s="53"/>
      <c r="L163" s="53"/>
      <c r="M163" s="53"/>
      <c r="N163" s="53"/>
      <c r="O163" s="139"/>
      <c r="P163" s="50"/>
      <c r="Q163" s="57"/>
      <c r="R163" s="12">
        <v>41946</v>
      </c>
      <c r="S163" s="11">
        <v>6.9450000000000003</v>
      </c>
      <c r="T163" s="148">
        <v>0.88753993610223647</v>
      </c>
      <c r="U163" s="148">
        <f t="shared" si="12"/>
        <v>6.6800744801962342</v>
      </c>
      <c r="V163" s="278">
        <f t="shared" si="13"/>
        <v>-1.0683760683760535E-2</v>
      </c>
      <c r="W163" s="278">
        <f t="shared" si="14"/>
        <v>-1.0926570562416421E-2</v>
      </c>
    </row>
    <row r="164" spans="1:23" x14ac:dyDescent="0.2">
      <c r="A164" s="8">
        <v>41936</v>
      </c>
      <c r="B164" s="9">
        <v>6.8650000000000002</v>
      </c>
      <c r="E164" s="51"/>
      <c r="F164" s="51"/>
      <c r="G164" s="51"/>
      <c r="H164" s="51"/>
      <c r="I164" s="51"/>
      <c r="J164" s="53"/>
      <c r="K164" s="53"/>
      <c r="L164" s="53"/>
      <c r="M164" s="53"/>
      <c r="N164" s="53"/>
      <c r="O164" s="139"/>
      <c r="P164" s="50"/>
      <c r="Q164" s="57"/>
      <c r="R164" s="12">
        <v>41947</v>
      </c>
      <c r="S164" s="11">
        <v>6.82</v>
      </c>
      <c r="T164" s="148">
        <v>0.8715654952076678</v>
      </c>
      <c r="U164" s="148">
        <f t="shared" si="12"/>
        <v>6.558220770016522</v>
      </c>
      <c r="V164" s="278">
        <f t="shared" si="13"/>
        <v>-1.7998560115190743E-2</v>
      </c>
      <c r="W164" s="278">
        <f t="shared" si="14"/>
        <v>-1.8241369993846627E-2</v>
      </c>
    </row>
    <row r="165" spans="1:23" x14ac:dyDescent="0.2">
      <c r="A165" s="8">
        <v>41939</v>
      </c>
      <c r="B165" s="9">
        <v>6.6349999999999998</v>
      </c>
      <c r="E165" s="51"/>
      <c r="F165" s="51"/>
      <c r="G165" s="51"/>
      <c r="H165" s="51"/>
      <c r="I165" s="51"/>
      <c r="J165" s="53"/>
      <c r="K165" s="53"/>
      <c r="L165" s="53"/>
      <c r="M165" s="53"/>
      <c r="N165" s="53"/>
      <c r="O165" s="139"/>
      <c r="P165" s="50"/>
      <c r="Q165" s="57"/>
      <c r="R165" s="12">
        <v>41948</v>
      </c>
      <c r="S165" s="11">
        <v>7.0049999999999999</v>
      </c>
      <c r="T165" s="148">
        <v>0.89520766773162941</v>
      </c>
      <c r="U165" s="148">
        <f t="shared" si="12"/>
        <v>6.7345273197334681</v>
      </c>
      <c r="V165" s="278">
        <f t="shared" si="13"/>
        <v>2.7126099706744844E-2</v>
      </c>
      <c r="W165" s="278">
        <f t="shared" si="14"/>
        <v>2.688328982808896E-2</v>
      </c>
    </row>
    <row r="166" spans="1:23" x14ac:dyDescent="0.2">
      <c r="A166" s="8">
        <v>41940</v>
      </c>
      <c r="B166" s="9">
        <v>6.9450000000000003</v>
      </c>
      <c r="E166" s="51"/>
      <c r="F166" s="51"/>
      <c r="G166" s="51"/>
      <c r="H166" s="51"/>
      <c r="I166" s="51"/>
      <c r="J166" s="53"/>
      <c r="K166" s="53"/>
      <c r="L166" s="53"/>
      <c r="M166" s="53"/>
      <c r="N166" s="53"/>
      <c r="O166" s="139"/>
      <c r="P166" s="50"/>
      <c r="Q166" s="57"/>
      <c r="R166" s="12">
        <v>41949</v>
      </c>
      <c r="S166" s="11">
        <v>6.8849999999999998</v>
      </c>
      <c r="T166" s="148">
        <v>0.87987220447284342</v>
      </c>
      <c r="U166" s="148">
        <f t="shared" si="12"/>
        <v>6.6175254749446051</v>
      </c>
      <c r="V166" s="278">
        <f t="shared" si="13"/>
        <v>-1.7130620985010725E-2</v>
      </c>
      <c r="W166" s="278">
        <f t="shared" si="14"/>
        <v>-1.7373430863666609E-2</v>
      </c>
    </row>
    <row r="167" spans="1:23" x14ac:dyDescent="0.2">
      <c r="A167" s="8">
        <v>41941</v>
      </c>
      <c r="B167" s="9">
        <v>6.8100000000000005</v>
      </c>
      <c r="E167" s="51"/>
      <c r="F167" s="51"/>
      <c r="G167" s="51"/>
      <c r="H167" s="51"/>
      <c r="I167" s="51"/>
      <c r="J167" s="53"/>
      <c r="K167" s="53"/>
      <c r="L167" s="53"/>
      <c r="M167" s="53"/>
      <c r="N167" s="53"/>
      <c r="O167" s="139"/>
      <c r="P167" s="50"/>
      <c r="Q167" s="57"/>
      <c r="R167" s="12">
        <v>41950</v>
      </c>
      <c r="S167" s="11">
        <v>6.835</v>
      </c>
      <c r="T167" s="148">
        <v>0.87348242811501597</v>
      </c>
      <c r="U167" s="148">
        <f t="shared" si="12"/>
        <v>6.5678611182872162</v>
      </c>
      <c r="V167" s="278">
        <f t="shared" si="13"/>
        <v>-7.2621641249092095E-3</v>
      </c>
      <c r="W167" s="278">
        <f t="shared" si="14"/>
        <v>-7.5049740035650955E-3</v>
      </c>
    </row>
    <row r="168" spans="1:23" x14ac:dyDescent="0.2">
      <c r="A168" s="8">
        <v>41942</v>
      </c>
      <c r="B168" s="9">
        <v>6.835</v>
      </c>
      <c r="E168" s="51"/>
      <c r="F168" s="51"/>
      <c r="G168" s="51"/>
      <c r="H168" s="51"/>
      <c r="I168" s="51"/>
      <c r="J168" s="53"/>
      <c r="K168" s="53"/>
      <c r="L168" s="53"/>
      <c r="M168" s="53"/>
      <c r="N168" s="53"/>
      <c r="O168" s="139"/>
      <c r="P168" s="50"/>
      <c r="Q168" s="57"/>
      <c r="R168" s="12">
        <v>41953</v>
      </c>
      <c r="S168" s="11">
        <v>6.7949999999999999</v>
      </c>
      <c r="T168" s="148">
        <v>0.86837060702875402</v>
      </c>
      <c r="U168" s="148">
        <f t="shared" si="12"/>
        <v>6.5278297352144996</v>
      </c>
      <c r="V168" s="278">
        <f t="shared" si="13"/>
        <v>-5.8522311631309387E-3</v>
      </c>
      <c r="W168" s="278">
        <f t="shared" si="14"/>
        <v>-6.0950410417868247E-3</v>
      </c>
    </row>
    <row r="169" spans="1:23" x14ac:dyDescent="0.2">
      <c r="A169" s="8">
        <v>41943</v>
      </c>
      <c r="B169" s="9">
        <v>7.02</v>
      </c>
      <c r="E169" s="51"/>
      <c r="F169" s="51"/>
      <c r="G169" s="51"/>
      <c r="H169" s="51"/>
      <c r="I169" s="51"/>
      <c r="J169" s="53"/>
      <c r="K169" s="53"/>
      <c r="L169" s="53"/>
      <c r="M169" s="53"/>
      <c r="N169" s="53"/>
      <c r="O169" s="139"/>
      <c r="P169" s="50"/>
      <c r="Q169" s="57"/>
      <c r="R169" s="12">
        <v>41954</v>
      </c>
      <c r="S169" s="11">
        <v>6.84</v>
      </c>
      <c r="T169" s="148">
        <v>0.87412140575079866</v>
      </c>
      <c r="U169" s="148">
        <f t="shared" si="12"/>
        <v>6.5694753741667151</v>
      </c>
      <c r="V169" s="278">
        <f t="shared" si="13"/>
        <v>6.6225165562914245E-3</v>
      </c>
      <c r="W169" s="278">
        <f t="shared" si="14"/>
        <v>6.3797066776355386E-3</v>
      </c>
    </row>
    <row r="170" spans="1:23" x14ac:dyDescent="0.2">
      <c r="A170" s="8">
        <v>41946</v>
      </c>
      <c r="B170" s="9">
        <v>6.9450000000000003</v>
      </c>
      <c r="E170" s="51"/>
      <c r="F170" s="51"/>
      <c r="G170" s="51"/>
      <c r="H170" s="51"/>
      <c r="I170" s="51"/>
      <c r="J170" s="53"/>
      <c r="K170" s="53"/>
      <c r="L170" s="53"/>
      <c r="M170" s="53"/>
      <c r="N170" s="53"/>
      <c r="O170" s="139"/>
      <c r="P170" s="50"/>
      <c r="Q170" s="57"/>
      <c r="R170" s="12">
        <v>41955</v>
      </c>
      <c r="S170" s="11">
        <v>6.6050000000000004</v>
      </c>
      <c r="T170" s="148">
        <v>0.8440894568690096</v>
      </c>
      <c r="U170" s="148">
        <f t="shared" si="12"/>
        <v>6.3421745808633139</v>
      </c>
      <c r="V170" s="278">
        <f t="shared" si="13"/>
        <v>-3.4356725146198697E-2</v>
      </c>
      <c r="W170" s="278">
        <f t="shared" si="14"/>
        <v>-3.4599535024854584E-2</v>
      </c>
    </row>
    <row r="171" spans="1:23" x14ac:dyDescent="0.2">
      <c r="A171" s="8">
        <v>41947</v>
      </c>
      <c r="B171" s="9">
        <v>6.82</v>
      </c>
      <c r="E171" s="51"/>
      <c r="F171" s="51"/>
      <c r="G171" s="51"/>
      <c r="H171" s="51"/>
      <c r="I171" s="51"/>
      <c r="J171" s="53"/>
      <c r="K171" s="53"/>
      <c r="L171" s="53"/>
      <c r="M171" s="53"/>
      <c r="N171" s="53"/>
      <c r="O171" s="139"/>
      <c r="P171" s="50"/>
      <c r="Q171" s="57"/>
      <c r="R171" s="12">
        <v>41956</v>
      </c>
      <c r="S171" s="11">
        <v>6.67</v>
      </c>
      <c r="T171" s="148">
        <v>0.85239616613418523</v>
      </c>
      <c r="U171" s="148">
        <f t="shared" si="12"/>
        <v>6.4030481655137761</v>
      </c>
      <c r="V171" s="278">
        <f t="shared" si="13"/>
        <v>9.8410295230884071E-3</v>
      </c>
      <c r="W171" s="278">
        <f t="shared" si="14"/>
        <v>9.5982196444325211E-3</v>
      </c>
    </row>
    <row r="172" spans="1:23" x14ac:dyDescent="0.2">
      <c r="A172" s="8">
        <v>41948</v>
      </c>
      <c r="B172" s="9">
        <v>7.0049999999999999</v>
      </c>
      <c r="E172" s="51"/>
      <c r="F172" s="51"/>
      <c r="G172" s="51"/>
      <c r="H172" s="51"/>
      <c r="I172" s="51"/>
      <c r="J172" s="53"/>
      <c r="K172" s="53"/>
      <c r="L172" s="53"/>
      <c r="M172" s="53"/>
      <c r="N172" s="53"/>
      <c r="O172" s="139"/>
      <c r="P172" s="50"/>
      <c r="Q172" s="57"/>
      <c r="R172" s="12">
        <v>41957</v>
      </c>
      <c r="S172" s="11">
        <v>6.72</v>
      </c>
      <c r="T172" s="148">
        <v>0.85878594249201268</v>
      </c>
      <c r="U172" s="148">
        <f t="shared" si="12"/>
        <v>6.4494923039761272</v>
      </c>
      <c r="V172" s="278">
        <f t="shared" si="13"/>
        <v>7.496251874062887E-3</v>
      </c>
      <c r="W172" s="278">
        <f t="shared" si="14"/>
        <v>7.253441995407001E-3</v>
      </c>
    </row>
    <row r="173" spans="1:23" x14ac:dyDescent="0.2">
      <c r="A173" s="8">
        <v>41949</v>
      </c>
      <c r="B173" s="9">
        <v>6.8849999999999998</v>
      </c>
      <c r="E173" s="51"/>
      <c r="F173" s="51"/>
      <c r="G173" s="51"/>
      <c r="H173" s="51"/>
      <c r="I173" s="51"/>
      <c r="J173" s="53"/>
      <c r="K173" s="53"/>
      <c r="L173" s="53"/>
      <c r="M173" s="53"/>
      <c r="N173" s="53"/>
      <c r="O173" s="139"/>
      <c r="P173" s="50"/>
      <c r="Q173" s="57"/>
      <c r="R173" s="12">
        <v>41960</v>
      </c>
      <c r="S173" s="11">
        <v>6.8250000000000002</v>
      </c>
      <c r="T173" s="148">
        <v>0.87220447284345048</v>
      </c>
      <c r="U173" s="148">
        <f t="shared" si="12"/>
        <v>6.5486996207820329</v>
      </c>
      <c r="V173" s="278">
        <f t="shared" si="13"/>
        <v>1.5625E-2</v>
      </c>
      <c r="W173" s="278">
        <f t="shared" si="14"/>
        <v>1.5382190121344114E-2</v>
      </c>
    </row>
    <row r="174" spans="1:23" x14ac:dyDescent="0.2">
      <c r="A174" s="8">
        <v>41950</v>
      </c>
      <c r="B174" s="9">
        <v>6.835</v>
      </c>
      <c r="E174" s="51"/>
      <c r="F174" s="51"/>
      <c r="G174" s="51"/>
      <c r="H174" s="51"/>
      <c r="I174" s="51"/>
      <c r="J174" s="53"/>
      <c r="K174" s="53"/>
      <c r="L174" s="53"/>
      <c r="M174" s="53"/>
      <c r="N174" s="53"/>
      <c r="O174" s="139"/>
      <c r="P174" s="50"/>
      <c r="Q174" s="57"/>
      <c r="R174" s="12">
        <v>41961</v>
      </c>
      <c r="S174" s="11">
        <v>6.8250000000000002</v>
      </c>
      <c r="T174" s="148">
        <v>0.87220447284345048</v>
      </c>
      <c r="U174" s="148">
        <f t="shared" si="12"/>
        <v>6.5471095318217571</v>
      </c>
      <c r="V174" s="278">
        <f t="shared" si="13"/>
        <v>0</v>
      </c>
      <c r="W174" s="278">
        <f t="shared" si="14"/>
        <v>-2.4280987865588565E-4</v>
      </c>
    </row>
    <row r="175" spans="1:23" x14ac:dyDescent="0.2">
      <c r="A175" s="8">
        <v>41953</v>
      </c>
      <c r="B175" s="9">
        <v>6.7949999999999999</v>
      </c>
      <c r="E175" s="51"/>
      <c r="F175" s="51"/>
      <c r="G175" s="51"/>
      <c r="H175" s="51"/>
      <c r="I175" s="51"/>
      <c r="J175" s="53"/>
      <c r="K175" s="53"/>
      <c r="L175" s="53"/>
      <c r="M175" s="53"/>
      <c r="N175" s="53"/>
      <c r="O175" s="139"/>
      <c r="P175" s="50"/>
      <c r="Q175" s="57"/>
      <c r="R175" s="12">
        <v>41962</v>
      </c>
      <c r="S175" s="11">
        <v>6.915</v>
      </c>
      <c r="T175" s="148">
        <v>0.88370607028753989</v>
      </c>
      <c r="U175" s="148">
        <f t="shared" si="12"/>
        <v>6.6318553392605253</v>
      </c>
      <c r="V175" s="278">
        <f t="shared" si="13"/>
        <v>1.318681318681314E-2</v>
      </c>
      <c r="W175" s="278">
        <f t="shared" si="14"/>
        <v>1.2944003308157254E-2</v>
      </c>
    </row>
    <row r="176" spans="1:23" x14ac:dyDescent="0.2">
      <c r="A176" s="8">
        <v>41954</v>
      </c>
      <c r="B176" s="9">
        <v>6.84</v>
      </c>
      <c r="E176" s="51"/>
      <c r="F176" s="51"/>
      <c r="G176" s="51"/>
      <c r="H176" s="51"/>
      <c r="I176" s="51"/>
      <c r="J176" s="53"/>
      <c r="K176" s="53"/>
      <c r="L176" s="53"/>
      <c r="M176" s="53"/>
      <c r="N176" s="53"/>
      <c r="O176" s="139"/>
      <c r="P176" s="50"/>
      <c r="Q176" s="57"/>
      <c r="R176" s="12">
        <v>41963</v>
      </c>
      <c r="S176" s="11">
        <v>6.83</v>
      </c>
      <c r="T176" s="148">
        <v>0.87284345047923317</v>
      </c>
      <c r="U176" s="148">
        <f t="shared" si="12"/>
        <v>6.54872550701623</v>
      </c>
      <c r="V176" s="278">
        <f t="shared" si="13"/>
        <v>-1.2292118582791001E-2</v>
      </c>
      <c r="W176" s="278">
        <f t="shared" si="14"/>
        <v>-1.2534928461446887E-2</v>
      </c>
    </row>
    <row r="177" spans="1:23" x14ac:dyDescent="0.2">
      <c r="A177" s="8">
        <v>41955</v>
      </c>
      <c r="B177" s="9">
        <v>6.6050000000000004</v>
      </c>
      <c r="E177" s="51"/>
      <c r="F177" s="51"/>
      <c r="G177" s="51"/>
      <c r="H177" s="51"/>
      <c r="I177" s="51"/>
      <c r="J177" s="53"/>
      <c r="K177" s="53"/>
      <c r="L177" s="53"/>
      <c r="M177" s="53"/>
      <c r="N177" s="53"/>
      <c r="O177" s="139"/>
      <c r="P177" s="50"/>
      <c r="Q177" s="57"/>
      <c r="R177" s="12">
        <v>41964</v>
      </c>
      <c r="S177" s="11">
        <v>7.06</v>
      </c>
      <c r="T177" s="148">
        <v>0.90223642172523955</v>
      </c>
      <c r="U177" s="148">
        <f t="shared" si="12"/>
        <v>6.7676635035148429</v>
      </c>
      <c r="V177" s="278">
        <f t="shared" si="13"/>
        <v>3.3674963396778779E-2</v>
      </c>
      <c r="W177" s="278">
        <f t="shared" si="14"/>
        <v>3.3432153518122891E-2</v>
      </c>
    </row>
    <row r="178" spans="1:23" x14ac:dyDescent="0.2">
      <c r="A178" s="8">
        <v>41956</v>
      </c>
      <c r="B178" s="9">
        <v>6.67</v>
      </c>
      <c r="E178" s="51"/>
      <c r="F178" s="51"/>
      <c r="G178" s="51"/>
      <c r="H178" s="51"/>
      <c r="I178" s="51"/>
      <c r="J178" s="53"/>
      <c r="K178" s="53"/>
      <c r="L178" s="53"/>
      <c r="M178" s="53"/>
      <c r="N178" s="53"/>
      <c r="O178" s="139"/>
      <c r="P178" s="50"/>
      <c r="Q178" s="57"/>
      <c r="R178" s="12">
        <v>41967</v>
      </c>
      <c r="S178" s="11">
        <v>7.0049999999999999</v>
      </c>
      <c r="T178" s="148">
        <v>0.89520766773162941</v>
      </c>
      <c r="U178" s="148">
        <f t="shared" si="12"/>
        <v>6.7132976569277227</v>
      </c>
      <c r="V178" s="278">
        <f t="shared" si="13"/>
        <v>-7.790368271954673E-3</v>
      </c>
      <c r="W178" s="278">
        <f t="shared" si="14"/>
        <v>-8.0331781506105589E-3</v>
      </c>
    </row>
    <row r="179" spans="1:23" x14ac:dyDescent="0.2">
      <c r="A179" s="8">
        <v>41957</v>
      </c>
      <c r="B179" s="9">
        <v>6.72</v>
      </c>
      <c r="E179" s="51"/>
      <c r="F179" s="51"/>
      <c r="G179" s="51"/>
      <c r="H179" s="51"/>
      <c r="I179" s="51"/>
      <c r="J179" s="53"/>
      <c r="K179" s="53"/>
      <c r="L179" s="53"/>
      <c r="M179" s="53"/>
      <c r="N179" s="53"/>
      <c r="O179" s="139"/>
      <c r="P179" s="50"/>
      <c r="Q179" s="57"/>
      <c r="R179" s="12">
        <v>41968</v>
      </c>
      <c r="S179" s="11">
        <v>7.0750000000000002</v>
      </c>
      <c r="T179" s="148">
        <v>0.90415335463258784</v>
      </c>
      <c r="U179" s="148">
        <f t="shared" si="12"/>
        <v>6.7787526606084905</v>
      </c>
      <c r="V179" s="278">
        <f t="shared" si="13"/>
        <v>9.992862241256395E-3</v>
      </c>
      <c r="W179" s="278">
        <f t="shared" si="14"/>
        <v>9.750052362600509E-3</v>
      </c>
    </row>
    <row r="180" spans="1:23" x14ac:dyDescent="0.2">
      <c r="A180" s="8">
        <v>41960</v>
      </c>
      <c r="B180" s="9">
        <v>6.8250000000000002</v>
      </c>
      <c r="E180" s="51"/>
      <c r="F180" s="51"/>
      <c r="G180" s="51"/>
      <c r="H180" s="51"/>
      <c r="I180" s="51"/>
      <c r="J180" s="53"/>
      <c r="K180" s="53"/>
      <c r="L180" s="53"/>
      <c r="M180" s="53"/>
      <c r="N180" s="53"/>
      <c r="O180" s="139"/>
      <c r="P180" s="50"/>
      <c r="Q180" s="57"/>
      <c r="R180" s="12">
        <v>41969</v>
      </c>
      <c r="S180" s="11">
        <v>7.085</v>
      </c>
      <c r="T180" s="148">
        <v>0.90543130990415333</v>
      </c>
      <c r="U180" s="148">
        <f t="shared" si="12"/>
        <v>6.7866879883429112</v>
      </c>
      <c r="V180" s="278">
        <f t="shared" si="13"/>
        <v>1.4134275618373771E-3</v>
      </c>
      <c r="W180" s="278">
        <f t="shared" si="14"/>
        <v>1.1706176831814913E-3</v>
      </c>
    </row>
    <row r="181" spans="1:23" x14ac:dyDescent="0.2">
      <c r="A181" s="8">
        <v>41961</v>
      </c>
      <c r="B181" s="9">
        <v>6.8250000000000002</v>
      </c>
      <c r="E181" s="51"/>
      <c r="F181" s="51"/>
      <c r="G181" s="51"/>
      <c r="H181" s="51"/>
      <c r="I181" s="51"/>
      <c r="J181" s="53"/>
      <c r="K181" s="53"/>
      <c r="L181" s="53"/>
      <c r="M181" s="53"/>
      <c r="N181" s="53"/>
      <c r="O181" s="139"/>
      <c r="P181" s="50"/>
      <c r="Q181" s="57"/>
      <c r="R181" s="12">
        <v>41970</v>
      </c>
      <c r="S181" s="11">
        <v>7.24</v>
      </c>
      <c r="T181" s="148">
        <v>0.92523961661341858</v>
      </c>
      <c r="U181" s="148">
        <f t="shared" si="12"/>
        <v>6.9335138803145817</v>
      </c>
      <c r="V181" s="278">
        <f t="shared" si="13"/>
        <v>2.1877205363443952E-2</v>
      </c>
      <c r="W181" s="278">
        <f t="shared" si="14"/>
        <v>2.1634395484788068E-2</v>
      </c>
    </row>
    <row r="182" spans="1:23" x14ac:dyDescent="0.2">
      <c r="A182" s="8">
        <v>41962</v>
      </c>
      <c r="B182" s="9">
        <v>6.915</v>
      </c>
      <c r="E182" s="51"/>
      <c r="F182" s="51"/>
      <c r="G182" s="51"/>
      <c r="H182" s="51"/>
      <c r="I182" s="51"/>
      <c r="J182" s="53"/>
      <c r="K182" s="53"/>
      <c r="L182" s="53"/>
      <c r="M182" s="53"/>
      <c r="N182" s="53"/>
      <c r="O182" s="139"/>
      <c r="P182" s="50"/>
      <c r="Q182" s="57"/>
      <c r="R182" s="12">
        <v>41971</v>
      </c>
      <c r="S182" s="11">
        <v>7.2</v>
      </c>
      <c r="T182" s="148">
        <v>0.92012779552715651</v>
      </c>
      <c r="U182" s="148">
        <f t="shared" si="12"/>
        <v>6.8935236481295687</v>
      </c>
      <c r="V182" s="278">
        <f t="shared" si="13"/>
        <v>-5.5248618784530246E-3</v>
      </c>
      <c r="W182" s="278">
        <f t="shared" si="14"/>
        <v>-5.7676717571089105E-3</v>
      </c>
    </row>
    <row r="183" spans="1:23" x14ac:dyDescent="0.2">
      <c r="A183" s="8">
        <v>41963</v>
      </c>
      <c r="B183" s="9">
        <v>6.83</v>
      </c>
      <c r="E183" s="51"/>
      <c r="F183" s="51"/>
      <c r="G183" s="51"/>
      <c r="H183" s="51"/>
      <c r="I183" s="51"/>
      <c r="J183" s="53"/>
      <c r="K183" s="53"/>
      <c r="L183" s="53"/>
      <c r="M183" s="53"/>
      <c r="N183" s="53"/>
      <c r="O183" s="139"/>
      <c r="P183" s="50"/>
      <c r="Q183" s="57"/>
      <c r="R183" s="12">
        <v>41974</v>
      </c>
      <c r="S183" s="11">
        <v>7.19</v>
      </c>
      <c r="T183" s="148">
        <v>0.91884984025559113</v>
      </c>
      <c r="U183" s="148">
        <f t="shared" si="12"/>
        <v>6.8822754940888746</v>
      </c>
      <c r="V183" s="278">
        <f t="shared" si="13"/>
        <v>-1.388888888888884E-3</v>
      </c>
      <c r="W183" s="278">
        <f t="shared" si="14"/>
        <v>-1.6316987675447697E-3</v>
      </c>
    </row>
    <row r="184" spans="1:23" x14ac:dyDescent="0.2">
      <c r="A184" s="8">
        <v>41964</v>
      </c>
      <c r="B184" s="9">
        <v>7.06</v>
      </c>
      <c r="E184" s="51"/>
      <c r="F184" s="51"/>
      <c r="G184" s="51"/>
      <c r="H184" s="51"/>
      <c r="I184" s="51"/>
      <c r="J184" s="53"/>
      <c r="K184" s="53"/>
      <c r="L184" s="53"/>
      <c r="M184" s="53"/>
      <c r="N184" s="53"/>
      <c r="O184" s="139"/>
      <c r="P184" s="50"/>
      <c r="Q184" s="57"/>
      <c r="R184" s="12">
        <v>41975</v>
      </c>
      <c r="S184" s="11">
        <v>7.19</v>
      </c>
      <c r="T184" s="148">
        <v>0.91884984025559113</v>
      </c>
      <c r="U184" s="148">
        <f t="shared" si="12"/>
        <v>6.8806044096112782</v>
      </c>
      <c r="V184" s="278">
        <f t="shared" si="13"/>
        <v>0</v>
      </c>
      <c r="W184" s="278">
        <f t="shared" si="14"/>
        <v>-2.4280987865588565E-4</v>
      </c>
    </row>
    <row r="185" spans="1:23" x14ac:dyDescent="0.2">
      <c r="A185" s="8">
        <v>41967</v>
      </c>
      <c r="B185" s="9">
        <v>7.0049999999999999</v>
      </c>
      <c r="E185" s="51"/>
      <c r="F185" s="51"/>
      <c r="G185" s="51"/>
      <c r="H185" s="51"/>
      <c r="I185" s="51"/>
      <c r="J185" s="53"/>
      <c r="K185" s="53"/>
      <c r="L185" s="53"/>
      <c r="M185" s="53"/>
      <c r="N185" s="53"/>
      <c r="O185" s="139"/>
      <c r="P185" s="50"/>
      <c r="Q185" s="57"/>
      <c r="R185" s="12">
        <v>41976</v>
      </c>
      <c r="S185" s="11">
        <v>7.31</v>
      </c>
      <c r="T185" s="148">
        <v>0.9341853035143769</v>
      </c>
      <c r="U185" s="148">
        <f t="shared" si="12"/>
        <v>6.9937699658204249</v>
      </c>
      <c r="V185" s="278">
        <f t="shared" si="13"/>
        <v>1.6689847009735637E-2</v>
      </c>
      <c r="W185" s="278">
        <f t="shared" si="14"/>
        <v>1.6447037131079752E-2</v>
      </c>
    </row>
    <row r="186" spans="1:23" x14ac:dyDescent="0.2">
      <c r="A186" s="8">
        <v>41968</v>
      </c>
      <c r="B186" s="9">
        <v>7.0750000000000002</v>
      </c>
      <c r="E186" s="51"/>
      <c r="F186" s="51"/>
      <c r="G186" s="51"/>
      <c r="H186" s="51"/>
      <c r="I186" s="51"/>
      <c r="J186" s="53"/>
      <c r="K186" s="53"/>
      <c r="L186" s="53"/>
      <c r="M186" s="53"/>
      <c r="N186" s="53"/>
      <c r="O186" s="139"/>
      <c r="P186" s="50"/>
      <c r="Q186" s="57"/>
      <c r="R186" s="12">
        <v>41977</v>
      </c>
      <c r="S186" s="11">
        <v>7.02</v>
      </c>
      <c r="T186" s="148">
        <v>0.89712460063897759</v>
      </c>
      <c r="U186" s="148">
        <f t="shared" si="12"/>
        <v>6.7146171869366285</v>
      </c>
      <c r="V186" s="278">
        <f t="shared" si="13"/>
        <v>-3.9671682626538973E-2</v>
      </c>
      <c r="W186" s="278">
        <f t="shared" si="14"/>
        <v>-3.9914492505194861E-2</v>
      </c>
    </row>
    <row r="187" spans="1:23" x14ac:dyDescent="0.2">
      <c r="A187" s="8">
        <v>41969</v>
      </c>
      <c r="B187" s="9">
        <v>7.085</v>
      </c>
      <c r="E187" s="51"/>
      <c r="F187" s="51"/>
      <c r="G187" s="51"/>
      <c r="H187" s="51"/>
      <c r="I187" s="51"/>
      <c r="J187" s="53"/>
      <c r="K187" s="53"/>
      <c r="L187" s="53"/>
      <c r="M187" s="53"/>
      <c r="N187" s="53"/>
      <c r="O187" s="139"/>
      <c r="P187" s="50"/>
      <c r="Q187" s="57"/>
      <c r="R187" s="12">
        <v>41978</v>
      </c>
      <c r="S187" s="11">
        <v>7.38</v>
      </c>
      <c r="T187" s="148">
        <v>0.94313099041533544</v>
      </c>
      <c r="U187" s="148">
        <f t="shared" si="12"/>
        <v>7.057326154472074</v>
      </c>
      <c r="V187" s="278">
        <f t="shared" si="13"/>
        <v>5.1282051282051322E-2</v>
      </c>
      <c r="W187" s="278">
        <f t="shared" si="14"/>
        <v>5.1039241403395434E-2</v>
      </c>
    </row>
    <row r="188" spans="1:23" x14ac:dyDescent="0.2">
      <c r="A188" s="8">
        <v>41970</v>
      </c>
      <c r="B188" s="9">
        <v>7.24</v>
      </c>
      <c r="E188" s="51"/>
      <c r="F188" s="51"/>
      <c r="G188" s="51"/>
      <c r="H188" s="51"/>
      <c r="I188" s="51"/>
      <c r="J188" s="53"/>
      <c r="K188" s="53"/>
      <c r="L188" s="53"/>
      <c r="M188" s="53"/>
      <c r="N188" s="53"/>
      <c r="O188" s="139"/>
      <c r="P188" s="50"/>
      <c r="Q188" s="57"/>
      <c r="R188" s="12">
        <v>41981</v>
      </c>
      <c r="S188" s="11">
        <v>7.41</v>
      </c>
      <c r="T188" s="148">
        <v>0.9469648562300319</v>
      </c>
      <c r="U188" s="148">
        <f t="shared" si="12"/>
        <v>7.0843008836659775</v>
      </c>
      <c r="V188" s="278">
        <f t="shared" si="13"/>
        <v>4.0650406504065817E-3</v>
      </c>
      <c r="W188" s="278">
        <f t="shared" si="14"/>
        <v>3.8222307717506957E-3</v>
      </c>
    </row>
    <row r="189" spans="1:23" x14ac:dyDescent="0.2">
      <c r="A189" s="8">
        <v>41971</v>
      </c>
      <c r="B189" s="9">
        <v>7.2</v>
      </c>
      <c r="E189" s="51"/>
      <c r="F189" s="51"/>
      <c r="G189" s="51"/>
      <c r="H189" s="51"/>
      <c r="I189" s="51"/>
      <c r="J189" s="53"/>
      <c r="K189" s="53"/>
      <c r="L189" s="53"/>
      <c r="M189" s="53"/>
      <c r="N189" s="53"/>
      <c r="O189" s="139"/>
      <c r="P189" s="50"/>
      <c r="Q189" s="57"/>
      <c r="R189" s="12">
        <v>41982</v>
      </c>
      <c r="S189" s="11">
        <v>7.1749999999999998</v>
      </c>
      <c r="T189" s="148">
        <v>0.91693290734824273</v>
      </c>
      <c r="U189" s="148">
        <f t="shared" si="12"/>
        <v>6.8579099346775125</v>
      </c>
      <c r="V189" s="278">
        <f t="shared" si="13"/>
        <v>-3.1713900134952788E-2</v>
      </c>
      <c r="W189" s="278">
        <f t="shared" si="14"/>
        <v>-3.1956710013608676E-2</v>
      </c>
    </row>
    <row r="190" spans="1:23" x14ac:dyDescent="0.2">
      <c r="A190" s="8">
        <v>41974</v>
      </c>
      <c r="B190" s="9">
        <v>7.19</v>
      </c>
      <c r="E190" s="51"/>
      <c r="F190" s="51"/>
      <c r="G190" s="51"/>
      <c r="H190" s="51"/>
      <c r="I190" s="51"/>
      <c r="J190" s="53"/>
      <c r="K190" s="53"/>
      <c r="L190" s="53"/>
      <c r="M190" s="53"/>
      <c r="N190" s="53"/>
      <c r="O190" s="139"/>
      <c r="P190" s="50"/>
      <c r="Q190" s="57"/>
      <c r="R190" s="12">
        <v>41983</v>
      </c>
      <c r="S190" s="11">
        <v>7.0250000000000004</v>
      </c>
      <c r="T190" s="148">
        <v>0.89776357827476039</v>
      </c>
      <c r="U190" s="148">
        <f t="shared" si="12"/>
        <v>6.7128738269975177</v>
      </c>
      <c r="V190" s="278">
        <f t="shared" si="13"/>
        <v>-2.0905923344947674E-2</v>
      </c>
      <c r="W190" s="278">
        <f t="shared" si="14"/>
        <v>-2.1148733223603559E-2</v>
      </c>
    </row>
    <row r="191" spans="1:23" x14ac:dyDescent="0.2">
      <c r="A191" s="8">
        <v>41975</v>
      </c>
      <c r="B191" s="9">
        <v>7.19</v>
      </c>
      <c r="E191" s="51"/>
      <c r="F191" s="51"/>
      <c r="G191" s="51"/>
      <c r="H191" s="51"/>
      <c r="I191" s="51"/>
      <c r="J191" s="53"/>
      <c r="K191" s="53"/>
      <c r="L191" s="53"/>
      <c r="M191" s="53"/>
      <c r="N191" s="53"/>
      <c r="O191" s="139"/>
      <c r="P191" s="50"/>
      <c r="Q191" s="57"/>
      <c r="R191" s="12">
        <v>41984</v>
      </c>
      <c r="S191" s="11">
        <v>6.82</v>
      </c>
      <c r="T191" s="148">
        <v>0.8715654952076678</v>
      </c>
      <c r="U191" s="148">
        <f t="shared" si="12"/>
        <v>6.5153521831694698</v>
      </c>
      <c r="V191" s="278">
        <f t="shared" si="13"/>
        <v>-2.918149466192177E-2</v>
      </c>
      <c r="W191" s="278">
        <f t="shared" si="14"/>
        <v>-2.9424304540577654E-2</v>
      </c>
    </row>
    <row r="192" spans="1:23" x14ac:dyDescent="0.2">
      <c r="A192" s="8">
        <v>41976</v>
      </c>
      <c r="B192" s="9">
        <v>7.31</v>
      </c>
      <c r="E192" s="51"/>
      <c r="F192" s="51"/>
      <c r="G192" s="51"/>
      <c r="H192" s="51"/>
      <c r="I192" s="51"/>
      <c r="J192" s="53"/>
      <c r="K192" s="53"/>
      <c r="L192" s="53"/>
      <c r="M192" s="53"/>
      <c r="N192" s="53"/>
      <c r="O192" s="139"/>
      <c r="P192" s="50"/>
      <c r="Q192" s="57"/>
      <c r="R192" s="12">
        <v>41985</v>
      </c>
      <c r="S192" s="11">
        <v>6.625</v>
      </c>
      <c r="T192" s="148">
        <v>0.84664536741214058</v>
      </c>
      <c r="U192" s="148">
        <f t="shared" si="12"/>
        <v>6.3274807960298975</v>
      </c>
      <c r="V192" s="278">
        <f t="shared" si="13"/>
        <v>-2.8592375366569001E-2</v>
      </c>
      <c r="W192" s="278">
        <f t="shared" si="14"/>
        <v>-2.8835185245224885E-2</v>
      </c>
    </row>
    <row r="193" spans="1:23" x14ac:dyDescent="0.2">
      <c r="A193" s="8">
        <v>41977</v>
      </c>
      <c r="B193" s="9">
        <v>7.02</v>
      </c>
      <c r="E193" s="51"/>
      <c r="F193" s="51"/>
      <c r="G193" s="51"/>
      <c r="H193" s="51"/>
      <c r="I193" s="51"/>
      <c r="J193" s="53"/>
      <c r="K193" s="53"/>
      <c r="L193" s="53"/>
      <c r="M193" s="53"/>
      <c r="N193" s="53"/>
      <c r="O193" s="139"/>
      <c r="P193" s="50"/>
      <c r="Q193" s="57"/>
      <c r="R193" s="12">
        <v>41988</v>
      </c>
      <c r="S193" s="11">
        <v>6.4249999999999998</v>
      </c>
      <c r="T193" s="148">
        <v>0.82108626198083068</v>
      </c>
      <c r="U193" s="148">
        <f t="shared" si="12"/>
        <v>6.1349261330035816</v>
      </c>
      <c r="V193" s="278">
        <f t="shared" si="13"/>
        <v>-3.0188679245283012E-2</v>
      </c>
      <c r="W193" s="278">
        <f t="shared" si="14"/>
        <v>-3.0431489123938896E-2</v>
      </c>
    </row>
    <row r="194" spans="1:23" x14ac:dyDescent="0.2">
      <c r="A194" s="8">
        <v>41978</v>
      </c>
      <c r="B194" s="9">
        <v>7.38</v>
      </c>
      <c r="E194" s="51"/>
      <c r="F194" s="51"/>
      <c r="G194" s="51"/>
      <c r="H194" s="51"/>
      <c r="I194" s="51"/>
      <c r="J194" s="53"/>
      <c r="K194" s="53"/>
      <c r="L194" s="53"/>
      <c r="M194" s="53"/>
      <c r="N194" s="53"/>
      <c r="O194" s="139"/>
      <c r="P194" s="50"/>
      <c r="Q194" s="57"/>
      <c r="R194" s="12">
        <v>41989</v>
      </c>
      <c r="S194" s="11">
        <v>6.7050000000000001</v>
      </c>
      <c r="T194" s="148">
        <v>0.8568690095846645</v>
      </c>
      <c r="U194" s="148">
        <f t="shared" si="12"/>
        <v>6.4007951609314855</v>
      </c>
      <c r="V194" s="278">
        <f t="shared" si="13"/>
        <v>4.3579766536965048E-2</v>
      </c>
      <c r="W194" s="278">
        <f t="shared" si="14"/>
        <v>4.333695665830916E-2</v>
      </c>
    </row>
    <row r="195" spans="1:23" x14ac:dyDescent="0.2">
      <c r="A195" s="8">
        <v>41981</v>
      </c>
      <c r="B195" s="9">
        <v>7.41</v>
      </c>
      <c r="E195" s="51"/>
      <c r="F195" s="51"/>
      <c r="G195" s="51"/>
      <c r="H195" s="51"/>
      <c r="I195" s="51"/>
      <c r="J195" s="53"/>
      <c r="K195" s="53"/>
      <c r="L195" s="53"/>
      <c r="M195" s="53"/>
      <c r="N195" s="53"/>
      <c r="O195" s="139"/>
      <c r="P195" s="50"/>
      <c r="Q195" s="57"/>
      <c r="R195" s="12">
        <v>41990</v>
      </c>
      <c r="S195" s="11">
        <v>6.6850000000000005</v>
      </c>
      <c r="T195" s="148">
        <v>0.85431309904153363</v>
      </c>
      <c r="U195" s="148">
        <f t="shared" si="12"/>
        <v>6.380148381619704</v>
      </c>
      <c r="V195" s="278">
        <f t="shared" si="13"/>
        <v>-2.9828486204324101E-3</v>
      </c>
      <c r="W195" s="278">
        <f t="shared" si="14"/>
        <v>-3.225658499088296E-3</v>
      </c>
    </row>
    <row r="196" spans="1:23" x14ac:dyDescent="0.2">
      <c r="A196" s="8">
        <v>41982</v>
      </c>
      <c r="B196" s="9">
        <v>7.1749999999999998</v>
      </c>
      <c r="E196" s="51"/>
      <c r="F196" s="51"/>
      <c r="G196" s="51"/>
      <c r="H196" s="51"/>
      <c r="I196" s="51"/>
      <c r="J196" s="53"/>
      <c r="K196" s="53"/>
      <c r="L196" s="53"/>
      <c r="M196" s="53"/>
      <c r="N196" s="53"/>
      <c r="O196" s="139"/>
      <c r="P196" s="50"/>
      <c r="Q196" s="57"/>
      <c r="R196" s="12">
        <v>41991</v>
      </c>
      <c r="S196" s="11">
        <v>6.8449999999999998</v>
      </c>
      <c r="T196" s="148">
        <v>0.87476038338658146</v>
      </c>
      <c r="U196" s="148">
        <f t="shared" si="12"/>
        <v>6.5313028447522141</v>
      </c>
      <c r="V196" s="278">
        <f t="shared" si="13"/>
        <v>2.393418100224376E-2</v>
      </c>
      <c r="W196" s="278">
        <f t="shared" si="14"/>
        <v>2.3691371123587875E-2</v>
      </c>
    </row>
    <row r="197" spans="1:23" x14ac:dyDescent="0.2">
      <c r="A197" s="8">
        <v>41983</v>
      </c>
      <c r="B197" s="9">
        <v>7.0250000000000004</v>
      </c>
      <c r="E197" s="51"/>
      <c r="F197" s="51"/>
      <c r="G197" s="51"/>
      <c r="H197" s="51"/>
      <c r="I197" s="51"/>
      <c r="J197" s="53"/>
      <c r="K197" s="53"/>
      <c r="L197" s="53"/>
      <c r="M197" s="53"/>
      <c r="N197" s="53"/>
      <c r="O197" s="139"/>
      <c r="P197" s="50"/>
      <c r="Q197" s="57"/>
      <c r="R197" s="12">
        <v>41992</v>
      </c>
      <c r="S197" s="11">
        <v>6.73</v>
      </c>
      <c r="T197" s="148">
        <v>0.86006389776357828</v>
      </c>
      <c r="U197" s="148">
        <f t="shared" si="12"/>
        <v>6.4199872754238054</v>
      </c>
      <c r="V197" s="278">
        <f t="shared" si="13"/>
        <v>-1.6800584368151794E-2</v>
      </c>
      <c r="W197" s="278">
        <f t="shared" si="14"/>
        <v>-1.7043394246807678E-2</v>
      </c>
    </row>
    <row r="198" spans="1:23" x14ac:dyDescent="0.2">
      <c r="A198" s="8">
        <v>41984</v>
      </c>
      <c r="B198" s="9">
        <v>6.82</v>
      </c>
      <c r="E198" s="51"/>
      <c r="F198" s="51"/>
      <c r="G198" s="51"/>
      <c r="H198" s="51"/>
      <c r="I198" s="51"/>
      <c r="J198" s="53"/>
      <c r="K198" s="53"/>
      <c r="L198" s="53"/>
      <c r="M198" s="53"/>
      <c r="N198" s="53"/>
      <c r="O198" s="139"/>
      <c r="P198" s="50"/>
      <c r="Q198" s="57"/>
      <c r="R198" s="12">
        <v>41995</v>
      </c>
      <c r="S198" s="11">
        <v>6.7949999999999999</v>
      </c>
      <c r="T198" s="148">
        <v>0.86837060702875402</v>
      </c>
      <c r="U198" s="148">
        <f t="shared" si="12"/>
        <v>6.480434259731795</v>
      </c>
      <c r="V198" s="278">
        <f t="shared" si="13"/>
        <v>9.6582466567607383E-3</v>
      </c>
      <c r="W198" s="278">
        <f t="shared" si="14"/>
        <v>9.4154367781048524E-3</v>
      </c>
    </row>
    <row r="199" spans="1:23" x14ac:dyDescent="0.2">
      <c r="A199" s="8">
        <v>41985</v>
      </c>
      <c r="B199" s="9">
        <v>6.625</v>
      </c>
      <c r="E199" s="51"/>
      <c r="F199" s="51"/>
      <c r="G199" s="51"/>
      <c r="H199" s="51"/>
      <c r="I199" s="51"/>
      <c r="J199" s="53"/>
      <c r="K199" s="53"/>
      <c r="L199" s="53"/>
      <c r="M199" s="53"/>
      <c r="N199" s="53"/>
      <c r="O199" s="139"/>
      <c r="P199" s="50"/>
      <c r="Q199" s="57"/>
      <c r="R199" s="12">
        <v>41996</v>
      </c>
      <c r="S199" s="11">
        <v>6.86</v>
      </c>
      <c r="T199" s="148">
        <v>0.87667731629392975</v>
      </c>
      <c r="U199" s="148">
        <f t="shared" si="12"/>
        <v>6.5408516553090417</v>
      </c>
      <c r="V199" s="278">
        <f t="shared" si="13"/>
        <v>9.5658572479764281E-3</v>
      </c>
      <c r="W199" s="278">
        <f t="shared" si="14"/>
        <v>9.3230473693205421E-3</v>
      </c>
    </row>
    <row r="200" spans="1:23" x14ac:dyDescent="0.2">
      <c r="A200" s="8">
        <v>41988</v>
      </c>
      <c r="B200" s="9">
        <v>6.4249999999999998</v>
      </c>
      <c r="E200" s="51"/>
      <c r="F200" s="51"/>
      <c r="G200" s="51"/>
      <c r="H200" s="51"/>
      <c r="I200" s="51"/>
      <c r="J200" s="53"/>
      <c r="K200" s="53"/>
      <c r="L200" s="53"/>
      <c r="M200" s="53"/>
      <c r="N200" s="53"/>
      <c r="O200" s="139"/>
      <c r="P200" s="50"/>
      <c r="Q200" s="57"/>
      <c r="R200" s="12">
        <v>42002</v>
      </c>
      <c r="S200" s="11">
        <v>6.76</v>
      </c>
      <c r="T200" s="148">
        <v>0.86389776357827475</v>
      </c>
      <c r="U200" s="148">
        <f t="shared" si="12"/>
        <v>6.4439157801439562</v>
      </c>
      <c r="V200" s="278">
        <f t="shared" si="13"/>
        <v>-1.4577259475218707E-2</v>
      </c>
      <c r="W200" s="278">
        <f t="shared" si="14"/>
        <v>-1.4820069353874593E-2</v>
      </c>
    </row>
    <row r="201" spans="1:23" x14ac:dyDescent="0.2">
      <c r="A201" s="8">
        <v>41989</v>
      </c>
      <c r="B201" s="9">
        <v>6.7050000000000001</v>
      </c>
      <c r="E201" s="51"/>
      <c r="F201" s="51"/>
      <c r="G201" s="51"/>
      <c r="H201" s="51"/>
      <c r="I201" s="51"/>
      <c r="J201" s="53"/>
      <c r="K201" s="53"/>
      <c r="L201" s="53"/>
      <c r="M201" s="53"/>
      <c r="N201" s="53"/>
      <c r="O201" s="139"/>
      <c r="P201" s="50"/>
      <c r="Q201" s="57"/>
      <c r="R201" s="12">
        <v>42003</v>
      </c>
      <c r="S201" s="11">
        <v>6.77</v>
      </c>
      <c r="T201" s="148">
        <v>0.86517571884984024</v>
      </c>
      <c r="U201" s="148">
        <f t="shared" si="12"/>
        <v>6.4518835535284227</v>
      </c>
      <c r="V201" s="278">
        <f t="shared" si="13"/>
        <v>1.4792899408284654E-3</v>
      </c>
      <c r="W201" s="278">
        <f t="shared" si="14"/>
        <v>1.2364800621725797E-3</v>
      </c>
    </row>
    <row r="202" spans="1:23" x14ac:dyDescent="0.2">
      <c r="A202" s="8">
        <v>41990</v>
      </c>
      <c r="B202" s="9">
        <v>6.6850000000000005</v>
      </c>
      <c r="E202" s="51"/>
      <c r="F202" s="51"/>
      <c r="G202" s="51"/>
      <c r="H202" s="51"/>
      <c r="I202" s="51"/>
      <c r="J202" s="53"/>
      <c r="K202" s="53"/>
      <c r="L202" s="53"/>
      <c r="M202" s="53"/>
      <c r="N202" s="53"/>
      <c r="O202" s="139"/>
      <c r="P202" s="50"/>
      <c r="Q202" s="57"/>
      <c r="R202" s="12">
        <v>42006</v>
      </c>
      <c r="S202" s="11">
        <v>6.8650000000000002</v>
      </c>
      <c r="T202" s="148">
        <v>0.87731629392971244</v>
      </c>
      <c r="U202" s="148">
        <f t="shared" si="12"/>
        <v>6.5408530046053048</v>
      </c>
      <c r="V202" s="278">
        <f t="shared" si="13"/>
        <v>1.4032496307238018E-2</v>
      </c>
      <c r="W202" s="278">
        <f t="shared" si="14"/>
        <v>1.3789686428582132E-2</v>
      </c>
    </row>
    <row r="203" spans="1:23" x14ac:dyDescent="0.2">
      <c r="A203" s="8">
        <v>41991</v>
      </c>
      <c r="B203" s="9">
        <v>6.8449999999999998</v>
      </c>
      <c r="E203" s="51"/>
      <c r="F203" s="51"/>
      <c r="G203" s="51"/>
      <c r="H203" s="51"/>
      <c r="I203" s="51"/>
      <c r="J203" s="53"/>
      <c r="K203" s="53"/>
      <c r="L203" s="53"/>
      <c r="M203" s="53"/>
      <c r="N203" s="53"/>
      <c r="O203" s="139"/>
      <c r="P203" s="50"/>
      <c r="Q203" s="57"/>
      <c r="R203" s="12">
        <v>42009</v>
      </c>
      <c r="S203" s="11">
        <v>6.5649999999999995</v>
      </c>
      <c r="T203" s="148">
        <v>0.83897763578274753</v>
      </c>
      <c r="U203" s="148">
        <f t="shared" si="12"/>
        <v>6.253430020971031</v>
      </c>
      <c r="V203" s="278">
        <f t="shared" si="13"/>
        <v>-4.3699927166788166E-2</v>
      </c>
      <c r="W203" s="278">
        <f t="shared" si="14"/>
        <v>-4.3942737045444054E-2</v>
      </c>
    </row>
    <row r="204" spans="1:23" x14ac:dyDescent="0.2">
      <c r="A204" s="8">
        <v>41992</v>
      </c>
      <c r="B204" s="9">
        <v>6.73</v>
      </c>
      <c r="E204" s="51"/>
      <c r="F204" s="51"/>
      <c r="G204" s="51"/>
      <c r="H204" s="51"/>
      <c r="I204" s="51"/>
      <c r="J204" s="53"/>
      <c r="K204" s="53"/>
      <c r="L204" s="53"/>
      <c r="M204" s="53"/>
      <c r="N204" s="53"/>
      <c r="O204" s="139"/>
      <c r="P204" s="50"/>
      <c r="Q204" s="57"/>
      <c r="R204" s="12">
        <v>42010</v>
      </c>
      <c r="S204" s="11">
        <v>6.4749999999999996</v>
      </c>
      <c r="T204" s="148">
        <v>0.82747603833865813</v>
      </c>
      <c r="U204" s="148">
        <f t="shared" si="12"/>
        <v>6.1661829589245531</v>
      </c>
      <c r="V204" s="278">
        <f t="shared" si="13"/>
        <v>-1.3709063214013661E-2</v>
      </c>
      <c r="W204" s="278">
        <f t="shared" si="14"/>
        <v>-1.3951873092669547E-2</v>
      </c>
    </row>
    <row r="205" spans="1:23" x14ac:dyDescent="0.2">
      <c r="A205" s="8">
        <v>41995</v>
      </c>
      <c r="B205" s="9">
        <v>6.7949999999999999</v>
      </c>
      <c r="E205" s="51"/>
      <c r="F205" s="51"/>
      <c r="G205" s="51"/>
      <c r="H205" s="51"/>
      <c r="I205" s="51"/>
      <c r="J205" s="53"/>
      <c r="K205" s="53"/>
      <c r="L205" s="53"/>
      <c r="M205" s="53"/>
      <c r="N205" s="53"/>
      <c r="O205" s="139"/>
      <c r="P205" s="50"/>
      <c r="Q205" s="57"/>
      <c r="R205" s="12">
        <v>42011</v>
      </c>
      <c r="S205" s="11">
        <v>6.4749999999999996</v>
      </c>
      <c r="T205" s="148">
        <v>0.82747603833865813</v>
      </c>
      <c r="U205" s="148">
        <f t="shared" si="12"/>
        <v>6.1646857487885267</v>
      </c>
      <c r="V205" s="278">
        <f t="shared" si="13"/>
        <v>0</v>
      </c>
      <c r="W205" s="278">
        <f t="shared" si="14"/>
        <v>-2.4280987865588565E-4</v>
      </c>
    </row>
    <row r="206" spans="1:23" x14ac:dyDescent="0.2">
      <c r="A206" s="8">
        <v>41996</v>
      </c>
      <c r="B206" s="9">
        <v>6.86</v>
      </c>
      <c r="E206" s="51"/>
      <c r="F206" s="51"/>
      <c r="G206" s="51"/>
      <c r="H206" s="51"/>
      <c r="I206" s="51"/>
      <c r="J206" s="53"/>
      <c r="K206" s="53"/>
      <c r="L206" s="53"/>
      <c r="M206" s="53"/>
      <c r="N206" s="53"/>
      <c r="O206" s="139"/>
      <c r="P206" s="50"/>
      <c r="Q206" s="57"/>
      <c r="R206" s="12">
        <v>42012</v>
      </c>
      <c r="S206" s="11">
        <v>6.79</v>
      </c>
      <c r="T206" s="148">
        <v>0.86773162939297122</v>
      </c>
      <c r="U206" s="148">
        <f t="shared" si="12"/>
        <v>6.4630925332120563</v>
      </c>
      <c r="V206" s="278">
        <f t="shared" si="13"/>
        <v>4.8648648648648818E-2</v>
      </c>
      <c r="W206" s="278">
        <f t="shared" si="14"/>
        <v>4.840583876999293E-2</v>
      </c>
    </row>
    <row r="207" spans="1:23" x14ac:dyDescent="0.2">
      <c r="A207" s="8">
        <v>42002</v>
      </c>
      <c r="B207" s="9">
        <v>6.76</v>
      </c>
      <c r="E207" s="51"/>
      <c r="F207" s="51"/>
      <c r="G207" s="51"/>
      <c r="H207" s="51"/>
      <c r="I207" s="51"/>
      <c r="J207" s="53"/>
      <c r="K207" s="53"/>
      <c r="L207" s="53"/>
      <c r="M207" s="53"/>
      <c r="N207" s="53"/>
      <c r="O207" s="139"/>
      <c r="P207" s="50"/>
      <c r="Q207" s="57"/>
      <c r="R207" s="12">
        <v>42013</v>
      </c>
      <c r="S207" s="11">
        <v>6.4649999999999999</v>
      </c>
      <c r="T207" s="148">
        <v>0.82619808306709264</v>
      </c>
      <c r="U207" s="148">
        <f t="shared" si="12"/>
        <v>6.1521704951089413</v>
      </c>
      <c r="V207" s="278">
        <f t="shared" si="13"/>
        <v>-4.7864506627393277E-2</v>
      </c>
      <c r="W207" s="278">
        <f t="shared" si="14"/>
        <v>-4.8107316506049165E-2</v>
      </c>
    </row>
    <row r="208" spans="1:23" x14ac:dyDescent="0.2">
      <c r="A208" s="8">
        <v>42003</v>
      </c>
      <c r="B208" s="9">
        <v>6.77</v>
      </c>
      <c r="E208" s="51"/>
      <c r="F208" s="51"/>
      <c r="G208" s="51"/>
      <c r="H208" s="51"/>
      <c r="I208" s="51"/>
      <c r="J208" s="53"/>
      <c r="K208" s="53"/>
      <c r="L208" s="53"/>
      <c r="M208" s="53"/>
      <c r="N208" s="53"/>
      <c r="O208" s="139"/>
      <c r="P208" s="50"/>
      <c r="Q208" s="57"/>
      <c r="R208" s="12">
        <v>42016</v>
      </c>
      <c r="S208" s="11">
        <v>6.54</v>
      </c>
      <c r="T208" s="148">
        <v>0.83578274760383386</v>
      </c>
      <c r="U208" s="148">
        <f t="shared" si="12"/>
        <v>6.2220475747518096</v>
      </c>
      <c r="V208" s="278">
        <f t="shared" si="13"/>
        <v>1.1600928074245953E-2</v>
      </c>
      <c r="W208" s="278">
        <f t="shared" si="14"/>
        <v>1.1358118195590067E-2</v>
      </c>
    </row>
    <row r="209" spans="1:23" x14ac:dyDescent="0.2">
      <c r="A209" s="8">
        <v>42006</v>
      </c>
      <c r="B209" s="9">
        <v>6.8650000000000002</v>
      </c>
      <c r="E209" s="51"/>
      <c r="F209" s="51"/>
      <c r="G209" s="51"/>
      <c r="H209" s="51"/>
      <c r="I209" s="51"/>
      <c r="J209" s="53"/>
      <c r="K209" s="53"/>
      <c r="L209" s="53"/>
      <c r="M209" s="53"/>
      <c r="N209" s="53"/>
      <c r="O209" s="139"/>
      <c r="P209" s="50"/>
      <c r="Q209" s="57"/>
      <c r="R209" s="12">
        <v>42017</v>
      </c>
      <c r="S209" s="11">
        <v>6.64</v>
      </c>
      <c r="T209" s="148">
        <v>0.84856230031948876</v>
      </c>
      <c r="U209" s="148">
        <f t="shared" si="12"/>
        <v>6.3156751422567794</v>
      </c>
      <c r="V209" s="278">
        <f t="shared" si="13"/>
        <v>1.5290519877675823E-2</v>
      </c>
      <c r="W209" s="278">
        <f t="shared" si="14"/>
        <v>1.5047709999019937E-2</v>
      </c>
    </row>
    <row r="210" spans="1:23" x14ac:dyDescent="0.2">
      <c r="A210" s="8">
        <v>42009</v>
      </c>
      <c r="B210" s="9">
        <v>6.5649999999999995</v>
      </c>
      <c r="E210" s="51"/>
      <c r="F210" s="51"/>
      <c r="G210" s="51"/>
      <c r="H210" s="51"/>
      <c r="I210" s="51"/>
      <c r="J210" s="53"/>
      <c r="K210" s="53"/>
      <c r="L210" s="53"/>
      <c r="M210" s="53"/>
      <c r="N210" s="53"/>
      <c r="O210" s="139"/>
      <c r="P210" s="50"/>
      <c r="Q210" s="57"/>
      <c r="R210" s="12">
        <v>42018</v>
      </c>
      <c r="S210" s="11">
        <v>6.5949999999999998</v>
      </c>
      <c r="T210" s="148">
        <v>0.842811501597444</v>
      </c>
      <c r="U210" s="148">
        <f t="shared" si="12"/>
        <v>6.2713396186705399</v>
      </c>
      <c r="V210" s="278">
        <f t="shared" si="13"/>
        <v>-6.777108433734913E-3</v>
      </c>
      <c r="W210" s="278">
        <f t="shared" si="14"/>
        <v>-7.019918312390799E-3</v>
      </c>
    </row>
    <row r="211" spans="1:23" x14ac:dyDescent="0.2">
      <c r="A211" s="8">
        <v>42010</v>
      </c>
      <c r="B211" s="9">
        <v>6.4749999999999996</v>
      </c>
      <c r="E211" s="51"/>
      <c r="F211" s="51"/>
      <c r="G211" s="51"/>
      <c r="H211" s="51"/>
      <c r="I211" s="51"/>
      <c r="J211" s="53"/>
      <c r="K211" s="53"/>
      <c r="L211" s="53"/>
      <c r="M211" s="53"/>
      <c r="N211" s="53"/>
      <c r="O211" s="139"/>
      <c r="P211" s="50"/>
      <c r="Q211" s="57"/>
      <c r="R211" s="12">
        <v>42019</v>
      </c>
      <c r="S211" s="11">
        <v>6.7249999999999996</v>
      </c>
      <c r="T211" s="148">
        <v>0.85942492012779548</v>
      </c>
      <c r="U211" s="148">
        <f t="shared" si="12"/>
        <v>6.393436913430997</v>
      </c>
      <c r="V211" s="278">
        <f t="shared" si="13"/>
        <v>1.9711902956785377E-2</v>
      </c>
      <c r="W211" s="278">
        <f t="shared" si="14"/>
        <v>1.9469093078129492E-2</v>
      </c>
    </row>
    <row r="212" spans="1:23" x14ac:dyDescent="0.2">
      <c r="A212" s="8">
        <v>42011</v>
      </c>
      <c r="B212" s="9">
        <v>6.4749999999999996</v>
      </c>
      <c r="E212" s="51"/>
      <c r="F212" s="51"/>
      <c r="G212" s="51"/>
      <c r="H212" s="51"/>
      <c r="I212" s="51"/>
      <c r="J212" s="53"/>
      <c r="K212" s="53"/>
      <c r="L212" s="53"/>
      <c r="M212" s="53"/>
      <c r="N212" s="53"/>
      <c r="O212" s="139"/>
      <c r="P212" s="50"/>
      <c r="Q212" s="57"/>
      <c r="R212" s="12">
        <v>42020</v>
      </c>
      <c r="S212" s="11">
        <v>6.8250000000000002</v>
      </c>
      <c r="T212" s="148">
        <v>0.87220447284345048</v>
      </c>
      <c r="U212" s="148">
        <f t="shared" si="12"/>
        <v>6.4869542176698669</v>
      </c>
      <c r="V212" s="278">
        <f t="shared" si="13"/>
        <v>1.4869888475836479E-2</v>
      </c>
      <c r="W212" s="278">
        <f t="shared" si="14"/>
        <v>1.4627078597180593E-2</v>
      </c>
    </row>
    <row r="213" spans="1:23" x14ac:dyDescent="0.2">
      <c r="A213" s="8">
        <v>42012</v>
      </c>
      <c r="B213" s="9">
        <v>6.79</v>
      </c>
      <c r="E213" s="51"/>
      <c r="F213" s="51"/>
      <c r="G213" s="51"/>
      <c r="H213" s="51"/>
      <c r="I213" s="51"/>
      <c r="J213" s="53"/>
      <c r="K213" s="53"/>
      <c r="L213" s="53"/>
      <c r="M213" s="53"/>
      <c r="N213" s="53"/>
      <c r="O213" s="139"/>
      <c r="P213" s="50"/>
      <c r="Q213" s="57"/>
      <c r="R213" s="12">
        <v>42023</v>
      </c>
      <c r="S213" s="11">
        <v>7.1349999999999998</v>
      </c>
      <c r="T213" s="148">
        <v>0.91182108626198077</v>
      </c>
      <c r="U213" s="148">
        <f t="shared" si="12"/>
        <v>6.780024660660593</v>
      </c>
      <c r="V213" s="278">
        <f t="shared" si="13"/>
        <v>4.542124542124526E-2</v>
      </c>
      <c r="W213" s="278">
        <f t="shared" si="14"/>
        <v>4.5178435542589372E-2</v>
      </c>
    </row>
    <row r="214" spans="1:23" x14ac:dyDescent="0.2">
      <c r="A214" s="8">
        <v>42013</v>
      </c>
      <c r="B214" s="9">
        <v>6.4649999999999999</v>
      </c>
      <c r="E214" s="51"/>
      <c r="F214" s="51"/>
      <c r="G214" s="51"/>
      <c r="H214" s="51"/>
      <c r="I214" s="51"/>
      <c r="J214" s="53"/>
      <c r="K214" s="53"/>
      <c r="L214" s="53"/>
      <c r="M214" s="53"/>
      <c r="N214" s="53"/>
      <c r="O214" s="139"/>
      <c r="P214" s="50"/>
      <c r="Q214" s="57"/>
      <c r="R214" s="12">
        <v>42024</v>
      </c>
      <c r="S214" s="11">
        <v>7.13</v>
      </c>
      <c r="T214" s="148">
        <v>0.91118210862619808</v>
      </c>
      <c r="U214" s="148">
        <f t="shared" si="12"/>
        <v>6.773627160064998</v>
      </c>
      <c r="V214" s="278">
        <f t="shared" si="13"/>
        <v>-7.0077084793274125E-4</v>
      </c>
      <c r="W214" s="278">
        <f t="shared" si="14"/>
        <v>-9.4358072658862701E-4</v>
      </c>
    </row>
    <row r="215" spans="1:23" x14ac:dyDescent="0.2">
      <c r="A215" s="8">
        <v>42016</v>
      </c>
      <c r="B215" s="9">
        <v>6.54</v>
      </c>
      <c r="E215" s="51"/>
      <c r="F215" s="51"/>
      <c r="G215" s="51"/>
      <c r="H215" s="51"/>
      <c r="I215" s="51"/>
      <c r="J215" s="53"/>
      <c r="K215" s="53"/>
      <c r="L215" s="53"/>
      <c r="M215" s="53"/>
      <c r="N215" s="53"/>
      <c r="O215" s="139"/>
      <c r="P215" s="50"/>
      <c r="Q215" s="57"/>
      <c r="R215" s="12">
        <v>42025</v>
      </c>
      <c r="S215" s="11">
        <v>7.23</v>
      </c>
      <c r="T215" s="148">
        <v>0.92396166134185309</v>
      </c>
      <c r="U215" s="148">
        <f t="shared" si="12"/>
        <v>6.8669842399273238</v>
      </c>
      <c r="V215" s="278">
        <f t="shared" si="13"/>
        <v>1.4025245441795287E-2</v>
      </c>
      <c r="W215" s="278">
        <f t="shared" si="14"/>
        <v>1.3782435563139401E-2</v>
      </c>
    </row>
    <row r="216" spans="1:23" x14ac:dyDescent="0.2">
      <c r="A216" s="8">
        <v>42017</v>
      </c>
      <c r="B216" s="9">
        <v>6.64</v>
      </c>
      <c r="E216" s="51"/>
      <c r="F216" s="51"/>
      <c r="G216" s="51"/>
      <c r="H216" s="51"/>
      <c r="I216" s="51"/>
      <c r="J216" s="53"/>
      <c r="K216" s="53"/>
      <c r="L216" s="53"/>
      <c r="M216" s="53"/>
      <c r="N216" s="53"/>
      <c r="O216" s="139"/>
      <c r="P216" s="50"/>
      <c r="Q216" s="57"/>
      <c r="R216" s="12">
        <v>42026</v>
      </c>
      <c r="S216" s="11">
        <v>7.36</v>
      </c>
      <c r="T216" s="148">
        <v>0.94057507987220446</v>
      </c>
      <c r="U216" s="148">
        <f t="shared" si="12"/>
        <v>6.9887896139868033</v>
      </c>
      <c r="V216" s="278">
        <f t="shared" si="13"/>
        <v>1.7980636237897585E-2</v>
      </c>
      <c r="W216" s="278">
        <f t="shared" si="14"/>
        <v>1.7737826359241701E-2</v>
      </c>
    </row>
    <row r="217" spans="1:23" x14ac:dyDescent="0.2">
      <c r="A217" s="8">
        <v>42018</v>
      </c>
      <c r="B217" s="9">
        <v>6.5949999999999998</v>
      </c>
      <c r="E217" s="51"/>
      <c r="F217" s="51"/>
      <c r="G217" s="51"/>
      <c r="H217" s="51"/>
      <c r="I217" s="51"/>
      <c r="J217" s="53"/>
      <c r="K217" s="53"/>
      <c r="L217" s="53"/>
      <c r="M217" s="53"/>
      <c r="N217" s="53"/>
      <c r="O217" s="139"/>
      <c r="P217" s="50"/>
      <c r="Q217" s="57"/>
      <c r="R217" s="12">
        <v>42027</v>
      </c>
      <c r="S217" s="11">
        <v>7.34</v>
      </c>
      <c r="T217" s="148">
        <v>0.93801916932907348</v>
      </c>
      <c r="U217" s="148">
        <f t="shared" ref="U217:U280" si="15">U216*(1+W217)</f>
        <v>6.9681013907037155</v>
      </c>
      <c r="V217" s="278">
        <f t="shared" ref="V217:V280" si="16">S217/S216-1</f>
        <v>-2.7173913043478937E-3</v>
      </c>
      <c r="W217" s="278">
        <f t="shared" ref="W217:W280" si="17">V217-$V$3+$W$2</f>
        <v>-2.9602011830037796E-3</v>
      </c>
    </row>
    <row r="218" spans="1:23" x14ac:dyDescent="0.2">
      <c r="A218" s="8">
        <v>42019</v>
      </c>
      <c r="B218" s="9">
        <v>6.7249999999999996</v>
      </c>
      <c r="E218" s="51"/>
      <c r="F218" s="51"/>
      <c r="G218" s="51"/>
      <c r="H218" s="51"/>
      <c r="I218" s="51"/>
      <c r="J218" s="53"/>
      <c r="K218" s="53"/>
      <c r="L218" s="53"/>
      <c r="M218" s="53"/>
      <c r="N218" s="53"/>
      <c r="O218" s="139"/>
      <c r="P218" s="50"/>
      <c r="Q218" s="57"/>
      <c r="R218" s="12">
        <v>42030</v>
      </c>
      <c r="S218" s="11">
        <v>7.5649999999999995</v>
      </c>
      <c r="T218" s="148">
        <v>0.96677316293929705</v>
      </c>
      <c r="U218" s="148">
        <f t="shared" si="15"/>
        <v>7.1800093051214668</v>
      </c>
      <c r="V218" s="278">
        <f t="shared" si="16"/>
        <v>3.065395095367851E-2</v>
      </c>
      <c r="W218" s="278">
        <f t="shared" si="17"/>
        <v>3.0411141075022626E-2</v>
      </c>
    </row>
    <row r="219" spans="1:23" x14ac:dyDescent="0.2">
      <c r="A219" s="8">
        <v>42020</v>
      </c>
      <c r="B219" s="9">
        <v>6.8250000000000002</v>
      </c>
      <c r="E219" s="51"/>
      <c r="F219" s="51"/>
      <c r="G219" s="51"/>
      <c r="H219" s="51"/>
      <c r="I219" s="51"/>
      <c r="J219" s="53"/>
      <c r="K219" s="53"/>
      <c r="L219" s="53"/>
      <c r="M219" s="53"/>
      <c r="N219" s="53"/>
      <c r="O219" s="139"/>
      <c r="P219" s="50"/>
      <c r="Q219" s="57"/>
      <c r="R219" s="12">
        <v>42031</v>
      </c>
      <c r="S219" s="11">
        <v>7.72</v>
      </c>
      <c r="T219" s="148">
        <v>0.98658146964856219</v>
      </c>
      <c r="U219" s="148">
        <f t="shared" si="15"/>
        <v>7.3253778171988841</v>
      </c>
      <c r="V219" s="278">
        <f t="shared" si="16"/>
        <v>2.0489094514210215E-2</v>
      </c>
      <c r="W219" s="278">
        <f t="shared" si="17"/>
        <v>2.0246284635554331E-2</v>
      </c>
    </row>
    <row r="220" spans="1:23" x14ac:dyDescent="0.2">
      <c r="A220" s="8">
        <v>42023</v>
      </c>
      <c r="B220" s="9">
        <v>7.1349999999999998</v>
      </c>
      <c r="E220" s="51"/>
      <c r="F220" s="51"/>
      <c r="G220" s="51"/>
      <c r="H220" s="51"/>
      <c r="I220" s="51"/>
      <c r="J220" s="53"/>
      <c r="K220" s="53"/>
      <c r="L220" s="53"/>
      <c r="M220" s="53"/>
      <c r="N220" s="53"/>
      <c r="O220" s="139"/>
      <c r="P220" s="50"/>
      <c r="Q220" s="57"/>
      <c r="R220" s="12">
        <v>42032</v>
      </c>
      <c r="S220" s="11">
        <v>7.55</v>
      </c>
      <c r="T220" s="148">
        <v>0.96485623003194887</v>
      </c>
      <c r="U220" s="148">
        <f t="shared" si="15"/>
        <v>7.1622890098196956</v>
      </c>
      <c r="V220" s="278">
        <f t="shared" si="16"/>
        <v>-2.2020725388601003E-2</v>
      </c>
      <c r="W220" s="278">
        <f t="shared" si="17"/>
        <v>-2.2263535267256888E-2</v>
      </c>
    </row>
    <row r="221" spans="1:23" x14ac:dyDescent="0.2">
      <c r="A221" s="8">
        <v>42024</v>
      </c>
      <c r="B221" s="9">
        <v>7.13</v>
      </c>
      <c r="E221" s="51"/>
      <c r="F221" s="51"/>
      <c r="G221" s="51"/>
      <c r="H221" s="51"/>
      <c r="I221" s="51"/>
      <c r="J221" s="53"/>
      <c r="K221" s="53"/>
      <c r="L221" s="53"/>
      <c r="M221" s="53"/>
      <c r="N221" s="53"/>
      <c r="O221" s="139"/>
      <c r="P221" s="50"/>
      <c r="Q221" s="57"/>
      <c r="R221" s="12">
        <v>42033</v>
      </c>
      <c r="S221" s="11">
        <v>7.72</v>
      </c>
      <c r="T221" s="148">
        <v>0.98658146964856219</v>
      </c>
      <c r="U221" s="148">
        <f t="shared" si="15"/>
        <v>7.3218200189591363</v>
      </c>
      <c r="V221" s="278">
        <f t="shared" si="16"/>
        <v>2.251655629139071E-2</v>
      </c>
      <c r="W221" s="278">
        <f t="shared" si="17"/>
        <v>2.2273746412734826E-2</v>
      </c>
    </row>
    <row r="222" spans="1:23" x14ac:dyDescent="0.2">
      <c r="A222" s="8">
        <v>42025</v>
      </c>
      <c r="B222" s="9">
        <v>7.23</v>
      </c>
      <c r="E222" s="51"/>
      <c r="F222" s="51"/>
      <c r="G222" s="51"/>
      <c r="H222" s="51"/>
      <c r="I222" s="51"/>
      <c r="J222" s="53"/>
      <c r="K222" s="53"/>
      <c r="L222" s="53"/>
      <c r="M222" s="53"/>
      <c r="N222" s="53"/>
      <c r="O222" s="139"/>
      <c r="P222" s="50"/>
      <c r="Q222" s="57"/>
      <c r="R222" s="12">
        <v>42034</v>
      </c>
      <c r="S222" s="11">
        <v>7.6899999999999995</v>
      </c>
      <c r="T222" s="148">
        <v>0.98274760383386572</v>
      </c>
      <c r="U222" s="148">
        <f t="shared" si="15"/>
        <v>7.2915895402613344</v>
      </c>
      <c r="V222" s="278">
        <f t="shared" si="16"/>
        <v>-3.8860103626943143E-3</v>
      </c>
      <c r="W222" s="278">
        <f t="shared" si="17"/>
        <v>-4.1288202413502003E-3</v>
      </c>
    </row>
    <row r="223" spans="1:23" x14ac:dyDescent="0.2">
      <c r="A223" s="8">
        <v>42026</v>
      </c>
      <c r="B223" s="9">
        <v>7.36</v>
      </c>
      <c r="E223" s="51"/>
      <c r="F223" s="51"/>
      <c r="G223" s="51"/>
      <c r="H223" s="51"/>
      <c r="I223" s="51"/>
      <c r="J223" s="53"/>
      <c r="K223" s="53"/>
      <c r="L223" s="53"/>
      <c r="M223" s="53"/>
      <c r="N223" s="53"/>
      <c r="O223" s="139"/>
      <c r="P223" s="50"/>
      <c r="Q223" s="57"/>
      <c r="R223" s="12">
        <v>42037</v>
      </c>
      <c r="S223" s="11">
        <v>7.7050000000000001</v>
      </c>
      <c r="T223" s="148">
        <v>0.98466453674121401</v>
      </c>
      <c r="U223" s="148">
        <f t="shared" si="15"/>
        <v>7.304041936753304</v>
      </c>
      <c r="V223" s="278">
        <f t="shared" si="16"/>
        <v>1.9505851755527992E-3</v>
      </c>
      <c r="W223" s="278">
        <f t="shared" si="17"/>
        <v>1.7077752968969134E-3</v>
      </c>
    </row>
    <row r="224" spans="1:23" x14ac:dyDescent="0.2">
      <c r="A224" s="8">
        <v>42027</v>
      </c>
      <c r="B224" s="9">
        <v>7.34</v>
      </c>
      <c r="E224" s="51"/>
      <c r="F224" s="51"/>
      <c r="G224" s="51"/>
      <c r="H224" s="51"/>
      <c r="I224" s="51"/>
      <c r="J224" s="53"/>
      <c r="K224" s="53"/>
      <c r="L224" s="53"/>
      <c r="M224" s="53"/>
      <c r="N224" s="53"/>
      <c r="O224" s="139"/>
      <c r="P224" s="50"/>
      <c r="Q224" s="57"/>
      <c r="R224" s="12">
        <v>42038</v>
      </c>
      <c r="S224" s="11">
        <v>7.85</v>
      </c>
      <c r="T224" s="148">
        <v>1.0031948881789137</v>
      </c>
      <c r="U224" s="148">
        <f t="shared" si="15"/>
        <v>7.4397228339799826</v>
      </c>
      <c r="V224" s="278">
        <f t="shared" si="16"/>
        <v>1.8818948734587782E-2</v>
      </c>
      <c r="W224" s="278">
        <f t="shared" si="17"/>
        <v>1.8576138855931897E-2</v>
      </c>
    </row>
    <row r="225" spans="1:23" x14ac:dyDescent="0.2">
      <c r="A225" s="8">
        <v>42030</v>
      </c>
      <c r="B225" s="9">
        <v>7.5649999999999995</v>
      </c>
      <c r="E225" s="51"/>
      <c r="F225" s="51"/>
      <c r="G225" s="51"/>
      <c r="H225" s="51"/>
      <c r="I225" s="51"/>
      <c r="J225" s="53"/>
      <c r="K225" s="53"/>
      <c r="L225" s="53"/>
      <c r="M225" s="53"/>
      <c r="N225" s="53"/>
      <c r="O225" s="139"/>
      <c r="P225" s="50"/>
      <c r="Q225" s="57"/>
      <c r="R225" s="12">
        <v>42039</v>
      </c>
      <c r="S225" s="11">
        <v>7.8550000000000004</v>
      </c>
      <c r="T225" s="148">
        <v>1.0038338658146966</v>
      </c>
      <c r="U225" s="148">
        <f t="shared" si="15"/>
        <v>7.4426550727457492</v>
      </c>
      <c r="V225" s="278">
        <f t="shared" si="16"/>
        <v>6.3694267515934655E-4</v>
      </c>
      <c r="W225" s="278">
        <f t="shared" si="17"/>
        <v>3.941327965034609E-4</v>
      </c>
    </row>
    <row r="226" spans="1:23" x14ac:dyDescent="0.2">
      <c r="A226" s="8">
        <v>42031</v>
      </c>
      <c r="B226" s="9">
        <v>7.72</v>
      </c>
      <c r="E226" s="51"/>
      <c r="F226" s="51"/>
      <c r="G226" s="51"/>
      <c r="H226" s="51"/>
      <c r="I226" s="51"/>
      <c r="J226" s="53"/>
      <c r="K226" s="53"/>
      <c r="L226" s="53"/>
      <c r="M226" s="53"/>
      <c r="N226" s="53"/>
      <c r="O226" s="139"/>
      <c r="P226" s="50"/>
      <c r="Q226" s="57"/>
      <c r="R226" s="12">
        <v>42040</v>
      </c>
      <c r="S226" s="11">
        <v>7.6749999999999998</v>
      </c>
      <c r="T226" s="148">
        <v>0.98083067092651754</v>
      </c>
      <c r="U226" s="148">
        <f t="shared" si="15"/>
        <v>7.2702969470016914</v>
      </c>
      <c r="V226" s="278">
        <f t="shared" si="16"/>
        <v>-2.2915340547422058E-2</v>
      </c>
      <c r="W226" s="278">
        <f t="shared" si="17"/>
        <v>-2.3158150426077943E-2</v>
      </c>
    </row>
    <row r="227" spans="1:23" x14ac:dyDescent="0.2">
      <c r="A227" s="8">
        <v>42032</v>
      </c>
      <c r="B227" s="9">
        <v>7.55</v>
      </c>
      <c r="E227" s="51"/>
      <c r="F227" s="51"/>
      <c r="G227" s="51"/>
      <c r="H227" s="51"/>
      <c r="I227" s="51"/>
      <c r="J227" s="53"/>
      <c r="K227" s="53"/>
      <c r="L227" s="53"/>
      <c r="M227" s="53"/>
      <c r="N227" s="53"/>
      <c r="O227" s="139"/>
      <c r="P227" s="50"/>
      <c r="Q227" s="57"/>
      <c r="R227" s="12">
        <v>42041</v>
      </c>
      <c r="S227" s="11">
        <v>7.6749999999999998</v>
      </c>
      <c r="T227" s="148">
        <v>0.98083067092651754</v>
      </c>
      <c r="U227" s="148">
        <f t="shared" si="15"/>
        <v>7.2685316470821979</v>
      </c>
      <c r="V227" s="278">
        <f t="shared" si="16"/>
        <v>0</v>
      </c>
      <c r="W227" s="278">
        <f t="shared" si="17"/>
        <v>-2.4280987865588565E-4</v>
      </c>
    </row>
    <row r="228" spans="1:23" x14ac:dyDescent="0.2">
      <c r="A228" s="8">
        <v>42033</v>
      </c>
      <c r="B228" s="9">
        <v>7.72</v>
      </c>
      <c r="E228" s="51"/>
      <c r="F228" s="51"/>
      <c r="G228" s="51"/>
      <c r="H228" s="51"/>
      <c r="I228" s="51"/>
      <c r="J228" s="53"/>
      <c r="K228" s="53"/>
      <c r="L228" s="53"/>
      <c r="M228" s="53"/>
      <c r="N228" s="53"/>
      <c r="O228" s="139"/>
      <c r="P228" s="50"/>
      <c r="Q228" s="57"/>
      <c r="R228" s="12">
        <v>42044</v>
      </c>
      <c r="S228" s="11">
        <v>7.4950000000000001</v>
      </c>
      <c r="T228" s="148">
        <v>0.95782747603833862</v>
      </c>
      <c r="U228" s="148">
        <f t="shared" si="15"/>
        <v>7.096299584071863</v>
      </c>
      <c r="V228" s="278">
        <f t="shared" si="16"/>
        <v>-2.3452768729641638E-2</v>
      </c>
      <c r="W228" s="278">
        <f t="shared" si="17"/>
        <v>-2.3695578608297522E-2</v>
      </c>
    </row>
    <row r="229" spans="1:23" x14ac:dyDescent="0.2">
      <c r="A229" s="8">
        <v>42034</v>
      </c>
      <c r="B229" s="9">
        <v>7.6899999999999995</v>
      </c>
      <c r="E229" s="51"/>
      <c r="F229" s="51"/>
      <c r="G229" s="51"/>
      <c r="H229" s="51"/>
      <c r="I229" s="51"/>
      <c r="J229" s="53"/>
      <c r="K229" s="53"/>
      <c r="L229" s="53"/>
      <c r="M229" s="53"/>
      <c r="N229" s="53"/>
      <c r="O229" s="139"/>
      <c r="P229" s="50"/>
      <c r="Q229" s="57"/>
      <c r="R229" s="12">
        <v>42045</v>
      </c>
      <c r="S229" s="11">
        <v>7.83</v>
      </c>
      <c r="T229" s="148">
        <v>1.0006389776357827</v>
      </c>
      <c r="U229" s="148">
        <f t="shared" si="15"/>
        <v>7.4117560335202182</v>
      </c>
      <c r="V229" s="278">
        <f t="shared" si="16"/>
        <v>4.4696464309539774E-2</v>
      </c>
      <c r="W229" s="278">
        <f t="shared" si="17"/>
        <v>4.4453654430883886E-2</v>
      </c>
    </row>
    <row r="230" spans="1:23" x14ac:dyDescent="0.2">
      <c r="A230" s="8">
        <v>42037</v>
      </c>
      <c r="B230" s="9">
        <v>7.7050000000000001</v>
      </c>
      <c r="E230" s="51"/>
      <c r="F230" s="51"/>
      <c r="G230" s="51"/>
      <c r="H230" s="51"/>
      <c r="I230" s="51"/>
      <c r="J230" s="53"/>
      <c r="K230" s="53"/>
      <c r="L230" s="53"/>
      <c r="M230" s="53"/>
      <c r="N230" s="53"/>
      <c r="O230" s="139"/>
      <c r="P230" s="50"/>
      <c r="Q230" s="57"/>
      <c r="R230" s="12">
        <v>42046</v>
      </c>
      <c r="S230" s="11">
        <v>7.7350000000000003</v>
      </c>
      <c r="T230" s="148">
        <v>0.98849840255591059</v>
      </c>
      <c r="U230" s="148">
        <f t="shared" si="15"/>
        <v>7.3200308657347399</v>
      </c>
      <c r="V230" s="278">
        <f t="shared" si="16"/>
        <v>-1.2132822477650018E-2</v>
      </c>
      <c r="W230" s="278">
        <f t="shared" si="17"/>
        <v>-1.2375632356305904E-2</v>
      </c>
    </row>
    <row r="231" spans="1:23" x14ac:dyDescent="0.2">
      <c r="A231" s="8">
        <v>42038</v>
      </c>
      <c r="B231" s="9">
        <v>7.85</v>
      </c>
      <c r="E231" s="51"/>
      <c r="F231" s="51"/>
      <c r="G231" s="51"/>
      <c r="H231" s="51"/>
      <c r="I231" s="51"/>
      <c r="J231" s="53"/>
      <c r="K231" s="53"/>
      <c r="L231" s="53"/>
      <c r="M231" s="53"/>
      <c r="N231" s="53"/>
      <c r="O231" s="139"/>
      <c r="P231" s="50"/>
      <c r="Q231" s="57"/>
      <c r="R231" s="12">
        <v>42047</v>
      </c>
      <c r="S231" s="11">
        <v>7.9950000000000001</v>
      </c>
      <c r="T231" s="148">
        <v>1.0217252396166134</v>
      </c>
      <c r="U231" s="148">
        <f t="shared" si="15"/>
        <v>7.5643049476002275</v>
      </c>
      <c r="V231" s="278">
        <f t="shared" si="16"/>
        <v>3.3613445378151141E-2</v>
      </c>
      <c r="W231" s="278">
        <f t="shared" si="17"/>
        <v>3.3370635499495253E-2</v>
      </c>
    </row>
    <row r="232" spans="1:23" x14ac:dyDescent="0.2">
      <c r="A232" s="8">
        <v>42039</v>
      </c>
      <c r="B232" s="9">
        <v>7.8550000000000004</v>
      </c>
      <c r="E232" s="51"/>
      <c r="F232" s="51"/>
      <c r="G232" s="51"/>
      <c r="H232" s="51"/>
      <c r="I232" s="51"/>
      <c r="J232" s="53"/>
      <c r="K232" s="53"/>
      <c r="L232" s="53"/>
      <c r="M232" s="53"/>
      <c r="N232" s="53"/>
      <c r="O232" s="139"/>
      <c r="P232" s="50"/>
      <c r="Q232" s="57"/>
      <c r="R232" s="12">
        <v>42048</v>
      </c>
      <c r="S232" s="11">
        <v>7.9450000000000003</v>
      </c>
      <c r="T232" s="148">
        <v>1.0153354632587859</v>
      </c>
      <c r="U232" s="148">
        <f t="shared" si="15"/>
        <v>7.515161787165991</v>
      </c>
      <c r="V232" s="278">
        <f t="shared" si="16"/>
        <v>-6.2539086929330745E-3</v>
      </c>
      <c r="W232" s="278">
        <f t="shared" si="17"/>
        <v>-6.4967185715889605E-3</v>
      </c>
    </row>
    <row r="233" spans="1:23" x14ac:dyDescent="0.2">
      <c r="A233" s="8">
        <v>42040</v>
      </c>
      <c r="B233" s="9">
        <v>7.6749999999999998</v>
      </c>
      <c r="E233" s="51"/>
      <c r="F233" s="51"/>
      <c r="G233" s="51"/>
      <c r="H233" s="51"/>
      <c r="I233" s="51"/>
      <c r="J233" s="53"/>
      <c r="K233" s="53"/>
      <c r="L233" s="53"/>
      <c r="M233" s="53"/>
      <c r="N233" s="53"/>
      <c r="O233" s="139"/>
      <c r="P233" s="50"/>
      <c r="Q233" s="57"/>
      <c r="R233" s="12">
        <v>42051</v>
      </c>
      <c r="S233" s="11">
        <v>8.0850000000000009</v>
      </c>
      <c r="T233" s="148">
        <v>1.033226837060703</v>
      </c>
      <c r="U233" s="148">
        <f t="shared" si="15"/>
        <v>7.6457627900085283</v>
      </c>
      <c r="V233" s="278">
        <f t="shared" si="16"/>
        <v>1.7621145374449476E-2</v>
      </c>
      <c r="W233" s="278">
        <f t="shared" si="17"/>
        <v>1.7378335495793592E-2</v>
      </c>
    </row>
    <row r="234" spans="1:23" x14ac:dyDescent="0.2">
      <c r="A234" s="8">
        <v>42041</v>
      </c>
      <c r="B234" s="9">
        <v>7.6749999999999998</v>
      </c>
      <c r="E234" s="51"/>
      <c r="F234" s="51"/>
      <c r="G234" s="51"/>
      <c r="H234" s="51"/>
      <c r="I234" s="51"/>
      <c r="J234" s="53"/>
      <c r="K234" s="53"/>
      <c r="L234" s="53"/>
      <c r="M234" s="53"/>
      <c r="N234" s="53"/>
      <c r="O234" s="139"/>
      <c r="P234" s="50"/>
      <c r="Q234" s="57"/>
      <c r="R234" s="12">
        <v>42052</v>
      </c>
      <c r="S234" s="11">
        <v>8.0649999999999995</v>
      </c>
      <c r="T234" s="148">
        <v>1.0306709265175718</v>
      </c>
      <c r="U234" s="148">
        <f t="shared" si="15"/>
        <v>7.6249928717209752</v>
      </c>
      <c r="V234" s="278">
        <f t="shared" si="16"/>
        <v>-2.4737167594311993E-3</v>
      </c>
      <c r="W234" s="278">
        <f t="shared" si="17"/>
        <v>-2.7165266380870853E-3</v>
      </c>
    </row>
    <row r="235" spans="1:23" x14ac:dyDescent="0.2">
      <c r="A235" s="8">
        <v>42044</v>
      </c>
      <c r="B235" s="9">
        <v>7.4950000000000001</v>
      </c>
      <c r="E235" s="51"/>
      <c r="F235" s="51"/>
      <c r="G235" s="51"/>
      <c r="H235" s="51"/>
      <c r="I235" s="51"/>
      <c r="J235" s="53"/>
      <c r="K235" s="53"/>
      <c r="L235" s="53"/>
      <c r="M235" s="53"/>
      <c r="N235" s="53"/>
      <c r="O235" s="139"/>
      <c r="P235" s="50"/>
      <c r="Q235" s="57"/>
      <c r="R235" s="12">
        <v>42053</v>
      </c>
      <c r="S235" s="11">
        <v>8.1449999999999996</v>
      </c>
      <c r="T235" s="148">
        <v>1.0408945686900957</v>
      </c>
      <c r="U235" s="148">
        <f t="shared" si="15"/>
        <v>7.6987768392910416</v>
      </c>
      <c r="V235" s="278">
        <f t="shared" si="16"/>
        <v>9.9194048357098552E-3</v>
      </c>
      <c r="W235" s="278">
        <f t="shared" si="17"/>
        <v>9.6765949570539692E-3</v>
      </c>
    </row>
    <row r="236" spans="1:23" x14ac:dyDescent="0.2">
      <c r="A236" s="8">
        <v>42045</v>
      </c>
      <c r="B236" s="9">
        <v>7.83</v>
      </c>
      <c r="E236" s="51"/>
      <c r="F236" s="51"/>
      <c r="G236" s="51"/>
      <c r="H236" s="51"/>
      <c r="I236" s="51"/>
      <c r="J236" s="53"/>
      <c r="K236" s="53"/>
      <c r="L236" s="53"/>
      <c r="M236" s="53"/>
      <c r="N236" s="53"/>
      <c r="O236" s="139"/>
      <c r="P236" s="50"/>
      <c r="Q236" s="57"/>
      <c r="R236" s="12">
        <v>42054</v>
      </c>
      <c r="S236" s="11">
        <v>8.1750000000000007</v>
      </c>
      <c r="T236" s="148">
        <v>1.0447284345047925</v>
      </c>
      <c r="U236" s="148">
        <f t="shared" si="15"/>
        <v>7.7252639526676399</v>
      </c>
      <c r="V236" s="278">
        <f t="shared" si="16"/>
        <v>3.6832412523022384E-3</v>
      </c>
      <c r="W236" s="278">
        <f t="shared" si="17"/>
        <v>3.4404313736463524E-3</v>
      </c>
    </row>
    <row r="237" spans="1:23" x14ac:dyDescent="0.2">
      <c r="A237" s="8">
        <v>42046</v>
      </c>
      <c r="B237" s="9">
        <v>7.7350000000000003</v>
      </c>
      <c r="E237" s="51"/>
      <c r="F237" s="51"/>
      <c r="G237" s="51"/>
      <c r="H237" s="51"/>
      <c r="I237" s="51"/>
      <c r="J237" s="53"/>
      <c r="K237" s="53"/>
      <c r="L237" s="53"/>
      <c r="M237" s="53"/>
      <c r="N237" s="53"/>
      <c r="O237" s="139"/>
      <c r="P237" s="50"/>
      <c r="Q237" s="57"/>
      <c r="R237" s="12">
        <v>42055</v>
      </c>
      <c r="S237" s="11">
        <v>8.2050000000000001</v>
      </c>
      <c r="T237" s="148">
        <v>1.0485623003194888</v>
      </c>
      <c r="U237" s="148">
        <f t="shared" si="15"/>
        <v>7.7517377747515601</v>
      </c>
      <c r="V237" s="278">
        <f t="shared" si="16"/>
        <v>3.669724770642091E-3</v>
      </c>
      <c r="W237" s="278">
        <f t="shared" si="17"/>
        <v>3.426914891986205E-3</v>
      </c>
    </row>
    <row r="238" spans="1:23" x14ac:dyDescent="0.2">
      <c r="A238" s="8">
        <v>42047</v>
      </c>
      <c r="B238" s="9">
        <v>7.9950000000000001</v>
      </c>
      <c r="E238" s="51"/>
      <c r="F238" s="51"/>
      <c r="G238" s="51"/>
      <c r="H238" s="51"/>
      <c r="I238" s="51"/>
      <c r="J238" s="53"/>
      <c r="K238" s="53"/>
      <c r="L238" s="53"/>
      <c r="M238" s="53"/>
      <c r="N238" s="53"/>
      <c r="O238" s="139"/>
      <c r="P238" s="50"/>
      <c r="Q238" s="57"/>
      <c r="R238" s="12">
        <v>42058</v>
      </c>
      <c r="S238" s="11">
        <v>8.2650000000000006</v>
      </c>
      <c r="T238" s="148">
        <v>1.0562300319488818</v>
      </c>
      <c r="U238" s="148">
        <f t="shared" si="15"/>
        <v>7.8065410444314107</v>
      </c>
      <c r="V238" s="278">
        <f t="shared" si="16"/>
        <v>7.3126142595978383E-3</v>
      </c>
      <c r="W238" s="278">
        <f t="shared" si="17"/>
        <v>7.0698043809419523E-3</v>
      </c>
    </row>
    <row r="239" spans="1:23" x14ac:dyDescent="0.2">
      <c r="A239" s="8">
        <v>42048</v>
      </c>
      <c r="B239" s="9">
        <v>7.9450000000000003</v>
      </c>
      <c r="E239" s="51"/>
      <c r="F239" s="51"/>
      <c r="G239" s="51"/>
      <c r="H239" s="51"/>
      <c r="I239" s="51"/>
      <c r="J239" s="53"/>
      <c r="K239" s="53"/>
      <c r="L239" s="53"/>
      <c r="M239" s="53"/>
      <c r="N239" s="53"/>
      <c r="O239" s="139"/>
      <c r="P239" s="50"/>
      <c r="Q239" s="57"/>
      <c r="R239" s="12">
        <v>42059</v>
      </c>
      <c r="S239" s="11">
        <v>8.2850000000000001</v>
      </c>
      <c r="T239" s="148">
        <v>1.0587859424920127</v>
      </c>
      <c r="U239" s="148">
        <f t="shared" si="15"/>
        <v>7.8235361405861195</v>
      </c>
      <c r="V239" s="278">
        <f t="shared" si="16"/>
        <v>2.4198427102237741E-3</v>
      </c>
      <c r="W239" s="278">
        <f t="shared" si="17"/>
        <v>2.1770328315678881E-3</v>
      </c>
    </row>
    <row r="240" spans="1:23" x14ac:dyDescent="0.2">
      <c r="A240" s="8">
        <v>42051</v>
      </c>
      <c r="B240" s="9">
        <v>8.0850000000000009</v>
      </c>
      <c r="E240" s="51"/>
      <c r="F240" s="51"/>
      <c r="G240" s="51"/>
      <c r="H240" s="51"/>
      <c r="I240" s="51"/>
      <c r="J240" s="53"/>
      <c r="K240" s="53"/>
      <c r="L240" s="53"/>
      <c r="M240" s="53"/>
      <c r="N240" s="53"/>
      <c r="O240" s="139"/>
      <c r="P240" s="50"/>
      <c r="Q240" s="57"/>
      <c r="R240" s="12">
        <v>42060</v>
      </c>
      <c r="S240" s="11">
        <v>8.0649999999999995</v>
      </c>
      <c r="T240" s="148">
        <v>1.0306709265175718</v>
      </c>
      <c r="U240" s="148">
        <f t="shared" si="15"/>
        <v>7.613890226174898</v>
      </c>
      <c r="V240" s="278">
        <f t="shared" si="16"/>
        <v>-2.6554013277006683E-2</v>
      </c>
      <c r="W240" s="278">
        <f t="shared" si="17"/>
        <v>-2.6796823155662567E-2</v>
      </c>
    </row>
    <row r="241" spans="1:23" x14ac:dyDescent="0.2">
      <c r="A241" s="8">
        <v>42052</v>
      </c>
      <c r="B241" s="9">
        <v>8.0649999999999995</v>
      </c>
      <c r="E241" s="51"/>
      <c r="F241" s="51"/>
      <c r="G241" s="51"/>
      <c r="H241" s="51"/>
      <c r="I241" s="51"/>
      <c r="J241" s="53"/>
      <c r="K241" s="53"/>
      <c r="L241" s="53"/>
      <c r="M241" s="53"/>
      <c r="N241" s="53"/>
      <c r="O241" s="139"/>
      <c r="P241" s="50"/>
      <c r="Q241" s="57"/>
      <c r="R241" s="12">
        <v>42061</v>
      </c>
      <c r="S241" s="11">
        <v>8.2249999999999996</v>
      </c>
      <c r="T241" s="148">
        <v>1.0511182108626198</v>
      </c>
      <c r="U241" s="148">
        <f t="shared" si="15"/>
        <v>7.7630920174691473</v>
      </c>
      <c r="V241" s="278">
        <f t="shared" si="16"/>
        <v>1.983880967141971E-2</v>
      </c>
      <c r="W241" s="278">
        <f t="shared" si="17"/>
        <v>1.9595999792763826E-2</v>
      </c>
    </row>
    <row r="242" spans="1:23" x14ac:dyDescent="0.2">
      <c r="A242" s="8">
        <v>42053</v>
      </c>
      <c r="B242" s="9">
        <v>8.1449999999999996</v>
      </c>
      <c r="E242" s="51"/>
      <c r="F242" s="51"/>
      <c r="G242" s="51"/>
      <c r="H242" s="51"/>
      <c r="I242" s="51"/>
      <c r="J242" s="53"/>
      <c r="K242" s="53"/>
      <c r="L242" s="53"/>
      <c r="M242" s="53"/>
      <c r="N242" s="53"/>
      <c r="O242" s="139"/>
      <c r="P242" s="50"/>
      <c r="Q242" s="57"/>
      <c r="R242" s="12">
        <v>42062</v>
      </c>
      <c r="S242" s="11">
        <v>8.2349999999999994</v>
      </c>
      <c r="T242" s="148">
        <v>1.0523961661341852</v>
      </c>
      <c r="U242" s="148">
        <f t="shared" si="15"/>
        <v>7.7706454717860733</v>
      </c>
      <c r="V242" s="278">
        <f t="shared" si="16"/>
        <v>1.2158054711246535E-3</v>
      </c>
      <c r="W242" s="278">
        <f t="shared" si="17"/>
        <v>9.7299559246876788E-4</v>
      </c>
    </row>
    <row r="243" spans="1:23" x14ac:dyDescent="0.2">
      <c r="A243" s="8">
        <v>42054</v>
      </c>
      <c r="B243" s="9">
        <v>8.1750000000000007</v>
      </c>
      <c r="E243" s="51"/>
      <c r="F243" s="51"/>
      <c r="G243" s="51"/>
      <c r="H243" s="51"/>
      <c r="I243" s="51"/>
      <c r="J243" s="53"/>
      <c r="K243" s="53"/>
      <c r="L243" s="53"/>
      <c r="M243" s="53"/>
      <c r="N243" s="53"/>
      <c r="O243" s="139"/>
      <c r="P243" s="50"/>
      <c r="Q243" s="57"/>
      <c r="R243" s="12">
        <v>42065</v>
      </c>
      <c r="S243" s="11">
        <v>8.2200000000000006</v>
      </c>
      <c r="T243" s="148">
        <v>1.0504792332268371</v>
      </c>
      <c r="U243" s="148">
        <f t="shared" si="15"/>
        <v>7.754604501114768</v>
      </c>
      <c r="V243" s="278">
        <f t="shared" si="16"/>
        <v>-1.8214936247721303E-3</v>
      </c>
      <c r="W243" s="278">
        <f t="shared" si="17"/>
        <v>-2.0643035034280163E-3</v>
      </c>
    </row>
    <row r="244" spans="1:23" x14ac:dyDescent="0.2">
      <c r="A244" s="8">
        <v>42055</v>
      </c>
      <c r="B244" s="9">
        <v>8.2050000000000001</v>
      </c>
      <c r="E244" s="51"/>
      <c r="F244" s="51"/>
      <c r="G244" s="51"/>
      <c r="H244" s="51"/>
      <c r="I244" s="51"/>
      <c r="J244" s="53"/>
      <c r="K244" s="53"/>
      <c r="L244" s="53"/>
      <c r="M244" s="53"/>
      <c r="N244" s="53"/>
      <c r="O244" s="139"/>
      <c r="P244" s="50"/>
      <c r="Q244" s="57"/>
      <c r="R244" s="12">
        <v>42066</v>
      </c>
      <c r="S244" s="11">
        <v>8.1</v>
      </c>
      <c r="T244" s="148">
        <v>1.035143769968051</v>
      </c>
      <c r="U244" s="148">
        <f t="shared" si="15"/>
        <v>7.6395157014110637</v>
      </c>
      <c r="V244" s="278">
        <f t="shared" si="16"/>
        <v>-1.4598540145985495E-2</v>
      </c>
      <c r="W244" s="278">
        <f t="shared" si="17"/>
        <v>-1.4841350024641381E-2</v>
      </c>
    </row>
    <row r="245" spans="1:23" x14ac:dyDescent="0.2">
      <c r="A245" s="8">
        <v>42058</v>
      </c>
      <c r="B245" s="9">
        <v>8.2650000000000006</v>
      </c>
      <c r="E245" s="51"/>
      <c r="F245" s="51"/>
      <c r="G245" s="51"/>
      <c r="H245" s="51"/>
      <c r="I245" s="51"/>
      <c r="J245" s="53"/>
      <c r="K245" s="53"/>
      <c r="L245" s="53"/>
      <c r="M245" s="53"/>
      <c r="N245" s="53"/>
      <c r="O245" s="139"/>
      <c r="P245" s="50"/>
      <c r="Q245" s="57"/>
      <c r="R245" s="12">
        <v>42067</v>
      </c>
      <c r="S245" s="11">
        <v>8.1999999999999993</v>
      </c>
      <c r="T245" s="148">
        <v>1.0479233226837059</v>
      </c>
      <c r="U245" s="148">
        <f t="shared" si="15"/>
        <v>7.7319757601900099</v>
      </c>
      <c r="V245" s="278">
        <f t="shared" si="16"/>
        <v>1.2345679012345734E-2</v>
      </c>
      <c r="W245" s="278">
        <f t="shared" si="17"/>
        <v>1.2102869133689848E-2</v>
      </c>
    </row>
    <row r="246" spans="1:23" x14ac:dyDescent="0.2">
      <c r="A246" s="8">
        <v>42059</v>
      </c>
      <c r="B246" s="9">
        <v>8.2850000000000001</v>
      </c>
      <c r="E246" s="51"/>
      <c r="F246" s="51"/>
      <c r="G246" s="51"/>
      <c r="H246" s="51"/>
      <c r="I246" s="51"/>
      <c r="J246" s="53"/>
      <c r="K246" s="53"/>
      <c r="L246" s="53"/>
      <c r="M246" s="53"/>
      <c r="N246" s="53"/>
      <c r="O246" s="139"/>
      <c r="P246" s="50"/>
      <c r="Q246" s="57"/>
      <c r="R246" s="12">
        <v>42068</v>
      </c>
      <c r="S246" s="11">
        <v>8.4250000000000007</v>
      </c>
      <c r="T246" s="148">
        <v>1.0766773162939298</v>
      </c>
      <c r="U246" s="148">
        <f t="shared" si="15"/>
        <v>7.9422562315625367</v>
      </c>
      <c r="V246" s="278">
        <f t="shared" si="16"/>
        <v>2.7439024390244038E-2</v>
      </c>
      <c r="W246" s="278">
        <f t="shared" si="17"/>
        <v>2.7196214511588154E-2</v>
      </c>
    </row>
    <row r="247" spans="1:23" x14ac:dyDescent="0.2">
      <c r="A247" s="8">
        <v>42060</v>
      </c>
      <c r="B247" s="9">
        <v>8.0649999999999995</v>
      </c>
      <c r="E247" s="51"/>
      <c r="F247" s="51"/>
      <c r="G247" s="51"/>
      <c r="H247" s="51"/>
      <c r="I247" s="51"/>
      <c r="J247" s="53"/>
      <c r="K247" s="53"/>
      <c r="L247" s="53"/>
      <c r="M247" s="53"/>
      <c r="N247" s="53"/>
      <c r="O247" s="139"/>
      <c r="P247" s="50"/>
      <c r="Q247" s="57"/>
      <c r="R247" s="12">
        <v>42069</v>
      </c>
      <c r="S247" s="11">
        <v>8.3450000000000006</v>
      </c>
      <c r="T247" s="148">
        <v>1.0664536741214059</v>
      </c>
      <c r="U247" s="148">
        <f t="shared" si="15"/>
        <v>7.8649116903797172</v>
      </c>
      <c r="V247" s="278">
        <f t="shared" si="16"/>
        <v>-9.4955489614243493E-3</v>
      </c>
      <c r="W247" s="278">
        <f t="shared" si="17"/>
        <v>-9.7383588400802353E-3</v>
      </c>
    </row>
    <row r="248" spans="1:23" x14ac:dyDescent="0.2">
      <c r="A248" s="8">
        <v>42061</v>
      </c>
      <c r="B248" s="9">
        <v>8.2249999999999996</v>
      </c>
      <c r="E248" s="51"/>
      <c r="F248" s="51"/>
      <c r="G248" s="51"/>
      <c r="H248" s="51"/>
      <c r="I248" s="51"/>
      <c r="J248" s="53"/>
      <c r="K248" s="53"/>
      <c r="L248" s="53"/>
      <c r="M248" s="53"/>
      <c r="N248" s="53"/>
      <c r="O248" s="139"/>
      <c r="P248" s="50"/>
      <c r="Q248" s="57"/>
      <c r="R248" s="12">
        <v>42072</v>
      </c>
      <c r="S248" s="11">
        <v>8.3249999999999993</v>
      </c>
      <c r="T248" s="148">
        <v>1.0638977635782747</v>
      </c>
      <c r="U248" s="148">
        <f t="shared" si="15"/>
        <v>7.8441526132280828</v>
      </c>
      <c r="V248" s="278">
        <f t="shared" si="16"/>
        <v>-2.3966446974237332E-3</v>
      </c>
      <c r="W248" s="278">
        <f t="shared" si="17"/>
        <v>-2.6394545760796192E-3</v>
      </c>
    </row>
    <row r="249" spans="1:23" x14ac:dyDescent="0.2">
      <c r="A249" s="8">
        <v>42062</v>
      </c>
      <c r="B249" s="9">
        <v>8.2349999999999994</v>
      </c>
      <c r="E249" s="51"/>
      <c r="F249" s="51"/>
      <c r="G249" s="51"/>
      <c r="H249" s="51"/>
      <c r="I249" s="51"/>
      <c r="J249" s="53"/>
      <c r="K249" s="53"/>
      <c r="L249" s="53"/>
      <c r="M249" s="53"/>
      <c r="N249" s="53"/>
      <c r="O249" s="139"/>
      <c r="P249" s="50"/>
      <c r="Q249" s="57"/>
      <c r="R249" s="12">
        <v>42073</v>
      </c>
      <c r="S249" s="11">
        <v>8.2799999999999994</v>
      </c>
      <c r="T249" s="148">
        <v>1.0581469648562298</v>
      </c>
      <c r="U249" s="148">
        <f t="shared" si="15"/>
        <v>7.7998471505475386</v>
      </c>
      <c r="V249" s="278">
        <f t="shared" si="16"/>
        <v>-5.4054054054053502E-3</v>
      </c>
      <c r="W249" s="278">
        <f t="shared" si="17"/>
        <v>-5.6482152840612362E-3</v>
      </c>
    </row>
    <row r="250" spans="1:23" x14ac:dyDescent="0.2">
      <c r="A250" s="8">
        <v>42065</v>
      </c>
      <c r="B250" s="9">
        <v>8.2200000000000006</v>
      </c>
      <c r="E250" s="51"/>
      <c r="F250" s="51"/>
      <c r="G250" s="51"/>
      <c r="H250" s="51"/>
      <c r="I250" s="51"/>
      <c r="J250" s="53"/>
      <c r="K250" s="53"/>
      <c r="L250" s="53"/>
      <c r="M250" s="53"/>
      <c r="N250" s="53"/>
      <c r="O250" s="139"/>
      <c r="P250" s="50"/>
      <c r="Q250" s="57"/>
      <c r="R250" s="12">
        <v>42074</v>
      </c>
      <c r="S250" s="11">
        <v>8.4550000000000001</v>
      </c>
      <c r="T250" s="148">
        <v>1.0805111821086262</v>
      </c>
      <c r="U250" s="148">
        <f t="shared" si="15"/>
        <v>7.9628051125573567</v>
      </c>
      <c r="V250" s="278">
        <f t="shared" si="16"/>
        <v>2.1135265700483075E-2</v>
      </c>
      <c r="W250" s="278">
        <f t="shared" si="17"/>
        <v>2.089245582182719E-2</v>
      </c>
    </row>
    <row r="251" spans="1:23" x14ac:dyDescent="0.2">
      <c r="A251" s="8">
        <v>42066</v>
      </c>
      <c r="B251" s="9">
        <v>8.1</v>
      </c>
      <c r="E251" s="51"/>
      <c r="F251" s="51"/>
      <c r="G251" s="51"/>
      <c r="H251" s="51"/>
      <c r="I251" s="51"/>
      <c r="J251" s="53"/>
      <c r="K251" s="53"/>
      <c r="L251" s="53"/>
      <c r="M251" s="53"/>
      <c r="N251" s="53"/>
      <c r="O251" s="139"/>
      <c r="P251" s="50"/>
      <c r="Q251" s="57"/>
      <c r="R251" s="12">
        <v>42075</v>
      </c>
      <c r="S251" s="11">
        <v>8.4849999999999994</v>
      </c>
      <c r="T251" s="148">
        <v>1.0843450479233225</v>
      </c>
      <c r="U251" s="148">
        <f t="shared" si="15"/>
        <v>7.9891252607192085</v>
      </c>
      <c r="V251" s="278">
        <f t="shared" si="16"/>
        <v>3.548196333530429E-3</v>
      </c>
      <c r="W251" s="278">
        <f t="shared" si="17"/>
        <v>3.305386454874543E-3</v>
      </c>
    </row>
    <row r="252" spans="1:23" x14ac:dyDescent="0.2">
      <c r="A252" s="8">
        <v>42067</v>
      </c>
      <c r="B252" s="9">
        <v>8.1999999999999993</v>
      </c>
      <c r="E252" s="51"/>
      <c r="F252" s="51"/>
      <c r="G252" s="51"/>
      <c r="H252" s="51"/>
      <c r="I252" s="51"/>
      <c r="J252" s="53"/>
      <c r="K252" s="53"/>
      <c r="L252" s="53"/>
      <c r="M252" s="53"/>
      <c r="N252" s="53"/>
      <c r="O252" s="139"/>
      <c r="P252" s="50"/>
      <c r="Q252" s="57"/>
      <c r="R252" s="12">
        <v>42076</v>
      </c>
      <c r="S252" s="11">
        <v>8.7750000000000004</v>
      </c>
      <c r="T252" s="148">
        <v>1.1214057507987221</v>
      </c>
      <c r="U252" s="148">
        <f t="shared" si="15"/>
        <v>8.2602374346305893</v>
      </c>
      <c r="V252" s="278">
        <f t="shared" si="16"/>
        <v>3.417796110783744E-2</v>
      </c>
      <c r="W252" s="278">
        <f t="shared" si="17"/>
        <v>3.3935151229181552E-2</v>
      </c>
    </row>
    <row r="253" spans="1:23" x14ac:dyDescent="0.2">
      <c r="A253" s="8">
        <v>42068</v>
      </c>
      <c r="B253" s="9">
        <v>8.4250000000000007</v>
      </c>
      <c r="E253" s="51"/>
      <c r="F253" s="51"/>
      <c r="G253" s="51"/>
      <c r="H253" s="51"/>
      <c r="I253" s="51"/>
      <c r="J253" s="53"/>
      <c r="K253" s="53"/>
      <c r="L253" s="53"/>
      <c r="M253" s="53"/>
      <c r="N253" s="53"/>
      <c r="O253" s="139"/>
      <c r="P253" s="50"/>
      <c r="Q253" s="57"/>
      <c r="R253" s="12">
        <v>42079</v>
      </c>
      <c r="S253" s="11">
        <v>8.7449999999999992</v>
      </c>
      <c r="T253" s="148">
        <v>1.1175718849840255</v>
      </c>
      <c r="U253" s="148">
        <f t="shared" si="15"/>
        <v>8.2299916393997741</v>
      </c>
      <c r="V253" s="278">
        <f t="shared" si="16"/>
        <v>-3.4188034188035177E-3</v>
      </c>
      <c r="W253" s="278">
        <f t="shared" si="17"/>
        <v>-3.6616132974594037E-3</v>
      </c>
    </row>
    <row r="254" spans="1:23" x14ac:dyDescent="0.2">
      <c r="A254" s="8">
        <v>42069</v>
      </c>
      <c r="B254" s="9">
        <v>8.3450000000000006</v>
      </c>
      <c r="E254" s="51"/>
      <c r="F254" s="51"/>
      <c r="G254" s="51"/>
      <c r="H254" s="51"/>
      <c r="I254" s="51"/>
      <c r="J254" s="53"/>
      <c r="K254" s="53"/>
      <c r="L254" s="53"/>
      <c r="M254" s="53"/>
      <c r="N254" s="53"/>
      <c r="O254" s="139"/>
      <c r="P254" s="50"/>
      <c r="Q254" s="57"/>
      <c r="R254" s="12">
        <v>42080</v>
      </c>
      <c r="S254" s="11">
        <v>8.6349999999999998</v>
      </c>
      <c r="T254" s="148">
        <v>1.103514376996805</v>
      </c>
      <c r="U254" s="148">
        <f t="shared" si="15"/>
        <v>8.1244714087146406</v>
      </c>
      <c r="V254" s="278">
        <f t="shared" si="16"/>
        <v>-1.2578616352201144E-2</v>
      </c>
      <c r="W254" s="278">
        <f t="shared" si="17"/>
        <v>-1.282142623085703E-2</v>
      </c>
    </row>
    <row r="255" spans="1:23" x14ac:dyDescent="0.2">
      <c r="A255" s="8">
        <v>42072</v>
      </c>
      <c r="B255" s="9">
        <v>8.3249999999999993</v>
      </c>
      <c r="E255" s="51"/>
      <c r="F255" s="51"/>
      <c r="G255" s="51"/>
      <c r="H255" s="51"/>
      <c r="I255" s="51"/>
      <c r="J255" s="53"/>
      <c r="K255" s="53"/>
      <c r="L255" s="53"/>
      <c r="M255" s="53"/>
      <c r="N255" s="53"/>
      <c r="O255" s="139"/>
      <c r="P255" s="50"/>
      <c r="Q255" s="57"/>
      <c r="R255" s="12">
        <v>42081</v>
      </c>
      <c r="S255" s="11">
        <v>8.56</v>
      </c>
      <c r="T255" s="148">
        <v>1.093929712460064</v>
      </c>
      <c r="U255" s="148">
        <f t="shared" si="15"/>
        <v>8.0519329447070014</v>
      </c>
      <c r="V255" s="278">
        <f t="shared" si="16"/>
        <v>-8.6855819339894946E-3</v>
      </c>
      <c r="W255" s="278">
        <f t="shared" si="17"/>
        <v>-8.9283918126453806E-3</v>
      </c>
    </row>
    <row r="256" spans="1:23" x14ac:dyDescent="0.2">
      <c r="A256" s="8">
        <v>42073</v>
      </c>
      <c r="B256" s="9">
        <v>8.2799999999999994</v>
      </c>
      <c r="E256" s="51"/>
      <c r="F256" s="51"/>
      <c r="G256" s="51"/>
      <c r="H256" s="51"/>
      <c r="I256" s="51"/>
      <c r="J256" s="53"/>
      <c r="K256" s="53"/>
      <c r="L256" s="53"/>
      <c r="M256" s="53"/>
      <c r="N256" s="53"/>
      <c r="O256" s="139"/>
      <c r="P256" s="50"/>
      <c r="Q256" s="57"/>
      <c r="R256" s="12">
        <v>42082</v>
      </c>
      <c r="S256" s="11">
        <v>8.69</v>
      </c>
      <c r="T256" s="148">
        <v>1.1105431309904152</v>
      </c>
      <c r="U256" s="148">
        <f t="shared" si="15"/>
        <v>8.1722618842116272</v>
      </c>
      <c r="V256" s="278">
        <f t="shared" si="16"/>
        <v>1.5186915887850372E-2</v>
      </c>
      <c r="W256" s="278">
        <f t="shared" si="17"/>
        <v>1.4944106009194486E-2</v>
      </c>
    </row>
    <row r="257" spans="1:23" x14ac:dyDescent="0.2">
      <c r="A257" s="8">
        <v>42074</v>
      </c>
      <c r="B257" s="9">
        <v>8.4550000000000001</v>
      </c>
      <c r="E257" s="51"/>
      <c r="F257" s="51"/>
      <c r="G257" s="51"/>
      <c r="H257" s="51"/>
      <c r="I257" s="51"/>
      <c r="J257" s="53"/>
      <c r="K257" s="53"/>
      <c r="L257" s="53"/>
      <c r="M257" s="53"/>
      <c r="N257" s="53"/>
      <c r="O257" s="139"/>
      <c r="P257" s="50"/>
      <c r="Q257" s="57"/>
      <c r="R257" s="12">
        <v>42083</v>
      </c>
      <c r="S257" s="11">
        <v>8.7200000000000006</v>
      </c>
      <c r="T257" s="148">
        <v>1.1143769968051118</v>
      </c>
      <c r="U257" s="148">
        <f t="shared" si="15"/>
        <v>8.1984902200128236</v>
      </c>
      <c r="V257" s="278">
        <f t="shared" si="16"/>
        <v>3.4522439585731313E-3</v>
      </c>
      <c r="W257" s="278">
        <f t="shared" si="17"/>
        <v>3.2094340799172453E-3</v>
      </c>
    </row>
    <row r="258" spans="1:23" x14ac:dyDescent="0.2">
      <c r="A258" s="8">
        <v>42075</v>
      </c>
      <c r="B258" s="9">
        <v>8.4849999999999994</v>
      </c>
      <c r="E258" s="51"/>
      <c r="F258" s="51"/>
      <c r="G258" s="51"/>
      <c r="H258" s="51"/>
      <c r="I258" s="51"/>
      <c r="J258" s="53"/>
      <c r="K258" s="53"/>
      <c r="L258" s="53"/>
      <c r="M258" s="53"/>
      <c r="N258" s="53"/>
      <c r="O258" s="139"/>
      <c r="P258" s="50"/>
      <c r="Q258" s="57"/>
      <c r="R258" s="12">
        <v>42086</v>
      </c>
      <c r="S258" s="11">
        <v>8.7149999999999999</v>
      </c>
      <c r="T258" s="148">
        <v>1.1137380191693291</v>
      </c>
      <c r="U258" s="148">
        <f t="shared" si="15"/>
        <v>8.1917985764344881</v>
      </c>
      <c r="V258" s="278">
        <f t="shared" si="16"/>
        <v>-5.7339449541293774E-4</v>
      </c>
      <c r="W258" s="278">
        <f t="shared" si="17"/>
        <v>-8.162043740688234E-4</v>
      </c>
    </row>
    <row r="259" spans="1:23" x14ac:dyDescent="0.2">
      <c r="A259" s="8">
        <v>42076</v>
      </c>
      <c r="B259" s="9">
        <v>8.7750000000000004</v>
      </c>
      <c r="E259" s="51"/>
      <c r="F259" s="51"/>
      <c r="G259" s="51"/>
      <c r="H259" s="51"/>
      <c r="I259" s="51"/>
      <c r="J259" s="53"/>
      <c r="K259" s="53"/>
      <c r="L259" s="53"/>
      <c r="M259" s="53"/>
      <c r="N259" s="53"/>
      <c r="O259" s="139"/>
      <c r="P259" s="50"/>
      <c r="Q259" s="57"/>
      <c r="R259" s="12">
        <v>42087</v>
      </c>
      <c r="S259" s="11">
        <v>8.9600000000000009</v>
      </c>
      <c r="T259" s="148">
        <v>1.1450479233226838</v>
      </c>
      <c r="U259" s="148">
        <f t="shared" si="15"/>
        <v>8.4201010530613178</v>
      </c>
      <c r="V259" s="278">
        <f t="shared" si="16"/>
        <v>2.8112449799196915E-2</v>
      </c>
      <c r="W259" s="278">
        <f t="shared" si="17"/>
        <v>2.786963992054103E-2</v>
      </c>
    </row>
    <row r="260" spans="1:23" x14ac:dyDescent="0.2">
      <c r="A260" s="8">
        <v>42079</v>
      </c>
      <c r="B260" s="9">
        <v>8.7449999999999992</v>
      </c>
      <c r="E260" s="51"/>
      <c r="F260" s="51"/>
      <c r="G260" s="51"/>
      <c r="H260" s="51"/>
      <c r="I260" s="51"/>
      <c r="J260" s="53"/>
      <c r="K260" s="53"/>
      <c r="L260" s="53"/>
      <c r="M260" s="53"/>
      <c r="N260" s="53"/>
      <c r="O260" s="139"/>
      <c r="P260" s="50"/>
      <c r="Q260" s="57"/>
      <c r="R260" s="12">
        <v>42088</v>
      </c>
      <c r="S260" s="11">
        <v>8.94</v>
      </c>
      <c r="T260" s="148">
        <v>1.1424920127795526</v>
      </c>
      <c r="U260" s="148">
        <f t="shared" si="15"/>
        <v>8.39926170092434</v>
      </c>
      <c r="V260" s="278">
        <f t="shared" si="16"/>
        <v>-2.2321428571430157E-3</v>
      </c>
      <c r="W260" s="278">
        <f t="shared" si="17"/>
        <v>-2.4749527357989017E-3</v>
      </c>
    </row>
    <row r="261" spans="1:23" x14ac:dyDescent="0.2">
      <c r="A261" s="8">
        <v>42080</v>
      </c>
      <c r="B261" s="9">
        <v>8.6349999999999998</v>
      </c>
      <c r="E261" s="51"/>
      <c r="F261" s="51"/>
      <c r="G261" s="51"/>
      <c r="H261" s="51"/>
      <c r="I261" s="51"/>
      <c r="J261" s="53"/>
      <c r="K261" s="53"/>
      <c r="L261" s="53"/>
      <c r="M261" s="53"/>
      <c r="N261" s="53"/>
      <c r="O261" s="139"/>
      <c r="P261" s="50"/>
      <c r="Q261" s="57"/>
      <c r="R261" s="12">
        <v>42089</v>
      </c>
      <c r="S261" s="11">
        <v>8.6999999999999993</v>
      </c>
      <c r="T261" s="148">
        <v>1.1118210862619806</v>
      </c>
      <c r="U261" s="148">
        <f t="shared" si="15"/>
        <v>8.1717387416146554</v>
      </c>
      <c r="V261" s="278">
        <f t="shared" si="16"/>
        <v>-2.684563758389269E-2</v>
      </c>
      <c r="W261" s="278">
        <f t="shared" si="17"/>
        <v>-2.7088447462548574E-2</v>
      </c>
    </row>
    <row r="262" spans="1:23" x14ac:dyDescent="0.2">
      <c r="A262" s="8">
        <v>42081</v>
      </c>
      <c r="B262" s="9">
        <v>8.56</v>
      </c>
      <c r="E262" s="51"/>
      <c r="F262" s="51"/>
      <c r="G262" s="51"/>
      <c r="H262" s="51"/>
      <c r="I262" s="51"/>
      <c r="J262" s="53"/>
      <c r="K262" s="53"/>
      <c r="L262" s="53"/>
      <c r="M262" s="53"/>
      <c r="N262" s="53"/>
      <c r="O262" s="139"/>
      <c r="P262" s="50"/>
      <c r="Q262" s="57"/>
      <c r="R262" s="12">
        <v>42090</v>
      </c>
      <c r="S262" s="11">
        <v>8.7949999999999999</v>
      </c>
      <c r="T262" s="148">
        <v>1.123961661341853</v>
      </c>
      <c r="U262" s="148">
        <f t="shared" si="15"/>
        <v>8.2589861926595685</v>
      </c>
      <c r="V262" s="278">
        <f t="shared" si="16"/>
        <v>1.0919540229885172E-2</v>
      </c>
      <c r="W262" s="278">
        <f t="shared" si="17"/>
        <v>1.0676730351229286E-2</v>
      </c>
    </row>
    <row r="263" spans="1:23" x14ac:dyDescent="0.2">
      <c r="A263" s="8">
        <v>42082</v>
      </c>
      <c r="B263" s="9">
        <v>8.69</v>
      </c>
      <c r="E263" s="51"/>
      <c r="F263" s="51"/>
      <c r="G263" s="51"/>
      <c r="H263" s="51"/>
      <c r="I263" s="51"/>
      <c r="J263" s="53"/>
      <c r="K263" s="53"/>
      <c r="L263" s="53"/>
      <c r="M263" s="53"/>
      <c r="N263" s="53"/>
      <c r="O263" s="139"/>
      <c r="P263" s="50"/>
      <c r="Q263" s="57"/>
      <c r="R263" s="12">
        <v>42093</v>
      </c>
      <c r="S263" s="11">
        <v>9</v>
      </c>
      <c r="T263" s="148">
        <v>1.1501597444089458</v>
      </c>
      <c r="U263" s="148">
        <f t="shared" si="15"/>
        <v>8.4494870451987492</v>
      </c>
      <c r="V263" s="278">
        <f t="shared" si="16"/>
        <v>2.3308698123934102E-2</v>
      </c>
      <c r="W263" s="278">
        <f t="shared" si="17"/>
        <v>2.3065888245278218E-2</v>
      </c>
    </row>
    <row r="264" spans="1:23" x14ac:dyDescent="0.2">
      <c r="A264" s="8">
        <v>42083</v>
      </c>
      <c r="B264" s="9">
        <v>8.7200000000000006</v>
      </c>
      <c r="E264" s="51"/>
      <c r="F264" s="51"/>
      <c r="G264" s="51"/>
      <c r="H264" s="51"/>
      <c r="I264" s="51"/>
      <c r="J264" s="53"/>
      <c r="K264" s="53"/>
      <c r="L264" s="53"/>
      <c r="M264" s="53"/>
      <c r="N264" s="53"/>
      <c r="O264" s="139"/>
      <c r="P264" s="50"/>
      <c r="Q264" s="57"/>
      <c r="R264" s="12">
        <v>42094</v>
      </c>
      <c r="S264" s="11">
        <v>8.9350000000000005</v>
      </c>
      <c r="T264" s="148">
        <v>1.1418530351437699</v>
      </c>
      <c r="U264" s="148">
        <f t="shared" si="15"/>
        <v>8.3864113531703879</v>
      </c>
      <c r="V264" s="278">
        <f t="shared" si="16"/>
        <v>-7.22222222222213E-3</v>
      </c>
      <c r="W264" s="278">
        <f t="shared" si="17"/>
        <v>-7.4650321008780159E-3</v>
      </c>
    </row>
    <row r="265" spans="1:23" x14ac:dyDescent="0.2">
      <c r="A265" s="8">
        <v>42086</v>
      </c>
      <c r="B265" s="9">
        <v>8.7149999999999999</v>
      </c>
      <c r="E265" s="51"/>
      <c r="F265" s="51"/>
      <c r="G265" s="51"/>
      <c r="H265" s="51"/>
      <c r="I265" s="51"/>
      <c r="J265" s="53"/>
      <c r="K265" s="53"/>
      <c r="L265" s="53"/>
      <c r="M265" s="53"/>
      <c r="N265" s="53"/>
      <c r="O265" s="139"/>
      <c r="P265" s="50"/>
      <c r="Q265" s="57"/>
      <c r="R265" s="12">
        <v>42095</v>
      </c>
      <c r="S265" s="11">
        <v>8.9450000000000003</v>
      </c>
      <c r="T265" s="148">
        <v>1.1431309904153355</v>
      </c>
      <c r="U265" s="148">
        <f t="shared" si="15"/>
        <v>8.3937610724265141</v>
      </c>
      <c r="V265" s="278">
        <f t="shared" si="16"/>
        <v>1.1191941801902416E-3</v>
      </c>
      <c r="W265" s="278">
        <f t="shared" si="17"/>
        <v>8.7638430153435599E-4</v>
      </c>
    </row>
    <row r="266" spans="1:23" x14ac:dyDescent="0.2">
      <c r="A266" s="8">
        <v>42087</v>
      </c>
      <c r="B266" s="9">
        <v>8.9600000000000009</v>
      </c>
      <c r="E266" s="51"/>
      <c r="F266" s="51"/>
      <c r="G266" s="51"/>
      <c r="H266" s="51"/>
      <c r="I266" s="51"/>
      <c r="J266" s="53"/>
      <c r="K266" s="53"/>
      <c r="L266" s="53"/>
      <c r="M266" s="53"/>
      <c r="N266" s="53"/>
      <c r="O266" s="139"/>
      <c r="P266" s="50"/>
      <c r="Q266" s="57"/>
      <c r="R266" s="12">
        <v>42096</v>
      </c>
      <c r="S266" s="11">
        <v>8.9250000000000007</v>
      </c>
      <c r="T266" s="148">
        <v>1.1405750798722045</v>
      </c>
      <c r="U266" s="148">
        <f t="shared" si="15"/>
        <v>8.3729554917032303</v>
      </c>
      <c r="V266" s="278">
        <f t="shared" si="16"/>
        <v>-2.2358859698154987E-3</v>
      </c>
      <c r="W266" s="278">
        <f t="shared" si="17"/>
        <v>-2.4786958484713847E-3</v>
      </c>
    </row>
    <row r="267" spans="1:23" x14ac:dyDescent="0.2">
      <c r="A267" s="8">
        <v>42088</v>
      </c>
      <c r="B267" s="9">
        <v>8.94</v>
      </c>
      <c r="E267" s="51"/>
      <c r="F267" s="51"/>
      <c r="G267" s="51"/>
      <c r="H267" s="51"/>
      <c r="I267" s="51"/>
      <c r="J267" s="53"/>
      <c r="K267" s="53"/>
      <c r="L267" s="53"/>
      <c r="M267" s="53"/>
      <c r="N267" s="53"/>
      <c r="O267" s="139"/>
      <c r="P267" s="50"/>
      <c r="Q267" s="57"/>
      <c r="R267" s="12">
        <v>42101</v>
      </c>
      <c r="S267" s="11">
        <v>9.0649999999999995</v>
      </c>
      <c r="T267" s="148">
        <v>1.1584664536741214</v>
      </c>
      <c r="U267" s="148">
        <f t="shared" si="15"/>
        <v>8.5022629336975246</v>
      </c>
      <c r="V267" s="278">
        <f t="shared" si="16"/>
        <v>1.5686274509803866E-2</v>
      </c>
      <c r="W267" s="278">
        <f t="shared" si="17"/>
        <v>1.544346463114798E-2</v>
      </c>
    </row>
    <row r="268" spans="1:23" x14ac:dyDescent="0.2">
      <c r="A268" s="8">
        <v>42089</v>
      </c>
      <c r="B268" s="9">
        <v>8.6999999999999993</v>
      </c>
      <c r="E268" s="51"/>
      <c r="F268" s="51"/>
      <c r="G268" s="51"/>
      <c r="H268" s="51"/>
      <c r="I268" s="51"/>
      <c r="J268" s="53"/>
      <c r="K268" s="53"/>
      <c r="L268" s="53"/>
      <c r="M268" s="53"/>
      <c r="N268" s="53"/>
      <c r="O268" s="139"/>
      <c r="P268" s="50"/>
      <c r="Q268" s="57"/>
      <c r="R268" s="12">
        <v>42102</v>
      </c>
      <c r="S268" s="11">
        <v>8.9499999999999993</v>
      </c>
      <c r="T268" s="148">
        <v>1.1437699680511182</v>
      </c>
      <c r="U268" s="148">
        <f t="shared" si="15"/>
        <v>8.3923374702193847</v>
      </c>
      <c r="V268" s="278">
        <f t="shared" si="16"/>
        <v>-1.2686155543298439E-2</v>
      </c>
      <c r="W268" s="278">
        <f t="shared" si="17"/>
        <v>-1.2928965421954325E-2</v>
      </c>
    </row>
    <row r="269" spans="1:23" x14ac:dyDescent="0.2">
      <c r="A269" s="8">
        <v>42090</v>
      </c>
      <c r="B269" s="9">
        <v>8.7949999999999999</v>
      </c>
      <c r="E269" s="51"/>
      <c r="F269" s="51"/>
      <c r="G269" s="51"/>
      <c r="H269" s="51"/>
      <c r="I269" s="51"/>
      <c r="J269" s="53"/>
      <c r="K269" s="53"/>
      <c r="L269" s="53"/>
      <c r="M269" s="53"/>
      <c r="N269" s="53"/>
      <c r="O269" s="139"/>
      <c r="P269" s="50"/>
      <c r="Q269" s="57"/>
      <c r="R269" s="12">
        <v>42103</v>
      </c>
      <c r="S269" s="11">
        <v>9.1300000000000008</v>
      </c>
      <c r="T269" s="148">
        <v>1.1667731629392972</v>
      </c>
      <c r="U269" s="148">
        <f t="shared" si="15"/>
        <v>8.559084168518444</v>
      </c>
      <c r="V269" s="278">
        <f t="shared" si="16"/>
        <v>2.0111731843575509E-2</v>
      </c>
      <c r="W269" s="278">
        <f t="shared" si="17"/>
        <v>1.9868921964919625E-2</v>
      </c>
    </row>
    <row r="270" spans="1:23" x14ac:dyDescent="0.2">
      <c r="A270" s="8">
        <v>42093</v>
      </c>
      <c r="B270" s="9">
        <v>9</v>
      </c>
      <c r="E270" s="51"/>
      <c r="F270" s="51"/>
      <c r="G270" s="51"/>
      <c r="H270" s="51"/>
      <c r="I270" s="51"/>
      <c r="J270" s="53"/>
      <c r="K270" s="53"/>
      <c r="L270" s="53"/>
      <c r="M270" s="53"/>
      <c r="N270" s="53"/>
      <c r="O270" s="139"/>
      <c r="P270" s="50"/>
      <c r="Q270" s="57"/>
      <c r="R270" s="12">
        <v>42104</v>
      </c>
      <c r="S270" s="11">
        <v>9.1300000000000008</v>
      </c>
      <c r="T270" s="148">
        <v>1.1667731629392972</v>
      </c>
      <c r="U270" s="148">
        <f t="shared" si="15"/>
        <v>8.5570059383300805</v>
      </c>
      <c r="V270" s="278">
        <f t="shared" si="16"/>
        <v>0</v>
      </c>
      <c r="W270" s="278">
        <f t="shared" si="17"/>
        <v>-2.4280987865588565E-4</v>
      </c>
    </row>
    <row r="271" spans="1:23" x14ac:dyDescent="0.2">
      <c r="A271" s="8">
        <v>42094</v>
      </c>
      <c r="B271" s="9">
        <v>8.9350000000000005</v>
      </c>
      <c r="E271" s="51"/>
      <c r="F271" s="51"/>
      <c r="G271" s="51"/>
      <c r="H271" s="51"/>
      <c r="I271" s="51"/>
      <c r="J271" s="53"/>
      <c r="K271" s="53"/>
      <c r="L271" s="53"/>
      <c r="M271" s="53"/>
      <c r="N271" s="53"/>
      <c r="O271" s="139"/>
      <c r="P271" s="50"/>
      <c r="Q271" s="57"/>
      <c r="R271" s="12">
        <v>42107</v>
      </c>
      <c r="S271" s="11">
        <v>9.0850000000000009</v>
      </c>
      <c r="T271" s="148">
        <v>1.1610223642172526</v>
      </c>
      <c r="U271" s="148">
        <f t="shared" si="15"/>
        <v>8.5127523894022268</v>
      </c>
      <c r="V271" s="278">
        <f t="shared" si="16"/>
        <v>-4.9288061336254518E-3</v>
      </c>
      <c r="W271" s="278">
        <f t="shared" si="17"/>
        <v>-5.1716160122813378E-3</v>
      </c>
    </row>
    <row r="272" spans="1:23" x14ac:dyDescent="0.2">
      <c r="A272" s="8">
        <v>42095</v>
      </c>
      <c r="B272" s="9">
        <v>8.9450000000000003</v>
      </c>
      <c r="E272" s="51"/>
      <c r="F272" s="51"/>
      <c r="G272" s="51"/>
      <c r="H272" s="51"/>
      <c r="I272" s="51"/>
      <c r="J272" s="53"/>
      <c r="K272" s="53"/>
      <c r="L272" s="53"/>
      <c r="M272" s="53"/>
      <c r="N272" s="53"/>
      <c r="O272" s="139"/>
      <c r="P272" s="50"/>
      <c r="Q272" s="57"/>
      <c r="R272" s="12">
        <v>42108</v>
      </c>
      <c r="S272" s="11">
        <v>8.9</v>
      </c>
      <c r="T272" s="148">
        <v>1.1373801916932909</v>
      </c>
      <c r="U272" s="148">
        <f t="shared" si="15"/>
        <v>8.3373382222317751</v>
      </c>
      <c r="V272" s="278">
        <f t="shared" si="16"/>
        <v>-2.0363236103467353E-2</v>
      </c>
      <c r="W272" s="278">
        <f t="shared" si="17"/>
        <v>-2.0606045982123237E-2</v>
      </c>
    </row>
    <row r="273" spans="1:23" x14ac:dyDescent="0.2">
      <c r="A273" s="8">
        <v>42096</v>
      </c>
      <c r="B273" s="9">
        <v>8.9250000000000007</v>
      </c>
      <c r="E273" s="51"/>
      <c r="F273" s="51"/>
      <c r="G273" s="51"/>
      <c r="H273" s="51"/>
      <c r="I273" s="51"/>
      <c r="J273" s="53"/>
      <c r="K273" s="53"/>
      <c r="L273" s="53"/>
      <c r="M273" s="53"/>
      <c r="N273" s="53"/>
      <c r="O273" s="139"/>
      <c r="P273" s="50"/>
      <c r="Q273" s="57"/>
      <c r="R273" s="12">
        <v>42109</v>
      </c>
      <c r="S273" s="11">
        <v>8.9700000000000006</v>
      </c>
      <c r="T273" s="148">
        <v>1.1463258785942492</v>
      </c>
      <c r="U273" s="148">
        <f t="shared" si="15"/>
        <v>8.4008884044369374</v>
      </c>
      <c r="V273" s="278">
        <f t="shared" si="16"/>
        <v>7.8651685393258397E-3</v>
      </c>
      <c r="W273" s="278">
        <f t="shared" si="17"/>
        <v>7.6223586606699537E-3</v>
      </c>
    </row>
    <row r="274" spans="1:23" x14ac:dyDescent="0.2">
      <c r="A274" s="8">
        <v>42101</v>
      </c>
      <c r="B274" s="9">
        <v>9.0649999999999995</v>
      </c>
      <c r="E274" s="51"/>
      <c r="F274" s="51"/>
      <c r="G274" s="51"/>
      <c r="H274" s="51"/>
      <c r="I274" s="51"/>
      <c r="J274" s="53"/>
      <c r="K274" s="53"/>
      <c r="L274" s="53"/>
      <c r="M274" s="53"/>
      <c r="N274" s="53"/>
      <c r="O274" s="139"/>
      <c r="P274" s="50"/>
      <c r="Q274" s="57"/>
      <c r="R274" s="12">
        <v>42110</v>
      </c>
      <c r="S274" s="11">
        <v>8.8049999999999997</v>
      </c>
      <c r="T274" s="148">
        <v>1.1252396166134184</v>
      </c>
      <c r="U274" s="148">
        <f t="shared" si="15"/>
        <v>8.2443171936879942</v>
      </c>
      <c r="V274" s="278">
        <f t="shared" si="16"/>
        <v>-1.8394648829431537E-2</v>
      </c>
      <c r="W274" s="278">
        <f t="shared" si="17"/>
        <v>-1.8637458708087421E-2</v>
      </c>
    </row>
    <row r="275" spans="1:23" x14ac:dyDescent="0.2">
      <c r="A275" s="8">
        <v>42102</v>
      </c>
      <c r="B275" s="9">
        <v>8.9499999999999993</v>
      </c>
      <c r="E275" s="51"/>
      <c r="F275" s="51"/>
      <c r="G275" s="51"/>
      <c r="H275" s="51"/>
      <c r="I275" s="51"/>
      <c r="J275" s="53"/>
      <c r="K275" s="53"/>
      <c r="L275" s="53"/>
      <c r="M275" s="53"/>
      <c r="N275" s="53"/>
      <c r="O275" s="139"/>
      <c r="P275" s="50"/>
      <c r="Q275" s="57"/>
      <c r="R275" s="12">
        <v>42111</v>
      </c>
      <c r="S275" s="11">
        <v>8.5299999999999994</v>
      </c>
      <c r="T275" s="148">
        <v>1.0900958466453674</v>
      </c>
      <c r="U275" s="148">
        <f t="shared" si="15"/>
        <v>7.9848267800755464</v>
      </c>
      <c r="V275" s="278">
        <f t="shared" si="16"/>
        <v>-3.1232254400908599E-2</v>
      </c>
      <c r="W275" s="278">
        <f t="shared" si="17"/>
        <v>-3.1475064279564487E-2</v>
      </c>
    </row>
    <row r="276" spans="1:23" x14ac:dyDescent="0.2">
      <c r="A276" s="8">
        <v>42103</v>
      </c>
      <c r="B276" s="9">
        <v>9.1300000000000008</v>
      </c>
      <c r="E276" s="51"/>
      <c r="F276" s="51"/>
      <c r="G276" s="51"/>
      <c r="H276" s="51"/>
      <c r="I276" s="51"/>
      <c r="J276" s="53"/>
      <c r="K276" s="53"/>
      <c r="L276" s="53"/>
      <c r="M276" s="53"/>
      <c r="N276" s="53"/>
      <c r="O276" s="139"/>
      <c r="P276" s="50"/>
      <c r="Q276" s="57"/>
      <c r="R276" s="12">
        <v>42114</v>
      </c>
      <c r="S276" s="11">
        <v>8.6199999999999992</v>
      </c>
      <c r="T276" s="148">
        <v>1.1015974440894567</v>
      </c>
      <c r="U276" s="148">
        <f t="shared" si="15"/>
        <v>8.0671358645279376</v>
      </c>
      <c r="V276" s="278">
        <f t="shared" si="16"/>
        <v>1.0550996483001063E-2</v>
      </c>
      <c r="W276" s="278">
        <f t="shared" si="17"/>
        <v>1.0308186604345177E-2</v>
      </c>
    </row>
    <row r="277" spans="1:23" x14ac:dyDescent="0.2">
      <c r="A277" s="8">
        <v>42104</v>
      </c>
      <c r="B277" s="9">
        <v>9.1300000000000008</v>
      </c>
      <c r="E277" s="51"/>
      <c r="F277" s="51"/>
      <c r="G277" s="51"/>
      <c r="H277" s="51"/>
      <c r="I277" s="51"/>
      <c r="J277" s="53"/>
      <c r="K277" s="53"/>
      <c r="L277" s="53"/>
      <c r="M277" s="53"/>
      <c r="N277" s="53"/>
      <c r="O277" s="139"/>
      <c r="P277" s="50"/>
      <c r="Q277" s="57"/>
      <c r="R277" s="12">
        <v>42115</v>
      </c>
      <c r="S277" s="11">
        <v>8.5850000000000009</v>
      </c>
      <c r="T277" s="148">
        <v>1.0971246006389777</v>
      </c>
      <c r="U277" s="148">
        <f t="shared" si="15"/>
        <v>8.0324218922222279</v>
      </c>
      <c r="V277" s="278">
        <f t="shared" si="16"/>
        <v>-4.0603248259858393E-3</v>
      </c>
      <c r="W277" s="278">
        <f t="shared" si="17"/>
        <v>-4.3031347046417253E-3</v>
      </c>
    </row>
    <row r="278" spans="1:23" x14ac:dyDescent="0.2">
      <c r="A278" s="8">
        <v>42107</v>
      </c>
      <c r="B278" s="9">
        <v>9.0850000000000009</v>
      </c>
      <c r="E278" s="51"/>
      <c r="F278" s="51"/>
      <c r="G278" s="51"/>
      <c r="H278" s="51"/>
      <c r="I278" s="51"/>
      <c r="J278" s="53"/>
      <c r="K278" s="53"/>
      <c r="L278" s="53"/>
      <c r="M278" s="53"/>
      <c r="N278" s="53"/>
      <c r="O278" s="139"/>
      <c r="P278" s="50"/>
      <c r="Q278" s="57"/>
      <c r="R278" s="12">
        <v>42116</v>
      </c>
      <c r="S278" s="11">
        <v>8.5500000000000007</v>
      </c>
      <c r="T278" s="148">
        <v>1.0926517571884984</v>
      </c>
      <c r="U278" s="148">
        <f t="shared" si="15"/>
        <v>7.997724334520691</v>
      </c>
      <c r="V278" s="278">
        <f t="shared" si="16"/>
        <v>-4.0768782760629563E-3</v>
      </c>
      <c r="W278" s="278">
        <f t="shared" si="17"/>
        <v>-4.3196881547188423E-3</v>
      </c>
    </row>
    <row r="279" spans="1:23" x14ac:dyDescent="0.2">
      <c r="A279" s="8">
        <v>42108</v>
      </c>
      <c r="B279" s="9">
        <v>8.9</v>
      </c>
      <c r="E279" s="51"/>
      <c r="F279" s="51"/>
      <c r="G279" s="51"/>
      <c r="H279" s="51"/>
      <c r="I279" s="51"/>
      <c r="J279" s="53"/>
      <c r="K279" s="53"/>
      <c r="L279" s="53"/>
      <c r="M279" s="53"/>
      <c r="N279" s="53"/>
      <c r="O279" s="139"/>
      <c r="P279" s="50"/>
      <c r="Q279" s="57"/>
      <c r="R279" s="12">
        <v>42117</v>
      </c>
      <c r="S279" s="11">
        <v>8.49</v>
      </c>
      <c r="T279" s="148">
        <v>1.0849840255591054</v>
      </c>
      <c r="U279" s="148">
        <f t="shared" si="15"/>
        <v>7.9396580267506209</v>
      </c>
      <c r="V279" s="278">
        <f t="shared" si="16"/>
        <v>-7.0175438596491446E-3</v>
      </c>
      <c r="W279" s="278">
        <f t="shared" si="17"/>
        <v>-7.2603537383050306E-3</v>
      </c>
    </row>
    <row r="280" spans="1:23" x14ac:dyDescent="0.2">
      <c r="A280" s="8">
        <v>42109</v>
      </c>
      <c r="B280" s="9">
        <v>8.9700000000000006</v>
      </c>
      <c r="E280" s="51"/>
      <c r="F280" s="51"/>
      <c r="G280" s="51"/>
      <c r="H280" s="51"/>
      <c r="I280" s="51"/>
      <c r="J280" s="53"/>
      <c r="K280" s="53"/>
      <c r="L280" s="53"/>
      <c r="M280" s="53"/>
      <c r="N280" s="53"/>
      <c r="O280" s="139"/>
      <c r="P280" s="50"/>
      <c r="Q280" s="57"/>
      <c r="R280" s="12">
        <v>42118</v>
      </c>
      <c r="S280" s="11">
        <v>8.5</v>
      </c>
      <c r="T280" s="148">
        <v>1.0862619808306708</v>
      </c>
      <c r="U280" s="148">
        <f t="shared" si="15"/>
        <v>7.9470819755873867</v>
      </c>
      <c r="V280" s="278">
        <f t="shared" si="16"/>
        <v>1.1778563015312216E-3</v>
      </c>
      <c r="W280" s="278">
        <f t="shared" si="17"/>
        <v>9.3504642287533591E-4</v>
      </c>
    </row>
    <row r="281" spans="1:23" x14ac:dyDescent="0.2">
      <c r="A281" s="8">
        <v>42110</v>
      </c>
      <c r="B281" s="9">
        <v>8.8049999999999997</v>
      </c>
      <c r="E281" s="51"/>
      <c r="F281" s="51"/>
      <c r="G281" s="51"/>
      <c r="H281" s="51"/>
      <c r="I281" s="51"/>
      <c r="J281" s="53"/>
      <c r="K281" s="53"/>
      <c r="L281" s="53"/>
      <c r="M281" s="53"/>
      <c r="N281" s="53"/>
      <c r="O281" s="139"/>
      <c r="P281" s="50"/>
      <c r="Q281" s="57"/>
      <c r="R281" s="12">
        <v>42121</v>
      </c>
      <c r="S281" s="11">
        <v>8.8000000000000007</v>
      </c>
      <c r="T281" s="148">
        <v>1.124600638977636</v>
      </c>
      <c r="U281" s="148">
        <f t="shared" ref="U281:U344" si="18">U280*(1+W281)</f>
        <v>8.2256375917744275</v>
      </c>
      <c r="V281" s="278">
        <f t="shared" ref="V281:V344" si="19">S281/S280-1</f>
        <v>3.529411764705892E-2</v>
      </c>
      <c r="W281" s="278">
        <f t="shared" ref="W281:W344" si="20">V281-$V$3+$W$2</f>
        <v>3.5051307768403032E-2</v>
      </c>
    </row>
    <row r="282" spans="1:23" x14ac:dyDescent="0.2">
      <c r="A282" s="8">
        <v>42111</v>
      </c>
      <c r="B282" s="9">
        <v>8.5299999999999994</v>
      </c>
      <c r="E282" s="51"/>
      <c r="F282" s="51"/>
      <c r="G282" s="51"/>
      <c r="H282" s="51"/>
      <c r="I282" s="51"/>
      <c r="J282" s="53"/>
      <c r="K282" s="53"/>
      <c r="L282" s="53"/>
      <c r="M282" s="53"/>
      <c r="N282" s="53"/>
      <c r="O282" s="139"/>
      <c r="P282" s="50"/>
      <c r="Q282" s="57"/>
      <c r="R282" s="12">
        <v>42122</v>
      </c>
      <c r="S282" s="11">
        <v>8.6</v>
      </c>
      <c r="T282" s="148">
        <v>1.0990415335463257</v>
      </c>
      <c r="U282" s="148">
        <f t="shared" si="18"/>
        <v>8.0366940168049368</v>
      </c>
      <c r="V282" s="278">
        <f t="shared" si="19"/>
        <v>-2.2727272727272818E-2</v>
      </c>
      <c r="W282" s="278">
        <f t="shared" si="20"/>
        <v>-2.2970082605928702E-2</v>
      </c>
    </row>
    <row r="283" spans="1:23" x14ac:dyDescent="0.2">
      <c r="A283" s="8">
        <v>42114</v>
      </c>
      <c r="B283" s="9">
        <v>8.6199999999999992</v>
      </c>
      <c r="E283" s="51"/>
      <c r="F283" s="51"/>
      <c r="G283" s="51"/>
      <c r="H283" s="51"/>
      <c r="I283" s="51"/>
      <c r="J283" s="53"/>
      <c r="K283" s="53"/>
      <c r="L283" s="53"/>
      <c r="M283" s="53"/>
      <c r="N283" s="53"/>
      <c r="O283" s="139"/>
      <c r="P283" s="50"/>
      <c r="Q283" s="57"/>
      <c r="R283" s="12">
        <v>42123</v>
      </c>
      <c r="S283" s="11">
        <v>8.5050000000000008</v>
      </c>
      <c r="T283" s="148">
        <v>1.0869009584664537</v>
      </c>
      <c r="U283" s="148">
        <f t="shared" si="18"/>
        <v>7.9459651941993572</v>
      </c>
      <c r="V283" s="278">
        <f t="shared" si="19"/>
        <v>-1.1046511627906819E-2</v>
      </c>
      <c r="W283" s="278">
        <f t="shared" si="20"/>
        <v>-1.1289321506562705E-2</v>
      </c>
    </row>
    <row r="284" spans="1:23" x14ac:dyDescent="0.2">
      <c r="A284" s="8">
        <v>42115</v>
      </c>
      <c r="B284" s="9">
        <v>8.5850000000000009</v>
      </c>
      <c r="E284" s="51"/>
      <c r="F284" s="51"/>
      <c r="G284" s="51"/>
      <c r="H284" s="51"/>
      <c r="I284" s="51"/>
      <c r="J284" s="53"/>
      <c r="K284" s="53"/>
      <c r="L284" s="53"/>
      <c r="M284" s="53"/>
      <c r="N284" s="53"/>
      <c r="O284" s="139"/>
      <c r="P284" s="50"/>
      <c r="Q284" s="57"/>
      <c r="R284" s="12">
        <v>42124</v>
      </c>
      <c r="S284" s="11">
        <v>8.7200000000000006</v>
      </c>
      <c r="T284" s="148">
        <v>1.1143769968051118</v>
      </c>
      <c r="U284" s="148">
        <f t="shared" si="18"/>
        <v>8.1449038561369793</v>
      </c>
      <c r="V284" s="278">
        <f t="shared" si="19"/>
        <v>2.5279247501469815E-2</v>
      </c>
      <c r="W284" s="278">
        <f t="shared" si="20"/>
        <v>2.5036437622813931E-2</v>
      </c>
    </row>
    <row r="285" spans="1:23" x14ac:dyDescent="0.2">
      <c r="A285" s="8">
        <v>42116</v>
      </c>
      <c r="B285" s="9">
        <v>8.5500000000000007</v>
      </c>
      <c r="E285" s="51"/>
      <c r="F285" s="51"/>
      <c r="G285" s="51"/>
      <c r="H285" s="51"/>
      <c r="I285" s="51"/>
      <c r="J285" s="53"/>
      <c r="K285" s="53"/>
      <c r="L285" s="53"/>
      <c r="M285" s="53"/>
      <c r="N285" s="53"/>
      <c r="O285" s="139"/>
      <c r="P285" s="50"/>
      <c r="Q285" s="57"/>
      <c r="R285" s="12">
        <v>42128</v>
      </c>
      <c r="S285" s="11">
        <v>8.77</v>
      </c>
      <c r="T285" s="148">
        <v>1.1207667731629392</v>
      </c>
      <c r="U285" s="148">
        <f t="shared" si="18"/>
        <v>8.1896286233877618</v>
      </c>
      <c r="V285" s="278">
        <f t="shared" si="19"/>
        <v>5.7339449541282672E-3</v>
      </c>
      <c r="W285" s="278">
        <f t="shared" si="20"/>
        <v>5.4911350754723812E-3</v>
      </c>
    </row>
    <row r="286" spans="1:23" x14ac:dyDescent="0.2">
      <c r="A286" s="8">
        <v>42117</v>
      </c>
      <c r="B286" s="9">
        <v>8.49</v>
      </c>
      <c r="E286" s="51"/>
      <c r="F286" s="51"/>
      <c r="G286" s="51"/>
      <c r="H286" s="51"/>
      <c r="I286" s="51"/>
      <c r="J286" s="53"/>
      <c r="K286" s="53"/>
      <c r="L286" s="53"/>
      <c r="M286" s="53"/>
      <c r="N286" s="53"/>
      <c r="O286" s="139"/>
      <c r="P286" s="50"/>
      <c r="Q286" s="57"/>
      <c r="R286" s="12">
        <v>42129</v>
      </c>
      <c r="S286" s="11">
        <v>8.5050000000000008</v>
      </c>
      <c r="T286" s="148">
        <v>1.0869009584664537</v>
      </c>
      <c r="U286" s="148">
        <f t="shared" si="18"/>
        <v>7.9401769780559643</v>
      </c>
      <c r="V286" s="278">
        <f t="shared" si="19"/>
        <v>-3.0216647662485663E-2</v>
      </c>
      <c r="W286" s="278">
        <f t="shared" si="20"/>
        <v>-3.0459457541141547E-2</v>
      </c>
    </row>
    <row r="287" spans="1:23" x14ac:dyDescent="0.2">
      <c r="A287" s="8">
        <v>42118</v>
      </c>
      <c r="B287" s="9">
        <v>8.5</v>
      </c>
      <c r="E287" s="51"/>
      <c r="F287" s="51"/>
      <c r="G287" s="51"/>
      <c r="H287" s="51"/>
      <c r="I287" s="51"/>
      <c r="J287" s="53"/>
      <c r="K287" s="53"/>
      <c r="L287" s="53"/>
      <c r="M287" s="53"/>
      <c r="N287" s="53"/>
      <c r="O287" s="139"/>
      <c r="P287" s="50"/>
      <c r="Q287" s="57"/>
      <c r="R287" s="12">
        <v>42130</v>
      </c>
      <c r="S287" s="11">
        <v>8.6199999999999992</v>
      </c>
      <c r="T287" s="148">
        <v>1.1015974440894567</v>
      </c>
      <c r="U287" s="148">
        <f t="shared" si="18"/>
        <v>8.0456117938980238</v>
      </c>
      <c r="V287" s="278">
        <f t="shared" si="19"/>
        <v>1.3521457965902206E-2</v>
      </c>
      <c r="W287" s="278">
        <f t="shared" si="20"/>
        <v>1.327864808724632E-2</v>
      </c>
    </row>
    <row r="288" spans="1:23" x14ac:dyDescent="0.2">
      <c r="A288" s="8">
        <v>42121</v>
      </c>
      <c r="B288" s="9">
        <v>8.8000000000000007</v>
      </c>
      <c r="E288" s="51"/>
      <c r="F288" s="51"/>
      <c r="G288" s="51"/>
      <c r="H288" s="51"/>
      <c r="I288" s="51"/>
      <c r="J288" s="53"/>
      <c r="K288" s="53"/>
      <c r="L288" s="53"/>
      <c r="M288" s="53"/>
      <c r="N288" s="53"/>
      <c r="O288" s="139"/>
      <c r="P288" s="50"/>
      <c r="Q288" s="57"/>
      <c r="R288" s="12">
        <v>42131</v>
      </c>
      <c r="S288" s="11">
        <v>8.6</v>
      </c>
      <c r="T288" s="148">
        <v>1.0990415335463257</v>
      </c>
      <c r="U288" s="148">
        <f t="shared" si="18"/>
        <v>8.0249909271277726</v>
      </c>
      <c r="V288" s="278">
        <f t="shared" si="19"/>
        <v>-2.3201856148491462E-3</v>
      </c>
      <c r="W288" s="278">
        <f t="shared" si="20"/>
        <v>-2.5629954935050322E-3</v>
      </c>
    </row>
    <row r="289" spans="1:23" x14ac:dyDescent="0.2">
      <c r="A289" s="8">
        <v>42122</v>
      </c>
      <c r="B289" s="9">
        <v>8.6</v>
      </c>
      <c r="E289" s="51"/>
      <c r="F289" s="51"/>
      <c r="G289" s="51"/>
      <c r="H289" s="51"/>
      <c r="I289" s="51"/>
      <c r="J289" s="53"/>
      <c r="K289" s="53"/>
      <c r="L289" s="53"/>
      <c r="M289" s="53"/>
      <c r="N289" s="53"/>
      <c r="O289" s="139"/>
      <c r="P289" s="50"/>
      <c r="Q289" s="57"/>
      <c r="R289" s="12">
        <v>42132</v>
      </c>
      <c r="S289" s="11">
        <v>8.9600000000000009</v>
      </c>
      <c r="T289" s="148">
        <v>1.1450479233226838</v>
      </c>
      <c r="U289" s="148">
        <f t="shared" si="18"/>
        <v>8.3589722328180311</v>
      </c>
      <c r="V289" s="278">
        <f t="shared" si="19"/>
        <v>4.1860465116279277E-2</v>
      </c>
      <c r="W289" s="278">
        <f t="shared" si="20"/>
        <v>4.161765523762339E-2</v>
      </c>
    </row>
    <row r="290" spans="1:23" x14ac:dyDescent="0.2">
      <c r="A290" s="8">
        <v>42123</v>
      </c>
      <c r="B290" s="9">
        <v>8.5050000000000008</v>
      </c>
      <c r="E290" s="51"/>
      <c r="F290" s="51"/>
      <c r="G290" s="51"/>
      <c r="H290" s="51"/>
      <c r="I290" s="51"/>
      <c r="J290" s="53"/>
      <c r="K290" s="53"/>
      <c r="L290" s="53"/>
      <c r="M290" s="53"/>
      <c r="N290" s="53"/>
      <c r="O290" s="139"/>
      <c r="P290" s="50"/>
      <c r="Q290" s="57"/>
      <c r="R290" s="12">
        <v>42135</v>
      </c>
      <c r="S290" s="11">
        <v>8.9649999999999999</v>
      </c>
      <c r="T290" s="148">
        <v>1.1456869009584665</v>
      </c>
      <c r="U290" s="148">
        <f t="shared" si="18"/>
        <v>8.3616071968251262</v>
      </c>
      <c r="V290" s="278">
        <f t="shared" si="19"/>
        <v>5.580357142855874E-4</v>
      </c>
      <c r="W290" s="278">
        <f t="shared" si="20"/>
        <v>3.1522583562970175E-4</v>
      </c>
    </row>
    <row r="291" spans="1:23" x14ac:dyDescent="0.2">
      <c r="A291" s="8">
        <v>42124</v>
      </c>
      <c r="B291" s="9">
        <v>8.7200000000000006</v>
      </c>
      <c r="E291" s="51"/>
      <c r="F291" s="51"/>
      <c r="G291" s="51"/>
      <c r="H291" s="51"/>
      <c r="I291" s="51"/>
      <c r="J291" s="53"/>
      <c r="K291" s="53"/>
      <c r="L291" s="53"/>
      <c r="M291" s="53"/>
      <c r="N291" s="53"/>
      <c r="O291" s="139"/>
      <c r="P291" s="50"/>
      <c r="Q291" s="57"/>
      <c r="R291" s="12">
        <v>42136</v>
      </c>
      <c r="S291" s="11">
        <v>8.9250000000000007</v>
      </c>
      <c r="T291" s="148">
        <v>1.1405750798722045</v>
      </c>
      <c r="U291" s="148">
        <f t="shared" si="18"/>
        <v>8.3222691315152044</v>
      </c>
      <c r="V291" s="278">
        <f t="shared" si="19"/>
        <v>-4.4617958728386808E-3</v>
      </c>
      <c r="W291" s="278">
        <f t="shared" si="20"/>
        <v>-4.7046057514945668E-3</v>
      </c>
    </row>
    <row r="292" spans="1:23" x14ac:dyDescent="0.2">
      <c r="A292" s="8">
        <v>42128</v>
      </c>
      <c r="B292" s="9">
        <v>8.77</v>
      </c>
      <c r="E292" s="51"/>
      <c r="F292" s="51"/>
      <c r="G292" s="51"/>
      <c r="H292" s="51"/>
      <c r="I292" s="51"/>
      <c r="J292" s="53"/>
      <c r="K292" s="53"/>
      <c r="L292" s="53"/>
      <c r="M292" s="53"/>
      <c r="N292" s="53"/>
      <c r="O292" s="139"/>
      <c r="P292" s="50"/>
      <c r="Q292" s="57"/>
      <c r="R292" s="12">
        <v>42137</v>
      </c>
      <c r="S292" s="11">
        <v>9.0649999999999995</v>
      </c>
      <c r="T292" s="148">
        <v>1.1584664536741214</v>
      </c>
      <c r="U292" s="148">
        <f t="shared" si="18"/>
        <v>8.4507938004986531</v>
      </c>
      <c r="V292" s="278">
        <f t="shared" si="19"/>
        <v>1.5686274509803866E-2</v>
      </c>
      <c r="W292" s="278">
        <f t="shared" si="20"/>
        <v>1.544346463114798E-2</v>
      </c>
    </row>
    <row r="293" spans="1:23" x14ac:dyDescent="0.2">
      <c r="A293" s="8">
        <v>42129</v>
      </c>
      <c r="B293" s="9">
        <v>8.5050000000000008</v>
      </c>
      <c r="E293" s="51"/>
      <c r="F293" s="51"/>
      <c r="G293" s="51"/>
      <c r="H293" s="51"/>
      <c r="I293" s="51"/>
      <c r="J293" s="53"/>
      <c r="K293" s="53"/>
      <c r="L293" s="53"/>
      <c r="M293" s="53"/>
      <c r="N293" s="53"/>
      <c r="O293" s="139"/>
      <c r="P293" s="50"/>
      <c r="Q293" s="57"/>
      <c r="R293" s="12">
        <v>42138</v>
      </c>
      <c r="S293" s="11">
        <v>9.2200000000000006</v>
      </c>
      <c r="T293" s="148">
        <v>1.1782747603833867</v>
      </c>
      <c r="U293" s="148">
        <f t="shared" si="18"/>
        <v>8.5932397174614739</v>
      </c>
      <c r="V293" s="278">
        <f t="shared" si="19"/>
        <v>1.7098731384445731E-2</v>
      </c>
      <c r="W293" s="278">
        <f t="shared" si="20"/>
        <v>1.6855921505789847E-2</v>
      </c>
    </row>
    <row r="294" spans="1:23" x14ac:dyDescent="0.2">
      <c r="A294" s="8">
        <v>42130</v>
      </c>
      <c r="B294" s="9">
        <v>8.6199999999999992</v>
      </c>
      <c r="E294" s="51"/>
      <c r="F294" s="51"/>
      <c r="G294" s="51"/>
      <c r="H294" s="51"/>
      <c r="I294" s="51"/>
      <c r="J294" s="53"/>
      <c r="K294" s="53"/>
      <c r="L294" s="53"/>
      <c r="M294" s="53"/>
      <c r="N294" s="53"/>
      <c r="O294" s="139"/>
      <c r="P294" s="50"/>
      <c r="Q294" s="57"/>
      <c r="R294" s="12">
        <v>42139</v>
      </c>
      <c r="S294" s="11">
        <v>9.25</v>
      </c>
      <c r="T294" s="148">
        <v>1.1821086261980831</v>
      </c>
      <c r="U294" s="148">
        <f t="shared" si="18"/>
        <v>8.6191138438083108</v>
      </c>
      <c r="V294" s="278">
        <f t="shared" si="19"/>
        <v>3.2537960954446277E-3</v>
      </c>
      <c r="W294" s="278">
        <f t="shared" si="20"/>
        <v>3.0109862167887417E-3</v>
      </c>
    </row>
    <row r="295" spans="1:23" x14ac:dyDescent="0.2">
      <c r="A295" s="8">
        <v>42131</v>
      </c>
      <c r="B295" s="9">
        <v>8.6</v>
      </c>
      <c r="E295" s="51"/>
      <c r="F295" s="51"/>
      <c r="G295" s="51"/>
      <c r="H295" s="51"/>
      <c r="I295" s="51"/>
      <c r="J295" s="53"/>
      <c r="K295" s="53"/>
      <c r="L295" s="53"/>
      <c r="M295" s="53"/>
      <c r="N295" s="53"/>
      <c r="O295" s="139"/>
      <c r="P295" s="50"/>
      <c r="Q295" s="57"/>
      <c r="R295" s="12">
        <v>42142</v>
      </c>
      <c r="S295" s="11">
        <v>9.1750000000000007</v>
      </c>
      <c r="T295" s="148">
        <v>1.1725239616613419</v>
      </c>
      <c r="U295" s="148">
        <f t="shared" si="18"/>
        <v>8.5471363309800861</v>
      </c>
      <c r="V295" s="278">
        <f t="shared" si="19"/>
        <v>-8.1081081081080253E-3</v>
      </c>
      <c r="W295" s="278">
        <f t="shared" si="20"/>
        <v>-8.3509179867639113E-3</v>
      </c>
    </row>
    <row r="296" spans="1:23" x14ac:dyDescent="0.2">
      <c r="A296" s="8">
        <v>42132</v>
      </c>
      <c r="B296" s="9">
        <v>8.9600000000000009</v>
      </c>
      <c r="E296" s="51"/>
      <c r="F296" s="51"/>
      <c r="G296" s="51"/>
      <c r="H296" s="51"/>
      <c r="I296" s="51"/>
      <c r="J296" s="53"/>
      <c r="K296" s="53"/>
      <c r="L296" s="53"/>
      <c r="M296" s="53"/>
      <c r="N296" s="53"/>
      <c r="O296" s="139"/>
      <c r="P296" s="50"/>
      <c r="Q296" s="57"/>
      <c r="R296" s="12">
        <v>42143</v>
      </c>
      <c r="S296" s="11">
        <v>9.48</v>
      </c>
      <c r="T296" s="148">
        <v>1.2115015974440895</v>
      </c>
      <c r="U296" s="148">
        <f t="shared" si="18"/>
        <v>8.8291892395503098</v>
      </c>
      <c r="V296" s="278">
        <f t="shared" si="19"/>
        <v>3.3242506811989037E-2</v>
      </c>
      <c r="W296" s="278">
        <f t="shared" si="20"/>
        <v>3.2999696933333149E-2</v>
      </c>
    </row>
    <row r="297" spans="1:23" x14ac:dyDescent="0.2">
      <c r="A297" s="8">
        <v>42135</v>
      </c>
      <c r="B297" s="9">
        <v>8.9649999999999999</v>
      </c>
      <c r="E297" s="51"/>
      <c r="F297" s="51"/>
      <c r="G297" s="51"/>
      <c r="H297" s="51"/>
      <c r="I297" s="51"/>
      <c r="J297" s="53"/>
      <c r="K297" s="53"/>
      <c r="L297" s="53"/>
      <c r="M297" s="53"/>
      <c r="N297" s="53"/>
      <c r="O297" s="139"/>
      <c r="P297" s="50"/>
      <c r="Q297" s="57"/>
      <c r="R297" s="12">
        <v>42144</v>
      </c>
      <c r="S297" s="11">
        <v>9.4949999999999992</v>
      </c>
      <c r="T297" s="148">
        <v>1.2134185303514375</v>
      </c>
      <c r="U297" s="148">
        <f t="shared" si="18"/>
        <v>8.8410156613209505</v>
      </c>
      <c r="V297" s="278">
        <f t="shared" si="19"/>
        <v>1.5822784810124446E-3</v>
      </c>
      <c r="W297" s="278">
        <f t="shared" si="20"/>
        <v>1.3394686023565589E-3</v>
      </c>
    </row>
    <row r="298" spans="1:23" x14ac:dyDescent="0.2">
      <c r="A298" s="8">
        <v>42136</v>
      </c>
      <c r="B298" s="9">
        <v>8.9250000000000007</v>
      </c>
      <c r="E298" s="51"/>
      <c r="F298" s="51"/>
      <c r="G298" s="51"/>
      <c r="H298" s="51"/>
      <c r="I298" s="51"/>
      <c r="J298" s="53"/>
      <c r="K298" s="53"/>
      <c r="L298" s="53"/>
      <c r="M298" s="53"/>
      <c r="N298" s="53"/>
      <c r="O298" s="139"/>
      <c r="P298" s="50"/>
      <c r="Q298" s="57"/>
      <c r="R298" s="12">
        <v>42145</v>
      </c>
      <c r="S298" s="11">
        <v>9.33</v>
      </c>
      <c r="T298" s="148">
        <v>1.192332268370607</v>
      </c>
      <c r="U298" s="148">
        <f t="shared" si="18"/>
        <v>8.6852336321353274</v>
      </c>
      <c r="V298" s="278">
        <f t="shared" si="19"/>
        <v>-1.7377567140600236E-2</v>
      </c>
      <c r="W298" s="278">
        <f t="shared" si="20"/>
        <v>-1.7620377019256121E-2</v>
      </c>
    </row>
    <row r="299" spans="1:23" x14ac:dyDescent="0.2">
      <c r="A299" s="8">
        <v>42137</v>
      </c>
      <c r="B299" s="9">
        <v>9.0649999999999995</v>
      </c>
      <c r="E299" s="51"/>
      <c r="F299" s="51"/>
      <c r="G299" s="51"/>
      <c r="H299" s="51"/>
      <c r="I299" s="51"/>
      <c r="J299" s="53"/>
      <c r="K299" s="53"/>
      <c r="L299" s="53"/>
      <c r="M299" s="53"/>
      <c r="N299" s="53"/>
      <c r="O299" s="139"/>
      <c r="P299" s="50"/>
      <c r="Q299" s="57"/>
      <c r="R299" s="12">
        <v>42146</v>
      </c>
      <c r="S299" s="11">
        <v>9.3800000000000008</v>
      </c>
      <c r="T299" s="148">
        <v>1.1987220447284346</v>
      </c>
      <c r="U299" s="148">
        <f t="shared" si="18"/>
        <v>8.7296694320190245</v>
      </c>
      <c r="V299" s="278">
        <f t="shared" si="19"/>
        <v>5.3590568060022381E-3</v>
      </c>
      <c r="W299" s="278">
        <f t="shared" si="20"/>
        <v>5.1162469273463521E-3</v>
      </c>
    </row>
    <row r="300" spans="1:23" x14ac:dyDescent="0.2">
      <c r="A300" s="8">
        <v>42138</v>
      </c>
      <c r="B300" s="9">
        <v>9.2200000000000006</v>
      </c>
      <c r="E300" s="51"/>
      <c r="F300" s="51"/>
      <c r="G300" s="51"/>
      <c r="H300" s="51"/>
      <c r="I300" s="51"/>
      <c r="J300" s="53"/>
      <c r="K300" s="53"/>
      <c r="L300" s="53"/>
      <c r="M300" s="53"/>
      <c r="N300" s="53"/>
      <c r="O300" s="139"/>
      <c r="P300" s="50"/>
      <c r="Q300" s="57"/>
      <c r="R300" s="12">
        <v>42149</v>
      </c>
      <c r="S300" s="11">
        <v>9.2100000000000009</v>
      </c>
      <c r="T300" s="148">
        <v>1.1769968051118211</v>
      </c>
      <c r="U300" s="148">
        <f t="shared" si="18"/>
        <v>8.5693361569429722</v>
      </c>
      <c r="V300" s="278">
        <f t="shared" si="19"/>
        <v>-1.8123667377398678E-2</v>
      </c>
      <c r="W300" s="278">
        <f t="shared" si="20"/>
        <v>-1.8366477256054562E-2</v>
      </c>
    </row>
    <row r="301" spans="1:23" x14ac:dyDescent="0.2">
      <c r="A301" s="8">
        <v>42139</v>
      </c>
      <c r="B301" s="9">
        <v>9.25</v>
      </c>
      <c r="E301" s="51"/>
      <c r="F301" s="51"/>
      <c r="G301" s="51"/>
      <c r="H301" s="51"/>
      <c r="I301" s="51"/>
      <c r="J301" s="53"/>
      <c r="K301" s="53"/>
      <c r="L301" s="53"/>
      <c r="M301" s="53"/>
      <c r="N301" s="53"/>
      <c r="O301" s="139"/>
      <c r="P301" s="50"/>
      <c r="Q301" s="57"/>
      <c r="R301" s="12">
        <v>42150</v>
      </c>
      <c r="S301" s="11">
        <v>9.24</v>
      </c>
      <c r="T301" s="148">
        <v>1.1808306709265175</v>
      </c>
      <c r="U301" s="148">
        <f t="shared" si="18"/>
        <v>8.5951685845615629</v>
      </c>
      <c r="V301" s="278">
        <f t="shared" si="19"/>
        <v>3.2573289902280145E-3</v>
      </c>
      <c r="W301" s="278">
        <f t="shared" si="20"/>
        <v>3.0145191115721285E-3</v>
      </c>
    </row>
    <row r="302" spans="1:23" x14ac:dyDescent="0.2">
      <c r="A302" s="8">
        <v>42142</v>
      </c>
      <c r="B302" s="9">
        <v>9.1750000000000007</v>
      </c>
      <c r="E302" s="51"/>
      <c r="F302" s="51"/>
      <c r="G302" s="51"/>
      <c r="H302" s="51"/>
      <c r="I302" s="51"/>
      <c r="J302" s="53"/>
      <c r="K302" s="53"/>
      <c r="L302" s="53"/>
      <c r="M302" s="53"/>
      <c r="N302" s="53"/>
      <c r="O302" s="139"/>
      <c r="P302" s="50"/>
      <c r="Q302" s="57"/>
      <c r="R302" s="12">
        <v>42151</v>
      </c>
      <c r="S302" s="11">
        <v>9.5549999999999997</v>
      </c>
      <c r="T302" s="148">
        <v>1.2210862619808307</v>
      </c>
      <c r="U302" s="148">
        <f t="shared" si="18"/>
        <v>8.8860987035578418</v>
      </c>
      <c r="V302" s="278">
        <f t="shared" si="19"/>
        <v>3.409090909090895E-2</v>
      </c>
      <c r="W302" s="278">
        <f t="shared" si="20"/>
        <v>3.3848099212253062E-2</v>
      </c>
    </row>
    <row r="303" spans="1:23" x14ac:dyDescent="0.2">
      <c r="A303" s="8">
        <v>42143</v>
      </c>
      <c r="B303" s="9">
        <v>9.48</v>
      </c>
      <c r="E303" s="51"/>
      <c r="F303" s="51"/>
      <c r="G303" s="51"/>
      <c r="H303" s="51"/>
      <c r="I303" s="51"/>
      <c r="J303" s="53"/>
      <c r="K303" s="53"/>
      <c r="L303" s="53"/>
      <c r="M303" s="53"/>
      <c r="N303" s="53"/>
      <c r="O303" s="139"/>
      <c r="P303" s="50"/>
      <c r="Q303" s="57"/>
      <c r="R303" s="12">
        <v>42152</v>
      </c>
      <c r="S303" s="11">
        <v>9.4450000000000003</v>
      </c>
      <c r="T303" s="148">
        <v>1.2070287539936102</v>
      </c>
      <c r="U303" s="148">
        <f t="shared" si="18"/>
        <v>8.7816416615497968</v>
      </c>
      <c r="V303" s="278">
        <f t="shared" si="19"/>
        <v>-1.1512297226582868E-2</v>
      </c>
      <c r="W303" s="278">
        <f t="shared" si="20"/>
        <v>-1.1755107105238754E-2</v>
      </c>
    </row>
    <row r="304" spans="1:23" x14ac:dyDescent="0.2">
      <c r="A304" s="8">
        <v>42144</v>
      </c>
      <c r="B304" s="9">
        <v>9.4949999999999992</v>
      </c>
      <c r="E304" s="51"/>
      <c r="F304" s="51"/>
      <c r="G304" s="51"/>
      <c r="H304" s="51"/>
      <c r="I304" s="51"/>
      <c r="J304" s="53"/>
      <c r="K304" s="53"/>
      <c r="L304" s="53"/>
      <c r="M304" s="53"/>
      <c r="N304" s="53"/>
      <c r="O304" s="139"/>
      <c r="P304" s="50"/>
      <c r="Q304" s="57"/>
      <c r="R304" s="12">
        <v>42153</v>
      </c>
      <c r="S304" s="11">
        <v>9.3699999999999992</v>
      </c>
      <c r="T304" s="148">
        <v>1.197444089456869</v>
      </c>
      <c r="U304" s="148">
        <f t="shared" si="18"/>
        <v>8.7097769279773782</v>
      </c>
      <c r="V304" s="278">
        <f t="shared" si="19"/>
        <v>-7.9407093700372133E-3</v>
      </c>
      <c r="W304" s="278">
        <f t="shared" si="20"/>
        <v>-8.1835192486930993E-3</v>
      </c>
    </row>
    <row r="305" spans="1:23" x14ac:dyDescent="0.2">
      <c r="A305" s="8">
        <v>42145</v>
      </c>
      <c r="B305" s="9">
        <v>9.33</v>
      </c>
      <c r="E305" s="51"/>
      <c r="F305" s="51"/>
      <c r="G305" s="51"/>
      <c r="H305" s="51"/>
      <c r="I305" s="51"/>
      <c r="J305" s="53"/>
      <c r="K305" s="53"/>
      <c r="L305" s="53"/>
      <c r="M305" s="53"/>
      <c r="N305" s="53"/>
      <c r="O305" s="139"/>
      <c r="P305" s="50"/>
      <c r="Q305" s="57"/>
      <c r="R305" s="12">
        <v>42156</v>
      </c>
      <c r="S305" s="11">
        <v>9.3249999999999993</v>
      </c>
      <c r="T305" s="148">
        <v>1.1916932907348241</v>
      </c>
      <c r="U305" s="148">
        <f t="shared" si="18"/>
        <v>8.6658328699170539</v>
      </c>
      <c r="V305" s="278">
        <f t="shared" si="19"/>
        <v>-4.8025613660619415E-3</v>
      </c>
      <c r="W305" s="278">
        <f t="shared" si="20"/>
        <v>-5.0453712447178275E-3</v>
      </c>
    </row>
    <row r="306" spans="1:23" x14ac:dyDescent="0.2">
      <c r="A306" s="8">
        <v>42146</v>
      </c>
      <c r="B306" s="9">
        <v>9.3800000000000008</v>
      </c>
      <c r="E306" s="51"/>
      <c r="F306" s="51"/>
      <c r="G306" s="51"/>
      <c r="H306" s="51"/>
      <c r="I306" s="51"/>
      <c r="J306" s="53"/>
      <c r="K306" s="53"/>
      <c r="L306" s="53"/>
      <c r="M306" s="53"/>
      <c r="N306" s="53"/>
      <c r="O306" s="139"/>
      <c r="P306" s="50"/>
      <c r="Q306" s="57"/>
      <c r="R306" s="12">
        <v>42157</v>
      </c>
      <c r="S306" s="11">
        <v>9.4</v>
      </c>
      <c r="T306" s="148">
        <v>1.2012779552715656</v>
      </c>
      <c r="U306" s="148">
        <f t="shared" si="18"/>
        <v>8.7334271077831591</v>
      </c>
      <c r="V306" s="278">
        <f t="shared" si="19"/>
        <v>8.0428954423592547E-3</v>
      </c>
      <c r="W306" s="278">
        <f t="shared" si="20"/>
        <v>7.8000855637033687E-3</v>
      </c>
    </row>
    <row r="307" spans="1:23" x14ac:dyDescent="0.2">
      <c r="A307" s="8">
        <v>42149</v>
      </c>
      <c r="B307" s="9">
        <v>9.2100000000000009</v>
      </c>
      <c r="E307" s="51"/>
      <c r="F307" s="51"/>
      <c r="G307" s="51"/>
      <c r="H307" s="51"/>
      <c r="I307" s="51"/>
      <c r="J307" s="53"/>
      <c r="K307" s="53"/>
      <c r="L307" s="53"/>
      <c r="M307" s="53"/>
      <c r="N307" s="53"/>
      <c r="O307" s="139"/>
      <c r="P307" s="50"/>
      <c r="Q307" s="57"/>
      <c r="R307" s="12">
        <v>42158</v>
      </c>
      <c r="S307" s="11">
        <v>9.4</v>
      </c>
      <c r="T307" s="148">
        <v>1.2012779552715656</v>
      </c>
      <c r="U307" s="148">
        <f t="shared" si="18"/>
        <v>8.7313065454068681</v>
      </c>
      <c r="V307" s="278">
        <f t="shared" si="19"/>
        <v>0</v>
      </c>
      <c r="W307" s="278">
        <f t="shared" si="20"/>
        <v>-2.4280987865588565E-4</v>
      </c>
    </row>
    <row r="308" spans="1:23" x14ac:dyDescent="0.2">
      <c r="A308" s="8">
        <v>42150</v>
      </c>
      <c r="B308" s="9">
        <v>9.24</v>
      </c>
      <c r="E308" s="51"/>
      <c r="F308" s="51"/>
      <c r="G308" s="51"/>
      <c r="H308" s="51"/>
      <c r="I308" s="51"/>
      <c r="J308" s="53"/>
      <c r="K308" s="53"/>
      <c r="L308" s="53"/>
      <c r="M308" s="53"/>
      <c r="N308" s="53"/>
      <c r="O308" s="139"/>
      <c r="P308" s="50"/>
      <c r="Q308" s="57"/>
      <c r="R308" s="12">
        <v>42159</v>
      </c>
      <c r="S308" s="11">
        <v>9.4600000000000009</v>
      </c>
      <c r="T308" s="148">
        <v>1.2089456869009585</v>
      </c>
      <c r="U308" s="148">
        <f t="shared" si="18"/>
        <v>8.7849182418309208</v>
      </c>
      <c r="V308" s="278">
        <f t="shared" si="19"/>
        <v>6.382978723404209E-3</v>
      </c>
      <c r="W308" s="278">
        <f t="shared" si="20"/>
        <v>6.140168844748323E-3</v>
      </c>
    </row>
    <row r="309" spans="1:23" x14ac:dyDescent="0.2">
      <c r="A309" s="8">
        <v>42151</v>
      </c>
      <c r="B309" s="9">
        <v>9.5549999999999997</v>
      </c>
      <c r="E309" s="51"/>
      <c r="F309" s="51"/>
      <c r="G309" s="51"/>
      <c r="H309" s="51"/>
      <c r="I309" s="51"/>
      <c r="J309" s="53"/>
      <c r="K309" s="53"/>
      <c r="L309" s="53"/>
      <c r="M309" s="53"/>
      <c r="N309" s="53"/>
      <c r="O309" s="139"/>
      <c r="P309" s="50"/>
      <c r="Q309" s="57"/>
      <c r="R309" s="12">
        <v>42160</v>
      </c>
      <c r="S309" s="11">
        <v>9.1300000000000008</v>
      </c>
      <c r="T309" s="148">
        <v>1.1667731629392972</v>
      </c>
      <c r="U309" s="148">
        <f t="shared" si="18"/>
        <v>8.4763345405556816</v>
      </c>
      <c r="V309" s="278">
        <f t="shared" si="19"/>
        <v>-3.4883720930232509E-2</v>
      </c>
      <c r="W309" s="278">
        <f t="shared" si="20"/>
        <v>-3.5126530808888397E-2</v>
      </c>
    </row>
    <row r="310" spans="1:23" x14ac:dyDescent="0.2">
      <c r="A310" s="8">
        <v>42152</v>
      </c>
      <c r="B310" s="9">
        <v>9.4450000000000003</v>
      </c>
      <c r="E310" s="51"/>
      <c r="F310" s="51"/>
      <c r="G310" s="51"/>
      <c r="H310" s="51"/>
      <c r="I310" s="51"/>
      <c r="J310" s="53"/>
      <c r="K310" s="53"/>
      <c r="L310" s="53"/>
      <c r="M310" s="53"/>
      <c r="N310" s="53"/>
      <c r="O310" s="139"/>
      <c r="P310" s="50"/>
      <c r="Q310" s="57"/>
      <c r="R310" s="12">
        <v>42163</v>
      </c>
      <c r="S310" s="11">
        <v>8.875</v>
      </c>
      <c r="T310" s="148">
        <v>1.134185303514377</v>
      </c>
      <c r="U310" s="148">
        <f t="shared" si="18"/>
        <v>8.2375332146409157</v>
      </c>
      <c r="V310" s="278">
        <f t="shared" si="19"/>
        <v>-2.7929901423877412E-2</v>
      </c>
      <c r="W310" s="278">
        <f t="shared" si="20"/>
        <v>-2.8172711302533297E-2</v>
      </c>
    </row>
    <row r="311" spans="1:23" x14ac:dyDescent="0.2">
      <c r="A311" s="8">
        <v>42153</v>
      </c>
      <c r="B311" s="9">
        <v>9.3699999999999992</v>
      </c>
      <c r="E311" s="51"/>
      <c r="F311" s="51"/>
      <c r="G311" s="51"/>
      <c r="H311" s="51"/>
      <c r="I311" s="51"/>
      <c r="J311" s="53"/>
      <c r="K311" s="53"/>
      <c r="L311" s="53"/>
      <c r="M311" s="53"/>
      <c r="N311" s="53"/>
      <c r="O311" s="139"/>
      <c r="P311" s="50"/>
      <c r="Q311" s="57"/>
      <c r="R311" s="12">
        <v>42164</v>
      </c>
      <c r="S311" s="11">
        <v>8.8249999999999993</v>
      </c>
      <c r="T311" s="148">
        <v>1.1277955271565494</v>
      </c>
      <c r="U311" s="148">
        <f t="shared" si="18"/>
        <v>8.1891244223716804</v>
      </c>
      <c r="V311" s="278">
        <f t="shared" si="19"/>
        <v>-5.633802816901512E-3</v>
      </c>
      <c r="W311" s="278">
        <f t="shared" si="20"/>
        <v>-5.8766126955573979E-3</v>
      </c>
    </row>
    <row r="312" spans="1:23" x14ac:dyDescent="0.2">
      <c r="A312" s="8">
        <v>42156</v>
      </c>
      <c r="B312" s="9">
        <v>9.3249999999999993</v>
      </c>
      <c r="E312" s="51"/>
      <c r="F312" s="51"/>
      <c r="G312" s="51"/>
      <c r="H312" s="51"/>
      <c r="I312" s="51"/>
      <c r="J312" s="53"/>
      <c r="K312" s="53"/>
      <c r="L312" s="53"/>
      <c r="M312" s="53"/>
      <c r="N312" s="53"/>
      <c r="O312" s="139"/>
      <c r="P312" s="50"/>
      <c r="Q312" s="57"/>
      <c r="R312" s="12">
        <v>42165</v>
      </c>
      <c r="S312" s="11">
        <v>9.0500000000000007</v>
      </c>
      <c r="T312" s="148">
        <v>1.1565495207667733</v>
      </c>
      <c r="U312" s="148">
        <f t="shared" si="18"/>
        <v>8.3959238968557326</v>
      </c>
      <c r="V312" s="278">
        <f t="shared" si="19"/>
        <v>2.5495750708215414E-2</v>
      </c>
      <c r="W312" s="278">
        <f t="shared" si="20"/>
        <v>2.525294082955953E-2</v>
      </c>
    </row>
    <row r="313" spans="1:23" x14ac:dyDescent="0.2">
      <c r="A313" s="8">
        <v>42157</v>
      </c>
      <c r="B313" s="9">
        <v>9.4</v>
      </c>
      <c r="E313" s="51"/>
      <c r="F313" s="51"/>
      <c r="G313" s="51"/>
      <c r="H313" s="51"/>
      <c r="I313" s="51"/>
      <c r="J313" s="53"/>
      <c r="K313" s="53"/>
      <c r="L313" s="53"/>
      <c r="M313" s="53"/>
      <c r="N313" s="53"/>
      <c r="O313" s="139"/>
      <c r="P313" s="50"/>
      <c r="Q313" s="57"/>
      <c r="R313" s="12">
        <v>42166</v>
      </c>
      <c r="S313" s="11">
        <v>9.0150000000000006</v>
      </c>
      <c r="T313" s="148">
        <v>1.152076677316294</v>
      </c>
      <c r="U313" s="148">
        <f t="shared" si="18"/>
        <v>8.3614148596826414</v>
      </c>
      <c r="V313" s="278">
        <f t="shared" si="19"/>
        <v>-3.8674033149171949E-3</v>
      </c>
      <c r="W313" s="278">
        <f t="shared" si="20"/>
        <v>-4.1102131935730809E-3</v>
      </c>
    </row>
    <row r="314" spans="1:23" x14ac:dyDescent="0.2">
      <c r="A314" s="8">
        <v>42158</v>
      </c>
      <c r="B314" s="9">
        <v>9.4</v>
      </c>
      <c r="E314" s="51"/>
      <c r="F314" s="51"/>
      <c r="G314" s="51"/>
      <c r="H314" s="51"/>
      <c r="I314" s="51"/>
      <c r="J314" s="53"/>
      <c r="K314" s="53"/>
      <c r="L314" s="53"/>
      <c r="M314" s="53"/>
      <c r="N314" s="53"/>
      <c r="O314" s="139"/>
      <c r="P314" s="50"/>
      <c r="Q314" s="57"/>
      <c r="R314" s="12">
        <v>42167</v>
      </c>
      <c r="S314" s="11">
        <v>8.9550000000000001</v>
      </c>
      <c r="T314" s="148">
        <v>1.1444089456869009</v>
      </c>
      <c r="U314" s="148">
        <f t="shared" si="18"/>
        <v>8.3037346098501263</v>
      </c>
      <c r="V314" s="278">
        <f t="shared" si="19"/>
        <v>-6.6555740432613364E-3</v>
      </c>
      <c r="W314" s="278">
        <f t="shared" si="20"/>
        <v>-6.8983839219172224E-3</v>
      </c>
    </row>
    <row r="315" spans="1:23" x14ac:dyDescent="0.2">
      <c r="A315" s="8">
        <v>42159</v>
      </c>
      <c r="B315" s="9">
        <v>9.4600000000000009</v>
      </c>
      <c r="E315" s="51"/>
      <c r="F315" s="51"/>
      <c r="G315" s="51"/>
      <c r="H315" s="51"/>
      <c r="I315" s="51"/>
      <c r="J315" s="53"/>
      <c r="K315" s="53"/>
      <c r="L315" s="53"/>
      <c r="M315" s="53"/>
      <c r="N315" s="53"/>
      <c r="O315" s="139"/>
      <c r="P315" s="50"/>
      <c r="Q315" s="57"/>
      <c r="R315" s="12">
        <v>42170</v>
      </c>
      <c r="S315" s="11">
        <v>8.6649999999999991</v>
      </c>
      <c r="T315" s="148">
        <v>1.1073482428115016</v>
      </c>
      <c r="U315" s="148">
        <f t="shared" si="18"/>
        <v>8.0328090525415909</v>
      </c>
      <c r="V315" s="278">
        <f t="shared" si="19"/>
        <v>-3.2384142936906835E-2</v>
      </c>
      <c r="W315" s="278">
        <f t="shared" si="20"/>
        <v>-3.2626952815562722E-2</v>
      </c>
    </row>
    <row r="316" spans="1:23" x14ac:dyDescent="0.2">
      <c r="A316" s="8">
        <v>42160</v>
      </c>
      <c r="B316" s="9">
        <v>9.1300000000000008</v>
      </c>
      <c r="E316" s="51"/>
      <c r="F316" s="51"/>
      <c r="G316" s="51"/>
      <c r="H316" s="51"/>
      <c r="I316" s="51"/>
      <c r="J316" s="53"/>
      <c r="K316" s="53"/>
      <c r="L316" s="53"/>
      <c r="M316" s="53"/>
      <c r="N316" s="53"/>
      <c r="O316" s="139"/>
      <c r="P316" s="50"/>
      <c r="Q316" s="57"/>
      <c r="R316" s="12">
        <v>42171</v>
      </c>
      <c r="S316" s="11">
        <v>8.7200000000000006</v>
      </c>
      <c r="T316" s="148">
        <v>1.1143769968051118</v>
      </c>
      <c r="U316" s="148">
        <f t="shared" si="18"/>
        <v>8.0818458544543503</v>
      </c>
      <c r="V316" s="278">
        <f t="shared" si="19"/>
        <v>6.3473744950954814E-3</v>
      </c>
      <c r="W316" s="278">
        <f t="shared" si="20"/>
        <v>6.1045646164395954E-3</v>
      </c>
    </row>
    <row r="317" spans="1:23" x14ac:dyDescent="0.2">
      <c r="A317" s="8">
        <v>42163</v>
      </c>
      <c r="B317" s="9">
        <v>8.875</v>
      </c>
      <c r="E317" s="51"/>
      <c r="F317" s="51"/>
      <c r="G317" s="51"/>
      <c r="H317" s="51"/>
      <c r="I317" s="51"/>
      <c r="J317" s="53"/>
      <c r="K317" s="53"/>
      <c r="L317" s="53"/>
      <c r="M317" s="53"/>
      <c r="N317" s="53"/>
      <c r="O317" s="139"/>
      <c r="P317" s="50"/>
      <c r="Q317" s="57"/>
      <c r="R317" s="12">
        <v>42172</v>
      </c>
      <c r="S317" s="11">
        <v>8.6150000000000002</v>
      </c>
      <c r="T317" s="148">
        <v>1.1009584664536742</v>
      </c>
      <c r="U317" s="148">
        <f t="shared" si="18"/>
        <v>7.9825676980030105</v>
      </c>
      <c r="V317" s="278">
        <f t="shared" si="19"/>
        <v>-1.2041284403669805E-2</v>
      </c>
      <c r="W317" s="278">
        <f t="shared" si="20"/>
        <v>-1.2284094282325691E-2</v>
      </c>
    </row>
    <row r="318" spans="1:23" x14ac:dyDescent="0.2">
      <c r="A318" s="8">
        <v>42164</v>
      </c>
      <c r="B318" s="9">
        <v>8.8249999999999993</v>
      </c>
      <c r="E318" s="51"/>
      <c r="F318" s="51"/>
      <c r="G318" s="51"/>
      <c r="H318" s="51"/>
      <c r="I318" s="51"/>
      <c r="J318" s="53"/>
      <c r="K318" s="53"/>
      <c r="L318" s="53"/>
      <c r="M318" s="53"/>
      <c r="N318" s="53"/>
      <c r="O318" s="139"/>
      <c r="P318" s="50"/>
      <c r="Q318" s="57"/>
      <c r="R318" s="12">
        <v>42173</v>
      </c>
      <c r="S318" s="11">
        <v>8.6549999999999994</v>
      </c>
      <c r="T318" s="148">
        <v>1.106070287539936</v>
      </c>
      <c r="U318" s="148">
        <f t="shared" si="18"/>
        <v>8.0176930277878409</v>
      </c>
      <c r="V318" s="278">
        <f t="shared" si="19"/>
        <v>4.6430644225188278E-3</v>
      </c>
      <c r="W318" s="278">
        <f t="shared" si="20"/>
        <v>4.4002545438629418E-3</v>
      </c>
    </row>
    <row r="319" spans="1:23" x14ac:dyDescent="0.2">
      <c r="A319" s="8">
        <v>42165</v>
      </c>
      <c r="B319" s="9">
        <v>9.0500000000000007</v>
      </c>
      <c r="E319" s="51"/>
      <c r="F319" s="51"/>
      <c r="G319" s="51"/>
      <c r="H319" s="51"/>
      <c r="I319" s="51"/>
      <c r="J319" s="53"/>
      <c r="K319" s="53"/>
      <c r="L319" s="53"/>
      <c r="M319" s="53"/>
      <c r="N319" s="53"/>
      <c r="O319" s="139"/>
      <c r="P319" s="50"/>
      <c r="Q319" s="57"/>
      <c r="R319" s="12">
        <v>42174</v>
      </c>
      <c r="S319" s="11">
        <v>8.7750000000000004</v>
      </c>
      <c r="T319" s="148">
        <v>1.1214057507987221</v>
      </c>
      <c r="U319" s="148">
        <f t="shared" si="18"/>
        <v>8.126910107521347</v>
      </c>
      <c r="V319" s="278">
        <f t="shared" si="19"/>
        <v>1.3864818024263537E-2</v>
      </c>
      <c r="W319" s="278">
        <f t="shared" si="20"/>
        <v>1.3622008145607651E-2</v>
      </c>
    </row>
    <row r="320" spans="1:23" x14ac:dyDescent="0.2">
      <c r="A320" s="8">
        <v>42166</v>
      </c>
      <c r="B320" s="9">
        <v>9.0150000000000006</v>
      </c>
      <c r="E320" s="51"/>
      <c r="F320" s="51"/>
      <c r="G320" s="51"/>
      <c r="H320" s="51"/>
      <c r="I320" s="51"/>
      <c r="J320" s="53"/>
      <c r="K320" s="53"/>
      <c r="L320" s="53"/>
      <c r="M320" s="53"/>
      <c r="N320" s="53"/>
      <c r="O320" s="139"/>
      <c r="P320" s="50"/>
      <c r="Q320" s="57"/>
      <c r="R320" s="12">
        <v>42177</v>
      </c>
      <c r="S320" s="11">
        <v>9.3000000000000007</v>
      </c>
      <c r="T320" s="148">
        <v>1.1884984025559107</v>
      </c>
      <c r="U320" s="148">
        <f t="shared" si="18"/>
        <v>8.6111622045125777</v>
      </c>
      <c r="V320" s="278">
        <f t="shared" si="19"/>
        <v>5.9829059829059839E-2</v>
      </c>
      <c r="W320" s="278">
        <f t="shared" si="20"/>
        <v>5.9586249950403951E-2</v>
      </c>
    </row>
    <row r="321" spans="1:23" x14ac:dyDescent="0.2">
      <c r="A321" s="8">
        <v>42167</v>
      </c>
      <c r="B321" s="9">
        <v>8.9550000000000001</v>
      </c>
      <c r="E321" s="51"/>
      <c r="F321" s="51"/>
      <c r="G321" s="51"/>
      <c r="H321" s="51"/>
      <c r="I321" s="51"/>
      <c r="J321" s="53"/>
      <c r="K321" s="53"/>
      <c r="L321" s="53"/>
      <c r="M321" s="53"/>
      <c r="N321" s="53"/>
      <c r="O321" s="139"/>
      <c r="P321" s="50"/>
      <c r="Q321" s="57"/>
      <c r="R321" s="12">
        <v>42178</v>
      </c>
      <c r="S321" s="11">
        <v>9.2349999999999994</v>
      </c>
      <c r="T321" s="148">
        <v>1.1801916932907348</v>
      </c>
      <c r="U321" s="148">
        <f t="shared" si="18"/>
        <v>8.5488857869730097</v>
      </c>
      <c r="V321" s="278">
        <f t="shared" si="19"/>
        <v>-6.9892473118280396E-3</v>
      </c>
      <c r="W321" s="278">
        <f t="shared" si="20"/>
        <v>-7.2320571904839256E-3</v>
      </c>
    </row>
    <row r="322" spans="1:23" x14ac:dyDescent="0.2">
      <c r="A322" s="8">
        <v>42170</v>
      </c>
      <c r="B322" s="9">
        <v>8.6649999999999991</v>
      </c>
      <c r="E322" s="51"/>
      <c r="F322" s="51"/>
      <c r="G322" s="51"/>
      <c r="H322" s="51"/>
      <c r="I322" s="51"/>
      <c r="J322" s="53"/>
      <c r="K322" s="53"/>
      <c r="L322" s="53"/>
      <c r="M322" s="53"/>
      <c r="N322" s="53"/>
      <c r="O322" s="139"/>
      <c r="P322" s="50"/>
      <c r="Q322" s="57"/>
      <c r="R322" s="12">
        <v>42179</v>
      </c>
      <c r="S322" s="11">
        <v>9.2349999999999994</v>
      </c>
      <c r="T322" s="148">
        <v>1.1801916932907348</v>
      </c>
      <c r="U322" s="148">
        <f t="shared" si="18"/>
        <v>8.5468100330524326</v>
      </c>
      <c r="V322" s="278">
        <f t="shared" si="19"/>
        <v>0</v>
      </c>
      <c r="W322" s="278">
        <f t="shared" si="20"/>
        <v>-2.4280987865588565E-4</v>
      </c>
    </row>
    <row r="323" spans="1:23" x14ac:dyDescent="0.2">
      <c r="A323" s="8">
        <v>42171</v>
      </c>
      <c r="B323" s="9">
        <v>8.7200000000000006</v>
      </c>
      <c r="E323" s="51"/>
      <c r="F323" s="51"/>
      <c r="G323" s="51"/>
      <c r="H323" s="51"/>
      <c r="I323" s="51"/>
      <c r="J323" s="53"/>
      <c r="K323" s="53"/>
      <c r="L323" s="53"/>
      <c r="M323" s="53"/>
      <c r="N323" s="53"/>
      <c r="O323" s="139"/>
      <c r="P323" s="50"/>
      <c r="Q323" s="57"/>
      <c r="R323" s="12">
        <v>42180</v>
      </c>
      <c r="S323" s="11">
        <v>9.3800000000000008</v>
      </c>
      <c r="T323" s="148">
        <v>1.1987220447284346</v>
      </c>
      <c r="U323" s="148">
        <f t="shared" si="18"/>
        <v>8.6789294182068755</v>
      </c>
      <c r="V323" s="278">
        <f t="shared" si="19"/>
        <v>1.5701136978884866E-2</v>
      </c>
      <c r="W323" s="278">
        <f t="shared" si="20"/>
        <v>1.5458327100228981E-2</v>
      </c>
    </row>
    <row r="324" spans="1:23" x14ac:dyDescent="0.2">
      <c r="A324" s="8">
        <v>42172</v>
      </c>
      <c r="B324" s="9">
        <v>8.6150000000000002</v>
      </c>
      <c r="E324" s="51"/>
      <c r="F324" s="51"/>
      <c r="G324" s="51"/>
      <c r="H324" s="51"/>
      <c r="I324" s="51"/>
      <c r="J324" s="53"/>
      <c r="K324" s="53"/>
      <c r="L324" s="53"/>
      <c r="M324" s="53"/>
      <c r="N324" s="53"/>
      <c r="O324" s="139"/>
      <c r="P324" s="50"/>
      <c r="Q324" s="57"/>
      <c r="R324" s="12">
        <v>42181</v>
      </c>
      <c r="S324" s="11">
        <v>9.4550000000000001</v>
      </c>
      <c r="T324" s="148">
        <v>1.2083067092651758</v>
      </c>
      <c r="U324" s="148">
        <f t="shared" si="18"/>
        <v>8.7462165133936391</v>
      </c>
      <c r="V324" s="278">
        <f t="shared" si="19"/>
        <v>7.9957356076758579E-3</v>
      </c>
      <c r="W324" s="278">
        <f t="shared" si="20"/>
        <v>7.7529257290199719E-3</v>
      </c>
    </row>
    <row r="325" spans="1:23" x14ac:dyDescent="0.2">
      <c r="A325" s="8">
        <v>42173</v>
      </c>
      <c r="B325" s="9">
        <v>8.6549999999999994</v>
      </c>
      <c r="E325" s="51"/>
      <c r="F325" s="51"/>
      <c r="G325" s="51"/>
      <c r="H325" s="51"/>
      <c r="I325" s="51"/>
      <c r="J325" s="53"/>
      <c r="K325" s="53"/>
      <c r="L325" s="53"/>
      <c r="M325" s="53"/>
      <c r="N325" s="53"/>
      <c r="O325" s="139"/>
      <c r="P325" s="50"/>
      <c r="Q325" s="57"/>
      <c r="R325" s="12">
        <v>42184</v>
      </c>
      <c r="S325" s="11">
        <v>8.8350000000000009</v>
      </c>
      <c r="T325" s="148">
        <v>1.129073482428115</v>
      </c>
      <c r="U325" s="148">
        <f t="shared" si="18"/>
        <v>8.1705704513024298</v>
      </c>
      <c r="V325" s="278">
        <f t="shared" si="19"/>
        <v>-6.557377049180324E-2</v>
      </c>
      <c r="W325" s="278">
        <f t="shared" si="20"/>
        <v>-6.5816580370459121E-2</v>
      </c>
    </row>
    <row r="326" spans="1:23" x14ac:dyDescent="0.2">
      <c r="A326" s="8">
        <v>42174</v>
      </c>
      <c r="B326" s="9">
        <v>8.7750000000000004</v>
      </c>
      <c r="E326" s="51"/>
      <c r="F326" s="51"/>
      <c r="G326" s="51"/>
      <c r="H326" s="51"/>
      <c r="I326" s="51"/>
      <c r="J326" s="53"/>
      <c r="K326" s="53"/>
      <c r="L326" s="53"/>
      <c r="M326" s="53"/>
      <c r="N326" s="53"/>
      <c r="O326" s="139"/>
      <c r="P326" s="50"/>
      <c r="Q326" s="57"/>
      <c r="R326" s="12">
        <v>42185</v>
      </c>
      <c r="S326" s="11">
        <v>8.7949999999999999</v>
      </c>
      <c r="T326" s="148">
        <v>1.123961661341853</v>
      </c>
      <c r="U326" s="148">
        <f t="shared" si="18"/>
        <v>8.1315947260823602</v>
      </c>
      <c r="V326" s="278">
        <f t="shared" si="19"/>
        <v>-4.5274476513866846E-3</v>
      </c>
      <c r="W326" s="278">
        <f t="shared" si="20"/>
        <v>-4.7702575300425706E-3</v>
      </c>
    </row>
    <row r="327" spans="1:23" x14ac:dyDescent="0.2">
      <c r="A327" s="8">
        <v>42177</v>
      </c>
      <c r="B327" s="9">
        <v>9.3000000000000007</v>
      </c>
      <c r="E327" s="51"/>
      <c r="F327" s="51"/>
      <c r="G327" s="51"/>
      <c r="H327" s="51"/>
      <c r="I327" s="51"/>
      <c r="J327" s="53"/>
      <c r="K327" s="53"/>
      <c r="L327" s="53"/>
      <c r="M327" s="53"/>
      <c r="N327" s="53"/>
      <c r="O327" s="139"/>
      <c r="P327" s="50"/>
      <c r="Q327" s="57"/>
      <c r="R327" s="12">
        <v>42186</v>
      </c>
      <c r="S327" s="11">
        <v>9.0299999999999994</v>
      </c>
      <c r="T327" s="148">
        <v>1.1539936102236421</v>
      </c>
      <c r="U327" s="148">
        <f t="shared" si="18"/>
        <v>8.3468942866661298</v>
      </c>
      <c r="V327" s="278">
        <f t="shared" si="19"/>
        <v>2.6719727117680447E-2</v>
      </c>
      <c r="W327" s="278">
        <f t="shared" si="20"/>
        <v>2.6476917239024563E-2</v>
      </c>
    </row>
    <row r="328" spans="1:23" x14ac:dyDescent="0.2">
      <c r="A328" s="8">
        <v>42178</v>
      </c>
      <c r="B328" s="9">
        <v>9.2349999999999994</v>
      </c>
      <c r="E328" s="51"/>
      <c r="F328" s="51"/>
      <c r="G328" s="51"/>
      <c r="H328" s="51"/>
      <c r="I328" s="51"/>
      <c r="J328" s="53"/>
      <c r="K328" s="53"/>
      <c r="L328" s="53"/>
      <c r="M328" s="53"/>
      <c r="N328" s="53"/>
      <c r="O328" s="139"/>
      <c r="P328" s="50"/>
      <c r="Q328" s="57"/>
      <c r="R328" s="12">
        <v>42187</v>
      </c>
      <c r="S328" s="11">
        <v>8.85</v>
      </c>
      <c r="T328" s="148">
        <v>1.1309904153354633</v>
      </c>
      <c r="U328" s="148">
        <f t="shared" si="18"/>
        <v>8.1784843034599657</v>
      </c>
      <c r="V328" s="278">
        <f t="shared" si="19"/>
        <v>-1.9933554817275767E-2</v>
      </c>
      <c r="W328" s="278">
        <f t="shared" si="20"/>
        <v>-2.0176364695931651E-2</v>
      </c>
    </row>
    <row r="329" spans="1:23" x14ac:dyDescent="0.2">
      <c r="A329" s="8">
        <v>42179</v>
      </c>
      <c r="B329" s="9">
        <v>9.2349999999999994</v>
      </c>
      <c r="E329" s="51"/>
      <c r="F329" s="51"/>
      <c r="G329" s="51"/>
      <c r="H329" s="51"/>
      <c r="I329" s="51"/>
      <c r="J329" s="53"/>
      <c r="K329" s="53"/>
      <c r="L329" s="53"/>
      <c r="M329" s="53"/>
      <c r="N329" s="53"/>
      <c r="O329" s="139"/>
      <c r="P329" s="50"/>
      <c r="Q329" s="57"/>
      <c r="R329" s="12">
        <v>42188</v>
      </c>
      <c r="S329" s="11">
        <v>8.75</v>
      </c>
      <c r="T329" s="148">
        <v>1.1182108626198082</v>
      </c>
      <c r="U329" s="148">
        <f t="shared" si="18"/>
        <v>8.0840862346621574</v>
      </c>
      <c r="V329" s="278">
        <f t="shared" si="19"/>
        <v>-1.1299435028248594E-2</v>
      </c>
      <c r="W329" s="278">
        <f t="shared" si="20"/>
        <v>-1.154224490690448E-2</v>
      </c>
    </row>
    <row r="330" spans="1:23" x14ac:dyDescent="0.2">
      <c r="A330" s="8">
        <v>42180</v>
      </c>
      <c r="B330" s="9">
        <v>9.3800000000000008</v>
      </c>
      <c r="E330" s="51"/>
      <c r="F330" s="51"/>
      <c r="G330" s="51"/>
      <c r="H330" s="51"/>
      <c r="I330" s="51"/>
      <c r="J330" s="53"/>
      <c r="K330" s="53"/>
      <c r="L330" s="53"/>
      <c r="M330" s="53"/>
      <c r="N330" s="53"/>
      <c r="O330" s="139"/>
      <c r="P330" s="50"/>
      <c r="Q330" s="57"/>
      <c r="R330" s="12">
        <v>42191</v>
      </c>
      <c r="S330" s="11">
        <v>8.4600000000000009</v>
      </c>
      <c r="T330" s="148">
        <v>1.0811501597444091</v>
      </c>
      <c r="U330" s="148">
        <f t="shared" si="18"/>
        <v>7.8141936234585305</v>
      </c>
      <c r="V330" s="278">
        <f t="shared" si="19"/>
        <v>-3.314285714285703E-2</v>
      </c>
      <c r="W330" s="278">
        <f t="shared" si="20"/>
        <v>-3.3385667021512917E-2</v>
      </c>
    </row>
    <row r="331" spans="1:23" x14ac:dyDescent="0.2">
      <c r="A331" s="8">
        <v>42181</v>
      </c>
      <c r="B331" s="9">
        <v>9.4550000000000001</v>
      </c>
      <c r="E331" s="51"/>
      <c r="F331" s="51"/>
      <c r="G331" s="51"/>
      <c r="H331" s="51"/>
      <c r="I331" s="51"/>
      <c r="J331" s="53"/>
      <c r="K331" s="53"/>
      <c r="L331" s="53"/>
      <c r="M331" s="53"/>
      <c r="N331" s="53"/>
      <c r="O331" s="139"/>
      <c r="P331" s="50"/>
      <c r="Q331" s="57"/>
      <c r="R331" s="12">
        <v>42192</v>
      </c>
      <c r="S331" s="11">
        <v>8.1649999999999991</v>
      </c>
      <c r="T331" s="148">
        <v>1.0434504792332266</v>
      </c>
      <c r="U331" s="148">
        <f t="shared" si="18"/>
        <v>7.5398155131357338</v>
      </c>
      <c r="V331" s="278">
        <f t="shared" si="19"/>
        <v>-3.4869976359338306E-2</v>
      </c>
      <c r="W331" s="278">
        <f t="shared" si="20"/>
        <v>-3.5112786237994194E-2</v>
      </c>
    </row>
    <row r="332" spans="1:23" x14ac:dyDescent="0.2">
      <c r="A332" s="8">
        <v>42184</v>
      </c>
      <c r="B332" s="9">
        <v>8.8350000000000009</v>
      </c>
      <c r="E332" s="51"/>
      <c r="F332" s="51"/>
      <c r="G332" s="51"/>
      <c r="H332" s="51"/>
      <c r="I332" s="51"/>
      <c r="J332" s="53"/>
      <c r="K332" s="53"/>
      <c r="L332" s="53"/>
      <c r="M332" s="53"/>
      <c r="N332" s="53"/>
      <c r="O332" s="139"/>
      <c r="P332" s="50"/>
      <c r="Q332" s="57"/>
      <c r="R332" s="12">
        <v>42193</v>
      </c>
      <c r="S332" s="11">
        <v>8.4250000000000007</v>
      </c>
      <c r="T332" s="148">
        <v>1.0766773162939298</v>
      </c>
      <c r="U332" s="148">
        <f t="shared" si="18"/>
        <v>7.7780768759670655</v>
      </c>
      <c r="V332" s="278">
        <f t="shared" si="19"/>
        <v>3.1843233312921271E-2</v>
      </c>
      <c r="W332" s="278">
        <f t="shared" si="20"/>
        <v>3.1600423434265383E-2</v>
      </c>
    </row>
    <row r="333" spans="1:23" x14ac:dyDescent="0.2">
      <c r="A333" s="8">
        <v>42185</v>
      </c>
      <c r="B333" s="9">
        <v>8.7949999999999999</v>
      </c>
      <c r="E333" s="51"/>
      <c r="F333" s="51"/>
      <c r="G333" s="51"/>
      <c r="H333" s="51"/>
      <c r="I333" s="51"/>
      <c r="J333" s="53"/>
      <c r="K333" s="53"/>
      <c r="L333" s="53"/>
      <c r="M333" s="53"/>
      <c r="N333" s="53"/>
      <c r="O333" s="139"/>
      <c r="P333" s="50"/>
      <c r="Q333" s="57"/>
      <c r="R333" s="12">
        <v>42194</v>
      </c>
      <c r="S333" s="11">
        <v>8.7100000000000009</v>
      </c>
      <c r="T333" s="148">
        <v>1.1130990415335464</v>
      </c>
      <c r="U333" s="148">
        <f t="shared" si="18"/>
        <v>8.039304235732363</v>
      </c>
      <c r="V333" s="278">
        <f t="shared" si="19"/>
        <v>3.3827893175074175E-2</v>
      </c>
      <c r="W333" s="278">
        <f t="shared" si="20"/>
        <v>3.3585083296418287E-2</v>
      </c>
    </row>
    <row r="334" spans="1:23" x14ac:dyDescent="0.2">
      <c r="A334" s="8">
        <v>42186</v>
      </c>
      <c r="B334" s="9">
        <v>9.0299999999999994</v>
      </c>
      <c r="E334" s="51"/>
      <c r="F334" s="51"/>
      <c r="G334" s="51"/>
      <c r="H334" s="51"/>
      <c r="I334" s="51"/>
      <c r="J334" s="53"/>
      <c r="K334" s="53"/>
      <c r="L334" s="53"/>
      <c r="M334" s="53"/>
      <c r="N334" s="53"/>
      <c r="O334" s="139"/>
      <c r="P334" s="50"/>
      <c r="Q334" s="57"/>
      <c r="R334" s="12">
        <v>42195</v>
      </c>
      <c r="S334" s="11">
        <v>8.84</v>
      </c>
      <c r="T334" s="148">
        <v>1.1297124600638977</v>
      </c>
      <c r="U334" s="148">
        <f t="shared" si="18"/>
        <v>8.1573418287050963</v>
      </c>
      <c r="V334" s="278">
        <f t="shared" si="19"/>
        <v>1.4925373134328179E-2</v>
      </c>
      <c r="W334" s="278">
        <f t="shared" si="20"/>
        <v>1.4682563255672293E-2</v>
      </c>
    </row>
    <row r="335" spans="1:23" x14ac:dyDescent="0.2">
      <c r="A335" s="8">
        <v>42187</v>
      </c>
      <c r="B335" s="9">
        <v>8.85</v>
      </c>
      <c r="E335" s="51"/>
      <c r="F335" s="51"/>
      <c r="G335" s="51"/>
      <c r="H335" s="51"/>
      <c r="I335" s="51"/>
      <c r="J335" s="53"/>
      <c r="K335" s="53"/>
      <c r="L335" s="53"/>
      <c r="M335" s="53"/>
      <c r="N335" s="53"/>
      <c r="O335" s="139"/>
      <c r="P335" s="50"/>
      <c r="Q335" s="57"/>
      <c r="R335" s="12">
        <v>42198</v>
      </c>
      <c r="S335" s="11">
        <v>8.9</v>
      </c>
      <c r="T335" s="148">
        <v>1.1373801916932909</v>
      </c>
      <c r="U335" s="148">
        <f t="shared" si="18"/>
        <v>8.2107277190235113</v>
      </c>
      <c r="V335" s="278">
        <f t="shared" si="19"/>
        <v>6.7873303167420573E-3</v>
      </c>
      <c r="W335" s="278">
        <f t="shared" si="20"/>
        <v>6.5445204380861714E-3</v>
      </c>
    </row>
    <row r="336" spans="1:23" x14ac:dyDescent="0.2">
      <c r="A336" s="8">
        <v>42188</v>
      </c>
      <c r="B336" s="9">
        <v>8.75</v>
      </c>
      <c r="E336" s="51"/>
      <c r="F336" s="51"/>
      <c r="G336" s="51"/>
      <c r="H336" s="51"/>
      <c r="I336" s="51"/>
      <c r="J336" s="53"/>
      <c r="K336" s="53"/>
      <c r="L336" s="53"/>
      <c r="M336" s="53"/>
      <c r="N336" s="53"/>
      <c r="O336" s="139"/>
      <c r="P336" s="50"/>
      <c r="Q336" s="57"/>
      <c r="R336" s="12">
        <v>42199</v>
      </c>
      <c r="S336" s="11">
        <v>8.8450000000000006</v>
      </c>
      <c r="T336" s="148">
        <v>1.1303514376996806</v>
      </c>
      <c r="U336" s="148">
        <f t="shared" si="18"/>
        <v>8.1579936210261668</v>
      </c>
      <c r="V336" s="278">
        <f t="shared" si="19"/>
        <v>-6.1797752808988582E-3</v>
      </c>
      <c r="W336" s="278">
        <f t="shared" si="20"/>
        <v>-6.4225851595547442E-3</v>
      </c>
    </row>
    <row r="337" spans="1:23" x14ac:dyDescent="0.2">
      <c r="A337" s="8">
        <v>42191</v>
      </c>
      <c r="B337" s="9">
        <v>8.4600000000000009</v>
      </c>
      <c r="E337" s="51"/>
      <c r="F337" s="51"/>
      <c r="G337" s="51"/>
      <c r="H337" s="51"/>
      <c r="I337" s="51"/>
      <c r="J337" s="53"/>
      <c r="K337" s="53"/>
      <c r="L337" s="53"/>
      <c r="M337" s="53"/>
      <c r="N337" s="53"/>
      <c r="O337" s="139"/>
      <c r="P337" s="50"/>
      <c r="Q337" s="57"/>
      <c r="R337" s="12">
        <v>42200</v>
      </c>
      <c r="S337" s="11">
        <v>8.9499999999999993</v>
      </c>
      <c r="T337" s="148">
        <v>1.1437699680511182</v>
      </c>
      <c r="U337" s="148">
        <f t="shared" si="18"/>
        <v>8.2528572488000886</v>
      </c>
      <c r="V337" s="278">
        <f t="shared" si="19"/>
        <v>1.1871113623515894E-2</v>
      </c>
      <c r="W337" s="278">
        <f t="shared" si="20"/>
        <v>1.1628303744860008E-2</v>
      </c>
    </row>
    <row r="338" spans="1:23" x14ac:dyDescent="0.2">
      <c r="A338" s="8">
        <v>42192</v>
      </c>
      <c r="B338" s="9">
        <v>8.1649999999999991</v>
      </c>
      <c r="E338" s="51"/>
      <c r="F338" s="51"/>
      <c r="G338" s="51"/>
      <c r="H338" s="51"/>
      <c r="I338" s="51"/>
      <c r="J338" s="53"/>
      <c r="K338" s="53"/>
      <c r="L338" s="53"/>
      <c r="M338" s="53"/>
      <c r="N338" s="53"/>
      <c r="O338" s="139"/>
      <c r="P338" s="50"/>
      <c r="Q338" s="57"/>
      <c r="R338" s="12">
        <v>42201</v>
      </c>
      <c r="S338" s="11">
        <v>9.1300000000000008</v>
      </c>
      <c r="T338" s="148">
        <v>1.1667731629392972</v>
      </c>
      <c r="U338" s="148">
        <f t="shared" si="18"/>
        <v>8.4168326254641173</v>
      </c>
      <c r="V338" s="278">
        <f t="shared" si="19"/>
        <v>2.0111731843575509E-2</v>
      </c>
      <c r="W338" s="278">
        <f t="shared" si="20"/>
        <v>1.9868921964919625E-2</v>
      </c>
    </row>
    <row r="339" spans="1:23" x14ac:dyDescent="0.2">
      <c r="A339" s="8">
        <v>42193</v>
      </c>
      <c r="B339" s="9">
        <v>8.4250000000000007</v>
      </c>
      <c r="E339" s="51"/>
      <c r="F339" s="51"/>
      <c r="G339" s="51"/>
      <c r="H339" s="51"/>
      <c r="I339" s="51"/>
      <c r="J339" s="53"/>
      <c r="K339" s="53"/>
      <c r="L339" s="53"/>
      <c r="M339" s="53"/>
      <c r="N339" s="53"/>
      <c r="O339" s="139"/>
      <c r="P339" s="50"/>
      <c r="Q339" s="57"/>
      <c r="R339" s="12">
        <v>42202</v>
      </c>
      <c r="S339" s="11">
        <v>9.1</v>
      </c>
      <c r="T339" s="148">
        <v>1.1629392971246006</v>
      </c>
      <c r="U339" s="148">
        <f t="shared" si="18"/>
        <v>8.3871323111756038</v>
      </c>
      <c r="V339" s="278">
        <f t="shared" si="19"/>
        <v>-3.2858707557503752E-3</v>
      </c>
      <c r="W339" s="278">
        <f t="shared" si="20"/>
        <v>-3.5286806344062612E-3</v>
      </c>
    </row>
    <row r="340" spans="1:23" x14ac:dyDescent="0.2">
      <c r="A340" s="8">
        <v>42194</v>
      </c>
      <c r="B340" s="9">
        <v>8.7100000000000009</v>
      </c>
      <c r="E340" s="51"/>
      <c r="F340" s="51"/>
      <c r="G340" s="51"/>
      <c r="H340" s="51"/>
      <c r="I340" s="51"/>
      <c r="J340" s="53"/>
      <c r="K340" s="53"/>
      <c r="L340" s="53"/>
      <c r="M340" s="53"/>
      <c r="N340" s="53"/>
      <c r="O340" s="139"/>
      <c r="P340" s="50"/>
      <c r="Q340" s="57"/>
      <c r="R340" s="12">
        <v>42205</v>
      </c>
      <c r="S340" s="11">
        <v>9.4749999999999996</v>
      </c>
      <c r="T340" s="148">
        <v>1.2108626198083066</v>
      </c>
      <c r="U340" s="148">
        <f t="shared" si="18"/>
        <v>8.7307194168485989</v>
      </c>
      <c r="V340" s="278">
        <f t="shared" si="19"/>
        <v>4.1208791208791284E-2</v>
      </c>
      <c r="W340" s="278">
        <f t="shared" si="20"/>
        <v>4.0965981330135397E-2</v>
      </c>
    </row>
    <row r="341" spans="1:23" x14ac:dyDescent="0.2">
      <c r="A341" s="8">
        <v>42195</v>
      </c>
      <c r="B341" s="9">
        <v>8.84</v>
      </c>
      <c r="E341" s="51"/>
      <c r="F341" s="51"/>
      <c r="G341" s="51"/>
      <c r="H341" s="51"/>
      <c r="I341" s="51"/>
      <c r="J341" s="53"/>
      <c r="K341" s="53"/>
      <c r="L341" s="53"/>
      <c r="M341" s="53"/>
      <c r="N341" s="53"/>
      <c r="O341" s="139"/>
      <c r="P341" s="50"/>
      <c r="Q341" s="57"/>
      <c r="R341" s="12">
        <v>42206</v>
      </c>
      <c r="S341" s="11">
        <v>9.36</v>
      </c>
      <c r="T341" s="148">
        <v>1.1961661341853034</v>
      </c>
      <c r="U341" s="148">
        <f t="shared" si="18"/>
        <v>8.6226329965768009</v>
      </c>
      <c r="V341" s="278">
        <f t="shared" si="19"/>
        <v>-1.2137203166226906E-2</v>
      </c>
      <c r="W341" s="278">
        <f t="shared" si="20"/>
        <v>-1.2380013044882792E-2</v>
      </c>
    </row>
    <row r="342" spans="1:23" x14ac:dyDescent="0.2">
      <c r="A342" s="8">
        <v>42198</v>
      </c>
      <c r="B342" s="9">
        <v>8.9</v>
      </c>
      <c r="E342" s="51"/>
      <c r="F342" s="51"/>
      <c r="G342" s="51"/>
      <c r="H342" s="51"/>
      <c r="I342" s="51"/>
      <c r="J342" s="53"/>
      <c r="K342" s="53"/>
      <c r="L342" s="53"/>
      <c r="M342" s="53"/>
      <c r="N342" s="53"/>
      <c r="O342" s="139"/>
      <c r="P342" s="50"/>
      <c r="Q342" s="57"/>
      <c r="R342" s="12">
        <v>42207</v>
      </c>
      <c r="S342" s="11">
        <v>9.51</v>
      </c>
      <c r="T342" s="148">
        <v>1.2153354632587858</v>
      </c>
      <c r="U342" s="148">
        <f t="shared" si="18"/>
        <v>8.7587225572041945</v>
      </c>
      <c r="V342" s="278">
        <f t="shared" si="19"/>
        <v>1.6025641025640969E-2</v>
      </c>
      <c r="W342" s="278">
        <f t="shared" si="20"/>
        <v>1.5782831146985084E-2</v>
      </c>
    </row>
    <row r="343" spans="1:23" x14ac:dyDescent="0.2">
      <c r="A343" s="8">
        <v>42199</v>
      </c>
      <c r="B343" s="9">
        <v>8.8450000000000006</v>
      </c>
      <c r="E343" s="51"/>
      <c r="F343" s="51"/>
      <c r="G343" s="51"/>
      <c r="H343" s="51"/>
      <c r="I343" s="51"/>
      <c r="J343" s="53"/>
      <c r="K343" s="53"/>
      <c r="L343" s="53"/>
      <c r="M343" s="53"/>
      <c r="N343" s="53"/>
      <c r="O343" s="139"/>
      <c r="P343" s="50"/>
      <c r="Q343" s="57"/>
      <c r="R343" s="12">
        <v>42208</v>
      </c>
      <c r="S343" s="11">
        <v>9.6449999999999996</v>
      </c>
      <c r="T343" s="148">
        <v>1.23258785942492</v>
      </c>
      <c r="U343" s="148">
        <f t="shared" si="18"/>
        <v>8.88093103109974</v>
      </c>
      <c r="V343" s="278">
        <f t="shared" si="19"/>
        <v>1.4195583596214423E-2</v>
      </c>
      <c r="W343" s="278">
        <f t="shared" si="20"/>
        <v>1.3952773717558537E-2</v>
      </c>
    </row>
    <row r="344" spans="1:23" x14ac:dyDescent="0.2">
      <c r="A344" s="8">
        <v>42200</v>
      </c>
      <c r="B344" s="9">
        <v>8.9499999999999993</v>
      </c>
      <c r="E344" s="51"/>
      <c r="F344" s="51"/>
      <c r="G344" s="51"/>
      <c r="H344" s="51"/>
      <c r="I344" s="51"/>
      <c r="J344" s="53"/>
      <c r="K344" s="53"/>
      <c r="L344" s="53"/>
      <c r="M344" s="53"/>
      <c r="N344" s="53"/>
      <c r="O344" s="139"/>
      <c r="P344" s="50"/>
      <c r="Q344" s="57"/>
      <c r="R344" s="12">
        <v>42209</v>
      </c>
      <c r="S344" s="11">
        <v>9.5399999999999991</v>
      </c>
      <c r="T344" s="148">
        <v>1.2191693290734822</v>
      </c>
      <c r="U344" s="148">
        <f t="shared" si="18"/>
        <v>8.7820926669720496</v>
      </c>
      <c r="V344" s="278">
        <f t="shared" si="19"/>
        <v>-1.0886469673406007E-2</v>
      </c>
      <c r="W344" s="278">
        <f t="shared" si="20"/>
        <v>-1.1129279552061893E-2</v>
      </c>
    </row>
    <row r="345" spans="1:23" x14ac:dyDescent="0.2">
      <c r="A345" s="8">
        <v>42201</v>
      </c>
      <c r="B345" s="9">
        <v>9.1300000000000008</v>
      </c>
      <c r="E345" s="51"/>
      <c r="F345" s="51"/>
      <c r="G345" s="51"/>
      <c r="H345" s="51"/>
      <c r="I345" s="51"/>
      <c r="J345" s="53"/>
      <c r="K345" s="53"/>
      <c r="L345" s="53"/>
      <c r="M345" s="53"/>
      <c r="N345" s="53"/>
      <c r="O345" s="139"/>
      <c r="P345" s="50"/>
      <c r="Q345" s="57"/>
      <c r="R345" s="12">
        <v>42212</v>
      </c>
      <c r="S345" s="11">
        <v>9.1999999999999993</v>
      </c>
      <c r="T345" s="148">
        <v>1.1757188498402555</v>
      </c>
      <c r="U345" s="148">
        <f t="shared" ref="U345:U408" si="21">U344*(1+W345)</f>
        <v>8.4669716605731598</v>
      </c>
      <c r="V345" s="278">
        <f t="shared" ref="V345:V408" si="22">S345/S344-1</f>
        <v>-3.5639412997903519E-2</v>
      </c>
      <c r="W345" s="278">
        <f t="shared" ref="W345:W408" si="23">V345-$V$3+$W$2</f>
        <v>-3.5882222876559407E-2</v>
      </c>
    </row>
    <row r="346" spans="1:23" x14ac:dyDescent="0.2">
      <c r="A346" s="8">
        <v>42202</v>
      </c>
      <c r="B346" s="9">
        <v>9.1</v>
      </c>
      <c r="E346" s="51"/>
      <c r="F346" s="51"/>
      <c r="G346" s="51"/>
      <c r="H346" s="51"/>
      <c r="I346" s="51"/>
      <c r="J346" s="53"/>
      <c r="K346" s="53"/>
      <c r="L346" s="53"/>
      <c r="M346" s="53"/>
      <c r="N346" s="53"/>
      <c r="O346" s="139"/>
      <c r="P346" s="50"/>
      <c r="Q346" s="57"/>
      <c r="R346" s="12">
        <v>42213</v>
      </c>
      <c r="S346" s="11">
        <v>9.5500000000000007</v>
      </c>
      <c r="T346" s="148">
        <v>1.220447284345048</v>
      </c>
      <c r="U346" s="148">
        <f t="shared" si="21"/>
        <v>8.787028848516087</v>
      </c>
      <c r="V346" s="278">
        <f t="shared" si="22"/>
        <v>3.8043478260869623E-2</v>
      </c>
      <c r="W346" s="278">
        <f t="shared" si="23"/>
        <v>3.7800668382213735E-2</v>
      </c>
    </row>
    <row r="347" spans="1:23" x14ac:dyDescent="0.2">
      <c r="A347" s="8">
        <v>42205</v>
      </c>
      <c r="B347" s="9">
        <v>9.4749999999999996</v>
      </c>
      <c r="E347" s="51"/>
      <c r="F347" s="51"/>
      <c r="G347" s="51"/>
      <c r="H347" s="51"/>
      <c r="I347" s="51"/>
      <c r="J347" s="53"/>
      <c r="K347" s="53"/>
      <c r="L347" s="53"/>
      <c r="M347" s="53"/>
      <c r="N347" s="53"/>
      <c r="O347" s="139"/>
      <c r="P347" s="50"/>
      <c r="Q347" s="57"/>
      <c r="R347" s="12">
        <v>42214</v>
      </c>
      <c r="S347" s="11">
        <v>9.61</v>
      </c>
      <c r="T347" s="148">
        <v>1.2281150159744407</v>
      </c>
      <c r="U347" s="148">
        <f t="shared" si="21"/>
        <v>8.840101735077365</v>
      </c>
      <c r="V347" s="278">
        <f t="shared" si="22"/>
        <v>6.282722513088812E-3</v>
      </c>
      <c r="W347" s="278">
        <f t="shared" si="23"/>
        <v>6.039912634432926E-3</v>
      </c>
    </row>
    <row r="348" spans="1:23" x14ac:dyDescent="0.2">
      <c r="A348" s="8">
        <v>42206</v>
      </c>
      <c r="B348" s="9">
        <v>9.36</v>
      </c>
      <c r="E348" s="51"/>
      <c r="F348" s="51"/>
      <c r="G348" s="51"/>
      <c r="H348" s="51"/>
      <c r="I348" s="51"/>
      <c r="J348" s="53"/>
      <c r="K348" s="53"/>
      <c r="L348" s="53"/>
      <c r="M348" s="53"/>
      <c r="N348" s="53"/>
      <c r="O348" s="139"/>
      <c r="P348" s="50"/>
      <c r="Q348" s="57"/>
      <c r="R348" s="12">
        <v>42215</v>
      </c>
      <c r="S348" s="11">
        <v>9.6150000000000002</v>
      </c>
      <c r="T348" s="148">
        <v>1.2287539936102236</v>
      </c>
      <c r="U348" s="148">
        <f t="shared" si="21"/>
        <v>8.8425546996300106</v>
      </c>
      <c r="V348" s="278">
        <f t="shared" si="22"/>
        <v>5.2029136316344982E-4</v>
      </c>
      <c r="W348" s="278">
        <f t="shared" si="23"/>
        <v>2.7748148450756416E-4</v>
      </c>
    </row>
    <row r="349" spans="1:23" x14ac:dyDescent="0.2">
      <c r="A349" s="8">
        <v>42207</v>
      </c>
      <c r="B349" s="9">
        <v>9.51</v>
      </c>
      <c r="E349" s="51"/>
      <c r="F349" s="51"/>
      <c r="G349" s="51"/>
      <c r="H349" s="51"/>
      <c r="I349" s="51"/>
      <c r="J349" s="53"/>
      <c r="K349" s="53"/>
      <c r="L349" s="53"/>
      <c r="M349" s="53"/>
      <c r="N349" s="53"/>
      <c r="O349" s="139"/>
      <c r="P349" s="50"/>
      <c r="Q349" s="57"/>
      <c r="R349" s="12">
        <v>42216</v>
      </c>
      <c r="S349" s="11">
        <v>9.9149999999999991</v>
      </c>
      <c r="T349" s="148">
        <v>1.2670926517571883</v>
      </c>
      <c r="U349" s="148">
        <f t="shared" si="21"/>
        <v>9.1163063825745443</v>
      </c>
      <c r="V349" s="278">
        <f t="shared" si="22"/>
        <v>3.120124804992197E-2</v>
      </c>
      <c r="W349" s="278">
        <f t="shared" si="23"/>
        <v>3.0958438171266086E-2</v>
      </c>
    </row>
    <row r="350" spans="1:23" x14ac:dyDescent="0.2">
      <c r="A350" s="8">
        <v>42208</v>
      </c>
      <c r="B350" s="9">
        <v>9.6449999999999996</v>
      </c>
      <c r="E350" s="51"/>
      <c r="F350" s="51"/>
      <c r="G350" s="51"/>
      <c r="H350" s="51"/>
      <c r="I350" s="51"/>
      <c r="J350" s="53"/>
      <c r="K350" s="53"/>
      <c r="L350" s="53"/>
      <c r="M350" s="53"/>
      <c r="N350" s="53"/>
      <c r="O350" s="139"/>
      <c r="P350" s="50"/>
      <c r="Q350" s="57"/>
      <c r="R350" s="12">
        <v>42219</v>
      </c>
      <c r="S350" s="11">
        <v>9.8949999999999996</v>
      </c>
      <c r="T350" s="148">
        <v>1.2645367412140573</v>
      </c>
      <c r="U350" s="148">
        <f t="shared" si="21"/>
        <v>9.0957039347549831</v>
      </c>
      <c r="V350" s="278">
        <f t="shared" si="22"/>
        <v>-2.0171457387795355E-3</v>
      </c>
      <c r="W350" s="278">
        <f t="shared" si="23"/>
        <v>-2.2599556174354215E-3</v>
      </c>
    </row>
    <row r="351" spans="1:23" x14ac:dyDescent="0.2">
      <c r="A351" s="8">
        <v>42209</v>
      </c>
      <c r="B351" s="9">
        <v>9.5399999999999991</v>
      </c>
      <c r="E351" s="51"/>
      <c r="F351" s="51"/>
      <c r="G351" s="51"/>
      <c r="H351" s="51"/>
      <c r="I351" s="51"/>
      <c r="J351" s="53"/>
      <c r="K351" s="53"/>
      <c r="L351" s="53"/>
      <c r="M351" s="53"/>
      <c r="N351" s="53"/>
      <c r="O351" s="139"/>
      <c r="P351" s="50"/>
      <c r="Q351" s="57"/>
      <c r="R351" s="12">
        <v>42220</v>
      </c>
      <c r="S351" s="11">
        <v>9.76</v>
      </c>
      <c r="T351" s="148">
        <v>1.2472843450479232</v>
      </c>
      <c r="U351" s="148">
        <f t="shared" si="21"/>
        <v>8.9694004073605331</v>
      </c>
      <c r="V351" s="278">
        <f t="shared" si="22"/>
        <v>-1.3643254168772101E-2</v>
      </c>
      <c r="W351" s="278">
        <f t="shared" si="23"/>
        <v>-1.3886064047427987E-2</v>
      </c>
    </row>
    <row r="352" spans="1:23" x14ac:dyDescent="0.2">
      <c r="A352" s="8">
        <v>42212</v>
      </c>
      <c r="B352" s="9">
        <v>9.1999999999999993</v>
      </c>
      <c r="E352" s="51"/>
      <c r="F352" s="51"/>
      <c r="G352" s="51"/>
      <c r="H352" s="51"/>
      <c r="I352" s="51"/>
      <c r="J352" s="53"/>
      <c r="K352" s="53"/>
      <c r="L352" s="53"/>
      <c r="M352" s="53"/>
      <c r="N352" s="53"/>
      <c r="O352" s="139"/>
      <c r="P352" s="50"/>
      <c r="Q352" s="57"/>
      <c r="R352" s="12">
        <v>42221</v>
      </c>
      <c r="S352" s="11">
        <v>9.94</v>
      </c>
      <c r="T352" s="148">
        <v>1.2702875399361022</v>
      </c>
      <c r="U352" s="148">
        <f t="shared" si="21"/>
        <v>9.1326418181438829</v>
      </c>
      <c r="V352" s="278">
        <f t="shared" si="22"/>
        <v>1.8442622950819665E-2</v>
      </c>
      <c r="W352" s="278">
        <f t="shared" si="23"/>
        <v>1.8199813072163781E-2</v>
      </c>
    </row>
    <row r="353" spans="1:23" x14ac:dyDescent="0.2">
      <c r="A353" s="8">
        <v>42213</v>
      </c>
      <c r="B353" s="9">
        <v>9.5500000000000007</v>
      </c>
      <c r="E353" s="51"/>
      <c r="F353" s="51"/>
      <c r="G353" s="51"/>
      <c r="H353" s="51"/>
      <c r="I353" s="51"/>
      <c r="J353" s="53"/>
      <c r="K353" s="53"/>
      <c r="L353" s="53"/>
      <c r="M353" s="53"/>
      <c r="N353" s="53"/>
      <c r="O353" s="139"/>
      <c r="P353" s="50"/>
      <c r="Q353" s="57"/>
      <c r="R353" s="12">
        <v>42222</v>
      </c>
      <c r="S353" s="11">
        <v>9.82</v>
      </c>
      <c r="T353" s="148">
        <v>1.2549520766773163</v>
      </c>
      <c r="U353" s="148">
        <f t="shared" si="21"/>
        <v>9.0201711013476178</v>
      </c>
      <c r="V353" s="278">
        <f t="shared" si="22"/>
        <v>-1.2072434607645843E-2</v>
      </c>
      <c r="W353" s="278">
        <f t="shared" si="23"/>
        <v>-1.2315244486301729E-2</v>
      </c>
    </row>
    <row r="354" spans="1:23" x14ac:dyDescent="0.2">
      <c r="A354" s="8">
        <v>42214</v>
      </c>
      <c r="B354" s="9">
        <v>9.61</v>
      </c>
      <c r="E354" s="51"/>
      <c r="F354" s="51"/>
      <c r="G354" s="51"/>
      <c r="H354" s="51"/>
      <c r="I354" s="51"/>
      <c r="J354" s="53"/>
      <c r="K354" s="53"/>
      <c r="L354" s="53"/>
      <c r="M354" s="53"/>
      <c r="N354" s="53"/>
      <c r="O354" s="139"/>
      <c r="P354" s="50"/>
      <c r="Q354" s="57"/>
      <c r="R354" s="12">
        <v>42223</v>
      </c>
      <c r="S354" s="11">
        <v>9.6199999999999992</v>
      </c>
      <c r="T354" s="148">
        <v>1.2293929712460063</v>
      </c>
      <c r="U354" s="148">
        <f t="shared" si="21"/>
        <v>8.8342707089669492</v>
      </c>
      <c r="V354" s="278">
        <f t="shared" si="22"/>
        <v>-2.0366598778004175E-2</v>
      </c>
      <c r="W354" s="278">
        <f t="shared" si="23"/>
        <v>-2.0609408656660059E-2</v>
      </c>
    </row>
    <row r="355" spans="1:23" x14ac:dyDescent="0.2">
      <c r="A355" s="8">
        <v>42215</v>
      </c>
      <c r="B355" s="9">
        <v>9.6150000000000002</v>
      </c>
      <c r="E355" s="51"/>
      <c r="F355" s="51"/>
      <c r="G355" s="51"/>
      <c r="H355" s="51"/>
      <c r="I355" s="51"/>
      <c r="J355" s="53"/>
      <c r="K355" s="53"/>
      <c r="L355" s="53"/>
      <c r="M355" s="53"/>
      <c r="N355" s="53"/>
      <c r="O355" s="139"/>
      <c r="P355" s="50"/>
      <c r="Q355" s="57"/>
      <c r="R355" s="12">
        <v>42226</v>
      </c>
      <c r="S355" s="11">
        <v>9.75</v>
      </c>
      <c r="T355" s="148">
        <v>1.2460063897763578</v>
      </c>
      <c r="U355" s="148">
        <f t="shared" si="21"/>
        <v>8.951507697375753</v>
      </c>
      <c r="V355" s="278">
        <f t="shared" si="22"/>
        <v>1.3513513513513598E-2</v>
      </c>
      <c r="W355" s="278">
        <f t="shared" si="23"/>
        <v>1.3270703634857712E-2</v>
      </c>
    </row>
    <row r="356" spans="1:23" x14ac:dyDescent="0.2">
      <c r="A356" s="8">
        <v>42216</v>
      </c>
      <c r="B356" s="9">
        <v>9.9149999999999991</v>
      </c>
      <c r="E356" s="51"/>
      <c r="F356" s="51"/>
      <c r="G356" s="51"/>
      <c r="H356" s="51"/>
      <c r="I356" s="51"/>
      <c r="J356" s="53"/>
      <c r="K356" s="53"/>
      <c r="L356" s="53"/>
      <c r="M356" s="53"/>
      <c r="N356" s="53"/>
      <c r="O356" s="139"/>
      <c r="P356" s="50"/>
      <c r="Q356" s="57"/>
      <c r="R356" s="12">
        <v>42227</v>
      </c>
      <c r="S356" s="11">
        <v>9.73</v>
      </c>
      <c r="T356" s="148">
        <v>1.2434504792332268</v>
      </c>
      <c r="U356" s="148">
        <f t="shared" si="21"/>
        <v>8.9309721158064264</v>
      </c>
      <c r="V356" s="278">
        <f t="shared" si="22"/>
        <v>-2.0512820512820218E-3</v>
      </c>
      <c r="W356" s="278">
        <f t="shared" si="23"/>
        <v>-2.2940919299379078E-3</v>
      </c>
    </row>
    <row r="357" spans="1:23" x14ac:dyDescent="0.2">
      <c r="A357" s="8">
        <v>42219</v>
      </c>
      <c r="B357" s="9">
        <v>9.8949999999999996</v>
      </c>
      <c r="E357" s="51"/>
      <c r="F357" s="51"/>
      <c r="G357" s="51"/>
      <c r="H357" s="51"/>
      <c r="I357" s="51"/>
      <c r="J357" s="53"/>
      <c r="K357" s="53"/>
      <c r="L357" s="53"/>
      <c r="M357" s="53"/>
      <c r="N357" s="53"/>
      <c r="O357" s="139"/>
      <c r="P357" s="50"/>
      <c r="Q357" s="57"/>
      <c r="R357" s="12">
        <v>42228</v>
      </c>
      <c r="S357" s="11">
        <v>9.43</v>
      </c>
      <c r="T357" s="148">
        <v>1.2051118210862619</v>
      </c>
      <c r="U357" s="148">
        <f t="shared" si="21"/>
        <v>8.653439596313099</v>
      </c>
      <c r="V357" s="278">
        <f t="shared" si="22"/>
        <v>-3.0832476875642389E-2</v>
      </c>
      <c r="W357" s="278">
        <f t="shared" si="23"/>
        <v>-3.1075286754298274E-2</v>
      </c>
    </row>
    <row r="358" spans="1:23" x14ac:dyDescent="0.2">
      <c r="A358" s="8">
        <v>42220</v>
      </c>
      <c r="B358" s="9">
        <v>9.76</v>
      </c>
      <c r="E358" s="51"/>
      <c r="F358" s="51"/>
      <c r="G358" s="51"/>
      <c r="H358" s="51"/>
      <c r="I358" s="51"/>
      <c r="J358" s="53"/>
      <c r="K358" s="53"/>
      <c r="L358" s="53"/>
      <c r="M358" s="53"/>
      <c r="N358" s="53"/>
      <c r="O358" s="139"/>
      <c r="P358" s="50"/>
      <c r="Q358" s="57"/>
      <c r="R358" s="12">
        <v>42229</v>
      </c>
      <c r="S358" s="11">
        <v>9.7149999999999999</v>
      </c>
      <c r="T358" s="148">
        <v>1.2415335463258785</v>
      </c>
      <c r="U358" s="148">
        <f t="shared" si="21"/>
        <v>8.912868708605604</v>
      </c>
      <c r="V358" s="278">
        <f t="shared" si="22"/>
        <v>3.0222693531283262E-2</v>
      </c>
      <c r="W358" s="278">
        <f t="shared" si="23"/>
        <v>2.9979883652627378E-2</v>
      </c>
    </row>
    <row r="359" spans="1:23" x14ac:dyDescent="0.2">
      <c r="A359" s="8">
        <v>42221</v>
      </c>
      <c r="B359" s="9">
        <v>9.94</v>
      </c>
      <c r="E359" s="51"/>
      <c r="F359" s="51"/>
      <c r="G359" s="51"/>
      <c r="H359" s="51"/>
      <c r="I359" s="51"/>
      <c r="J359" s="53"/>
      <c r="K359" s="53"/>
      <c r="L359" s="53"/>
      <c r="M359" s="53"/>
      <c r="N359" s="53"/>
      <c r="O359" s="139"/>
      <c r="P359" s="50"/>
      <c r="Q359" s="57"/>
      <c r="R359" s="12">
        <v>42230</v>
      </c>
      <c r="S359" s="11">
        <v>9.7449999999999992</v>
      </c>
      <c r="T359" s="148">
        <v>1.2453674121405749</v>
      </c>
      <c r="U359" s="148">
        <f t="shared" si="21"/>
        <v>8.9382275880028619</v>
      </c>
      <c r="V359" s="278">
        <f t="shared" si="22"/>
        <v>3.0880082346884663E-3</v>
      </c>
      <c r="W359" s="278">
        <f t="shared" si="23"/>
        <v>2.8451983560325803E-3</v>
      </c>
    </row>
    <row r="360" spans="1:23" x14ac:dyDescent="0.2">
      <c r="A360" s="8">
        <v>42222</v>
      </c>
      <c r="B360" s="9">
        <v>9.82</v>
      </c>
      <c r="E360" s="51"/>
      <c r="F360" s="51"/>
      <c r="G360" s="51"/>
      <c r="H360" s="51"/>
      <c r="I360" s="51"/>
      <c r="J360" s="53"/>
      <c r="K360" s="53"/>
      <c r="L360" s="53"/>
      <c r="M360" s="53"/>
      <c r="N360" s="53"/>
      <c r="O360" s="139"/>
      <c r="P360" s="50"/>
      <c r="Q360" s="57"/>
      <c r="R360" s="12">
        <v>42233</v>
      </c>
      <c r="S360" s="11">
        <v>9.7949999999999999</v>
      </c>
      <c r="T360" s="148">
        <v>1.2517571884984025</v>
      </c>
      <c r="U360" s="148">
        <f t="shared" si="21"/>
        <v>8.98191788084827</v>
      </c>
      <c r="V360" s="278">
        <f t="shared" si="22"/>
        <v>5.1308363263211643E-3</v>
      </c>
      <c r="W360" s="278">
        <f t="shared" si="23"/>
        <v>4.8880264476652783E-3</v>
      </c>
    </row>
    <row r="361" spans="1:23" x14ac:dyDescent="0.2">
      <c r="A361" s="8">
        <v>42223</v>
      </c>
      <c r="B361" s="9">
        <v>9.6199999999999992</v>
      </c>
      <c r="E361" s="51"/>
      <c r="F361" s="51"/>
      <c r="G361" s="51"/>
      <c r="H361" s="51"/>
      <c r="I361" s="51"/>
      <c r="J361" s="53"/>
      <c r="K361" s="53"/>
      <c r="L361" s="53"/>
      <c r="M361" s="53"/>
      <c r="N361" s="53"/>
      <c r="O361" s="139"/>
      <c r="P361" s="50"/>
      <c r="Q361" s="57"/>
      <c r="R361" s="12">
        <v>42234</v>
      </c>
      <c r="S361" s="11">
        <v>9.8550000000000004</v>
      </c>
      <c r="T361" s="148">
        <v>1.2594249201277956</v>
      </c>
      <c r="U361" s="148">
        <f t="shared" si="21"/>
        <v>9.0347563875469454</v>
      </c>
      <c r="V361" s="278">
        <f t="shared" si="22"/>
        <v>6.1255742725880857E-3</v>
      </c>
      <c r="W361" s="278">
        <f t="shared" si="23"/>
        <v>5.8827643939321998E-3</v>
      </c>
    </row>
    <row r="362" spans="1:23" x14ac:dyDescent="0.2">
      <c r="A362" s="8">
        <v>42226</v>
      </c>
      <c r="B362" s="9">
        <v>9.75</v>
      </c>
      <c r="E362" s="51"/>
      <c r="F362" s="51"/>
      <c r="G362" s="51"/>
      <c r="H362" s="51"/>
      <c r="I362" s="51"/>
      <c r="J362" s="53"/>
      <c r="K362" s="53"/>
      <c r="L362" s="53"/>
      <c r="M362" s="53"/>
      <c r="N362" s="53"/>
      <c r="O362" s="139"/>
      <c r="P362" s="50"/>
      <c r="Q362" s="57"/>
      <c r="R362" s="12">
        <v>42235</v>
      </c>
      <c r="S362" s="11">
        <v>9.6750000000000007</v>
      </c>
      <c r="T362" s="148">
        <v>1.2364217252396166</v>
      </c>
      <c r="U362" s="148">
        <f t="shared" si="21"/>
        <v>8.8675442779370925</v>
      </c>
      <c r="V362" s="278">
        <f t="shared" si="22"/>
        <v>-1.8264840182648401E-2</v>
      </c>
      <c r="W362" s="278">
        <f t="shared" si="23"/>
        <v>-1.8507650061304285E-2</v>
      </c>
    </row>
    <row r="363" spans="1:23" x14ac:dyDescent="0.2">
      <c r="A363" s="8">
        <v>42227</v>
      </c>
      <c r="B363" s="9">
        <v>9.73</v>
      </c>
      <c r="E363" s="51"/>
      <c r="F363" s="51"/>
      <c r="G363" s="51"/>
      <c r="H363" s="51"/>
      <c r="I363" s="51"/>
      <c r="J363" s="53"/>
      <c r="K363" s="53"/>
      <c r="L363" s="53"/>
      <c r="M363" s="53"/>
      <c r="N363" s="53"/>
      <c r="O363" s="139"/>
      <c r="P363" s="50"/>
      <c r="Q363" s="57"/>
      <c r="R363" s="12">
        <v>42236</v>
      </c>
      <c r="S363" s="11">
        <v>9.4550000000000001</v>
      </c>
      <c r="T363" s="148">
        <v>1.2083067092651758</v>
      </c>
      <c r="U363" s="148">
        <f t="shared" si="21"/>
        <v>8.6637519008561217</v>
      </c>
      <c r="V363" s="278">
        <f t="shared" si="22"/>
        <v>-2.2739018087855389E-2</v>
      </c>
      <c r="W363" s="278">
        <f t="shared" si="23"/>
        <v>-2.2981827966511274E-2</v>
      </c>
    </row>
    <row r="364" spans="1:23" x14ac:dyDescent="0.2">
      <c r="A364" s="8">
        <v>42228</v>
      </c>
      <c r="B364" s="9">
        <v>9.43</v>
      </c>
      <c r="E364" s="51"/>
      <c r="F364" s="51"/>
      <c r="G364" s="51"/>
      <c r="H364" s="51"/>
      <c r="I364" s="51"/>
      <c r="J364" s="53"/>
      <c r="K364" s="53"/>
      <c r="L364" s="53"/>
      <c r="M364" s="53"/>
      <c r="N364" s="53"/>
      <c r="O364" s="139"/>
      <c r="P364" s="50"/>
      <c r="Q364" s="57"/>
      <c r="R364" s="12">
        <v>42237</v>
      </c>
      <c r="S364" s="11">
        <v>9.0150000000000006</v>
      </c>
      <c r="T364" s="148">
        <v>1.152076677316294</v>
      </c>
      <c r="U364" s="148">
        <f t="shared" si="21"/>
        <v>8.2584699552637701</v>
      </c>
      <c r="V364" s="278">
        <f t="shared" si="22"/>
        <v>-4.6536224219989375E-2</v>
      </c>
      <c r="W364" s="278">
        <f t="shared" si="23"/>
        <v>-4.6779034098645263E-2</v>
      </c>
    </row>
    <row r="365" spans="1:23" x14ac:dyDescent="0.2">
      <c r="A365" s="8">
        <v>42229</v>
      </c>
      <c r="B365" s="9">
        <v>9.7149999999999999</v>
      </c>
      <c r="E365" s="51"/>
      <c r="F365" s="51"/>
      <c r="G365" s="51"/>
      <c r="H365" s="51"/>
      <c r="I365" s="51"/>
      <c r="J365" s="53"/>
      <c r="K365" s="53"/>
      <c r="L365" s="53"/>
      <c r="M365" s="53"/>
      <c r="N365" s="53"/>
      <c r="O365" s="139"/>
      <c r="P365" s="50"/>
      <c r="Q365" s="57"/>
      <c r="R365" s="12">
        <v>42240</v>
      </c>
      <c r="S365" s="11">
        <v>8.4949999999999992</v>
      </c>
      <c r="T365" s="148">
        <v>1.0856230031948881</v>
      </c>
      <c r="U365" s="148">
        <f t="shared" si="21"/>
        <v>7.7801026121580596</v>
      </c>
      <c r="V365" s="278">
        <f t="shared" si="22"/>
        <v>-5.7681641708264175E-2</v>
      </c>
      <c r="W365" s="278">
        <f t="shared" si="23"/>
        <v>-5.7924451586920063E-2</v>
      </c>
    </row>
    <row r="366" spans="1:23" x14ac:dyDescent="0.2">
      <c r="A366" s="8">
        <v>42230</v>
      </c>
      <c r="B366" s="9">
        <v>9.7449999999999992</v>
      </c>
      <c r="E366" s="51"/>
      <c r="F366" s="51"/>
      <c r="G366" s="51"/>
      <c r="H366" s="51"/>
      <c r="I366" s="51"/>
      <c r="J366" s="53"/>
      <c r="K366" s="53"/>
      <c r="L366" s="53"/>
      <c r="M366" s="53"/>
      <c r="N366" s="53"/>
      <c r="O366" s="139"/>
      <c r="P366" s="50"/>
      <c r="Q366" s="57"/>
      <c r="R366" s="12">
        <v>42241</v>
      </c>
      <c r="S366" s="11">
        <v>8.84</v>
      </c>
      <c r="T366" s="148">
        <v>1.1297124600638977</v>
      </c>
      <c r="U366" s="148">
        <f t="shared" si="21"/>
        <v>8.0941800244674518</v>
      </c>
      <c r="V366" s="278">
        <f t="shared" si="22"/>
        <v>4.0612124779282111E-2</v>
      </c>
      <c r="W366" s="278">
        <f t="shared" si="23"/>
        <v>4.0369314900626223E-2</v>
      </c>
    </row>
    <row r="367" spans="1:23" x14ac:dyDescent="0.2">
      <c r="A367" s="8">
        <v>42233</v>
      </c>
      <c r="B367" s="9">
        <v>9.7949999999999999</v>
      </c>
      <c r="E367" s="51"/>
      <c r="F367" s="51"/>
      <c r="G367" s="51"/>
      <c r="H367" s="51"/>
      <c r="I367" s="51"/>
      <c r="J367" s="53"/>
      <c r="K367" s="53"/>
      <c r="L367" s="53"/>
      <c r="M367" s="53"/>
      <c r="N367" s="53"/>
      <c r="O367" s="139"/>
      <c r="P367" s="50"/>
      <c r="Q367" s="57"/>
      <c r="R367" s="12">
        <v>42242</v>
      </c>
      <c r="S367" s="11">
        <v>8.8650000000000002</v>
      </c>
      <c r="T367" s="148">
        <v>1.1329073482428116</v>
      </c>
      <c r="U367" s="148">
        <f t="shared" si="21"/>
        <v>8.1151054582100723</v>
      </c>
      <c r="V367" s="278">
        <f t="shared" si="22"/>
        <v>2.8280542986425239E-3</v>
      </c>
      <c r="W367" s="278">
        <f t="shared" si="23"/>
        <v>2.5852444199866379E-3</v>
      </c>
    </row>
    <row r="368" spans="1:23" x14ac:dyDescent="0.2">
      <c r="A368" s="8">
        <v>42234</v>
      </c>
      <c r="B368" s="9">
        <v>9.8550000000000004</v>
      </c>
      <c r="E368" s="51"/>
      <c r="F368" s="51"/>
      <c r="G368" s="51"/>
      <c r="H368" s="51"/>
      <c r="I368" s="51"/>
      <c r="J368" s="53"/>
      <c r="K368" s="53"/>
      <c r="L368" s="53"/>
      <c r="M368" s="53"/>
      <c r="N368" s="53"/>
      <c r="O368" s="139"/>
      <c r="P368" s="50"/>
      <c r="Q368" s="57"/>
      <c r="R368" s="12">
        <v>42243</v>
      </c>
      <c r="S368" s="11">
        <v>9.1199999999999992</v>
      </c>
      <c r="T368" s="148">
        <v>1.1654952076677314</v>
      </c>
      <c r="U368" s="148">
        <f t="shared" si="21"/>
        <v>8.3465644598624618</v>
      </c>
      <c r="V368" s="278">
        <f t="shared" si="22"/>
        <v>2.8764805414551509E-2</v>
      </c>
      <c r="W368" s="278">
        <f t="shared" si="23"/>
        <v>2.8521995535895624E-2</v>
      </c>
    </row>
    <row r="369" spans="1:23" x14ac:dyDescent="0.2">
      <c r="A369" s="8">
        <v>42235</v>
      </c>
      <c r="B369" s="9">
        <v>9.6750000000000007</v>
      </c>
      <c r="E369" s="51"/>
      <c r="F369" s="51"/>
      <c r="G369" s="51"/>
      <c r="H369" s="51"/>
      <c r="I369" s="51"/>
      <c r="J369" s="53"/>
      <c r="K369" s="53"/>
      <c r="L369" s="53"/>
      <c r="M369" s="53"/>
      <c r="N369" s="53"/>
      <c r="O369" s="139"/>
      <c r="P369" s="50"/>
      <c r="Q369" s="57"/>
      <c r="R369" s="12">
        <v>42244</v>
      </c>
      <c r="S369" s="11">
        <v>9.0250000000000004</v>
      </c>
      <c r="T369" s="148">
        <v>1.1533546325878594</v>
      </c>
      <c r="U369" s="148">
        <f t="shared" si="21"/>
        <v>8.2575944517685365</v>
      </c>
      <c r="V369" s="278">
        <f t="shared" si="22"/>
        <v>-1.0416666666666519E-2</v>
      </c>
      <c r="W369" s="278">
        <f t="shared" si="23"/>
        <v>-1.0659476545322405E-2</v>
      </c>
    </row>
    <row r="370" spans="1:23" x14ac:dyDescent="0.2">
      <c r="A370" s="8">
        <v>42236</v>
      </c>
      <c r="B370" s="9">
        <v>9.4550000000000001</v>
      </c>
      <c r="E370" s="51"/>
      <c r="F370" s="51"/>
      <c r="G370" s="51"/>
      <c r="H370" s="51"/>
      <c r="I370" s="51"/>
      <c r="J370" s="53"/>
      <c r="K370" s="53"/>
      <c r="L370" s="53"/>
      <c r="M370" s="53"/>
      <c r="N370" s="53"/>
      <c r="O370" s="139"/>
      <c r="P370" s="50"/>
      <c r="Q370" s="57"/>
      <c r="R370" s="12">
        <v>42247</v>
      </c>
      <c r="S370" s="11">
        <v>8.9499999999999993</v>
      </c>
      <c r="T370" s="148">
        <v>1.1437699680511182</v>
      </c>
      <c r="U370" s="148">
        <f t="shared" si="21"/>
        <v>8.1869667576874576</v>
      </c>
      <c r="V370" s="278">
        <f t="shared" si="22"/>
        <v>-8.3102493074793671E-3</v>
      </c>
      <c r="W370" s="278">
        <f t="shared" si="23"/>
        <v>-8.5530591861352531E-3</v>
      </c>
    </row>
    <row r="371" spans="1:23" x14ac:dyDescent="0.2">
      <c r="A371" s="8">
        <v>42237</v>
      </c>
      <c r="B371" s="9">
        <v>9.0150000000000006</v>
      </c>
      <c r="E371" s="51"/>
      <c r="F371" s="51"/>
      <c r="G371" s="51"/>
      <c r="H371" s="51"/>
      <c r="I371" s="51"/>
      <c r="J371" s="53"/>
      <c r="K371" s="53"/>
      <c r="L371" s="53"/>
      <c r="M371" s="53"/>
      <c r="N371" s="53"/>
      <c r="O371" s="139"/>
      <c r="P371" s="50"/>
      <c r="Q371" s="57"/>
      <c r="R371" s="12">
        <v>42248</v>
      </c>
      <c r="S371" s="11">
        <v>8.7249999999999996</v>
      </c>
      <c r="T371" s="148">
        <v>1.1150159744408945</v>
      </c>
      <c r="U371" s="148">
        <f t="shared" si="21"/>
        <v>7.9791612812288681</v>
      </c>
      <c r="V371" s="278">
        <f t="shared" si="22"/>
        <v>-2.5139664804469275E-2</v>
      </c>
      <c r="W371" s="278">
        <f t="shared" si="23"/>
        <v>-2.5382474683125159E-2</v>
      </c>
    </row>
    <row r="372" spans="1:23" x14ac:dyDescent="0.2">
      <c r="A372" s="8">
        <v>42240</v>
      </c>
      <c r="B372" s="9">
        <v>8.4949999999999992</v>
      </c>
      <c r="E372" s="51"/>
      <c r="F372" s="51"/>
      <c r="G372" s="51"/>
      <c r="H372" s="51"/>
      <c r="I372" s="51"/>
      <c r="J372" s="53"/>
      <c r="K372" s="53"/>
      <c r="L372" s="53"/>
      <c r="M372" s="53"/>
      <c r="N372" s="53"/>
      <c r="O372" s="139"/>
      <c r="P372" s="50"/>
      <c r="Q372" s="57"/>
      <c r="R372" s="12">
        <v>42249</v>
      </c>
      <c r="S372" s="11">
        <v>8.81</v>
      </c>
      <c r="T372" s="148">
        <v>1.1258785942492013</v>
      </c>
      <c r="U372" s="148">
        <f t="shared" si="21"/>
        <v>8.0549578114910343</v>
      </c>
      <c r="V372" s="278">
        <f t="shared" si="22"/>
        <v>9.7421203438396997E-3</v>
      </c>
      <c r="W372" s="278">
        <f t="shared" si="23"/>
        <v>9.4993104651838137E-3</v>
      </c>
    </row>
    <row r="373" spans="1:23" x14ac:dyDescent="0.2">
      <c r="A373" s="8">
        <v>42241</v>
      </c>
      <c r="B373" s="9">
        <v>8.84</v>
      </c>
      <c r="E373" s="51"/>
      <c r="F373" s="51"/>
      <c r="G373" s="51"/>
      <c r="H373" s="51"/>
      <c r="I373" s="51"/>
      <c r="J373" s="53"/>
      <c r="K373" s="53"/>
      <c r="L373" s="53"/>
      <c r="M373" s="53"/>
      <c r="N373" s="53"/>
      <c r="O373" s="139"/>
      <c r="P373" s="50"/>
      <c r="Q373" s="57"/>
      <c r="R373" s="12">
        <v>42250</v>
      </c>
      <c r="S373" s="11">
        <v>9.0749999999999993</v>
      </c>
      <c r="T373" s="148">
        <v>1.1597444089456868</v>
      </c>
      <c r="U373" s="148">
        <f t="shared" si="21"/>
        <v>8.29529073050562</v>
      </c>
      <c r="V373" s="278">
        <f t="shared" si="22"/>
        <v>3.0079455164585545E-2</v>
      </c>
      <c r="W373" s="278">
        <f t="shared" si="23"/>
        <v>2.983664528592966E-2</v>
      </c>
    </row>
    <row r="374" spans="1:23" x14ac:dyDescent="0.2">
      <c r="A374" s="8">
        <v>42242</v>
      </c>
      <c r="B374" s="9">
        <v>8.8650000000000002</v>
      </c>
      <c r="E374" s="51"/>
      <c r="F374" s="51"/>
      <c r="G374" s="51"/>
      <c r="H374" s="51"/>
      <c r="I374" s="51"/>
      <c r="J374" s="53"/>
      <c r="K374" s="53"/>
      <c r="L374" s="53"/>
      <c r="M374" s="53"/>
      <c r="N374" s="53"/>
      <c r="O374" s="139"/>
      <c r="P374" s="50"/>
      <c r="Q374" s="57"/>
      <c r="R374" s="12">
        <v>42251</v>
      </c>
      <c r="S374" s="11">
        <v>8.7149999999999999</v>
      </c>
      <c r="T374" s="148">
        <v>1.1137380191693291</v>
      </c>
      <c r="U374" s="148">
        <f t="shared" si="21"/>
        <v>7.9642071676192954</v>
      </c>
      <c r="V374" s="278">
        <f t="shared" si="22"/>
        <v>-3.9669421487603218E-2</v>
      </c>
      <c r="W374" s="278">
        <f t="shared" si="23"/>
        <v>-3.9912231366259106E-2</v>
      </c>
    </row>
    <row r="375" spans="1:23" x14ac:dyDescent="0.2">
      <c r="A375" s="8">
        <v>42243</v>
      </c>
      <c r="B375" s="9">
        <v>9.1199999999999992</v>
      </c>
      <c r="E375" s="51"/>
      <c r="F375" s="51"/>
      <c r="G375" s="51"/>
      <c r="H375" s="51"/>
      <c r="I375" s="51"/>
      <c r="J375" s="53"/>
      <c r="K375" s="53"/>
      <c r="L375" s="53"/>
      <c r="M375" s="53"/>
      <c r="N375" s="53"/>
      <c r="O375" s="139"/>
      <c r="P375" s="50"/>
      <c r="Q375" s="57"/>
      <c r="R375" s="12">
        <v>42254</v>
      </c>
      <c r="S375" s="11">
        <v>8.7050000000000001</v>
      </c>
      <c r="T375" s="148">
        <v>1.1124600638977635</v>
      </c>
      <c r="U375" s="148">
        <f t="shared" si="21"/>
        <v>7.953134874374352</v>
      </c>
      <c r="V375" s="278">
        <f t="shared" si="22"/>
        <v>-1.1474469305794432E-3</v>
      </c>
      <c r="W375" s="278">
        <f t="shared" si="23"/>
        <v>-1.390256809235329E-3</v>
      </c>
    </row>
    <row r="376" spans="1:23" x14ac:dyDescent="0.2">
      <c r="A376" s="8">
        <v>42244</v>
      </c>
      <c r="B376" s="9">
        <v>9.0250000000000004</v>
      </c>
      <c r="E376" s="51"/>
      <c r="F376" s="51"/>
      <c r="G376" s="51"/>
      <c r="H376" s="51"/>
      <c r="I376" s="51"/>
      <c r="J376" s="53"/>
      <c r="K376" s="53"/>
      <c r="L376" s="53"/>
      <c r="M376" s="53"/>
      <c r="N376" s="53"/>
      <c r="O376" s="139"/>
      <c r="P376" s="50"/>
      <c r="Q376" s="57"/>
      <c r="R376" s="12">
        <v>42255</v>
      </c>
      <c r="S376" s="11">
        <v>8.9350000000000005</v>
      </c>
      <c r="T376" s="148">
        <v>1.1418530351437699</v>
      </c>
      <c r="U376" s="148">
        <f t="shared" si="21"/>
        <v>8.161338297475746</v>
      </c>
      <c r="V376" s="278">
        <f t="shared" si="22"/>
        <v>2.642159678345779E-2</v>
      </c>
      <c r="W376" s="278">
        <f t="shared" si="23"/>
        <v>2.6178786904801906E-2</v>
      </c>
    </row>
    <row r="377" spans="1:23" x14ac:dyDescent="0.2">
      <c r="A377" s="8">
        <v>42247</v>
      </c>
      <c r="B377" s="9">
        <v>8.9499999999999993</v>
      </c>
      <c r="E377" s="51"/>
      <c r="F377" s="51"/>
      <c r="G377" s="51"/>
      <c r="H377" s="51"/>
      <c r="I377" s="51"/>
      <c r="J377" s="53"/>
      <c r="K377" s="53"/>
      <c r="L377" s="53"/>
      <c r="M377" s="53"/>
      <c r="N377" s="53"/>
      <c r="O377" s="139"/>
      <c r="P377" s="50"/>
      <c r="Q377" s="57"/>
      <c r="R377" s="12">
        <v>42256</v>
      </c>
      <c r="S377" s="11">
        <v>8.9649999999999999</v>
      </c>
      <c r="T377" s="148">
        <v>1.1456869009584665</v>
      </c>
      <c r="U377" s="148">
        <f t="shared" si="21"/>
        <v>8.1867590108893609</v>
      </c>
      <c r="V377" s="278">
        <f t="shared" si="22"/>
        <v>3.3575825405707249E-3</v>
      </c>
      <c r="W377" s="278">
        <f t="shared" si="23"/>
        <v>3.1147726619148389E-3</v>
      </c>
    </row>
    <row r="378" spans="1:23" x14ac:dyDescent="0.2">
      <c r="A378" s="8">
        <v>42248</v>
      </c>
      <c r="B378" s="9">
        <v>8.7249999999999996</v>
      </c>
      <c r="E378" s="51"/>
      <c r="F378" s="51"/>
      <c r="G378" s="51"/>
      <c r="H378" s="51"/>
      <c r="I378" s="51"/>
      <c r="J378" s="53"/>
      <c r="K378" s="53"/>
      <c r="L378" s="53"/>
      <c r="M378" s="53"/>
      <c r="N378" s="53"/>
      <c r="O378" s="139"/>
      <c r="P378" s="50"/>
      <c r="Q378" s="57"/>
      <c r="R378" s="12">
        <v>42257</v>
      </c>
      <c r="S378" s="11">
        <v>8.98</v>
      </c>
      <c r="T378" s="148">
        <v>1.1476038338658148</v>
      </c>
      <c r="U378" s="148">
        <f t="shared" si="21"/>
        <v>8.1984690527648585</v>
      </c>
      <c r="V378" s="278">
        <f t="shared" si="22"/>
        <v>1.6731734523145469E-3</v>
      </c>
      <c r="W378" s="278">
        <f t="shared" si="23"/>
        <v>1.4303635736586612E-3</v>
      </c>
    </row>
    <row r="379" spans="1:23" x14ac:dyDescent="0.2">
      <c r="A379" s="8">
        <v>42249</v>
      </c>
      <c r="B379" s="9">
        <v>8.81</v>
      </c>
      <c r="E379" s="51"/>
      <c r="F379" s="51"/>
      <c r="G379" s="51"/>
      <c r="H379" s="51"/>
      <c r="I379" s="51"/>
      <c r="J379" s="53"/>
      <c r="K379" s="53"/>
      <c r="L379" s="53"/>
      <c r="M379" s="53"/>
      <c r="N379" s="53"/>
      <c r="O379" s="139"/>
      <c r="P379" s="50"/>
      <c r="Q379" s="57"/>
      <c r="R379" s="12">
        <v>42258</v>
      </c>
      <c r="S379" s="11">
        <v>8.8699999999999992</v>
      </c>
      <c r="T379" s="148">
        <v>1.1335463258785941</v>
      </c>
      <c r="U379" s="148">
        <f t="shared" si="21"/>
        <v>8.0960517024417609</v>
      </c>
      <c r="V379" s="278">
        <f t="shared" si="22"/>
        <v>-1.2249443207127064E-2</v>
      </c>
      <c r="W379" s="278">
        <f t="shared" si="23"/>
        <v>-1.249225308578295E-2</v>
      </c>
    </row>
    <row r="380" spans="1:23" x14ac:dyDescent="0.2">
      <c r="A380" s="8">
        <v>42250</v>
      </c>
      <c r="B380" s="9">
        <v>9.0749999999999993</v>
      </c>
      <c r="E380" s="51"/>
      <c r="F380" s="51"/>
      <c r="G380" s="51"/>
      <c r="H380" s="51"/>
      <c r="I380" s="51"/>
      <c r="J380" s="53"/>
      <c r="K380" s="53"/>
      <c r="L380" s="53"/>
      <c r="M380" s="53"/>
      <c r="N380" s="53"/>
      <c r="O380" s="139"/>
      <c r="P380" s="50"/>
      <c r="Q380" s="57"/>
      <c r="R380" s="12">
        <v>42261</v>
      </c>
      <c r="S380" s="11">
        <v>8.7850000000000001</v>
      </c>
      <c r="T380" s="148">
        <v>1.1226837060702874</v>
      </c>
      <c r="U380" s="148">
        <f t="shared" si="21"/>
        <v>8.0165025420677356</v>
      </c>
      <c r="V380" s="278">
        <f t="shared" si="22"/>
        <v>-9.5828635851182842E-3</v>
      </c>
      <c r="W380" s="278">
        <f t="shared" si="23"/>
        <v>-9.8256734637741702E-3</v>
      </c>
    </row>
    <row r="381" spans="1:23" x14ac:dyDescent="0.2">
      <c r="A381" s="8">
        <v>42251</v>
      </c>
      <c r="B381" s="9">
        <v>8.7149999999999999</v>
      </c>
      <c r="E381" s="51"/>
      <c r="F381" s="51"/>
      <c r="G381" s="51"/>
      <c r="H381" s="51"/>
      <c r="I381" s="51"/>
      <c r="J381" s="53"/>
      <c r="K381" s="53"/>
      <c r="L381" s="53"/>
      <c r="M381" s="53"/>
      <c r="N381" s="53"/>
      <c r="O381" s="139"/>
      <c r="P381" s="50"/>
      <c r="Q381" s="57"/>
      <c r="R381" s="12">
        <v>42262</v>
      </c>
      <c r="S381" s="11">
        <v>8.9049999999999994</v>
      </c>
      <c r="T381" s="148">
        <v>1.1380191693290733</v>
      </c>
      <c r="U381" s="148">
        <f t="shared" si="21"/>
        <v>8.1240586519658358</v>
      </c>
      <c r="V381" s="278">
        <f t="shared" si="22"/>
        <v>1.3659647125782604E-2</v>
      </c>
      <c r="W381" s="278">
        <f t="shared" si="23"/>
        <v>1.3416837247126718E-2</v>
      </c>
    </row>
    <row r="382" spans="1:23" x14ac:dyDescent="0.2">
      <c r="A382" s="8">
        <v>42254</v>
      </c>
      <c r="B382" s="9">
        <v>8.7050000000000001</v>
      </c>
      <c r="E382" s="51"/>
      <c r="F382" s="51"/>
      <c r="G382" s="51"/>
      <c r="H382" s="51"/>
      <c r="I382" s="51"/>
      <c r="J382" s="53"/>
      <c r="K382" s="53"/>
      <c r="L382" s="53"/>
      <c r="M382" s="53"/>
      <c r="N382" s="53"/>
      <c r="O382" s="139"/>
      <c r="P382" s="50"/>
      <c r="Q382" s="57"/>
      <c r="R382" s="12">
        <v>42263</v>
      </c>
      <c r="S382" s="11">
        <v>8.9649999999999999</v>
      </c>
      <c r="T382" s="148">
        <v>1.1456869009584665</v>
      </c>
      <c r="U382" s="148">
        <f t="shared" si="21"/>
        <v>8.1768242332145427</v>
      </c>
      <c r="V382" s="278">
        <f t="shared" si="22"/>
        <v>6.7377877596856983E-3</v>
      </c>
      <c r="W382" s="278">
        <f t="shared" si="23"/>
        <v>6.4949778810298123E-3</v>
      </c>
    </row>
    <row r="383" spans="1:23" x14ac:dyDescent="0.2">
      <c r="A383" s="8">
        <v>42255</v>
      </c>
      <c r="B383" s="9">
        <v>8.9350000000000005</v>
      </c>
      <c r="E383" s="51"/>
      <c r="F383" s="51"/>
      <c r="G383" s="51"/>
      <c r="H383" s="51"/>
      <c r="I383" s="51"/>
      <c r="J383" s="53"/>
      <c r="K383" s="53"/>
      <c r="L383" s="53"/>
      <c r="M383" s="53"/>
      <c r="N383" s="53"/>
      <c r="O383" s="139"/>
      <c r="P383" s="50"/>
      <c r="Q383" s="57"/>
      <c r="R383" s="12">
        <v>42264</v>
      </c>
      <c r="S383" s="11">
        <v>9.0350000000000001</v>
      </c>
      <c r="T383" s="148">
        <v>1.154632587859425</v>
      </c>
      <c r="U383" s="148">
        <f t="shared" si="21"/>
        <v>8.2386846305938821</v>
      </c>
      <c r="V383" s="278">
        <f t="shared" si="22"/>
        <v>7.8081427774678858E-3</v>
      </c>
      <c r="W383" s="278">
        <f t="shared" si="23"/>
        <v>7.5653328988119998E-3</v>
      </c>
    </row>
    <row r="384" spans="1:23" x14ac:dyDescent="0.2">
      <c r="A384" s="8">
        <v>42256</v>
      </c>
      <c r="B384" s="9">
        <v>8.9649999999999999</v>
      </c>
      <c r="E384" s="51"/>
      <c r="F384" s="51"/>
      <c r="G384" s="51"/>
      <c r="H384" s="51"/>
      <c r="I384" s="51"/>
      <c r="J384" s="53"/>
      <c r="K384" s="53"/>
      <c r="L384" s="53"/>
      <c r="M384" s="53"/>
      <c r="N384" s="53"/>
      <c r="O384" s="139"/>
      <c r="P384" s="50"/>
      <c r="Q384" s="57"/>
      <c r="R384" s="12">
        <v>42265</v>
      </c>
      <c r="S384" s="11">
        <v>8.83</v>
      </c>
      <c r="T384" s="148">
        <v>1.1284345047923323</v>
      </c>
      <c r="U384" s="148">
        <f t="shared" si="21"/>
        <v>8.0497522265428323</v>
      </c>
      <c r="V384" s="278">
        <f t="shared" si="22"/>
        <v>-2.2689540675152164E-2</v>
      </c>
      <c r="W384" s="278">
        <f t="shared" si="23"/>
        <v>-2.2932350553808049E-2</v>
      </c>
    </row>
    <row r="385" spans="1:23" x14ac:dyDescent="0.2">
      <c r="A385" s="8">
        <v>42257</v>
      </c>
      <c r="B385" s="9">
        <v>8.98</v>
      </c>
      <c r="E385" s="51"/>
      <c r="F385" s="51"/>
      <c r="G385" s="51"/>
      <c r="H385" s="51"/>
      <c r="I385" s="51"/>
      <c r="J385" s="53"/>
      <c r="K385" s="53"/>
      <c r="L385" s="53"/>
      <c r="M385" s="53"/>
      <c r="N385" s="53"/>
      <c r="O385" s="139"/>
      <c r="P385" s="50"/>
      <c r="Q385" s="57"/>
      <c r="R385" s="12">
        <v>42268</v>
      </c>
      <c r="S385" s="11">
        <v>8.9550000000000001</v>
      </c>
      <c r="T385" s="148">
        <v>1.1444089456869009</v>
      </c>
      <c r="U385" s="148">
        <f t="shared" si="21"/>
        <v>8.1617522570249665</v>
      </c>
      <c r="V385" s="278">
        <f t="shared" si="22"/>
        <v>1.4156285390713563E-2</v>
      </c>
      <c r="W385" s="278">
        <f t="shared" si="23"/>
        <v>1.3913475512057677E-2</v>
      </c>
    </row>
    <row r="386" spans="1:23" x14ac:dyDescent="0.2">
      <c r="A386" s="8">
        <v>42258</v>
      </c>
      <c r="B386" s="9">
        <v>8.8699999999999992</v>
      </c>
      <c r="E386" s="51"/>
      <c r="F386" s="51"/>
      <c r="G386" s="51"/>
      <c r="H386" s="51"/>
      <c r="I386" s="51"/>
      <c r="J386" s="53"/>
      <c r="K386" s="53"/>
      <c r="L386" s="53"/>
      <c r="M386" s="53"/>
      <c r="N386" s="53"/>
      <c r="O386" s="139"/>
      <c r="P386" s="50"/>
      <c r="Q386" s="57"/>
      <c r="R386" s="12">
        <v>42269</v>
      </c>
      <c r="S386" s="11">
        <v>8.6199999999999992</v>
      </c>
      <c r="T386" s="148">
        <v>1.1015974440894567</v>
      </c>
      <c r="U386" s="148">
        <f t="shared" si="21"/>
        <v>7.8544453208053886</v>
      </c>
      <c r="V386" s="278">
        <f t="shared" si="22"/>
        <v>-3.740926856504756E-2</v>
      </c>
      <c r="W386" s="278">
        <f t="shared" si="23"/>
        <v>-3.7652078443703448E-2</v>
      </c>
    </row>
    <row r="387" spans="1:23" x14ac:dyDescent="0.2">
      <c r="A387" s="8">
        <v>42261</v>
      </c>
      <c r="B387" s="9">
        <v>8.7850000000000001</v>
      </c>
      <c r="E387" s="51"/>
      <c r="F387" s="51"/>
      <c r="G387" s="51"/>
      <c r="H387" s="51"/>
      <c r="I387" s="51"/>
      <c r="J387" s="53"/>
      <c r="K387" s="53"/>
      <c r="L387" s="53"/>
      <c r="M387" s="53"/>
      <c r="N387" s="53"/>
      <c r="O387" s="139"/>
      <c r="P387" s="50"/>
      <c r="Q387" s="57"/>
      <c r="R387" s="12">
        <v>42270</v>
      </c>
      <c r="S387" s="11">
        <v>8.52</v>
      </c>
      <c r="T387" s="148">
        <v>1.0888178913738018</v>
      </c>
      <c r="U387" s="148">
        <f t="shared" si="21"/>
        <v>7.7614193286603737</v>
      </c>
      <c r="V387" s="278">
        <f t="shared" si="22"/>
        <v>-1.1600928074245953E-2</v>
      </c>
      <c r="W387" s="278">
        <f t="shared" si="23"/>
        <v>-1.1843737952901839E-2</v>
      </c>
    </row>
    <row r="388" spans="1:23" x14ac:dyDescent="0.2">
      <c r="A388" s="8">
        <v>42262</v>
      </c>
      <c r="B388" s="9">
        <v>8.9049999999999994</v>
      </c>
      <c r="E388" s="51"/>
      <c r="F388" s="51"/>
      <c r="G388" s="51"/>
      <c r="H388" s="51"/>
      <c r="I388" s="51"/>
      <c r="J388" s="53"/>
      <c r="K388" s="53"/>
      <c r="L388" s="53"/>
      <c r="M388" s="53"/>
      <c r="N388" s="53"/>
      <c r="O388" s="139"/>
      <c r="P388" s="50"/>
      <c r="Q388" s="57"/>
      <c r="R388" s="12">
        <v>42271</v>
      </c>
      <c r="S388" s="11">
        <v>8.5299999999999994</v>
      </c>
      <c r="T388" s="148">
        <v>1.0900958466453674</v>
      </c>
      <c r="U388" s="148">
        <f t="shared" si="21"/>
        <v>7.7686444264743493</v>
      </c>
      <c r="V388" s="278">
        <f t="shared" si="22"/>
        <v>1.1737089201877549E-3</v>
      </c>
      <c r="W388" s="278">
        <f t="shared" si="23"/>
        <v>9.308990415318692E-4</v>
      </c>
    </row>
    <row r="389" spans="1:23" x14ac:dyDescent="0.2">
      <c r="A389" s="8">
        <v>42263</v>
      </c>
      <c r="B389" s="9">
        <v>8.9649999999999999</v>
      </c>
      <c r="E389" s="51"/>
      <c r="F389" s="51"/>
      <c r="G389" s="51"/>
      <c r="H389" s="51"/>
      <c r="I389" s="51"/>
      <c r="J389" s="53"/>
      <c r="K389" s="53"/>
      <c r="L389" s="53"/>
      <c r="M389" s="53"/>
      <c r="N389" s="53"/>
      <c r="O389" s="139"/>
      <c r="P389" s="50"/>
      <c r="Q389" s="57"/>
      <c r="R389" s="12">
        <v>42272</v>
      </c>
      <c r="S389" s="11">
        <v>8.8249999999999993</v>
      </c>
      <c r="T389" s="148">
        <v>1.1277955271565494</v>
      </c>
      <c r="U389" s="148">
        <f t="shared" si="21"/>
        <v>8.0354275373784816</v>
      </c>
      <c r="V389" s="278">
        <f t="shared" si="22"/>
        <v>3.4583821805392656E-2</v>
      </c>
      <c r="W389" s="278">
        <f t="shared" si="23"/>
        <v>3.4341011926736768E-2</v>
      </c>
    </row>
    <row r="390" spans="1:23" x14ac:dyDescent="0.2">
      <c r="A390" s="8">
        <v>42264</v>
      </c>
      <c r="B390" s="9">
        <v>9.0350000000000001</v>
      </c>
      <c r="E390" s="51"/>
      <c r="F390" s="51"/>
      <c r="G390" s="51"/>
      <c r="H390" s="51"/>
      <c r="I390" s="51"/>
      <c r="J390" s="53"/>
      <c r="K390" s="53"/>
      <c r="L390" s="53"/>
      <c r="M390" s="53"/>
      <c r="N390" s="53"/>
      <c r="O390" s="139"/>
      <c r="P390" s="50"/>
      <c r="Q390" s="57"/>
      <c r="R390" s="12">
        <v>42275</v>
      </c>
      <c r="S390" s="11">
        <v>8.7799999999999994</v>
      </c>
      <c r="T390" s="148">
        <v>1.1220447284345048</v>
      </c>
      <c r="U390" s="148">
        <f t="shared" si="21"/>
        <v>7.9925026047277967</v>
      </c>
      <c r="V390" s="278">
        <f t="shared" si="22"/>
        <v>-5.0991501416430829E-3</v>
      </c>
      <c r="W390" s="278">
        <f t="shared" si="23"/>
        <v>-5.3419600202989689E-3</v>
      </c>
    </row>
    <row r="391" spans="1:23" x14ac:dyDescent="0.2">
      <c r="A391" s="8">
        <v>42265</v>
      </c>
      <c r="B391" s="9">
        <v>8.83</v>
      </c>
      <c r="E391" s="51"/>
      <c r="F391" s="51"/>
      <c r="G391" s="51"/>
      <c r="H391" s="51"/>
      <c r="I391" s="51"/>
      <c r="J391" s="53"/>
      <c r="K391" s="53"/>
      <c r="L391" s="53"/>
      <c r="M391" s="53"/>
      <c r="N391" s="53"/>
      <c r="O391" s="139"/>
      <c r="P391" s="50"/>
      <c r="Q391" s="57"/>
      <c r="R391" s="12">
        <v>42276</v>
      </c>
      <c r="S391" s="11">
        <v>8.66</v>
      </c>
      <c r="T391" s="148">
        <v>1.1067092651757189</v>
      </c>
      <c r="U391" s="148">
        <f t="shared" si="21"/>
        <v>7.8813250084901485</v>
      </c>
      <c r="V391" s="278">
        <f t="shared" si="22"/>
        <v>-1.3667425968109215E-2</v>
      </c>
      <c r="W391" s="278">
        <f t="shared" si="23"/>
        <v>-1.3910235846765101E-2</v>
      </c>
    </row>
    <row r="392" spans="1:23" x14ac:dyDescent="0.2">
      <c r="A392" s="8">
        <v>42268</v>
      </c>
      <c r="B392" s="9">
        <v>8.9550000000000001</v>
      </c>
      <c r="E392" s="51"/>
      <c r="F392" s="51"/>
      <c r="G392" s="51"/>
      <c r="H392" s="51"/>
      <c r="I392" s="51"/>
      <c r="J392" s="53"/>
      <c r="K392" s="53"/>
      <c r="L392" s="53"/>
      <c r="M392" s="53"/>
      <c r="N392" s="53"/>
      <c r="O392" s="139"/>
      <c r="P392" s="50"/>
      <c r="Q392" s="57"/>
      <c r="R392" s="12">
        <v>42277</v>
      </c>
      <c r="S392" s="11">
        <v>8.7899999999999991</v>
      </c>
      <c r="T392" s="148">
        <v>1.1233226837060701</v>
      </c>
      <c r="U392" s="148">
        <f t="shared" si="21"/>
        <v>7.9977222284204625</v>
      </c>
      <c r="V392" s="278">
        <f t="shared" si="22"/>
        <v>1.5011547344110809E-2</v>
      </c>
      <c r="W392" s="278">
        <f t="shared" si="23"/>
        <v>1.4768737465454923E-2</v>
      </c>
    </row>
    <row r="393" spans="1:23" x14ac:dyDescent="0.2">
      <c r="A393" s="8">
        <v>42269</v>
      </c>
      <c r="B393" s="9">
        <v>8.6199999999999992</v>
      </c>
      <c r="E393" s="51"/>
      <c r="F393" s="51"/>
      <c r="G393" s="51"/>
      <c r="H393" s="51"/>
      <c r="I393" s="51"/>
      <c r="J393" s="53"/>
      <c r="K393" s="53"/>
      <c r="L393" s="53"/>
      <c r="M393" s="53"/>
      <c r="N393" s="53"/>
      <c r="O393" s="139"/>
      <c r="P393" s="50"/>
      <c r="Q393" s="57"/>
      <c r="R393" s="12">
        <v>42278</v>
      </c>
      <c r="S393" s="11">
        <v>8.7949999999999999</v>
      </c>
      <c r="T393" s="148">
        <v>1.123961661341853</v>
      </c>
      <c r="U393" s="148">
        <f t="shared" si="21"/>
        <v>8.0003296325069524</v>
      </c>
      <c r="V393" s="278">
        <f t="shared" si="22"/>
        <v>5.6882821387960192E-4</v>
      </c>
      <c r="W393" s="278">
        <f t="shared" si="23"/>
        <v>3.2601833522371627E-4</v>
      </c>
    </row>
    <row r="394" spans="1:23" x14ac:dyDescent="0.2">
      <c r="A394" s="8">
        <v>42270</v>
      </c>
      <c r="B394" s="9">
        <v>8.52</v>
      </c>
      <c r="E394" s="51"/>
      <c r="F394" s="51"/>
      <c r="G394" s="51"/>
      <c r="H394" s="51"/>
      <c r="I394" s="51"/>
      <c r="J394" s="53"/>
      <c r="K394" s="53"/>
      <c r="L394" s="53"/>
      <c r="M394" s="53"/>
      <c r="N394" s="53"/>
      <c r="O394" s="139"/>
      <c r="P394" s="50"/>
      <c r="Q394" s="57"/>
      <c r="R394" s="12">
        <v>42279</v>
      </c>
      <c r="S394" s="11">
        <v>8.9149999999999991</v>
      </c>
      <c r="T394" s="148">
        <v>1.1392971246006389</v>
      </c>
      <c r="U394" s="148">
        <f t="shared" si="21"/>
        <v>8.1075444987837137</v>
      </c>
      <c r="V394" s="278">
        <f t="shared" si="22"/>
        <v>1.3644115974985604E-2</v>
      </c>
      <c r="W394" s="278">
        <f t="shared" si="23"/>
        <v>1.3401306096329718E-2</v>
      </c>
    </row>
    <row r="395" spans="1:23" x14ac:dyDescent="0.2">
      <c r="A395" s="8">
        <v>42271</v>
      </c>
      <c r="B395" s="9">
        <v>8.5299999999999994</v>
      </c>
      <c r="E395" s="51"/>
      <c r="F395" s="51"/>
      <c r="G395" s="51"/>
      <c r="H395" s="51"/>
      <c r="I395" s="51"/>
      <c r="J395" s="53"/>
      <c r="K395" s="53"/>
      <c r="L395" s="53"/>
      <c r="M395" s="53"/>
      <c r="N395" s="53"/>
      <c r="O395" s="139"/>
      <c r="P395" s="50"/>
      <c r="Q395" s="57"/>
      <c r="R395" s="12">
        <v>42282</v>
      </c>
      <c r="S395" s="11">
        <v>9.25</v>
      </c>
      <c r="T395" s="148">
        <v>1.1821086261980831</v>
      </c>
      <c r="U395" s="148">
        <f t="shared" si="21"/>
        <v>8.4102340568701059</v>
      </c>
      <c r="V395" s="278">
        <f t="shared" si="22"/>
        <v>3.7577117218171807E-2</v>
      </c>
      <c r="W395" s="278">
        <f t="shared" si="23"/>
        <v>3.7334307339515919E-2</v>
      </c>
    </row>
    <row r="396" spans="1:23" x14ac:dyDescent="0.2">
      <c r="A396" s="8">
        <v>42272</v>
      </c>
      <c r="B396" s="9">
        <v>8.8249999999999993</v>
      </c>
      <c r="E396" s="51"/>
      <c r="F396" s="51"/>
      <c r="G396" s="51"/>
      <c r="H396" s="51"/>
      <c r="I396" s="51"/>
      <c r="J396" s="53"/>
      <c r="K396" s="53"/>
      <c r="L396" s="53"/>
      <c r="M396" s="53"/>
      <c r="N396" s="53"/>
      <c r="O396" s="139"/>
      <c r="P396" s="50"/>
      <c r="Q396" s="57"/>
      <c r="R396" s="12">
        <v>42283</v>
      </c>
      <c r="S396" s="11">
        <v>9.34</v>
      </c>
      <c r="T396" s="148">
        <v>1.1936102236421724</v>
      </c>
      <c r="U396" s="148">
        <f t="shared" si="21"/>
        <v>8.4900212732964029</v>
      </c>
      <c r="V396" s="278">
        <f t="shared" si="22"/>
        <v>9.7297297297296303E-3</v>
      </c>
      <c r="W396" s="278">
        <f t="shared" si="23"/>
        <v>9.4869198510737444E-3</v>
      </c>
    </row>
    <row r="397" spans="1:23" x14ac:dyDescent="0.2">
      <c r="A397" s="8">
        <v>42275</v>
      </c>
      <c r="B397" s="9">
        <v>8.7799999999999994</v>
      </c>
      <c r="E397" s="51"/>
      <c r="F397" s="51"/>
      <c r="G397" s="51"/>
      <c r="H397" s="51"/>
      <c r="I397" s="51"/>
      <c r="J397" s="53"/>
      <c r="K397" s="53"/>
      <c r="L397" s="53"/>
      <c r="M397" s="53"/>
      <c r="N397" s="53"/>
      <c r="O397" s="139"/>
      <c r="P397" s="50"/>
      <c r="Q397" s="57"/>
      <c r="R397" s="12">
        <v>42284</v>
      </c>
      <c r="S397" s="11">
        <v>9.1850000000000005</v>
      </c>
      <c r="T397" s="148">
        <v>1.1738019169329075</v>
      </c>
      <c r="U397" s="148">
        <f t="shared" si="21"/>
        <v>8.34706545494209</v>
      </c>
      <c r="V397" s="278">
        <f t="shared" si="22"/>
        <v>-1.6595289079229025E-2</v>
      </c>
      <c r="W397" s="278">
        <f t="shared" si="23"/>
        <v>-1.683809895788491E-2</v>
      </c>
    </row>
    <row r="398" spans="1:23" x14ac:dyDescent="0.2">
      <c r="A398" s="8">
        <v>42276</v>
      </c>
      <c r="B398" s="9">
        <v>8.66</v>
      </c>
      <c r="E398" s="51"/>
      <c r="F398" s="51"/>
      <c r="G398" s="51"/>
      <c r="H398" s="51"/>
      <c r="I398" s="51"/>
      <c r="J398" s="53"/>
      <c r="K398" s="53"/>
      <c r="L398" s="53"/>
      <c r="M398" s="53"/>
      <c r="N398" s="53"/>
      <c r="O398" s="139"/>
      <c r="P398" s="50"/>
      <c r="Q398" s="57"/>
      <c r="R398" s="12">
        <v>42285</v>
      </c>
      <c r="S398" s="11">
        <v>9.1199999999999992</v>
      </c>
      <c r="T398" s="148">
        <v>1.1654952076677314</v>
      </c>
      <c r="U398" s="148">
        <f t="shared" si="21"/>
        <v>8.2859685629590452</v>
      </c>
      <c r="V398" s="278">
        <f t="shared" si="22"/>
        <v>-7.0767555797497383E-3</v>
      </c>
      <c r="W398" s="278">
        <f t="shared" si="23"/>
        <v>-7.3195654584056243E-3</v>
      </c>
    </row>
    <row r="399" spans="1:23" x14ac:dyDescent="0.2">
      <c r="A399" s="8">
        <v>42277</v>
      </c>
      <c r="B399" s="9">
        <v>8.7899999999999991</v>
      </c>
      <c r="E399" s="51"/>
      <c r="F399" s="51"/>
      <c r="G399" s="51"/>
      <c r="H399" s="51"/>
      <c r="I399" s="51"/>
      <c r="J399" s="53"/>
      <c r="K399" s="53"/>
      <c r="L399" s="53"/>
      <c r="M399" s="53"/>
      <c r="N399" s="53"/>
      <c r="O399" s="139"/>
      <c r="P399" s="50"/>
      <c r="Q399" s="57"/>
      <c r="R399" s="12">
        <v>42286</v>
      </c>
      <c r="S399" s="11">
        <v>9.02</v>
      </c>
      <c r="T399" s="148">
        <v>1.1527156549520765</v>
      </c>
      <c r="U399" s="148">
        <f t="shared" si="21"/>
        <v>8.1931017294842281</v>
      </c>
      <c r="V399" s="278">
        <f t="shared" si="22"/>
        <v>-1.0964912280701733E-2</v>
      </c>
      <c r="W399" s="278">
        <f t="shared" si="23"/>
        <v>-1.1207722159357619E-2</v>
      </c>
    </row>
    <row r="400" spans="1:23" x14ac:dyDescent="0.2">
      <c r="A400" s="8">
        <v>42278</v>
      </c>
      <c r="B400" s="9">
        <v>8.7949999999999999</v>
      </c>
      <c r="E400" s="51"/>
      <c r="F400" s="51"/>
      <c r="G400" s="51"/>
      <c r="H400" s="51"/>
      <c r="I400" s="51"/>
      <c r="J400" s="53"/>
      <c r="K400" s="53"/>
      <c r="L400" s="53"/>
      <c r="M400" s="53"/>
      <c r="N400" s="53"/>
      <c r="O400" s="139"/>
      <c r="P400" s="50"/>
      <c r="Q400" s="57"/>
      <c r="R400" s="12">
        <v>42289</v>
      </c>
      <c r="S400" s="11">
        <v>8.8450000000000006</v>
      </c>
      <c r="T400" s="148">
        <v>1.1303514376996806</v>
      </c>
      <c r="U400" s="148">
        <f t="shared" si="21"/>
        <v>8.0321552899818744</v>
      </c>
      <c r="V400" s="278">
        <f t="shared" si="22"/>
        <v>-1.9401330376940029E-2</v>
      </c>
      <c r="W400" s="278">
        <f t="shared" si="23"/>
        <v>-1.9644140255595913E-2</v>
      </c>
    </row>
    <row r="401" spans="1:23" x14ac:dyDescent="0.2">
      <c r="A401" s="8">
        <v>42279</v>
      </c>
      <c r="B401" s="9">
        <v>8.9149999999999991</v>
      </c>
      <c r="E401" s="51"/>
      <c r="F401" s="51"/>
      <c r="G401" s="51"/>
      <c r="H401" s="51"/>
      <c r="I401" s="51"/>
      <c r="J401" s="53"/>
      <c r="K401" s="53"/>
      <c r="L401" s="53"/>
      <c r="M401" s="53"/>
      <c r="N401" s="53"/>
      <c r="O401" s="139"/>
      <c r="P401" s="50"/>
      <c r="Q401" s="57"/>
      <c r="R401" s="12">
        <v>42290</v>
      </c>
      <c r="S401" s="11">
        <v>8.92</v>
      </c>
      <c r="T401" s="148">
        <v>1.1399361022364216</v>
      </c>
      <c r="U401" s="148">
        <f t="shared" si="21"/>
        <v>8.098312594822783</v>
      </c>
      <c r="V401" s="278">
        <f t="shared" si="22"/>
        <v>8.4793668739400196E-3</v>
      </c>
      <c r="W401" s="278">
        <f t="shared" si="23"/>
        <v>8.2365569952841337E-3</v>
      </c>
    </row>
    <row r="402" spans="1:23" x14ac:dyDescent="0.2">
      <c r="A402" s="8">
        <v>42282</v>
      </c>
      <c r="B402" s="9">
        <v>9.25</v>
      </c>
      <c r="E402" s="51"/>
      <c r="F402" s="51"/>
      <c r="G402" s="51"/>
      <c r="H402" s="51"/>
      <c r="I402" s="51"/>
      <c r="J402" s="53"/>
      <c r="K402" s="53"/>
      <c r="L402" s="53"/>
      <c r="M402" s="53"/>
      <c r="N402" s="53"/>
      <c r="O402" s="139"/>
      <c r="P402" s="50"/>
      <c r="Q402" s="57"/>
      <c r="R402" s="12">
        <v>42291</v>
      </c>
      <c r="S402" s="11">
        <v>8.77</v>
      </c>
      <c r="T402" s="148">
        <v>1.1207667731629392</v>
      </c>
      <c r="U402" s="148">
        <f t="shared" si="21"/>
        <v>7.9601638578400769</v>
      </c>
      <c r="V402" s="278">
        <f t="shared" si="22"/>
        <v>-1.6816143497757841E-2</v>
      </c>
      <c r="W402" s="278">
        <f t="shared" si="23"/>
        <v>-1.7058953376413725E-2</v>
      </c>
    </row>
    <row r="403" spans="1:23" x14ac:dyDescent="0.2">
      <c r="A403" s="8">
        <v>42283</v>
      </c>
      <c r="B403" s="9">
        <v>9.34</v>
      </c>
      <c r="E403" s="51"/>
      <c r="F403" s="51"/>
      <c r="G403" s="51"/>
      <c r="H403" s="51"/>
      <c r="I403" s="51"/>
      <c r="J403" s="53"/>
      <c r="K403" s="53"/>
      <c r="L403" s="53"/>
      <c r="M403" s="53"/>
      <c r="N403" s="53"/>
      <c r="O403" s="139"/>
      <c r="P403" s="50"/>
      <c r="Q403" s="57"/>
      <c r="R403" s="12">
        <v>42292</v>
      </c>
      <c r="S403" s="11">
        <v>8.89</v>
      </c>
      <c r="T403" s="148">
        <v>1.1361022364217253</v>
      </c>
      <c r="U403" s="148">
        <f t="shared" si="21"/>
        <v>8.0671500551757518</v>
      </c>
      <c r="V403" s="278">
        <f t="shared" si="22"/>
        <v>1.3683010262257822E-2</v>
      </c>
      <c r="W403" s="278">
        <f t="shared" si="23"/>
        <v>1.3440200383601936E-2</v>
      </c>
    </row>
    <row r="404" spans="1:23" x14ac:dyDescent="0.2">
      <c r="A404" s="8">
        <v>42284</v>
      </c>
      <c r="B404" s="9">
        <v>9.1850000000000005</v>
      </c>
      <c r="E404" s="51"/>
      <c r="F404" s="51"/>
      <c r="G404" s="51"/>
      <c r="H404" s="51"/>
      <c r="I404" s="51"/>
      <c r="J404" s="53"/>
      <c r="K404" s="53"/>
      <c r="L404" s="53"/>
      <c r="M404" s="53"/>
      <c r="N404" s="53"/>
      <c r="O404" s="139"/>
      <c r="P404" s="50"/>
      <c r="Q404" s="57"/>
      <c r="R404" s="12">
        <v>42293</v>
      </c>
      <c r="S404" s="11">
        <v>8.99</v>
      </c>
      <c r="T404" s="148">
        <v>1.1488817891373801</v>
      </c>
      <c r="U404" s="148">
        <f t="shared" si="21"/>
        <v>8.1559353665585927</v>
      </c>
      <c r="V404" s="278">
        <f t="shared" si="22"/>
        <v>1.1248593925759165E-2</v>
      </c>
      <c r="W404" s="278">
        <f t="shared" si="23"/>
        <v>1.1005784047103279E-2</v>
      </c>
    </row>
    <row r="405" spans="1:23" x14ac:dyDescent="0.2">
      <c r="A405" s="8">
        <v>42285</v>
      </c>
      <c r="B405" s="9">
        <v>9.1199999999999992</v>
      </c>
      <c r="E405" s="51"/>
      <c r="F405" s="51"/>
      <c r="G405" s="51"/>
      <c r="H405" s="51"/>
      <c r="I405" s="51"/>
      <c r="J405" s="53"/>
      <c r="K405" s="53"/>
      <c r="L405" s="53"/>
      <c r="M405" s="53"/>
      <c r="N405" s="53"/>
      <c r="O405" s="139"/>
      <c r="P405" s="50"/>
      <c r="Q405" s="57"/>
      <c r="R405" s="12">
        <v>42296</v>
      </c>
      <c r="S405" s="11">
        <v>9.1999999999999993</v>
      </c>
      <c r="T405" s="148">
        <v>1.1757188498402555</v>
      </c>
      <c r="U405" s="148">
        <f t="shared" si="21"/>
        <v>8.3444718688170951</v>
      </c>
      <c r="V405" s="278">
        <f t="shared" si="22"/>
        <v>2.3359288097886344E-2</v>
      </c>
      <c r="W405" s="278">
        <f t="shared" si="23"/>
        <v>2.311647821923046E-2</v>
      </c>
    </row>
    <row r="406" spans="1:23" x14ac:dyDescent="0.2">
      <c r="A406" s="8">
        <v>42286</v>
      </c>
      <c r="B406" s="9">
        <v>9.02</v>
      </c>
      <c r="E406" s="51"/>
      <c r="F406" s="51"/>
      <c r="G406" s="51"/>
      <c r="H406" s="51"/>
      <c r="I406" s="51"/>
      <c r="J406" s="53"/>
      <c r="K406" s="53"/>
      <c r="L406" s="53"/>
      <c r="M406" s="53"/>
      <c r="N406" s="53"/>
      <c r="O406" s="139"/>
      <c r="P406" s="50"/>
      <c r="Q406" s="57"/>
      <c r="R406" s="12">
        <v>42297</v>
      </c>
      <c r="S406" s="11">
        <v>9.16</v>
      </c>
      <c r="T406" s="148">
        <v>1.1706070287539936</v>
      </c>
      <c r="U406" s="148">
        <f t="shared" si="21"/>
        <v>8.3061654361420629</v>
      </c>
      <c r="V406" s="278">
        <f t="shared" si="22"/>
        <v>-4.3478260869563856E-3</v>
      </c>
      <c r="W406" s="278">
        <f t="shared" si="23"/>
        <v>-4.5906359656122716E-3</v>
      </c>
    </row>
    <row r="407" spans="1:23" x14ac:dyDescent="0.2">
      <c r="A407" s="8">
        <v>42289</v>
      </c>
      <c r="B407" s="9">
        <v>8.8450000000000006</v>
      </c>
      <c r="E407" s="51"/>
      <c r="F407" s="51"/>
      <c r="G407" s="51"/>
      <c r="H407" s="51"/>
      <c r="I407" s="51"/>
      <c r="J407" s="53"/>
      <c r="K407" s="53"/>
      <c r="L407" s="53"/>
      <c r="M407" s="53"/>
      <c r="N407" s="53"/>
      <c r="O407" s="139"/>
      <c r="P407" s="50"/>
      <c r="Q407" s="57"/>
      <c r="R407" s="12">
        <v>42298</v>
      </c>
      <c r="S407" s="11">
        <v>9.14</v>
      </c>
      <c r="T407" s="148">
        <v>1.1680511182108626</v>
      </c>
      <c r="U407" s="148">
        <f t="shared" si="21"/>
        <v>8.2860128847270946</v>
      </c>
      <c r="V407" s="278">
        <f t="shared" si="22"/>
        <v>-2.1834061135370675E-3</v>
      </c>
      <c r="W407" s="278">
        <f t="shared" si="23"/>
        <v>-2.4262159921929535E-3</v>
      </c>
    </row>
    <row r="408" spans="1:23" x14ac:dyDescent="0.2">
      <c r="A408" s="8">
        <v>42290</v>
      </c>
      <c r="B408" s="9">
        <v>8.92</v>
      </c>
      <c r="E408" s="51"/>
      <c r="F408" s="51"/>
      <c r="G408" s="51"/>
      <c r="H408" s="51"/>
      <c r="I408" s="51"/>
      <c r="J408" s="53"/>
      <c r="K408" s="53"/>
      <c r="L408" s="53"/>
      <c r="M408" s="53"/>
      <c r="N408" s="53"/>
      <c r="O408" s="139"/>
      <c r="P408" s="50"/>
      <c r="Q408" s="57"/>
      <c r="R408" s="12">
        <v>42299</v>
      </c>
      <c r="S408" s="11">
        <v>9.2550000000000008</v>
      </c>
      <c r="T408" s="148">
        <v>1.1827476038338658</v>
      </c>
      <c r="U408" s="148">
        <f t="shared" si="21"/>
        <v>8.3882560444739482</v>
      </c>
      <c r="V408" s="278">
        <f t="shared" si="22"/>
        <v>1.2582056892779026E-2</v>
      </c>
      <c r="W408" s="278">
        <f t="shared" si="23"/>
        <v>1.233924701412314E-2</v>
      </c>
    </row>
    <row r="409" spans="1:23" x14ac:dyDescent="0.2">
      <c r="A409" s="8">
        <v>42291</v>
      </c>
      <c r="B409" s="9">
        <v>8.77</v>
      </c>
      <c r="E409" s="51"/>
      <c r="F409" s="51"/>
      <c r="G409" s="51"/>
      <c r="H409" s="51"/>
      <c r="I409" s="51"/>
      <c r="J409" s="53"/>
      <c r="K409" s="53"/>
      <c r="L409" s="53"/>
      <c r="M409" s="53"/>
      <c r="N409" s="53"/>
      <c r="O409" s="139"/>
      <c r="P409" s="50"/>
      <c r="Q409" s="57"/>
      <c r="R409" s="12">
        <v>42300</v>
      </c>
      <c r="S409" s="11">
        <v>9.32</v>
      </c>
      <c r="T409" s="148">
        <v>1.1910543130990416</v>
      </c>
      <c r="U409" s="148">
        <f t="shared" ref="U409:U472" si="24">U408*(1+W409)</f>
        <v>8.4451319502961972</v>
      </c>
      <c r="V409" s="278">
        <f t="shared" ref="V409:V472" si="25">S409/S408-1</f>
        <v>7.0232306861155447E-3</v>
      </c>
      <c r="W409" s="278">
        <f t="shared" ref="W409:W472" si="26">V409-$V$3+$W$2</f>
        <v>6.7804208074596587E-3</v>
      </c>
    </row>
    <row r="410" spans="1:23" x14ac:dyDescent="0.2">
      <c r="A410" s="8">
        <v>42292</v>
      </c>
      <c r="B410" s="9">
        <v>8.89</v>
      </c>
      <c r="E410" s="51"/>
      <c r="F410" s="51"/>
      <c r="G410" s="51"/>
      <c r="H410" s="51"/>
      <c r="I410" s="51"/>
      <c r="J410" s="53"/>
      <c r="K410" s="53"/>
      <c r="L410" s="53"/>
      <c r="M410" s="53"/>
      <c r="N410" s="53"/>
      <c r="O410" s="139"/>
      <c r="P410" s="50"/>
      <c r="Q410" s="57"/>
      <c r="R410" s="12">
        <v>42303</v>
      </c>
      <c r="S410" s="11">
        <v>9.1300000000000008</v>
      </c>
      <c r="T410" s="148">
        <v>1.1667731629392972</v>
      </c>
      <c r="U410" s="148">
        <f t="shared" si="24"/>
        <v>8.270916681690883</v>
      </c>
      <c r="V410" s="278">
        <f t="shared" si="25"/>
        <v>-2.0386266094420513E-2</v>
      </c>
      <c r="W410" s="278">
        <f t="shared" si="26"/>
        <v>-2.0629075973076397E-2</v>
      </c>
    </row>
    <row r="411" spans="1:23" x14ac:dyDescent="0.2">
      <c r="A411" s="8">
        <v>42293</v>
      </c>
      <c r="B411" s="9">
        <v>8.99</v>
      </c>
      <c r="E411" s="51"/>
      <c r="F411" s="51"/>
      <c r="G411" s="51"/>
      <c r="H411" s="51"/>
      <c r="I411" s="51"/>
      <c r="J411" s="53"/>
      <c r="K411" s="53"/>
      <c r="L411" s="53"/>
      <c r="M411" s="53"/>
      <c r="N411" s="53"/>
      <c r="O411" s="139"/>
      <c r="P411" s="50"/>
      <c r="Q411" s="57"/>
      <c r="R411" s="12">
        <v>42304</v>
      </c>
      <c r="S411" s="11">
        <v>9.15</v>
      </c>
      <c r="T411" s="148">
        <v>1.1693290734824282</v>
      </c>
      <c r="U411" s="148">
        <f t="shared" si="24"/>
        <v>8.2870265302467701</v>
      </c>
      <c r="V411" s="278">
        <f t="shared" si="25"/>
        <v>2.1905805038333614E-3</v>
      </c>
      <c r="W411" s="278">
        <f t="shared" si="26"/>
        <v>1.9477706251774757E-3</v>
      </c>
    </row>
    <row r="412" spans="1:23" x14ac:dyDescent="0.2">
      <c r="A412" s="8">
        <v>42296</v>
      </c>
      <c r="B412" s="9">
        <v>9.1999999999999993</v>
      </c>
      <c r="E412" s="51"/>
      <c r="F412" s="51"/>
      <c r="G412" s="51"/>
      <c r="H412" s="51"/>
      <c r="I412" s="51"/>
      <c r="J412" s="53"/>
      <c r="K412" s="53"/>
      <c r="L412" s="53"/>
      <c r="M412" s="53"/>
      <c r="N412" s="53"/>
      <c r="O412" s="139"/>
      <c r="P412" s="50"/>
      <c r="Q412" s="57"/>
      <c r="R412" s="12">
        <v>42305</v>
      </c>
      <c r="S412" s="11">
        <v>9.2850000000000001</v>
      </c>
      <c r="T412" s="148">
        <v>1.1865814696485624</v>
      </c>
      <c r="U412" s="148">
        <f t="shared" si="24"/>
        <v>8.4072819628851665</v>
      </c>
      <c r="V412" s="278">
        <f t="shared" si="25"/>
        <v>1.4754098360655776E-2</v>
      </c>
      <c r="W412" s="278">
        <f t="shared" si="26"/>
        <v>1.451128848199989E-2</v>
      </c>
    </row>
    <row r="413" spans="1:23" x14ac:dyDescent="0.2">
      <c r="A413" s="8">
        <v>42297</v>
      </c>
      <c r="B413" s="9">
        <v>9.16</v>
      </c>
      <c r="E413" s="51"/>
      <c r="F413" s="51"/>
      <c r="G413" s="51"/>
      <c r="H413" s="51"/>
      <c r="I413" s="51"/>
      <c r="J413" s="53"/>
      <c r="K413" s="53"/>
      <c r="L413" s="53"/>
      <c r="M413" s="53"/>
      <c r="N413" s="53"/>
      <c r="O413" s="139"/>
      <c r="P413" s="50"/>
      <c r="Q413" s="57"/>
      <c r="R413" s="12">
        <v>42306</v>
      </c>
      <c r="S413" s="11">
        <v>9.15</v>
      </c>
      <c r="T413" s="148">
        <v>1.1693290734824282</v>
      </c>
      <c r="U413" s="148">
        <f t="shared" si="24"/>
        <v>8.283002243361647</v>
      </c>
      <c r="V413" s="278">
        <f t="shared" si="25"/>
        <v>-1.4539579967689842E-2</v>
      </c>
      <c r="W413" s="278">
        <f t="shared" si="26"/>
        <v>-1.4782389846345728E-2</v>
      </c>
    </row>
    <row r="414" spans="1:23" x14ac:dyDescent="0.2">
      <c r="A414" s="8">
        <v>42298</v>
      </c>
      <c r="B414" s="9">
        <v>9.14</v>
      </c>
      <c r="E414" s="51"/>
      <c r="F414" s="51"/>
      <c r="G414" s="51"/>
      <c r="H414" s="51"/>
      <c r="I414" s="51"/>
      <c r="J414" s="53"/>
      <c r="K414" s="53"/>
      <c r="L414" s="53"/>
      <c r="M414" s="53"/>
      <c r="N414" s="53"/>
      <c r="O414" s="139"/>
      <c r="P414" s="50"/>
      <c r="Q414" s="57"/>
      <c r="R414" s="12">
        <v>42307</v>
      </c>
      <c r="S414" s="11">
        <v>9.15</v>
      </c>
      <c r="T414" s="148">
        <v>1.1693290734824282</v>
      </c>
      <c r="U414" s="148">
        <f t="shared" si="24"/>
        <v>8.2809910485920302</v>
      </c>
      <c r="V414" s="278">
        <f t="shared" si="25"/>
        <v>0</v>
      </c>
      <c r="W414" s="278">
        <f t="shared" si="26"/>
        <v>-2.4280987865588565E-4</v>
      </c>
    </row>
    <row r="415" spans="1:23" x14ac:dyDescent="0.2">
      <c r="A415" s="8">
        <v>42299</v>
      </c>
      <c r="B415" s="9">
        <v>9.2550000000000008</v>
      </c>
      <c r="E415" s="51"/>
      <c r="F415" s="51"/>
      <c r="G415" s="51"/>
      <c r="H415" s="51"/>
      <c r="I415" s="51"/>
      <c r="J415" s="53"/>
      <c r="K415" s="53"/>
      <c r="L415" s="53"/>
      <c r="M415" s="53"/>
      <c r="N415" s="53"/>
      <c r="O415" s="139"/>
      <c r="P415" s="50"/>
      <c r="Q415" s="57"/>
      <c r="R415" s="12">
        <v>42310</v>
      </c>
      <c r="S415" s="11">
        <v>9.23</v>
      </c>
      <c r="T415" s="148">
        <v>1.1795527156549521</v>
      </c>
      <c r="U415" s="148">
        <f t="shared" si="24"/>
        <v>8.3513824496890425</v>
      </c>
      <c r="V415" s="278">
        <f t="shared" si="25"/>
        <v>8.7431693989070691E-3</v>
      </c>
      <c r="W415" s="278">
        <f t="shared" si="26"/>
        <v>8.5003595202511831E-3</v>
      </c>
    </row>
    <row r="416" spans="1:23" x14ac:dyDescent="0.2">
      <c r="A416" s="8">
        <v>42300</v>
      </c>
      <c r="B416" s="9">
        <v>9.32</v>
      </c>
      <c r="E416" s="51"/>
      <c r="F416" s="51"/>
      <c r="G416" s="51"/>
      <c r="H416" s="51"/>
      <c r="I416" s="51"/>
      <c r="J416" s="53"/>
      <c r="K416" s="53"/>
      <c r="L416" s="53"/>
      <c r="M416" s="53"/>
      <c r="N416" s="53"/>
      <c r="O416" s="139"/>
      <c r="P416" s="50"/>
      <c r="Q416" s="57"/>
      <c r="R416" s="12">
        <v>42311</v>
      </c>
      <c r="S416" s="11">
        <v>9.33</v>
      </c>
      <c r="T416" s="148">
        <v>1.192332268370607</v>
      </c>
      <c r="U416" s="148">
        <f t="shared" si="24"/>
        <v>8.4398355014722846</v>
      </c>
      <c r="V416" s="278">
        <f t="shared" si="25"/>
        <v>1.0834236186348933E-2</v>
      </c>
      <c r="W416" s="278">
        <f t="shared" si="26"/>
        <v>1.0591426307693047E-2</v>
      </c>
    </row>
    <row r="417" spans="1:23" x14ac:dyDescent="0.2">
      <c r="A417" s="8">
        <v>42303</v>
      </c>
      <c r="B417" s="9">
        <v>9.1300000000000008</v>
      </c>
      <c r="E417" s="51"/>
      <c r="F417" s="51"/>
      <c r="G417" s="51"/>
      <c r="H417" s="51"/>
      <c r="I417" s="51"/>
      <c r="J417" s="53"/>
      <c r="K417" s="53"/>
      <c r="L417" s="53"/>
      <c r="M417" s="53"/>
      <c r="N417" s="53"/>
      <c r="O417" s="139"/>
      <c r="P417" s="50"/>
      <c r="Q417" s="57"/>
      <c r="R417" s="12">
        <v>42312</v>
      </c>
      <c r="S417" s="11">
        <v>9.2100000000000009</v>
      </c>
      <c r="T417" s="148">
        <v>1.1769968051118211</v>
      </c>
      <c r="U417" s="148">
        <f t="shared" si="24"/>
        <v>8.3292352871126099</v>
      </c>
      <c r="V417" s="278">
        <f t="shared" si="25"/>
        <v>-1.2861736334405016E-2</v>
      </c>
      <c r="W417" s="278">
        <f t="shared" si="26"/>
        <v>-1.3104546213060902E-2</v>
      </c>
    </row>
    <row r="418" spans="1:23" x14ac:dyDescent="0.2">
      <c r="A418" s="8">
        <v>42304</v>
      </c>
      <c r="B418" s="9">
        <v>9.15</v>
      </c>
      <c r="E418" s="51"/>
      <c r="F418" s="51"/>
      <c r="G418" s="51"/>
      <c r="H418" s="51"/>
      <c r="I418" s="51"/>
      <c r="J418" s="53"/>
      <c r="K418" s="53"/>
      <c r="L418" s="53"/>
      <c r="M418" s="53"/>
      <c r="N418" s="53"/>
      <c r="O418" s="139"/>
      <c r="P418" s="50"/>
      <c r="Q418" s="57"/>
      <c r="R418" s="12">
        <v>42313</v>
      </c>
      <c r="S418" s="11">
        <v>9.1449999999999996</v>
      </c>
      <c r="T418" s="148">
        <v>1.1686900958466453</v>
      </c>
      <c r="U418" s="148">
        <f t="shared" si="24"/>
        <v>8.2684289041077736</v>
      </c>
      <c r="V418" s="278">
        <f t="shared" si="25"/>
        <v>-7.0575461454941424E-3</v>
      </c>
      <c r="W418" s="278">
        <f t="shared" si="26"/>
        <v>-7.3003560241500284E-3</v>
      </c>
    </row>
    <row r="419" spans="1:23" x14ac:dyDescent="0.2">
      <c r="A419" s="8">
        <v>42305</v>
      </c>
      <c r="B419" s="9">
        <v>9.2850000000000001</v>
      </c>
      <c r="E419" s="51"/>
      <c r="F419" s="51"/>
      <c r="G419" s="51"/>
      <c r="H419" s="51"/>
      <c r="I419" s="51"/>
      <c r="J419" s="53"/>
      <c r="K419" s="53"/>
      <c r="L419" s="53"/>
      <c r="M419" s="53"/>
      <c r="N419" s="53"/>
      <c r="O419" s="139"/>
      <c r="P419" s="50"/>
      <c r="Q419" s="57"/>
      <c r="R419" s="12">
        <v>42314</v>
      </c>
      <c r="S419" s="11">
        <v>9.2949999999999999</v>
      </c>
      <c r="T419" s="148">
        <v>1.1878594249201277</v>
      </c>
      <c r="U419" s="148">
        <f t="shared" si="24"/>
        <v>8.4020433731613</v>
      </c>
      <c r="V419" s="278">
        <f t="shared" si="25"/>
        <v>1.6402405686167354E-2</v>
      </c>
      <c r="W419" s="278">
        <f t="shared" si="26"/>
        <v>1.615959580751147E-2</v>
      </c>
    </row>
    <row r="420" spans="1:23" x14ac:dyDescent="0.2">
      <c r="A420" s="8">
        <v>42306</v>
      </c>
      <c r="B420" s="9">
        <v>9.15</v>
      </c>
      <c r="E420" s="51"/>
      <c r="F420" s="51"/>
      <c r="G420" s="51"/>
      <c r="H420" s="51"/>
      <c r="I420" s="51"/>
      <c r="J420" s="53"/>
      <c r="K420" s="53"/>
      <c r="L420" s="53"/>
      <c r="M420" s="53"/>
      <c r="N420" s="53"/>
      <c r="O420" s="139"/>
      <c r="P420" s="50"/>
      <c r="Q420" s="57"/>
      <c r="R420" s="12">
        <v>42317</v>
      </c>
      <c r="S420" s="11">
        <v>9.1300000000000008</v>
      </c>
      <c r="T420" s="148">
        <v>1.1667731629392972</v>
      </c>
      <c r="U420" s="148">
        <f t="shared" si="24"/>
        <v>8.2508545750975451</v>
      </c>
      <c r="V420" s="278">
        <f t="shared" si="25"/>
        <v>-1.7751479289940697E-2</v>
      </c>
      <c r="W420" s="278">
        <f t="shared" si="26"/>
        <v>-1.7994289168596581E-2</v>
      </c>
    </row>
    <row r="421" spans="1:23" x14ac:dyDescent="0.2">
      <c r="A421" s="8">
        <v>42307</v>
      </c>
      <c r="B421" s="9">
        <v>9.15</v>
      </c>
      <c r="E421" s="51"/>
      <c r="F421" s="51"/>
      <c r="G421" s="51"/>
      <c r="H421" s="51"/>
      <c r="I421" s="51"/>
      <c r="J421" s="53"/>
      <c r="K421" s="53"/>
      <c r="L421" s="53"/>
      <c r="M421" s="53"/>
      <c r="N421" s="53"/>
      <c r="O421" s="139"/>
      <c r="P421" s="50"/>
      <c r="Q421" s="57"/>
      <c r="R421" s="12">
        <v>42318</v>
      </c>
      <c r="S421" s="11">
        <v>9.16</v>
      </c>
      <c r="T421" s="148">
        <v>1.1706070287539936</v>
      </c>
      <c r="U421" s="148">
        <f t="shared" si="24"/>
        <v>8.2759624278576176</v>
      </c>
      <c r="V421" s="278">
        <f t="shared" si="25"/>
        <v>3.2858707557501532E-3</v>
      </c>
      <c r="W421" s="278">
        <f t="shared" si="26"/>
        <v>3.0430608770942672E-3</v>
      </c>
    </row>
    <row r="422" spans="1:23" x14ac:dyDescent="0.2">
      <c r="A422" s="8">
        <v>42310</v>
      </c>
      <c r="B422" s="9">
        <v>9.23</v>
      </c>
      <c r="E422" s="51"/>
      <c r="F422" s="51"/>
      <c r="G422" s="51"/>
      <c r="H422" s="51"/>
      <c r="I422" s="51"/>
      <c r="J422" s="53"/>
      <c r="K422" s="53"/>
      <c r="L422" s="53"/>
      <c r="M422" s="53"/>
      <c r="N422" s="53"/>
      <c r="O422" s="139"/>
      <c r="P422" s="50"/>
      <c r="Q422" s="57"/>
      <c r="R422" s="12">
        <v>42319</v>
      </c>
      <c r="S422" s="11">
        <v>9.2799999999999994</v>
      </c>
      <c r="T422" s="148">
        <v>1.1859424920127795</v>
      </c>
      <c r="U422" s="148">
        <f t="shared" si="24"/>
        <v>8.3823716641870742</v>
      </c>
      <c r="V422" s="278">
        <f t="shared" si="25"/>
        <v>1.3100436681222627E-2</v>
      </c>
      <c r="W422" s="278">
        <f t="shared" si="26"/>
        <v>1.2857626802566741E-2</v>
      </c>
    </row>
    <row r="423" spans="1:23" x14ac:dyDescent="0.2">
      <c r="A423" s="8">
        <v>42311</v>
      </c>
      <c r="B423" s="9">
        <v>9.33</v>
      </c>
      <c r="E423" s="51"/>
      <c r="F423" s="51"/>
      <c r="G423" s="51"/>
      <c r="H423" s="51"/>
      <c r="I423" s="51"/>
      <c r="J423" s="53"/>
      <c r="K423" s="53"/>
      <c r="L423" s="53"/>
      <c r="M423" s="53"/>
      <c r="N423" s="53"/>
      <c r="O423" s="139"/>
      <c r="P423" s="50"/>
      <c r="Q423" s="57"/>
      <c r="R423" s="12">
        <v>42320</v>
      </c>
      <c r="S423" s="11">
        <v>9.1449999999999996</v>
      </c>
      <c r="T423" s="148">
        <v>1.1686900958466453</v>
      </c>
      <c r="U423" s="148">
        <f t="shared" si="24"/>
        <v>8.2583945123739309</v>
      </c>
      <c r="V423" s="278">
        <f t="shared" si="25"/>
        <v>-1.4547413793103425E-2</v>
      </c>
      <c r="W423" s="278">
        <f t="shared" si="26"/>
        <v>-1.4790223671759311E-2</v>
      </c>
    </row>
    <row r="424" spans="1:23" x14ac:dyDescent="0.2">
      <c r="A424" s="8">
        <v>42312</v>
      </c>
      <c r="B424" s="9">
        <v>9.2100000000000009</v>
      </c>
      <c r="E424" s="51"/>
      <c r="F424" s="51"/>
      <c r="G424" s="51"/>
      <c r="H424" s="51"/>
      <c r="I424" s="51"/>
      <c r="J424" s="53"/>
      <c r="K424" s="53"/>
      <c r="L424" s="53"/>
      <c r="M424" s="53"/>
      <c r="N424" s="53"/>
      <c r="O424" s="139"/>
      <c r="P424" s="50"/>
      <c r="Q424" s="57"/>
      <c r="R424" s="12">
        <v>42321</v>
      </c>
      <c r="S424" s="11">
        <v>9.1349999999999998</v>
      </c>
      <c r="T424" s="148">
        <v>1.1674121405750799</v>
      </c>
      <c r="U424" s="148">
        <f t="shared" si="24"/>
        <v>8.2473587901305976</v>
      </c>
      <c r="V424" s="278">
        <f t="shared" si="25"/>
        <v>-1.0934937124110755E-3</v>
      </c>
      <c r="W424" s="278">
        <f t="shared" si="26"/>
        <v>-1.3363035910669613E-3</v>
      </c>
    </row>
    <row r="425" spans="1:23" x14ac:dyDescent="0.2">
      <c r="A425" s="8">
        <v>42313</v>
      </c>
      <c r="B425" s="9">
        <v>9.1449999999999996</v>
      </c>
      <c r="E425" s="51"/>
      <c r="F425" s="51"/>
      <c r="G425" s="51"/>
      <c r="H425" s="51"/>
      <c r="I425" s="51"/>
      <c r="J425" s="53"/>
      <c r="K425" s="53"/>
      <c r="L425" s="53"/>
      <c r="M425" s="53"/>
      <c r="N425" s="53"/>
      <c r="O425" s="139"/>
      <c r="P425" s="50"/>
      <c r="Q425" s="57"/>
      <c r="R425" s="12">
        <v>42324</v>
      </c>
      <c r="S425" s="11">
        <v>9.1449999999999996</v>
      </c>
      <c r="T425" s="148">
        <v>1.1686900958466453</v>
      </c>
      <c r="U425" s="148">
        <f t="shared" si="24"/>
        <v>8.2543845573218935</v>
      </c>
      <c r="V425" s="278">
        <f t="shared" si="25"/>
        <v>1.0946907498632363E-3</v>
      </c>
      <c r="W425" s="278">
        <f t="shared" si="26"/>
        <v>8.5188087120735068E-4</v>
      </c>
    </row>
    <row r="426" spans="1:23" x14ac:dyDescent="0.2">
      <c r="A426" s="8">
        <v>42314</v>
      </c>
      <c r="B426" s="9">
        <v>9.2949999999999999</v>
      </c>
      <c r="E426" s="51"/>
      <c r="F426" s="51"/>
      <c r="G426" s="51"/>
      <c r="H426" s="51"/>
      <c r="I426" s="51"/>
      <c r="J426" s="53"/>
      <c r="K426" s="53"/>
      <c r="L426" s="53"/>
      <c r="M426" s="53"/>
      <c r="N426" s="53"/>
      <c r="O426" s="139"/>
      <c r="P426" s="50"/>
      <c r="Q426" s="57"/>
      <c r="R426" s="12">
        <v>42325</v>
      </c>
      <c r="S426" s="11">
        <v>9.31</v>
      </c>
      <c r="T426" s="148">
        <v>1.189776357827476</v>
      </c>
      <c r="U426" s="148">
        <f t="shared" si="24"/>
        <v>8.4013112518278632</v>
      </c>
      <c r="V426" s="278">
        <f t="shared" si="25"/>
        <v>1.8042646254784245E-2</v>
      </c>
      <c r="W426" s="278">
        <f t="shared" si="26"/>
        <v>1.7799836376128361E-2</v>
      </c>
    </row>
    <row r="427" spans="1:23" x14ac:dyDescent="0.2">
      <c r="A427" s="8">
        <v>42317</v>
      </c>
      <c r="B427" s="9">
        <v>9.1300000000000008</v>
      </c>
      <c r="E427" s="51"/>
      <c r="F427" s="51"/>
      <c r="G427" s="51"/>
      <c r="H427" s="51"/>
      <c r="I427" s="51"/>
      <c r="J427" s="53"/>
      <c r="K427" s="53"/>
      <c r="L427" s="53"/>
      <c r="M427" s="53"/>
      <c r="N427" s="53"/>
      <c r="O427" s="139"/>
      <c r="P427" s="50"/>
      <c r="Q427" s="57"/>
      <c r="R427" s="12">
        <v>42326</v>
      </c>
      <c r="S427" s="11">
        <v>9.19</v>
      </c>
      <c r="T427" s="148">
        <v>1.1744408945686899</v>
      </c>
      <c r="U427" s="148">
        <f t="shared" si="24"/>
        <v>8.2909837525654417</v>
      </c>
      <c r="V427" s="278">
        <f t="shared" si="25"/>
        <v>-1.2889366272824998E-2</v>
      </c>
      <c r="W427" s="278">
        <f t="shared" si="26"/>
        <v>-1.3132176151480884E-2</v>
      </c>
    </row>
    <row r="428" spans="1:23" x14ac:dyDescent="0.2">
      <c r="A428" s="8">
        <v>42318</v>
      </c>
      <c r="B428" s="9">
        <v>9.16</v>
      </c>
      <c r="E428" s="51"/>
      <c r="F428" s="51"/>
      <c r="G428" s="51"/>
      <c r="H428" s="51"/>
      <c r="I428" s="51"/>
      <c r="J428" s="53"/>
      <c r="K428" s="53"/>
      <c r="L428" s="53"/>
      <c r="M428" s="53"/>
      <c r="N428" s="53"/>
      <c r="O428" s="139"/>
      <c r="P428" s="50"/>
      <c r="Q428" s="57"/>
      <c r="R428" s="12">
        <v>42327</v>
      </c>
      <c r="S428" s="11">
        <v>9.3450000000000006</v>
      </c>
      <c r="T428" s="148">
        <v>1.1942492012779553</v>
      </c>
      <c r="U428" s="148">
        <f t="shared" si="24"/>
        <v>8.4288076689520981</v>
      </c>
      <c r="V428" s="278">
        <f t="shared" si="25"/>
        <v>1.6866158868335202E-2</v>
      </c>
      <c r="W428" s="278">
        <f t="shared" si="26"/>
        <v>1.6623348989679317E-2</v>
      </c>
    </row>
    <row r="429" spans="1:23" x14ac:dyDescent="0.2">
      <c r="A429" s="8">
        <v>42319</v>
      </c>
      <c r="B429" s="9">
        <v>9.2799999999999994</v>
      </c>
      <c r="E429" s="51"/>
      <c r="F429" s="51"/>
      <c r="G429" s="51"/>
      <c r="H429" s="51"/>
      <c r="I429" s="51"/>
      <c r="J429" s="53"/>
      <c r="K429" s="53"/>
      <c r="L429" s="53"/>
      <c r="M429" s="53"/>
      <c r="N429" s="53"/>
      <c r="O429" s="139"/>
      <c r="P429" s="50"/>
      <c r="Q429" s="57"/>
      <c r="R429" s="12">
        <v>42328</v>
      </c>
      <c r="S429" s="11">
        <v>9.2050000000000001</v>
      </c>
      <c r="T429" s="148">
        <v>1.1763578274760382</v>
      </c>
      <c r="U429" s="148">
        <f t="shared" si="24"/>
        <v>8.3004867989907467</v>
      </c>
      <c r="V429" s="278">
        <f t="shared" si="25"/>
        <v>-1.4981273408239737E-2</v>
      </c>
      <c r="W429" s="278">
        <f t="shared" si="26"/>
        <v>-1.5224083286895623E-2</v>
      </c>
    </row>
    <row r="430" spans="1:23" x14ac:dyDescent="0.2">
      <c r="A430" s="8">
        <v>42320</v>
      </c>
      <c r="B430" s="9">
        <v>9.1449999999999996</v>
      </c>
      <c r="E430" s="51"/>
      <c r="F430" s="51"/>
      <c r="G430" s="51"/>
      <c r="H430" s="51"/>
      <c r="I430" s="51"/>
      <c r="J430" s="53"/>
      <c r="K430" s="53"/>
      <c r="L430" s="53"/>
      <c r="M430" s="53"/>
      <c r="N430" s="53"/>
      <c r="O430" s="139"/>
      <c r="P430" s="50"/>
      <c r="Q430" s="57"/>
      <c r="R430" s="12">
        <v>42331</v>
      </c>
      <c r="S430" s="11">
        <v>9.15</v>
      </c>
      <c r="T430" s="148">
        <v>1.1693290734824282</v>
      </c>
      <c r="U430" s="148">
        <f t="shared" si="24"/>
        <v>8.248875837457236</v>
      </c>
      <c r="V430" s="278">
        <f t="shared" si="25"/>
        <v>-5.9750135795763049E-3</v>
      </c>
      <c r="W430" s="278">
        <f t="shared" si="26"/>
        <v>-6.2178234582321908E-3</v>
      </c>
    </row>
    <row r="431" spans="1:23" x14ac:dyDescent="0.2">
      <c r="A431" s="8">
        <v>42321</v>
      </c>
      <c r="B431" s="9">
        <v>9.1349999999999998</v>
      </c>
      <c r="E431" s="51"/>
      <c r="F431" s="51"/>
      <c r="G431" s="51"/>
      <c r="H431" s="51"/>
      <c r="I431" s="51"/>
      <c r="J431" s="53"/>
      <c r="K431" s="53"/>
      <c r="L431" s="53"/>
      <c r="M431" s="53"/>
      <c r="N431" s="53"/>
      <c r="O431" s="139"/>
      <c r="P431" s="50"/>
      <c r="Q431" s="57"/>
      <c r="R431" s="12">
        <v>42332</v>
      </c>
      <c r="S431" s="11">
        <v>8.9749999999999996</v>
      </c>
      <c r="T431" s="148">
        <v>1.1469648562300319</v>
      </c>
      <c r="U431" s="148">
        <f t="shared" si="24"/>
        <v>8.0891075440466942</v>
      </c>
      <c r="V431" s="278">
        <f t="shared" si="25"/>
        <v>-1.9125683060109422E-2</v>
      </c>
      <c r="W431" s="278">
        <f t="shared" si="26"/>
        <v>-1.9368492938765306E-2</v>
      </c>
    </row>
    <row r="432" spans="1:23" x14ac:dyDescent="0.2">
      <c r="A432" s="8">
        <v>42324</v>
      </c>
      <c r="B432" s="9">
        <v>9.1449999999999996</v>
      </c>
      <c r="E432" s="51"/>
      <c r="F432" s="51"/>
      <c r="G432" s="51"/>
      <c r="H432" s="51"/>
      <c r="I432" s="51"/>
      <c r="J432" s="53"/>
      <c r="K432" s="53"/>
      <c r="L432" s="53"/>
      <c r="M432" s="53"/>
      <c r="N432" s="53"/>
      <c r="O432" s="139"/>
      <c r="P432" s="50"/>
      <c r="Q432" s="57"/>
      <c r="R432" s="12">
        <v>42333</v>
      </c>
      <c r="S432" s="11">
        <v>9.07</v>
      </c>
      <c r="T432" s="148">
        <v>1.1591054313099041</v>
      </c>
      <c r="U432" s="148">
        <f t="shared" si="24"/>
        <v>8.1727662941942292</v>
      </c>
      <c r="V432" s="278">
        <f t="shared" si="25"/>
        <v>1.0584958217270346E-2</v>
      </c>
      <c r="W432" s="278">
        <f t="shared" si="26"/>
        <v>1.034214833861446E-2</v>
      </c>
    </row>
    <row r="433" spans="1:23" x14ac:dyDescent="0.2">
      <c r="A433" s="8">
        <v>42325</v>
      </c>
      <c r="B433" s="9">
        <v>9.31</v>
      </c>
      <c r="E433" s="51"/>
      <c r="F433" s="51"/>
      <c r="G433" s="51"/>
      <c r="H433" s="51"/>
      <c r="I433" s="51"/>
      <c r="J433" s="53"/>
      <c r="K433" s="53"/>
      <c r="L433" s="53"/>
      <c r="M433" s="53"/>
      <c r="N433" s="53"/>
      <c r="O433" s="139"/>
      <c r="P433" s="50"/>
      <c r="Q433" s="57"/>
      <c r="R433" s="12">
        <v>42334</v>
      </c>
      <c r="S433" s="11">
        <v>9.1050000000000004</v>
      </c>
      <c r="T433" s="148">
        <v>1.1635782747603833</v>
      </c>
      <c r="U433" s="148">
        <f t="shared" si="24"/>
        <v>8.2023195527145987</v>
      </c>
      <c r="V433" s="278">
        <f t="shared" si="25"/>
        <v>3.8588754134509795E-3</v>
      </c>
      <c r="W433" s="278">
        <f t="shared" si="26"/>
        <v>3.6160655347950935E-3</v>
      </c>
    </row>
    <row r="434" spans="1:23" x14ac:dyDescent="0.2">
      <c r="A434" s="8">
        <v>42326</v>
      </c>
      <c r="B434" s="9">
        <v>9.19</v>
      </c>
      <c r="E434" s="51"/>
      <c r="F434" s="51"/>
      <c r="G434" s="51"/>
      <c r="H434" s="51"/>
      <c r="I434" s="51"/>
      <c r="J434" s="53"/>
      <c r="K434" s="53"/>
      <c r="L434" s="53"/>
      <c r="M434" s="53"/>
      <c r="N434" s="53"/>
      <c r="O434" s="139"/>
      <c r="P434" s="50"/>
      <c r="Q434" s="57"/>
      <c r="R434" s="12">
        <v>42335</v>
      </c>
      <c r="S434" s="11">
        <v>9.0350000000000001</v>
      </c>
      <c r="T434" s="148">
        <v>1.154632587859425</v>
      </c>
      <c r="U434" s="148">
        <f t="shared" si="24"/>
        <v>8.1372678311253352</v>
      </c>
      <c r="V434" s="278">
        <f t="shared" si="25"/>
        <v>-7.6880834706205547E-3</v>
      </c>
      <c r="W434" s="278">
        <f t="shared" si="26"/>
        <v>-7.9308933492764407E-3</v>
      </c>
    </row>
    <row r="435" spans="1:23" x14ac:dyDescent="0.2">
      <c r="A435" s="8">
        <v>42327</v>
      </c>
      <c r="B435" s="9">
        <v>9.3450000000000006</v>
      </c>
      <c r="E435" s="51"/>
      <c r="F435" s="51"/>
      <c r="G435" s="51"/>
      <c r="H435" s="51"/>
      <c r="I435" s="51"/>
      <c r="J435" s="53"/>
      <c r="K435" s="53"/>
      <c r="L435" s="53"/>
      <c r="M435" s="53"/>
      <c r="N435" s="53"/>
      <c r="O435" s="139"/>
      <c r="P435" s="50"/>
      <c r="Q435" s="57"/>
      <c r="R435" s="12">
        <v>42338</v>
      </c>
      <c r="S435" s="11">
        <v>9.07</v>
      </c>
      <c r="T435" s="148">
        <v>1.1591054313099041</v>
      </c>
      <c r="U435" s="148">
        <f t="shared" si="24"/>
        <v>8.166814365673412</v>
      </c>
      <c r="V435" s="278">
        <f t="shared" si="25"/>
        <v>3.8738240177089711E-3</v>
      </c>
      <c r="W435" s="278">
        <f t="shared" si="26"/>
        <v>3.6310141390530851E-3</v>
      </c>
    </row>
    <row r="436" spans="1:23" x14ac:dyDescent="0.2">
      <c r="A436" s="8">
        <v>42328</v>
      </c>
      <c r="B436" s="9">
        <v>9.2050000000000001</v>
      </c>
      <c r="E436" s="51"/>
      <c r="F436" s="51"/>
      <c r="G436" s="51"/>
      <c r="H436" s="51"/>
      <c r="I436" s="51"/>
      <c r="J436" s="53"/>
      <c r="K436" s="53"/>
      <c r="L436" s="53"/>
      <c r="M436" s="53"/>
      <c r="N436" s="53"/>
      <c r="O436" s="139"/>
      <c r="P436" s="50"/>
      <c r="Q436" s="57"/>
      <c r="R436" s="12">
        <v>42339</v>
      </c>
      <c r="S436" s="11">
        <v>9.0749999999999993</v>
      </c>
      <c r="T436" s="148">
        <v>1.1597444089456868</v>
      </c>
      <c r="U436" s="148">
        <f t="shared" si="24"/>
        <v>8.1693334852056925</v>
      </c>
      <c r="V436" s="278">
        <f t="shared" si="25"/>
        <v>5.5126791620718762E-4</v>
      </c>
      <c r="W436" s="278">
        <f t="shared" si="26"/>
        <v>3.0845803755130197E-4</v>
      </c>
    </row>
    <row r="437" spans="1:23" x14ac:dyDescent="0.2">
      <c r="A437" s="8">
        <v>42331</v>
      </c>
      <c r="B437" s="9">
        <v>9.15</v>
      </c>
      <c r="E437" s="51"/>
      <c r="F437" s="51"/>
      <c r="G437" s="51"/>
      <c r="H437" s="51"/>
      <c r="I437" s="51"/>
      <c r="J437" s="53"/>
      <c r="K437" s="53"/>
      <c r="L437" s="53"/>
      <c r="M437" s="53"/>
      <c r="N437" s="53"/>
      <c r="O437" s="139"/>
      <c r="P437" s="50"/>
      <c r="Q437" s="57"/>
      <c r="R437" s="12">
        <v>42340</v>
      </c>
      <c r="S437" s="11">
        <v>9.0950000000000006</v>
      </c>
      <c r="T437" s="148">
        <v>1.162300319488818</v>
      </c>
      <c r="U437" s="148">
        <f t="shared" si="24"/>
        <v>8.1853539310721963</v>
      </c>
      <c r="V437" s="278">
        <f t="shared" si="25"/>
        <v>2.2038567493114503E-3</v>
      </c>
      <c r="W437" s="278">
        <f t="shared" si="26"/>
        <v>1.9610468706555643E-3</v>
      </c>
    </row>
    <row r="438" spans="1:23" x14ac:dyDescent="0.2">
      <c r="A438" s="8">
        <v>42332</v>
      </c>
      <c r="B438" s="9">
        <v>8.9749999999999996</v>
      </c>
      <c r="E438" s="51"/>
      <c r="F438" s="51"/>
      <c r="G438" s="51"/>
      <c r="H438" s="51"/>
      <c r="I438" s="51"/>
      <c r="J438" s="53"/>
      <c r="K438" s="53"/>
      <c r="L438" s="53"/>
      <c r="M438" s="53"/>
      <c r="N438" s="53"/>
      <c r="O438" s="139"/>
      <c r="P438" s="50"/>
      <c r="Q438" s="57"/>
      <c r="R438" s="12">
        <v>42341</v>
      </c>
      <c r="S438" s="11">
        <v>9.0399999999999991</v>
      </c>
      <c r="T438" s="148">
        <v>1.1552715654952075</v>
      </c>
      <c r="U438" s="148">
        <f t="shared" si="24"/>
        <v>8.1338673295969546</v>
      </c>
      <c r="V438" s="278">
        <f t="shared" si="25"/>
        <v>-6.0472787245741122E-3</v>
      </c>
      <c r="W438" s="278">
        <f t="shared" si="26"/>
        <v>-6.2900886032299982E-3</v>
      </c>
    </row>
    <row r="439" spans="1:23" x14ac:dyDescent="0.2">
      <c r="A439" s="8">
        <v>42333</v>
      </c>
      <c r="B439" s="9">
        <v>9.07</v>
      </c>
      <c r="E439" s="51"/>
      <c r="F439" s="51"/>
      <c r="G439" s="51"/>
      <c r="H439" s="51"/>
      <c r="I439" s="51"/>
      <c r="J439" s="53"/>
      <c r="K439" s="53"/>
      <c r="L439" s="53"/>
      <c r="M439" s="53"/>
      <c r="N439" s="53"/>
      <c r="O439" s="139"/>
      <c r="P439" s="50"/>
      <c r="Q439" s="57"/>
      <c r="R439" s="12">
        <v>42342</v>
      </c>
      <c r="S439" s="11">
        <v>8.9949999999999992</v>
      </c>
      <c r="T439" s="148">
        <v>1.1495207667731628</v>
      </c>
      <c r="U439" s="148">
        <f t="shared" si="24"/>
        <v>8.0914029624266934</v>
      </c>
      <c r="V439" s="278">
        <f t="shared" si="25"/>
        <v>-4.9778761061947119E-3</v>
      </c>
      <c r="W439" s="278">
        <f t="shared" si="26"/>
        <v>-5.2206859848505979E-3</v>
      </c>
    </row>
    <row r="440" spans="1:23" x14ac:dyDescent="0.2">
      <c r="A440" s="8">
        <v>42334</v>
      </c>
      <c r="B440" s="9">
        <v>9.1050000000000004</v>
      </c>
      <c r="E440" s="51"/>
      <c r="F440" s="51"/>
      <c r="G440" s="51"/>
      <c r="H440" s="51"/>
      <c r="I440" s="51"/>
      <c r="J440" s="53"/>
      <c r="K440" s="53"/>
      <c r="L440" s="53"/>
      <c r="M440" s="53"/>
      <c r="N440" s="53"/>
      <c r="O440" s="139"/>
      <c r="P440" s="50"/>
      <c r="Q440" s="57"/>
      <c r="R440" s="12">
        <v>42345</v>
      </c>
      <c r="S440" s="11">
        <v>8.9700000000000006</v>
      </c>
      <c r="T440" s="148">
        <v>1.1463258785942492</v>
      </c>
      <c r="U440" s="148">
        <f t="shared" si="24"/>
        <v>8.0669496768412614</v>
      </c>
      <c r="V440" s="278">
        <f t="shared" si="25"/>
        <v>-2.7793218454695845E-3</v>
      </c>
      <c r="W440" s="278">
        <f t="shared" si="26"/>
        <v>-3.0221317241254705E-3</v>
      </c>
    </row>
    <row r="441" spans="1:23" x14ac:dyDescent="0.2">
      <c r="A441" s="8">
        <v>42335</v>
      </c>
      <c r="B441" s="9">
        <v>9.0350000000000001</v>
      </c>
      <c r="E441" s="51"/>
      <c r="F441" s="51"/>
      <c r="G441" s="51"/>
      <c r="H441" s="51"/>
      <c r="I441" s="51"/>
      <c r="J441" s="53"/>
      <c r="K441" s="53"/>
      <c r="L441" s="53"/>
      <c r="M441" s="53"/>
      <c r="N441" s="53"/>
      <c r="O441" s="139"/>
      <c r="P441" s="50"/>
      <c r="Q441" s="57"/>
      <c r="R441" s="12">
        <v>42346</v>
      </c>
      <c r="S441" s="11">
        <v>8.73</v>
      </c>
      <c r="T441" s="148">
        <v>1.1156549520766774</v>
      </c>
      <c r="U441" s="148">
        <f t="shared" si="24"/>
        <v>7.8491528233251913</v>
      </c>
      <c r="V441" s="278">
        <f t="shared" si="25"/>
        <v>-2.6755852842809347E-2</v>
      </c>
      <c r="W441" s="278">
        <f t="shared" si="26"/>
        <v>-2.6998662721465231E-2</v>
      </c>
    </row>
    <row r="442" spans="1:23" x14ac:dyDescent="0.2">
      <c r="A442" s="8">
        <v>42338</v>
      </c>
      <c r="B442" s="9">
        <v>9.07</v>
      </c>
      <c r="E442" s="51"/>
      <c r="F442" s="51"/>
      <c r="G442" s="51"/>
      <c r="H442" s="51"/>
      <c r="I442" s="51"/>
      <c r="J442" s="53"/>
      <c r="K442" s="53"/>
      <c r="L442" s="53"/>
      <c r="M442" s="53"/>
      <c r="N442" s="53"/>
      <c r="O442" s="139"/>
      <c r="P442" s="50"/>
      <c r="Q442" s="57"/>
      <c r="R442" s="12">
        <v>42347</v>
      </c>
      <c r="S442" s="11">
        <v>8.6300000000000008</v>
      </c>
      <c r="T442" s="148">
        <v>1.1028753993610225</v>
      </c>
      <c r="U442" s="148">
        <f t="shared" si="24"/>
        <v>7.7573368589568377</v>
      </c>
      <c r="V442" s="278">
        <f t="shared" si="25"/>
        <v>-1.1454753722794919E-2</v>
      </c>
      <c r="W442" s="278">
        <f t="shared" si="26"/>
        <v>-1.1697563601450805E-2</v>
      </c>
    </row>
    <row r="443" spans="1:23" x14ac:dyDescent="0.2">
      <c r="A443" s="8">
        <v>42339</v>
      </c>
      <c r="B443" s="9">
        <v>9.0749999999999993</v>
      </c>
      <c r="E443" s="51"/>
      <c r="F443" s="51"/>
      <c r="G443" s="51"/>
      <c r="H443" s="51"/>
      <c r="I443" s="51"/>
      <c r="J443" s="53"/>
      <c r="K443" s="53"/>
      <c r="L443" s="53"/>
      <c r="M443" s="53"/>
      <c r="N443" s="53"/>
      <c r="O443" s="139"/>
      <c r="P443" s="50"/>
      <c r="Q443" s="57"/>
      <c r="R443" s="12">
        <v>42348</v>
      </c>
      <c r="S443" s="11">
        <v>8.6150000000000002</v>
      </c>
      <c r="T443" s="148">
        <v>1.1009584664536742</v>
      </c>
      <c r="U443" s="148">
        <f t="shared" si="24"/>
        <v>7.7419700966614524</v>
      </c>
      <c r="V443" s="278">
        <f t="shared" si="25"/>
        <v>-1.7381228273465332E-3</v>
      </c>
      <c r="W443" s="278">
        <f t="shared" si="26"/>
        <v>-1.9809327060024192E-3</v>
      </c>
    </row>
    <row r="444" spans="1:23" x14ac:dyDescent="0.2">
      <c r="A444" s="8">
        <v>42340</v>
      </c>
      <c r="B444" s="9">
        <v>9.0950000000000006</v>
      </c>
      <c r="E444" s="51"/>
      <c r="F444" s="51"/>
      <c r="G444" s="51"/>
      <c r="H444" s="51"/>
      <c r="I444" s="51"/>
      <c r="J444" s="53"/>
      <c r="K444" s="53"/>
      <c r="L444" s="53"/>
      <c r="M444" s="53"/>
      <c r="N444" s="53"/>
      <c r="O444" s="139"/>
      <c r="P444" s="50"/>
      <c r="Q444" s="57"/>
      <c r="R444" s="12">
        <v>42349</v>
      </c>
      <c r="S444" s="11">
        <v>8.43</v>
      </c>
      <c r="T444" s="148">
        <v>1.0773162939297125</v>
      </c>
      <c r="U444" s="148">
        <f t="shared" si="24"/>
        <v>7.5738378649801605</v>
      </c>
      <c r="V444" s="278">
        <f t="shared" si="25"/>
        <v>-2.1474172954149773E-2</v>
      </c>
      <c r="W444" s="278">
        <f t="shared" si="26"/>
        <v>-2.1716982832805657E-2</v>
      </c>
    </row>
    <row r="445" spans="1:23" x14ac:dyDescent="0.2">
      <c r="A445" s="8">
        <v>42341</v>
      </c>
      <c r="B445" s="9">
        <v>9.0399999999999991</v>
      </c>
      <c r="E445" s="51"/>
      <c r="F445" s="51"/>
      <c r="G445" s="51"/>
      <c r="H445" s="51"/>
      <c r="I445" s="51"/>
      <c r="J445" s="53"/>
      <c r="K445" s="53"/>
      <c r="L445" s="53"/>
      <c r="M445" s="53"/>
      <c r="N445" s="53"/>
      <c r="O445" s="139"/>
      <c r="P445" s="50"/>
      <c r="Q445" s="57"/>
      <c r="R445" s="12">
        <v>42352</v>
      </c>
      <c r="S445" s="11">
        <v>8.2449999999999992</v>
      </c>
      <c r="T445" s="148">
        <v>1.0536741214057508</v>
      </c>
      <c r="U445" s="148">
        <f t="shared" si="24"/>
        <v>7.4057877110791228</v>
      </c>
      <c r="V445" s="278">
        <f t="shared" si="25"/>
        <v>-2.1945432977461543E-2</v>
      </c>
      <c r="W445" s="278">
        <f t="shared" si="26"/>
        <v>-2.2188242856117427E-2</v>
      </c>
    </row>
    <row r="446" spans="1:23" x14ac:dyDescent="0.2">
      <c r="A446" s="8">
        <v>42342</v>
      </c>
      <c r="B446" s="9">
        <v>8.9949999999999992</v>
      </c>
      <c r="E446" s="51"/>
      <c r="F446" s="51"/>
      <c r="G446" s="51"/>
      <c r="H446" s="51"/>
      <c r="I446" s="51"/>
      <c r="J446" s="53"/>
      <c r="K446" s="53"/>
      <c r="L446" s="53"/>
      <c r="M446" s="53"/>
      <c r="N446" s="53"/>
      <c r="O446" s="139"/>
      <c r="P446" s="50"/>
      <c r="Q446" s="57"/>
      <c r="R446" s="12">
        <v>42353</v>
      </c>
      <c r="S446" s="11">
        <v>8.58</v>
      </c>
      <c r="T446" s="148">
        <v>1.096485623003195</v>
      </c>
      <c r="U446" s="148">
        <f t="shared" si="24"/>
        <v>7.7048917422829897</v>
      </c>
      <c r="V446" s="278">
        <f t="shared" si="25"/>
        <v>4.0630685263796318E-2</v>
      </c>
      <c r="W446" s="278">
        <f t="shared" si="26"/>
        <v>4.038787538514043E-2</v>
      </c>
    </row>
    <row r="447" spans="1:23" x14ac:dyDescent="0.2">
      <c r="A447" s="8">
        <v>42345</v>
      </c>
      <c r="B447" s="9">
        <v>8.9700000000000006</v>
      </c>
      <c r="E447" s="51"/>
      <c r="F447" s="51"/>
      <c r="G447" s="51"/>
      <c r="H447" s="51"/>
      <c r="I447" s="51"/>
      <c r="J447" s="53"/>
      <c r="K447" s="53"/>
      <c r="L447" s="53"/>
      <c r="M447" s="53"/>
      <c r="N447" s="53"/>
      <c r="O447" s="139"/>
      <c r="P447" s="50"/>
      <c r="Q447" s="57"/>
      <c r="R447" s="12">
        <v>42354</v>
      </c>
      <c r="S447" s="11">
        <v>8.6199999999999992</v>
      </c>
      <c r="T447" s="148">
        <v>1.1015974440894567</v>
      </c>
      <c r="U447" s="148">
        <f t="shared" si="24"/>
        <v>7.7389411596767514</v>
      </c>
      <c r="V447" s="278">
        <f t="shared" si="25"/>
        <v>4.6620046620045041E-3</v>
      </c>
      <c r="W447" s="278">
        <f t="shared" si="26"/>
        <v>4.4191947833486182E-3</v>
      </c>
    </row>
    <row r="448" spans="1:23" x14ac:dyDescent="0.2">
      <c r="A448" s="8">
        <v>42346</v>
      </c>
      <c r="B448" s="9">
        <v>8.73</v>
      </c>
      <c r="E448" s="51"/>
      <c r="F448" s="51"/>
      <c r="G448" s="51"/>
      <c r="H448" s="51"/>
      <c r="I448" s="51"/>
      <c r="J448" s="53"/>
      <c r="K448" s="53"/>
      <c r="L448" s="53"/>
      <c r="M448" s="53"/>
      <c r="N448" s="53"/>
      <c r="O448" s="139"/>
      <c r="P448" s="50"/>
      <c r="Q448" s="57"/>
      <c r="R448" s="12">
        <v>42355</v>
      </c>
      <c r="S448" s="11">
        <v>8.81</v>
      </c>
      <c r="T448" s="148">
        <v>1.1258785942492013</v>
      </c>
      <c r="U448" s="148">
        <f t="shared" si="24"/>
        <v>7.9076419778648859</v>
      </c>
      <c r="V448" s="278">
        <f t="shared" si="25"/>
        <v>2.2041763341067444E-2</v>
      </c>
      <c r="W448" s="278">
        <f t="shared" si="26"/>
        <v>2.179895346241156E-2</v>
      </c>
    </row>
    <row r="449" spans="1:23" x14ac:dyDescent="0.2">
      <c r="A449" s="8">
        <v>42347</v>
      </c>
      <c r="B449" s="9">
        <v>8.6300000000000008</v>
      </c>
      <c r="E449" s="51"/>
      <c r="F449" s="51"/>
      <c r="G449" s="51"/>
      <c r="H449" s="51"/>
      <c r="I449" s="51"/>
      <c r="J449" s="53"/>
      <c r="K449" s="53"/>
      <c r="L449" s="53"/>
      <c r="M449" s="53"/>
      <c r="N449" s="53"/>
      <c r="O449" s="139"/>
      <c r="P449" s="50"/>
      <c r="Q449" s="57"/>
      <c r="R449" s="12">
        <v>42356</v>
      </c>
      <c r="S449" s="11">
        <v>8.7349999999999994</v>
      </c>
      <c r="T449" s="148">
        <v>1.1162939297124599</v>
      </c>
      <c r="U449" s="148">
        <f t="shared" si="24"/>
        <v>7.8384037462576392</v>
      </c>
      <c r="V449" s="278">
        <f t="shared" si="25"/>
        <v>-8.5130533484677473E-3</v>
      </c>
      <c r="W449" s="278">
        <f t="shared" si="26"/>
        <v>-8.7558632271236333E-3</v>
      </c>
    </row>
    <row r="450" spans="1:23" x14ac:dyDescent="0.2">
      <c r="A450" s="8">
        <v>42348</v>
      </c>
      <c r="B450" s="9">
        <v>8.6150000000000002</v>
      </c>
      <c r="E450" s="51"/>
      <c r="F450" s="51"/>
      <c r="G450" s="51"/>
      <c r="H450" s="51"/>
      <c r="I450" s="51"/>
      <c r="J450" s="53"/>
      <c r="K450" s="53"/>
      <c r="L450" s="53"/>
      <c r="M450" s="53"/>
      <c r="N450" s="53"/>
      <c r="O450" s="139"/>
      <c r="P450" s="50"/>
      <c r="Q450" s="57"/>
      <c r="R450" s="12">
        <v>42359</v>
      </c>
      <c r="S450" s="11">
        <v>8.7750000000000004</v>
      </c>
      <c r="T450" s="148">
        <v>1.1214057507987221</v>
      </c>
      <c r="U450" s="148">
        <f t="shared" si="24"/>
        <v>7.8723947402108729</v>
      </c>
      <c r="V450" s="278">
        <f t="shared" si="25"/>
        <v>4.5792787635947629E-3</v>
      </c>
      <c r="W450" s="278">
        <f t="shared" si="26"/>
        <v>4.336468884938877E-3</v>
      </c>
    </row>
    <row r="451" spans="1:23" x14ac:dyDescent="0.2">
      <c r="A451" s="8">
        <v>42349</v>
      </c>
      <c r="B451" s="9">
        <v>8.43</v>
      </c>
      <c r="E451" s="51"/>
      <c r="F451" s="51"/>
      <c r="G451" s="51"/>
      <c r="H451" s="51"/>
      <c r="I451" s="51"/>
      <c r="J451" s="53"/>
      <c r="K451" s="53"/>
      <c r="L451" s="53"/>
      <c r="M451" s="53"/>
      <c r="N451" s="53"/>
      <c r="O451" s="139"/>
      <c r="P451" s="50"/>
      <c r="Q451" s="57"/>
      <c r="R451" s="12">
        <v>42360</v>
      </c>
      <c r="S451" s="11">
        <v>8.6999999999999993</v>
      </c>
      <c r="T451" s="148">
        <v>1.1118210862619806</v>
      </c>
      <c r="U451" s="148">
        <f t="shared" si="24"/>
        <v>7.8031978198692631</v>
      </c>
      <c r="V451" s="278">
        <f t="shared" si="25"/>
        <v>-8.5470085470086277E-3</v>
      </c>
      <c r="W451" s="278">
        <f t="shared" si="26"/>
        <v>-8.7898184256645136E-3</v>
      </c>
    </row>
    <row r="452" spans="1:23" x14ac:dyDescent="0.2">
      <c r="A452" s="8">
        <v>42352</v>
      </c>
      <c r="B452" s="9">
        <v>8.2449999999999992</v>
      </c>
      <c r="E452" s="51"/>
      <c r="F452" s="51"/>
      <c r="G452" s="51"/>
      <c r="H452" s="51"/>
      <c r="I452" s="51"/>
      <c r="J452" s="53"/>
      <c r="K452" s="53"/>
      <c r="L452" s="53"/>
      <c r="M452" s="53"/>
      <c r="N452" s="53"/>
      <c r="O452" s="139"/>
      <c r="P452" s="50"/>
      <c r="Q452" s="57"/>
      <c r="R452" s="12">
        <v>42361</v>
      </c>
      <c r="S452" s="11">
        <v>8.8350000000000009</v>
      </c>
      <c r="T452" s="148">
        <v>1.129073482428115</v>
      </c>
      <c r="U452" s="148">
        <f t="shared" si="24"/>
        <v>7.9223872304549134</v>
      </c>
      <c r="V452" s="278">
        <f t="shared" si="25"/>
        <v>1.5517241379310542E-2</v>
      </c>
      <c r="W452" s="278">
        <f t="shared" si="26"/>
        <v>1.5274431500654656E-2</v>
      </c>
    </row>
    <row r="453" spans="1:23" x14ac:dyDescent="0.2">
      <c r="A453" s="8">
        <v>42353</v>
      </c>
      <c r="B453" s="9">
        <v>8.58</v>
      </c>
      <c r="E453" s="51"/>
      <c r="F453" s="51"/>
      <c r="G453" s="51"/>
      <c r="H453" s="51"/>
      <c r="I453" s="51"/>
      <c r="J453" s="53"/>
      <c r="K453" s="53"/>
      <c r="L453" s="53"/>
      <c r="M453" s="53"/>
      <c r="N453" s="53"/>
      <c r="O453" s="139"/>
      <c r="P453" s="50"/>
      <c r="Q453" s="57"/>
      <c r="R453" s="12">
        <v>42366</v>
      </c>
      <c r="S453" s="11">
        <v>8.84</v>
      </c>
      <c r="T453" s="148">
        <v>1.1297124600638977</v>
      </c>
      <c r="U453" s="148">
        <f t="shared" si="24"/>
        <v>7.9249471207553075</v>
      </c>
      <c r="V453" s="278">
        <f t="shared" si="25"/>
        <v>5.6593095642321067E-4</v>
      </c>
      <c r="W453" s="278">
        <f t="shared" si="26"/>
        <v>3.2312107776732502E-4</v>
      </c>
    </row>
    <row r="454" spans="1:23" x14ac:dyDescent="0.2">
      <c r="A454" s="8">
        <v>42354</v>
      </c>
      <c r="B454" s="9">
        <v>8.6199999999999992</v>
      </c>
      <c r="E454" s="51"/>
      <c r="F454" s="51"/>
      <c r="G454" s="51"/>
      <c r="H454" s="51"/>
      <c r="I454" s="51"/>
      <c r="J454" s="53"/>
      <c r="K454" s="53"/>
      <c r="L454" s="53"/>
      <c r="M454" s="53"/>
      <c r="N454" s="53"/>
      <c r="O454" s="139"/>
      <c r="P454" s="50"/>
      <c r="Q454" s="57"/>
      <c r="R454" s="12">
        <v>42367</v>
      </c>
      <c r="S454" s="11">
        <v>8.9450000000000003</v>
      </c>
      <c r="T454" s="148">
        <v>1.1431309904153355</v>
      </c>
      <c r="U454" s="148">
        <f t="shared" si="24"/>
        <v>8.0171540245463024</v>
      </c>
      <c r="V454" s="278">
        <f t="shared" si="25"/>
        <v>1.18778280542986E-2</v>
      </c>
      <c r="W454" s="278">
        <f t="shared" si="26"/>
        <v>1.1635018175642714E-2</v>
      </c>
    </row>
    <row r="455" spans="1:23" x14ac:dyDescent="0.2">
      <c r="A455" s="8">
        <v>42355</v>
      </c>
      <c r="B455" s="9">
        <v>8.81</v>
      </c>
      <c r="E455" s="51"/>
      <c r="F455" s="51"/>
      <c r="G455" s="51"/>
      <c r="H455" s="51"/>
      <c r="I455" s="51"/>
      <c r="J455" s="53"/>
      <c r="K455" s="53"/>
      <c r="L455" s="53"/>
      <c r="M455" s="53"/>
      <c r="N455" s="53"/>
      <c r="O455" s="139"/>
      <c r="P455" s="50"/>
      <c r="Q455" s="57"/>
      <c r="R455" s="12">
        <v>42368</v>
      </c>
      <c r="S455" s="11">
        <v>8.8849999999999998</v>
      </c>
      <c r="T455" s="148">
        <v>1.1354632587859423</v>
      </c>
      <c r="U455" s="148">
        <f t="shared" si="24"/>
        <v>7.9614310537464359</v>
      </c>
      <c r="V455" s="278">
        <f t="shared" si="25"/>
        <v>-6.7076579094467181E-3</v>
      </c>
      <c r="W455" s="278">
        <f t="shared" si="26"/>
        <v>-6.9504677881026041E-3</v>
      </c>
    </row>
    <row r="456" spans="1:23" x14ac:dyDescent="0.2">
      <c r="A456" s="8">
        <v>42356</v>
      </c>
      <c r="B456" s="9">
        <v>8.7349999999999994</v>
      </c>
      <c r="E456" s="51"/>
      <c r="F456" s="51"/>
      <c r="G456" s="51"/>
      <c r="H456" s="51"/>
      <c r="I456" s="51"/>
      <c r="J456" s="53"/>
      <c r="K456" s="53"/>
      <c r="L456" s="53"/>
      <c r="M456" s="53"/>
      <c r="N456" s="53"/>
      <c r="O456" s="139"/>
      <c r="P456" s="50"/>
      <c r="Q456" s="57"/>
      <c r="R456" s="12">
        <v>42373</v>
      </c>
      <c r="S456" s="11">
        <v>8.59</v>
      </c>
      <c r="T456" s="148">
        <v>1.0977635782747603</v>
      </c>
      <c r="U456" s="148">
        <f t="shared" si="24"/>
        <v>7.6951622996996658</v>
      </c>
      <c r="V456" s="278">
        <f t="shared" si="25"/>
        <v>-3.3202025886325259E-2</v>
      </c>
      <c r="W456" s="278">
        <f t="shared" si="26"/>
        <v>-3.3444835764981147E-2</v>
      </c>
    </row>
    <row r="457" spans="1:23" x14ac:dyDescent="0.2">
      <c r="A457" s="8">
        <v>42359</v>
      </c>
      <c r="B457" s="9">
        <v>8.7750000000000004</v>
      </c>
      <c r="E457" s="51"/>
      <c r="F457" s="51"/>
      <c r="G457" s="51"/>
      <c r="H457" s="51"/>
      <c r="I457" s="51"/>
      <c r="J457" s="53"/>
      <c r="K457" s="53"/>
      <c r="L457" s="53"/>
      <c r="M457" s="53"/>
      <c r="N457" s="53"/>
      <c r="O457" s="139"/>
      <c r="P457" s="50"/>
      <c r="Q457" s="57"/>
      <c r="R457" s="12">
        <v>42374</v>
      </c>
      <c r="S457" s="11">
        <v>8.58</v>
      </c>
      <c r="T457" s="148">
        <v>1.096485623003195</v>
      </c>
      <c r="U457" s="148">
        <f t="shared" si="24"/>
        <v>7.6843355585318998</v>
      </c>
      <c r="V457" s="278">
        <f t="shared" si="25"/>
        <v>-1.1641443538998875E-3</v>
      </c>
      <c r="W457" s="278">
        <f t="shared" si="26"/>
        <v>-1.4069542325557732E-3</v>
      </c>
    </row>
    <row r="458" spans="1:23" x14ac:dyDescent="0.2">
      <c r="A458" s="8">
        <v>42360</v>
      </c>
      <c r="B458" s="9">
        <v>8.6999999999999993</v>
      </c>
      <c r="E458" s="51"/>
      <c r="F458" s="51"/>
      <c r="G458" s="51"/>
      <c r="H458" s="51"/>
      <c r="I458" s="51"/>
      <c r="J458" s="53"/>
      <c r="K458" s="53"/>
      <c r="L458" s="53"/>
      <c r="M458" s="53"/>
      <c r="N458" s="53"/>
      <c r="O458" s="139"/>
      <c r="P458" s="50"/>
      <c r="Q458" s="57"/>
      <c r="R458" s="12">
        <v>42375</v>
      </c>
      <c r="S458" s="11">
        <v>8.3650000000000002</v>
      </c>
      <c r="T458" s="148">
        <v>1.0690095846645367</v>
      </c>
      <c r="U458" s="148">
        <f t="shared" si="24"/>
        <v>7.489913531881605</v>
      </c>
      <c r="V458" s="278">
        <f t="shared" si="25"/>
        <v>-2.505827505827507E-2</v>
      </c>
      <c r="W458" s="278">
        <f t="shared" si="26"/>
        <v>-2.5301084936930954E-2</v>
      </c>
    </row>
    <row r="459" spans="1:23" x14ac:dyDescent="0.2">
      <c r="A459" s="8">
        <v>42361</v>
      </c>
      <c r="B459" s="9">
        <v>8.8350000000000009</v>
      </c>
      <c r="E459" s="51"/>
      <c r="F459" s="51"/>
      <c r="G459" s="51"/>
      <c r="H459" s="51"/>
      <c r="I459" s="51"/>
      <c r="J459" s="53"/>
      <c r="K459" s="53"/>
      <c r="L459" s="53"/>
      <c r="M459" s="53"/>
      <c r="N459" s="53"/>
      <c r="O459" s="139"/>
      <c r="P459" s="50"/>
      <c r="Q459" s="57"/>
      <c r="R459" s="12">
        <v>42376</v>
      </c>
      <c r="S459" s="11">
        <v>8.2050000000000001</v>
      </c>
      <c r="T459" s="148">
        <v>1.0485623003194888</v>
      </c>
      <c r="U459" s="148">
        <f t="shared" si="24"/>
        <v>7.3448329624624682</v>
      </c>
      <c r="V459" s="278">
        <f t="shared" si="25"/>
        <v>-1.9127316198445876E-2</v>
      </c>
      <c r="W459" s="278">
        <f t="shared" si="26"/>
        <v>-1.937012607710176E-2</v>
      </c>
    </row>
    <row r="460" spans="1:23" x14ac:dyDescent="0.2">
      <c r="A460" s="8">
        <v>42366</v>
      </c>
      <c r="B460" s="9">
        <v>8.84</v>
      </c>
      <c r="E460" s="51"/>
      <c r="F460" s="51"/>
      <c r="G460" s="51"/>
      <c r="H460" s="51"/>
      <c r="I460" s="51"/>
      <c r="J460" s="53"/>
      <c r="K460" s="53"/>
      <c r="L460" s="53"/>
      <c r="M460" s="53"/>
      <c r="N460" s="53"/>
      <c r="O460" s="139"/>
      <c r="P460" s="50"/>
      <c r="Q460" s="57"/>
      <c r="R460" s="12">
        <v>42377</v>
      </c>
      <c r="S460" s="11">
        <v>8.0050000000000008</v>
      </c>
      <c r="T460" s="148">
        <v>1.023003194888179</v>
      </c>
      <c r="U460" s="148">
        <f t="shared" si="24"/>
        <v>7.1640164636098822</v>
      </c>
      <c r="V460" s="278">
        <f t="shared" si="25"/>
        <v>-2.437538086532598E-2</v>
      </c>
      <c r="W460" s="278">
        <f t="shared" si="26"/>
        <v>-2.4618190743981864E-2</v>
      </c>
    </row>
    <row r="461" spans="1:23" x14ac:dyDescent="0.2">
      <c r="A461" s="8">
        <v>42367</v>
      </c>
      <c r="B461" s="9">
        <v>8.9450000000000003</v>
      </c>
      <c r="E461" s="51"/>
      <c r="F461" s="51"/>
      <c r="G461" s="51"/>
      <c r="H461" s="51"/>
      <c r="I461" s="51"/>
      <c r="J461" s="53"/>
      <c r="K461" s="53"/>
      <c r="L461" s="53"/>
      <c r="M461" s="53"/>
      <c r="N461" s="53"/>
      <c r="O461" s="139"/>
      <c r="P461" s="50"/>
      <c r="Q461" s="57"/>
      <c r="R461" s="12">
        <v>42380</v>
      </c>
      <c r="S461" s="11">
        <v>7.96</v>
      </c>
      <c r="T461" s="148">
        <v>1.0172523961661342</v>
      </c>
      <c r="U461" s="148">
        <f t="shared" si="24"/>
        <v>7.1220045472978226</v>
      </c>
      <c r="V461" s="278">
        <f t="shared" si="25"/>
        <v>-5.6214865708933415E-3</v>
      </c>
      <c r="W461" s="278">
        <f t="shared" si="26"/>
        <v>-5.8642964495492274E-3</v>
      </c>
    </row>
    <row r="462" spans="1:23" x14ac:dyDescent="0.2">
      <c r="A462" s="8">
        <v>42368</v>
      </c>
      <c r="B462" s="9">
        <v>8.8849999999999998</v>
      </c>
      <c r="E462" s="51"/>
      <c r="F462" s="51"/>
      <c r="G462" s="51"/>
      <c r="H462" s="51"/>
      <c r="I462" s="51"/>
      <c r="J462" s="53"/>
      <c r="K462" s="53"/>
      <c r="L462" s="53"/>
      <c r="M462" s="53"/>
      <c r="N462" s="53"/>
      <c r="O462" s="139"/>
      <c r="P462" s="50"/>
      <c r="Q462" s="57"/>
      <c r="R462" s="12">
        <v>42381</v>
      </c>
      <c r="S462" s="11">
        <v>8.15</v>
      </c>
      <c r="T462" s="148">
        <v>1.0415335463258786</v>
      </c>
      <c r="U462" s="148">
        <f t="shared" si="24"/>
        <v>7.2902728502161205</v>
      </c>
      <c r="V462" s="278">
        <f t="shared" si="25"/>
        <v>2.3869346733668362E-2</v>
      </c>
      <c r="W462" s="278">
        <f t="shared" si="26"/>
        <v>2.3626536855012478E-2</v>
      </c>
    </row>
    <row r="463" spans="1:23" x14ac:dyDescent="0.2">
      <c r="A463" s="8">
        <v>42373</v>
      </c>
      <c r="B463" s="9">
        <v>8.59</v>
      </c>
      <c r="E463" s="51"/>
      <c r="F463" s="51"/>
      <c r="G463" s="51"/>
      <c r="H463" s="51"/>
      <c r="I463" s="51"/>
      <c r="J463" s="53"/>
      <c r="K463" s="53"/>
      <c r="L463" s="53"/>
      <c r="M463" s="53"/>
      <c r="N463" s="53"/>
      <c r="O463" s="139"/>
      <c r="P463" s="50"/>
      <c r="Q463" s="57"/>
      <c r="R463" s="12">
        <v>42382</v>
      </c>
      <c r="S463" s="11">
        <v>8.24</v>
      </c>
      <c r="T463" s="148">
        <v>1.0530351437699681</v>
      </c>
      <c r="U463" s="148">
        <f t="shared" si="24"/>
        <v>7.3690087805045241</v>
      </c>
      <c r="V463" s="278">
        <f t="shared" si="25"/>
        <v>1.104294478527601E-2</v>
      </c>
      <c r="W463" s="278">
        <f t="shared" si="26"/>
        <v>1.0800134906620124E-2</v>
      </c>
    </row>
    <row r="464" spans="1:23" x14ac:dyDescent="0.2">
      <c r="A464" s="8">
        <v>42374</v>
      </c>
      <c r="B464" s="9">
        <v>8.58</v>
      </c>
      <c r="E464" s="51"/>
      <c r="F464" s="51"/>
      <c r="G464" s="51"/>
      <c r="H464" s="51"/>
      <c r="I464" s="51"/>
      <c r="J464" s="53"/>
      <c r="K464" s="53"/>
      <c r="L464" s="53"/>
      <c r="M464" s="53"/>
      <c r="N464" s="53"/>
      <c r="O464" s="139"/>
      <c r="P464" s="50"/>
      <c r="Q464" s="57"/>
      <c r="R464" s="12">
        <v>42383</v>
      </c>
      <c r="S464" s="11">
        <v>8.14</v>
      </c>
      <c r="T464" s="148">
        <v>1.0402555910543132</v>
      </c>
      <c r="U464" s="148">
        <f t="shared" si="24"/>
        <v>7.2777897941667096</v>
      </c>
      <c r="V464" s="278">
        <f t="shared" si="25"/>
        <v>-1.2135922330097082E-2</v>
      </c>
      <c r="W464" s="278">
        <f t="shared" si="26"/>
        <v>-1.2378732208752968E-2</v>
      </c>
    </row>
    <row r="465" spans="1:23" x14ac:dyDescent="0.2">
      <c r="A465" s="8">
        <v>42375</v>
      </c>
      <c r="B465" s="9">
        <v>8.3650000000000002</v>
      </c>
      <c r="E465" s="51"/>
      <c r="F465" s="51"/>
      <c r="G465" s="51"/>
      <c r="H465" s="51"/>
      <c r="I465" s="51"/>
      <c r="J465" s="53"/>
      <c r="K465" s="53"/>
      <c r="L465" s="53"/>
      <c r="M465" s="53"/>
      <c r="N465" s="53"/>
      <c r="O465" s="139"/>
      <c r="P465" s="50"/>
      <c r="Q465" s="57"/>
      <c r="R465" s="12">
        <v>42384</v>
      </c>
      <c r="S465" s="11">
        <v>7.83</v>
      </c>
      <c r="T465" s="148">
        <v>1.0006389776357827</v>
      </c>
      <c r="U465" s="148">
        <f t="shared" si="24"/>
        <v>6.9988586901197714</v>
      </c>
      <c r="V465" s="278">
        <f t="shared" si="25"/>
        <v>-3.8083538083538149E-2</v>
      </c>
      <c r="W465" s="278">
        <f t="shared" si="26"/>
        <v>-3.8326347962194036E-2</v>
      </c>
    </row>
    <row r="466" spans="1:23" x14ac:dyDescent="0.2">
      <c r="A466" s="8">
        <v>42376</v>
      </c>
      <c r="B466" s="9">
        <v>8.2050000000000001</v>
      </c>
      <c r="E466" s="51"/>
      <c r="F466" s="51"/>
      <c r="G466" s="51"/>
      <c r="H466" s="51"/>
      <c r="I466" s="51"/>
      <c r="J466" s="53"/>
      <c r="K466" s="53"/>
      <c r="L466" s="53"/>
      <c r="M466" s="53"/>
      <c r="N466" s="53"/>
      <c r="O466" s="139"/>
      <c r="P466" s="50"/>
      <c r="Q466" s="57"/>
      <c r="R466" s="12">
        <v>42387</v>
      </c>
      <c r="S466" s="11">
        <v>7.4550000000000001</v>
      </c>
      <c r="T466" s="148">
        <v>0.95271565495207666</v>
      </c>
      <c r="U466" s="148">
        <f t="shared" si="24"/>
        <v>6.6619649163797767</v>
      </c>
      <c r="V466" s="278">
        <f t="shared" si="25"/>
        <v>-4.789272030651337E-2</v>
      </c>
      <c r="W466" s="278">
        <f t="shared" si="26"/>
        <v>-4.8135530185169258E-2</v>
      </c>
    </row>
    <row r="467" spans="1:23" x14ac:dyDescent="0.2">
      <c r="A467" s="8">
        <v>42377</v>
      </c>
      <c r="B467" s="9">
        <v>8.0050000000000008</v>
      </c>
      <c r="E467" s="51"/>
      <c r="F467" s="51"/>
      <c r="G467" s="51"/>
      <c r="H467" s="51"/>
      <c r="I467" s="51"/>
      <c r="J467" s="53"/>
      <c r="K467" s="53"/>
      <c r="L467" s="53"/>
      <c r="M467" s="53"/>
      <c r="N467" s="53"/>
      <c r="O467" s="139"/>
      <c r="P467" s="50"/>
      <c r="Q467" s="57"/>
      <c r="R467" s="12">
        <v>42388</v>
      </c>
      <c r="S467" s="11">
        <v>7.61</v>
      </c>
      <c r="T467" s="148">
        <v>0.97252396166134192</v>
      </c>
      <c r="U467" s="148">
        <f t="shared" si="24"/>
        <v>6.7988590038287198</v>
      </c>
      <c r="V467" s="278">
        <f t="shared" si="25"/>
        <v>2.0791415157612292E-2</v>
      </c>
      <c r="W467" s="278">
        <f t="shared" si="26"/>
        <v>2.0548605278956408E-2</v>
      </c>
    </row>
    <row r="468" spans="1:23" x14ac:dyDescent="0.2">
      <c r="A468" s="8">
        <v>42380</v>
      </c>
      <c r="B468" s="9">
        <v>7.96</v>
      </c>
      <c r="E468" s="51"/>
      <c r="F468" s="51"/>
      <c r="G468" s="51"/>
      <c r="H468" s="51"/>
      <c r="I468" s="51"/>
      <c r="J468" s="53"/>
      <c r="K468" s="53"/>
      <c r="L468" s="53"/>
      <c r="M468" s="53"/>
      <c r="N468" s="53"/>
      <c r="O468" s="139"/>
      <c r="P468" s="50"/>
      <c r="Q468" s="57"/>
      <c r="R468" s="12">
        <v>42389</v>
      </c>
      <c r="S468" s="11">
        <v>7.3049999999999997</v>
      </c>
      <c r="T468" s="148">
        <v>0.93354632587859421</v>
      </c>
      <c r="U468" s="148">
        <f t="shared" si="24"/>
        <v>6.5247177668438425</v>
      </c>
      <c r="V468" s="278">
        <f t="shared" si="25"/>
        <v>-4.0078843626806915E-2</v>
      </c>
      <c r="W468" s="278">
        <f t="shared" si="26"/>
        <v>-4.0321653505462803E-2</v>
      </c>
    </row>
    <row r="469" spans="1:23" x14ac:dyDescent="0.2">
      <c r="A469" s="8">
        <v>42381</v>
      </c>
      <c r="B469" s="9">
        <v>8.15</v>
      </c>
      <c r="E469" s="51"/>
      <c r="F469" s="51"/>
      <c r="G469" s="51"/>
      <c r="H469" s="51"/>
      <c r="I469" s="51"/>
      <c r="J469" s="53"/>
      <c r="K469" s="53"/>
      <c r="L469" s="53"/>
      <c r="M469" s="53"/>
      <c r="N469" s="53"/>
      <c r="O469" s="139"/>
      <c r="P469" s="50"/>
      <c r="Q469" s="57"/>
      <c r="R469" s="12">
        <v>42390</v>
      </c>
      <c r="S469" s="11">
        <v>7.71</v>
      </c>
      <c r="T469" s="148">
        <v>0.98530351437699681</v>
      </c>
      <c r="U469" s="148">
        <f t="shared" si="24"/>
        <v>6.8848735003084167</v>
      </c>
      <c r="V469" s="278">
        <f t="shared" si="25"/>
        <v>5.544147843942504E-2</v>
      </c>
      <c r="W469" s="278">
        <f t="shared" si="26"/>
        <v>5.5198668560769153E-2</v>
      </c>
    </row>
    <row r="470" spans="1:23" x14ac:dyDescent="0.2">
      <c r="A470" s="8">
        <v>42382</v>
      </c>
      <c r="B470" s="9">
        <v>8.24</v>
      </c>
      <c r="E470" s="51"/>
      <c r="F470" s="51"/>
      <c r="G470" s="51"/>
      <c r="H470" s="51"/>
      <c r="I470" s="51"/>
      <c r="J470" s="53"/>
      <c r="K470" s="53"/>
      <c r="L470" s="53"/>
      <c r="M470" s="53"/>
      <c r="N470" s="53"/>
      <c r="O470" s="139"/>
      <c r="P470" s="50"/>
      <c r="Q470" s="57"/>
      <c r="R470" s="12">
        <v>42391</v>
      </c>
      <c r="S470" s="11">
        <v>7.7350000000000003</v>
      </c>
      <c r="T470" s="148">
        <v>0.98849840255591059</v>
      </c>
      <c r="U470" s="148">
        <f t="shared" si="24"/>
        <v>6.905526277552398</v>
      </c>
      <c r="V470" s="278">
        <f t="shared" si="25"/>
        <v>3.2425421530479781E-3</v>
      </c>
      <c r="W470" s="278">
        <f t="shared" si="26"/>
        <v>2.9997322743920921E-3</v>
      </c>
    </row>
    <row r="471" spans="1:23" x14ac:dyDescent="0.2">
      <c r="A471" s="8">
        <v>42383</v>
      </c>
      <c r="B471" s="9">
        <v>8.14</v>
      </c>
      <c r="E471" s="51"/>
      <c r="F471" s="51"/>
      <c r="G471" s="51"/>
      <c r="H471" s="51"/>
      <c r="I471" s="51"/>
      <c r="J471" s="53"/>
      <c r="K471" s="53"/>
      <c r="L471" s="53"/>
      <c r="M471" s="53"/>
      <c r="N471" s="53"/>
      <c r="O471" s="139"/>
      <c r="P471" s="50"/>
      <c r="Q471" s="57"/>
      <c r="R471" s="12">
        <v>42394</v>
      </c>
      <c r="S471" s="11">
        <v>7.4850000000000003</v>
      </c>
      <c r="T471" s="148">
        <v>0.95654952076677313</v>
      </c>
      <c r="U471" s="148">
        <f t="shared" si="24"/>
        <v>6.6806586529992211</v>
      </c>
      <c r="V471" s="278">
        <f t="shared" si="25"/>
        <v>-3.232062055591467E-2</v>
      </c>
      <c r="W471" s="278">
        <f t="shared" si="26"/>
        <v>-3.2563430434570557E-2</v>
      </c>
    </row>
    <row r="472" spans="1:23" x14ac:dyDescent="0.2">
      <c r="A472" s="8">
        <v>42384</v>
      </c>
      <c r="B472" s="9">
        <v>7.83</v>
      </c>
      <c r="E472" s="51"/>
      <c r="F472" s="51"/>
      <c r="G472" s="51"/>
      <c r="H472" s="51"/>
      <c r="I472" s="51"/>
      <c r="J472" s="53"/>
      <c r="K472" s="53"/>
      <c r="L472" s="53"/>
      <c r="M472" s="53"/>
      <c r="N472" s="53"/>
      <c r="O472" s="139"/>
      <c r="P472" s="50"/>
      <c r="Q472" s="57"/>
      <c r="R472" s="12">
        <v>42395</v>
      </c>
      <c r="S472" s="11">
        <v>7.6050000000000004</v>
      </c>
      <c r="T472" s="148">
        <v>0.97188498402555912</v>
      </c>
      <c r="U472" s="148">
        <f t="shared" si="24"/>
        <v>6.7861412710262199</v>
      </c>
      <c r="V472" s="278">
        <f t="shared" si="25"/>
        <v>1.6032064128256529E-2</v>
      </c>
      <c r="W472" s="278">
        <f t="shared" si="26"/>
        <v>1.5789254249600645E-2</v>
      </c>
    </row>
    <row r="473" spans="1:23" x14ac:dyDescent="0.2">
      <c r="A473" s="8">
        <v>42387</v>
      </c>
      <c r="B473" s="9">
        <v>7.4550000000000001</v>
      </c>
      <c r="E473" s="51"/>
      <c r="F473" s="51"/>
      <c r="G473" s="51"/>
      <c r="H473" s="51"/>
      <c r="I473" s="51"/>
      <c r="J473" s="53"/>
      <c r="K473" s="53"/>
      <c r="L473" s="53"/>
      <c r="M473" s="53"/>
      <c r="N473" s="53"/>
      <c r="O473" s="139"/>
      <c r="P473" s="50"/>
      <c r="Q473" s="57"/>
      <c r="R473" s="12">
        <v>42396</v>
      </c>
      <c r="S473" s="11">
        <v>7.49</v>
      </c>
      <c r="T473" s="148">
        <v>0.95718849840255593</v>
      </c>
      <c r="U473" s="148">
        <f t="shared" ref="U473:U536" si="27">U472*(1+W473)</f>
        <v>6.681876008024016</v>
      </c>
      <c r="V473" s="278">
        <f t="shared" ref="V473:V536" si="28">S473/S472-1</f>
        <v>-1.5121630506245931E-2</v>
      </c>
      <c r="W473" s="278">
        <f t="shared" ref="W473:W536" si="29">V473-$V$3+$W$2</f>
        <v>-1.5364440384901817E-2</v>
      </c>
    </row>
    <row r="474" spans="1:23" x14ac:dyDescent="0.2">
      <c r="A474" s="8">
        <v>42388</v>
      </c>
      <c r="B474" s="9">
        <v>7.61</v>
      </c>
      <c r="E474" s="51"/>
      <c r="F474" s="51"/>
      <c r="G474" s="51"/>
      <c r="H474" s="51"/>
      <c r="I474" s="51"/>
      <c r="J474" s="53"/>
      <c r="K474" s="53"/>
      <c r="L474" s="53"/>
      <c r="M474" s="53"/>
      <c r="N474" s="53"/>
      <c r="O474" s="139"/>
      <c r="P474" s="50"/>
      <c r="Q474" s="57"/>
      <c r="R474" s="12">
        <v>42397</v>
      </c>
      <c r="S474" s="11">
        <v>7.08</v>
      </c>
      <c r="T474" s="148">
        <v>0.90479233226837064</v>
      </c>
      <c r="U474" s="148">
        <f t="shared" si="27"/>
        <v>6.3144900093183978</v>
      </c>
      <c r="V474" s="278">
        <f t="shared" si="28"/>
        <v>-5.4739652870493982E-2</v>
      </c>
      <c r="W474" s="278">
        <f t="shared" si="29"/>
        <v>-5.498246274914987E-2</v>
      </c>
    </row>
    <row r="475" spans="1:23" x14ac:dyDescent="0.2">
      <c r="A475" s="8">
        <v>42389</v>
      </c>
      <c r="B475" s="9">
        <v>7.3049999999999997</v>
      </c>
      <c r="E475" s="51"/>
      <c r="F475" s="51"/>
      <c r="G475" s="51"/>
      <c r="H475" s="51"/>
      <c r="I475" s="51"/>
      <c r="J475" s="53"/>
      <c r="K475" s="53"/>
      <c r="L475" s="53"/>
      <c r="M475" s="53"/>
      <c r="N475" s="53"/>
      <c r="O475" s="139"/>
      <c r="P475" s="50"/>
      <c r="Q475" s="57"/>
      <c r="R475" s="12">
        <v>42398</v>
      </c>
      <c r="S475" s="11">
        <v>7.3650000000000002</v>
      </c>
      <c r="T475" s="148">
        <v>0.94121405750798726</v>
      </c>
      <c r="U475" s="148">
        <f t="shared" si="27"/>
        <v>6.5671417679541246</v>
      </c>
      <c r="V475" s="278">
        <f t="shared" si="28"/>
        <v>4.0254237288135597E-2</v>
      </c>
      <c r="W475" s="278">
        <f t="shared" si="29"/>
        <v>4.0011427409479709E-2</v>
      </c>
    </row>
    <row r="476" spans="1:23" x14ac:dyDescent="0.2">
      <c r="A476" s="8">
        <v>42390</v>
      </c>
      <c r="B476" s="9">
        <v>7.71</v>
      </c>
      <c r="E476" s="51"/>
      <c r="F476" s="51"/>
      <c r="G476" s="51"/>
      <c r="H476" s="51"/>
      <c r="I476" s="51"/>
      <c r="J476" s="53"/>
      <c r="K476" s="53"/>
      <c r="L476" s="53"/>
      <c r="M476" s="53"/>
      <c r="N476" s="53"/>
      <c r="O476" s="139"/>
      <c r="P476" s="50"/>
      <c r="Q476" s="57"/>
      <c r="R476" s="12">
        <v>42401</v>
      </c>
      <c r="S476" s="11">
        <v>7.1349999999999998</v>
      </c>
      <c r="T476" s="148">
        <v>0.91182108626198077</v>
      </c>
      <c r="U476" s="148">
        <f t="shared" si="27"/>
        <v>6.3604633440821674</v>
      </c>
      <c r="V476" s="278">
        <f t="shared" si="28"/>
        <v>-3.1228784792939668E-2</v>
      </c>
      <c r="W476" s="278">
        <f t="shared" si="29"/>
        <v>-3.1471594671595556E-2</v>
      </c>
    </row>
    <row r="477" spans="1:23" x14ac:dyDescent="0.2">
      <c r="A477" s="8">
        <v>42391</v>
      </c>
      <c r="B477" s="9">
        <v>7.7350000000000003</v>
      </c>
      <c r="E477" s="51"/>
      <c r="F477" s="51"/>
      <c r="G477" s="51"/>
      <c r="H477" s="51"/>
      <c r="I477" s="51"/>
      <c r="J477" s="53"/>
      <c r="K477" s="53"/>
      <c r="L477" s="53"/>
      <c r="M477" s="53"/>
      <c r="N477" s="53"/>
      <c r="O477" s="139"/>
      <c r="P477" s="50"/>
      <c r="Q477" s="57"/>
      <c r="R477" s="12">
        <v>42402</v>
      </c>
      <c r="S477" s="11">
        <v>6.9399999999999995</v>
      </c>
      <c r="T477" s="148">
        <v>0.88690095846645356</v>
      </c>
      <c r="U477" s="148">
        <f t="shared" si="27"/>
        <v>6.1850870964051738</v>
      </c>
      <c r="V477" s="278">
        <f t="shared" si="28"/>
        <v>-2.7330063069376354E-2</v>
      </c>
      <c r="W477" s="278">
        <f t="shared" si="29"/>
        <v>-2.7572872948032238E-2</v>
      </c>
    </row>
    <row r="478" spans="1:23" x14ac:dyDescent="0.2">
      <c r="A478" s="8">
        <v>42394</v>
      </c>
      <c r="B478" s="9">
        <v>7.4850000000000003</v>
      </c>
      <c r="E478" s="51"/>
      <c r="F478" s="51"/>
      <c r="G478" s="51"/>
      <c r="H478" s="51"/>
      <c r="I478" s="51"/>
      <c r="J478" s="53"/>
      <c r="K478" s="53"/>
      <c r="L478" s="53"/>
      <c r="M478" s="53"/>
      <c r="N478" s="53"/>
      <c r="O478" s="139"/>
      <c r="P478" s="50"/>
      <c r="Q478" s="57"/>
      <c r="R478" s="12">
        <v>42403</v>
      </c>
      <c r="S478" s="11">
        <v>6.625</v>
      </c>
      <c r="T478" s="148">
        <v>0.84664536741214058</v>
      </c>
      <c r="U478" s="148">
        <f t="shared" si="27"/>
        <v>5.9028500749232915</v>
      </c>
      <c r="V478" s="278">
        <f t="shared" si="28"/>
        <v>-4.538904899135443E-2</v>
      </c>
      <c r="W478" s="278">
        <f t="shared" si="29"/>
        <v>-4.5631858870010318E-2</v>
      </c>
    </row>
    <row r="479" spans="1:23" x14ac:dyDescent="0.2">
      <c r="A479" s="8">
        <v>42395</v>
      </c>
      <c r="B479" s="9">
        <v>7.6050000000000004</v>
      </c>
      <c r="E479" s="51"/>
      <c r="F479" s="51"/>
      <c r="G479" s="51"/>
      <c r="H479" s="51"/>
      <c r="I479" s="51"/>
      <c r="J479" s="53"/>
      <c r="K479" s="53"/>
      <c r="L479" s="53"/>
      <c r="M479" s="53"/>
      <c r="N479" s="53"/>
      <c r="O479" s="139"/>
      <c r="P479" s="50"/>
      <c r="Q479" s="57"/>
      <c r="R479" s="12">
        <v>42404</v>
      </c>
      <c r="S479" s="11">
        <v>6.77</v>
      </c>
      <c r="T479" s="148">
        <v>0.86517571884984024</v>
      </c>
      <c r="U479" s="148">
        <f t="shared" si="27"/>
        <v>6.0306112590828933</v>
      </c>
      <c r="V479" s="278">
        <f t="shared" si="28"/>
        <v>2.1886792452830095E-2</v>
      </c>
      <c r="W479" s="278">
        <f t="shared" si="29"/>
        <v>2.1643982574174211E-2</v>
      </c>
    </row>
    <row r="480" spans="1:23" x14ac:dyDescent="0.2">
      <c r="A480" s="8">
        <v>42396</v>
      </c>
      <c r="B480" s="9">
        <v>7.49</v>
      </c>
      <c r="E480" s="51"/>
      <c r="F480" s="51"/>
      <c r="G480" s="51"/>
      <c r="H480" s="51"/>
      <c r="I480" s="51"/>
      <c r="J480" s="53"/>
      <c r="K480" s="53"/>
      <c r="L480" s="53"/>
      <c r="M480" s="53"/>
      <c r="N480" s="53"/>
      <c r="O480" s="139"/>
      <c r="P480" s="50"/>
      <c r="Q480" s="57"/>
      <c r="R480" s="12">
        <v>42405</v>
      </c>
      <c r="S480" s="11">
        <v>6.6</v>
      </c>
      <c r="T480" s="148">
        <v>0.8434504792332268</v>
      </c>
      <c r="U480" s="148">
        <f t="shared" si="27"/>
        <v>5.8777135972212813</v>
      </c>
      <c r="V480" s="278">
        <f t="shared" si="28"/>
        <v>-2.5110782865583436E-2</v>
      </c>
      <c r="W480" s="278">
        <f t="shared" si="29"/>
        <v>-2.5353592744239321E-2</v>
      </c>
    </row>
    <row r="481" spans="1:23" x14ac:dyDescent="0.2">
      <c r="A481" s="8">
        <v>42397</v>
      </c>
      <c r="B481" s="9">
        <v>7.08</v>
      </c>
      <c r="E481" s="51"/>
      <c r="F481" s="51"/>
      <c r="G481" s="51"/>
      <c r="H481" s="51"/>
      <c r="I481" s="51"/>
      <c r="J481" s="53"/>
      <c r="K481" s="53"/>
      <c r="L481" s="53"/>
      <c r="M481" s="53"/>
      <c r="N481" s="53"/>
      <c r="O481" s="139"/>
      <c r="P481" s="50"/>
      <c r="Q481" s="57"/>
      <c r="R481" s="12">
        <v>42408</v>
      </c>
      <c r="S481" s="11">
        <v>5.9850000000000003</v>
      </c>
      <c r="T481" s="148">
        <v>0.76485623003194891</v>
      </c>
      <c r="U481" s="148">
        <f t="shared" si="27"/>
        <v>5.3285903905548926</v>
      </c>
      <c r="V481" s="278">
        <f t="shared" si="28"/>
        <v>-9.3181818181818032E-2</v>
      </c>
      <c r="W481" s="278">
        <f t="shared" si="29"/>
        <v>-9.3424628060473913E-2</v>
      </c>
    </row>
    <row r="482" spans="1:23" x14ac:dyDescent="0.2">
      <c r="A482" s="8">
        <v>42398</v>
      </c>
      <c r="B482" s="9">
        <v>7.3650000000000002</v>
      </c>
      <c r="E482" s="51"/>
      <c r="F482" s="51"/>
      <c r="G482" s="51"/>
      <c r="H482" s="51"/>
      <c r="I482" s="51"/>
      <c r="J482" s="53"/>
      <c r="K482" s="53"/>
      <c r="L482" s="53"/>
      <c r="M482" s="53"/>
      <c r="N482" s="53"/>
      <c r="O482" s="139"/>
      <c r="P482" s="50"/>
      <c r="Q482" s="57"/>
      <c r="R482" s="12">
        <v>42409</v>
      </c>
      <c r="S482" s="11">
        <v>5.65</v>
      </c>
      <c r="T482" s="148">
        <v>0.72204472843450485</v>
      </c>
      <c r="U482" s="148">
        <f t="shared" si="27"/>
        <v>5.0290379461711128</v>
      </c>
      <c r="V482" s="278">
        <f t="shared" si="28"/>
        <v>-5.597326649958223E-2</v>
      </c>
      <c r="W482" s="278">
        <f t="shared" si="29"/>
        <v>-5.6216076378238118E-2</v>
      </c>
    </row>
    <row r="483" spans="1:23" x14ac:dyDescent="0.2">
      <c r="A483" s="8">
        <v>42401</v>
      </c>
      <c r="B483" s="9">
        <v>7.1349999999999998</v>
      </c>
      <c r="E483" s="51"/>
      <c r="F483" s="51"/>
      <c r="G483" s="51"/>
      <c r="H483" s="51"/>
      <c r="I483" s="51"/>
      <c r="J483" s="53"/>
      <c r="K483" s="53"/>
      <c r="L483" s="53"/>
      <c r="M483" s="53"/>
      <c r="N483" s="53"/>
      <c r="O483" s="139"/>
      <c r="P483" s="50"/>
      <c r="Q483" s="57"/>
      <c r="R483" s="12">
        <v>42410</v>
      </c>
      <c r="S483" s="11">
        <v>6.0750000000000002</v>
      </c>
      <c r="T483" s="148">
        <v>0.77635782747603832</v>
      </c>
      <c r="U483" s="148">
        <f t="shared" si="27"/>
        <v>5.4061073110551199</v>
      </c>
      <c r="V483" s="278">
        <f t="shared" si="28"/>
        <v>7.5221238938053103E-2</v>
      </c>
      <c r="W483" s="278">
        <f t="shared" si="29"/>
        <v>7.4978429059397222E-2</v>
      </c>
    </row>
    <row r="484" spans="1:23" x14ac:dyDescent="0.2">
      <c r="A484" s="8">
        <v>42402</v>
      </c>
      <c r="B484" s="9">
        <v>6.9399999999999995</v>
      </c>
      <c r="E484" s="51"/>
      <c r="F484" s="51"/>
      <c r="G484" s="51"/>
      <c r="H484" s="51"/>
      <c r="I484" s="51"/>
      <c r="J484" s="53"/>
      <c r="K484" s="53"/>
      <c r="L484" s="53"/>
      <c r="M484" s="53"/>
      <c r="N484" s="53"/>
      <c r="O484" s="139"/>
      <c r="P484" s="50"/>
      <c r="Q484" s="57"/>
      <c r="R484" s="12">
        <v>42411</v>
      </c>
      <c r="S484" s="11">
        <v>5.7549999999999999</v>
      </c>
      <c r="T484" s="148">
        <v>0.73546325878594243</v>
      </c>
      <c r="U484" s="148">
        <f t="shared" si="27"/>
        <v>5.1200285083689732</v>
      </c>
      <c r="V484" s="278">
        <f t="shared" si="28"/>
        <v>-5.267489711934159E-2</v>
      </c>
      <c r="W484" s="278">
        <f t="shared" si="29"/>
        <v>-5.2917706997997478E-2</v>
      </c>
    </row>
    <row r="485" spans="1:23" x14ac:dyDescent="0.2">
      <c r="A485" s="8">
        <v>42403</v>
      </c>
      <c r="B485" s="9">
        <v>6.625</v>
      </c>
      <c r="E485" s="51"/>
      <c r="F485" s="51"/>
      <c r="G485" s="51"/>
      <c r="H485" s="51"/>
      <c r="I485" s="51"/>
      <c r="J485" s="53"/>
      <c r="K485" s="53"/>
      <c r="L485" s="53"/>
      <c r="M485" s="53"/>
      <c r="N485" s="53"/>
      <c r="O485" s="139"/>
      <c r="P485" s="50"/>
      <c r="Q485" s="57"/>
      <c r="R485" s="12">
        <v>42412</v>
      </c>
      <c r="S485" s="11">
        <v>5.8650000000000002</v>
      </c>
      <c r="T485" s="148">
        <v>0.74952076677316293</v>
      </c>
      <c r="U485" s="148">
        <f t="shared" si="27"/>
        <v>5.21664858783436</v>
      </c>
      <c r="V485" s="278">
        <f t="shared" si="28"/>
        <v>1.9113814074717794E-2</v>
      </c>
      <c r="W485" s="278">
        <f t="shared" si="29"/>
        <v>1.887100419606191E-2</v>
      </c>
    </row>
    <row r="486" spans="1:23" x14ac:dyDescent="0.2">
      <c r="A486" s="8">
        <v>42404</v>
      </c>
      <c r="B486" s="9">
        <v>6.77</v>
      </c>
      <c r="E486" s="51"/>
      <c r="F486" s="51"/>
      <c r="G486" s="51"/>
      <c r="H486" s="51"/>
      <c r="I486" s="51"/>
      <c r="J486" s="53"/>
      <c r="K486" s="53"/>
      <c r="L486" s="53"/>
      <c r="M486" s="53"/>
      <c r="N486" s="53"/>
      <c r="O486" s="139"/>
      <c r="P486" s="50"/>
      <c r="Q486" s="57"/>
      <c r="R486" s="12">
        <v>42415</v>
      </c>
      <c r="S486" s="11">
        <v>6.0350000000000001</v>
      </c>
      <c r="T486" s="148">
        <v>0.77124600638977636</v>
      </c>
      <c r="U486" s="148">
        <f t="shared" si="27"/>
        <v>5.366589139468231</v>
      </c>
      <c r="V486" s="278">
        <f t="shared" si="28"/>
        <v>2.8985507246376718E-2</v>
      </c>
      <c r="W486" s="278">
        <f t="shared" si="29"/>
        <v>2.8742697367720834E-2</v>
      </c>
    </row>
    <row r="487" spans="1:23" x14ac:dyDescent="0.2">
      <c r="A487" s="8">
        <v>42405</v>
      </c>
      <c r="B487" s="9">
        <v>6.6</v>
      </c>
      <c r="E487" s="51"/>
      <c r="F487" s="51"/>
      <c r="G487" s="51"/>
      <c r="H487" s="51"/>
      <c r="I487" s="51"/>
      <c r="J487" s="53"/>
      <c r="K487" s="53"/>
      <c r="L487" s="53"/>
      <c r="M487" s="53"/>
      <c r="N487" s="53"/>
      <c r="O487" s="139"/>
      <c r="P487" s="50"/>
      <c r="Q487" s="57"/>
      <c r="R487" s="12">
        <v>42416</v>
      </c>
      <c r="S487" s="11">
        <v>6.09</v>
      </c>
      <c r="T487" s="148">
        <v>0.7782747603833865</v>
      </c>
      <c r="U487" s="148">
        <f t="shared" si="27"/>
        <v>5.4141945131872413</v>
      </c>
      <c r="V487" s="278">
        <f t="shared" si="28"/>
        <v>9.1135045567523054E-3</v>
      </c>
      <c r="W487" s="278">
        <f t="shared" si="29"/>
        <v>8.8706946780964194E-3</v>
      </c>
    </row>
    <row r="488" spans="1:23" x14ac:dyDescent="0.2">
      <c r="A488" s="8">
        <v>42408</v>
      </c>
      <c r="B488" s="9">
        <v>5.9850000000000003</v>
      </c>
      <c r="E488" s="51"/>
      <c r="F488" s="51"/>
      <c r="G488" s="51"/>
      <c r="H488" s="51"/>
      <c r="I488" s="51"/>
      <c r="J488" s="53"/>
      <c r="K488" s="53"/>
      <c r="L488" s="53"/>
      <c r="M488" s="53"/>
      <c r="N488" s="53"/>
      <c r="O488" s="139"/>
      <c r="P488" s="50"/>
      <c r="Q488" s="57"/>
      <c r="R488" s="12">
        <v>42417</v>
      </c>
      <c r="S488" s="11">
        <v>6.2050000000000001</v>
      </c>
      <c r="T488" s="148">
        <v>0.7929712460063898</v>
      </c>
      <c r="U488" s="148">
        <f t="shared" si="27"/>
        <v>5.5151183775136428</v>
      </c>
      <c r="V488" s="278">
        <f t="shared" si="28"/>
        <v>1.8883415435139606E-2</v>
      </c>
      <c r="W488" s="278">
        <f t="shared" si="29"/>
        <v>1.8640605556483721E-2</v>
      </c>
    </row>
    <row r="489" spans="1:23" x14ac:dyDescent="0.2">
      <c r="A489" s="8">
        <v>42409</v>
      </c>
      <c r="B489" s="9">
        <v>5.65</v>
      </c>
      <c r="E489" s="51"/>
      <c r="F489" s="51"/>
      <c r="G489" s="51"/>
      <c r="H489" s="51"/>
      <c r="I489" s="51"/>
      <c r="J489" s="53"/>
      <c r="K489" s="53"/>
      <c r="L489" s="53"/>
      <c r="M489" s="53"/>
      <c r="N489" s="53"/>
      <c r="O489" s="139"/>
      <c r="P489" s="50"/>
      <c r="Q489" s="57"/>
      <c r="R489" s="12">
        <v>42418</v>
      </c>
      <c r="S489" s="11">
        <v>6.0250000000000004</v>
      </c>
      <c r="T489" s="148">
        <v>0.76996805111821087</v>
      </c>
      <c r="U489" s="148">
        <f t="shared" si="27"/>
        <v>5.3537919343279086</v>
      </c>
      <c r="V489" s="278">
        <f t="shared" si="28"/>
        <v>-2.9008863819500408E-2</v>
      </c>
      <c r="W489" s="278">
        <f t="shared" si="29"/>
        <v>-2.9251673698156292E-2</v>
      </c>
    </row>
    <row r="490" spans="1:23" x14ac:dyDescent="0.2">
      <c r="A490" s="8">
        <v>42410</v>
      </c>
      <c r="B490" s="9">
        <v>6.0750000000000002</v>
      </c>
      <c r="E490" s="51"/>
      <c r="F490" s="51"/>
      <c r="G490" s="51"/>
      <c r="H490" s="51"/>
      <c r="I490" s="51"/>
      <c r="J490" s="53"/>
      <c r="K490" s="53"/>
      <c r="L490" s="53"/>
      <c r="M490" s="53"/>
      <c r="N490" s="53"/>
      <c r="O490" s="139"/>
      <c r="P490" s="50"/>
      <c r="Q490" s="57"/>
      <c r="R490" s="12">
        <v>42419</v>
      </c>
      <c r="S490" s="11">
        <v>5.9749999999999996</v>
      </c>
      <c r="T490" s="148">
        <v>0.76357827476038331</v>
      </c>
      <c r="U490" s="148">
        <f t="shared" si="27"/>
        <v>5.3080621721743508</v>
      </c>
      <c r="V490" s="278">
        <f t="shared" si="28"/>
        <v>-8.2987551867220732E-3</v>
      </c>
      <c r="W490" s="278">
        <f t="shared" si="29"/>
        <v>-8.5415650653779592E-3</v>
      </c>
    </row>
    <row r="491" spans="1:23" x14ac:dyDescent="0.2">
      <c r="A491" s="8">
        <v>42411</v>
      </c>
      <c r="B491" s="9">
        <v>5.7549999999999999</v>
      </c>
      <c r="E491" s="51"/>
      <c r="F491" s="51"/>
      <c r="G491" s="51"/>
      <c r="H491" s="51"/>
      <c r="I491" s="51"/>
      <c r="J491" s="53"/>
      <c r="K491" s="53"/>
      <c r="L491" s="53"/>
      <c r="M491" s="53"/>
      <c r="N491" s="53"/>
      <c r="O491" s="139"/>
      <c r="P491" s="50"/>
      <c r="Q491" s="57"/>
      <c r="R491" s="12">
        <v>42422</v>
      </c>
      <c r="S491" s="11">
        <v>6.2149999999999999</v>
      </c>
      <c r="T491" s="148">
        <v>0.79424920127795529</v>
      </c>
      <c r="U491" s="148">
        <f t="shared" si="27"/>
        <v>5.5199841877356226</v>
      </c>
      <c r="V491" s="278">
        <f t="shared" si="28"/>
        <v>4.0167364016736373E-2</v>
      </c>
      <c r="W491" s="278">
        <f t="shared" si="29"/>
        <v>3.9924554138080486E-2</v>
      </c>
    </row>
    <row r="492" spans="1:23" x14ac:dyDescent="0.2">
      <c r="A492" s="8">
        <v>42412</v>
      </c>
      <c r="B492" s="9">
        <v>5.8650000000000002</v>
      </c>
      <c r="E492" s="51"/>
      <c r="F492" s="51"/>
      <c r="G492" s="51"/>
      <c r="H492" s="51"/>
      <c r="I492" s="51"/>
      <c r="J492" s="53"/>
      <c r="K492" s="53"/>
      <c r="L492" s="53"/>
      <c r="M492" s="53"/>
      <c r="N492" s="53"/>
      <c r="O492" s="139"/>
      <c r="P492" s="50"/>
      <c r="Q492" s="57"/>
      <c r="R492" s="12">
        <v>42423</v>
      </c>
      <c r="S492" s="11">
        <v>6.06</v>
      </c>
      <c r="T492" s="148">
        <v>0.77444089456869003</v>
      </c>
      <c r="U492" s="148">
        <f t="shared" si="27"/>
        <v>5.3809773405622705</v>
      </c>
      <c r="V492" s="278">
        <f t="shared" si="28"/>
        <v>-2.4939662107803739E-2</v>
      </c>
      <c r="W492" s="278">
        <f t="shared" si="29"/>
        <v>-2.5182471986459624E-2</v>
      </c>
    </row>
    <row r="493" spans="1:23" x14ac:dyDescent="0.2">
      <c r="A493" s="8">
        <v>42415</v>
      </c>
      <c r="B493" s="9">
        <v>6.0350000000000001</v>
      </c>
      <c r="E493" s="51"/>
      <c r="F493" s="51"/>
      <c r="G493" s="51"/>
      <c r="H493" s="51"/>
      <c r="I493" s="51"/>
      <c r="J493" s="53"/>
      <c r="K493" s="53"/>
      <c r="L493" s="53"/>
      <c r="M493" s="53"/>
      <c r="N493" s="53"/>
      <c r="O493" s="139"/>
      <c r="P493" s="50"/>
      <c r="Q493" s="57"/>
      <c r="R493" s="12">
        <v>42424</v>
      </c>
      <c r="S493" s="11">
        <v>5.9950000000000001</v>
      </c>
      <c r="T493" s="148">
        <v>0.7661341853035144</v>
      </c>
      <c r="U493" s="148">
        <f t="shared" si="27"/>
        <v>5.3219540324542631</v>
      </c>
      <c r="V493" s="278">
        <f t="shared" si="28"/>
        <v>-1.0726072607260662E-2</v>
      </c>
      <c r="W493" s="278">
        <f t="shared" si="29"/>
        <v>-1.0968882485916548E-2</v>
      </c>
    </row>
    <row r="494" spans="1:23" x14ac:dyDescent="0.2">
      <c r="A494" s="8">
        <v>42416</v>
      </c>
      <c r="B494" s="9">
        <v>6.09</v>
      </c>
      <c r="E494" s="51"/>
      <c r="F494" s="51"/>
      <c r="G494" s="51"/>
      <c r="H494" s="51"/>
      <c r="I494" s="51"/>
      <c r="J494" s="53"/>
      <c r="K494" s="53"/>
      <c r="L494" s="53"/>
      <c r="M494" s="53"/>
      <c r="N494" s="53"/>
      <c r="O494" s="139"/>
      <c r="P494" s="50"/>
      <c r="Q494" s="57"/>
      <c r="R494" s="12">
        <v>42425</v>
      </c>
      <c r="S494" s="11">
        <v>6.08</v>
      </c>
      <c r="T494" s="148">
        <v>0.77699680511182112</v>
      </c>
      <c r="U494" s="148">
        <f t="shared" si="27"/>
        <v>5.3961190392593803</v>
      </c>
      <c r="V494" s="278">
        <f t="shared" si="28"/>
        <v>1.4178482068390341E-2</v>
      </c>
      <c r="W494" s="278">
        <f t="shared" si="29"/>
        <v>1.3935672189734455E-2</v>
      </c>
    </row>
    <row r="495" spans="1:23" x14ac:dyDescent="0.2">
      <c r="A495" s="8">
        <v>42417</v>
      </c>
      <c r="B495" s="9">
        <v>6.2050000000000001</v>
      </c>
      <c r="E495" s="51"/>
      <c r="F495" s="51"/>
      <c r="G495" s="51"/>
      <c r="H495" s="51"/>
      <c r="I495" s="51"/>
      <c r="J495" s="53"/>
      <c r="K495" s="53"/>
      <c r="L495" s="53"/>
      <c r="M495" s="53"/>
      <c r="N495" s="53"/>
      <c r="O495" s="139"/>
      <c r="P495" s="50"/>
      <c r="Q495" s="57"/>
      <c r="R495" s="12">
        <v>42426</v>
      </c>
      <c r="S495" s="11">
        <v>6.2350000000000003</v>
      </c>
      <c r="T495" s="148">
        <v>0.79680511182108626</v>
      </c>
      <c r="U495" s="148">
        <f t="shared" si="27"/>
        <v>5.5323743429682057</v>
      </c>
      <c r="V495" s="278">
        <f t="shared" si="28"/>
        <v>2.5493421052631637E-2</v>
      </c>
      <c r="W495" s="278">
        <f t="shared" si="29"/>
        <v>2.5250611173975753E-2</v>
      </c>
    </row>
    <row r="496" spans="1:23" x14ac:dyDescent="0.2">
      <c r="A496" s="8">
        <v>42418</v>
      </c>
      <c r="B496" s="9">
        <v>6.0250000000000004</v>
      </c>
      <c r="E496" s="51"/>
      <c r="F496" s="51"/>
      <c r="G496" s="51"/>
      <c r="H496" s="51"/>
      <c r="I496" s="51"/>
      <c r="J496" s="53"/>
      <c r="K496" s="53"/>
      <c r="L496" s="53"/>
      <c r="M496" s="53"/>
      <c r="N496" s="53"/>
      <c r="O496" s="139"/>
      <c r="P496" s="50"/>
      <c r="Q496" s="57"/>
      <c r="R496" s="12">
        <v>42429</v>
      </c>
      <c r="S496" s="11">
        <v>6.26</v>
      </c>
      <c r="T496" s="148">
        <v>0.79999999999999993</v>
      </c>
      <c r="U496" s="148">
        <f t="shared" si="27"/>
        <v>5.5532137637634342</v>
      </c>
      <c r="V496" s="278">
        <f t="shared" si="28"/>
        <v>4.0096230954289602E-3</v>
      </c>
      <c r="W496" s="278">
        <f t="shared" si="29"/>
        <v>3.7668132167730742E-3</v>
      </c>
    </row>
    <row r="497" spans="1:23" x14ac:dyDescent="0.2">
      <c r="A497" s="8">
        <v>42419</v>
      </c>
      <c r="B497" s="9">
        <v>5.9749999999999996</v>
      </c>
      <c r="E497" s="51"/>
      <c r="F497" s="51"/>
      <c r="G497" s="51"/>
      <c r="H497" s="51"/>
      <c r="I497" s="51"/>
      <c r="J497" s="53"/>
      <c r="K497" s="53"/>
      <c r="L497" s="53"/>
      <c r="M497" s="53"/>
      <c r="N497" s="53"/>
      <c r="O497" s="139"/>
      <c r="P497" s="50"/>
      <c r="Q497" s="57"/>
      <c r="R497" s="12">
        <v>42430</v>
      </c>
      <c r="S497" s="11">
        <v>6.5149999999999997</v>
      </c>
      <c r="T497" s="148">
        <v>0.83258785942492008</v>
      </c>
      <c r="U497" s="148">
        <f t="shared" si="27"/>
        <v>5.7780745754658716</v>
      </c>
      <c r="V497" s="278">
        <f t="shared" si="28"/>
        <v>4.073482428115005E-2</v>
      </c>
      <c r="W497" s="278">
        <f t="shared" si="29"/>
        <v>4.0492014402494163E-2</v>
      </c>
    </row>
    <row r="498" spans="1:23" x14ac:dyDescent="0.2">
      <c r="A498" s="8">
        <v>42422</v>
      </c>
      <c r="B498" s="9">
        <v>6.2149999999999999</v>
      </c>
      <c r="E498" s="51"/>
      <c r="F498" s="51"/>
      <c r="G498" s="51"/>
      <c r="H498" s="51"/>
      <c r="I498" s="51"/>
      <c r="J498" s="53"/>
      <c r="K498" s="53"/>
      <c r="L498" s="53"/>
      <c r="M498" s="53"/>
      <c r="N498" s="53"/>
      <c r="O498" s="139"/>
      <c r="P498" s="50"/>
      <c r="Q498" s="57"/>
      <c r="R498" s="12">
        <v>42431</v>
      </c>
      <c r="S498" s="11">
        <v>6.7649999999999997</v>
      </c>
      <c r="T498" s="148">
        <v>0.86453674121405744</v>
      </c>
      <c r="U498" s="148">
        <f t="shared" si="27"/>
        <v>5.9983935733093396</v>
      </c>
      <c r="V498" s="278">
        <f t="shared" si="28"/>
        <v>3.8372985418265504E-2</v>
      </c>
      <c r="W498" s="278">
        <f t="shared" si="29"/>
        <v>3.8130175539609616E-2</v>
      </c>
    </row>
    <row r="499" spans="1:23" x14ac:dyDescent="0.2">
      <c r="A499" s="8">
        <v>42423</v>
      </c>
      <c r="B499" s="9">
        <v>6.06</v>
      </c>
      <c r="E499" s="51"/>
      <c r="F499" s="51"/>
      <c r="G499" s="51"/>
      <c r="H499" s="51"/>
      <c r="I499" s="51"/>
      <c r="J499" s="53"/>
      <c r="K499" s="53"/>
      <c r="L499" s="53"/>
      <c r="M499" s="53"/>
      <c r="N499" s="53"/>
      <c r="O499" s="139"/>
      <c r="P499" s="50"/>
      <c r="Q499" s="57"/>
      <c r="R499" s="12">
        <v>42432</v>
      </c>
      <c r="S499" s="11">
        <v>6.79</v>
      </c>
      <c r="T499" s="148">
        <v>0.86773162939297122</v>
      </c>
      <c r="U499" s="148">
        <f t="shared" si="27"/>
        <v>6.019104116559709</v>
      </c>
      <c r="V499" s="278">
        <f t="shared" si="28"/>
        <v>3.6954915003695188E-3</v>
      </c>
      <c r="W499" s="278">
        <f t="shared" si="29"/>
        <v>3.4526816217136328E-3</v>
      </c>
    </row>
    <row r="500" spans="1:23" x14ac:dyDescent="0.2">
      <c r="A500" s="8">
        <v>42424</v>
      </c>
      <c r="B500" s="9">
        <v>5.9950000000000001</v>
      </c>
      <c r="E500" s="51"/>
      <c r="F500" s="51"/>
      <c r="G500" s="51"/>
      <c r="H500" s="51"/>
      <c r="I500" s="51"/>
      <c r="J500" s="53"/>
      <c r="K500" s="53"/>
      <c r="L500" s="53"/>
      <c r="M500" s="53"/>
      <c r="N500" s="53"/>
      <c r="O500" s="139"/>
      <c r="P500" s="50"/>
      <c r="Q500" s="57"/>
      <c r="R500" s="12">
        <v>42433</v>
      </c>
      <c r="S500" s="11">
        <v>6.66</v>
      </c>
      <c r="T500" s="148">
        <v>0.85111821086261985</v>
      </c>
      <c r="U500" s="148">
        <f t="shared" si="27"/>
        <v>5.9024020390683338</v>
      </c>
      <c r="V500" s="278">
        <f t="shared" si="28"/>
        <v>-1.9145802650957222E-2</v>
      </c>
      <c r="W500" s="278">
        <f t="shared" si="29"/>
        <v>-1.9388612529613106E-2</v>
      </c>
    </row>
    <row r="501" spans="1:23" x14ac:dyDescent="0.2">
      <c r="A501" s="8">
        <v>42425</v>
      </c>
      <c r="B501" s="9">
        <v>6.08</v>
      </c>
      <c r="E501" s="51"/>
      <c r="F501" s="51"/>
      <c r="G501" s="51"/>
      <c r="H501" s="51"/>
      <c r="I501" s="51"/>
      <c r="J501" s="53"/>
      <c r="K501" s="53"/>
      <c r="L501" s="53"/>
      <c r="M501" s="53"/>
      <c r="N501" s="53"/>
      <c r="O501" s="139"/>
      <c r="P501" s="50"/>
      <c r="Q501" s="57"/>
      <c r="R501" s="12">
        <v>42436</v>
      </c>
      <c r="S501" s="11">
        <v>6.47</v>
      </c>
      <c r="T501" s="148">
        <v>0.82683706070287533</v>
      </c>
      <c r="U501" s="148">
        <f t="shared" si="27"/>
        <v>5.7325820325870431</v>
      </c>
      <c r="V501" s="278">
        <f t="shared" si="28"/>
        <v>-2.8528528528528607E-2</v>
      </c>
      <c r="W501" s="278">
        <f t="shared" si="29"/>
        <v>-2.8771338407184491E-2</v>
      </c>
    </row>
    <row r="502" spans="1:23" x14ac:dyDescent="0.2">
      <c r="A502" s="8">
        <v>42426</v>
      </c>
      <c r="B502" s="9">
        <v>6.2350000000000003</v>
      </c>
      <c r="E502" s="51"/>
      <c r="F502" s="51"/>
      <c r="G502" s="51"/>
      <c r="H502" s="51"/>
      <c r="I502" s="51"/>
      <c r="J502" s="53"/>
      <c r="K502" s="53"/>
      <c r="L502" s="53"/>
      <c r="M502" s="53"/>
      <c r="N502" s="53"/>
      <c r="O502" s="139"/>
      <c r="P502" s="50"/>
      <c r="Q502" s="57"/>
      <c r="R502" s="12">
        <v>42437</v>
      </c>
      <c r="S502" s="11">
        <v>6.5549999999999997</v>
      </c>
      <c r="T502" s="148">
        <v>0.83769968051118204</v>
      </c>
      <c r="U502" s="148">
        <f t="shared" si="27"/>
        <v>5.8065022337518286</v>
      </c>
      <c r="V502" s="278">
        <f t="shared" si="28"/>
        <v>1.3137557959814528E-2</v>
      </c>
      <c r="W502" s="278">
        <f t="shared" si="29"/>
        <v>1.2894748081158642E-2</v>
      </c>
    </row>
    <row r="503" spans="1:23" x14ac:dyDescent="0.2">
      <c r="A503" s="8">
        <v>42429</v>
      </c>
      <c r="B503" s="9">
        <v>6.26</v>
      </c>
      <c r="E503" s="51"/>
      <c r="F503" s="51"/>
      <c r="G503" s="51"/>
      <c r="H503" s="51"/>
      <c r="I503" s="51"/>
      <c r="J503" s="53"/>
      <c r="K503" s="53"/>
      <c r="L503" s="53"/>
      <c r="M503" s="53"/>
      <c r="N503" s="53"/>
      <c r="O503" s="139"/>
      <c r="P503" s="50"/>
      <c r="Q503" s="57"/>
      <c r="R503" s="12">
        <v>42438</v>
      </c>
      <c r="S503" s="11">
        <v>6.5750000000000002</v>
      </c>
      <c r="T503" s="148">
        <v>0.84025559105431313</v>
      </c>
      <c r="U503" s="148">
        <f t="shared" si="27"/>
        <v>5.822808611604037</v>
      </c>
      <c r="V503" s="278">
        <f t="shared" si="28"/>
        <v>3.0511060259343914E-3</v>
      </c>
      <c r="W503" s="278">
        <f t="shared" si="29"/>
        <v>2.8082961472785054E-3</v>
      </c>
    </row>
    <row r="504" spans="1:23" x14ac:dyDescent="0.2">
      <c r="A504" s="8">
        <v>42430</v>
      </c>
      <c r="B504" s="9">
        <v>6.5149999999999997</v>
      </c>
      <c r="E504" s="51"/>
      <c r="F504" s="51"/>
      <c r="G504" s="51"/>
      <c r="H504" s="51"/>
      <c r="I504" s="51"/>
      <c r="J504" s="53"/>
      <c r="K504" s="53"/>
      <c r="L504" s="53"/>
      <c r="M504" s="53"/>
      <c r="N504" s="53"/>
      <c r="O504" s="139"/>
      <c r="P504" s="50"/>
      <c r="Q504" s="57"/>
      <c r="R504" s="12">
        <v>42439</v>
      </c>
      <c r="S504" s="11">
        <v>6.6749999999999998</v>
      </c>
      <c r="T504" s="148">
        <v>0.85303514376996803</v>
      </c>
      <c r="U504" s="148">
        <f t="shared" si="27"/>
        <v>5.9099546029440724</v>
      </c>
      <c r="V504" s="278">
        <f t="shared" si="28"/>
        <v>1.5209125475285079E-2</v>
      </c>
      <c r="W504" s="278">
        <f t="shared" si="29"/>
        <v>1.4966315596629193E-2</v>
      </c>
    </row>
    <row r="505" spans="1:23" x14ac:dyDescent="0.2">
      <c r="A505" s="8">
        <v>42431</v>
      </c>
      <c r="B505" s="9">
        <v>6.7649999999999997</v>
      </c>
      <c r="E505" s="51"/>
      <c r="F505" s="51"/>
      <c r="G505" s="51"/>
      <c r="H505" s="51"/>
      <c r="I505" s="51"/>
      <c r="J505" s="53"/>
      <c r="K505" s="53"/>
      <c r="L505" s="53"/>
      <c r="M505" s="53"/>
      <c r="N505" s="53"/>
      <c r="O505" s="139"/>
      <c r="P505" s="50"/>
      <c r="Q505" s="57"/>
      <c r="R505" s="12">
        <v>42440</v>
      </c>
      <c r="S505" s="11">
        <v>7.2549999999999999</v>
      </c>
      <c r="T505" s="148">
        <v>0.92715654952076676</v>
      </c>
      <c r="U505" s="148">
        <f t="shared" si="27"/>
        <v>6.4220437528586114</v>
      </c>
      <c r="V505" s="278">
        <f t="shared" si="28"/>
        <v>8.6891385767790208E-2</v>
      </c>
      <c r="W505" s="278">
        <f t="shared" si="29"/>
        <v>8.6648575889134327E-2</v>
      </c>
    </row>
    <row r="506" spans="1:23" x14ac:dyDescent="0.2">
      <c r="A506" s="8">
        <v>42432</v>
      </c>
      <c r="B506" s="9">
        <v>6.79</v>
      </c>
      <c r="E506" s="51"/>
      <c r="F506" s="51"/>
      <c r="G506" s="51"/>
      <c r="H506" s="51"/>
      <c r="I506" s="51"/>
      <c r="J506" s="53"/>
      <c r="K506" s="53"/>
      <c r="L506" s="53"/>
      <c r="M506" s="53"/>
      <c r="N506" s="53"/>
      <c r="O506" s="139"/>
      <c r="P506" s="50"/>
      <c r="Q506" s="57"/>
      <c r="R506" s="12">
        <v>42443</v>
      </c>
      <c r="S506" s="11">
        <v>7.33</v>
      </c>
      <c r="T506" s="148">
        <v>0.93674121405750799</v>
      </c>
      <c r="U506" s="148">
        <f t="shared" si="27"/>
        <v>6.4868735669481357</v>
      </c>
      <c r="V506" s="278">
        <f t="shared" si="28"/>
        <v>1.0337698139214258E-2</v>
      </c>
      <c r="W506" s="278">
        <f t="shared" si="29"/>
        <v>1.0094888260558372E-2</v>
      </c>
    </row>
    <row r="507" spans="1:23" x14ac:dyDescent="0.2">
      <c r="A507" s="8">
        <v>42433</v>
      </c>
      <c r="B507" s="9">
        <v>6.66</v>
      </c>
      <c r="E507" s="51"/>
      <c r="F507" s="51"/>
      <c r="G507" s="51"/>
      <c r="H507" s="51"/>
      <c r="I507" s="51"/>
      <c r="J507" s="53"/>
      <c r="K507" s="53"/>
      <c r="L507" s="53"/>
      <c r="M507" s="53"/>
      <c r="N507" s="53"/>
      <c r="O507" s="139"/>
      <c r="P507" s="50"/>
      <c r="Q507" s="57"/>
      <c r="R507" s="12">
        <v>42444</v>
      </c>
      <c r="S507" s="11">
        <v>7.085</v>
      </c>
      <c r="T507" s="148">
        <v>0.90543130990415333</v>
      </c>
      <c r="U507" s="148">
        <f t="shared" si="27"/>
        <v>6.2684793871128797</v>
      </c>
      <c r="V507" s="278">
        <f t="shared" si="28"/>
        <v>-3.3424283765347895E-2</v>
      </c>
      <c r="W507" s="278">
        <f t="shared" si="29"/>
        <v>-3.3667093644003783E-2</v>
      </c>
    </row>
    <row r="508" spans="1:23" x14ac:dyDescent="0.2">
      <c r="A508" s="8">
        <v>42436</v>
      </c>
      <c r="B508" s="9">
        <v>6.47</v>
      </c>
      <c r="E508" s="51"/>
      <c r="F508" s="51"/>
      <c r="G508" s="51"/>
      <c r="H508" s="51"/>
      <c r="I508" s="51"/>
      <c r="J508" s="53"/>
      <c r="K508" s="53"/>
      <c r="L508" s="53"/>
      <c r="M508" s="53"/>
      <c r="N508" s="53"/>
      <c r="O508" s="139"/>
      <c r="P508" s="50"/>
      <c r="Q508" s="57"/>
      <c r="R508" s="12">
        <v>42445</v>
      </c>
      <c r="S508" s="11">
        <v>7.1150000000000002</v>
      </c>
      <c r="T508" s="148">
        <v>0.90926517571884979</v>
      </c>
      <c r="U508" s="148">
        <f t="shared" si="27"/>
        <v>6.2934999469487085</v>
      </c>
      <c r="V508" s="278">
        <f t="shared" si="28"/>
        <v>4.2342978122795749E-3</v>
      </c>
      <c r="W508" s="278">
        <f t="shared" si="29"/>
        <v>3.9914879336236889E-3</v>
      </c>
    </row>
    <row r="509" spans="1:23" x14ac:dyDescent="0.2">
      <c r="A509" s="8">
        <v>42437</v>
      </c>
      <c r="B509" s="9">
        <v>6.5549999999999997</v>
      </c>
      <c r="E509" s="51"/>
      <c r="F509" s="51"/>
      <c r="G509" s="51"/>
      <c r="H509" s="51"/>
      <c r="I509" s="51"/>
      <c r="J509" s="53"/>
      <c r="K509" s="53"/>
      <c r="L509" s="53"/>
      <c r="M509" s="53"/>
      <c r="N509" s="53"/>
      <c r="O509" s="139"/>
      <c r="P509" s="50"/>
      <c r="Q509" s="57"/>
      <c r="R509" s="12">
        <v>42446</v>
      </c>
      <c r="S509" s="11">
        <v>6.68</v>
      </c>
      <c r="T509" s="148">
        <v>0.85367412140575072</v>
      </c>
      <c r="U509" s="148">
        <f t="shared" si="27"/>
        <v>5.9071970546244659</v>
      </c>
      <c r="V509" s="278">
        <f t="shared" si="28"/>
        <v>-6.1138439915671139E-2</v>
      </c>
      <c r="W509" s="278">
        <f t="shared" si="29"/>
        <v>-6.1381249794327027E-2</v>
      </c>
    </row>
    <row r="510" spans="1:23" x14ac:dyDescent="0.2">
      <c r="A510" s="8">
        <v>42438</v>
      </c>
      <c r="B510" s="9">
        <v>6.5750000000000002</v>
      </c>
      <c r="E510" s="51"/>
      <c r="F510" s="51"/>
      <c r="G510" s="51"/>
      <c r="H510" s="51"/>
      <c r="I510" s="51"/>
      <c r="J510" s="53"/>
      <c r="K510" s="53"/>
      <c r="L510" s="53"/>
      <c r="M510" s="53"/>
      <c r="N510" s="53"/>
      <c r="O510" s="139"/>
      <c r="P510" s="50"/>
      <c r="Q510" s="57"/>
      <c r="R510" s="12">
        <v>42447</v>
      </c>
      <c r="S510" s="11">
        <v>6.74</v>
      </c>
      <c r="T510" s="148">
        <v>0.86134185303514377</v>
      </c>
      <c r="U510" s="148">
        <f t="shared" si="27"/>
        <v>5.9588213850036977</v>
      </c>
      <c r="V510" s="278">
        <f t="shared" si="28"/>
        <v>8.9820359281438389E-3</v>
      </c>
      <c r="W510" s="278">
        <f t="shared" si="29"/>
        <v>8.7392260494879529E-3</v>
      </c>
    </row>
    <row r="511" spans="1:23" x14ac:dyDescent="0.2">
      <c r="A511" s="8">
        <v>42439</v>
      </c>
      <c r="B511" s="9">
        <v>6.6749999999999998</v>
      </c>
      <c r="E511" s="51"/>
      <c r="F511" s="51"/>
      <c r="G511" s="51"/>
      <c r="H511" s="51"/>
      <c r="I511" s="51"/>
      <c r="J511" s="53"/>
      <c r="K511" s="53"/>
      <c r="L511" s="53"/>
      <c r="M511" s="53"/>
      <c r="N511" s="53"/>
      <c r="O511" s="139"/>
      <c r="P511" s="50"/>
      <c r="Q511" s="57"/>
      <c r="R511" s="12">
        <v>42450</v>
      </c>
      <c r="S511" s="11">
        <v>6.7750000000000004</v>
      </c>
      <c r="T511" s="148">
        <v>0.86581469648562304</v>
      </c>
      <c r="U511" s="148">
        <f t="shared" si="27"/>
        <v>5.988317958798131</v>
      </c>
      <c r="V511" s="278">
        <f t="shared" si="28"/>
        <v>5.1928783382788612E-3</v>
      </c>
      <c r="W511" s="278">
        <f t="shared" si="29"/>
        <v>4.9500684596229753E-3</v>
      </c>
    </row>
    <row r="512" spans="1:23" x14ac:dyDescent="0.2">
      <c r="A512" s="8">
        <v>42440</v>
      </c>
      <c r="B512" s="9">
        <v>7.2549999999999999</v>
      </c>
      <c r="E512" s="51"/>
      <c r="F512" s="51"/>
      <c r="G512" s="51"/>
      <c r="H512" s="51"/>
      <c r="I512" s="51"/>
      <c r="J512" s="53"/>
      <c r="K512" s="53"/>
      <c r="L512" s="53"/>
      <c r="M512" s="53"/>
      <c r="N512" s="53"/>
      <c r="O512" s="139"/>
      <c r="P512" s="50"/>
      <c r="Q512" s="57"/>
      <c r="R512" s="12">
        <v>42451</v>
      </c>
      <c r="S512" s="11">
        <v>6.65</v>
      </c>
      <c r="T512" s="148">
        <v>0.84984025559105436</v>
      </c>
      <c r="U512" s="148">
        <f t="shared" si="27"/>
        <v>5.8763783648456647</v>
      </c>
      <c r="V512" s="278">
        <f t="shared" si="28"/>
        <v>-1.8450184501844991E-2</v>
      </c>
      <c r="W512" s="278">
        <f t="shared" si="29"/>
        <v>-1.8692994380500875E-2</v>
      </c>
    </row>
    <row r="513" spans="1:23" x14ac:dyDescent="0.2">
      <c r="A513" s="8">
        <v>42443</v>
      </c>
      <c r="B513" s="9">
        <v>7.33</v>
      </c>
      <c r="E513" s="51"/>
      <c r="F513" s="51"/>
      <c r="G513" s="51"/>
      <c r="H513" s="51"/>
      <c r="I513" s="51"/>
      <c r="J513" s="53"/>
      <c r="K513" s="53"/>
      <c r="L513" s="53"/>
      <c r="M513" s="53"/>
      <c r="N513" s="53"/>
      <c r="O513" s="139"/>
      <c r="P513" s="50"/>
      <c r="Q513" s="57"/>
      <c r="R513" s="12">
        <v>42452</v>
      </c>
      <c r="S513" s="11">
        <v>6.6050000000000004</v>
      </c>
      <c r="T513" s="148">
        <v>0.8440894568690096</v>
      </c>
      <c r="U513" s="148">
        <f t="shared" si="27"/>
        <v>5.8351865557493054</v>
      </c>
      <c r="V513" s="278">
        <f t="shared" si="28"/>
        <v>-6.7669172932330879E-3</v>
      </c>
      <c r="W513" s="278">
        <f t="shared" si="29"/>
        <v>-7.0097271718889739E-3</v>
      </c>
    </row>
    <row r="514" spans="1:23" x14ac:dyDescent="0.2">
      <c r="A514" s="8">
        <v>42444</v>
      </c>
      <c r="B514" s="9">
        <v>7.085</v>
      </c>
      <c r="E514" s="51"/>
      <c r="F514" s="51"/>
      <c r="G514" s="51"/>
      <c r="H514" s="51"/>
      <c r="I514" s="51"/>
      <c r="J514" s="53"/>
      <c r="K514" s="53"/>
      <c r="L514" s="53"/>
      <c r="M514" s="53"/>
      <c r="N514" s="53"/>
      <c r="O514" s="139"/>
      <c r="P514" s="50"/>
      <c r="Q514" s="57"/>
      <c r="R514" s="12">
        <v>42453</v>
      </c>
      <c r="S514" s="11">
        <v>6.42</v>
      </c>
      <c r="T514" s="148">
        <v>0.82044728434504788</v>
      </c>
      <c r="U514" s="148">
        <f t="shared" si="27"/>
        <v>5.6703314842550956</v>
      </c>
      <c r="V514" s="278">
        <f t="shared" si="28"/>
        <v>-2.8009084027252107E-2</v>
      </c>
      <c r="W514" s="278">
        <f t="shared" si="29"/>
        <v>-2.8251893905907991E-2</v>
      </c>
    </row>
    <row r="515" spans="1:23" x14ac:dyDescent="0.2">
      <c r="A515" s="8">
        <v>42445</v>
      </c>
      <c r="B515" s="9">
        <v>7.1150000000000002</v>
      </c>
      <c r="E515" s="51"/>
      <c r="F515" s="51"/>
      <c r="G515" s="51"/>
      <c r="H515" s="51"/>
      <c r="I515" s="51"/>
      <c r="J515" s="53"/>
      <c r="K515" s="53"/>
      <c r="L515" s="53"/>
      <c r="M515" s="53"/>
      <c r="N515" s="53"/>
      <c r="O515" s="139"/>
      <c r="P515" s="50"/>
      <c r="Q515" s="57"/>
      <c r="R515" s="12">
        <v>42458</v>
      </c>
      <c r="S515" s="11">
        <v>6.46</v>
      </c>
      <c r="T515" s="148">
        <v>0.82555910543130984</v>
      </c>
      <c r="U515" s="148">
        <f t="shared" si="27"/>
        <v>5.704283839881664</v>
      </c>
      <c r="V515" s="278">
        <f t="shared" si="28"/>
        <v>6.230529595015577E-3</v>
      </c>
      <c r="W515" s="278">
        <f t="shared" si="29"/>
        <v>5.987719716359691E-3</v>
      </c>
    </row>
    <row r="516" spans="1:23" x14ac:dyDescent="0.2">
      <c r="A516" s="8">
        <v>42446</v>
      </c>
      <c r="B516" s="9">
        <v>6.68</v>
      </c>
      <c r="E516" s="51"/>
      <c r="F516" s="51"/>
      <c r="G516" s="51"/>
      <c r="H516" s="51"/>
      <c r="I516" s="51"/>
      <c r="J516" s="53"/>
      <c r="K516" s="53"/>
      <c r="L516" s="53"/>
      <c r="M516" s="53"/>
      <c r="N516" s="53"/>
      <c r="O516" s="139"/>
      <c r="P516" s="50"/>
      <c r="Q516" s="57"/>
      <c r="R516" s="12">
        <v>42459</v>
      </c>
      <c r="S516" s="11">
        <v>6.33</v>
      </c>
      <c r="T516" s="148">
        <v>0.80894568690095847</v>
      </c>
      <c r="U516" s="148">
        <f t="shared" si="27"/>
        <v>5.5881066937576218</v>
      </c>
      <c r="V516" s="278">
        <f t="shared" si="28"/>
        <v>-2.0123839009287936E-2</v>
      </c>
      <c r="W516" s="278">
        <f t="shared" si="29"/>
        <v>-2.036664888794382E-2</v>
      </c>
    </row>
    <row r="517" spans="1:23" x14ac:dyDescent="0.2">
      <c r="A517" s="8">
        <v>42447</v>
      </c>
      <c r="B517" s="9">
        <v>6.74</v>
      </c>
      <c r="E517" s="51"/>
      <c r="F517" s="51"/>
      <c r="G517" s="51"/>
      <c r="H517" s="51"/>
      <c r="I517" s="51"/>
      <c r="J517" s="53"/>
      <c r="K517" s="53"/>
      <c r="L517" s="53"/>
      <c r="M517" s="53"/>
      <c r="N517" s="53"/>
      <c r="O517" s="139"/>
      <c r="P517" s="50"/>
      <c r="Q517" s="57"/>
      <c r="R517" s="12">
        <v>42460</v>
      </c>
      <c r="S517" s="11">
        <v>6.33</v>
      </c>
      <c r="T517" s="148">
        <v>0.80894568690095847</v>
      </c>
      <c r="U517" s="148">
        <f t="shared" si="27"/>
        <v>5.5867498462493943</v>
      </c>
      <c r="V517" s="278">
        <f t="shared" si="28"/>
        <v>0</v>
      </c>
      <c r="W517" s="278">
        <f t="shared" si="29"/>
        <v>-2.4280987865588565E-4</v>
      </c>
    </row>
    <row r="518" spans="1:23" x14ac:dyDescent="0.2">
      <c r="A518" s="8">
        <v>42450</v>
      </c>
      <c r="B518" s="9">
        <v>6.7750000000000004</v>
      </c>
      <c r="E518" s="51"/>
      <c r="F518" s="51"/>
      <c r="G518" s="51"/>
      <c r="H518" s="51"/>
      <c r="I518" s="51"/>
      <c r="J518" s="53"/>
      <c r="K518" s="53"/>
      <c r="L518" s="53"/>
      <c r="M518" s="53"/>
      <c r="N518" s="53"/>
      <c r="O518" s="139"/>
      <c r="P518" s="50"/>
      <c r="Q518" s="57"/>
      <c r="R518" s="12">
        <v>42461</v>
      </c>
      <c r="S518" s="11">
        <v>6.2750000000000004</v>
      </c>
      <c r="T518" s="148">
        <v>0.80191693290734822</v>
      </c>
      <c r="U518" s="148">
        <f t="shared" si="27"/>
        <v>5.5368512679216773</v>
      </c>
      <c r="V518" s="278">
        <f t="shared" si="28"/>
        <v>-8.6887835703001182E-3</v>
      </c>
      <c r="W518" s="278">
        <f t="shared" si="29"/>
        <v>-8.9315934489560041E-3</v>
      </c>
    </row>
    <row r="519" spans="1:23" x14ac:dyDescent="0.2">
      <c r="A519" s="8">
        <v>42451</v>
      </c>
      <c r="B519" s="9">
        <v>6.65</v>
      </c>
      <c r="E519" s="51"/>
      <c r="F519" s="51"/>
      <c r="G519" s="51"/>
      <c r="H519" s="51"/>
      <c r="I519" s="51"/>
      <c r="J519" s="53"/>
      <c r="K519" s="53"/>
      <c r="L519" s="53"/>
      <c r="M519" s="53"/>
      <c r="N519" s="53"/>
      <c r="O519" s="139"/>
      <c r="P519" s="50"/>
      <c r="Q519" s="57"/>
      <c r="R519" s="12">
        <v>42464</v>
      </c>
      <c r="S519" s="11">
        <v>6.34</v>
      </c>
      <c r="T519" s="148">
        <v>0.81022364217252396</v>
      </c>
      <c r="U519" s="148">
        <f t="shared" si="27"/>
        <v>5.5928607035722218</v>
      </c>
      <c r="V519" s="278">
        <f t="shared" si="28"/>
        <v>1.0358565737051739E-2</v>
      </c>
      <c r="W519" s="278">
        <f t="shared" si="29"/>
        <v>1.0115755858395853E-2</v>
      </c>
    </row>
    <row r="520" spans="1:23" x14ac:dyDescent="0.2">
      <c r="A520" s="8">
        <v>42452</v>
      </c>
      <c r="B520" s="9">
        <v>6.6050000000000004</v>
      </c>
      <c r="E520" s="51"/>
      <c r="F520" s="51"/>
      <c r="G520" s="51"/>
      <c r="H520" s="51"/>
      <c r="I520" s="51"/>
      <c r="J520" s="53"/>
      <c r="K520" s="53"/>
      <c r="L520" s="53"/>
      <c r="M520" s="53"/>
      <c r="N520" s="53"/>
      <c r="O520" s="139"/>
      <c r="P520" s="50"/>
      <c r="Q520" s="57"/>
      <c r="R520" s="12">
        <v>42465</v>
      </c>
      <c r="S520" s="11">
        <v>6.22</v>
      </c>
      <c r="T520" s="148">
        <v>0.79488817891373797</v>
      </c>
      <c r="U520" s="148">
        <f t="shared" si="27"/>
        <v>5.4856441395307245</v>
      </c>
      <c r="V520" s="278">
        <f t="shared" si="28"/>
        <v>-1.8927444794952675E-2</v>
      </c>
      <c r="W520" s="278">
        <f t="shared" si="29"/>
        <v>-1.9170254673608559E-2</v>
      </c>
    </row>
    <row r="521" spans="1:23" x14ac:dyDescent="0.2">
      <c r="A521" s="8">
        <v>42453</v>
      </c>
      <c r="B521" s="9">
        <v>6.42</v>
      </c>
      <c r="E521" s="51"/>
      <c r="F521" s="51"/>
      <c r="G521" s="51"/>
      <c r="H521" s="51"/>
      <c r="I521" s="51"/>
      <c r="J521" s="53"/>
      <c r="K521" s="53"/>
      <c r="L521" s="53"/>
      <c r="M521" s="53"/>
      <c r="N521" s="53"/>
      <c r="O521" s="139"/>
      <c r="P521" s="50"/>
      <c r="Q521" s="57"/>
      <c r="R521" s="12">
        <v>42466</v>
      </c>
      <c r="S521" s="11">
        <v>6.28</v>
      </c>
      <c r="T521" s="148">
        <v>0.80255591054313102</v>
      </c>
      <c r="U521" s="148">
        <f t="shared" si="27"/>
        <v>5.5372283523531198</v>
      </c>
      <c r="V521" s="278">
        <f t="shared" si="28"/>
        <v>9.6463022508039842E-3</v>
      </c>
      <c r="W521" s="278">
        <f t="shared" si="29"/>
        <v>9.4034923721480982E-3</v>
      </c>
    </row>
    <row r="522" spans="1:23" x14ac:dyDescent="0.2">
      <c r="A522" s="8">
        <v>42458</v>
      </c>
      <c r="B522" s="9">
        <v>6.46</v>
      </c>
      <c r="E522" s="51"/>
      <c r="F522" s="51"/>
      <c r="G522" s="51"/>
      <c r="H522" s="51"/>
      <c r="I522" s="51"/>
      <c r="J522" s="53"/>
      <c r="K522" s="53"/>
      <c r="L522" s="53"/>
      <c r="M522" s="53"/>
      <c r="N522" s="53"/>
      <c r="O522" s="139"/>
      <c r="P522" s="50"/>
      <c r="Q522" s="57"/>
      <c r="R522" s="12">
        <v>42467</v>
      </c>
      <c r="S522" s="11">
        <v>5.9649999999999999</v>
      </c>
      <c r="T522" s="148">
        <v>0.76230031948881782</v>
      </c>
      <c r="U522" s="148">
        <f t="shared" si="27"/>
        <v>5.2581407167312095</v>
      </c>
      <c r="V522" s="278">
        <f t="shared" si="28"/>
        <v>-5.0159235668789881E-2</v>
      </c>
      <c r="W522" s="278">
        <f t="shared" si="29"/>
        <v>-5.0402045547445769E-2</v>
      </c>
    </row>
    <row r="523" spans="1:23" x14ac:dyDescent="0.2">
      <c r="A523" s="8">
        <v>42459</v>
      </c>
      <c r="B523" s="9">
        <v>6.33</v>
      </c>
      <c r="E523" s="51"/>
      <c r="F523" s="51"/>
      <c r="G523" s="51"/>
      <c r="H523" s="51"/>
      <c r="I523" s="51"/>
      <c r="J523" s="53"/>
      <c r="K523" s="53"/>
      <c r="L523" s="53"/>
      <c r="M523" s="53"/>
      <c r="N523" s="53"/>
      <c r="O523" s="139"/>
      <c r="P523" s="50"/>
      <c r="Q523" s="57"/>
      <c r="R523" s="12">
        <v>42468</v>
      </c>
      <c r="S523" s="11">
        <v>6.31</v>
      </c>
      <c r="T523" s="148">
        <v>0.80638977635782738</v>
      </c>
      <c r="U523" s="148">
        <f t="shared" si="27"/>
        <v>5.5609810958952961</v>
      </c>
      <c r="V523" s="278">
        <f t="shared" si="28"/>
        <v>5.7837384744341858E-2</v>
      </c>
      <c r="W523" s="278">
        <f t="shared" si="29"/>
        <v>5.759457486568597E-2</v>
      </c>
    </row>
    <row r="524" spans="1:23" x14ac:dyDescent="0.2">
      <c r="A524" s="8">
        <v>42460</v>
      </c>
      <c r="B524" s="9">
        <v>6.33</v>
      </c>
      <c r="E524" s="51"/>
      <c r="F524" s="51"/>
      <c r="G524" s="51"/>
      <c r="H524" s="51"/>
      <c r="I524" s="51"/>
      <c r="J524" s="53"/>
      <c r="K524" s="53"/>
      <c r="L524" s="53"/>
      <c r="M524" s="53"/>
      <c r="N524" s="53"/>
      <c r="O524" s="139"/>
      <c r="P524" s="50"/>
      <c r="Q524" s="57"/>
      <c r="R524" s="12">
        <v>42471</v>
      </c>
      <c r="S524" s="11">
        <v>6.38</v>
      </c>
      <c r="T524" s="148">
        <v>0.81533546325878592</v>
      </c>
      <c r="U524" s="148">
        <f t="shared" si="27"/>
        <v>5.6213215917569563</v>
      </c>
      <c r="V524" s="278">
        <f t="shared" si="28"/>
        <v>1.109350237717921E-2</v>
      </c>
      <c r="W524" s="278">
        <f t="shared" si="29"/>
        <v>1.0850692498523324E-2</v>
      </c>
    </row>
    <row r="525" spans="1:23" x14ac:dyDescent="0.2">
      <c r="A525" s="8">
        <v>42461</v>
      </c>
      <c r="B525" s="9">
        <v>6.2750000000000004</v>
      </c>
      <c r="E525" s="51"/>
      <c r="F525" s="51"/>
      <c r="G525" s="51"/>
      <c r="H525" s="51"/>
      <c r="I525" s="51"/>
      <c r="J525" s="53"/>
      <c r="K525" s="53"/>
      <c r="L525" s="53"/>
      <c r="M525" s="53"/>
      <c r="N525" s="53"/>
      <c r="O525" s="139"/>
      <c r="P525" s="50"/>
      <c r="Q525" s="57"/>
      <c r="R525" s="12">
        <v>42472</v>
      </c>
      <c r="S525" s="11">
        <v>6.2450000000000001</v>
      </c>
      <c r="T525" s="148">
        <v>0.79808306709265175</v>
      </c>
      <c r="U525" s="148">
        <f t="shared" si="27"/>
        <v>5.5010102193297108</v>
      </c>
      <c r="V525" s="278">
        <f t="shared" si="28"/>
        <v>-2.1159874608150386E-2</v>
      </c>
      <c r="W525" s="278">
        <f t="shared" si="29"/>
        <v>-2.1402684486806271E-2</v>
      </c>
    </row>
    <row r="526" spans="1:23" x14ac:dyDescent="0.2">
      <c r="A526" s="8">
        <v>42464</v>
      </c>
      <c r="B526" s="9">
        <v>6.34</v>
      </c>
      <c r="E526" s="51"/>
      <c r="F526" s="51"/>
      <c r="G526" s="51"/>
      <c r="H526" s="51"/>
      <c r="I526" s="51"/>
      <c r="J526" s="53"/>
      <c r="K526" s="53"/>
      <c r="L526" s="53"/>
      <c r="M526" s="53"/>
      <c r="N526" s="53"/>
      <c r="O526" s="139"/>
      <c r="P526" s="50"/>
      <c r="Q526" s="57"/>
      <c r="R526" s="12">
        <v>42473</v>
      </c>
      <c r="S526" s="11">
        <v>6.57</v>
      </c>
      <c r="T526" s="148">
        <v>0.83961661341853033</v>
      </c>
      <c r="U526" s="148">
        <f t="shared" si="27"/>
        <v>5.7859560763563351</v>
      </c>
      <c r="V526" s="278">
        <f t="shared" si="28"/>
        <v>5.2041633306645352E-2</v>
      </c>
      <c r="W526" s="278">
        <f t="shared" si="29"/>
        <v>5.1798823427989464E-2</v>
      </c>
    </row>
    <row r="527" spans="1:23" x14ac:dyDescent="0.2">
      <c r="A527" s="8">
        <v>42465</v>
      </c>
      <c r="B527" s="9">
        <v>6.22</v>
      </c>
      <c r="E527" s="51"/>
      <c r="F527" s="51"/>
      <c r="G527" s="51"/>
      <c r="H527" s="51"/>
      <c r="I527" s="51"/>
      <c r="J527" s="53"/>
      <c r="K527" s="53"/>
      <c r="L527" s="53"/>
      <c r="M527" s="53"/>
      <c r="N527" s="53"/>
      <c r="O527" s="139"/>
      <c r="P527" s="50"/>
      <c r="Q527" s="57"/>
      <c r="R527" s="12">
        <v>42474</v>
      </c>
      <c r="S527" s="11">
        <v>6.6899999999999995</v>
      </c>
      <c r="T527" s="148">
        <v>0.85495207667731621</v>
      </c>
      <c r="U527" s="148">
        <f t="shared" si="27"/>
        <v>5.8902307521019965</v>
      </c>
      <c r="V527" s="278">
        <f t="shared" si="28"/>
        <v>1.8264840182648179E-2</v>
      </c>
      <c r="W527" s="278">
        <f t="shared" si="29"/>
        <v>1.8022030303992295E-2</v>
      </c>
    </row>
    <row r="528" spans="1:23" x14ac:dyDescent="0.2">
      <c r="A528" s="8">
        <v>42466</v>
      </c>
      <c r="B528" s="9">
        <v>6.28</v>
      </c>
      <c r="E528" s="51"/>
      <c r="F528" s="51"/>
      <c r="G528" s="51"/>
      <c r="H528" s="51"/>
      <c r="I528" s="51"/>
      <c r="J528" s="53"/>
      <c r="K528" s="53"/>
      <c r="L528" s="53"/>
      <c r="M528" s="53"/>
      <c r="N528" s="53"/>
      <c r="O528" s="139"/>
      <c r="P528" s="50"/>
      <c r="Q528" s="57"/>
      <c r="R528" s="12">
        <v>42475</v>
      </c>
      <c r="S528" s="11">
        <v>6.57</v>
      </c>
      <c r="T528" s="148">
        <v>0.83961661341853033</v>
      </c>
      <c r="U528" s="148">
        <f t="shared" si="27"/>
        <v>5.7831461826214206</v>
      </c>
      <c r="V528" s="278">
        <f t="shared" si="28"/>
        <v>-1.7937219730941534E-2</v>
      </c>
      <c r="W528" s="278">
        <f t="shared" si="29"/>
        <v>-1.8180029609597418E-2</v>
      </c>
    </row>
    <row r="529" spans="1:23" x14ac:dyDescent="0.2">
      <c r="A529" s="8">
        <v>42467</v>
      </c>
      <c r="B529" s="9">
        <v>5.9649999999999999</v>
      </c>
      <c r="E529" s="51"/>
      <c r="F529" s="51"/>
      <c r="G529" s="51"/>
      <c r="H529" s="51"/>
      <c r="I529" s="51"/>
      <c r="J529" s="53"/>
      <c r="K529" s="53"/>
      <c r="L529" s="53"/>
      <c r="M529" s="53"/>
      <c r="N529" s="53"/>
      <c r="O529" s="139"/>
      <c r="P529" s="50"/>
      <c r="Q529" s="57"/>
      <c r="R529" s="12">
        <v>42478</v>
      </c>
      <c r="S529" s="11">
        <v>6.68</v>
      </c>
      <c r="T529" s="148">
        <v>0.85367412140575072</v>
      </c>
      <c r="U529" s="148">
        <f t="shared" si="27"/>
        <v>5.8785678649788355</v>
      </c>
      <c r="V529" s="278">
        <f t="shared" si="28"/>
        <v>1.6742770167427645E-2</v>
      </c>
      <c r="W529" s="278">
        <f t="shared" si="29"/>
        <v>1.6499960288771761E-2</v>
      </c>
    </row>
    <row r="530" spans="1:23" x14ac:dyDescent="0.2">
      <c r="A530" s="8">
        <v>42468</v>
      </c>
      <c r="B530" s="9">
        <v>6.31</v>
      </c>
      <c r="E530" s="51"/>
      <c r="F530" s="51"/>
      <c r="G530" s="51"/>
      <c r="H530" s="51"/>
      <c r="I530" s="51"/>
      <c r="J530" s="53"/>
      <c r="K530" s="53"/>
      <c r="L530" s="53"/>
      <c r="M530" s="53"/>
      <c r="N530" s="53"/>
      <c r="O530" s="139"/>
      <c r="P530" s="50"/>
      <c r="Q530" s="57"/>
      <c r="R530" s="12">
        <v>42479</v>
      </c>
      <c r="S530" s="11">
        <v>6.58</v>
      </c>
      <c r="T530" s="148">
        <v>0.84089456869009582</v>
      </c>
      <c r="U530" s="148">
        <f t="shared" si="27"/>
        <v>5.7891379776800846</v>
      </c>
      <c r="V530" s="278">
        <f t="shared" si="28"/>
        <v>-1.4970059880239472E-2</v>
      </c>
      <c r="W530" s="278">
        <f t="shared" si="29"/>
        <v>-1.5212869758895358E-2</v>
      </c>
    </row>
    <row r="531" spans="1:23" x14ac:dyDescent="0.2">
      <c r="A531" s="8">
        <v>42471</v>
      </c>
      <c r="B531" s="9">
        <v>6.38</v>
      </c>
      <c r="E531" s="51"/>
      <c r="F531" s="51"/>
      <c r="G531" s="51"/>
      <c r="H531" s="51"/>
      <c r="I531" s="51"/>
      <c r="J531" s="53"/>
      <c r="K531" s="53"/>
      <c r="L531" s="53"/>
      <c r="M531" s="53"/>
      <c r="N531" s="53"/>
      <c r="O531" s="139"/>
      <c r="P531" s="50"/>
      <c r="Q531" s="57"/>
      <c r="R531" s="12">
        <v>42480</v>
      </c>
      <c r="S531" s="11">
        <v>6.79</v>
      </c>
      <c r="T531" s="148">
        <v>0.86773162939297122</v>
      </c>
      <c r="U531" s="148">
        <f t="shared" si="27"/>
        <v>5.9724920404821189</v>
      </c>
      <c r="V531" s="278">
        <f t="shared" si="28"/>
        <v>3.1914893617021267E-2</v>
      </c>
      <c r="W531" s="278">
        <f t="shared" si="29"/>
        <v>3.1672083738365379E-2</v>
      </c>
    </row>
    <row r="532" spans="1:23" x14ac:dyDescent="0.2">
      <c r="A532" s="8">
        <v>42472</v>
      </c>
      <c r="B532" s="9">
        <v>6.2450000000000001</v>
      </c>
      <c r="E532" s="51"/>
      <c r="F532" s="51"/>
      <c r="G532" s="51"/>
      <c r="H532" s="51"/>
      <c r="I532" s="51"/>
      <c r="J532" s="53"/>
      <c r="K532" s="53"/>
      <c r="L532" s="53"/>
      <c r="M532" s="53"/>
      <c r="N532" s="53"/>
      <c r="O532" s="139"/>
      <c r="P532" s="50"/>
      <c r="Q532" s="57"/>
      <c r="R532" s="12">
        <v>42481</v>
      </c>
      <c r="S532" s="11">
        <v>7</v>
      </c>
      <c r="T532" s="148">
        <v>0.89456869009584661</v>
      </c>
      <c r="U532" s="148">
        <f t="shared" si="27"/>
        <v>6.1557581090891995</v>
      </c>
      <c r="V532" s="278">
        <f t="shared" si="28"/>
        <v>3.0927835051546282E-2</v>
      </c>
      <c r="W532" s="278">
        <f t="shared" si="29"/>
        <v>3.0685025172890398E-2</v>
      </c>
    </row>
    <row r="533" spans="1:23" x14ac:dyDescent="0.2">
      <c r="A533" s="8">
        <v>42473</v>
      </c>
      <c r="B533" s="9">
        <v>6.57</v>
      </c>
      <c r="E533" s="51"/>
      <c r="F533" s="51"/>
      <c r="G533" s="51"/>
      <c r="H533" s="51"/>
      <c r="I533" s="51"/>
      <c r="J533" s="53"/>
      <c r="K533" s="53"/>
      <c r="L533" s="53"/>
      <c r="M533" s="53"/>
      <c r="N533" s="53"/>
      <c r="O533" s="139"/>
      <c r="P533" s="50"/>
      <c r="Q533" s="57"/>
      <c r="R533" s="12">
        <v>42482</v>
      </c>
      <c r="S533" s="11">
        <v>7.3049999999999997</v>
      </c>
      <c r="T533" s="148">
        <v>0.93354632587859421</v>
      </c>
      <c r="U533" s="148">
        <f t="shared" si="27"/>
        <v>6.4224786049628682</v>
      </c>
      <c r="V533" s="278">
        <f t="shared" si="28"/>
        <v>4.3571428571428594E-2</v>
      </c>
      <c r="W533" s="278">
        <f t="shared" si="29"/>
        <v>4.3328618692772707E-2</v>
      </c>
    </row>
    <row r="534" spans="1:23" x14ac:dyDescent="0.2">
      <c r="A534" s="8">
        <v>42474</v>
      </c>
      <c r="B534" s="9">
        <v>6.6899999999999995</v>
      </c>
      <c r="E534" s="51"/>
      <c r="F534" s="51"/>
      <c r="G534" s="51"/>
      <c r="H534" s="51"/>
      <c r="I534" s="51"/>
      <c r="J534" s="53"/>
      <c r="K534" s="53"/>
      <c r="L534" s="53"/>
      <c r="M534" s="53"/>
      <c r="N534" s="53"/>
      <c r="O534" s="139"/>
      <c r="P534" s="50"/>
      <c r="Q534" s="57"/>
      <c r="R534" s="12">
        <v>42485</v>
      </c>
      <c r="S534" s="11">
        <v>7.0049999999999999</v>
      </c>
      <c r="T534" s="148">
        <v>0.89520766773162941</v>
      </c>
      <c r="U534" s="148">
        <f t="shared" si="27"/>
        <v>6.1571623421530779</v>
      </c>
      <c r="V534" s="278">
        <f t="shared" si="28"/>
        <v>-4.1067761806981462E-2</v>
      </c>
      <c r="W534" s="278">
        <f t="shared" si="29"/>
        <v>-4.131057168563735E-2</v>
      </c>
    </row>
    <row r="535" spans="1:23" x14ac:dyDescent="0.2">
      <c r="A535" s="8">
        <v>42475</v>
      </c>
      <c r="B535" s="9">
        <v>6.57</v>
      </c>
      <c r="E535" s="51"/>
      <c r="F535" s="51"/>
      <c r="G535" s="51"/>
      <c r="H535" s="51"/>
      <c r="I535" s="51"/>
      <c r="J535" s="53"/>
      <c r="K535" s="53"/>
      <c r="L535" s="53"/>
      <c r="M535" s="53"/>
      <c r="N535" s="53"/>
      <c r="O535" s="139"/>
      <c r="P535" s="50"/>
      <c r="Q535" s="57"/>
      <c r="R535" s="12">
        <v>42486</v>
      </c>
      <c r="S535" s="11">
        <v>7.23</v>
      </c>
      <c r="T535" s="148">
        <v>0.92396166134185309</v>
      </c>
      <c r="U535" s="148">
        <f t="shared" si="27"/>
        <v>6.3534348493617996</v>
      </c>
      <c r="V535" s="278">
        <f t="shared" si="28"/>
        <v>3.2119914346895095E-2</v>
      </c>
      <c r="W535" s="278">
        <f t="shared" si="29"/>
        <v>3.1877104468239208E-2</v>
      </c>
    </row>
    <row r="536" spans="1:23" x14ac:dyDescent="0.2">
      <c r="A536" s="8">
        <v>42478</v>
      </c>
      <c r="B536" s="9">
        <v>6.68</v>
      </c>
      <c r="E536" s="51"/>
      <c r="F536" s="51"/>
      <c r="G536" s="51"/>
      <c r="H536" s="51"/>
      <c r="I536" s="51"/>
      <c r="J536" s="53"/>
      <c r="K536" s="53"/>
      <c r="L536" s="53"/>
      <c r="M536" s="53"/>
      <c r="N536" s="53"/>
      <c r="O536" s="139"/>
      <c r="P536" s="50"/>
      <c r="Q536" s="57"/>
      <c r="R536" s="12">
        <v>42487</v>
      </c>
      <c r="S536" s="11">
        <v>7.26</v>
      </c>
      <c r="T536" s="148">
        <v>0.92779552715654945</v>
      </c>
      <c r="U536" s="148">
        <f t="shared" si="27"/>
        <v>6.3782549728217983</v>
      </c>
      <c r="V536" s="278">
        <f t="shared" si="28"/>
        <v>4.1493775933609811E-3</v>
      </c>
      <c r="W536" s="278">
        <f t="shared" si="29"/>
        <v>3.9065677147050951E-3</v>
      </c>
    </row>
    <row r="537" spans="1:23" x14ac:dyDescent="0.2">
      <c r="A537" s="8">
        <v>42479</v>
      </c>
      <c r="B537" s="9">
        <v>6.58</v>
      </c>
      <c r="E537" s="51"/>
      <c r="F537" s="51"/>
      <c r="G537" s="51"/>
      <c r="H537" s="51"/>
      <c r="I537" s="51"/>
      <c r="J537" s="53"/>
      <c r="K537" s="53"/>
      <c r="L537" s="53"/>
      <c r="M537" s="53"/>
      <c r="N537" s="53"/>
      <c r="O537" s="139"/>
      <c r="P537" s="50"/>
      <c r="Q537" s="57"/>
      <c r="R537" s="12">
        <v>42488</v>
      </c>
      <c r="S537" s="11">
        <v>7.2750000000000004</v>
      </c>
      <c r="T537" s="148">
        <v>0.92971246006389774</v>
      </c>
      <c r="U537" s="148">
        <f t="shared" ref="U537:U600" si="30">U536*(1+W537)</f>
        <v>6.3898844822595757</v>
      </c>
      <c r="V537" s="278">
        <f t="shared" ref="V537:V600" si="31">S537/S536-1</f>
        <v>2.0661157024794985E-3</v>
      </c>
      <c r="W537" s="278">
        <f t="shared" ref="W537:W600" si="32">V537-$V$3+$W$2</f>
        <v>1.8233058238236127E-3</v>
      </c>
    </row>
    <row r="538" spans="1:23" x14ac:dyDescent="0.2">
      <c r="A538" s="8">
        <v>42480</v>
      </c>
      <c r="B538" s="9">
        <v>6.79</v>
      </c>
      <c r="E538" s="51"/>
      <c r="F538" s="51"/>
      <c r="G538" s="51"/>
      <c r="H538" s="51"/>
      <c r="I538" s="51"/>
      <c r="J538" s="53"/>
      <c r="K538" s="53"/>
      <c r="L538" s="53"/>
      <c r="M538" s="53"/>
      <c r="N538" s="53"/>
      <c r="O538" s="139"/>
      <c r="P538" s="50"/>
      <c r="Q538" s="57"/>
      <c r="R538" s="12">
        <v>42489</v>
      </c>
      <c r="S538" s="11">
        <v>7.1749999999999998</v>
      </c>
      <c r="T538" s="148">
        <v>0.91693290734824273</v>
      </c>
      <c r="U538" s="148">
        <f t="shared" si="30"/>
        <v>6.3004994915101413</v>
      </c>
      <c r="V538" s="278">
        <f t="shared" si="31"/>
        <v>-1.3745704467354014E-2</v>
      </c>
      <c r="W538" s="278">
        <f t="shared" si="32"/>
        <v>-1.39885143460099E-2</v>
      </c>
    </row>
    <row r="539" spans="1:23" x14ac:dyDescent="0.2">
      <c r="A539" s="8">
        <v>42481</v>
      </c>
      <c r="B539" s="9">
        <v>7</v>
      </c>
      <c r="E539" s="51"/>
      <c r="F539" s="51"/>
      <c r="G539" s="51"/>
      <c r="H539" s="51"/>
      <c r="I539" s="51"/>
      <c r="J539" s="53"/>
      <c r="K539" s="53"/>
      <c r="L539" s="53"/>
      <c r="M539" s="53"/>
      <c r="N539" s="53"/>
      <c r="O539" s="139"/>
      <c r="P539" s="50"/>
      <c r="Q539" s="57"/>
      <c r="R539" s="12">
        <v>42492</v>
      </c>
      <c r="S539" s="11">
        <v>6.97</v>
      </c>
      <c r="T539" s="148">
        <v>0.89073482428115014</v>
      </c>
      <c r="U539" s="148">
        <f t="shared" si="30"/>
        <v>6.1189553968071326</v>
      </c>
      <c r="V539" s="278">
        <f t="shared" si="31"/>
        <v>-2.8571428571428581E-2</v>
      </c>
      <c r="W539" s="278">
        <f t="shared" si="32"/>
        <v>-2.8814238450084465E-2</v>
      </c>
    </row>
    <row r="540" spans="1:23" x14ac:dyDescent="0.2">
      <c r="A540" s="8">
        <v>42482</v>
      </c>
      <c r="B540" s="9">
        <v>7.3049999999999997</v>
      </c>
      <c r="E540" s="51"/>
      <c r="F540" s="51"/>
      <c r="G540" s="51"/>
      <c r="H540" s="51"/>
      <c r="I540" s="51"/>
      <c r="J540" s="53"/>
      <c r="K540" s="53"/>
      <c r="L540" s="53"/>
      <c r="M540" s="53"/>
      <c r="N540" s="53"/>
      <c r="O540" s="139"/>
      <c r="P540" s="50"/>
      <c r="Q540" s="57"/>
      <c r="R540" s="12">
        <v>42493</v>
      </c>
      <c r="S540" s="11">
        <v>6.7050000000000001</v>
      </c>
      <c r="T540" s="148">
        <v>0.8568690095846645</v>
      </c>
      <c r="U540" s="148">
        <f t="shared" si="30"/>
        <v>5.8848264430637807</v>
      </c>
      <c r="V540" s="278">
        <f t="shared" si="31"/>
        <v>-3.8020086083213722E-2</v>
      </c>
      <c r="W540" s="278">
        <f t="shared" si="32"/>
        <v>-3.826289596186961E-2</v>
      </c>
    </row>
    <row r="541" spans="1:23" x14ac:dyDescent="0.2">
      <c r="A541" s="8">
        <v>42485</v>
      </c>
      <c r="B541" s="9">
        <v>7.0049999999999999</v>
      </c>
      <c r="E541" s="51"/>
      <c r="F541" s="51"/>
      <c r="G541" s="51"/>
      <c r="H541" s="51"/>
      <c r="I541" s="51"/>
      <c r="J541" s="53"/>
      <c r="K541" s="53"/>
      <c r="L541" s="53"/>
      <c r="M541" s="53"/>
      <c r="N541" s="53"/>
      <c r="O541" s="139"/>
      <c r="P541" s="50"/>
      <c r="Q541" s="57"/>
      <c r="R541" s="12">
        <v>42494</v>
      </c>
      <c r="S541" s="11">
        <v>6.65</v>
      </c>
      <c r="T541" s="148">
        <v>0.84984025559105436</v>
      </c>
      <c r="U541" s="148">
        <f t="shared" si="30"/>
        <v>5.8351252963669911</v>
      </c>
      <c r="V541" s="278">
        <f t="shared" si="31"/>
        <v>-8.2028337061893497E-3</v>
      </c>
      <c r="W541" s="278">
        <f t="shared" si="32"/>
        <v>-8.4456435848452357E-3</v>
      </c>
    </row>
    <row r="542" spans="1:23" x14ac:dyDescent="0.2">
      <c r="A542" s="8">
        <v>42486</v>
      </c>
      <c r="B542" s="9">
        <v>7.23</v>
      </c>
      <c r="E542" s="51"/>
      <c r="F542" s="51"/>
      <c r="G542" s="51"/>
      <c r="H542" s="51"/>
      <c r="I542" s="51"/>
      <c r="J542" s="53"/>
      <c r="K542" s="53"/>
      <c r="L542" s="53"/>
      <c r="M542" s="53"/>
      <c r="N542" s="53"/>
      <c r="O542" s="139"/>
      <c r="P542" s="50"/>
      <c r="Q542" s="57"/>
      <c r="R542" s="12">
        <v>42495</v>
      </c>
      <c r="S542" s="11">
        <v>6.43</v>
      </c>
      <c r="T542" s="148">
        <v>0.82172523961661337</v>
      </c>
      <c r="U542" s="148">
        <f t="shared" si="30"/>
        <v>5.6406667311739076</v>
      </c>
      <c r="V542" s="278">
        <f t="shared" si="31"/>
        <v>-3.308270676691738E-2</v>
      </c>
      <c r="W542" s="278">
        <f t="shared" si="32"/>
        <v>-3.3325516645573268E-2</v>
      </c>
    </row>
    <row r="543" spans="1:23" x14ac:dyDescent="0.2">
      <c r="A543" s="8">
        <v>42487</v>
      </c>
      <c r="B543" s="9">
        <v>7.26</v>
      </c>
      <c r="E543" s="51"/>
      <c r="F543" s="51"/>
      <c r="G543" s="51"/>
      <c r="H543" s="51"/>
      <c r="I543" s="51"/>
      <c r="J543" s="53"/>
      <c r="K543" s="53"/>
      <c r="L543" s="53"/>
      <c r="M543" s="53"/>
      <c r="N543" s="53"/>
      <c r="O543" s="139"/>
      <c r="P543" s="50"/>
      <c r="Q543" s="57"/>
      <c r="R543" s="12">
        <v>42496</v>
      </c>
      <c r="S543" s="11">
        <v>6.375</v>
      </c>
      <c r="T543" s="148">
        <v>0.81469648562300323</v>
      </c>
      <c r="U543" s="148">
        <f t="shared" si="30"/>
        <v>5.5910488058283834</v>
      </c>
      <c r="V543" s="278">
        <f t="shared" si="31"/>
        <v>-8.5536547433903154E-3</v>
      </c>
      <c r="W543" s="278">
        <f t="shared" si="32"/>
        <v>-8.7964646220462014E-3</v>
      </c>
    </row>
    <row r="544" spans="1:23" x14ac:dyDescent="0.2">
      <c r="A544" s="8">
        <v>42488</v>
      </c>
      <c r="B544" s="9">
        <v>7.2750000000000004</v>
      </c>
      <c r="E544" s="51"/>
      <c r="F544" s="51"/>
      <c r="G544" s="51"/>
      <c r="H544" s="51"/>
      <c r="I544" s="51"/>
      <c r="J544" s="53"/>
      <c r="K544" s="53"/>
      <c r="L544" s="53"/>
      <c r="M544" s="53"/>
      <c r="N544" s="53"/>
      <c r="O544" s="139"/>
      <c r="P544" s="50"/>
      <c r="Q544" s="57"/>
      <c r="R544" s="12">
        <v>42499</v>
      </c>
      <c r="S544" s="11">
        <v>6.2450000000000001</v>
      </c>
      <c r="T544" s="148">
        <v>0.79808306709265175</v>
      </c>
      <c r="U544" s="148">
        <f t="shared" si="30"/>
        <v>5.4756776996705652</v>
      </c>
      <c r="V544" s="278">
        <f t="shared" si="31"/>
        <v>-2.0392156862745092E-2</v>
      </c>
      <c r="W544" s="278">
        <f t="shared" si="32"/>
        <v>-2.0634966741400976E-2</v>
      </c>
    </row>
    <row r="545" spans="1:23" x14ac:dyDescent="0.2">
      <c r="A545" s="8">
        <v>42489</v>
      </c>
      <c r="B545" s="9">
        <v>7.1749999999999998</v>
      </c>
      <c r="E545" s="51"/>
      <c r="F545" s="51"/>
      <c r="G545" s="51"/>
      <c r="H545" s="51"/>
      <c r="I545" s="51"/>
      <c r="J545" s="53"/>
      <c r="K545" s="53"/>
      <c r="L545" s="53"/>
      <c r="M545" s="53"/>
      <c r="N545" s="53"/>
      <c r="O545" s="139"/>
      <c r="P545" s="50"/>
      <c r="Q545" s="57"/>
      <c r="R545" s="12">
        <v>42500</v>
      </c>
      <c r="S545" s="11">
        <v>6.2949999999999999</v>
      </c>
      <c r="T545" s="148">
        <v>0.8044728434504792</v>
      </c>
      <c r="U545" s="148">
        <f t="shared" si="30"/>
        <v>5.5181886450253081</v>
      </c>
      <c r="V545" s="278">
        <f t="shared" si="31"/>
        <v>8.0064051240993361E-3</v>
      </c>
      <c r="W545" s="278">
        <f t="shared" si="32"/>
        <v>7.7635952454434502E-3</v>
      </c>
    </row>
    <row r="546" spans="1:23" x14ac:dyDescent="0.2">
      <c r="A546" s="8">
        <v>42492</v>
      </c>
      <c r="B546" s="9">
        <v>6.97</v>
      </c>
      <c r="E546" s="51"/>
      <c r="F546" s="51"/>
      <c r="G546" s="51"/>
      <c r="H546" s="51"/>
      <c r="I546" s="51"/>
      <c r="J546" s="53"/>
      <c r="K546" s="53"/>
      <c r="L546" s="53"/>
      <c r="M546" s="53"/>
      <c r="N546" s="53"/>
      <c r="O546" s="139"/>
      <c r="P546" s="50"/>
      <c r="Q546" s="57"/>
      <c r="R546" s="12">
        <v>42501</v>
      </c>
      <c r="S546" s="11">
        <v>6.4050000000000002</v>
      </c>
      <c r="T546" s="148">
        <v>0.8185303514376997</v>
      </c>
      <c r="U546" s="148">
        <f t="shared" si="30"/>
        <v>5.6132746283136283</v>
      </c>
      <c r="V546" s="278">
        <f t="shared" si="31"/>
        <v>1.7474185861795055E-2</v>
      </c>
      <c r="W546" s="278">
        <f t="shared" si="32"/>
        <v>1.7231375983139171E-2</v>
      </c>
    </row>
    <row r="547" spans="1:23" x14ac:dyDescent="0.2">
      <c r="A547" s="8">
        <v>42493</v>
      </c>
      <c r="B547" s="9">
        <v>6.7050000000000001</v>
      </c>
      <c r="E547" s="51"/>
      <c r="F547" s="51"/>
      <c r="G547" s="51"/>
      <c r="H547" s="51"/>
      <c r="I547" s="51"/>
      <c r="J547" s="53"/>
      <c r="K547" s="53"/>
      <c r="L547" s="53"/>
      <c r="M547" s="53"/>
      <c r="N547" s="53"/>
      <c r="O547" s="139"/>
      <c r="P547" s="50"/>
      <c r="Q547" s="57"/>
      <c r="R547" s="12">
        <v>42502</v>
      </c>
      <c r="S547" s="11">
        <v>6.45</v>
      </c>
      <c r="T547" s="148">
        <v>0.82428115015974446</v>
      </c>
      <c r="U547" s="148">
        <f t="shared" si="30"/>
        <v>5.6513491964448894</v>
      </c>
      <c r="V547" s="278">
        <f t="shared" si="31"/>
        <v>7.0257611241217877E-3</v>
      </c>
      <c r="W547" s="278">
        <f t="shared" si="32"/>
        <v>6.7829512454659017E-3</v>
      </c>
    </row>
    <row r="548" spans="1:23" x14ac:dyDescent="0.2">
      <c r="A548" s="8">
        <v>42494</v>
      </c>
      <c r="B548" s="9">
        <v>6.65</v>
      </c>
      <c r="E548" s="51"/>
      <c r="F548" s="51"/>
      <c r="G548" s="51"/>
      <c r="H548" s="51"/>
      <c r="I548" s="51"/>
      <c r="J548" s="53"/>
      <c r="K548" s="53"/>
      <c r="L548" s="53"/>
      <c r="M548" s="53"/>
      <c r="N548" s="53"/>
      <c r="O548" s="139"/>
      <c r="P548" s="50"/>
      <c r="Q548" s="57"/>
      <c r="R548" s="12">
        <v>42503</v>
      </c>
      <c r="S548" s="11">
        <v>6.51</v>
      </c>
      <c r="T548" s="148">
        <v>0.83194888178913728</v>
      </c>
      <c r="U548" s="148">
        <f t="shared" si="30"/>
        <v>5.702547683231745</v>
      </c>
      <c r="V548" s="278">
        <f t="shared" si="31"/>
        <v>9.302325581395321E-3</v>
      </c>
      <c r="W548" s="278">
        <f t="shared" si="32"/>
        <v>9.059515702739435E-3</v>
      </c>
    </row>
    <row r="549" spans="1:23" x14ac:dyDescent="0.2">
      <c r="A549" s="8">
        <v>42495</v>
      </c>
      <c r="B549" s="9">
        <v>6.43</v>
      </c>
      <c r="E549" s="51"/>
      <c r="F549" s="51"/>
      <c r="G549" s="51"/>
      <c r="H549" s="51"/>
      <c r="I549" s="51"/>
      <c r="J549" s="53"/>
      <c r="K549" s="53"/>
      <c r="L549" s="53"/>
      <c r="M549" s="53"/>
      <c r="N549" s="53"/>
      <c r="O549" s="139"/>
      <c r="P549" s="50"/>
      <c r="Q549" s="57"/>
      <c r="R549" s="12">
        <v>42506</v>
      </c>
      <c r="S549" s="11">
        <v>6.49</v>
      </c>
      <c r="T549" s="148">
        <v>0.82939297124600642</v>
      </c>
      <c r="U549" s="148">
        <f t="shared" si="30"/>
        <v>5.6836437005996086</v>
      </c>
      <c r="V549" s="278">
        <f t="shared" si="31"/>
        <v>-3.072196620583667E-3</v>
      </c>
      <c r="W549" s="278">
        <f t="shared" si="32"/>
        <v>-3.315006499239553E-3</v>
      </c>
    </row>
    <row r="550" spans="1:23" x14ac:dyDescent="0.2">
      <c r="A550" s="8">
        <v>42496</v>
      </c>
      <c r="B550" s="9">
        <v>6.375</v>
      </c>
      <c r="E550" s="51"/>
      <c r="F550" s="51"/>
      <c r="G550" s="51"/>
      <c r="H550" s="51"/>
      <c r="I550" s="51"/>
      <c r="J550" s="53"/>
      <c r="K550" s="53"/>
      <c r="L550" s="53"/>
      <c r="M550" s="53"/>
      <c r="N550" s="53"/>
      <c r="O550" s="139"/>
      <c r="P550" s="50"/>
      <c r="Q550" s="57"/>
      <c r="R550" s="12">
        <v>42507</v>
      </c>
      <c r="S550" s="11">
        <v>6.4649999999999999</v>
      </c>
      <c r="T550" s="148">
        <v>0.82619808306709264</v>
      </c>
      <c r="U550" s="148">
        <f t="shared" si="30"/>
        <v>5.6603698048355335</v>
      </c>
      <c r="V550" s="278">
        <f t="shared" si="31"/>
        <v>-3.8520801232666546E-3</v>
      </c>
      <c r="W550" s="278">
        <f t="shared" si="32"/>
        <v>-4.0948900019225406E-3</v>
      </c>
    </row>
    <row r="551" spans="1:23" x14ac:dyDescent="0.2">
      <c r="A551" s="8">
        <v>42499</v>
      </c>
      <c r="B551" s="9">
        <v>6.2450000000000001</v>
      </c>
      <c r="E551" s="51"/>
      <c r="F551" s="51"/>
      <c r="G551" s="51"/>
      <c r="H551" s="51"/>
      <c r="I551" s="51"/>
      <c r="J551" s="53"/>
      <c r="K551" s="53"/>
      <c r="L551" s="53"/>
      <c r="M551" s="53"/>
      <c r="N551" s="53"/>
      <c r="O551" s="139"/>
      <c r="P551" s="50"/>
      <c r="Q551" s="57"/>
      <c r="R551" s="12">
        <v>42508</v>
      </c>
      <c r="S551" s="11">
        <v>6.585</v>
      </c>
      <c r="T551" s="148">
        <v>0.84153354632587862</v>
      </c>
      <c r="U551" s="148">
        <f t="shared" si="30"/>
        <v>5.7640602798973228</v>
      </c>
      <c r="V551" s="278">
        <f t="shared" si="31"/>
        <v>1.8561484918793614E-2</v>
      </c>
      <c r="W551" s="278">
        <f t="shared" si="32"/>
        <v>1.8318675040137729E-2</v>
      </c>
    </row>
    <row r="552" spans="1:23" x14ac:dyDescent="0.2">
      <c r="A552" s="8">
        <v>42500</v>
      </c>
      <c r="B552" s="9">
        <v>6.2949999999999999</v>
      </c>
      <c r="E552" s="51"/>
      <c r="F552" s="51"/>
      <c r="G552" s="51"/>
      <c r="H552" s="51"/>
      <c r="I552" s="51"/>
      <c r="J552" s="53"/>
      <c r="K552" s="53"/>
      <c r="L552" s="53"/>
      <c r="M552" s="53"/>
      <c r="N552" s="53"/>
      <c r="O552" s="139"/>
      <c r="P552" s="50"/>
      <c r="Q552" s="57"/>
      <c r="R552" s="12">
        <v>42509</v>
      </c>
      <c r="S552" s="11">
        <v>6.585</v>
      </c>
      <c r="T552" s="148">
        <v>0.84153354632587862</v>
      </c>
      <c r="U552" s="148">
        <f t="shared" si="30"/>
        <v>5.7626607091201958</v>
      </c>
      <c r="V552" s="278">
        <f t="shared" si="31"/>
        <v>0</v>
      </c>
      <c r="W552" s="278">
        <f t="shared" si="32"/>
        <v>-2.4280987865588565E-4</v>
      </c>
    </row>
    <row r="553" spans="1:23" x14ac:dyDescent="0.2">
      <c r="A553" s="8">
        <v>42501</v>
      </c>
      <c r="B553" s="9">
        <v>6.4050000000000002</v>
      </c>
      <c r="E553" s="51"/>
      <c r="F553" s="51"/>
      <c r="G553" s="51"/>
      <c r="H553" s="51"/>
      <c r="I553" s="51"/>
      <c r="J553" s="53"/>
      <c r="K553" s="53"/>
      <c r="L553" s="53"/>
      <c r="M553" s="53"/>
      <c r="N553" s="53"/>
      <c r="O553" s="139"/>
      <c r="P553" s="50"/>
      <c r="Q553" s="57"/>
      <c r="R553" s="12">
        <v>42510</v>
      </c>
      <c r="S553" s="11">
        <v>6.6449999999999996</v>
      </c>
      <c r="T553" s="148">
        <v>0.84920127795527145</v>
      </c>
      <c r="U553" s="148">
        <f t="shared" si="30"/>
        <v>5.8137686372535002</v>
      </c>
      <c r="V553" s="278">
        <f t="shared" si="31"/>
        <v>9.1116173120728838E-3</v>
      </c>
      <c r="W553" s="278">
        <f t="shared" si="32"/>
        <v>8.8688074334169979E-3</v>
      </c>
    </row>
    <row r="554" spans="1:23" x14ac:dyDescent="0.2">
      <c r="A554" s="8">
        <v>42502</v>
      </c>
      <c r="B554" s="9">
        <v>6.45</v>
      </c>
      <c r="E554" s="51"/>
      <c r="F554" s="51"/>
      <c r="G554" s="51"/>
      <c r="H554" s="51"/>
      <c r="I554" s="51"/>
      <c r="J554" s="53"/>
      <c r="K554" s="53"/>
      <c r="L554" s="53"/>
      <c r="M554" s="53"/>
      <c r="N554" s="53"/>
      <c r="O554" s="139"/>
      <c r="P554" s="50"/>
      <c r="Q554" s="57"/>
      <c r="R554" s="12">
        <v>42513</v>
      </c>
      <c r="S554" s="11">
        <v>6.58</v>
      </c>
      <c r="T554" s="148">
        <v>0.84089456869009582</v>
      </c>
      <c r="U554" s="148">
        <f t="shared" si="30"/>
        <v>5.7554879281097033</v>
      </c>
      <c r="V554" s="278">
        <f t="shared" si="31"/>
        <v>-9.7817908201655035E-3</v>
      </c>
      <c r="W554" s="278">
        <f t="shared" si="32"/>
        <v>-1.0024600698821389E-2</v>
      </c>
    </row>
    <row r="555" spans="1:23" x14ac:dyDescent="0.2">
      <c r="A555" s="8">
        <v>42503</v>
      </c>
      <c r="B555" s="9">
        <v>6.51</v>
      </c>
      <c r="E555" s="51"/>
      <c r="F555" s="51"/>
      <c r="G555" s="51"/>
      <c r="H555" s="51"/>
      <c r="I555" s="51"/>
      <c r="J555" s="53"/>
      <c r="K555" s="53"/>
      <c r="L555" s="53"/>
      <c r="M555" s="53"/>
      <c r="N555" s="53"/>
      <c r="O555" s="139"/>
      <c r="P555" s="50"/>
      <c r="Q555" s="57"/>
      <c r="R555" s="12">
        <v>42514</v>
      </c>
      <c r="S555" s="11">
        <v>6.98</v>
      </c>
      <c r="T555" s="148">
        <v>0.89201277955271574</v>
      </c>
      <c r="U555" s="148">
        <f t="shared" si="30"/>
        <v>6.1039681243836474</v>
      </c>
      <c r="V555" s="278">
        <f t="shared" si="31"/>
        <v>6.0790273556231122E-2</v>
      </c>
      <c r="W555" s="278">
        <f t="shared" si="32"/>
        <v>6.0547463677575235E-2</v>
      </c>
    </row>
    <row r="556" spans="1:23" x14ac:dyDescent="0.2">
      <c r="A556" s="8">
        <v>42506</v>
      </c>
      <c r="B556" s="9">
        <v>6.49</v>
      </c>
      <c r="E556" s="51"/>
      <c r="F556" s="51"/>
      <c r="G556" s="51"/>
      <c r="H556" s="51"/>
      <c r="I556" s="51"/>
      <c r="J556" s="53"/>
      <c r="K556" s="53"/>
      <c r="L556" s="53"/>
      <c r="M556" s="53"/>
      <c r="N556" s="53"/>
      <c r="O556" s="139"/>
      <c r="P556" s="50"/>
      <c r="Q556" s="57"/>
      <c r="R556" s="12">
        <v>42515</v>
      </c>
      <c r="S556" s="11">
        <v>7.14</v>
      </c>
      <c r="T556" s="148">
        <v>0.91246006389776346</v>
      </c>
      <c r="U556" s="148">
        <f t="shared" si="30"/>
        <v>6.2424050607245301</v>
      </c>
      <c r="V556" s="278">
        <f t="shared" si="31"/>
        <v>2.2922636103151817E-2</v>
      </c>
      <c r="W556" s="278">
        <f t="shared" si="32"/>
        <v>2.2679826224495932E-2</v>
      </c>
    </row>
    <row r="557" spans="1:23" x14ac:dyDescent="0.2">
      <c r="A557" s="8">
        <v>42507</v>
      </c>
      <c r="B557" s="9">
        <v>6.4649999999999999</v>
      </c>
      <c r="E557" s="51"/>
      <c r="F557" s="51"/>
      <c r="G557" s="51"/>
      <c r="H557" s="51"/>
      <c r="I557" s="51"/>
      <c r="J557" s="53"/>
      <c r="K557" s="53"/>
      <c r="L557" s="53"/>
      <c r="M557" s="53"/>
      <c r="N557" s="53"/>
      <c r="O557" s="139"/>
      <c r="P557" s="50"/>
      <c r="Q557" s="57"/>
      <c r="R557" s="12">
        <v>42516</v>
      </c>
      <c r="S557" s="11">
        <v>7.125</v>
      </c>
      <c r="T557" s="148">
        <v>0.91054313099041528</v>
      </c>
      <c r="U557" s="148">
        <f t="shared" si="30"/>
        <v>6.2277750467631545</v>
      </c>
      <c r="V557" s="278">
        <f t="shared" si="31"/>
        <v>-2.1008403361344463E-3</v>
      </c>
      <c r="W557" s="278">
        <f t="shared" si="32"/>
        <v>-2.3436502147903323E-3</v>
      </c>
    </row>
    <row r="558" spans="1:23" x14ac:dyDescent="0.2">
      <c r="A558" s="8">
        <v>42508</v>
      </c>
      <c r="B558" s="9">
        <v>6.585</v>
      </c>
      <c r="E558" s="51"/>
      <c r="F558" s="51"/>
      <c r="G558" s="51"/>
      <c r="H558" s="51"/>
      <c r="I558" s="51"/>
      <c r="J558" s="53"/>
      <c r="K558" s="53"/>
      <c r="L558" s="53"/>
      <c r="M558" s="53"/>
      <c r="N558" s="53"/>
      <c r="O558" s="139"/>
      <c r="P558" s="50"/>
      <c r="Q558" s="57"/>
      <c r="R558" s="12">
        <v>42517</v>
      </c>
      <c r="S558" s="11">
        <v>7.21</v>
      </c>
      <c r="T558" s="148">
        <v>0.921405750798722</v>
      </c>
      <c r="U558" s="148">
        <f t="shared" si="30"/>
        <v>6.3005591451755238</v>
      </c>
      <c r="V558" s="278">
        <f t="shared" si="31"/>
        <v>1.1929824561403457E-2</v>
      </c>
      <c r="W558" s="278">
        <f t="shared" si="32"/>
        <v>1.1687014682747571E-2</v>
      </c>
    </row>
    <row r="559" spans="1:23" x14ac:dyDescent="0.2">
      <c r="A559" s="8">
        <v>42509</v>
      </c>
      <c r="B559" s="9">
        <v>6.585</v>
      </c>
      <c r="E559" s="51"/>
      <c r="F559" s="51"/>
      <c r="G559" s="51"/>
      <c r="H559" s="51"/>
      <c r="I559" s="51"/>
      <c r="J559" s="53"/>
      <c r="K559" s="53"/>
      <c r="L559" s="53"/>
      <c r="M559" s="53"/>
      <c r="N559" s="53"/>
      <c r="O559" s="139"/>
      <c r="P559" s="50"/>
      <c r="Q559" s="57"/>
      <c r="R559" s="12">
        <v>42520</v>
      </c>
      <c r="S559" s="11">
        <v>7.19</v>
      </c>
      <c r="T559" s="148">
        <v>0.91884984025559113</v>
      </c>
      <c r="U559" s="148">
        <f t="shared" si="30"/>
        <v>6.2815520279918413</v>
      </c>
      <c r="V559" s="278">
        <f t="shared" si="31"/>
        <v>-2.7739251040220791E-3</v>
      </c>
      <c r="W559" s="278">
        <f t="shared" si="32"/>
        <v>-3.0167349826779651E-3</v>
      </c>
    </row>
    <row r="560" spans="1:23" x14ac:dyDescent="0.2">
      <c r="A560" s="8">
        <v>42510</v>
      </c>
      <c r="B560" s="9">
        <v>6.6449999999999996</v>
      </c>
      <c r="E560" s="51"/>
      <c r="F560" s="51"/>
      <c r="G560" s="51"/>
      <c r="H560" s="51"/>
      <c r="I560" s="51"/>
      <c r="J560" s="53"/>
      <c r="K560" s="53"/>
      <c r="L560" s="53"/>
      <c r="M560" s="53"/>
      <c r="N560" s="53"/>
      <c r="O560" s="139"/>
      <c r="P560" s="50"/>
      <c r="Q560" s="57"/>
      <c r="R560" s="12">
        <v>42521</v>
      </c>
      <c r="S560" s="11">
        <v>6.97</v>
      </c>
      <c r="T560" s="148">
        <v>0.89073482428115014</v>
      </c>
      <c r="U560" s="148">
        <f t="shared" si="30"/>
        <v>6.0878235441662083</v>
      </c>
      <c r="V560" s="278">
        <f t="shared" si="31"/>
        <v>-3.0598052851182334E-2</v>
      </c>
      <c r="W560" s="278">
        <f t="shared" si="32"/>
        <v>-3.0840862729838218E-2</v>
      </c>
    </row>
    <row r="561" spans="1:23" x14ac:dyDescent="0.2">
      <c r="A561" s="8">
        <v>42513</v>
      </c>
      <c r="B561" s="9">
        <v>6.58</v>
      </c>
      <c r="E561" s="51"/>
      <c r="F561" s="51"/>
      <c r="G561" s="51"/>
      <c r="H561" s="51"/>
      <c r="I561" s="51"/>
      <c r="J561" s="53"/>
      <c r="K561" s="53"/>
      <c r="L561" s="53"/>
      <c r="M561" s="53"/>
      <c r="N561" s="53"/>
      <c r="O561" s="139"/>
      <c r="P561" s="50"/>
      <c r="Q561" s="57"/>
      <c r="R561" s="12">
        <v>42522</v>
      </c>
      <c r="S561" s="11">
        <v>6.84</v>
      </c>
      <c r="T561" s="148">
        <v>0.87412140575079866</v>
      </c>
      <c r="U561" s="148">
        <f t="shared" si="30"/>
        <v>5.9727991537640577</v>
      </c>
      <c r="V561" s="278">
        <f t="shared" si="31"/>
        <v>-1.8651362984218101E-2</v>
      </c>
      <c r="W561" s="278">
        <f t="shared" si="32"/>
        <v>-1.8894172862873985E-2</v>
      </c>
    </row>
    <row r="562" spans="1:23" x14ac:dyDescent="0.2">
      <c r="A562" s="8">
        <v>42514</v>
      </c>
      <c r="B562" s="9">
        <v>6.98</v>
      </c>
      <c r="E562" s="51"/>
      <c r="F562" s="51"/>
      <c r="G562" s="51"/>
      <c r="H562" s="51"/>
      <c r="I562" s="51"/>
      <c r="J562" s="53"/>
      <c r="K562" s="53"/>
      <c r="L562" s="53"/>
      <c r="M562" s="53"/>
      <c r="N562" s="53"/>
      <c r="O562" s="139"/>
      <c r="P562" s="50"/>
      <c r="Q562" s="57"/>
      <c r="R562" s="12">
        <v>42523</v>
      </c>
      <c r="S562" s="11">
        <v>6.7949999999999999</v>
      </c>
      <c r="T562" s="148">
        <v>0.86837060702875402</v>
      </c>
      <c r="U562" s="148">
        <f t="shared" si="30"/>
        <v>5.9320541678515326</v>
      </c>
      <c r="V562" s="278">
        <f t="shared" si="31"/>
        <v>-6.5789473684210176E-3</v>
      </c>
      <c r="W562" s="278">
        <f t="shared" si="32"/>
        <v>-6.8217572470769035E-3</v>
      </c>
    </row>
    <row r="563" spans="1:23" x14ac:dyDescent="0.2">
      <c r="A563" s="8">
        <v>42515</v>
      </c>
      <c r="B563" s="9">
        <v>7.14</v>
      </c>
      <c r="E563" s="51"/>
      <c r="F563" s="51"/>
      <c r="G563" s="51"/>
      <c r="H563" s="51"/>
      <c r="I563" s="51"/>
      <c r="J563" s="53"/>
      <c r="K563" s="53"/>
      <c r="L563" s="53"/>
      <c r="M563" s="53"/>
      <c r="N563" s="53"/>
      <c r="O563" s="139"/>
      <c r="P563" s="50"/>
      <c r="Q563" s="57"/>
      <c r="R563" s="12">
        <v>42524</v>
      </c>
      <c r="S563" s="11">
        <v>6.62</v>
      </c>
      <c r="T563" s="148">
        <v>0.84600638977635778</v>
      </c>
      <c r="U563" s="148">
        <f t="shared" si="30"/>
        <v>5.7778383128455797</v>
      </c>
      <c r="V563" s="278">
        <f t="shared" si="31"/>
        <v>-2.5754231052244281E-2</v>
      </c>
      <c r="W563" s="278">
        <f t="shared" si="32"/>
        <v>-2.5997040930900165E-2</v>
      </c>
    </row>
    <row r="564" spans="1:23" x14ac:dyDescent="0.2">
      <c r="A564" s="8">
        <v>42516</v>
      </c>
      <c r="B564" s="9">
        <v>7.125</v>
      </c>
      <c r="E564" s="51"/>
      <c r="F564" s="51"/>
      <c r="G564" s="51"/>
      <c r="H564" s="51"/>
      <c r="I564" s="51"/>
      <c r="J564" s="53"/>
      <c r="K564" s="53"/>
      <c r="L564" s="53"/>
      <c r="M564" s="53"/>
      <c r="N564" s="53"/>
      <c r="O564" s="139"/>
      <c r="P564" s="50"/>
      <c r="Q564" s="57"/>
      <c r="R564" s="12">
        <v>42527</v>
      </c>
      <c r="S564" s="11">
        <v>6.57</v>
      </c>
      <c r="T564" s="148">
        <v>0.83961661341853033</v>
      </c>
      <c r="U564" s="148">
        <f t="shared" si="30"/>
        <v>5.7327961344443317</v>
      </c>
      <c r="V564" s="278">
        <f t="shared" si="31"/>
        <v>-7.5528700906344337E-3</v>
      </c>
      <c r="W564" s="278">
        <f t="shared" si="32"/>
        <v>-7.7956799692903197E-3</v>
      </c>
    </row>
    <row r="565" spans="1:23" x14ac:dyDescent="0.2">
      <c r="A565" s="8">
        <v>42517</v>
      </c>
      <c r="B565" s="9">
        <v>7.21</v>
      </c>
      <c r="E565" s="51"/>
      <c r="F565" s="51"/>
      <c r="G565" s="51"/>
      <c r="H565" s="51"/>
      <c r="I565" s="51"/>
      <c r="J565" s="53"/>
      <c r="K565" s="53"/>
      <c r="L565" s="53"/>
      <c r="M565" s="53"/>
      <c r="N565" s="53"/>
      <c r="O565" s="139"/>
      <c r="P565" s="50"/>
      <c r="Q565" s="57"/>
      <c r="R565" s="12">
        <v>42528</v>
      </c>
      <c r="S565" s="11">
        <v>6.68</v>
      </c>
      <c r="T565" s="148">
        <v>0.85367412140575072</v>
      </c>
      <c r="U565" s="148">
        <f t="shared" si="30"/>
        <v>5.8273870430062864</v>
      </c>
      <c r="V565" s="278">
        <f t="shared" si="31"/>
        <v>1.6742770167427645E-2</v>
      </c>
      <c r="W565" s="278">
        <f t="shared" si="32"/>
        <v>1.6499960288771761E-2</v>
      </c>
    </row>
    <row r="566" spans="1:23" x14ac:dyDescent="0.2">
      <c r="A566" s="8">
        <v>42520</v>
      </c>
      <c r="B566" s="9">
        <v>7.19</v>
      </c>
      <c r="E566" s="51"/>
      <c r="F566" s="51"/>
      <c r="G566" s="51"/>
      <c r="H566" s="51"/>
      <c r="I566" s="51"/>
      <c r="J566" s="53"/>
      <c r="K566" s="53"/>
      <c r="L566" s="53"/>
      <c r="M566" s="53"/>
      <c r="N566" s="53"/>
      <c r="O566" s="139"/>
      <c r="P566" s="50"/>
      <c r="Q566" s="57"/>
      <c r="R566" s="12">
        <v>42529</v>
      </c>
      <c r="S566" s="11">
        <v>6.5949999999999998</v>
      </c>
      <c r="T566" s="148">
        <v>0.842811501597444</v>
      </c>
      <c r="U566" s="148">
        <f t="shared" si="30"/>
        <v>5.751821212833228</v>
      </c>
      <c r="V566" s="278">
        <f t="shared" si="31"/>
        <v>-1.2724550898203568E-2</v>
      </c>
      <c r="W566" s="278">
        <f t="shared" si="32"/>
        <v>-1.2967360776859454E-2</v>
      </c>
    </row>
    <row r="567" spans="1:23" x14ac:dyDescent="0.2">
      <c r="A567" s="8">
        <v>42521</v>
      </c>
      <c r="B567" s="9">
        <v>6.97</v>
      </c>
      <c r="E567" s="51"/>
      <c r="F567" s="51"/>
      <c r="G567" s="51"/>
      <c r="H567" s="51"/>
      <c r="I567" s="51"/>
      <c r="J567" s="53"/>
      <c r="K567" s="53"/>
      <c r="L567" s="53"/>
      <c r="M567" s="53"/>
      <c r="N567" s="53"/>
      <c r="O567" s="139"/>
      <c r="P567" s="50"/>
      <c r="Q567" s="57"/>
      <c r="R567" s="12">
        <v>42530</v>
      </c>
      <c r="S567" s="11">
        <v>6.48</v>
      </c>
      <c r="T567" s="148">
        <v>0.82811501597444093</v>
      </c>
      <c r="U567" s="148">
        <f t="shared" si="30"/>
        <v>5.6501275039702046</v>
      </c>
      <c r="V567" s="278">
        <f t="shared" si="31"/>
        <v>-1.7437452615617799E-2</v>
      </c>
      <c r="W567" s="278">
        <f t="shared" si="32"/>
        <v>-1.7680262494273683E-2</v>
      </c>
    </row>
    <row r="568" spans="1:23" x14ac:dyDescent="0.2">
      <c r="A568" s="8">
        <v>42522</v>
      </c>
      <c r="B568" s="9">
        <v>6.84</v>
      </c>
      <c r="E568" s="51"/>
      <c r="F568" s="51"/>
      <c r="G568" s="51"/>
      <c r="H568" s="51"/>
      <c r="I568" s="51"/>
      <c r="J568" s="53"/>
      <c r="K568" s="53"/>
      <c r="L568" s="53"/>
      <c r="M568" s="53"/>
      <c r="N568" s="53"/>
      <c r="O568" s="139"/>
      <c r="P568" s="50"/>
      <c r="Q568" s="57"/>
      <c r="R568" s="12">
        <v>42531</v>
      </c>
      <c r="S568" s="11">
        <v>6.125</v>
      </c>
      <c r="T568" s="148">
        <v>0.78274760383386577</v>
      </c>
      <c r="U568" s="148">
        <f t="shared" si="30"/>
        <v>5.339219291037713</v>
      </c>
      <c r="V568" s="278">
        <f t="shared" si="31"/>
        <v>-5.4783950617284027E-2</v>
      </c>
      <c r="W568" s="278">
        <f t="shared" si="32"/>
        <v>-5.5026760495939915E-2</v>
      </c>
    </row>
    <row r="569" spans="1:23" x14ac:dyDescent="0.2">
      <c r="A569" s="8">
        <v>42523</v>
      </c>
      <c r="B569" s="9">
        <v>6.7949999999999999</v>
      </c>
      <c r="E569" s="51"/>
      <c r="F569" s="51"/>
      <c r="G569" s="51"/>
      <c r="H569" s="51"/>
      <c r="I569" s="51"/>
      <c r="J569" s="53"/>
      <c r="K569" s="53"/>
      <c r="L569" s="53"/>
      <c r="M569" s="53"/>
      <c r="N569" s="53"/>
      <c r="O569" s="139"/>
      <c r="P569" s="50"/>
      <c r="Q569" s="57"/>
      <c r="R569" s="12">
        <v>42534</v>
      </c>
      <c r="S569" s="11">
        <v>5.8250000000000002</v>
      </c>
      <c r="T569" s="148">
        <v>0.74440894568690097</v>
      </c>
      <c r="U569" s="148">
        <f t="shared" si="30"/>
        <v>5.0764100942476924</v>
      </c>
      <c r="V569" s="278">
        <f t="shared" si="31"/>
        <v>-4.8979591836734615E-2</v>
      </c>
      <c r="W569" s="278">
        <f t="shared" si="32"/>
        <v>-4.9222401715390503E-2</v>
      </c>
    </row>
    <row r="570" spans="1:23" x14ac:dyDescent="0.2">
      <c r="A570" s="8">
        <v>42524</v>
      </c>
      <c r="B570" s="9">
        <v>6.62</v>
      </c>
      <c r="E570" s="51"/>
      <c r="F570" s="51"/>
      <c r="G570" s="51"/>
      <c r="H570" s="51"/>
      <c r="I570" s="51"/>
      <c r="J570" s="53"/>
      <c r="K570" s="53"/>
      <c r="L570" s="53"/>
      <c r="M570" s="53"/>
      <c r="N570" s="53"/>
      <c r="O570" s="139"/>
      <c r="P570" s="50"/>
      <c r="Q570" s="57"/>
      <c r="R570" s="12">
        <v>42535</v>
      </c>
      <c r="S570" s="11">
        <v>5.6050000000000004</v>
      </c>
      <c r="T570" s="148">
        <v>0.71629392971246009</v>
      </c>
      <c r="U570" s="148">
        <f t="shared" si="30"/>
        <v>4.8834504152077578</v>
      </c>
      <c r="V570" s="278">
        <f t="shared" si="31"/>
        <v>-3.7768240343347581E-2</v>
      </c>
      <c r="W570" s="278">
        <f t="shared" si="32"/>
        <v>-3.8011050222003469E-2</v>
      </c>
    </row>
    <row r="571" spans="1:23" x14ac:dyDescent="0.2">
      <c r="A571" s="8">
        <v>42527</v>
      </c>
      <c r="B571" s="9">
        <v>6.57</v>
      </c>
      <c r="E571" s="51"/>
      <c r="F571" s="51"/>
      <c r="G571" s="51"/>
      <c r="H571" s="51"/>
      <c r="I571" s="51"/>
      <c r="J571" s="53"/>
      <c r="K571" s="53"/>
      <c r="L571" s="53"/>
      <c r="M571" s="53"/>
      <c r="N571" s="53"/>
      <c r="O571" s="139"/>
      <c r="P571" s="50"/>
      <c r="Q571" s="57"/>
      <c r="R571" s="12">
        <v>42536</v>
      </c>
      <c r="S571" s="11">
        <v>5.76</v>
      </c>
      <c r="T571" s="148">
        <v>0.73610223642172523</v>
      </c>
      <c r="U571" s="148">
        <f t="shared" si="30"/>
        <v>5.0173110192384174</v>
      </c>
      <c r="V571" s="278">
        <f t="shared" si="31"/>
        <v>2.7653880463871516E-2</v>
      </c>
      <c r="W571" s="278">
        <f t="shared" si="32"/>
        <v>2.7411070585215632E-2</v>
      </c>
    </row>
    <row r="572" spans="1:23" x14ac:dyDescent="0.2">
      <c r="A572" s="8">
        <v>42528</v>
      </c>
      <c r="B572" s="9">
        <v>6.68</v>
      </c>
      <c r="E572" s="51"/>
      <c r="F572" s="51"/>
      <c r="G572" s="51"/>
      <c r="H572" s="51"/>
      <c r="I572" s="51"/>
      <c r="J572" s="53"/>
      <c r="K572" s="53"/>
      <c r="L572" s="53"/>
      <c r="M572" s="53"/>
      <c r="N572" s="53"/>
      <c r="O572" s="139"/>
      <c r="P572" s="50"/>
      <c r="Q572" s="57"/>
      <c r="R572" s="12">
        <v>42537</v>
      </c>
      <c r="S572" s="11">
        <v>5.74</v>
      </c>
      <c r="T572" s="148">
        <v>0.73354632587859425</v>
      </c>
      <c r="U572" s="148">
        <f t="shared" si="30"/>
        <v>4.998671547741858</v>
      </c>
      <c r="V572" s="278">
        <f t="shared" si="31"/>
        <v>-3.4722222222220989E-3</v>
      </c>
      <c r="W572" s="278">
        <f t="shared" si="32"/>
        <v>-3.7150321008779848E-3</v>
      </c>
    </row>
    <row r="573" spans="1:23" x14ac:dyDescent="0.2">
      <c r="A573" s="8">
        <v>42529</v>
      </c>
      <c r="B573" s="9">
        <v>6.5949999999999998</v>
      </c>
      <c r="E573" s="51"/>
      <c r="F573" s="51"/>
      <c r="G573" s="51"/>
      <c r="H573" s="51"/>
      <c r="I573" s="51"/>
      <c r="J573" s="53"/>
      <c r="K573" s="53"/>
      <c r="L573" s="53"/>
      <c r="M573" s="53"/>
      <c r="N573" s="53"/>
      <c r="O573" s="139"/>
      <c r="P573" s="50"/>
      <c r="Q573" s="57"/>
      <c r="R573" s="12">
        <v>42538</v>
      </c>
      <c r="S573" s="11">
        <v>5.97</v>
      </c>
      <c r="T573" s="148">
        <v>0.76293929712460062</v>
      </c>
      <c r="U573" s="148">
        <f t="shared" si="30"/>
        <v>5.1977530223002626</v>
      </c>
      <c r="V573" s="278">
        <f t="shared" si="31"/>
        <v>4.006968641114983E-2</v>
      </c>
      <c r="W573" s="278">
        <f t="shared" si="32"/>
        <v>3.9826876532493942E-2</v>
      </c>
    </row>
    <row r="574" spans="1:23" x14ac:dyDescent="0.2">
      <c r="A574" s="8">
        <v>42530</v>
      </c>
      <c r="B574" s="9">
        <v>6.48</v>
      </c>
      <c r="E574" s="51"/>
      <c r="F574" s="51"/>
      <c r="G574" s="51"/>
      <c r="H574" s="51"/>
      <c r="I574" s="51"/>
      <c r="J574" s="53"/>
      <c r="K574" s="53"/>
      <c r="L574" s="53"/>
      <c r="M574" s="53"/>
      <c r="N574" s="53"/>
      <c r="O574" s="139"/>
      <c r="P574" s="50"/>
      <c r="Q574" s="57"/>
      <c r="R574" s="12">
        <v>42541</v>
      </c>
      <c r="S574" s="11">
        <v>6.3</v>
      </c>
      <c r="T574" s="148">
        <v>0.80511182108626189</v>
      </c>
      <c r="U574" s="148">
        <f t="shared" si="30"/>
        <v>5.4838039376518086</v>
      </c>
      <c r="V574" s="278">
        <f t="shared" si="31"/>
        <v>5.5276381909547645E-2</v>
      </c>
      <c r="W574" s="278">
        <f t="shared" si="32"/>
        <v>5.5033572030891757E-2</v>
      </c>
    </row>
    <row r="575" spans="1:23" x14ac:dyDescent="0.2">
      <c r="A575" s="8">
        <v>42531</v>
      </c>
      <c r="B575" s="9">
        <v>6.125</v>
      </c>
      <c r="E575" s="51"/>
      <c r="F575" s="51"/>
      <c r="G575" s="51"/>
      <c r="H575" s="51"/>
      <c r="I575" s="51"/>
      <c r="J575" s="53"/>
      <c r="K575" s="53"/>
      <c r="L575" s="53"/>
      <c r="M575" s="53"/>
      <c r="N575" s="53"/>
      <c r="O575" s="139"/>
      <c r="P575" s="50"/>
      <c r="Q575" s="57"/>
      <c r="R575" s="12">
        <v>42542</v>
      </c>
      <c r="S575" s="11">
        <v>6.3849999999999998</v>
      </c>
      <c r="T575" s="148">
        <v>0.81597444089456861</v>
      </c>
      <c r="U575" s="148">
        <f t="shared" si="30"/>
        <v>5.5564602467879602</v>
      </c>
      <c r="V575" s="278">
        <f t="shared" si="31"/>
        <v>1.3492063492063444E-2</v>
      </c>
      <c r="W575" s="278">
        <f t="shared" si="32"/>
        <v>1.3249253613407558E-2</v>
      </c>
    </row>
    <row r="576" spans="1:23" x14ac:dyDescent="0.2">
      <c r="A576" s="8">
        <v>42534</v>
      </c>
      <c r="B576" s="9">
        <v>5.8250000000000002</v>
      </c>
      <c r="E576" s="51"/>
      <c r="F576" s="51"/>
      <c r="G576" s="51"/>
      <c r="H576" s="51"/>
      <c r="I576" s="51"/>
      <c r="J576" s="53"/>
      <c r="K576" s="53"/>
      <c r="L576" s="53"/>
      <c r="M576" s="53"/>
      <c r="N576" s="53"/>
      <c r="O576" s="139"/>
      <c r="P576" s="50"/>
      <c r="Q576" s="57"/>
      <c r="R576" s="12">
        <v>42543</v>
      </c>
      <c r="S576" s="11">
        <v>6.3449999999999998</v>
      </c>
      <c r="T576" s="148">
        <v>0.81086261980830665</v>
      </c>
      <c r="U576" s="148">
        <f t="shared" si="30"/>
        <v>5.5203016221325294</v>
      </c>
      <c r="V576" s="278">
        <f t="shared" si="31"/>
        <v>-6.2646828504306917E-3</v>
      </c>
      <c r="W576" s="278">
        <f t="shared" si="32"/>
        <v>-6.5074927290865777E-3</v>
      </c>
    </row>
    <row r="577" spans="1:23" x14ac:dyDescent="0.2">
      <c r="A577" s="8">
        <v>42535</v>
      </c>
      <c r="B577" s="9">
        <v>5.6050000000000004</v>
      </c>
      <c r="E577" s="51"/>
      <c r="F577" s="51"/>
      <c r="G577" s="51"/>
      <c r="H577" s="51"/>
      <c r="I577" s="51"/>
      <c r="J577" s="53"/>
      <c r="K577" s="53"/>
      <c r="L577" s="53"/>
      <c r="M577" s="53"/>
      <c r="N577" s="53"/>
      <c r="O577" s="139"/>
      <c r="P577" s="50"/>
      <c r="Q577" s="57"/>
      <c r="R577" s="12">
        <v>42544</v>
      </c>
      <c r="S577" s="11">
        <v>6.74</v>
      </c>
      <c r="T577" s="148">
        <v>0.86134185303514377</v>
      </c>
      <c r="U577" s="148">
        <f t="shared" si="30"/>
        <v>5.8626206774108027</v>
      </c>
      <c r="V577" s="278">
        <f t="shared" si="31"/>
        <v>6.2253743104806913E-2</v>
      </c>
      <c r="W577" s="278">
        <f t="shared" si="32"/>
        <v>6.2010933226151026E-2</v>
      </c>
    </row>
    <row r="578" spans="1:23" x14ac:dyDescent="0.2">
      <c r="A578" s="8">
        <v>42536</v>
      </c>
      <c r="B578" s="9">
        <v>5.76</v>
      </c>
      <c r="E578" s="51"/>
      <c r="F578" s="51"/>
      <c r="G578" s="51"/>
      <c r="H578" s="51"/>
      <c r="I578" s="51"/>
      <c r="J578" s="53"/>
      <c r="K578" s="53"/>
      <c r="L578" s="53"/>
      <c r="M578" s="53"/>
      <c r="N578" s="53"/>
      <c r="O578" s="139"/>
      <c r="P578" s="50"/>
      <c r="Q578" s="57"/>
      <c r="R578" s="12">
        <v>42545</v>
      </c>
      <c r="S578" s="11">
        <v>5.31</v>
      </c>
      <c r="T578" s="148">
        <v>0.67859424920127787</v>
      </c>
      <c r="U578" s="148">
        <f t="shared" si="30"/>
        <v>4.6173473875549442</v>
      </c>
      <c r="V578" s="278">
        <f t="shared" si="31"/>
        <v>-0.21216617210682498</v>
      </c>
      <c r="W578" s="278">
        <f t="shared" si="32"/>
        <v>-0.21240898198548086</v>
      </c>
    </row>
    <row r="579" spans="1:23" x14ac:dyDescent="0.2">
      <c r="A579" s="8">
        <v>42537</v>
      </c>
      <c r="B579" s="9">
        <v>5.74</v>
      </c>
      <c r="E579" s="51"/>
      <c r="F579" s="51"/>
      <c r="G579" s="51"/>
      <c r="H579" s="51"/>
      <c r="I579" s="51"/>
      <c r="J579" s="53"/>
      <c r="K579" s="53"/>
      <c r="L579" s="53"/>
      <c r="M579" s="53"/>
      <c r="N579" s="53"/>
      <c r="O579" s="139"/>
      <c r="P579" s="50"/>
      <c r="Q579" s="57"/>
      <c r="R579" s="12">
        <v>42548</v>
      </c>
      <c r="S579" s="11">
        <v>4.6319999999999997</v>
      </c>
      <c r="T579" s="148">
        <v>0.59194888178913729</v>
      </c>
      <c r="U579" s="148">
        <f t="shared" si="30"/>
        <v>4.0266666400596662</v>
      </c>
      <c r="V579" s="278">
        <f t="shared" si="31"/>
        <v>-0.12768361581920906</v>
      </c>
      <c r="W579" s="278">
        <f t="shared" si="32"/>
        <v>-0.12792642569786494</v>
      </c>
    </row>
    <row r="580" spans="1:23" x14ac:dyDescent="0.2">
      <c r="A580" s="8">
        <v>42538</v>
      </c>
      <c r="B580" s="9">
        <v>5.97</v>
      </c>
      <c r="E580" s="51"/>
      <c r="F580" s="51"/>
      <c r="G580" s="51"/>
      <c r="H580" s="51"/>
      <c r="I580" s="51"/>
      <c r="J580" s="53"/>
      <c r="K580" s="53"/>
      <c r="L580" s="53"/>
      <c r="M580" s="53"/>
      <c r="N580" s="53"/>
      <c r="O580" s="139"/>
      <c r="P580" s="50"/>
      <c r="Q580" s="57"/>
      <c r="R580" s="12">
        <v>42549</v>
      </c>
      <c r="S580" s="11">
        <v>4.9000000000000004</v>
      </c>
      <c r="T580" s="148">
        <v>0.62619808306709268</v>
      </c>
      <c r="U580" s="148">
        <f t="shared" si="30"/>
        <v>4.2586653201671725</v>
      </c>
      <c r="V580" s="278">
        <f t="shared" si="31"/>
        <v>5.7858376511226384E-2</v>
      </c>
      <c r="W580" s="278">
        <f t="shared" si="32"/>
        <v>5.7615566632570496E-2</v>
      </c>
    </row>
    <row r="581" spans="1:23" x14ac:dyDescent="0.2">
      <c r="A581" s="8">
        <v>42541</v>
      </c>
      <c r="B581" s="9">
        <v>6.3</v>
      </c>
      <c r="E581" s="51"/>
      <c r="F581" s="51"/>
      <c r="G581" s="51"/>
      <c r="H581" s="51"/>
      <c r="I581" s="51"/>
      <c r="J581" s="53"/>
      <c r="K581" s="53"/>
      <c r="L581" s="53"/>
      <c r="M581" s="53"/>
      <c r="N581" s="53"/>
      <c r="O581" s="139"/>
      <c r="P581" s="50"/>
      <c r="Q581" s="57"/>
      <c r="R581" s="12">
        <v>42550</v>
      </c>
      <c r="S581" s="11">
        <v>5.07</v>
      </c>
      <c r="T581" s="148">
        <v>0.64792332268370612</v>
      </c>
      <c r="U581" s="148">
        <f t="shared" si="30"/>
        <v>4.4053808873062028</v>
      </c>
      <c r="V581" s="278">
        <f t="shared" si="31"/>
        <v>3.469387755102038E-2</v>
      </c>
      <c r="W581" s="278">
        <f t="shared" si="32"/>
        <v>3.4451067672364492E-2</v>
      </c>
    </row>
    <row r="582" spans="1:23" x14ac:dyDescent="0.2">
      <c r="A582" s="8">
        <v>42542</v>
      </c>
      <c r="B582" s="9">
        <v>6.3849999999999998</v>
      </c>
      <c r="E582" s="51"/>
      <c r="F582" s="51"/>
      <c r="G582" s="51"/>
      <c r="H582" s="51"/>
      <c r="I582" s="51"/>
      <c r="J582" s="53"/>
      <c r="K582" s="53"/>
      <c r="L582" s="53"/>
      <c r="M582" s="53"/>
      <c r="N582" s="53"/>
      <c r="O582" s="139"/>
      <c r="P582" s="50"/>
      <c r="Q582" s="57"/>
      <c r="R582" s="12">
        <v>42551</v>
      </c>
      <c r="S582" s="11">
        <v>5.1550000000000002</v>
      </c>
      <c r="T582" s="148">
        <v>0.65878594249201283</v>
      </c>
      <c r="U582" s="148">
        <f t="shared" si="30"/>
        <v>4.4781686878047662</v>
      </c>
      <c r="V582" s="278">
        <f t="shared" si="31"/>
        <v>1.6765285996055201E-2</v>
      </c>
      <c r="W582" s="278">
        <f t="shared" si="32"/>
        <v>1.6522476117399317E-2</v>
      </c>
    </row>
    <row r="583" spans="1:23" x14ac:dyDescent="0.2">
      <c r="A583" s="8">
        <v>42543</v>
      </c>
      <c r="B583" s="9">
        <v>6.3449999999999998</v>
      </c>
      <c r="E583" s="51"/>
      <c r="F583" s="51"/>
      <c r="G583" s="51"/>
      <c r="H583" s="51"/>
      <c r="I583" s="51"/>
      <c r="J583" s="53"/>
      <c r="K583" s="53"/>
      <c r="L583" s="53"/>
      <c r="M583" s="53"/>
      <c r="N583" s="53"/>
      <c r="O583" s="139"/>
      <c r="P583" s="50"/>
      <c r="Q583" s="57"/>
      <c r="R583" s="12">
        <v>42552</v>
      </c>
      <c r="S583" s="11">
        <v>5.2050000000000001</v>
      </c>
      <c r="T583" s="148">
        <v>0.66517571884984028</v>
      </c>
      <c r="U583" s="148">
        <f t="shared" si="30"/>
        <v>4.5205165400170788</v>
      </c>
      <c r="V583" s="278">
        <f t="shared" si="31"/>
        <v>9.6993210475266878E-3</v>
      </c>
      <c r="W583" s="278">
        <f t="shared" si="32"/>
        <v>9.4565111688708018E-3</v>
      </c>
    </row>
    <row r="584" spans="1:23" x14ac:dyDescent="0.2">
      <c r="A584" s="8">
        <v>42544</v>
      </c>
      <c r="B584" s="9">
        <v>6.74</v>
      </c>
      <c r="E584" s="51"/>
      <c r="F584" s="51"/>
      <c r="G584" s="51"/>
      <c r="H584" s="51"/>
      <c r="I584" s="51"/>
      <c r="J584" s="53"/>
      <c r="K584" s="53"/>
      <c r="L584" s="53"/>
      <c r="M584" s="53"/>
      <c r="N584" s="53"/>
      <c r="O584" s="139"/>
      <c r="P584" s="50"/>
      <c r="Q584" s="57"/>
      <c r="R584" s="12">
        <v>42555</v>
      </c>
      <c r="S584" s="11">
        <v>4.9859999999999998</v>
      </c>
      <c r="T584" s="148">
        <v>0.63718849840255587</v>
      </c>
      <c r="U584" s="148">
        <f t="shared" si="30"/>
        <v>4.3292185062089459</v>
      </c>
      <c r="V584" s="278">
        <f t="shared" si="31"/>
        <v>-4.2074927953890562E-2</v>
      </c>
      <c r="W584" s="278">
        <f t="shared" si="32"/>
        <v>-4.231773783254645E-2</v>
      </c>
    </row>
    <row r="585" spans="1:23" x14ac:dyDescent="0.2">
      <c r="A585" s="8">
        <v>42545</v>
      </c>
      <c r="B585" s="9">
        <v>5.31</v>
      </c>
      <c r="E585" s="51"/>
      <c r="F585" s="51"/>
      <c r="G585" s="51"/>
      <c r="H585" s="51"/>
      <c r="I585" s="51"/>
      <c r="J585" s="53"/>
      <c r="K585" s="53"/>
      <c r="L585" s="53"/>
      <c r="M585" s="53"/>
      <c r="N585" s="53"/>
      <c r="O585" s="139"/>
      <c r="P585" s="50"/>
      <c r="Q585" s="57"/>
      <c r="R585" s="12">
        <v>42556</v>
      </c>
      <c r="S585" s="11">
        <v>4.8259999999999996</v>
      </c>
      <c r="T585" s="148">
        <v>0.61674121405750792</v>
      </c>
      <c r="U585" s="148">
        <f t="shared" si="30"/>
        <v>4.1892433498479376</v>
      </c>
      <c r="V585" s="278">
        <f t="shared" si="31"/>
        <v>-3.2089851584436446E-2</v>
      </c>
      <c r="W585" s="278">
        <f t="shared" si="32"/>
        <v>-3.2332661463092334E-2</v>
      </c>
    </row>
    <row r="586" spans="1:23" x14ac:dyDescent="0.2">
      <c r="A586" s="8">
        <v>42548</v>
      </c>
      <c r="B586" s="9">
        <v>4.6319999999999997</v>
      </c>
      <c r="E586" s="51"/>
      <c r="F586" s="51"/>
      <c r="G586" s="51"/>
      <c r="H586" s="51"/>
      <c r="I586" s="51"/>
      <c r="J586" s="53"/>
      <c r="K586" s="53"/>
      <c r="L586" s="53"/>
      <c r="M586" s="53"/>
      <c r="N586" s="53"/>
      <c r="O586" s="139"/>
      <c r="P586" s="50"/>
      <c r="Q586" s="57"/>
      <c r="R586" s="12">
        <v>42557</v>
      </c>
      <c r="S586" s="11">
        <v>4.7119999999999997</v>
      </c>
      <c r="T586" s="148">
        <v>0.60217252396166132</v>
      </c>
      <c r="U586" s="148">
        <f t="shared" si="30"/>
        <v>4.0892676558513843</v>
      </c>
      <c r="V586" s="278">
        <f t="shared" si="31"/>
        <v>-2.3622047244094446E-2</v>
      </c>
      <c r="W586" s="278">
        <f t="shared" si="32"/>
        <v>-2.386485712275033E-2</v>
      </c>
    </row>
    <row r="587" spans="1:23" x14ac:dyDescent="0.2">
      <c r="A587" s="8">
        <v>42549</v>
      </c>
      <c r="B587" s="9">
        <v>4.9000000000000004</v>
      </c>
      <c r="E587" s="51"/>
      <c r="F587" s="51"/>
      <c r="G587" s="51"/>
      <c r="H587" s="51"/>
      <c r="I587" s="51"/>
      <c r="J587" s="53"/>
      <c r="K587" s="53"/>
      <c r="L587" s="53"/>
      <c r="M587" s="53"/>
      <c r="N587" s="53"/>
      <c r="O587" s="139"/>
      <c r="P587" s="50"/>
      <c r="Q587" s="57"/>
      <c r="R587" s="12">
        <v>42558</v>
      </c>
      <c r="S587" s="11">
        <v>4.8739999999999997</v>
      </c>
      <c r="T587" s="148">
        <v>0.62287539936102232</v>
      </c>
      <c r="U587" s="148">
        <f t="shared" si="30"/>
        <v>4.2288650129675505</v>
      </c>
      <c r="V587" s="278">
        <f t="shared" si="31"/>
        <v>3.4380305602716543E-2</v>
      </c>
      <c r="W587" s="278">
        <f t="shared" si="32"/>
        <v>3.4137495724060656E-2</v>
      </c>
    </row>
    <row r="588" spans="1:23" x14ac:dyDescent="0.2">
      <c r="A588" s="8">
        <v>42550</v>
      </c>
      <c r="B588" s="9">
        <v>5.07</v>
      </c>
      <c r="E588" s="51"/>
      <c r="F588" s="51"/>
      <c r="G588" s="51"/>
      <c r="H588" s="51"/>
      <c r="I588" s="51"/>
      <c r="J588" s="53"/>
      <c r="K588" s="53"/>
      <c r="L588" s="53"/>
      <c r="M588" s="53"/>
      <c r="N588" s="53"/>
      <c r="O588" s="139"/>
      <c r="P588" s="50"/>
      <c r="Q588" s="57"/>
      <c r="R588" s="12">
        <v>42559</v>
      </c>
      <c r="S588" s="11">
        <v>5.29</v>
      </c>
      <c r="T588" s="148">
        <v>0.676038338658147</v>
      </c>
      <c r="U588" s="148">
        <f t="shared" si="30"/>
        <v>4.5887753889372949</v>
      </c>
      <c r="V588" s="278">
        <f t="shared" si="31"/>
        <v>8.5350841198194694E-2</v>
      </c>
      <c r="W588" s="278">
        <f t="shared" si="32"/>
        <v>8.5108031319538813E-2</v>
      </c>
    </row>
    <row r="589" spans="1:23" x14ac:dyDescent="0.2">
      <c r="A589" s="8">
        <v>42551</v>
      </c>
      <c r="B589" s="9">
        <v>5.1550000000000002</v>
      </c>
      <c r="E589" s="51"/>
      <c r="F589" s="51"/>
      <c r="G589" s="51"/>
      <c r="H589" s="51"/>
      <c r="I589" s="51"/>
      <c r="J589" s="53"/>
      <c r="K589" s="53"/>
      <c r="L589" s="53"/>
      <c r="M589" s="53"/>
      <c r="N589" s="53"/>
      <c r="O589" s="139"/>
      <c r="P589" s="50"/>
      <c r="Q589" s="57"/>
      <c r="R589" s="12">
        <v>42562</v>
      </c>
      <c r="S589" s="11">
        <v>5.31</v>
      </c>
      <c r="T589" s="148">
        <v>0.67859424920127787</v>
      </c>
      <c r="U589" s="148">
        <f t="shared" si="30"/>
        <v>4.6050100561968881</v>
      </c>
      <c r="V589" s="278">
        <f t="shared" si="31"/>
        <v>3.780718336483746E-3</v>
      </c>
      <c r="W589" s="278">
        <f t="shared" si="32"/>
        <v>3.53790845782786E-3</v>
      </c>
    </row>
    <row r="590" spans="1:23" x14ac:dyDescent="0.2">
      <c r="A590" s="8">
        <v>42552</v>
      </c>
      <c r="B590" s="9">
        <v>5.2050000000000001</v>
      </c>
      <c r="E590" s="51"/>
      <c r="F590" s="51"/>
      <c r="G590" s="51"/>
      <c r="H590" s="51"/>
      <c r="I590" s="51"/>
      <c r="J590" s="53"/>
      <c r="K590" s="53"/>
      <c r="L590" s="53"/>
      <c r="M590" s="53"/>
      <c r="N590" s="53"/>
      <c r="O590" s="139"/>
      <c r="P590" s="50"/>
      <c r="Q590" s="57"/>
      <c r="R590" s="12">
        <v>42563</v>
      </c>
      <c r="S590" s="11">
        <v>5.7</v>
      </c>
      <c r="T590" s="148">
        <v>0.72843450479233229</v>
      </c>
      <c r="U590" s="148">
        <f t="shared" si="30"/>
        <v>4.9421129918377176</v>
      </c>
      <c r="V590" s="278">
        <f t="shared" si="31"/>
        <v>7.344632768361592E-2</v>
      </c>
      <c r="W590" s="278">
        <f t="shared" si="32"/>
        <v>7.3203517804960039E-2</v>
      </c>
    </row>
    <row r="591" spans="1:23" x14ac:dyDescent="0.2">
      <c r="A591" s="8">
        <v>42555</v>
      </c>
      <c r="B591" s="9">
        <v>4.9859999999999998</v>
      </c>
      <c r="E591" s="51"/>
      <c r="F591" s="51"/>
      <c r="G591" s="51"/>
      <c r="H591" s="51"/>
      <c r="I591" s="51"/>
      <c r="J591" s="53"/>
      <c r="K591" s="53"/>
      <c r="L591" s="53"/>
      <c r="M591" s="53"/>
      <c r="N591" s="53"/>
      <c r="O591" s="139"/>
      <c r="P591" s="50"/>
      <c r="Q591" s="57"/>
      <c r="R591" s="12">
        <v>42564</v>
      </c>
      <c r="S591" s="11">
        <v>5.7450000000000001</v>
      </c>
      <c r="T591" s="148">
        <v>0.73418530351437694</v>
      </c>
      <c r="U591" s="148">
        <f t="shared" si="30"/>
        <v>4.9799296794963732</v>
      </c>
      <c r="V591" s="278">
        <f t="shared" si="31"/>
        <v>7.8947368421051767E-3</v>
      </c>
      <c r="W591" s="278">
        <f t="shared" si="32"/>
        <v>7.6519269634492907E-3</v>
      </c>
    </row>
    <row r="592" spans="1:23" x14ac:dyDescent="0.2">
      <c r="A592" s="8">
        <v>42556</v>
      </c>
      <c r="B592" s="9">
        <v>4.8259999999999996</v>
      </c>
      <c r="E592" s="51"/>
      <c r="F592" s="51"/>
      <c r="G592" s="51"/>
      <c r="H592" s="51"/>
      <c r="I592" s="51"/>
      <c r="J592" s="53"/>
      <c r="K592" s="53"/>
      <c r="L592" s="53"/>
      <c r="M592" s="53"/>
      <c r="N592" s="53"/>
      <c r="O592" s="139"/>
      <c r="P592" s="50"/>
      <c r="Q592" s="57"/>
      <c r="R592" s="12">
        <v>42565</v>
      </c>
      <c r="S592" s="11">
        <v>5.92</v>
      </c>
      <c r="T592" s="148">
        <v>0.75654952076677318</v>
      </c>
      <c r="U592" s="148">
        <f t="shared" si="30"/>
        <v>5.1304154892606215</v>
      </c>
      <c r="V592" s="278">
        <f t="shared" si="31"/>
        <v>3.0461270670147922E-2</v>
      </c>
      <c r="W592" s="278">
        <f t="shared" si="32"/>
        <v>3.0218460791492038E-2</v>
      </c>
    </row>
    <row r="593" spans="1:23" x14ac:dyDescent="0.2">
      <c r="A593" s="8">
        <v>42557</v>
      </c>
      <c r="B593" s="9">
        <v>4.7119999999999997</v>
      </c>
      <c r="E593" s="51"/>
      <c r="F593" s="51"/>
      <c r="G593" s="51"/>
      <c r="H593" s="51"/>
      <c r="I593" s="51"/>
      <c r="J593" s="53"/>
      <c r="K593" s="53"/>
      <c r="L593" s="53"/>
      <c r="M593" s="53"/>
      <c r="N593" s="53"/>
      <c r="O593" s="139"/>
      <c r="P593" s="50"/>
      <c r="Q593" s="57"/>
      <c r="R593" s="12">
        <v>42566</v>
      </c>
      <c r="S593" s="11">
        <v>5.835</v>
      </c>
      <c r="T593" s="148">
        <v>0.74568690095846646</v>
      </c>
      <c r="U593" s="148">
        <f t="shared" si="30"/>
        <v>5.0555067134639033</v>
      </c>
      <c r="V593" s="278">
        <f t="shared" si="31"/>
        <v>-1.4358108108108114E-2</v>
      </c>
      <c r="W593" s="278">
        <f t="shared" si="32"/>
        <v>-1.4600917986764E-2</v>
      </c>
    </row>
    <row r="594" spans="1:23" x14ac:dyDescent="0.2">
      <c r="A594" s="8">
        <v>42558</v>
      </c>
      <c r="B594" s="9">
        <v>4.8739999999999997</v>
      </c>
      <c r="E594" s="51"/>
      <c r="F594" s="51"/>
      <c r="G594" s="51"/>
      <c r="H594" s="51"/>
      <c r="I594" s="51"/>
      <c r="J594" s="53"/>
      <c r="K594" s="53"/>
      <c r="L594" s="53"/>
      <c r="M594" s="53"/>
      <c r="N594" s="53"/>
      <c r="O594" s="139"/>
      <c r="P594" s="50"/>
      <c r="Q594" s="57"/>
      <c r="R594" s="12">
        <v>42569</v>
      </c>
      <c r="S594" s="11">
        <v>5.9350000000000005</v>
      </c>
      <c r="T594" s="148">
        <v>0.75846645367412147</v>
      </c>
      <c r="U594" s="148">
        <f t="shared" si="30"/>
        <v>5.1409202612731351</v>
      </c>
      <c r="V594" s="278">
        <f t="shared" si="31"/>
        <v>1.7137960582690681E-2</v>
      </c>
      <c r="W594" s="278">
        <f t="shared" si="32"/>
        <v>1.6895150704034797E-2</v>
      </c>
    </row>
    <row r="595" spans="1:23" x14ac:dyDescent="0.2">
      <c r="A595" s="8">
        <v>42559</v>
      </c>
      <c r="B595" s="9">
        <v>5.29</v>
      </c>
      <c r="E595" s="51"/>
      <c r="F595" s="51"/>
      <c r="G595" s="51"/>
      <c r="H595" s="51"/>
      <c r="I595" s="51"/>
      <c r="J595" s="53"/>
      <c r="K595" s="53"/>
      <c r="L595" s="53"/>
      <c r="M595" s="53"/>
      <c r="N595" s="53"/>
      <c r="O595" s="139"/>
      <c r="P595" s="50"/>
      <c r="Q595" s="57"/>
      <c r="R595" s="12">
        <v>42570</v>
      </c>
      <c r="S595" s="11">
        <v>5.88</v>
      </c>
      <c r="T595" s="148">
        <v>0.75143769968051111</v>
      </c>
      <c r="U595" s="148">
        <f t="shared" si="30"/>
        <v>5.0920307794847055</v>
      </c>
      <c r="V595" s="278">
        <f t="shared" si="31"/>
        <v>-9.2670598146589178E-3</v>
      </c>
      <c r="W595" s="278">
        <f t="shared" si="32"/>
        <v>-9.5098696933148038E-3</v>
      </c>
    </row>
    <row r="596" spans="1:23" x14ac:dyDescent="0.2">
      <c r="A596" s="8">
        <v>42562</v>
      </c>
      <c r="B596" s="9">
        <v>5.31</v>
      </c>
      <c r="E596" s="51"/>
      <c r="F596" s="51"/>
      <c r="G596" s="51"/>
      <c r="H596" s="51"/>
      <c r="I596" s="51"/>
      <c r="J596" s="53"/>
      <c r="K596" s="53"/>
      <c r="L596" s="53"/>
      <c r="M596" s="53"/>
      <c r="N596" s="53"/>
      <c r="O596" s="139"/>
      <c r="P596" s="50"/>
      <c r="Q596" s="57"/>
      <c r="R596" s="12">
        <v>42571</v>
      </c>
      <c r="S596" s="11">
        <v>5.95</v>
      </c>
      <c r="T596" s="148">
        <v>0.76038338658146964</v>
      </c>
      <c r="U596" s="148">
        <f t="shared" si="30"/>
        <v>5.1514137981505108</v>
      </c>
      <c r="V596" s="278">
        <f t="shared" si="31"/>
        <v>1.1904761904761862E-2</v>
      </c>
      <c r="W596" s="278">
        <f t="shared" si="32"/>
        <v>1.1661952026105976E-2</v>
      </c>
    </row>
    <row r="597" spans="1:23" x14ac:dyDescent="0.2">
      <c r="A597" s="8">
        <v>42563</v>
      </c>
      <c r="B597" s="9">
        <v>5.7</v>
      </c>
      <c r="E597" s="51"/>
      <c r="F597" s="51"/>
      <c r="G597" s="51"/>
      <c r="H597" s="51"/>
      <c r="I597" s="51"/>
      <c r="J597" s="53"/>
      <c r="K597" s="53"/>
      <c r="L597" s="53"/>
      <c r="M597" s="53"/>
      <c r="N597" s="53"/>
      <c r="O597" s="139"/>
      <c r="P597" s="50"/>
      <c r="Q597" s="57"/>
      <c r="R597" s="12">
        <v>42572</v>
      </c>
      <c r="S597" s="11">
        <v>5.9950000000000001</v>
      </c>
      <c r="T597" s="148">
        <v>0.7661341853035144</v>
      </c>
      <c r="U597" s="148">
        <f t="shared" si="30"/>
        <v>5.1891232564142618</v>
      </c>
      <c r="V597" s="278">
        <f t="shared" si="31"/>
        <v>7.5630252100840067E-3</v>
      </c>
      <c r="W597" s="278">
        <f t="shared" si="32"/>
        <v>7.3202153314281208E-3</v>
      </c>
    </row>
    <row r="598" spans="1:23" x14ac:dyDescent="0.2">
      <c r="A598" s="8">
        <v>42564</v>
      </c>
      <c r="B598" s="9">
        <v>5.7450000000000001</v>
      </c>
      <c r="E598" s="51"/>
      <c r="F598" s="51"/>
      <c r="G598" s="51"/>
      <c r="H598" s="51"/>
      <c r="I598" s="51"/>
      <c r="J598" s="53"/>
      <c r="K598" s="53"/>
      <c r="L598" s="53"/>
      <c r="M598" s="53"/>
      <c r="N598" s="53"/>
      <c r="O598" s="139"/>
      <c r="P598" s="50"/>
      <c r="Q598" s="57"/>
      <c r="R598" s="12">
        <v>42573</v>
      </c>
      <c r="S598" s="11">
        <v>5.9399999999999995</v>
      </c>
      <c r="T598" s="148">
        <v>0.75910543130990404</v>
      </c>
      <c r="U598" s="148">
        <f t="shared" si="30"/>
        <v>5.1402566506460934</v>
      </c>
      <c r="V598" s="278">
        <f t="shared" si="31"/>
        <v>-9.1743119266055606E-3</v>
      </c>
      <c r="W598" s="278">
        <f t="shared" si="32"/>
        <v>-9.4171218052614466E-3</v>
      </c>
    </row>
    <row r="599" spans="1:23" x14ac:dyDescent="0.2">
      <c r="A599" s="8">
        <v>42565</v>
      </c>
      <c r="B599" s="9">
        <v>5.92</v>
      </c>
      <c r="E599" s="51"/>
      <c r="F599" s="51"/>
      <c r="G599" s="51"/>
      <c r="H599" s="51"/>
      <c r="I599" s="51"/>
      <c r="J599" s="53"/>
      <c r="K599" s="53"/>
      <c r="L599" s="53"/>
      <c r="M599" s="53"/>
      <c r="N599" s="53"/>
      <c r="O599" s="139"/>
      <c r="P599" s="50"/>
      <c r="Q599" s="57"/>
      <c r="R599" s="12">
        <v>42576</v>
      </c>
      <c r="S599" s="11">
        <v>5.99</v>
      </c>
      <c r="T599" s="148">
        <v>0.7654952076677316</v>
      </c>
      <c r="U599" s="148">
        <f t="shared" si="30"/>
        <v>5.1822766991774563</v>
      </c>
      <c r="V599" s="278">
        <f t="shared" si="31"/>
        <v>8.4175084175084347E-3</v>
      </c>
      <c r="W599" s="278">
        <f t="shared" si="32"/>
        <v>8.1746985388525487E-3</v>
      </c>
    </row>
    <row r="600" spans="1:23" x14ac:dyDescent="0.2">
      <c r="A600" s="8">
        <v>42566</v>
      </c>
      <c r="B600" s="9">
        <v>5.835</v>
      </c>
      <c r="E600" s="51"/>
      <c r="F600" s="51"/>
      <c r="G600" s="51"/>
      <c r="H600" s="51"/>
      <c r="I600" s="51"/>
      <c r="J600" s="53"/>
      <c r="K600" s="53"/>
      <c r="L600" s="53"/>
      <c r="M600" s="53"/>
      <c r="N600" s="53"/>
      <c r="O600" s="139"/>
      <c r="P600" s="50"/>
      <c r="Q600" s="57"/>
      <c r="R600" s="12">
        <v>42577</v>
      </c>
      <c r="S600" s="11">
        <v>5.85</v>
      </c>
      <c r="T600" s="148">
        <v>0.74760383386581464</v>
      </c>
      <c r="U600" s="148">
        <f t="shared" si="30"/>
        <v>5.0598967321216941</v>
      </c>
      <c r="V600" s="278">
        <f t="shared" si="31"/>
        <v>-2.3372287145242199E-2</v>
      </c>
      <c r="W600" s="278">
        <f t="shared" si="32"/>
        <v>-2.3615097023898083E-2</v>
      </c>
    </row>
    <row r="601" spans="1:23" x14ac:dyDescent="0.2">
      <c r="A601" s="8">
        <v>42569</v>
      </c>
      <c r="B601" s="9">
        <v>5.9350000000000005</v>
      </c>
      <c r="E601" s="51"/>
      <c r="F601" s="51"/>
      <c r="G601" s="51"/>
      <c r="H601" s="51"/>
      <c r="I601" s="51"/>
      <c r="J601" s="53"/>
      <c r="K601" s="53"/>
      <c r="L601" s="53"/>
      <c r="M601" s="53"/>
      <c r="N601" s="53"/>
      <c r="O601" s="139"/>
      <c r="P601" s="50"/>
      <c r="Q601" s="57"/>
      <c r="R601" s="12">
        <v>42578</v>
      </c>
      <c r="S601" s="11">
        <v>6.0549999999999997</v>
      </c>
      <c r="T601" s="148">
        <v>0.77380191693290734</v>
      </c>
      <c r="U601" s="148">
        <f t="shared" ref="U601:U664" si="33">U600*(1+W601)</f>
        <v>5.2359807597374974</v>
      </c>
      <c r="V601" s="278">
        <f t="shared" ref="V601:V664" si="34">S601/S600-1</f>
        <v>3.504273504273514E-2</v>
      </c>
      <c r="W601" s="278">
        <f t="shared" ref="W601:W664" si="35">V601-$V$3+$W$2</f>
        <v>3.4799925164079253E-2</v>
      </c>
    </row>
    <row r="602" spans="1:23" x14ac:dyDescent="0.2">
      <c r="A602" s="8">
        <v>42570</v>
      </c>
      <c r="B602" s="9">
        <v>5.88</v>
      </c>
      <c r="E602" s="51"/>
      <c r="F602" s="51"/>
      <c r="G602" s="51"/>
      <c r="H602" s="51"/>
      <c r="I602" s="51"/>
      <c r="J602" s="53"/>
      <c r="K602" s="53"/>
      <c r="L602" s="53"/>
      <c r="M602" s="53"/>
      <c r="N602" s="53"/>
      <c r="O602" s="139"/>
      <c r="P602" s="50"/>
      <c r="Q602" s="57"/>
      <c r="R602" s="12">
        <v>42579</v>
      </c>
      <c r="S602" s="11">
        <v>5.98</v>
      </c>
      <c r="T602" s="148">
        <v>0.76421725239616622</v>
      </c>
      <c r="U602" s="148">
        <f t="shared" si="33"/>
        <v>5.169854158873795</v>
      </c>
      <c r="V602" s="278">
        <f t="shared" si="34"/>
        <v>-1.2386457473162582E-2</v>
      </c>
      <c r="W602" s="278">
        <f t="shared" si="35"/>
        <v>-1.2629267351818468E-2</v>
      </c>
    </row>
    <row r="603" spans="1:23" x14ac:dyDescent="0.2">
      <c r="A603" s="8">
        <v>42571</v>
      </c>
      <c r="B603" s="9">
        <v>5.95</v>
      </c>
      <c r="E603" s="51"/>
      <c r="F603" s="51"/>
      <c r="G603" s="51"/>
      <c r="H603" s="51"/>
      <c r="I603" s="51"/>
      <c r="J603" s="53"/>
      <c r="K603" s="53"/>
      <c r="L603" s="53"/>
      <c r="M603" s="53"/>
      <c r="N603" s="53"/>
      <c r="O603" s="139"/>
      <c r="P603" s="50"/>
      <c r="Q603" s="57"/>
      <c r="R603" s="12">
        <v>42580</v>
      </c>
      <c r="S603" s="11">
        <v>6.2649999999999997</v>
      </c>
      <c r="T603" s="148">
        <v>0.80063897763578273</v>
      </c>
      <c r="U603" s="148">
        <f t="shared" si="33"/>
        <v>5.4149882376608076</v>
      </c>
      <c r="V603" s="278">
        <f t="shared" si="34"/>
        <v>4.7658862876253982E-2</v>
      </c>
      <c r="W603" s="278">
        <f t="shared" si="35"/>
        <v>4.7416052997598095E-2</v>
      </c>
    </row>
    <row r="604" spans="1:23" x14ac:dyDescent="0.2">
      <c r="A604" s="8">
        <v>42572</v>
      </c>
      <c r="B604" s="9">
        <v>5.9950000000000001</v>
      </c>
      <c r="E604" s="51"/>
      <c r="F604" s="51"/>
      <c r="G604" s="51"/>
      <c r="H604" s="51"/>
      <c r="I604" s="51"/>
      <c r="J604" s="53"/>
      <c r="K604" s="53"/>
      <c r="L604" s="53"/>
      <c r="M604" s="53"/>
      <c r="N604" s="53"/>
      <c r="O604" s="139"/>
      <c r="P604" s="50"/>
      <c r="Q604" s="57"/>
      <c r="R604" s="12">
        <v>42583</v>
      </c>
      <c r="S604" s="11">
        <v>6.1449999999999996</v>
      </c>
      <c r="T604" s="148">
        <v>0.78530351437699675</v>
      </c>
      <c r="U604" s="148">
        <f t="shared" si="33"/>
        <v>5.3099545760982316</v>
      </c>
      <c r="V604" s="278">
        <f t="shared" si="34"/>
        <v>-1.9154030327214744E-2</v>
      </c>
      <c r="W604" s="278">
        <f t="shared" si="35"/>
        <v>-1.9396840205870628E-2</v>
      </c>
    </row>
    <row r="605" spans="1:23" x14ac:dyDescent="0.2">
      <c r="A605" s="8">
        <v>42573</v>
      </c>
      <c r="B605" s="9">
        <v>5.9399999999999995</v>
      </c>
      <c r="E605" s="51"/>
      <c r="F605" s="51"/>
      <c r="G605" s="51"/>
      <c r="H605" s="51"/>
      <c r="I605" s="51"/>
      <c r="J605" s="53"/>
      <c r="K605" s="53"/>
      <c r="L605" s="53"/>
      <c r="M605" s="53"/>
      <c r="N605" s="53"/>
      <c r="O605" s="139"/>
      <c r="P605" s="50"/>
      <c r="Q605" s="57"/>
      <c r="R605" s="12">
        <v>42584</v>
      </c>
      <c r="S605" s="11">
        <v>5.64</v>
      </c>
      <c r="T605" s="148">
        <v>0.72076677316293924</v>
      </c>
      <c r="U605" s="148">
        <f t="shared" si="33"/>
        <v>4.8722898295800601</v>
      </c>
      <c r="V605" s="278">
        <f t="shared" si="34"/>
        <v>-8.2180634662327057E-2</v>
      </c>
      <c r="W605" s="278">
        <f t="shared" si="35"/>
        <v>-8.2423444540982937E-2</v>
      </c>
    </row>
    <row r="606" spans="1:23" x14ac:dyDescent="0.2">
      <c r="A606" s="8">
        <v>42576</v>
      </c>
      <c r="B606" s="9">
        <v>5.99</v>
      </c>
      <c r="E606" s="51"/>
      <c r="F606" s="51"/>
      <c r="G606" s="51"/>
      <c r="H606" s="51"/>
      <c r="I606" s="51"/>
      <c r="J606" s="53"/>
      <c r="K606" s="53"/>
      <c r="L606" s="53"/>
      <c r="M606" s="53"/>
      <c r="N606" s="53"/>
      <c r="O606" s="139"/>
      <c r="P606" s="50"/>
      <c r="Q606" s="57"/>
      <c r="R606" s="12">
        <v>42585</v>
      </c>
      <c r="S606" s="11">
        <v>5.6050000000000004</v>
      </c>
      <c r="T606" s="148">
        <v>0.71629392971246009</v>
      </c>
      <c r="U606" s="148">
        <f t="shared" si="33"/>
        <v>4.8408709483367529</v>
      </c>
      <c r="V606" s="278">
        <f t="shared" si="34"/>
        <v>-6.20567375886516E-3</v>
      </c>
      <c r="W606" s="278">
        <f t="shared" si="35"/>
        <v>-6.448483637521046E-3</v>
      </c>
    </row>
    <row r="607" spans="1:23" x14ac:dyDescent="0.2">
      <c r="A607" s="8">
        <v>42577</v>
      </c>
      <c r="B607" s="9">
        <v>5.85</v>
      </c>
      <c r="E607" s="51"/>
      <c r="F607" s="51"/>
      <c r="G607" s="51"/>
      <c r="H607" s="51"/>
      <c r="I607" s="51"/>
      <c r="J607" s="53"/>
      <c r="K607" s="53"/>
      <c r="L607" s="53"/>
      <c r="M607" s="53"/>
      <c r="N607" s="53"/>
      <c r="O607" s="139"/>
      <c r="P607" s="50"/>
      <c r="Q607" s="57"/>
      <c r="R607" s="12">
        <v>42586</v>
      </c>
      <c r="S607" s="11">
        <v>5.66</v>
      </c>
      <c r="T607" s="148">
        <v>0.72332268370607034</v>
      </c>
      <c r="U607" s="148">
        <f t="shared" si="33"/>
        <v>4.8871973929204771</v>
      </c>
      <c r="V607" s="278">
        <f t="shared" si="34"/>
        <v>9.8126672613736421E-3</v>
      </c>
      <c r="W607" s="278">
        <f t="shared" si="35"/>
        <v>9.5698573827177561E-3</v>
      </c>
    </row>
    <row r="608" spans="1:23" x14ac:dyDescent="0.2">
      <c r="A608" s="8">
        <v>42578</v>
      </c>
      <c r="B608" s="9">
        <v>6.0549999999999997</v>
      </c>
      <c r="E608" s="51"/>
      <c r="F608" s="51"/>
      <c r="G608" s="51"/>
      <c r="H608" s="51"/>
      <c r="I608" s="51"/>
      <c r="J608" s="53"/>
      <c r="K608" s="53"/>
      <c r="L608" s="53"/>
      <c r="M608" s="53"/>
      <c r="N608" s="53"/>
      <c r="O608" s="139"/>
      <c r="P608" s="50"/>
      <c r="Q608" s="57"/>
      <c r="R608" s="12">
        <v>42587</v>
      </c>
      <c r="S608" s="11">
        <v>6.1550000000000002</v>
      </c>
      <c r="T608" s="148">
        <v>0.78658146964856235</v>
      </c>
      <c r="U608" s="148">
        <f t="shared" si="33"/>
        <v>5.3134246393858477</v>
      </c>
      <c r="V608" s="278">
        <f t="shared" si="34"/>
        <v>8.7455830388692535E-2</v>
      </c>
      <c r="W608" s="278">
        <f t="shared" si="35"/>
        <v>8.7213020510036654E-2</v>
      </c>
    </row>
    <row r="609" spans="1:23" x14ac:dyDescent="0.2">
      <c r="A609" s="8">
        <v>42579</v>
      </c>
      <c r="B609" s="9">
        <v>5.98</v>
      </c>
      <c r="E609" s="51"/>
      <c r="F609" s="51"/>
      <c r="G609" s="51"/>
      <c r="H609" s="51"/>
      <c r="I609" s="51"/>
      <c r="J609" s="53"/>
      <c r="K609" s="53"/>
      <c r="L609" s="53"/>
      <c r="M609" s="53"/>
      <c r="N609" s="53"/>
      <c r="O609" s="139"/>
      <c r="P609" s="50"/>
      <c r="Q609" s="57"/>
      <c r="R609" s="12">
        <v>42590</v>
      </c>
      <c r="S609" s="11">
        <v>6.34</v>
      </c>
      <c r="T609" s="148">
        <v>0.81022364217252396</v>
      </c>
      <c r="U609" s="148">
        <f t="shared" si="33"/>
        <v>5.4718393709497812</v>
      </c>
      <c r="V609" s="278">
        <f t="shared" si="34"/>
        <v>3.005686433793664E-2</v>
      </c>
      <c r="W609" s="278">
        <f t="shared" si="35"/>
        <v>2.9814054459280755E-2</v>
      </c>
    </row>
    <row r="610" spans="1:23" x14ac:dyDescent="0.2">
      <c r="A610" s="8">
        <v>42580</v>
      </c>
      <c r="B610" s="9">
        <v>6.2649999999999997</v>
      </c>
      <c r="E610" s="51"/>
      <c r="F610" s="51"/>
      <c r="G610" s="51"/>
      <c r="H610" s="51"/>
      <c r="I610" s="51"/>
      <c r="J610" s="53"/>
      <c r="K610" s="53"/>
      <c r="L610" s="53"/>
      <c r="M610" s="53"/>
      <c r="N610" s="53"/>
      <c r="O610" s="139"/>
      <c r="P610" s="50"/>
      <c r="Q610" s="57"/>
      <c r="R610" s="12">
        <v>42591</v>
      </c>
      <c r="S610" s="11">
        <v>6.5649999999999995</v>
      </c>
      <c r="T610" s="148">
        <v>0.83897763578274753</v>
      </c>
      <c r="U610" s="148">
        <f t="shared" si="33"/>
        <v>5.6647006373345343</v>
      </c>
      <c r="V610" s="278">
        <f t="shared" si="34"/>
        <v>3.5488958990536279E-2</v>
      </c>
      <c r="W610" s="278">
        <f t="shared" si="35"/>
        <v>3.5246149111880391E-2</v>
      </c>
    </row>
    <row r="611" spans="1:23" x14ac:dyDescent="0.2">
      <c r="A611" s="8">
        <v>42583</v>
      </c>
      <c r="B611" s="9">
        <v>6.1449999999999996</v>
      </c>
      <c r="E611" s="51"/>
      <c r="F611" s="51"/>
      <c r="G611" s="51"/>
      <c r="H611" s="51"/>
      <c r="I611" s="51"/>
      <c r="J611" s="53"/>
      <c r="K611" s="53"/>
      <c r="L611" s="53"/>
      <c r="M611" s="53"/>
      <c r="N611" s="53"/>
      <c r="O611" s="139"/>
      <c r="P611" s="50"/>
      <c r="Q611" s="57"/>
      <c r="R611" s="12">
        <v>42592</v>
      </c>
      <c r="S611" s="11">
        <v>6.52</v>
      </c>
      <c r="T611" s="148">
        <v>0.83322683706070277</v>
      </c>
      <c r="U611" s="148">
        <f t="shared" si="33"/>
        <v>5.6244963224973192</v>
      </c>
      <c r="V611" s="278">
        <f t="shared" si="34"/>
        <v>-6.8545316070068862E-3</v>
      </c>
      <c r="W611" s="278">
        <f t="shared" si="35"/>
        <v>-7.0973414856627722E-3</v>
      </c>
    </row>
    <row r="612" spans="1:23" x14ac:dyDescent="0.2">
      <c r="A612" s="8">
        <v>42584</v>
      </c>
      <c r="B612" s="9">
        <v>5.64</v>
      </c>
      <c r="E612" s="51"/>
      <c r="F612" s="51"/>
      <c r="G612" s="51"/>
      <c r="H612" s="51"/>
      <c r="I612" s="51"/>
      <c r="J612" s="53"/>
      <c r="K612" s="53"/>
      <c r="L612" s="53"/>
      <c r="M612" s="53"/>
      <c r="N612" s="53"/>
      <c r="O612" s="139"/>
      <c r="P612" s="50"/>
      <c r="Q612" s="57"/>
      <c r="R612" s="12">
        <v>42593</v>
      </c>
      <c r="S612" s="11">
        <v>6.4550000000000001</v>
      </c>
      <c r="T612" s="148">
        <v>0.82492012779552715</v>
      </c>
      <c r="U612" s="148">
        <f t="shared" si="33"/>
        <v>5.5670582065648206</v>
      </c>
      <c r="V612" s="278">
        <f t="shared" si="34"/>
        <v>-9.9693251533741201E-3</v>
      </c>
      <c r="W612" s="278">
        <f t="shared" si="35"/>
        <v>-1.0212135032030006E-2</v>
      </c>
    </row>
    <row r="613" spans="1:23" x14ac:dyDescent="0.2">
      <c r="A613" s="8">
        <v>42585</v>
      </c>
      <c r="B613" s="9">
        <v>5.6050000000000004</v>
      </c>
      <c r="E613" s="51"/>
      <c r="F613" s="51"/>
      <c r="G613" s="51"/>
      <c r="H613" s="51"/>
      <c r="I613" s="51"/>
      <c r="J613" s="53"/>
      <c r="K613" s="53"/>
      <c r="L613" s="53"/>
      <c r="M613" s="53"/>
      <c r="N613" s="53"/>
      <c r="O613" s="139"/>
      <c r="P613" s="50"/>
      <c r="Q613" s="57"/>
      <c r="R613" s="12">
        <v>42594</v>
      </c>
      <c r="S613" s="11">
        <v>6.4749999999999996</v>
      </c>
      <c r="T613" s="148">
        <v>0.82747603833865813</v>
      </c>
      <c r="U613" s="148">
        <f t="shared" si="33"/>
        <v>5.5829552946445409</v>
      </c>
      <c r="V613" s="278">
        <f t="shared" si="34"/>
        <v>3.0983733539891034E-3</v>
      </c>
      <c r="W613" s="278">
        <f t="shared" si="35"/>
        <v>2.8555634753332174E-3</v>
      </c>
    </row>
    <row r="614" spans="1:23" x14ac:dyDescent="0.2">
      <c r="A614" s="8">
        <v>42586</v>
      </c>
      <c r="B614" s="9">
        <v>5.66</v>
      </c>
      <c r="E614" s="51"/>
      <c r="F614" s="51"/>
      <c r="G614" s="51"/>
      <c r="H614" s="51"/>
      <c r="I614" s="51"/>
      <c r="J614" s="53"/>
      <c r="K614" s="53"/>
      <c r="L614" s="53"/>
      <c r="M614" s="53"/>
      <c r="N614" s="53"/>
      <c r="O614" s="139"/>
      <c r="P614" s="50"/>
      <c r="Q614" s="57"/>
      <c r="R614" s="12">
        <v>42598</v>
      </c>
      <c r="S614" s="11">
        <v>6.37</v>
      </c>
      <c r="T614" s="148">
        <v>0.81405750798722043</v>
      </c>
      <c r="U614" s="148">
        <f t="shared" si="33"/>
        <v>5.4910652877634822</v>
      </c>
      <c r="V614" s="278">
        <f t="shared" si="34"/>
        <v>-1.6216216216216162E-2</v>
      </c>
      <c r="W614" s="278">
        <f t="shared" si="35"/>
        <v>-1.6459026094872046E-2</v>
      </c>
    </row>
    <row r="615" spans="1:23" x14ac:dyDescent="0.2">
      <c r="A615" s="8">
        <v>42587</v>
      </c>
      <c r="B615" s="9">
        <v>6.1550000000000002</v>
      </c>
      <c r="E615" s="51"/>
      <c r="F615" s="51"/>
      <c r="G615" s="51"/>
      <c r="H615" s="51"/>
      <c r="I615" s="51"/>
      <c r="J615" s="53"/>
      <c r="K615" s="53"/>
      <c r="L615" s="53"/>
      <c r="M615" s="53"/>
      <c r="N615" s="53"/>
      <c r="O615" s="139"/>
      <c r="P615" s="50"/>
      <c r="Q615" s="57"/>
      <c r="R615" s="12">
        <v>42599</v>
      </c>
      <c r="S615" s="11">
        <v>6.3150000000000004</v>
      </c>
      <c r="T615" s="148">
        <v>0.80702875399361029</v>
      </c>
      <c r="U615" s="148">
        <f t="shared" si="33"/>
        <v>5.4423209211047894</v>
      </c>
      <c r="V615" s="278">
        <f t="shared" si="34"/>
        <v>-8.6342229199372067E-3</v>
      </c>
      <c r="W615" s="278">
        <f t="shared" si="35"/>
        <v>-8.8770327985930927E-3</v>
      </c>
    </row>
    <row r="616" spans="1:23" x14ac:dyDescent="0.2">
      <c r="A616" s="8">
        <v>42590</v>
      </c>
      <c r="B616" s="9">
        <v>6.34</v>
      </c>
      <c r="E616" s="51"/>
      <c r="F616" s="51"/>
      <c r="G616" s="51"/>
      <c r="H616" s="51"/>
      <c r="I616" s="51"/>
      <c r="J616" s="53"/>
      <c r="K616" s="53"/>
      <c r="L616" s="53"/>
      <c r="M616" s="53"/>
      <c r="N616" s="53"/>
      <c r="O616" s="139"/>
      <c r="P616" s="50"/>
      <c r="Q616" s="57"/>
      <c r="R616" s="12">
        <v>42600</v>
      </c>
      <c r="S616" s="11">
        <v>6.29</v>
      </c>
      <c r="T616" s="148">
        <v>0.80383386581469651</v>
      </c>
      <c r="U616" s="148">
        <f t="shared" si="33"/>
        <v>5.4194542583579395</v>
      </c>
      <c r="V616" s="278">
        <f t="shared" si="34"/>
        <v>-3.9588281868567776E-3</v>
      </c>
      <c r="W616" s="278">
        <f t="shared" si="35"/>
        <v>-4.2016380655126636E-3</v>
      </c>
    </row>
    <row r="617" spans="1:23" x14ac:dyDescent="0.2">
      <c r="A617" s="8">
        <v>42591</v>
      </c>
      <c r="B617" s="9">
        <v>6.5649999999999995</v>
      </c>
      <c r="E617" s="51"/>
      <c r="F617" s="51"/>
      <c r="G617" s="51"/>
      <c r="H617" s="51"/>
      <c r="I617" s="51"/>
      <c r="J617" s="53"/>
      <c r="K617" s="53"/>
      <c r="L617" s="53"/>
      <c r="M617" s="53"/>
      <c r="N617" s="53"/>
      <c r="O617" s="139"/>
      <c r="P617" s="50"/>
      <c r="Q617" s="57"/>
      <c r="R617" s="12">
        <v>42601</v>
      </c>
      <c r="S617" s="11">
        <v>6.1150000000000002</v>
      </c>
      <c r="T617" s="148">
        <v>0.78146964856230028</v>
      </c>
      <c r="U617" s="148">
        <f t="shared" si="33"/>
        <v>5.2673586323584631</v>
      </c>
      <c r="V617" s="278">
        <f t="shared" si="34"/>
        <v>-2.7821939586645472E-2</v>
      </c>
      <c r="W617" s="278">
        <f t="shared" si="35"/>
        <v>-2.8064749465301356E-2</v>
      </c>
    </row>
    <row r="618" spans="1:23" x14ac:dyDescent="0.2">
      <c r="A618" s="8">
        <v>42592</v>
      </c>
      <c r="B618" s="9">
        <v>6.52</v>
      </c>
      <c r="E618" s="51"/>
      <c r="F618" s="51"/>
      <c r="G618" s="51"/>
      <c r="H618" s="51"/>
      <c r="I618" s="51"/>
      <c r="J618" s="53"/>
      <c r="K618" s="53"/>
      <c r="L618" s="53"/>
      <c r="M618" s="53"/>
      <c r="N618" s="53"/>
      <c r="O618" s="139"/>
      <c r="P618" s="50"/>
      <c r="Q618" s="57"/>
      <c r="R618" s="12">
        <v>42604</v>
      </c>
      <c r="S618" s="11">
        <v>6.17</v>
      </c>
      <c r="T618" s="148">
        <v>0.78849840255591053</v>
      </c>
      <c r="U618" s="148">
        <f t="shared" si="33"/>
        <v>5.3134557449252426</v>
      </c>
      <c r="V618" s="278">
        <f t="shared" si="34"/>
        <v>8.9942763695829431E-3</v>
      </c>
      <c r="W618" s="278">
        <f t="shared" si="35"/>
        <v>8.7514664909270571E-3</v>
      </c>
    </row>
    <row r="619" spans="1:23" x14ac:dyDescent="0.2">
      <c r="A619" s="8">
        <v>42593</v>
      </c>
      <c r="B619" s="9">
        <v>6.4550000000000001</v>
      </c>
      <c r="E619" s="51"/>
      <c r="F619" s="51"/>
      <c r="G619" s="51"/>
      <c r="H619" s="51"/>
      <c r="I619" s="51"/>
      <c r="J619" s="53"/>
      <c r="K619" s="53"/>
      <c r="L619" s="53"/>
      <c r="M619" s="53"/>
      <c r="N619" s="53"/>
      <c r="O619" s="139"/>
      <c r="P619" s="50"/>
      <c r="Q619" s="57"/>
      <c r="R619" s="12">
        <v>42605</v>
      </c>
      <c r="S619" s="11">
        <v>6.4950000000000001</v>
      </c>
      <c r="T619" s="148">
        <v>0.83003194888178911</v>
      </c>
      <c r="U619" s="148">
        <f t="shared" si="33"/>
        <v>5.5920477761586458</v>
      </c>
      <c r="V619" s="278">
        <f t="shared" si="34"/>
        <v>5.267423014586714E-2</v>
      </c>
      <c r="W619" s="278">
        <f t="shared" si="35"/>
        <v>5.2431420267211253E-2</v>
      </c>
    </row>
    <row r="620" spans="1:23" x14ac:dyDescent="0.2">
      <c r="A620" s="8">
        <v>42594</v>
      </c>
      <c r="B620" s="9">
        <v>6.4749999999999996</v>
      </c>
      <c r="E620" s="51"/>
      <c r="F620" s="51"/>
      <c r="G620" s="51"/>
      <c r="H620" s="51"/>
      <c r="I620" s="51"/>
      <c r="J620" s="53"/>
      <c r="K620" s="53"/>
      <c r="L620" s="53"/>
      <c r="M620" s="53"/>
      <c r="N620" s="53"/>
      <c r="O620" s="139"/>
      <c r="P620" s="50"/>
      <c r="Q620" s="57"/>
      <c r="R620" s="12">
        <v>42606</v>
      </c>
      <c r="S620" s="11">
        <v>6.51</v>
      </c>
      <c r="T620" s="148">
        <v>0.83194888178913728</v>
      </c>
      <c r="U620" s="148">
        <f t="shared" si="33"/>
        <v>5.6036046317078059</v>
      </c>
      <c r="V620" s="278">
        <f t="shared" si="34"/>
        <v>2.3094688221707571E-3</v>
      </c>
      <c r="W620" s="278">
        <f t="shared" si="35"/>
        <v>2.0666589435148711E-3</v>
      </c>
    </row>
    <row r="621" spans="1:23" x14ac:dyDescent="0.2">
      <c r="A621" s="8">
        <v>42598</v>
      </c>
      <c r="B621" s="9">
        <v>6.37</v>
      </c>
      <c r="E621" s="51"/>
      <c r="F621" s="51"/>
      <c r="G621" s="51"/>
      <c r="H621" s="51"/>
      <c r="I621" s="51"/>
      <c r="J621" s="53"/>
      <c r="K621" s="53"/>
      <c r="L621" s="53"/>
      <c r="M621" s="53"/>
      <c r="N621" s="53"/>
      <c r="O621" s="139"/>
      <c r="P621" s="50"/>
      <c r="Q621" s="57"/>
      <c r="R621" s="12">
        <v>42607</v>
      </c>
      <c r="S621" s="11">
        <v>6.4450000000000003</v>
      </c>
      <c r="T621" s="148">
        <v>0.82364217252396166</v>
      </c>
      <c r="U621" s="148">
        <f t="shared" si="33"/>
        <v>5.5462940517061305</v>
      </c>
      <c r="V621" s="278">
        <f t="shared" si="34"/>
        <v>-9.9846390168970567E-3</v>
      </c>
      <c r="W621" s="278">
        <f t="shared" si="35"/>
        <v>-1.0227448895552943E-2</v>
      </c>
    </row>
    <row r="622" spans="1:23" x14ac:dyDescent="0.2">
      <c r="A622" s="8">
        <v>42599</v>
      </c>
      <c r="B622" s="9">
        <v>6.3150000000000004</v>
      </c>
      <c r="E622" s="51"/>
      <c r="F622" s="51"/>
      <c r="G622" s="51"/>
      <c r="H622" s="51"/>
      <c r="I622" s="51"/>
      <c r="J622" s="53"/>
      <c r="K622" s="53"/>
      <c r="L622" s="53"/>
      <c r="M622" s="53"/>
      <c r="N622" s="53"/>
      <c r="O622" s="139"/>
      <c r="P622" s="50"/>
      <c r="Q622" s="57"/>
      <c r="R622" s="12">
        <v>42608</v>
      </c>
      <c r="S622" s="11">
        <v>6.49</v>
      </c>
      <c r="T622" s="148">
        <v>0.82939297124600642</v>
      </c>
      <c r="U622" s="148">
        <f t="shared" si="33"/>
        <v>5.5836724509526832</v>
      </c>
      <c r="V622" s="278">
        <f t="shared" si="34"/>
        <v>6.9821567106282956E-3</v>
      </c>
      <c r="W622" s="278">
        <f t="shared" si="35"/>
        <v>6.7393468319724096E-3</v>
      </c>
    </row>
    <row r="623" spans="1:23" x14ac:dyDescent="0.2">
      <c r="A623" s="8">
        <v>42600</v>
      </c>
      <c r="B623" s="9">
        <v>6.29</v>
      </c>
      <c r="E623" s="51"/>
      <c r="F623" s="51"/>
      <c r="G623" s="51"/>
      <c r="H623" s="51"/>
      <c r="I623" s="51"/>
      <c r="J623" s="53"/>
      <c r="K623" s="53"/>
      <c r="L623" s="53"/>
      <c r="M623" s="53"/>
      <c r="N623" s="53"/>
      <c r="O623" s="139"/>
      <c r="P623" s="50"/>
      <c r="Q623" s="57"/>
      <c r="R623" s="12">
        <v>42611</v>
      </c>
      <c r="S623" s="11">
        <v>6.38</v>
      </c>
      <c r="T623" s="148">
        <v>0.81533546325878592</v>
      </c>
      <c r="U623" s="148">
        <f t="shared" si="33"/>
        <v>5.4876781640045706</v>
      </c>
      <c r="V623" s="278">
        <f t="shared" si="34"/>
        <v>-1.6949152542372947E-2</v>
      </c>
      <c r="W623" s="278">
        <f t="shared" si="35"/>
        <v>-1.7191962421028831E-2</v>
      </c>
    </row>
    <row r="624" spans="1:23" x14ac:dyDescent="0.2">
      <c r="A624" s="8">
        <v>42601</v>
      </c>
      <c r="B624" s="9">
        <v>6.1150000000000002</v>
      </c>
      <c r="E624" s="51"/>
      <c r="F624" s="51"/>
      <c r="G624" s="51"/>
      <c r="H624" s="51"/>
      <c r="I624" s="51"/>
      <c r="J624" s="53"/>
      <c r="K624" s="53"/>
      <c r="L624" s="53"/>
      <c r="M624" s="53"/>
      <c r="N624" s="53"/>
      <c r="O624" s="139"/>
      <c r="P624" s="50"/>
      <c r="Q624" s="57"/>
      <c r="R624" s="12">
        <v>42612</v>
      </c>
      <c r="S624" s="11">
        <v>6.54</v>
      </c>
      <c r="T624" s="148">
        <v>0.83578274760383386</v>
      </c>
      <c r="U624" s="148">
        <f t="shared" si="33"/>
        <v>5.623967724457211</v>
      </c>
      <c r="V624" s="278">
        <f t="shared" si="34"/>
        <v>2.5078369905956244E-2</v>
      </c>
      <c r="W624" s="278">
        <f t="shared" si="35"/>
        <v>2.4835560027300359E-2</v>
      </c>
    </row>
    <row r="625" spans="1:23" x14ac:dyDescent="0.2">
      <c r="A625" s="8">
        <v>42604</v>
      </c>
      <c r="B625" s="9">
        <v>6.17</v>
      </c>
      <c r="E625" s="51"/>
      <c r="F625" s="51"/>
      <c r="G625" s="51"/>
      <c r="H625" s="51"/>
      <c r="I625" s="51"/>
      <c r="J625" s="53"/>
      <c r="K625" s="53"/>
      <c r="L625" s="53"/>
      <c r="M625" s="53"/>
      <c r="N625" s="53"/>
      <c r="O625" s="139"/>
      <c r="P625" s="50"/>
      <c r="Q625" s="57"/>
      <c r="R625" s="12">
        <v>42613</v>
      </c>
      <c r="S625" s="11">
        <v>6.65</v>
      </c>
      <c r="T625" s="148">
        <v>0.84984025559105436</v>
      </c>
      <c r="U625" s="148">
        <f t="shared" si="33"/>
        <v>5.7171948988469135</v>
      </c>
      <c r="V625" s="278">
        <f t="shared" si="34"/>
        <v>1.6819571865443583E-2</v>
      </c>
      <c r="W625" s="278">
        <f t="shared" si="35"/>
        <v>1.6576761986787699E-2</v>
      </c>
    </row>
    <row r="626" spans="1:23" x14ac:dyDescent="0.2">
      <c r="A626" s="8">
        <v>42605</v>
      </c>
      <c r="B626" s="9">
        <v>6.4950000000000001</v>
      </c>
      <c r="E626" s="51"/>
      <c r="F626" s="51"/>
      <c r="G626" s="51"/>
      <c r="H626" s="51"/>
      <c r="I626" s="51"/>
      <c r="J626" s="53"/>
      <c r="K626" s="53"/>
      <c r="L626" s="53"/>
      <c r="M626" s="53"/>
      <c r="N626" s="53"/>
      <c r="O626" s="139"/>
      <c r="P626" s="50"/>
      <c r="Q626" s="57"/>
      <c r="R626" s="12">
        <v>42614</v>
      </c>
      <c r="S626" s="11">
        <v>6.7</v>
      </c>
      <c r="T626" s="148">
        <v>0.85623003194888181</v>
      </c>
      <c r="U626" s="148">
        <f t="shared" si="33"/>
        <v>5.7587931352581512</v>
      </c>
      <c r="V626" s="278">
        <f t="shared" si="34"/>
        <v>7.5187969924812581E-3</v>
      </c>
      <c r="W626" s="278">
        <f t="shared" si="35"/>
        <v>7.2759871138253721E-3</v>
      </c>
    </row>
    <row r="627" spans="1:23" x14ac:dyDescent="0.2">
      <c r="A627" s="8">
        <v>42606</v>
      </c>
      <c r="B627" s="9">
        <v>6.51</v>
      </c>
      <c r="E627" s="51"/>
      <c r="F627" s="51"/>
      <c r="G627" s="51"/>
      <c r="H627" s="51"/>
      <c r="I627" s="51"/>
      <c r="J627" s="53"/>
      <c r="K627" s="53"/>
      <c r="L627" s="53"/>
      <c r="M627" s="53"/>
      <c r="N627" s="53"/>
      <c r="O627" s="139"/>
      <c r="P627" s="50"/>
      <c r="Q627" s="57"/>
      <c r="R627" s="12">
        <v>42615</v>
      </c>
      <c r="S627" s="11">
        <v>6.84</v>
      </c>
      <c r="T627" s="148">
        <v>0.87412140575079866</v>
      </c>
      <c r="U627" s="148">
        <f t="shared" si="33"/>
        <v>5.8777278342817647</v>
      </c>
      <c r="V627" s="278">
        <f t="shared" si="34"/>
        <v>2.0895522388059584E-2</v>
      </c>
      <c r="W627" s="278">
        <f t="shared" si="35"/>
        <v>2.06527125094037E-2</v>
      </c>
    </row>
    <row r="628" spans="1:23" x14ac:dyDescent="0.2">
      <c r="A628" s="8">
        <v>42607</v>
      </c>
      <c r="B628" s="9">
        <v>6.4450000000000003</v>
      </c>
      <c r="E628" s="51"/>
      <c r="F628" s="51"/>
      <c r="G628" s="51"/>
      <c r="H628" s="51"/>
      <c r="I628" s="51"/>
      <c r="J628" s="53"/>
      <c r="K628" s="53"/>
      <c r="L628" s="53"/>
      <c r="M628" s="53"/>
      <c r="N628" s="53"/>
      <c r="O628" s="139"/>
      <c r="P628" s="50"/>
      <c r="Q628" s="57"/>
      <c r="R628" s="12">
        <v>42618</v>
      </c>
      <c r="S628" s="11">
        <v>6.8550000000000004</v>
      </c>
      <c r="T628" s="148">
        <v>0.87603833865814695</v>
      </c>
      <c r="U628" s="148">
        <f t="shared" si="33"/>
        <v>5.889190417922098</v>
      </c>
      <c r="V628" s="278">
        <f t="shared" si="34"/>
        <v>2.1929824561404132E-3</v>
      </c>
      <c r="W628" s="278">
        <f t="shared" si="35"/>
        <v>1.9501725774845274E-3</v>
      </c>
    </row>
    <row r="629" spans="1:23" x14ac:dyDescent="0.2">
      <c r="A629" s="8">
        <v>42608</v>
      </c>
      <c r="B629" s="9">
        <v>6.49</v>
      </c>
      <c r="E629" s="51"/>
      <c r="F629" s="51"/>
      <c r="G629" s="51"/>
      <c r="H629" s="51"/>
      <c r="I629" s="51"/>
      <c r="J629" s="53"/>
      <c r="K629" s="53"/>
      <c r="L629" s="53"/>
      <c r="M629" s="53"/>
      <c r="N629" s="53"/>
      <c r="O629" s="139"/>
      <c r="P629" s="50"/>
      <c r="Q629" s="57"/>
      <c r="R629" s="12">
        <v>42619</v>
      </c>
      <c r="S629" s="11">
        <v>6.75</v>
      </c>
      <c r="T629" s="148">
        <v>0.86261980830670926</v>
      </c>
      <c r="U629" s="148">
        <f t="shared" si="33"/>
        <v>5.797554046531352</v>
      </c>
      <c r="V629" s="278">
        <f t="shared" si="34"/>
        <v>-1.5317286652078876E-2</v>
      </c>
      <c r="W629" s="278">
        <f t="shared" si="35"/>
        <v>-1.5560096530734762E-2</v>
      </c>
    </row>
    <row r="630" spans="1:23" x14ac:dyDescent="0.2">
      <c r="A630" s="8">
        <v>42611</v>
      </c>
      <c r="B630" s="9">
        <v>6.38</v>
      </c>
      <c r="E630" s="51"/>
      <c r="F630" s="51"/>
      <c r="G630" s="51"/>
      <c r="H630" s="51"/>
      <c r="I630" s="51"/>
      <c r="J630" s="53"/>
      <c r="K630" s="53"/>
      <c r="L630" s="53"/>
      <c r="M630" s="53"/>
      <c r="N630" s="53"/>
      <c r="O630" s="139"/>
      <c r="P630" s="50"/>
      <c r="Q630" s="57"/>
      <c r="R630" s="12">
        <v>42620</v>
      </c>
      <c r="S630" s="11">
        <v>6.84</v>
      </c>
      <c r="T630" s="148">
        <v>0.87412140575079866</v>
      </c>
      <c r="U630" s="148">
        <f t="shared" si="33"/>
        <v>5.8734470637572302</v>
      </c>
      <c r="V630" s="278">
        <f t="shared" si="34"/>
        <v>1.3333333333333419E-2</v>
      </c>
      <c r="W630" s="278">
        <f t="shared" si="35"/>
        <v>1.3090523454677533E-2</v>
      </c>
    </row>
    <row r="631" spans="1:23" x14ac:dyDescent="0.2">
      <c r="A631" s="8">
        <v>42612</v>
      </c>
      <c r="B631" s="9">
        <v>6.54</v>
      </c>
      <c r="E631" s="51"/>
      <c r="F631" s="51"/>
      <c r="G631" s="51"/>
      <c r="H631" s="51"/>
      <c r="I631" s="51"/>
      <c r="J631" s="53"/>
      <c r="K631" s="53"/>
      <c r="L631" s="53"/>
      <c r="M631" s="53"/>
      <c r="N631" s="53"/>
      <c r="O631" s="139"/>
      <c r="P631" s="50"/>
      <c r="Q631" s="57"/>
      <c r="R631" s="12">
        <v>42621</v>
      </c>
      <c r="S631" s="11">
        <v>6.9350000000000005</v>
      </c>
      <c r="T631" s="148">
        <v>0.88626198083067098</v>
      </c>
      <c r="U631" s="148">
        <f t="shared" si="33"/>
        <v>5.9535965864516829</v>
      </c>
      <c r="V631" s="278">
        <f t="shared" si="34"/>
        <v>1.3888888888889062E-2</v>
      </c>
      <c r="W631" s="278">
        <f t="shared" si="35"/>
        <v>1.3646079010233176E-2</v>
      </c>
    </row>
    <row r="632" spans="1:23" x14ac:dyDescent="0.2">
      <c r="A632" s="8">
        <v>42613</v>
      </c>
      <c r="B632" s="9">
        <v>6.65</v>
      </c>
      <c r="E632" s="51"/>
      <c r="F632" s="51"/>
      <c r="G632" s="51"/>
      <c r="H632" s="51"/>
      <c r="I632" s="51"/>
      <c r="J632" s="53"/>
      <c r="K632" s="53"/>
      <c r="L632" s="53"/>
      <c r="M632" s="53"/>
      <c r="N632" s="53"/>
      <c r="O632" s="139"/>
      <c r="P632" s="50"/>
      <c r="Q632" s="57"/>
      <c r="R632" s="12">
        <v>42622</v>
      </c>
      <c r="S632" s="11">
        <v>6.875</v>
      </c>
      <c r="T632" s="148">
        <v>0.87859424920127793</v>
      </c>
      <c r="U632" s="148">
        <f t="shared" si="33"/>
        <v>5.9006418674674066</v>
      </c>
      <c r="V632" s="278">
        <f t="shared" si="34"/>
        <v>-8.6517664023072482E-3</v>
      </c>
      <c r="W632" s="278">
        <f t="shared" si="35"/>
        <v>-8.8945762809631342E-3</v>
      </c>
    </row>
    <row r="633" spans="1:23" x14ac:dyDescent="0.2">
      <c r="A633" s="8">
        <v>42614</v>
      </c>
      <c r="B633" s="9">
        <v>6.7</v>
      </c>
      <c r="E633" s="51"/>
      <c r="F633" s="51"/>
      <c r="G633" s="51"/>
      <c r="H633" s="51"/>
      <c r="I633" s="51"/>
      <c r="J633" s="53"/>
      <c r="K633" s="53"/>
      <c r="L633" s="53"/>
      <c r="M633" s="53"/>
      <c r="N633" s="53"/>
      <c r="O633" s="139"/>
      <c r="P633" s="50"/>
      <c r="Q633" s="57"/>
      <c r="R633" s="12">
        <v>42625</v>
      </c>
      <c r="S633" s="11">
        <v>6.75</v>
      </c>
      <c r="T633" s="148">
        <v>0.86261980830670926</v>
      </c>
      <c r="U633" s="148">
        <f t="shared" si="33"/>
        <v>5.7919247357412589</v>
      </c>
      <c r="V633" s="278">
        <f t="shared" si="34"/>
        <v>-1.8181818181818188E-2</v>
      </c>
      <c r="W633" s="278">
        <f t="shared" si="35"/>
        <v>-1.8424628060474072E-2</v>
      </c>
    </row>
    <row r="634" spans="1:23" x14ac:dyDescent="0.2">
      <c r="A634" s="8">
        <v>42615</v>
      </c>
      <c r="B634" s="9">
        <v>6.84</v>
      </c>
      <c r="E634" s="51"/>
      <c r="F634" s="51"/>
      <c r="G634" s="51"/>
      <c r="H634" s="51"/>
      <c r="I634" s="51"/>
      <c r="J634" s="53"/>
      <c r="K634" s="53"/>
      <c r="L634" s="53"/>
      <c r="M634" s="53"/>
      <c r="N634" s="53"/>
      <c r="O634" s="139"/>
      <c r="P634" s="50"/>
      <c r="Q634" s="57"/>
      <c r="R634" s="12">
        <v>42626</v>
      </c>
      <c r="S634" s="11">
        <v>6.7149999999999999</v>
      </c>
      <c r="T634" s="148">
        <v>0.85814696485622999</v>
      </c>
      <c r="U634" s="148">
        <f t="shared" si="33"/>
        <v>5.7604861968655161</v>
      </c>
      <c r="V634" s="278">
        <f t="shared" si="34"/>
        <v>-5.1851851851851816E-3</v>
      </c>
      <c r="W634" s="278">
        <f t="shared" si="35"/>
        <v>-5.4279950638410675E-3</v>
      </c>
    </row>
    <row r="635" spans="1:23" x14ac:dyDescent="0.2">
      <c r="A635" s="8">
        <v>42618</v>
      </c>
      <c r="B635" s="9">
        <v>6.8550000000000004</v>
      </c>
      <c r="E635" s="51"/>
      <c r="F635" s="51"/>
      <c r="G635" s="51"/>
      <c r="H635" s="51"/>
      <c r="I635" s="51"/>
      <c r="J635" s="53"/>
      <c r="K635" s="53"/>
      <c r="L635" s="53"/>
      <c r="M635" s="53"/>
      <c r="N635" s="53"/>
      <c r="O635" s="139"/>
      <c r="P635" s="50"/>
      <c r="Q635" s="57"/>
      <c r="R635" s="12">
        <v>42627</v>
      </c>
      <c r="S635" s="11">
        <v>6.68</v>
      </c>
      <c r="T635" s="148">
        <v>0.85367412140575072</v>
      </c>
      <c r="U635" s="148">
        <f t="shared" si="33"/>
        <v>5.7290626217010345</v>
      </c>
      <c r="V635" s="278">
        <f t="shared" si="34"/>
        <v>-5.2122114668652353E-3</v>
      </c>
      <c r="W635" s="278">
        <f t="shared" si="35"/>
        <v>-5.4550213455211213E-3</v>
      </c>
    </row>
    <row r="636" spans="1:23" x14ac:dyDescent="0.2">
      <c r="A636" s="8">
        <v>42619</v>
      </c>
      <c r="B636" s="9">
        <v>6.75</v>
      </c>
      <c r="E636" s="51"/>
      <c r="F636" s="51"/>
      <c r="G636" s="51"/>
      <c r="H636" s="51"/>
      <c r="I636" s="51"/>
      <c r="J636" s="53"/>
      <c r="K636" s="53"/>
      <c r="L636" s="53"/>
      <c r="M636" s="53"/>
      <c r="N636" s="53"/>
      <c r="O636" s="139"/>
      <c r="P636" s="50"/>
      <c r="Q636" s="57"/>
      <c r="R636" s="12">
        <v>42628</v>
      </c>
      <c r="S636" s="11">
        <v>6.5549999999999997</v>
      </c>
      <c r="T636" s="148">
        <v>0.83769968051118204</v>
      </c>
      <c r="U636" s="148">
        <f t="shared" si="33"/>
        <v>5.6204660355704137</v>
      </c>
      <c r="V636" s="278">
        <f t="shared" si="34"/>
        <v>-1.8712574850299424E-2</v>
      </c>
      <c r="W636" s="278">
        <f t="shared" si="35"/>
        <v>-1.8955384728955308E-2</v>
      </c>
    </row>
    <row r="637" spans="1:23" x14ac:dyDescent="0.2">
      <c r="A637" s="8">
        <v>42620</v>
      </c>
      <c r="B637" s="9">
        <v>6.84</v>
      </c>
      <c r="E637" s="51"/>
      <c r="F637" s="51"/>
      <c r="G637" s="51"/>
      <c r="H637" s="51"/>
      <c r="I637" s="51"/>
      <c r="J637" s="53"/>
      <c r="K637" s="53"/>
      <c r="L637" s="53"/>
      <c r="M637" s="53"/>
      <c r="N637" s="53"/>
      <c r="O637" s="139"/>
      <c r="P637" s="50"/>
      <c r="Q637" s="57"/>
      <c r="R637" s="12">
        <v>42629</v>
      </c>
      <c r="S637" s="11">
        <v>6.1749999999999998</v>
      </c>
      <c r="T637" s="148">
        <v>0.78913738019169322</v>
      </c>
      <c r="U637" s="148">
        <f t="shared" si="33"/>
        <v>5.2932772128902448</v>
      </c>
      <c r="V637" s="278">
        <f t="shared" si="34"/>
        <v>-5.7971014492753659E-2</v>
      </c>
      <c r="W637" s="278">
        <f t="shared" si="35"/>
        <v>-5.8213824371409546E-2</v>
      </c>
    </row>
    <row r="638" spans="1:23" x14ac:dyDescent="0.2">
      <c r="A638" s="8">
        <v>42621</v>
      </c>
      <c r="B638" s="9">
        <v>6.9350000000000005</v>
      </c>
      <c r="E638" s="51"/>
      <c r="F638" s="51"/>
      <c r="G638" s="51"/>
      <c r="H638" s="51"/>
      <c r="I638" s="51"/>
      <c r="J638" s="53"/>
      <c r="K638" s="53"/>
      <c r="L638" s="53"/>
      <c r="M638" s="53"/>
      <c r="N638" s="53"/>
      <c r="O638" s="139"/>
      <c r="P638" s="50"/>
      <c r="Q638" s="57"/>
      <c r="R638" s="12">
        <v>42632</v>
      </c>
      <c r="S638" s="11">
        <v>6.27</v>
      </c>
      <c r="T638" s="148">
        <v>0.80127795527156542</v>
      </c>
      <c r="U638" s="148">
        <f t="shared" si="33"/>
        <v>5.3734269869369555</v>
      </c>
      <c r="V638" s="278">
        <f t="shared" si="34"/>
        <v>1.538461538461533E-2</v>
      </c>
      <c r="W638" s="278">
        <f t="shared" si="35"/>
        <v>1.5141805505959444E-2</v>
      </c>
    </row>
    <row r="639" spans="1:23" x14ac:dyDescent="0.2">
      <c r="A639" s="8">
        <v>42622</v>
      </c>
      <c r="B639" s="9">
        <v>6.875</v>
      </c>
      <c r="E639" s="51"/>
      <c r="F639" s="51"/>
      <c r="G639" s="51"/>
      <c r="H639" s="51"/>
      <c r="I639" s="51"/>
      <c r="J639" s="53"/>
      <c r="K639" s="53"/>
      <c r="L639" s="53"/>
      <c r="M639" s="53"/>
      <c r="N639" s="53"/>
      <c r="O639" s="139"/>
      <c r="P639" s="50"/>
      <c r="Q639" s="57"/>
      <c r="R639" s="12">
        <v>42633</v>
      </c>
      <c r="S639" s="11">
        <v>6.1</v>
      </c>
      <c r="T639" s="148">
        <v>0.77955271565495199</v>
      </c>
      <c r="U639" s="148">
        <f t="shared" si="33"/>
        <v>5.2264312629466803</v>
      </c>
      <c r="V639" s="278">
        <f t="shared" si="34"/>
        <v>-2.7113237639553422E-2</v>
      </c>
      <c r="W639" s="278">
        <f t="shared" si="35"/>
        <v>-2.7356047518209307E-2</v>
      </c>
    </row>
    <row r="640" spans="1:23" x14ac:dyDescent="0.2">
      <c r="A640" s="8">
        <v>42625</v>
      </c>
      <c r="B640" s="9">
        <v>6.75</v>
      </c>
      <c r="E640" s="51"/>
      <c r="F640" s="51"/>
      <c r="G640" s="51"/>
      <c r="H640" s="51"/>
      <c r="I640" s="51"/>
      <c r="J640" s="53"/>
      <c r="K640" s="53"/>
      <c r="L640" s="53"/>
      <c r="M640" s="53"/>
      <c r="N640" s="53"/>
      <c r="O640" s="139"/>
      <c r="P640" s="50"/>
      <c r="Q640" s="57"/>
      <c r="R640" s="12">
        <v>42634</v>
      </c>
      <c r="S640" s="11">
        <v>6.24</v>
      </c>
      <c r="T640" s="148">
        <v>0.79744408945686907</v>
      </c>
      <c r="U640" s="148">
        <f t="shared" si="33"/>
        <v>5.3451131152505988</v>
      </c>
      <c r="V640" s="278">
        <f t="shared" si="34"/>
        <v>2.2950819672131306E-2</v>
      </c>
      <c r="W640" s="278">
        <f t="shared" si="35"/>
        <v>2.2708009793475422E-2</v>
      </c>
    </row>
    <row r="641" spans="1:23" x14ac:dyDescent="0.2">
      <c r="A641" s="8">
        <v>42626</v>
      </c>
      <c r="B641" s="9">
        <v>6.7149999999999999</v>
      </c>
      <c r="E641" s="51"/>
      <c r="F641" s="51"/>
      <c r="G641" s="51"/>
      <c r="H641" s="51"/>
      <c r="I641" s="51"/>
      <c r="J641" s="53"/>
      <c r="K641" s="53"/>
      <c r="L641" s="53"/>
      <c r="M641" s="53"/>
      <c r="N641" s="53"/>
      <c r="O641" s="139"/>
      <c r="P641" s="50"/>
      <c r="Q641" s="57"/>
      <c r="R641" s="12">
        <v>42635</v>
      </c>
      <c r="S641" s="11">
        <v>6.25</v>
      </c>
      <c r="T641" s="148">
        <v>0.79872204472843444</v>
      </c>
      <c r="U641" s="148">
        <f t="shared" si="33"/>
        <v>5.3523811553863272</v>
      </c>
      <c r="V641" s="278">
        <f t="shared" si="34"/>
        <v>1.6025641025640969E-3</v>
      </c>
      <c r="W641" s="278">
        <f t="shared" si="35"/>
        <v>1.3597542239082111E-3</v>
      </c>
    </row>
    <row r="642" spans="1:23" x14ac:dyDescent="0.2">
      <c r="A642" s="8">
        <v>42627</v>
      </c>
      <c r="B642" s="9">
        <v>6.68</v>
      </c>
      <c r="E642" s="51"/>
      <c r="F642" s="51"/>
      <c r="G642" s="51"/>
      <c r="H642" s="51"/>
      <c r="I642" s="51"/>
      <c r="J642" s="53"/>
      <c r="K642" s="53"/>
      <c r="L642" s="53"/>
      <c r="M642" s="53"/>
      <c r="N642" s="53"/>
      <c r="O642" s="139"/>
      <c r="P642" s="50"/>
      <c r="Q642" s="57"/>
      <c r="R642" s="12">
        <v>42636</v>
      </c>
      <c r="S642" s="11">
        <v>6.1749999999999998</v>
      </c>
      <c r="T642" s="148">
        <v>0.78913738019169322</v>
      </c>
      <c r="U642" s="148">
        <f t="shared" si="33"/>
        <v>5.2868529705028315</v>
      </c>
      <c r="V642" s="278">
        <f t="shared" si="34"/>
        <v>-1.2000000000000011E-2</v>
      </c>
      <c r="W642" s="278">
        <f t="shared" si="35"/>
        <v>-1.2242809878655897E-2</v>
      </c>
    </row>
    <row r="643" spans="1:23" x14ac:dyDescent="0.2">
      <c r="A643" s="8">
        <v>42628</v>
      </c>
      <c r="B643" s="9">
        <v>6.5549999999999997</v>
      </c>
      <c r="E643" s="51"/>
      <c r="F643" s="51"/>
      <c r="G643" s="51"/>
      <c r="H643" s="51"/>
      <c r="I643" s="51"/>
      <c r="J643" s="53"/>
      <c r="K643" s="53"/>
      <c r="L643" s="53"/>
      <c r="M643" s="53"/>
      <c r="N643" s="53"/>
      <c r="O643" s="139"/>
      <c r="P643" s="50"/>
      <c r="Q643" s="57"/>
      <c r="R643" s="12">
        <v>42639</v>
      </c>
      <c r="S643" s="11">
        <v>5.9350000000000005</v>
      </c>
      <c r="T643" s="148">
        <v>0.75846645367412147</v>
      </c>
      <c r="U643" s="148">
        <f t="shared" si="33"/>
        <v>5.0800883452052519</v>
      </c>
      <c r="V643" s="278">
        <f t="shared" si="34"/>
        <v>-3.8866396761133459E-2</v>
      </c>
      <c r="W643" s="278">
        <f t="shared" si="35"/>
        <v>-3.9109206639789347E-2</v>
      </c>
    </row>
    <row r="644" spans="1:23" x14ac:dyDescent="0.2">
      <c r="A644" s="8">
        <v>42629</v>
      </c>
      <c r="B644" s="9">
        <v>6.1749999999999998</v>
      </c>
      <c r="E644" s="51"/>
      <c r="F644" s="51"/>
      <c r="G644" s="51"/>
      <c r="H644" s="51"/>
      <c r="I644" s="51"/>
      <c r="J644" s="53"/>
      <c r="K644" s="53"/>
      <c r="L644" s="53"/>
      <c r="M644" s="53"/>
      <c r="N644" s="53"/>
      <c r="O644" s="139"/>
      <c r="P644" s="50"/>
      <c r="Q644" s="57"/>
      <c r="R644" s="12">
        <v>42640</v>
      </c>
      <c r="S644" s="11">
        <v>5.7850000000000001</v>
      </c>
      <c r="T644" s="148">
        <v>0.73929712460063901</v>
      </c>
      <c r="U644" s="148">
        <f t="shared" si="33"/>
        <v>4.9504617153194053</v>
      </c>
      <c r="V644" s="278">
        <f t="shared" si="34"/>
        <v>-2.5273799494524019E-2</v>
      </c>
      <c r="W644" s="278">
        <f t="shared" si="35"/>
        <v>-2.5516609373179903E-2</v>
      </c>
    </row>
    <row r="645" spans="1:23" x14ac:dyDescent="0.2">
      <c r="A645" s="8">
        <v>42632</v>
      </c>
      <c r="B645" s="9">
        <v>6.27</v>
      </c>
      <c r="E645" s="51"/>
      <c r="F645" s="51"/>
      <c r="G645" s="51"/>
      <c r="H645" s="51"/>
      <c r="I645" s="51"/>
      <c r="J645" s="53"/>
      <c r="K645" s="53"/>
      <c r="L645" s="53"/>
      <c r="M645" s="53"/>
      <c r="N645" s="53"/>
      <c r="O645" s="139"/>
      <c r="P645" s="50"/>
      <c r="Q645" s="57"/>
      <c r="R645" s="12">
        <v>42641</v>
      </c>
      <c r="S645" s="11">
        <v>5.86</v>
      </c>
      <c r="T645" s="148">
        <v>0.74888178913738024</v>
      </c>
      <c r="U645" s="148">
        <f t="shared" si="33"/>
        <v>5.0134402697040956</v>
      </c>
      <c r="V645" s="278">
        <f t="shared" si="34"/>
        <v>1.2964563526361328E-2</v>
      </c>
      <c r="W645" s="278">
        <f t="shared" si="35"/>
        <v>1.2721753647705442E-2</v>
      </c>
    </row>
    <row r="646" spans="1:23" x14ac:dyDescent="0.2">
      <c r="A646" s="8">
        <v>42633</v>
      </c>
      <c r="B646" s="9">
        <v>6.1</v>
      </c>
      <c r="E646" s="51"/>
      <c r="F646" s="51"/>
      <c r="G646" s="51"/>
      <c r="H646" s="51"/>
      <c r="I646" s="51"/>
      <c r="J646" s="53"/>
      <c r="K646" s="53"/>
      <c r="L646" s="53"/>
      <c r="M646" s="53"/>
      <c r="N646" s="53"/>
      <c r="O646" s="139"/>
      <c r="P646" s="50"/>
      <c r="Q646" s="57"/>
      <c r="R646" s="12">
        <v>42642</v>
      </c>
      <c r="S646" s="11">
        <v>5.75</v>
      </c>
      <c r="T646" s="148">
        <v>0.73482428115015974</v>
      </c>
      <c r="U646" s="148">
        <f t="shared" si="33"/>
        <v>4.9181140098383329</v>
      </c>
      <c r="V646" s="278">
        <f t="shared" si="34"/>
        <v>-1.8771331058020535E-2</v>
      </c>
      <c r="W646" s="278">
        <f t="shared" si="35"/>
        <v>-1.9014140936676419E-2</v>
      </c>
    </row>
    <row r="647" spans="1:23" x14ac:dyDescent="0.2">
      <c r="A647" s="8">
        <v>42634</v>
      </c>
      <c r="B647" s="9">
        <v>6.24</v>
      </c>
      <c r="E647" s="51"/>
      <c r="F647" s="51"/>
      <c r="G647" s="51"/>
      <c r="H647" s="51"/>
      <c r="I647" s="51"/>
      <c r="J647" s="53"/>
      <c r="K647" s="53"/>
      <c r="L647" s="53"/>
      <c r="M647" s="53"/>
      <c r="N647" s="53"/>
      <c r="O647" s="139"/>
      <c r="P647" s="50"/>
      <c r="Q647" s="57"/>
      <c r="R647" s="12">
        <v>42643</v>
      </c>
      <c r="S647" s="11">
        <v>5.79</v>
      </c>
      <c r="T647" s="148">
        <v>0.7399361022364217</v>
      </c>
      <c r="U647" s="148">
        <f t="shared" si="33"/>
        <v>4.9511328101973504</v>
      </c>
      <c r="V647" s="278">
        <f t="shared" si="34"/>
        <v>6.9565217391305278E-3</v>
      </c>
      <c r="W647" s="278">
        <f t="shared" si="35"/>
        <v>6.7137118604746419E-3</v>
      </c>
    </row>
    <row r="648" spans="1:23" x14ac:dyDescent="0.2">
      <c r="A648" s="8">
        <v>42635</v>
      </c>
      <c r="B648" s="9">
        <v>6.25</v>
      </c>
      <c r="E648" s="51"/>
      <c r="F648" s="51"/>
      <c r="G648" s="51"/>
      <c r="H648" s="51"/>
      <c r="I648" s="51"/>
      <c r="J648" s="53"/>
      <c r="K648" s="53"/>
      <c r="L648" s="53"/>
      <c r="M648" s="53"/>
      <c r="N648" s="53"/>
      <c r="O648" s="139"/>
      <c r="P648" s="50"/>
      <c r="Q648" s="57"/>
      <c r="R648" s="12">
        <v>42646</v>
      </c>
      <c r="S648" s="11">
        <v>5.7750000000000004</v>
      </c>
      <c r="T648" s="148">
        <v>0.73801916932907352</v>
      </c>
      <c r="U648" s="148">
        <f t="shared" si="33"/>
        <v>4.9371038573021631</v>
      </c>
      <c r="V648" s="278">
        <f t="shared" si="34"/>
        <v>-2.5906735751294319E-3</v>
      </c>
      <c r="W648" s="278">
        <f t="shared" si="35"/>
        <v>-2.8334834537853178E-3</v>
      </c>
    </row>
    <row r="649" spans="1:23" x14ac:dyDescent="0.2">
      <c r="A649" s="8">
        <v>42636</v>
      </c>
      <c r="B649" s="9">
        <v>6.1749999999999998</v>
      </c>
      <c r="E649" s="51"/>
      <c r="F649" s="51"/>
      <c r="G649" s="51"/>
      <c r="H649" s="51"/>
      <c r="I649" s="51"/>
      <c r="J649" s="53"/>
      <c r="K649" s="53"/>
      <c r="L649" s="53"/>
      <c r="M649" s="53"/>
      <c r="N649" s="53"/>
      <c r="O649" s="139"/>
      <c r="P649" s="50"/>
      <c r="Q649" s="57"/>
      <c r="R649" s="12">
        <v>42647</v>
      </c>
      <c r="S649" s="11">
        <v>5.78</v>
      </c>
      <c r="T649" s="148">
        <v>0.73865814696485621</v>
      </c>
      <c r="U649" s="148">
        <f t="shared" si="33"/>
        <v>4.9401796285078605</v>
      </c>
      <c r="V649" s="278">
        <f t="shared" si="34"/>
        <v>8.658008658009031E-4</v>
      </c>
      <c r="W649" s="278">
        <f t="shared" si="35"/>
        <v>6.2299098714501744E-4</v>
      </c>
    </row>
    <row r="650" spans="1:23" x14ac:dyDescent="0.2">
      <c r="A650" s="8">
        <v>42639</v>
      </c>
      <c r="B650" s="9">
        <v>5.9350000000000005</v>
      </c>
      <c r="E650" s="51"/>
      <c r="F650" s="51"/>
      <c r="G650" s="51"/>
      <c r="H650" s="51"/>
      <c r="I650" s="51"/>
      <c r="J650" s="53"/>
      <c r="K650" s="53"/>
      <c r="L650" s="53"/>
      <c r="M650" s="53"/>
      <c r="N650" s="53"/>
      <c r="O650" s="139"/>
      <c r="P650" s="50"/>
      <c r="Q650" s="57"/>
      <c r="R650" s="12">
        <v>42648</v>
      </c>
      <c r="S650" s="11">
        <v>5.9950000000000001</v>
      </c>
      <c r="T650" s="148">
        <v>0.7661341853035144</v>
      </c>
      <c r="U650" s="148">
        <f t="shared" si="33"/>
        <v>5.1227411110344896</v>
      </c>
      <c r="V650" s="278">
        <f t="shared" si="34"/>
        <v>3.7197231833909994E-2</v>
      </c>
      <c r="W650" s="278">
        <f t="shared" si="35"/>
        <v>3.6954421955254106E-2</v>
      </c>
    </row>
    <row r="651" spans="1:23" x14ac:dyDescent="0.2">
      <c r="A651" s="8">
        <v>42640</v>
      </c>
      <c r="B651" s="9">
        <v>5.7850000000000001</v>
      </c>
      <c r="E651" s="51"/>
      <c r="F651" s="51"/>
      <c r="G651" s="51"/>
      <c r="H651" s="51"/>
      <c r="I651" s="51"/>
      <c r="J651" s="53"/>
      <c r="K651" s="53"/>
      <c r="L651" s="53"/>
      <c r="M651" s="53"/>
      <c r="N651" s="53"/>
      <c r="O651" s="139"/>
      <c r="P651" s="50"/>
      <c r="Q651" s="57"/>
      <c r="R651" s="12">
        <v>42649</v>
      </c>
      <c r="S651" s="11">
        <v>6.0949999999999998</v>
      </c>
      <c r="T651" s="148">
        <v>0.7789137380191693</v>
      </c>
      <c r="U651" s="148">
        <f t="shared" si="33"/>
        <v>5.2069474859267073</v>
      </c>
      <c r="V651" s="278">
        <f t="shared" si="34"/>
        <v>1.6680567139282676E-2</v>
      </c>
      <c r="W651" s="278">
        <f t="shared" si="35"/>
        <v>1.6437757260626792E-2</v>
      </c>
    </row>
    <row r="652" spans="1:23" x14ac:dyDescent="0.2">
      <c r="A652" s="8">
        <v>42641</v>
      </c>
      <c r="B652" s="9">
        <v>5.86</v>
      </c>
      <c r="E652" s="51"/>
      <c r="F652" s="51"/>
      <c r="G652" s="51"/>
      <c r="H652" s="51"/>
      <c r="I652" s="51"/>
      <c r="J652" s="53"/>
      <c r="K652" s="53"/>
      <c r="L652" s="53"/>
      <c r="M652" s="53"/>
      <c r="N652" s="53"/>
      <c r="O652" s="139"/>
      <c r="P652" s="50"/>
      <c r="Q652" s="57"/>
      <c r="R652" s="12">
        <v>42650</v>
      </c>
      <c r="S652" s="11">
        <v>6.09</v>
      </c>
      <c r="T652" s="148">
        <v>0.7782747603833865</v>
      </c>
      <c r="U652" s="148">
        <f t="shared" si="33"/>
        <v>5.2014116966748167</v>
      </c>
      <c r="V652" s="278">
        <f t="shared" si="34"/>
        <v>-8.2034454470880647E-4</v>
      </c>
      <c r="W652" s="278">
        <f t="shared" si="35"/>
        <v>-1.0631544233646922E-3</v>
      </c>
    </row>
    <row r="653" spans="1:23" x14ac:dyDescent="0.2">
      <c r="A653" s="8">
        <v>42642</v>
      </c>
      <c r="B653" s="9">
        <v>5.75</v>
      </c>
      <c r="E653" s="51"/>
      <c r="F653" s="51"/>
      <c r="G653" s="51"/>
      <c r="H653" s="51"/>
      <c r="I653" s="51"/>
      <c r="J653" s="53"/>
      <c r="K653" s="53"/>
      <c r="L653" s="53"/>
      <c r="M653" s="53"/>
      <c r="N653" s="53"/>
      <c r="O653" s="139"/>
      <c r="P653" s="50"/>
      <c r="Q653" s="57"/>
      <c r="R653" s="12">
        <v>42653</v>
      </c>
      <c r="S653" s="11">
        <v>6.1749999999999998</v>
      </c>
      <c r="T653" s="148">
        <v>0.78913738019169322</v>
      </c>
      <c r="U653" s="148">
        <f t="shared" si="33"/>
        <v>5.272746442731802</v>
      </c>
      <c r="V653" s="278">
        <f t="shared" si="34"/>
        <v>1.3957307060755264E-2</v>
      </c>
      <c r="W653" s="278">
        <f t="shared" si="35"/>
        <v>1.3714497182099378E-2</v>
      </c>
    </row>
    <row r="654" spans="1:23" x14ac:dyDescent="0.2">
      <c r="A654" s="8">
        <v>42643</v>
      </c>
      <c r="B654" s="9">
        <v>5.79</v>
      </c>
      <c r="E654" s="51"/>
      <c r="F654" s="51"/>
      <c r="G654" s="51"/>
      <c r="H654" s="51"/>
      <c r="I654" s="51"/>
      <c r="J654" s="53"/>
      <c r="K654" s="53"/>
      <c r="L654" s="53"/>
      <c r="M654" s="53"/>
      <c r="N654" s="53"/>
      <c r="O654" s="139"/>
      <c r="P654" s="50"/>
      <c r="Q654" s="57"/>
      <c r="R654" s="12">
        <v>42654</v>
      </c>
      <c r="S654" s="11">
        <v>6.17</v>
      </c>
      <c r="T654" s="148">
        <v>0.78849840255591053</v>
      </c>
      <c r="U654" s="148">
        <f t="shared" si="33"/>
        <v>5.2671967374898578</v>
      </c>
      <c r="V654" s="278">
        <f t="shared" si="34"/>
        <v>-8.0971659919026884E-4</v>
      </c>
      <c r="W654" s="278">
        <f t="shared" si="35"/>
        <v>-1.0525264778461546E-3</v>
      </c>
    </row>
    <row r="655" spans="1:23" x14ac:dyDescent="0.2">
      <c r="A655" s="8">
        <v>42646</v>
      </c>
      <c r="B655" s="9">
        <v>5.7750000000000004</v>
      </c>
      <c r="E655" s="51"/>
      <c r="F655" s="51"/>
      <c r="G655" s="51"/>
      <c r="H655" s="51"/>
      <c r="I655" s="51"/>
      <c r="J655" s="53"/>
      <c r="K655" s="53"/>
      <c r="L655" s="53"/>
      <c r="M655" s="53"/>
      <c r="N655" s="53"/>
      <c r="O655" s="139"/>
      <c r="P655" s="50"/>
      <c r="Q655" s="57"/>
      <c r="R655" s="12">
        <v>42655</v>
      </c>
      <c r="S655" s="11">
        <v>6.2549999999999999</v>
      </c>
      <c r="T655" s="148">
        <v>0.79936102236421724</v>
      </c>
      <c r="U655" s="148">
        <f t="shared" si="33"/>
        <v>5.3384804879962431</v>
      </c>
      <c r="V655" s="278">
        <f t="shared" si="34"/>
        <v>1.3776337115072979E-2</v>
      </c>
      <c r="W655" s="278">
        <f t="shared" si="35"/>
        <v>1.3533527236417093E-2</v>
      </c>
    </row>
    <row r="656" spans="1:23" x14ac:dyDescent="0.2">
      <c r="A656" s="8">
        <v>42647</v>
      </c>
      <c r="B656" s="9">
        <v>5.78</v>
      </c>
      <c r="E656" s="51"/>
      <c r="F656" s="51"/>
      <c r="G656" s="51"/>
      <c r="H656" s="51"/>
      <c r="I656" s="51"/>
      <c r="J656" s="53"/>
      <c r="K656" s="53"/>
      <c r="L656" s="53"/>
      <c r="M656" s="53"/>
      <c r="N656" s="53"/>
      <c r="O656" s="139"/>
      <c r="P656" s="50"/>
      <c r="Q656" s="57"/>
      <c r="R656" s="12">
        <v>42656</v>
      </c>
      <c r="S656" s="11">
        <v>6.0449999999999999</v>
      </c>
      <c r="T656" s="148">
        <v>0.77252396166134185</v>
      </c>
      <c r="U656" s="148">
        <f t="shared" si="33"/>
        <v>5.1579546914486709</v>
      </c>
      <c r="V656" s="278">
        <f t="shared" si="34"/>
        <v>-3.3573141486810565E-2</v>
      </c>
      <c r="W656" s="278">
        <f t="shared" si="35"/>
        <v>-3.3815951365466453E-2</v>
      </c>
    </row>
    <row r="657" spans="1:23" x14ac:dyDescent="0.2">
      <c r="A657" s="8">
        <v>42648</v>
      </c>
      <c r="B657" s="9">
        <v>5.9950000000000001</v>
      </c>
      <c r="E657" s="51"/>
      <c r="F657" s="51"/>
      <c r="G657" s="51"/>
      <c r="H657" s="51"/>
      <c r="I657" s="51"/>
      <c r="J657" s="53"/>
      <c r="K657" s="53"/>
      <c r="L657" s="53"/>
      <c r="M657" s="53"/>
      <c r="N657" s="53"/>
      <c r="O657" s="139"/>
      <c r="P657" s="50"/>
      <c r="Q657" s="57"/>
      <c r="R657" s="12">
        <v>42657</v>
      </c>
      <c r="S657" s="11">
        <v>6.1950000000000003</v>
      </c>
      <c r="T657" s="148">
        <v>0.79169329073482431</v>
      </c>
      <c r="U657" s="148">
        <f t="shared" si="33"/>
        <v>5.2846912392559435</v>
      </c>
      <c r="V657" s="278">
        <f t="shared" si="34"/>
        <v>2.4813895781637729E-2</v>
      </c>
      <c r="W657" s="278">
        <f t="shared" si="35"/>
        <v>2.4571085902981845E-2</v>
      </c>
    </row>
    <row r="658" spans="1:23" x14ac:dyDescent="0.2">
      <c r="A658" s="8">
        <v>42649</v>
      </c>
      <c r="B658" s="9">
        <v>6.0949999999999998</v>
      </c>
      <c r="E658" s="51"/>
      <c r="F658" s="51"/>
      <c r="G658" s="51"/>
      <c r="H658" s="51"/>
      <c r="I658" s="51"/>
      <c r="J658" s="53"/>
      <c r="K658" s="53"/>
      <c r="L658" s="53"/>
      <c r="M658" s="53"/>
      <c r="N658" s="53"/>
      <c r="O658" s="139"/>
      <c r="P658" s="50"/>
      <c r="Q658" s="57"/>
      <c r="R658" s="12">
        <v>42660</v>
      </c>
      <c r="S658" s="11">
        <v>6.2750000000000004</v>
      </c>
      <c r="T658" s="148">
        <v>0.80191693290734822</v>
      </c>
      <c r="U658" s="148">
        <f t="shared" si="33"/>
        <v>5.3516526643629216</v>
      </c>
      <c r="V658" s="278">
        <f t="shared" si="34"/>
        <v>1.2913640032284013E-2</v>
      </c>
      <c r="W658" s="278">
        <f t="shared" si="35"/>
        <v>1.2670830153628127E-2</v>
      </c>
    </row>
    <row r="659" spans="1:23" x14ac:dyDescent="0.2">
      <c r="A659" s="8">
        <v>42650</v>
      </c>
      <c r="B659" s="9">
        <v>6.09</v>
      </c>
      <c r="E659" s="51"/>
      <c r="F659" s="51"/>
      <c r="G659" s="51"/>
      <c r="H659" s="51"/>
      <c r="I659" s="51"/>
      <c r="J659" s="53"/>
      <c r="K659" s="53"/>
      <c r="L659" s="53"/>
      <c r="M659" s="53"/>
      <c r="N659" s="53"/>
      <c r="O659" s="139"/>
      <c r="P659" s="50"/>
      <c r="Q659" s="57"/>
      <c r="R659" s="12">
        <v>42661</v>
      </c>
      <c r="S659" s="11">
        <v>6.41</v>
      </c>
      <c r="T659" s="148">
        <v>0.81916932907348239</v>
      </c>
      <c r="U659" s="148">
        <f t="shared" si="33"/>
        <v>5.4654883871514279</v>
      </c>
      <c r="V659" s="278">
        <f t="shared" si="34"/>
        <v>2.1513944223107595E-2</v>
      </c>
      <c r="W659" s="278">
        <f t="shared" si="35"/>
        <v>2.1271134344451711E-2</v>
      </c>
    </row>
    <row r="660" spans="1:23" x14ac:dyDescent="0.2">
      <c r="A660" s="8">
        <v>42653</v>
      </c>
      <c r="B660" s="9">
        <v>6.1749999999999998</v>
      </c>
      <c r="E660" s="51"/>
      <c r="F660" s="51"/>
      <c r="G660" s="51"/>
      <c r="H660" s="51"/>
      <c r="I660" s="51"/>
      <c r="J660" s="53"/>
      <c r="K660" s="53"/>
      <c r="L660" s="53"/>
      <c r="M660" s="53"/>
      <c r="N660" s="53"/>
      <c r="O660" s="139"/>
      <c r="P660" s="50"/>
      <c r="Q660" s="57"/>
      <c r="R660" s="12">
        <v>42662</v>
      </c>
      <c r="S660" s="11">
        <v>6.61</v>
      </c>
      <c r="T660" s="148">
        <v>0.8447284345047924</v>
      </c>
      <c r="U660" s="148">
        <f t="shared" si="33"/>
        <v>5.6346913714608275</v>
      </c>
      <c r="V660" s="278">
        <f t="shared" si="34"/>
        <v>3.120124804992197E-2</v>
      </c>
      <c r="W660" s="278">
        <f t="shared" si="35"/>
        <v>3.0958438171266086E-2</v>
      </c>
    </row>
    <row r="661" spans="1:23" x14ac:dyDescent="0.2">
      <c r="A661" s="8">
        <v>42654</v>
      </c>
      <c r="B661" s="9">
        <v>6.17</v>
      </c>
      <c r="E661" s="51"/>
      <c r="F661" s="51"/>
      <c r="G661" s="51"/>
      <c r="H661" s="51"/>
      <c r="I661" s="51"/>
      <c r="J661" s="53"/>
      <c r="K661" s="53"/>
      <c r="L661" s="53"/>
      <c r="M661" s="53"/>
      <c r="N661" s="53"/>
      <c r="O661" s="139"/>
      <c r="P661" s="50"/>
      <c r="Q661" s="57"/>
      <c r="R661" s="12">
        <v>42663</v>
      </c>
      <c r="S661" s="11">
        <v>6.6449999999999996</v>
      </c>
      <c r="T661" s="148">
        <v>0.84920127795527145</v>
      </c>
      <c r="U661" s="148">
        <f t="shared" si="33"/>
        <v>5.6631589461670195</v>
      </c>
      <c r="V661" s="278">
        <f t="shared" si="34"/>
        <v>5.2950075642963501E-3</v>
      </c>
      <c r="W661" s="278">
        <f t="shared" si="35"/>
        <v>5.0521976856404641E-3</v>
      </c>
    </row>
    <row r="662" spans="1:23" x14ac:dyDescent="0.2">
      <c r="A662" s="8">
        <v>42655</v>
      </c>
      <c r="B662" s="9">
        <v>6.2549999999999999</v>
      </c>
      <c r="E662" s="51"/>
      <c r="F662" s="51"/>
      <c r="G662" s="51"/>
      <c r="H662" s="51"/>
      <c r="I662" s="51"/>
      <c r="J662" s="53"/>
      <c r="K662" s="53"/>
      <c r="L662" s="53"/>
      <c r="M662" s="53"/>
      <c r="N662" s="53"/>
      <c r="O662" s="139"/>
      <c r="P662" s="50"/>
      <c r="Q662" s="57"/>
      <c r="R662" s="12">
        <v>42664</v>
      </c>
      <c r="S662" s="11">
        <v>6.6899999999999995</v>
      </c>
      <c r="T662" s="148">
        <v>0.85495207667731621</v>
      </c>
      <c r="U662" s="148">
        <f t="shared" si="33"/>
        <v>5.7001348387485518</v>
      </c>
      <c r="V662" s="278">
        <f t="shared" si="34"/>
        <v>6.7720090293452717E-3</v>
      </c>
      <c r="W662" s="278">
        <f t="shared" si="35"/>
        <v>6.5291991506893857E-3</v>
      </c>
    </row>
    <row r="663" spans="1:23" x14ac:dyDescent="0.2">
      <c r="A663" s="8">
        <v>42656</v>
      </c>
      <c r="B663" s="9">
        <v>6.0449999999999999</v>
      </c>
      <c r="E663" s="51"/>
      <c r="F663" s="51"/>
      <c r="G663" s="51"/>
      <c r="H663" s="51"/>
      <c r="I663" s="51"/>
      <c r="J663" s="53"/>
      <c r="K663" s="53"/>
      <c r="L663" s="53"/>
      <c r="M663" s="53"/>
      <c r="N663" s="53"/>
      <c r="O663" s="139"/>
      <c r="P663" s="50"/>
      <c r="Q663" s="57"/>
      <c r="R663" s="12">
        <v>42667</v>
      </c>
      <c r="S663" s="11">
        <v>6.8550000000000004</v>
      </c>
      <c r="T663" s="148">
        <v>0.87603833865814695</v>
      </c>
      <c r="U663" s="148">
        <f t="shared" si="33"/>
        <v>5.8393370749606479</v>
      </c>
      <c r="V663" s="278">
        <f t="shared" si="34"/>
        <v>2.4663677130045025E-2</v>
      </c>
      <c r="W663" s="278">
        <f t="shared" si="35"/>
        <v>2.4420867251389141E-2</v>
      </c>
    </row>
    <row r="664" spans="1:23" x14ac:dyDescent="0.2">
      <c r="A664" s="8">
        <v>42657</v>
      </c>
      <c r="B664" s="9">
        <v>6.1950000000000003</v>
      </c>
      <c r="E664" s="51"/>
      <c r="F664" s="51"/>
      <c r="G664" s="51"/>
      <c r="H664" s="51"/>
      <c r="I664" s="51"/>
      <c r="J664" s="53"/>
      <c r="K664" s="53"/>
      <c r="L664" s="53"/>
      <c r="M664" s="53"/>
      <c r="N664" s="53"/>
      <c r="O664" s="139"/>
      <c r="P664" s="50"/>
      <c r="Q664" s="57"/>
      <c r="R664" s="12">
        <v>42668</v>
      </c>
      <c r="S664" s="11">
        <v>6.8</v>
      </c>
      <c r="T664" s="148">
        <v>0.86900958466453671</v>
      </c>
      <c r="U664" s="148">
        <f t="shared" si="33"/>
        <v>5.7910682358441345</v>
      </c>
      <c r="V664" s="278">
        <f t="shared" si="34"/>
        <v>-8.023340627279496E-3</v>
      </c>
      <c r="W664" s="278">
        <f t="shared" si="35"/>
        <v>-8.266150505935382E-3</v>
      </c>
    </row>
    <row r="665" spans="1:23" x14ac:dyDescent="0.2">
      <c r="A665" s="8">
        <v>42660</v>
      </c>
      <c r="B665" s="9">
        <v>6.2750000000000004</v>
      </c>
      <c r="E665" s="51"/>
      <c r="F665" s="51"/>
      <c r="G665" s="51"/>
      <c r="H665" s="51"/>
      <c r="I665" s="51"/>
      <c r="J665" s="53"/>
      <c r="K665" s="53"/>
      <c r="L665" s="53"/>
      <c r="M665" s="53"/>
      <c r="N665" s="53"/>
      <c r="O665" s="139"/>
      <c r="P665" s="50"/>
      <c r="Q665" s="57"/>
      <c r="R665" s="12">
        <v>42669</v>
      </c>
      <c r="S665" s="11">
        <v>6.88</v>
      </c>
      <c r="T665" s="148">
        <v>0.87923322683706062</v>
      </c>
      <c r="U665" s="148">
        <f t="shared" ref="U665:U728" si="36">U664*(1+W665)</f>
        <v>5.8577923218078434</v>
      </c>
      <c r="V665" s="278">
        <f t="shared" ref="V665:V728" si="37">S665/S664-1</f>
        <v>1.1764705882352899E-2</v>
      </c>
      <c r="W665" s="278">
        <f t="shared" ref="W665:W728" si="38">V665-$V$3+$W$2</f>
        <v>1.1521896003697013E-2</v>
      </c>
    </row>
    <row r="666" spans="1:23" x14ac:dyDescent="0.2">
      <c r="A666" s="8">
        <v>42661</v>
      </c>
      <c r="B666" s="9">
        <v>6.41</v>
      </c>
      <c r="E666" s="51"/>
      <c r="F666" s="51"/>
      <c r="G666" s="51"/>
      <c r="H666" s="51"/>
      <c r="I666" s="51"/>
      <c r="J666" s="53"/>
      <c r="K666" s="53"/>
      <c r="L666" s="53"/>
      <c r="M666" s="53"/>
      <c r="N666" s="53"/>
      <c r="O666" s="139"/>
      <c r="P666" s="50"/>
      <c r="Q666" s="57"/>
      <c r="R666" s="12">
        <v>42670</v>
      </c>
      <c r="S666" s="11">
        <v>6.9399999999999995</v>
      </c>
      <c r="T666" s="148">
        <v>0.88690095846645356</v>
      </c>
      <c r="U666" s="148">
        <f t="shared" si="36"/>
        <v>5.907455390120294</v>
      </c>
      <c r="V666" s="278">
        <f t="shared" si="37"/>
        <v>8.720930232558155E-3</v>
      </c>
      <c r="W666" s="278">
        <f t="shared" si="38"/>
        <v>8.478120353902269E-3</v>
      </c>
    </row>
    <row r="667" spans="1:23" x14ac:dyDescent="0.2">
      <c r="A667" s="8">
        <v>42662</v>
      </c>
      <c r="B667" s="9">
        <v>6.61</v>
      </c>
      <c r="E667" s="51"/>
      <c r="F667" s="51"/>
      <c r="G667" s="51"/>
      <c r="H667" s="51"/>
      <c r="I667" s="51"/>
      <c r="J667" s="53"/>
      <c r="K667" s="53"/>
      <c r="L667" s="53"/>
      <c r="M667" s="53"/>
      <c r="N667" s="53"/>
      <c r="O667" s="139"/>
      <c r="P667" s="50"/>
      <c r="Q667" s="57"/>
      <c r="R667" s="12">
        <v>42671</v>
      </c>
      <c r="S667" s="11">
        <v>7.01</v>
      </c>
      <c r="T667" s="148">
        <v>0.8958466453674121</v>
      </c>
      <c r="U667" s="148">
        <f t="shared" si="36"/>
        <v>5.9656062865086117</v>
      </c>
      <c r="V667" s="278">
        <f t="shared" si="37"/>
        <v>1.008645533141217E-2</v>
      </c>
      <c r="W667" s="278">
        <f t="shared" si="38"/>
        <v>9.8436454527562837E-3</v>
      </c>
    </row>
    <row r="668" spans="1:23" x14ac:dyDescent="0.2">
      <c r="A668" s="8">
        <v>42663</v>
      </c>
      <c r="B668" s="9">
        <v>6.6449999999999996</v>
      </c>
      <c r="E668" s="51"/>
      <c r="F668" s="51"/>
      <c r="G668" s="51"/>
      <c r="H668" s="51"/>
      <c r="I668" s="51"/>
      <c r="J668" s="53"/>
      <c r="K668" s="53"/>
      <c r="L668" s="53"/>
      <c r="M668" s="53"/>
      <c r="N668" s="53"/>
      <c r="O668" s="139"/>
      <c r="P668" s="50"/>
      <c r="Q668" s="57"/>
      <c r="R668" s="12">
        <v>42674</v>
      </c>
      <c r="S668" s="11">
        <v>6.6749999999999998</v>
      </c>
      <c r="T668" s="148">
        <v>0.85303514376996803</v>
      </c>
      <c r="U668" s="148">
        <f t="shared" si="36"/>
        <v>5.6790681769463403</v>
      </c>
      <c r="V668" s="278">
        <f t="shared" si="37"/>
        <v>-4.7788873038516422E-2</v>
      </c>
      <c r="W668" s="278">
        <f t="shared" si="38"/>
        <v>-4.8031682917172309E-2</v>
      </c>
    </row>
    <row r="669" spans="1:23" x14ac:dyDescent="0.2">
      <c r="A669" s="8">
        <v>42664</v>
      </c>
      <c r="B669" s="9">
        <v>6.6899999999999995</v>
      </c>
      <c r="E669" s="51"/>
      <c r="F669" s="51"/>
      <c r="G669" s="51"/>
      <c r="H669" s="51"/>
      <c r="I669" s="51"/>
      <c r="J669" s="53"/>
      <c r="K669" s="53"/>
      <c r="L669" s="53"/>
      <c r="M669" s="53"/>
      <c r="N669" s="53"/>
      <c r="O669" s="139"/>
      <c r="P669" s="50"/>
      <c r="Q669" s="57"/>
      <c r="R669" s="12">
        <v>42675</v>
      </c>
      <c r="S669" s="11">
        <v>6.72</v>
      </c>
      <c r="T669" s="148">
        <v>0.85878594249201268</v>
      </c>
      <c r="U669" s="148">
        <f t="shared" si="36"/>
        <v>5.7159750959697071</v>
      </c>
      <c r="V669" s="278">
        <f t="shared" si="37"/>
        <v>6.741573033707926E-3</v>
      </c>
      <c r="W669" s="278">
        <f t="shared" si="38"/>
        <v>6.4987631550520401E-3</v>
      </c>
    </row>
    <row r="670" spans="1:23" x14ac:dyDescent="0.2">
      <c r="A670" s="8">
        <v>42667</v>
      </c>
      <c r="B670" s="9">
        <v>6.8550000000000004</v>
      </c>
      <c r="E670" s="51"/>
      <c r="F670" s="51"/>
      <c r="G670" s="51"/>
      <c r="H670" s="51"/>
      <c r="I670" s="51"/>
      <c r="J670" s="53"/>
      <c r="K670" s="53"/>
      <c r="L670" s="53"/>
      <c r="M670" s="53"/>
      <c r="N670" s="53"/>
      <c r="O670" s="139"/>
      <c r="P670" s="50"/>
      <c r="Q670" s="57"/>
      <c r="R670" s="12">
        <v>42676</v>
      </c>
      <c r="S670" s="11">
        <v>6.45</v>
      </c>
      <c r="T670" s="148">
        <v>0.82428115015974446</v>
      </c>
      <c r="U670" s="148">
        <f t="shared" si="36"/>
        <v>5.4849274870729001</v>
      </c>
      <c r="V670" s="278">
        <f t="shared" si="37"/>
        <v>-4.0178571428571397E-2</v>
      </c>
      <c r="W670" s="278">
        <f t="shared" si="38"/>
        <v>-4.0421381307227285E-2</v>
      </c>
    </row>
    <row r="671" spans="1:23" x14ac:dyDescent="0.2">
      <c r="A671" s="8">
        <v>42668</v>
      </c>
      <c r="B671" s="9">
        <v>6.8</v>
      </c>
      <c r="E671" s="51"/>
      <c r="F671" s="51"/>
      <c r="G671" s="51"/>
      <c r="H671" s="51"/>
      <c r="I671" s="51"/>
      <c r="J671" s="53"/>
      <c r="K671" s="53"/>
      <c r="L671" s="53"/>
      <c r="M671" s="53"/>
      <c r="N671" s="53"/>
      <c r="O671" s="139"/>
      <c r="P671" s="50"/>
      <c r="Q671" s="57"/>
      <c r="R671" s="12">
        <v>42677</v>
      </c>
      <c r="S671" s="11">
        <v>6.46</v>
      </c>
      <c r="T671" s="148">
        <v>0.82555910543130984</v>
      </c>
      <c r="U671" s="148">
        <f t="shared" si="36"/>
        <v>5.492099456041176</v>
      </c>
      <c r="V671" s="278">
        <f t="shared" si="37"/>
        <v>1.5503875968991832E-3</v>
      </c>
      <c r="W671" s="278">
        <f t="shared" si="38"/>
        <v>1.3075777182432974E-3</v>
      </c>
    </row>
    <row r="672" spans="1:23" x14ac:dyDescent="0.2">
      <c r="A672" s="8">
        <v>42669</v>
      </c>
      <c r="B672" s="9">
        <v>6.88</v>
      </c>
      <c r="E672" s="51"/>
      <c r="F672" s="51"/>
      <c r="G672" s="51"/>
      <c r="H672" s="51"/>
      <c r="I672" s="51"/>
      <c r="J672" s="53"/>
      <c r="K672" s="53"/>
      <c r="L672" s="53"/>
      <c r="M672" s="53"/>
      <c r="N672" s="53"/>
      <c r="O672" s="139"/>
      <c r="P672" s="50"/>
      <c r="Q672" s="57"/>
      <c r="R672" s="12">
        <v>42678</v>
      </c>
      <c r="S672" s="11">
        <v>6.36</v>
      </c>
      <c r="T672" s="148">
        <v>0.81277955271565494</v>
      </c>
      <c r="U672" s="148">
        <f t="shared" si="36"/>
        <v>5.4057489005953272</v>
      </c>
      <c r="V672" s="278">
        <f t="shared" si="37"/>
        <v>-1.5479876160990669E-2</v>
      </c>
      <c r="W672" s="278">
        <f t="shared" si="38"/>
        <v>-1.5722686039646553E-2</v>
      </c>
    </row>
    <row r="673" spans="1:23" x14ac:dyDescent="0.2">
      <c r="A673" s="8">
        <v>42670</v>
      </c>
      <c r="B673" s="9">
        <v>6.9399999999999995</v>
      </c>
      <c r="E673" s="51"/>
      <c r="F673" s="51"/>
      <c r="G673" s="51"/>
      <c r="H673" s="51"/>
      <c r="I673" s="51"/>
      <c r="J673" s="53"/>
      <c r="K673" s="53"/>
      <c r="L673" s="53"/>
      <c r="M673" s="53"/>
      <c r="N673" s="53"/>
      <c r="O673" s="139"/>
      <c r="P673" s="50"/>
      <c r="Q673" s="57"/>
      <c r="R673" s="12">
        <v>42681</v>
      </c>
      <c r="S673" s="11">
        <v>6.6349999999999998</v>
      </c>
      <c r="T673" s="148">
        <v>0.84792332268370607</v>
      </c>
      <c r="U673" s="148">
        <f t="shared" si="36"/>
        <v>5.6381754740751493</v>
      </c>
      <c r="V673" s="278">
        <f t="shared" si="37"/>
        <v>4.3238993710691842E-2</v>
      </c>
      <c r="W673" s="278">
        <f t="shared" si="38"/>
        <v>4.2996183832035954E-2</v>
      </c>
    </row>
    <row r="674" spans="1:23" x14ac:dyDescent="0.2">
      <c r="A674" s="8">
        <v>42671</v>
      </c>
      <c r="B674" s="9">
        <v>7.01</v>
      </c>
      <c r="E674" s="51"/>
      <c r="F674" s="51"/>
      <c r="G674" s="51"/>
      <c r="H674" s="51"/>
      <c r="I674" s="51"/>
      <c r="J674" s="53"/>
      <c r="K674" s="53"/>
      <c r="L674" s="53"/>
      <c r="M674" s="53"/>
      <c r="N674" s="53"/>
      <c r="O674" s="139"/>
      <c r="P674" s="50"/>
      <c r="Q674" s="57"/>
      <c r="R674" s="12">
        <v>42682</v>
      </c>
      <c r="S674" s="11">
        <v>6.75</v>
      </c>
      <c r="T674" s="148">
        <v>0.86261980830670926</v>
      </c>
      <c r="U674" s="148">
        <f t="shared" si="36"/>
        <v>5.7345291791717914</v>
      </c>
      <c r="V674" s="278">
        <f t="shared" si="37"/>
        <v>1.7332328560663246E-2</v>
      </c>
      <c r="W674" s="278">
        <f t="shared" si="38"/>
        <v>1.7089518682007362E-2</v>
      </c>
    </row>
    <row r="675" spans="1:23" x14ac:dyDescent="0.2">
      <c r="A675" s="8">
        <v>42674</v>
      </c>
      <c r="B675" s="9">
        <v>6.6749999999999998</v>
      </c>
      <c r="E675" s="51"/>
      <c r="F675" s="51"/>
      <c r="G675" s="51"/>
      <c r="H675" s="51"/>
      <c r="I675" s="51"/>
      <c r="J675" s="53"/>
      <c r="K675" s="53"/>
      <c r="L675" s="53"/>
      <c r="M675" s="53"/>
      <c r="N675" s="53"/>
      <c r="O675" s="139"/>
      <c r="P675" s="50"/>
      <c r="Q675" s="57"/>
      <c r="R675" s="12">
        <v>42683</v>
      </c>
      <c r="S675" s="11">
        <v>6.86</v>
      </c>
      <c r="T675" s="148">
        <v>0.87667731629392975</v>
      </c>
      <c r="U675" s="148">
        <f t="shared" si="36"/>
        <v>5.8265883654611876</v>
      </c>
      <c r="V675" s="278">
        <f t="shared" si="37"/>
        <v>1.6296296296296253E-2</v>
      </c>
      <c r="W675" s="278">
        <f t="shared" si="38"/>
        <v>1.6053486417640369E-2</v>
      </c>
    </row>
    <row r="676" spans="1:23" x14ac:dyDescent="0.2">
      <c r="A676" s="8">
        <v>42675</v>
      </c>
      <c r="B676" s="9">
        <v>6.72</v>
      </c>
      <c r="E676" s="51"/>
      <c r="F676" s="51"/>
      <c r="G676" s="51"/>
      <c r="H676" s="51"/>
      <c r="I676" s="51"/>
      <c r="J676" s="53"/>
      <c r="K676" s="53"/>
      <c r="L676" s="53"/>
      <c r="M676" s="53"/>
      <c r="N676" s="53"/>
      <c r="O676" s="139"/>
      <c r="P676" s="50"/>
      <c r="Q676" s="57"/>
      <c r="R676" s="12">
        <v>42684</v>
      </c>
      <c r="S676" s="11">
        <v>6.85</v>
      </c>
      <c r="T676" s="148">
        <v>0.87539936102236415</v>
      </c>
      <c r="U676" s="148">
        <f t="shared" si="36"/>
        <v>5.8166800432013304</v>
      </c>
      <c r="V676" s="278">
        <f t="shared" si="37"/>
        <v>-1.4577259475219151E-3</v>
      </c>
      <c r="W676" s="278">
        <f t="shared" si="38"/>
        <v>-1.7005358261778008E-3</v>
      </c>
    </row>
    <row r="677" spans="1:23" x14ac:dyDescent="0.2">
      <c r="A677" s="8">
        <v>42676</v>
      </c>
      <c r="B677" s="9">
        <v>6.45</v>
      </c>
      <c r="E677" s="51"/>
      <c r="F677" s="51"/>
      <c r="G677" s="51"/>
      <c r="H677" s="51"/>
      <c r="I677" s="51"/>
      <c r="J677" s="53"/>
      <c r="K677" s="53"/>
      <c r="L677" s="53"/>
      <c r="M677" s="53"/>
      <c r="N677" s="53"/>
      <c r="O677" s="139"/>
      <c r="P677" s="50"/>
      <c r="Q677" s="57"/>
      <c r="R677" s="12">
        <v>42685</v>
      </c>
      <c r="S677" s="11">
        <v>7.01</v>
      </c>
      <c r="T677" s="148">
        <v>0.8958466453674121</v>
      </c>
      <c r="U677" s="148">
        <f t="shared" si="36"/>
        <v>5.9511317552291025</v>
      </c>
      <c r="V677" s="278">
        <f t="shared" si="37"/>
        <v>2.3357664233576658E-2</v>
      </c>
      <c r="W677" s="278">
        <f t="shared" si="38"/>
        <v>2.3114854354920774E-2</v>
      </c>
    </row>
    <row r="678" spans="1:23" x14ac:dyDescent="0.2">
      <c r="A678" s="8">
        <v>42677</v>
      </c>
      <c r="B678" s="9">
        <v>6.46</v>
      </c>
      <c r="E678" s="51"/>
      <c r="F678" s="51"/>
      <c r="G678" s="51"/>
      <c r="H678" s="51"/>
      <c r="I678" s="51"/>
      <c r="J678" s="53"/>
      <c r="K678" s="53"/>
      <c r="L678" s="53"/>
      <c r="M678" s="53"/>
      <c r="N678" s="53"/>
      <c r="O678" s="139"/>
      <c r="P678" s="50"/>
      <c r="Q678" s="57"/>
      <c r="R678" s="12">
        <v>42688</v>
      </c>
      <c r="S678" s="11">
        <v>7.04</v>
      </c>
      <c r="T678" s="148">
        <v>0.89968051118210857</v>
      </c>
      <c r="U678" s="148">
        <f t="shared" si="36"/>
        <v>5.9751552285052236</v>
      </c>
      <c r="V678" s="278">
        <f t="shared" si="37"/>
        <v>4.2796005706133844E-3</v>
      </c>
      <c r="W678" s="278">
        <f t="shared" si="38"/>
        <v>4.0367906919574984E-3</v>
      </c>
    </row>
    <row r="679" spans="1:23" x14ac:dyDescent="0.2">
      <c r="A679" s="8">
        <v>42678</v>
      </c>
      <c r="B679" s="9">
        <v>6.36</v>
      </c>
      <c r="E679" s="51"/>
      <c r="F679" s="51"/>
      <c r="G679" s="51"/>
      <c r="H679" s="51"/>
      <c r="I679" s="51"/>
      <c r="J679" s="53"/>
      <c r="K679" s="53"/>
      <c r="L679" s="53"/>
      <c r="M679" s="53"/>
      <c r="N679" s="53"/>
      <c r="O679" s="139"/>
      <c r="P679" s="50"/>
      <c r="Q679" s="57"/>
      <c r="R679" s="12">
        <v>42689</v>
      </c>
      <c r="S679" s="11">
        <v>7.0650000000000004</v>
      </c>
      <c r="T679" s="148">
        <v>0.90287539936102235</v>
      </c>
      <c r="U679" s="148">
        <f t="shared" si="36"/>
        <v>5.9949229927995571</v>
      </c>
      <c r="V679" s="278">
        <f t="shared" si="37"/>
        <v>3.5511363636364646E-3</v>
      </c>
      <c r="W679" s="278">
        <f t="shared" si="38"/>
        <v>3.3083264849805786E-3</v>
      </c>
    </row>
    <row r="680" spans="1:23" x14ac:dyDescent="0.2">
      <c r="A680" s="8">
        <v>42681</v>
      </c>
      <c r="B680" s="9">
        <v>6.6349999999999998</v>
      </c>
      <c r="E680" s="51"/>
      <c r="F680" s="51"/>
      <c r="G680" s="51"/>
      <c r="H680" s="51"/>
      <c r="I680" s="51"/>
      <c r="J680" s="53"/>
      <c r="K680" s="53"/>
      <c r="L680" s="53"/>
      <c r="M680" s="53"/>
      <c r="N680" s="53"/>
      <c r="O680" s="139"/>
      <c r="P680" s="50"/>
      <c r="Q680" s="57"/>
      <c r="R680" s="12">
        <v>42690</v>
      </c>
      <c r="S680" s="11">
        <v>6.96</v>
      </c>
      <c r="T680" s="148">
        <v>0.88945686900958465</v>
      </c>
      <c r="U680" s="148">
        <f t="shared" si="36"/>
        <v>5.9043708462122853</v>
      </c>
      <c r="V680" s="278">
        <f t="shared" si="37"/>
        <v>-1.4861995753715607E-2</v>
      </c>
      <c r="W680" s="278">
        <f t="shared" si="38"/>
        <v>-1.5104805632371493E-2</v>
      </c>
    </row>
    <row r="681" spans="1:23" x14ac:dyDescent="0.2">
      <c r="A681" s="8">
        <v>42682</v>
      </c>
      <c r="B681" s="9">
        <v>6.75</v>
      </c>
      <c r="E681" s="51"/>
      <c r="F681" s="51"/>
      <c r="G681" s="51"/>
      <c r="H681" s="51"/>
      <c r="I681" s="51"/>
      <c r="J681" s="53"/>
      <c r="K681" s="53"/>
      <c r="L681" s="53"/>
      <c r="M681" s="53"/>
      <c r="N681" s="53"/>
      <c r="O681" s="139"/>
      <c r="P681" s="50"/>
      <c r="Q681" s="57"/>
      <c r="R681" s="12">
        <v>42691</v>
      </c>
      <c r="S681" s="11">
        <v>6.8049999999999997</v>
      </c>
      <c r="T681" s="148">
        <v>0.86964856230031939</v>
      </c>
      <c r="U681" s="148">
        <f t="shared" si="36"/>
        <v>5.7714461892351139</v>
      </c>
      <c r="V681" s="278">
        <f t="shared" si="37"/>
        <v>-2.2270114942528729E-2</v>
      </c>
      <c r="W681" s="278">
        <f t="shared" si="38"/>
        <v>-2.2512924821184613E-2</v>
      </c>
    </row>
    <row r="682" spans="1:23" x14ac:dyDescent="0.2">
      <c r="A682" s="8">
        <v>42683</v>
      </c>
      <c r="B682" s="9">
        <v>6.86</v>
      </c>
      <c r="E682" s="51"/>
      <c r="F682" s="51"/>
      <c r="G682" s="51"/>
      <c r="H682" s="51"/>
      <c r="I682" s="51"/>
      <c r="J682" s="53"/>
      <c r="K682" s="53"/>
      <c r="L682" s="53"/>
      <c r="M682" s="53"/>
      <c r="N682" s="53"/>
      <c r="O682" s="139"/>
      <c r="P682" s="50"/>
      <c r="Q682" s="57"/>
      <c r="R682" s="12">
        <v>42692</v>
      </c>
      <c r="S682" s="11">
        <v>6.53</v>
      </c>
      <c r="T682" s="148">
        <v>0.83450479233226837</v>
      </c>
      <c r="U682" s="148">
        <f t="shared" si="36"/>
        <v>5.5368122458004692</v>
      </c>
      <c r="V682" s="278">
        <f t="shared" si="37"/>
        <v>-4.0411462160176215E-2</v>
      </c>
      <c r="W682" s="278">
        <f t="shared" si="38"/>
        <v>-4.0654272038832102E-2</v>
      </c>
    </row>
    <row r="683" spans="1:23" x14ac:dyDescent="0.2">
      <c r="A683" s="8">
        <v>42684</v>
      </c>
      <c r="B683" s="9">
        <v>6.85</v>
      </c>
      <c r="E683" s="51"/>
      <c r="F683" s="51"/>
      <c r="G683" s="51"/>
      <c r="H683" s="51"/>
      <c r="I683" s="51"/>
      <c r="J683" s="53"/>
      <c r="K683" s="53"/>
      <c r="L683" s="53"/>
      <c r="M683" s="53"/>
      <c r="N683" s="53"/>
      <c r="O683" s="139"/>
      <c r="P683" s="50"/>
      <c r="Q683" s="57"/>
      <c r="R683" s="12">
        <v>42695</v>
      </c>
      <c r="S683" s="11">
        <v>6.335</v>
      </c>
      <c r="T683" s="148">
        <v>0.80958466453674116</v>
      </c>
      <c r="U683" s="148">
        <f t="shared" si="36"/>
        <v>5.3701265991964249</v>
      </c>
      <c r="V683" s="278">
        <f t="shared" si="37"/>
        <v>-2.9862174578866862E-2</v>
      </c>
      <c r="W683" s="278">
        <f t="shared" si="38"/>
        <v>-3.0104984457522747E-2</v>
      </c>
    </row>
    <row r="684" spans="1:23" x14ac:dyDescent="0.2">
      <c r="A684" s="8">
        <v>42685</v>
      </c>
      <c r="B684" s="9">
        <v>7.01</v>
      </c>
      <c r="E684" s="51"/>
      <c r="F684" s="51"/>
      <c r="G684" s="51"/>
      <c r="H684" s="51"/>
      <c r="I684" s="51"/>
      <c r="J684" s="53"/>
      <c r="K684" s="53"/>
      <c r="L684" s="53"/>
      <c r="M684" s="53"/>
      <c r="N684" s="53"/>
      <c r="O684" s="139"/>
      <c r="P684" s="50"/>
      <c r="Q684" s="57"/>
      <c r="R684" s="12">
        <v>42696</v>
      </c>
      <c r="S684" s="11">
        <v>6.4450000000000003</v>
      </c>
      <c r="T684" s="148">
        <v>0.82364217252396166</v>
      </c>
      <c r="U684" s="148">
        <f t="shared" si="36"/>
        <v>5.4620687608468028</v>
      </c>
      <c r="V684" s="278">
        <f t="shared" si="37"/>
        <v>1.7363851617995252E-2</v>
      </c>
      <c r="W684" s="278">
        <f t="shared" si="38"/>
        <v>1.7121041739339368E-2</v>
      </c>
    </row>
    <row r="685" spans="1:23" x14ac:dyDescent="0.2">
      <c r="A685" s="8">
        <v>42688</v>
      </c>
      <c r="B685" s="9">
        <v>7.04</v>
      </c>
      <c r="E685" s="51"/>
      <c r="F685" s="51"/>
      <c r="G685" s="51"/>
      <c r="H685" s="51"/>
      <c r="I685" s="51"/>
      <c r="J685" s="53"/>
      <c r="K685" s="53"/>
      <c r="L685" s="53"/>
      <c r="M685" s="53"/>
      <c r="N685" s="53"/>
      <c r="O685" s="139"/>
      <c r="P685" s="50"/>
      <c r="Q685" s="57"/>
      <c r="R685" s="12">
        <v>42697</v>
      </c>
      <c r="S685" s="11">
        <v>6.35</v>
      </c>
      <c r="T685" s="148">
        <v>0.81150159744408934</v>
      </c>
      <c r="U685" s="148">
        <f t="shared" si="36"/>
        <v>5.3802310298163549</v>
      </c>
      <c r="V685" s="278">
        <f t="shared" si="37"/>
        <v>-1.4740108611326685E-2</v>
      </c>
      <c r="W685" s="278">
        <f t="shared" si="38"/>
        <v>-1.4982918489982571E-2</v>
      </c>
    </row>
    <row r="686" spans="1:23" x14ac:dyDescent="0.2">
      <c r="A686" s="8">
        <v>42689</v>
      </c>
      <c r="B686" s="9">
        <v>7.0650000000000004</v>
      </c>
      <c r="E686" s="51"/>
      <c r="F686" s="51"/>
      <c r="G686" s="51"/>
      <c r="H686" s="51"/>
      <c r="I686" s="51"/>
      <c r="J686" s="53"/>
      <c r="K686" s="53"/>
      <c r="L686" s="53"/>
      <c r="M686" s="53"/>
      <c r="N686" s="53"/>
      <c r="O686" s="139"/>
      <c r="P686" s="50"/>
      <c r="Q686" s="57"/>
      <c r="R686" s="12">
        <v>42698</v>
      </c>
      <c r="S686" s="11">
        <v>6.2850000000000001</v>
      </c>
      <c r="T686" s="148">
        <v>0.80319488817891371</v>
      </c>
      <c r="U686" s="148">
        <f t="shared" si="36"/>
        <v>5.3238514255589964</v>
      </c>
      <c r="V686" s="278">
        <f t="shared" si="37"/>
        <v>-1.0236220472440882E-2</v>
      </c>
      <c r="W686" s="278">
        <f t="shared" si="38"/>
        <v>-1.0479030351096768E-2</v>
      </c>
    </row>
    <row r="687" spans="1:23" x14ac:dyDescent="0.2">
      <c r="A687" s="8">
        <v>42690</v>
      </c>
      <c r="B687" s="9">
        <v>6.96</v>
      </c>
      <c r="E687" s="51"/>
      <c r="F687" s="51"/>
      <c r="G687" s="51"/>
      <c r="H687" s="51"/>
      <c r="I687" s="51"/>
      <c r="J687" s="53"/>
      <c r="K687" s="53"/>
      <c r="L687" s="53"/>
      <c r="M687" s="53"/>
      <c r="N687" s="53"/>
      <c r="O687" s="139"/>
      <c r="P687" s="50"/>
      <c r="Q687" s="57"/>
      <c r="R687" s="12">
        <v>42699</v>
      </c>
      <c r="S687" s="11">
        <v>6.2</v>
      </c>
      <c r="T687" s="148">
        <v>0.792332268370607</v>
      </c>
      <c r="U687" s="148">
        <f t="shared" si="36"/>
        <v>5.2505575690205637</v>
      </c>
      <c r="V687" s="278">
        <f t="shared" si="37"/>
        <v>-1.352426412092278E-2</v>
      </c>
      <c r="W687" s="278">
        <f t="shared" si="38"/>
        <v>-1.3767073999578666E-2</v>
      </c>
    </row>
    <row r="688" spans="1:23" x14ac:dyDescent="0.2">
      <c r="A688" s="8">
        <v>42691</v>
      </c>
      <c r="B688" s="9">
        <v>6.8049999999999997</v>
      </c>
      <c r="E688" s="51"/>
      <c r="F688" s="51"/>
      <c r="G688" s="51"/>
      <c r="H688" s="51"/>
      <c r="I688" s="51"/>
      <c r="J688" s="53"/>
      <c r="K688" s="53"/>
      <c r="L688" s="53"/>
      <c r="M688" s="53"/>
      <c r="N688" s="53"/>
      <c r="O688" s="139"/>
      <c r="P688" s="50"/>
      <c r="Q688" s="57"/>
      <c r="R688" s="12">
        <v>42702</v>
      </c>
      <c r="S688" s="11">
        <v>6.02</v>
      </c>
      <c r="T688" s="148">
        <v>0.76932907348242807</v>
      </c>
      <c r="U688" s="148">
        <f t="shared" si="36"/>
        <v>5.0968471394479495</v>
      </c>
      <c r="V688" s="278">
        <f t="shared" si="37"/>
        <v>-2.9032258064516259E-2</v>
      </c>
      <c r="W688" s="278">
        <f t="shared" si="38"/>
        <v>-2.9275067943172143E-2</v>
      </c>
    </row>
    <row r="689" spans="1:23" x14ac:dyDescent="0.2">
      <c r="A689" s="8">
        <v>42692</v>
      </c>
      <c r="B689" s="9">
        <v>6.53</v>
      </c>
      <c r="E689" s="51"/>
      <c r="F689" s="51"/>
      <c r="G689" s="51"/>
      <c r="H689" s="51"/>
      <c r="I689" s="51"/>
      <c r="J689" s="53"/>
      <c r="K689" s="53"/>
      <c r="L689" s="53"/>
      <c r="M689" s="53"/>
      <c r="N689" s="53"/>
      <c r="O689" s="139"/>
      <c r="P689" s="50"/>
      <c r="Q689" s="57"/>
      <c r="R689" s="12">
        <v>42703</v>
      </c>
      <c r="S689" s="11">
        <v>6.2750000000000004</v>
      </c>
      <c r="T689" s="148">
        <v>0.80191693290734822</v>
      </c>
      <c r="U689" s="148">
        <f t="shared" si="36"/>
        <v>5.3115059235425965</v>
      </c>
      <c r="V689" s="278">
        <f t="shared" si="37"/>
        <v>4.2358803986711102E-2</v>
      </c>
      <c r="W689" s="278">
        <f t="shared" si="38"/>
        <v>4.2115994108055214E-2</v>
      </c>
    </row>
    <row r="690" spans="1:23" x14ac:dyDescent="0.2">
      <c r="A690" s="8">
        <v>42695</v>
      </c>
      <c r="B690" s="9">
        <v>6.335</v>
      </c>
      <c r="E690" s="51"/>
      <c r="F690" s="51"/>
      <c r="G690" s="51"/>
      <c r="H690" s="51"/>
      <c r="I690" s="51"/>
      <c r="J690" s="53"/>
      <c r="K690" s="53"/>
      <c r="L690" s="53"/>
      <c r="M690" s="53"/>
      <c r="N690" s="53"/>
      <c r="O690" s="139"/>
      <c r="P690" s="50"/>
      <c r="Q690" s="57"/>
      <c r="R690" s="12">
        <v>42704</v>
      </c>
      <c r="S690" s="11">
        <v>6.51</v>
      </c>
      <c r="T690" s="148">
        <v>0.83194888178913728</v>
      </c>
      <c r="U690" s="148">
        <f t="shared" si="36"/>
        <v>5.5091331923393998</v>
      </c>
      <c r="V690" s="278">
        <f t="shared" si="37"/>
        <v>3.7450199203187262E-2</v>
      </c>
      <c r="W690" s="278">
        <f t="shared" si="38"/>
        <v>3.7207389324531374E-2</v>
      </c>
    </row>
    <row r="691" spans="1:23" x14ac:dyDescent="0.2">
      <c r="A691" s="8">
        <v>42696</v>
      </c>
      <c r="B691" s="9">
        <v>6.4450000000000003</v>
      </c>
      <c r="E691" s="51"/>
      <c r="F691" s="51"/>
      <c r="G691" s="51"/>
      <c r="H691" s="51"/>
      <c r="I691" s="51"/>
      <c r="J691" s="53"/>
      <c r="K691" s="53"/>
      <c r="L691" s="53"/>
      <c r="M691" s="53"/>
      <c r="N691" s="53"/>
      <c r="O691" s="139"/>
      <c r="P691" s="50"/>
      <c r="Q691" s="57"/>
      <c r="R691" s="12">
        <v>42705</v>
      </c>
      <c r="S691" s="11">
        <v>6.7149999999999999</v>
      </c>
      <c r="T691" s="148">
        <v>0.85814696485622999</v>
      </c>
      <c r="U691" s="148">
        <f t="shared" si="36"/>
        <v>5.6812782092299381</v>
      </c>
      <c r="V691" s="278">
        <f t="shared" si="37"/>
        <v>3.149001536098317E-2</v>
      </c>
      <c r="W691" s="278">
        <f t="shared" si="38"/>
        <v>3.1247205482327286E-2</v>
      </c>
    </row>
    <row r="692" spans="1:23" x14ac:dyDescent="0.2">
      <c r="A692" s="8">
        <v>42697</v>
      </c>
      <c r="B692" s="9">
        <v>6.35</v>
      </c>
      <c r="E692" s="51"/>
      <c r="F692" s="51"/>
      <c r="G692" s="51"/>
      <c r="H692" s="51"/>
      <c r="I692" s="51"/>
      <c r="J692" s="53"/>
      <c r="K692" s="53"/>
      <c r="L692" s="53"/>
      <c r="M692" s="53"/>
      <c r="N692" s="53"/>
      <c r="O692" s="139"/>
      <c r="P692" s="50"/>
      <c r="Q692" s="57"/>
      <c r="R692" s="12">
        <v>42706</v>
      </c>
      <c r="S692" s="11">
        <v>6.7249999999999996</v>
      </c>
      <c r="T692" s="148">
        <v>0.85942492012779548</v>
      </c>
      <c r="U692" s="148">
        <f t="shared" si="36"/>
        <v>5.6883593168798017</v>
      </c>
      <c r="V692" s="278">
        <f t="shared" si="37"/>
        <v>1.4892032762472418E-3</v>
      </c>
      <c r="W692" s="278">
        <f t="shared" si="38"/>
        <v>1.246393397591356E-3</v>
      </c>
    </row>
    <row r="693" spans="1:23" x14ac:dyDescent="0.2">
      <c r="A693" s="8">
        <v>42698</v>
      </c>
      <c r="B693" s="9">
        <v>6.2850000000000001</v>
      </c>
      <c r="E693" s="51"/>
      <c r="F693" s="51"/>
      <c r="G693" s="51"/>
      <c r="H693" s="51"/>
      <c r="I693" s="51"/>
      <c r="J693" s="53"/>
      <c r="K693" s="53"/>
      <c r="L693" s="53"/>
      <c r="M693" s="53"/>
      <c r="N693" s="53"/>
      <c r="O693" s="139"/>
      <c r="P693" s="50"/>
      <c r="Q693" s="57"/>
      <c r="R693" s="12">
        <v>42709</v>
      </c>
      <c r="S693" s="11">
        <v>6.44</v>
      </c>
      <c r="T693" s="148">
        <v>0.82300319488817897</v>
      </c>
      <c r="U693" s="148">
        <f t="shared" si="36"/>
        <v>5.4459101113847295</v>
      </c>
      <c r="V693" s="278">
        <f t="shared" si="37"/>
        <v>-4.2379182156133677E-2</v>
      </c>
      <c r="W693" s="278">
        <f t="shared" si="38"/>
        <v>-4.2621992034789564E-2</v>
      </c>
    </row>
    <row r="694" spans="1:23" x14ac:dyDescent="0.2">
      <c r="A694" s="8">
        <v>42699</v>
      </c>
      <c r="B694" s="9">
        <v>6.2</v>
      </c>
      <c r="E694" s="51"/>
      <c r="F694" s="51"/>
      <c r="G694" s="51"/>
      <c r="H694" s="51"/>
      <c r="I694" s="51"/>
      <c r="J694" s="53"/>
      <c r="K694" s="53"/>
      <c r="L694" s="53"/>
      <c r="M694" s="53"/>
      <c r="N694" s="53"/>
      <c r="O694" s="139"/>
      <c r="P694" s="50"/>
      <c r="Q694" s="57"/>
      <c r="R694" s="12">
        <v>42710</v>
      </c>
      <c r="S694" s="11">
        <v>7.08</v>
      </c>
      <c r="T694" s="148">
        <v>0.90479233226837064</v>
      </c>
      <c r="U694" s="148">
        <f t="shared" si="36"/>
        <v>5.9857962488856717</v>
      </c>
      <c r="V694" s="278">
        <f t="shared" si="37"/>
        <v>9.9378881987577605E-2</v>
      </c>
      <c r="W694" s="278">
        <f t="shared" si="38"/>
        <v>9.9136072108921724E-2</v>
      </c>
    </row>
    <row r="695" spans="1:23" x14ac:dyDescent="0.2">
      <c r="A695" s="8">
        <v>42702</v>
      </c>
      <c r="B695" s="9">
        <v>6.02</v>
      </c>
      <c r="E695" s="51"/>
      <c r="F695" s="51"/>
      <c r="G695" s="51"/>
      <c r="H695" s="51"/>
      <c r="I695" s="51"/>
      <c r="J695" s="53"/>
      <c r="K695" s="53"/>
      <c r="L695" s="53"/>
      <c r="M695" s="53"/>
      <c r="N695" s="53"/>
      <c r="O695" s="139"/>
      <c r="P695" s="50"/>
      <c r="Q695" s="57"/>
      <c r="R695" s="12">
        <v>42711</v>
      </c>
      <c r="S695" s="11">
        <v>7.42</v>
      </c>
      <c r="T695" s="148">
        <v>0.94824281150159739</v>
      </c>
      <c r="U695" s="148">
        <f t="shared" si="36"/>
        <v>6.2717963306029452</v>
      </c>
      <c r="V695" s="278">
        <f t="shared" si="37"/>
        <v>4.8022598870056443E-2</v>
      </c>
      <c r="W695" s="278">
        <f t="shared" si="38"/>
        <v>4.7779788991400556E-2</v>
      </c>
    </row>
    <row r="696" spans="1:23" x14ac:dyDescent="0.2">
      <c r="A696" s="8">
        <v>42703</v>
      </c>
      <c r="B696" s="9">
        <v>6.2750000000000004</v>
      </c>
      <c r="E696" s="51"/>
      <c r="F696" s="51"/>
      <c r="G696" s="51"/>
      <c r="H696" s="51"/>
      <c r="I696" s="51"/>
      <c r="J696" s="53"/>
      <c r="K696" s="53"/>
      <c r="L696" s="53"/>
      <c r="M696" s="53"/>
      <c r="N696" s="53"/>
      <c r="O696" s="139"/>
      <c r="P696" s="50"/>
      <c r="Q696" s="57"/>
      <c r="R696" s="12">
        <v>42712</v>
      </c>
      <c r="S696" s="11">
        <v>7.625</v>
      </c>
      <c r="T696" s="148">
        <v>0.9744408945686901</v>
      </c>
      <c r="U696" s="148">
        <f t="shared" si="36"/>
        <v>6.4435508683801919</v>
      </c>
      <c r="V696" s="278">
        <f t="shared" si="37"/>
        <v>2.7628032345013542E-2</v>
      </c>
      <c r="W696" s="278">
        <f t="shared" si="38"/>
        <v>2.7385222466357658E-2</v>
      </c>
    </row>
    <row r="697" spans="1:23" x14ac:dyDescent="0.2">
      <c r="A697" s="8">
        <v>42704</v>
      </c>
      <c r="B697" s="9">
        <v>6.51</v>
      </c>
      <c r="E697" s="51"/>
      <c r="F697" s="51"/>
      <c r="G697" s="51"/>
      <c r="H697" s="51"/>
      <c r="I697" s="51"/>
      <c r="J697" s="53"/>
      <c r="K697" s="53"/>
      <c r="L697" s="53"/>
      <c r="M697" s="53"/>
      <c r="N697" s="53"/>
      <c r="O697" s="139"/>
      <c r="P697" s="50"/>
      <c r="Q697" s="57"/>
      <c r="R697" s="12">
        <v>42713</v>
      </c>
      <c r="S697" s="11">
        <v>7.41</v>
      </c>
      <c r="T697" s="148">
        <v>0.9469648562300319</v>
      </c>
      <c r="U697" s="148">
        <f t="shared" si="36"/>
        <v>6.2602993024836957</v>
      </c>
      <c r="V697" s="278">
        <f t="shared" si="37"/>
        <v>-2.8196721311475437E-2</v>
      </c>
      <c r="W697" s="278">
        <f t="shared" si="38"/>
        <v>-2.8439531190131321E-2</v>
      </c>
    </row>
    <row r="698" spans="1:23" x14ac:dyDescent="0.2">
      <c r="A698" s="8">
        <v>42705</v>
      </c>
      <c r="B698" s="9">
        <v>6.7149999999999999</v>
      </c>
      <c r="E698" s="51"/>
      <c r="F698" s="51"/>
      <c r="G698" s="51"/>
      <c r="H698" s="51"/>
      <c r="I698" s="51"/>
      <c r="J698" s="53"/>
      <c r="K698" s="53"/>
      <c r="L698" s="53"/>
      <c r="M698" s="53"/>
      <c r="N698" s="53"/>
      <c r="O698" s="139"/>
      <c r="P698" s="50"/>
      <c r="Q698" s="57"/>
      <c r="R698" s="12">
        <v>42716</v>
      </c>
      <c r="S698" s="11">
        <v>7.45</v>
      </c>
      <c r="T698" s="148">
        <v>0.95207667731629397</v>
      </c>
      <c r="U698" s="148">
        <f t="shared" si="36"/>
        <v>6.2925730283771788</v>
      </c>
      <c r="V698" s="278">
        <f t="shared" si="37"/>
        <v>5.3981106612686069E-3</v>
      </c>
      <c r="W698" s="278">
        <f t="shared" si="38"/>
        <v>5.155300782612721E-3</v>
      </c>
    </row>
    <row r="699" spans="1:23" x14ac:dyDescent="0.2">
      <c r="A699" s="8">
        <v>42706</v>
      </c>
      <c r="B699" s="9">
        <v>6.7249999999999996</v>
      </c>
      <c r="E699" s="51"/>
      <c r="F699" s="51"/>
      <c r="G699" s="51"/>
      <c r="H699" s="51"/>
      <c r="I699" s="51"/>
      <c r="J699" s="53"/>
      <c r="K699" s="53"/>
      <c r="L699" s="53"/>
      <c r="M699" s="53"/>
      <c r="N699" s="53"/>
      <c r="O699" s="139"/>
      <c r="P699" s="50"/>
      <c r="Q699" s="57"/>
      <c r="R699" s="12">
        <v>42717</v>
      </c>
      <c r="S699" s="11">
        <v>7.53</v>
      </c>
      <c r="T699" s="148">
        <v>0.96230031948881789</v>
      </c>
      <c r="U699" s="148">
        <f t="shared" si="36"/>
        <v>6.3586163834797214</v>
      </c>
      <c r="V699" s="278">
        <f t="shared" si="37"/>
        <v>1.0738255033557076E-2</v>
      </c>
      <c r="W699" s="278">
        <f t="shared" si="38"/>
        <v>1.049544515490119E-2</v>
      </c>
    </row>
    <row r="700" spans="1:23" x14ac:dyDescent="0.2">
      <c r="A700" s="8">
        <v>42709</v>
      </c>
      <c r="B700" s="9">
        <v>6.44</v>
      </c>
      <c r="E700" s="51"/>
      <c r="F700" s="51"/>
      <c r="G700" s="51"/>
      <c r="H700" s="51"/>
      <c r="I700" s="51"/>
      <c r="J700" s="53"/>
      <c r="K700" s="53"/>
      <c r="L700" s="53"/>
      <c r="M700" s="53"/>
      <c r="N700" s="53"/>
      <c r="O700" s="139"/>
      <c r="P700" s="50"/>
      <c r="Q700" s="57"/>
      <c r="R700" s="12">
        <v>42718</v>
      </c>
      <c r="S700" s="11">
        <v>7.6</v>
      </c>
      <c r="T700" s="148">
        <v>0.97124600638977632</v>
      </c>
      <c r="U700" s="148">
        <f t="shared" si="36"/>
        <v>6.4161830922783549</v>
      </c>
      <c r="V700" s="278">
        <f t="shared" si="37"/>
        <v>9.2961487383798058E-3</v>
      </c>
      <c r="W700" s="278">
        <f t="shared" si="38"/>
        <v>9.0533388597239198E-3</v>
      </c>
    </row>
    <row r="701" spans="1:23" x14ac:dyDescent="0.2">
      <c r="A701" s="8">
        <v>42710</v>
      </c>
      <c r="B701" s="9">
        <v>7.08</v>
      </c>
      <c r="E701" s="51"/>
      <c r="F701" s="51"/>
      <c r="G701" s="51"/>
      <c r="H701" s="51"/>
      <c r="I701" s="51"/>
      <c r="J701" s="53"/>
      <c r="K701" s="53"/>
      <c r="L701" s="53"/>
      <c r="M701" s="53"/>
      <c r="N701" s="53"/>
      <c r="O701" s="139"/>
      <c r="P701" s="50"/>
      <c r="Q701" s="57"/>
      <c r="R701" s="12">
        <v>42719</v>
      </c>
      <c r="S701" s="11">
        <v>7.8550000000000004</v>
      </c>
      <c r="T701" s="148">
        <v>1.0038338658146966</v>
      </c>
      <c r="U701" s="148">
        <f t="shared" si="36"/>
        <v>6.6299050070785714</v>
      </c>
      <c r="V701" s="278">
        <f t="shared" si="37"/>
        <v>3.3552631578947389E-2</v>
      </c>
      <c r="W701" s="278">
        <f t="shared" si="38"/>
        <v>3.3309821700291502E-2</v>
      </c>
    </row>
    <row r="702" spans="1:23" x14ac:dyDescent="0.2">
      <c r="A702" s="8">
        <v>42711</v>
      </c>
      <c r="B702" s="9">
        <v>7.42</v>
      </c>
      <c r="E702" s="51"/>
      <c r="F702" s="51"/>
      <c r="G702" s="51"/>
      <c r="H702" s="51"/>
      <c r="I702" s="51"/>
      <c r="J702" s="53"/>
      <c r="K702" s="53"/>
      <c r="L702" s="53"/>
      <c r="M702" s="53"/>
      <c r="N702" s="53"/>
      <c r="O702" s="139"/>
      <c r="P702" s="50"/>
      <c r="Q702" s="57"/>
      <c r="R702" s="12">
        <v>42720</v>
      </c>
      <c r="S702" s="11">
        <v>7.7649999999999997</v>
      </c>
      <c r="T702" s="148">
        <v>0.99233226837060695</v>
      </c>
      <c r="U702" s="148">
        <f t="shared" si="36"/>
        <v>6.5523319351311695</v>
      </c>
      <c r="V702" s="278">
        <f t="shared" si="37"/>
        <v>-1.145767027371114E-2</v>
      </c>
      <c r="W702" s="278">
        <f t="shared" si="38"/>
        <v>-1.1700480152367026E-2</v>
      </c>
    </row>
    <row r="703" spans="1:23" x14ac:dyDescent="0.2">
      <c r="A703" s="8">
        <v>42712</v>
      </c>
      <c r="B703" s="9">
        <v>7.625</v>
      </c>
      <c r="E703" s="51"/>
      <c r="F703" s="51"/>
      <c r="G703" s="51"/>
      <c r="H703" s="51"/>
      <c r="I703" s="51"/>
      <c r="J703" s="53"/>
      <c r="K703" s="53"/>
      <c r="L703" s="53"/>
      <c r="M703" s="53"/>
      <c r="N703" s="53"/>
      <c r="O703" s="139"/>
      <c r="P703" s="50"/>
      <c r="Q703" s="57"/>
      <c r="R703" s="12">
        <v>42723</v>
      </c>
      <c r="S703" s="11">
        <v>7.8</v>
      </c>
      <c r="T703" s="148">
        <v>0.99680511182108622</v>
      </c>
      <c r="U703" s="148">
        <f t="shared" si="36"/>
        <v>6.5802749780828274</v>
      </c>
      <c r="V703" s="278">
        <f t="shared" si="37"/>
        <v>4.5074050225371032E-3</v>
      </c>
      <c r="W703" s="278">
        <f t="shared" si="38"/>
        <v>4.2645951438812172E-3</v>
      </c>
    </row>
    <row r="704" spans="1:23" x14ac:dyDescent="0.2">
      <c r="A704" s="8">
        <v>42713</v>
      </c>
      <c r="B704" s="9">
        <v>7.41</v>
      </c>
      <c r="E704" s="51"/>
      <c r="F704" s="51"/>
      <c r="G704" s="51"/>
      <c r="H704" s="51"/>
      <c r="I704" s="51"/>
      <c r="J704" s="53"/>
      <c r="K704" s="53"/>
      <c r="L704" s="53"/>
      <c r="M704" s="53"/>
      <c r="N704" s="53"/>
      <c r="O704" s="139"/>
      <c r="P704" s="50"/>
      <c r="Q704" s="57"/>
      <c r="R704" s="12">
        <v>42724</v>
      </c>
      <c r="S704" s="11">
        <v>7.915</v>
      </c>
      <c r="T704" s="148">
        <v>1.0115015974440895</v>
      </c>
      <c r="U704" s="148">
        <f t="shared" si="36"/>
        <v>6.6756940969907381</v>
      </c>
      <c r="V704" s="278">
        <f t="shared" si="37"/>
        <v>1.4743589743589691E-2</v>
      </c>
      <c r="W704" s="278">
        <f t="shared" si="38"/>
        <v>1.4500779864933805E-2</v>
      </c>
    </row>
    <row r="705" spans="1:23" x14ac:dyDescent="0.2">
      <c r="A705" s="8">
        <v>42716</v>
      </c>
      <c r="B705" s="9">
        <v>7.45</v>
      </c>
      <c r="E705" s="51"/>
      <c r="F705" s="51"/>
      <c r="G705" s="51"/>
      <c r="H705" s="51"/>
      <c r="I705" s="51"/>
      <c r="J705" s="53"/>
      <c r="K705" s="53"/>
      <c r="L705" s="53"/>
      <c r="M705" s="53"/>
      <c r="N705" s="53"/>
      <c r="O705" s="139"/>
      <c r="P705" s="50"/>
      <c r="Q705" s="57"/>
      <c r="R705" s="12">
        <v>42725</v>
      </c>
      <c r="S705" s="11">
        <v>7.86</v>
      </c>
      <c r="T705" s="148">
        <v>1.0044728434504793</v>
      </c>
      <c r="U705" s="148">
        <f t="shared" si="36"/>
        <v>6.6276849002069982</v>
      </c>
      <c r="V705" s="278">
        <f t="shared" si="37"/>
        <v>-6.948831332912131E-3</v>
      </c>
      <c r="W705" s="278">
        <f t="shared" si="38"/>
        <v>-7.1916412115680169E-3</v>
      </c>
    </row>
    <row r="706" spans="1:23" x14ac:dyDescent="0.2">
      <c r="A706" s="8">
        <v>42717</v>
      </c>
      <c r="B706" s="9">
        <v>7.53</v>
      </c>
      <c r="E706" s="51"/>
      <c r="F706" s="51"/>
      <c r="G706" s="51"/>
      <c r="H706" s="51"/>
      <c r="I706" s="51"/>
      <c r="J706" s="53"/>
      <c r="K706" s="53"/>
      <c r="L706" s="53"/>
      <c r="M706" s="53"/>
      <c r="N706" s="53"/>
      <c r="O706" s="139"/>
      <c r="P706" s="50"/>
      <c r="Q706" s="57"/>
      <c r="R706" s="12">
        <v>42726</v>
      </c>
      <c r="S706" s="11">
        <v>7.835</v>
      </c>
      <c r="T706" s="148">
        <v>1.0012779552715654</v>
      </c>
      <c r="U706" s="148">
        <f t="shared" si="36"/>
        <v>6.6049952101300269</v>
      </c>
      <c r="V706" s="278">
        <f t="shared" si="37"/>
        <v>-3.1806615776082126E-3</v>
      </c>
      <c r="W706" s="278">
        <f t="shared" si="38"/>
        <v>-3.4234714562640985E-3</v>
      </c>
    </row>
    <row r="707" spans="1:23" x14ac:dyDescent="0.2">
      <c r="A707" s="8">
        <v>42718</v>
      </c>
      <c r="B707" s="9">
        <v>7.6</v>
      </c>
      <c r="E707" s="51"/>
      <c r="F707" s="51"/>
      <c r="G707" s="51"/>
      <c r="H707" s="51"/>
      <c r="I707" s="51"/>
      <c r="J707" s="53"/>
      <c r="K707" s="53"/>
      <c r="L707" s="53"/>
      <c r="M707" s="53"/>
      <c r="N707" s="53"/>
      <c r="O707" s="139"/>
      <c r="P707" s="50"/>
      <c r="Q707" s="57"/>
      <c r="R707" s="12">
        <v>42727</v>
      </c>
      <c r="S707" s="11">
        <v>7.9350000000000005</v>
      </c>
      <c r="T707" s="148">
        <v>1.0140575079872205</v>
      </c>
      <c r="U707" s="148">
        <f t="shared" si="36"/>
        <v>6.68769260341824</v>
      </c>
      <c r="V707" s="278">
        <f t="shared" si="37"/>
        <v>1.2763241863433361E-2</v>
      </c>
      <c r="W707" s="278">
        <f t="shared" si="38"/>
        <v>1.2520431984777475E-2</v>
      </c>
    </row>
    <row r="708" spans="1:23" x14ac:dyDescent="0.2">
      <c r="A708" s="8">
        <v>42719</v>
      </c>
      <c r="B708" s="9">
        <v>7.8550000000000004</v>
      </c>
      <c r="E708" s="51"/>
      <c r="F708" s="51"/>
      <c r="G708" s="51"/>
      <c r="H708" s="51"/>
      <c r="I708" s="51"/>
      <c r="J708" s="53"/>
      <c r="K708" s="53"/>
      <c r="L708" s="53"/>
      <c r="M708" s="53"/>
      <c r="N708" s="53"/>
      <c r="O708" s="139"/>
      <c r="P708" s="50"/>
      <c r="Q708" s="57"/>
      <c r="R708" s="12">
        <v>42731</v>
      </c>
      <c r="S708" s="11">
        <v>7.93</v>
      </c>
      <c r="T708" s="148">
        <v>1.0134185303514376</v>
      </c>
      <c r="U708" s="148">
        <f t="shared" si="36"/>
        <v>6.6818547185796309</v>
      </c>
      <c r="V708" s="278">
        <f t="shared" si="37"/>
        <v>-6.3011972274740202E-4</v>
      </c>
      <c r="W708" s="278">
        <f t="shared" si="38"/>
        <v>-8.7292960140328778E-4</v>
      </c>
    </row>
    <row r="709" spans="1:23" x14ac:dyDescent="0.2">
      <c r="A709" s="8">
        <v>42720</v>
      </c>
      <c r="B709" s="9">
        <v>7.7649999999999997</v>
      </c>
      <c r="E709" s="51"/>
      <c r="F709" s="51"/>
      <c r="G709" s="51"/>
      <c r="H709" s="51"/>
      <c r="I709" s="51"/>
      <c r="J709" s="53"/>
      <c r="K709" s="53"/>
      <c r="L709" s="53"/>
      <c r="M709" s="53"/>
      <c r="N709" s="53"/>
      <c r="O709" s="139"/>
      <c r="P709" s="50"/>
      <c r="Q709" s="57"/>
      <c r="R709" s="12">
        <v>42732</v>
      </c>
      <c r="S709" s="11">
        <v>7.83</v>
      </c>
      <c r="T709" s="148">
        <v>1.0006389776357827</v>
      </c>
      <c r="U709" s="148">
        <f t="shared" si="36"/>
        <v>6.5959718352124259</v>
      </c>
      <c r="V709" s="278">
        <f t="shared" si="37"/>
        <v>-1.261034047919285E-2</v>
      </c>
      <c r="W709" s="278">
        <f t="shared" si="38"/>
        <v>-1.2853150357848736E-2</v>
      </c>
    </row>
    <row r="710" spans="1:23" x14ac:dyDescent="0.2">
      <c r="A710" s="8">
        <v>42723</v>
      </c>
      <c r="B710" s="9">
        <v>7.8</v>
      </c>
      <c r="E710" s="51"/>
      <c r="F710" s="51"/>
      <c r="G710" s="51"/>
      <c r="H710" s="51"/>
      <c r="I710" s="51"/>
      <c r="J710" s="53"/>
      <c r="K710" s="53"/>
      <c r="L710" s="53"/>
      <c r="M710" s="53"/>
      <c r="N710" s="53"/>
      <c r="O710" s="139"/>
      <c r="P710" s="50"/>
      <c r="Q710" s="57"/>
      <c r="R710" s="12">
        <v>42733</v>
      </c>
      <c r="S710" s="11">
        <v>7.77</v>
      </c>
      <c r="T710" s="148">
        <v>0.99297124600638975</v>
      </c>
      <c r="U710" s="148">
        <f t="shared" si="36"/>
        <v>6.5438264226109446</v>
      </c>
      <c r="V710" s="278">
        <f t="shared" si="37"/>
        <v>-7.6628352490422103E-3</v>
      </c>
      <c r="W710" s="278">
        <f t="shared" si="38"/>
        <v>-7.9056451276980962E-3</v>
      </c>
    </row>
    <row r="711" spans="1:23" x14ac:dyDescent="0.2">
      <c r="A711" s="8">
        <v>42724</v>
      </c>
      <c r="B711" s="9">
        <v>7.915</v>
      </c>
      <c r="E711" s="51"/>
      <c r="F711" s="51"/>
      <c r="G711" s="51"/>
      <c r="H711" s="51"/>
      <c r="I711" s="51"/>
      <c r="J711" s="53"/>
      <c r="K711" s="53"/>
      <c r="L711" s="53"/>
      <c r="M711" s="53"/>
      <c r="N711" s="53"/>
      <c r="O711" s="139"/>
      <c r="P711" s="50"/>
      <c r="Q711" s="57"/>
      <c r="R711" s="12">
        <v>42734</v>
      </c>
      <c r="S711" s="11">
        <v>7.7549999999999999</v>
      </c>
      <c r="T711" s="148">
        <v>0.99105431309904146</v>
      </c>
      <c r="U711" s="148">
        <f t="shared" si="36"/>
        <v>6.529604647369605</v>
      </c>
      <c r="V711" s="278">
        <f t="shared" si="37"/>
        <v>-1.9305019305019266E-3</v>
      </c>
      <c r="W711" s="278">
        <f t="shared" si="38"/>
        <v>-2.1733118091578126E-3</v>
      </c>
    </row>
    <row r="712" spans="1:23" x14ac:dyDescent="0.2">
      <c r="A712" s="8">
        <v>42725</v>
      </c>
      <c r="B712" s="9">
        <v>7.86</v>
      </c>
      <c r="E712" s="51"/>
      <c r="F712" s="51"/>
      <c r="G712" s="51"/>
      <c r="H712" s="51"/>
      <c r="I712" s="51"/>
      <c r="J712" s="53"/>
      <c r="K712" s="53"/>
      <c r="L712" s="53"/>
      <c r="M712" s="53"/>
      <c r="N712" s="53"/>
      <c r="O712" s="139"/>
      <c r="P712" s="50"/>
      <c r="Q712" s="57"/>
      <c r="R712" s="12">
        <v>42737</v>
      </c>
      <c r="S712" s="11">
        <v>7.92</v>
      </c>
      <c r="T712" s="148">
        <v>1.0121405750798722</v>
      </c>
      <c r="U712" s="148">
        <f t="shared" si="36"/>
        <v>6.6669469533121779</v>
      </c>
      <c r="V712" s="278">
        <f t="shared" si="37"/>
        <v>2.1276595744680771E-2</v>
      </c>
      <c r="W712" s="278">
        <f t="shared" si="38"/>
        <v>2.1033785866024887E-2</v>
      </c>
    </row>
    <row r="713" spans="1:23" x14ac:dyDescent="0.2">
      <c r="A713" s="8">
        <v>42726</v>
      </c>
      <c r="B713" s="9">
        <v>7.835</v>
      </c>
      <c r="E713" s="51"/>
      <c r="F713" s="51"/>
      <c r="G713" s="51"/>
      <c r="H713" s="51"/>
      <c r="I713" s="51"/>
      <c r="J713" s="53"/>
      <c r="K713" s="53"/>
      <c r="L713" s="53"/>
      <c r="M713" s="53"/>
      <c r="N713" s="53"/>
      <c r="O713" s="139"/>
      <c r="P713" s="50"/>
      <c r="Q713" s="57"/>
      <c r="R713" s="12">
        <v>42738</v>
      </c>
      <c r="S713" s="11">
        <v>8.15</v>
      </c>
      <c r="T713" s="148">
        <v>1.0415335463258786</v>
      </c>
      <c r="U713" s="148">
        <f t="shared" si="36"/>
        <v>6.8589389859715659</v>
      </c>
      <c r="V713" s="278">
        <f t="shared" si="37"/>
        <v>2.90404040404042E-2</v>
      </c>
      <c r="W713" s="278">
        <f t="shared" si="38"/>
        <v>2.8797594161748315E-2</v>
      </c>
    </row>
    <row r="714" spans="1:23" x14ac:dyDescent="0.2">
      <c r="A714" s="8">
        <v>42727</v>
      </c>
      <c r="B714" s="9">
        <v>7.9350000000000005</v>
      </c>
      <c r="E714" s="51"/>
      <c r="F714" s="51"/>
      <c r="G714" s="51"/>
      <c r="H714" s="51"/>
      <c r="I714" s="51"/>
      <c r="J714" s="53"/>
      <c r="K714" s="53"/>
      <c r="L714" s="53"/>
      <c r="M714" s="53"/>
      <c r="N714" s="53"/>
      <c r="O714" s="139"/>
      <c r="P714" s="50"/>
      <c r="Q714" s="57"/>
      <c r="R714" s="12">
        <v>42739</v>
      </c>
      <c r="S714" s="11">
        <v>8.1999999999999993</v>
      </c>
      <c r="T714" s="148">
        <v>1.0479233226837059</v>
      </c>
      <c r="U714" s="148">
        <f t="shared" si="36"/>
        <v>6.8993529481107077</v>
      </c>
      <c r="V714" s="278">
        <f t="shared" si="37"/>
        <v>6.1349693251533388E-3</v>
      </c>
      <c r="W714" s="278">
        <f t="shared" si="38"/>
        <v>5.8921594464974528E-3</v>
      </c>
    </row>
    <row r="715" spans="1:23" x14ac:dyDescent="0.2">
      <c r="A715" s="8">
        <v>42731</v>
      </c>
      <c r="B715" s="9">
        <v>7.93</v>
      </c>
      <c r="E715" s="51"/>
      <c r="F715" s="51"/>
      <c r="G715" s="51"/>
      <c r="H715" s="51"/>
      <c r="I715" s="51"/>
      <c r="J715" s="53"/>
      <c r="K715" s="53"/>
      <c r="L715" s="53"/>
      <c r="M715" s="53"/>
      <c r="N715" s="53"/>
      <c r="O715" s="139"/>
      <c r="P715" s="50"/>
      <c r="Q715" s="57"/>
      <c r="R715" s="12">
        <v>42740</v>
      </c>
      <c r="S715" s="11">
        <v>8.16</v>
      </c>
      <c r="T715" s="148">
        <v>1.0428115015974442</v>
      </c>
      <c r="U715" s="148">
        <f t="shared" si="36"/>
        <v>6.8640223368238873</v>
      </c>
      <c r="V715" s="278">
        <f t="shared" si="37"/>
        <v>-4.8780487804876982E-3</v>
      </c>
      <c r="W715" s="278">
        <f t="shared" si="38"/>
        <v>-5.1208586591435842E-3</v>
      </c>
    </row>
    <row r="716" spans="1:23" x14ac:dyDescent="0.2">
      <c r="A716" s="8">
        <v>42732</v>
      </c>
      <c r="B716" s="9">
        <v>7.83</v>
      </c>
      <c r="E716" s="51"/>
      <c r="F716" s="51"/>
      <c r="G716" s="51"/>
      <c r="H716" s="51"/>
      <c r="I716" s="51"/>
      <c r="J716" s="53"/>
      <c r="K716" s="53"/>
      <c r="L716" s="53"/>
      <c r="M716" s="53"/>
      <c r="N716" s="53"/>
      <c r="O716" s="139"/>
      <c r="P716" s="50"/>
      <c r="Q716" s="57"/>
      <c r="R716" s="12">
        <v>42741</v>
      </c>
      <c r="S716" s="11">
        <v>8.19</v>
      </c>
      <c r="T716" s="148">
        <v>1.0466453674121405</v>
      </c>
      <c r="U716" s="148">
        <f t="shared" si="36"/>
        <v>6.8875910606315145</v>
      </c>
      <c r="V716" s="278">
        <f t="shared" si="37"/>
        <v>3.6764705882352811E-3</v>
      </c>
      <c r="W716" s="278">
        <f t="shared" si="38"/>
        <v>3.4336607095793951E-3</v>
      </c>
    </row>
    <row r="717" spans="1:23" x14ac:dyDescent="0.2">
      <c r="A717" s="8">
        <v>42733</v>
      </c>
      <c r="B717" s="9">
        <v>7.77</v>
      </c>
      <c r="E717" s="51"/>
      <c r="F717" s="51"/>
      <c r="G717" s="51"/>
      <c r="H717" s="51"/>
      <c r="I717" s="51"/>
      <c r="J717" s="53"/>
      <c r="K717" s="53"/>
      <c r="L717" s="53"/>
      <c r="M717" s="53"/>
      <c r="N717" s="53"/>
      <c r="O717" s="139"/>
      <c r="P717" s="50"/>
      <c r="Q717" s="57"/>
      <c r="R717" s="12">
        <v>42744</v>
      </c>
      <c r="S717" s="11">
        <v>7.82</v>
      </c>
      <c r="T717" s="148">
        <v>0.99936102236421731</v>
      </c>
      <c r="U717" s="148">
        <f t="shared" si="36"/>
        <v>6.5747576729746893</v>
      </c>
      <c r="V717" s="278">
        <f t="shared" si="37"/>
        <v>-4.5177045177045128E-2</v>
      </c>
      <c r="W717" s="278">
        <f t="shared" si="38"/>
        <v>-4.5419855055701015E-2</v>
      </c>
    </row>
    <row r="718" spans="1:23" x14ac:dyDescent="0.2">
      <c r="A718" s="8">
        <v>42734</v>
      </c>
      <c r="B718" s="9">
        <v>7.7549999999999999</v>
      </c>
      <c r="E718" s="51"/>
      <c r="F718" s="51"/>
      <c r="G718" s="51"/>
      <c r="H718" s="51"/>
      <c r="I718" s="51"/>
      <c r="J718" s="53"/>
      <c r="K718" s="53"/>
      <c r="L718" s="53"/>
      <c r="M718" s="53"/>
      <c r="N718" s="53"/>
      <c r="O718" s="139"/>
      <c r="P718" s="50"/>
      <c r="Q718" s="57"/>
      <c r="R718" s="12">
        <v>42745</v>
      </c>
      <c r="S718" s="11">
        <v>7.9050000000000002</v>
      </c>
      <c r="T718" s="148">
        <v>1.0102236421725239</v>
      </c>
      <c r="U718" s="148">
        <f t="shared" si="36"/>
        <v>6.6446260141768647</v>
      </c>
      <c r="V718" s="278">
        <f t="shared" si="37"/>
        <v>1.0869565217391353E-2</v>
      </c>
      <c r="W718" s="278">
        <f t="shared" si="38"/>
        <v>1.0626755338735467E-2</v>
      </c>
    </row>
    <row r="719" spans="1:23" x14ac:dyDescent="0.2">
      <c r="A719" s="8">
        <v>42737</v>
      </c>
      <c r="B719" s="9">
        <v>7.92</v>
      </c>
      <c r="E719" s="51"/>
      <c r="F719" s="51"/>
      <c r="G719" s="51"/>
      <c r="H719" s="51"/>
      <c r="I719" s="51"/>
      <c r="J719" s="53"/>
      <c r="K719" s="53"/>
      <c r="L719" s="53"/>
      <c r="M719" s="53"/>
      <c r="N719" s="53"/>
      <c r="O719" s="139"/>
      <c r="P719" s="50"/>
      <c r="Q719" s="57"/>
      <c r="R719" s="12">
        <v>42746</v>
      </c>
      <c r="S719" s="11">
        <v>7.9</v>
      </c>
      <c r="T719" s="148">
        <v>1.0095846645367412</v>
      </c>
      <c r="U719" s="148">
        <f t="shared" si="36"/>
        <v>6.6388098338376906</v>
      </c>
      <c r="V719" s="278">
        <f t="shared" si="37"/>
        <v>-6.3251106894368636E-4</v>
      </c>
      <c r="W719" s="278">
        <f t="shared" si="38"/>
        <v>-8.7532094759957212E-4</v>
      </c>
    </row>
    <row r="720" spans="1:23" x14ac:dyDescent="0.2">
      <c r="A720" s="8">
        <v>42738</v>
      </c>
      <c r="B720" s="9">
        <v>8.15</v>
      </c>
      <c r="E720" s="51"/>
      <c r="F720" s="51"/>
      <c r="G720" s="51"/>
      <c r="H720" s="51"/>
      <c r="I720" s="51"/>
      <c r="J720" s="53"/>
      <c r="K720" s="53"/>
      <c r="L720" s="53"/>
      <c r="M720" s="53"/>
      <c r="N720" s="53"/>
      <c r="O720" s="139"/>
      <c r="P720" s="50"/>
      <c r="Q720" s="57"/>
      <c r="R720" s="12">
        <v>42747</v>
      </c>
      <c r="S720" s="11">
        <v>7.7149999999999999</v>
      </c>
      <c r="T720" s="148">
        <v>0.9859424920127795</v>
      </c>
      <c r="U720" s="148">
        <f t="shared" si="36"/>
        <v>6.4817320653211912</v>
      </c>
      <c r="V720" s="278">
        <f t="shared" si="37"/>
        <v>-2.3417721518987356E-2</v>
      </c>
      <c r="W720" s="278">
        <f t="shared" si="38"/>
        <v>-2.366053139764324E-2</v>
      </c>
    </row>
    <row r="721" spans="1:23" x14ac:dyDescent="0.2">
      <c r="A721" s="8">
        <v>42739</v>
      </c>
      <c r="B721" s="9">
        <v>8.1999999999999993</v>
      </c>
      <c r="E721" s="51"/>
      <c r="F721" s="51"/>
      <c r="G721" s="51"/>
      <c r="H721" s="51"/>
      <c r="I721" s="51"/>
      <c r="J721" s="53"/>
      <c r="K721" s="53"/>
      <c r="L721" s="53"/>
      <c r="M721" s="53"/>
      <c r="N721" s="53"/>
      <c r="O721" s="139"/>
      <c r="P721" s="50"/>
      <c r="Q721" s="57"/>
      <c r="R721" s="12">
        <v>42748</v>
      </c>
      <c r="S721" s="11">
        <v>8.0250000000000004</v>
      </c>
      <c r="T721" s="148">
        <v>1.02555910543131</v>
      </c>
      <c r="U721" s="148">
        <f t="shared" si="36"/>
        <v>6.7406037247876487</v>
      </c>
      <c r="V721" s="278">
        <f t="shared" si="37"/>
        <v>4.0181464679196477E-2</v>
      </c>
      <c r="W721" s="278">
        <f t="shared" si="38"/>
        <v>3.9938654800540589E-2</v>
      </c>
    </row>
    <row r="722" spans="1:23" x14ac:dyDescent="0.2">
      <c r="A722" s="8">
        <v>42740</v>
      </c>
      <c r="B722" s="9">
        <v>8.16</v>
      </c>
      <c r="E722" s="51"/>
      <c r="F722" s="51"/>
      <c r="G722" s="51"/>
      <c r="H722" s="51"/>
      <c r="I722" s="51"/>
      <c r="J722" s="53"/>
      <c r="K722" s="53"/>
      <c r="L722" s="53"/>
      <c r="M722" s="53"/>
      <c r="N722" s="53"/>
      <c r="O722" s="139"/>
      <c r="P722" s="50"/>
      <c r="Q722" s="57"/>
      <c r="R722" s="12">
        <v>42751</v>
      </c>
      <c r="S722" s="11">
        <v>7.9950000000000001</v>
      </c>
      <c r="T722" s="148">
        <v>1.0217252396166134</v>
      </c>
      <c r="U722" s="148">
        <f t="shared" si="36"/>
        <v>6.713768521017828</v>
      </c>
      <c r="V722" s="278">
        <f t="shared" si="37"/>
        <v>-3.7383177570093906E-3</v>
      </c>
      <c r="W722" s="278">
        <f t="shared" si="38"/>
        <v>-3.9811276356652766E-3</v>
      </c>
    </row>
    <row r="723" spans="1:23" x14ac:dyDescent="0.2">
      <c r="A723" s="8">
        <v>42741</v>
      </c>
      <c r="B723" s="9">
        <v>8.19</v>
      </c>
      <c r="E723" s="51"/>
      <c r="F723" s="51"/>
      <c r="G723" s="51"/>
      <c r="H723" s="51"/>
      <c r="I723" s="51"/>
      <c r="J723" s="53"/>
      <c r="K723" s="53"/>
      <c r="L723" s="53"/>
      <c r="M723" s="53"/>
      <c r="N723" s="53"/>
      <c r="O723" s="139"/>
      <c r="P723" s="50"/>
      <c r="Q723" s="57"/>
      <c r="R723" s="12">
        <v>42752</v>
      </c>
      <c r="S723" s="11">
        <v>7.9</v>
      </c>
      <c r="T723" s="148">
        <v>1.0095846645367412</v>
      </c>
      <c r="U723" s="148">
        <f t="shared" si="36"/>
        <v>6.6323624905976422</v>
      </c>
      <c r="V723" s="278">
        <f t="shared" si="37"/>
        <v>-1.1882426516572786E-2</v>
      </c>
      <c r="W723" s="278">
        <f t="shared" si="38"/>
        <v>-1.2125236395228672E-2</v>
      </c>
    </row>
    <row r="724" spans="1:23" x14ac:dyDescent="0.2">
      <c r="A724" s="8">
        <v>42744</v>
      </c>
      <c r="B724" s="9">
        <v>7.82</v>
      </c>
      <c r="E724" s="51"/>
      <c r="F724" s="51"/>
      <c r="G724" s="51"/>
      <c r="H724" s="51"/>
      <c r="I724" s="51"/>
      <c r="J724" s="53"/>
      <c r="K724" s="53"/>
      <c r="L724" s="53"/>
      <c r="M724" s="53"/>
      <c r="N724" s="53"/>
      <c r="O724" s="139"/>
      <c r="P724" s="50"/>
      <c r="Q724" s="57"/>
      <c r="R724" s="12">
        <v>42753</v>
      </c>
      <c r="S724" s="11">
        <v>7.9399999999999995</v>
      </c>
      <c r="T724" s="148">
        <v>1.0146964856230032</v>
      </c>
      <c r="U724" s="148">
        <f t="shared" si="36"/>
        <v>6.6643336696969708</v>
      </c>
      <c r="V724" s="278">
        <f t="shared" si="37"/>
        <v>5.0632911392403113E-3</v>
      </c>
      <c r="W724" s="278">
        <f t="shared" si="38"/>
        <v>4.8204812605844253E-3</v>
      </c>
    </row>
    <row r="725" spans="1:23" x14ac:dyDescent="0.2">
      <c r="A725" s="8">
        <v>42745</v>
      </c>
      <c r="B725" s="9">
        <v>7.9050000000000002</v>
      </c>
      <c r="E725" s="51"/>
      <c r="F725" s="51"/>
      <c r="G725" s="51"/>
      <c r="H725" s="51"/>
      <c r="I725" s="51"/>
      <c r="J725" s="53"/>
      <c r="K725" s="53"/>
      <c r="L725" s="53"/>
      <c r="M725" s="53"/>
      <c r="N725" s="53"/>
      <c r="O725" s="139"/>
      <c r="P725" s="50"/>
      <c r="Q725" s="57"/>
      <c r="R725" s="12">
        <v>42754</v>
      </c>
      <c r="S725" s="11">
        <v>8.0649999999999995</v>
      </c>
      <c r="T725" s="148">
        <v>1.0306709265175718</v>
      </c>
      <c r="U725" s="148">
        <f t="shared" si="36"/>
        <v>6.7676325954246535</v>
      </c>
      <c r="V725" s="278">
        <f t="shared" si="37"/>
        <v>1.5743073047858935E-2</v>
      </c>
      <c r="W725" s="278">
        <f t="shared" si="38"/>
        <v>1.5500263169203049E-2</v>
      </c>
    </row>
    <row r="726" spans="1:23" x14ac:dyDescent="0.2">
      <c r="A726" s="8">
        <v>42746</v>
      </c>
      <c r="B726" s="9">
        <v>7.9</v>
      </c>
      <c r="E726" s="51"/>
      <c r="F726" s="51"/>
      <c r="G726" s="51"/>
      <c r="H726" s="51"/>
      <c r="I726" s="51"/>
      <c r="J726" s="53"/>
      <c r="K726" s="53"/>
      <c r="L726" s="53"/>
      <c r="M726" s="53"/>
      <c r="N726" s="53"/>
      <c r="O726" s="139"/>
      <c r="P726" s="50"/>
      <c r="Q726" s="57"/>
      <c r="R726" s="12">
        <v>42755</v>
      </c>
      <c r="S726" s="11">
        <v>7.95</v>
      </c>
      <c r="T726" s="148">
        <v>1.0159744408945688</v>
      </c>
      <c r="U726" s="148">
        <f t="shared" si="36"/>
        <v>6.6694886966036622</v>
      </c>
      <c r="V726" s="278">
        <f t="shared" si="37"/>
        <v>-1.4259144451332806E-2</v>
      </c>
      <c r="W726" s="278">
        <f t="shared" si="38"/>
        <v>-1.4501954329988692E-2</v>
      </c>
    </row>
    <row r="727" spans="1:23" x14ac:dyDescent="0.2">
      <c r="A727" s="8">
        <v>42747</v>
      </c>
      <c r="B727" s="9">
        <v>7.7149999999999999</v>
      </c>
      <c r="E727" s="51"/>
      <c r="F727" s="51"/>
      <c r="G727" s="51"/>
      <c r="H727" s="51"/>
      <c r="I727" s="51"/>
      <c r="J727" s="53"/>
      <c r="K727" s="53"/>
      <c r="L727" s="53"/>
      <c r="M727" s="53"/>
      <c r="N727" s="53"/>
      <c r="O727" s="139"/>
      <c r="P727" s="50"/>
      <c r="Q727" s="57"/>
      <c r="R727" s="12">
        <v>42758</v>
      </c>
      <c r="S727" s="11">
        <v>8.07</v>
      </c>
      <c r="T727" s="148">
        <v>1.0313099041533547</v>
      </c>
      <c r="U727" s="148">
        <f t="shared" si="36"/>
        <v>6.7685408063584465</v>
      </c>
      <c r="V727" s="278">
        <f t="shared" si="37"/>
        <v>1.5094339622641506E-2</v>
      </c>
      <c r="W727" s="278">
        <f t="shared" si="38"/>
        <v>1.485152974398562E-2</v>
      </c>
    </row>
    <row r="728" spans="1:23" x14ac:dyDescent="0.2">
      <c r="A728" s="8">
        <v>42748</v>
      </c>
      <c r="B728" s="9">
        <v>8.0250000000000004</v>
      </c>
      <c r="E728" s="51"/>
      <c r="F728" s="51"/>
      <c r="G728" s="51"/>
      <c r="H728" s="51"/>
      <c r="I728" s="51"/>
      <c r="J728" s="53"/>
      <c r="K728" s="53"/>
      <c r="L728" s="53"/>
      <c r="M728" s="53"/>
      <c r="N728" s="53"/>
      <c r="O728" s="139"/>
      <c r="P728" s="50"/>
      <c r="Q728" s="57"/>
      <c r="R728" s="12">
        <v>42759</v>
      </c>
      <c r="S728" s="11">
        <v>8.52</v>
      </c>
      <c r="T728" s="148">
        <v>1.0888178913738018</v>
      </c>
      <c r="U728" s="148">
        <f t="shared" si="36"/>
        <v>7.1443252637916936</v>
      </c>
      <c r="V728" s="278">
        <f t="shared" si="37"/>
        <v>5.5762081784386464E-2</v>
      </c>
      <c r="W728" s="278">
        <f t="shared" si="38"/>
        <v>5.5519271905730576E-2</v>
      </c>
    </row>
    <row r="729" spans="1:23" x14ac:dyDescent="0.2">
      <c r="A729" s="8">
        <v>42751</v>
      </c>
      <c r="B729" s="9">
        <v>7.9950000000000001</v>
      </c>
      <c r="E729" s="51"/>
      <c r="F729" s="51"/>
      <c r="G729" s="51"/>
      <c r="H729" s="51"/>
      <c r="I729" s="51"/>
      <c r="J729" s="53"/>
      <c r="K729" s="53"/>
      <c r="L729" s="53"/>
      <c r="M729" s="53"/>
      <c r="N729" s="53"/>
      <c r="O729" s="139"/>
      <c r="P729" s="50"/>
      <c r="Q729" s="57"/>
      <c r="R729" s="12">
        <v>42760</v>
      </c>
      <c r="S729" s="11">
        <v>8.7850000000000001</v>
      </c>
      <c r="T729" s="148">
        <v>1.1226837060702874</v>
      </c>
      <c r="U729" s="148">
        <f t="shared" ref="U729:U792" si="39">U728*(1+W729)</f>
        <v>7.3648025457484492</v>
      </c>
      <c r="V729" s="278">
        <f t="shared" ref="V729:V792" si="40">S729/S728-1</f>
        <v>3.1103286384976503E-2</v>
      </c>
      <c r="W729" s="278">
        <f t="shared" ref="W729:W792" si="41">V729-$V$3+$W$2</f>
        <v>3.0860476506320619E-2</v>
      </c>
    </row>
    <row r="730" spans="1:23" x14ac:dyDescent="0.2">
      <c r="A730" s="8">
        <v>42752</v>
      </c>
      <c r="B730" s="9">
        <v>7.9</v>
      </c>
      <c r="E730" s="51"/>
      <c r="F730" s="51"/>
      <c r="G730" s="51"/>
      <c r="H730" s="51"/>
      <c r="I730" s="51"/>
      <c r="J730" s="53"/>
      <c r="K730" s="53"/>
      <c r="L730" s="53"/>
      <c r="M730" s="53"/>
      <c r="N730" s="53"/>
      <c r="O730" s="139"/>
      <c r="P730" s="50"/>
      <c r="Q730" s="57"/>
      <c r="R730" s="12">
        <v>42761</v>
      </c>
      <c r="S730" s="11">
        <v>8.5050000000000008</v>
      </c>
      <c r="T730" s="148">
        <v>1.0869009584664537</v>
      </c>
      <c r="U730" s="148">
        <f t="shared" si="39"/>
        <v>7.1282795564420169</v>
      </c>
      <c r="V730" s="278">
        <f t="shared" si="40"/>
        <v>-3.1872509960159334E-2</v>
      </c>
      <c r="W730" s="278">
        <f t="shared" si="41"/>
        <v>-3.2115319838815222E-2</v>
      </c>
    </row>
    <row r="731" spans="1:23" x14ac:dyDescent="0.2">
      <c r="A731" s="8">
        <v>42753</v>
      </c>
      <c r="B731" s="9">
        <v>7.9399999999999995</v>
      </c>
      <c r="E731" s="51"/>
      <c r="F731" s="51"/>
      <c r="G731" s="51"/>
      <c r="H731" s="51"/>
      <c r="I731" s="51"/>
      <c r="J731" s="53"/>
      <c r="K731" s="53"/>
      <c r="L731" s="53"/>
      <c r="M731" s="53"/>
      <c r="N731" s="53"/>
      <c r="O731" s="139"/>
      <c r="P731" s="50"/>
      <c r="Q731" s="57"/>
      <c r="R731" s="12">
        <v>42762</v>
      </c>
      <c r="S731" s="11">
        <v>8.4</v>
      </c>
      <c r="T731" s="148">
        <v>1.0734824281150159</v>
      </c>
      <c r="U731" s="148">
        <f t="shared" si="39"/>
        <v>7.0385452884337925</v>
      </c>
      <c r="V731" s="278">
        <f t="shared" si="40"/>
        <v>-1.2345679012345734E-2</v>
      </c>
      <c r="W731" s="278">
        <f t="shared" si="41"/>
        <v>-1.258848889100162E-2</v>
      </c>
    </row>
    <row r="732" spans="1:23" x14ac:dyDescent="0.2">
      <c r="A732" s="8">
        <v>42754</v>
      </c>
      <c r="B732" s="9">
        <v>8.0649999999999995</v>
      </c>
      <c r="E732" s="51"/>
      <c r="F732" s="51"/>
      <c r="G732" s="51"/>
      <c r="H732" s="51"/>
      <c r="I732" s="51"/>
      <c r="J732" s="53"/>
      <c r="K732" s="53"/>
      <c r="L732" s="53"/>
      <c r="M732" s="53"/>
      <c r="N732" s="53"/>
      <c r="O732" s="139"/>
      <c r="P732" s="50"/>
      <c r="Q732" s="57"/>
      <c r="R732" s="12">
        <v>42765</v>
      </c>
      <c r="S732" s="11">
        <v>8.1750000000000007</v>
      </c>
      <c r="T732" s="148">
        <v>1.0447284345047925</v>
      </c>
      <c r="U732" s="148">
        <f t="shared" si="39"/>
        <v>6.8483037970233465</v>
      </c>
      <c r="V732" s="278">
        <f t="shared" si="40"/>
        <v>-2.6785714285714191E-2</v>
      </c>
      <c r="W732" s="278">
        <f t="shared" si="41"/>
        <v>-2.7028524164370075E-2</v>
      </c>
    </row>
    <row r="733" spans="1:23" x14ac:dyDescent="0.2">
      <c r="A733" s="8">
        <v>42755</v>
      </c>
      <c r="B733" s="9">
        <v>7.95</v>
      </c>
      <c r="E733" s="51"/>
      <c r="F733" s="51"/>
      <c r="G733" s="51"/>
      <c r="H733" s="51"/>
      <c r="I733" s="51"/>
      <c r="J733" s="53"/>
      <c r="K733" s="53"/>
      <c r="L733" s="53"/>
      <c r="M733" s="53"/>
      <c r="N733" s="53"/>
      <c r="O733" s="139"/>
      <c r="P733" s="50"/>
      <c r="Q733" s="57"/>
      <c r="R733" s="12">
        <v>42766</v>
      </c>
      <c r="S733" s="11">
        <v>7.9550000000000001</v>
      </c>
      <c r="T733" s="148">
        <v>1.0166134185303515</v>
      </c>
      <c r="U733" s="148">
        <f t="shared" si="39"/>
        <v>6.662344100616715</v>
      </c>
      <c r="V733" s="278">
        <f t="shared" si="40"/>
        <v>-2.6911314984709556E-2</v>
      </c>
      <c r="W733" s="278">
        <f t="shared" si="41"/>
        <v>-2.715412486336544E-2</v>
      </c>
    </row>
    <row r="734" spans="1:23" x14ac:dyDescent="0.2">
      <c r="A734" s="8">
        <v>42758</v>
      </c>
      <c r="B734" s="9">
        <v>8.07</v>
      </c>
      <c r="E734" s="51"/>
      <c r="F734" s="51"/>
      <c r="G734" s="51"/>
      <c r="H734" s="51"/>
      <c r="I734" s="51"/>
      <c r="J734" s="53"/>
      <c r="K734" s="53"/>
      <c r="L734" s="53"/>
      <c r="M734" s="53"/>
      <c r="N734" s="53"/>
      <c r="O734" s="139"/>
      <c r="P734" s="50"/>
      <c r="Q734" s="57"/>
      <c r="R734" s="12">
        <v>42767</v>
      </c>
      <c r="S734" s="11">
        <v>8.0250000000000004</v>
      </c>
      <c r="T734" s="148">
        <v>1.02555910543131</v>
      </c>
      <c r="U734" s="148">
        <f t="shared" si="39"/>
        <v>6.719351695723617</v>
      </c>
      <c r="V734" s="278">
        <f t="shared" si="40"/>
        <v>8.7994971715901205E-3</v>
      </c>
      <c r="W734" s="278">
        <f t="shared" si="41"/>
        <v>8.5566872929342345E-3</v>
      </c>
    </row>
    <row r="735" spans="1:23" x14ac:dyDescent="0.2">
      <c r="A735" s="8">
        <v>42759</v>
      </c>
      <c r="B735" s="9">
        <v>8.52</v>
      </c>
      <c r="E735" s="51"/>
      <c r="F735" s="51"/>
      <c r="G735" s="51"/>
      <c r="H735" s="51"/>
      <c r="I735" s="51"/>
      <c r="J735" s="53"/>
      <c r="K735" s="53"/>
      <c r="L735" s="53"/>
      <c r="M735" s="53"/>
      <c r="N735" s="53"/>
      <c r="O735" s="139"/>
      <c r="P735" s="50"/>
      <c r="Q735" s="57"/>
      <c r="R735" s="12">
        <v>42768</v>
      </c>
      <c r="S735" s="11">
        <v>8.15</v>
      </c>
      <c r="T735" s="148">
        <v>1.0415335463258786</v>
      </c>
      <c r="U735" s="148">
        <f t="shared" si="39"/>
        <v>6.8223829697525407</v>
      </c>
      <c r="V735" s="278">
        <f t="shared" si="40"/>
        <v>1.5576323987538832E-2</v>
      </c>
      <c r="W735" s="278">
        <f t="shared" si="41"/>
        <v>1.5333514108882946E-2</v>
      </c>
    </row>
    <row r="736" spans="1:23" x14ac:dyDescent="0.2">
      <c r="A736" s="8">
        <v>42760</v>
      </c>
      <c r="B736" s="9">
        <v>8.7850000000000001</v>
      </c>
      <c r="E736" s="51"/>
      <c r="F736" s="51"/>
      <c r="G736" s="51"/>
      <c r="H736" s="51"/>
      <c r="I736" s="51"/>
      <c r="J736" s="53"/>
      <c r="K736" s="53"/>
      <c r="L736" s="53"/>
      <c r="M736" s="53"/>
      <c r="N736" s="53"/>
      <c r="O736" s="139"/>
      <c r="P736" s="50"/>
      <c r="Q736" s="57"/>
      <c r="R736" s="12">
        <v>42769</v>
      </c>
      <c r="S736" s="11">
        <v>8.1449999999999996</v>
      </c>
      <c r="T736" s="148">
        <v>1.0408945686900957</v>
      </c>
      <c r="U736" s="148">
        <f t="shared" si="39"/>
        <v>6.8165409167471225</v>
      </c>
      <c r="V736" s="278">
        <f t="shared" si="40"/>
        <v>-6.134969325154449E-4</v>
      </c>
      <c r="W736" s="278">
        <f t="shared" si="41"/>
        <v>-8.5630681117133066E-4</v>
      </c>
    </row>
    <row r="737" spans="1:23" x14ac:dyDescent="0.2">
      <c r="A737" s="8">
        <v>42761</v>
      </c>
      <c r="B737" s="9">
        <v>8.5050000000000008</v>
      </c>
      <c r="E737" s="51"/>
      <c r="F737" s="51"/>
      <c r="G737" s="51"/>
      <c r="H737" s="51"/>
      <c r="I737" s="51"/>
      <c r="J737" s="53"/>
      <c r="K737" s="53"/>
      <c r="L737" s="53"/>
      <c r="M737" s="53"/>
      <c r="N737" s="53"/>
      <c r="O737" s="139"/>
      <c r="P737" s="50"/>
      <c r="Q737" s="57"/>
      <c r="R737" s="12">
        <v>42772</v>
      </c>
      <c r="S737" s="11">
        <v>7.8100000000000005</v>
      </c>
      <c r="T737" s="148">
        <v>0.99808306709265182</v>
      </c>
      <c r="U737" s="148">
        <f t="shared" si="39"/>
        <v>6.5345246874289362</v>
      </c>
      <c r="V737" s="278">
        <f t="shared" si="40"/>
        <v>-4.1129527317372516E-2</v>
      </c>
      <c r="W737" s="278">
        <f t="shared" si="41"/>
        <v>-4.1372337196028404E-2</v>
      </c>
    </row>
    <row r="738" spans="1:23" x14ac:dyDescent="0.2">
      <c r="A738" s="8">
        <v>42762</v>
      </c>
      <c r="B738" s="9">
        <v>8.4</v>
      </c>
      <c r="E738" s="51"/>
      <c r="F738" s="51"/>
      <c r="G738" s="51"/>
      <c r="H738" s="51"/>
      <c r="I738" s="51"/>
      <c r="J738" s="53"/>
      <c r="K738" s="53"/>
      <c r="L738" s="53"/>
      <c r="M738" s="53"/>
      <c r="N738" s="53"/>
      <c r="O738" s="139"/>
      <c r="P738" s="50"/>
      <c r="Q738" s="57"/>
      <c r="R738" s="12">
        <v>42773</v>
      </c>
      <c r="S738" s="11">
        <v>7.6449999999999996</v>
      </c>
      <c r="T738" s="148">
        <v>0.97699680511182097</v>
      </c>
      <c r="U738" s="148">
        <f t="shared" si="39"/>
        <v>6.3948847018156991</v>
      </c>
      <c r="V738" s="278">
        <f t="shared" si="40"/>
        <v>-2.1126760563380365E-2</v>
      </c>
      <c r="W738" s="278">
        <f t="shared" si="41"/>
        <v>-2.1369570442036249E-2</v>
      </c>
    </row>
    <row r="739" spans="1:23" x14ac:dyDescent="0.2">
      <c r="A739" s="8">
        <v>42765</v>
      </c>
      <c r="B739" s="9">
        <v>8.1750000000000007</v>
      </c>
      <c r="E739" s="51"/>
      <c r="F739" s="51"/>
      <c r="G739" s="51"/>
      <c r="H739" s="51"/>
      <c r="I739" s="51"/>
      <c r="J739" s="53"/>
      <c r="K739" s="53"/>
      <c r="L739" s="53"/>
      <c r="M739" s="53"/>
      <c r="N739" s="53"/>
      <c r="O739" s="139"/>
      <c r="P739" s="50"/>
      <c r="Q739" s="57"/>
      <c r="R739" s="12">
        <v>42774</v>
      </c>
      <c r="S739" s="11">
        <v>7.7549999999999999</v>
      </c>
      <c r="T739" s="148">
        <v>0.99105431309904146</v>
      </c>
      <c r="U739" s="148">
        <f t="shared" si="39"/>
        <v>6.4853446901597609</v>
      </c>
      <c r="V739" s="278">
        <f t="shared" si="40"/>
        <v>1.4388489208633226E-2</v>
      </c>
      <c r="W739" s="278">
        <f t="shared" si="41"/>
        <v>1.414567932997734E-2</v>
      </c>
    </row>
    <row r="740" spans="1:23" x14ac:dyDescent="0.2">
      <c r="A740" s="8">
        <v>42766</v>
      </c>
      <c r="B740" s="9">
        <v>7.9550000000000001</v>
      </c>
      <c r="E740" s="51"/>
      <c r="F740" s="51"/>
      <c r="G740" s="51"/>
      <c r="H740" s="51"/>
      <c r="I740" s="51"/>
      <c r="J740" s="53"/>
      <c r="K740" s="53"/>
      <c r="L740" s="53"/>
      <c r="M740" s="53"/>
      <c r="N740" s="53"/>
      <c r="O740" s="139"/>
      <c r="P740" s="50"/>
      <c r="Q740" s="57"/>
      <c r="R740" s="12">
        <v>42775</v>
      </c>
      <c r="S740" s="11">
        <v>7.88</v>
      </c>
      <c r="T740" s="148">
        <v>1.0070287539936102</v>
      </c>
      <c r="U740" s="148">
        <f t="shared" si="39"/>
        <v>6.5883048762490475</v>
      </c>
      <c r="V740" s="278">
        <f t="shared" si="40"/>
        <v>1.6118633139909688E-2</v>
      </c>
      <c r="W740" s="278">
        <f t="shared" si="41"/>
        <v>1.5875823261253804E-2</v>
      </c>
    </row>
    <row r="741" spans="1:23" x14ac:dyDescent="0.2">
      <c r="A741" s="8">
        <v>42767</v>
      </c>
      <c r="B741" s="9">
        <v>8.0250000000000004</v>
      </c>
      <c r="E741" s="51"/>
      <c r="F741" s="51"/>
      <c r="G741" s="51"/>
      <c r="H741" s="51"/>
      <c r="I741" s="51"/>
      <c r="J741" s="53"/>
      <c r="K741" s="53"/>
      <c r="L741" s="53"/>
      <c r="M741" s="53"/>
      <c r="N741" s="53"/>
      <c r="O741" s="139"/>
      <c r="P741" s="50"/>
      <c r="Q741" s="57"/>
      <c r="R741" s="12">
        <v>42776</v>
      </c>
      <c r="S741" s="11">
        <v>7.79</v>
      </c>
      <c r="T741" s="148">
        <v>0.99552715654952073</v>
      </c>
      <c r="U741" s="148">
        <f t="shared" si="39"/>
        <v>6.5114580338300243</v>
      </c>
      <c r="V741" s="278">
        <f t="shared" si="40"/>
        <v>-1.1421319796954266E-2</v>
      </c>
      <c r="W741" s="278">
        <f t="shared" si="41"/>
        <v>-1.1664129675610152E-2</v>
      </c>
    </row>
    <row r="742" spans="1:23" x14ac:dyDescent="0.2">
      <c r="A742" s="8">
        <v>42768</v>
      </c>
      <c r="B742" s="9">
        <v>8.15</v>
      </c>
      <c r="E742" s="51"/>
      <c r="F742" s="51"/>
      <c r="G742" s="51"/>
      <c r="H742" s="51"/>
      <c r="I742" s="51"/>
      <c r="J742" s="53"/>
      <c r="K742" s="53"/>
      <c r="L742" s="53"/>
      <c r="M742" s="53"/>
      <c r="N742" s="53"/>
      <c r="O742" s="139"/>
      <c r="P742" s="50"/>
      <c r="Q742" s="57"/>
      <c r="R742" s="12">
        <v>42779</v>
      </c>
      <c r="S742" s="11">
        <v>8.02</v>
      </c>
      <c r="T742" s="148">
        <v>1.0249201277955271</v>
      </c>
      <c r="U742" s="148">
        <f t="shared" si="39"/>
        <v>6.7021279949122734</v>
      </c>
      <c r="V742" s="278">
        <f t="shared" si="40"/>
        <v>2.9525032092426073E-2</v>
      </c>
      <c r="W742" s="278">
        <f t="shared" si="41"/>
        <v>2.9282222213770189E-2</v>
      </c>
    </row>
    <row r="743" spans="1:23" x14ac:dyDescent="0.2">
      <c r="A743" s="8">
        <v>42769</v>
      </c>
      <c r="B743" s="9">
        <v>8.1449999999999996</v>
      </c>
      <c r="E743" s="51"/>
      <c r="F743" s="51"/>
      <c r="G743" s="51"/>
      <c r="H743" s="51"/>
      <c r="I743" s="51"/>
      <c r="J743" s="53"/>
      <c r="K743" s="53"/>
      <c r="L743" s="53"/>
      <c r="M743" s="53"/>
      <c r="N743" s="53"/>
      <c r="O743" s="139"/>
      <c r="P743" s="50"/>
      <c r="Q743" s="57"/>
      <c r="R743" s="12">
        <v>42780</v>
      </c>
      <c r="S743" s="11">
        <v>8.2100000000000009</v>
      </c>
      <c r="T743" s="148">
        <v>1.0492012779552717</v>
      </c>
      <c r="U743" s="148">
        <f t="shared" si="39"/>
        <v>6.8592792454227709</v>
      </c>
      <c r="V743" s="278">
        <f t="shared" si="40"/>
        <v>2.3690773067331916E-2</v>
      </c>
      <c r="W743" s="278">
        <f t="shared" si="41"/>
        <v>2.3447963188676032E-2</v>
      </c>
    </row>
    <row r="744" spans="1:23" x14ac:dyDescent="0.2">
      <c r="A744" s="8">
        <v>42772</v>
      </c>
      <c r="B744" s="9">
        <v>7.8100000000000005</v>
      </c>
      <c r="E744" s="51"/>
      <c r="F744" s="51"/>
      <c r="G744" s="51"/>
      <c r="H744" s="51"/>
      <c r="I744" s="51"/>
      <c r="J744" s="53"/>
      <c r="K744" s="53"/>
      <c r="L744" s="53"/>
      <c r="M744" s="53"/>
      <c r="N744" s="53"/>
      <c r="O744" s="139"/>
      <c r="P744" s="50"/>
      <c r="Q744" s="57"/>
      <c r="R744" s="12">
        <v>42781</v>
      </c>
      <c r="S744" s="11">
        <v>8.1649999999999991</v>
      </c>
      <c r="T744" s="148">
        <v>1.0434504792332266</v>
      </c>
      <c r="U744" s="148">
        <f t="shared" si="39"/>
        <v>6.8200172079935522</v>
      </c>
      <c r="V744" s="278">
        <f t="shared" si="40"/>
        <v>-5.4811205846531097E-3</v>
      </c>
      <c r="W744" s="278">
        <f t="shared" si="41"/>
        <v>-5.7239304633089957E-3</v>
      </c>
    </row>
    <row r="745" spans="1:23" x14ac:dyDescent="0.2">
      <c r="A745" s="8">
        <v>42773</v>
      </c>
      <c r="B745" s="9">
        <v>7.6449999999999996</v>
      </c>
      <c r="E745" s="51"/>
      <c r="F745" s="51"/>
      <c r="G745" s="51"/>
      <c r="H745" s="51"/>
      <c r="I745" s="51"/>
      <c r="J745" s="53"/>
      <c r="K745" s="53"/>
      <c r="L745" s="53"/>
      <c r="M745" s="53"/>
      <c r="N745" s="53"/>
      <c r="O745" s="139"/>
      <c r="P745" s="50"/>
      <c r="Q745" s="57"/>
      <c r="R745" s="12">
        <v>42782</v>
      </c>
      <c r="S745" s="11">
        <v>8.1199999999999992</v>
      </c>
      <c r="T745" s="148">
        <v>1.037699680511182</v>
      </c>
      <c r="U745" s="148">
        <f t="shared" si="39"/>
        <v>6.7807738828972619</v>
      </c>
      <c r="V745" s="278">
        <f t="shared" si="40"/>
        <v>-5.511328842620955E-3</v>
      </c>
      <c r="W745" s="278">
        <f t="shared" si="41"/>
        <v>-5.754138721276841E-3</v>
      </c>
    </row>
    <row r="746" spans="1:23" x14ac:dyDescent="0.2">
      <c r="A746" s="8">
        <v>42774</v>
      </c>
      <c r="B746" s="9">
        <v>7.7549999999999999</v>
      </c>
      <c r="E746" s="51"/>
      <c r="F746" s="51"/>
      <c r="G746" s="51"/>
      <c r="H746" s="51"/>
      <c r="I746" s="51"/>
      <c r="J746" s="53"/>
      <c r="K746" s="53"/>
      <c r="L746" s="53"/>
      <c r="M746" s="53"/>
      <c r="N746" s="53"/>
      <c r="O746" s="139"/>
      <c r="P746" s="50"/>
      <c r="Q746" s="57"/>
      <c r="R746" s="12">
        <v>42783</v>
      </c>
      <c r="S746" s="11">
        <v>8.0449999999999999</v>
      </c>
      <c r="T746" s="148">
        <v>1.0281150159744408</v>
      </c>
      <c r="U746" s="148">
        <f t="shared" si="39"/>
        <v>6.7164971433710399</v>
      </c>
      <c r="V746" s="278">
        <f t="shared" si="40"/>
        <v>-9.2364532019703072E-3</v>
      </c>
      <c r="W746" s="278">
        <f t="shared" si="41"/>
        <v>-9.4792630806261931E-3</v>
      </c>
    </row>
    <row r="747" spans="1:23" x14ac:dyDescent="0.2">
      <c r="A747" s="8">
        <v>42775</v>
      </c>
      <c r="B747" s="9">
        <v>7.88</v>
      </c>
      <c r="E747" s="51"/>
      <c r="F747" s="51"/>
      <c r="G747" s="51"/>
      <c r="H747" s="51"/>
      <c r="I747" s="51"/>
      <c r="J747" s="53"/>
      <c r="K747" s="53"/>
      <c r="L747" s="53"/>
      <c r="M747" s="53"/>
      <c r="N747" s="53"/>
      <c r="O747" s="139"/>
      <c r="P747" s="50"/>
      <c r="Q747" s="57"/>
      <c r="R747" s="12">
        <v>42786</v>
      </c>
      <c r="S747" s="11">
        <v>7.97</v>
      </c>
      <c r="T747" s="148">
        <v>1.0185303514376995</v>
      </c>
      <c r="U747" s="148">
        <f t="shared" si="39"/>
        <v>6.6522513598984032</v>
      </c>
      <c r="V747" s="278">
        <f t="shared" si="40"/>
        <v>-9.3225605966439362E-3</v>
      </c>
      <c r="W747" s="278">
        <f t="shared" si="41"/>
        <v>-9.5653704752998222E-3</v>
      </c>
    </row>
    <row r="748" spans="1:23" x14ac:dyDescent="0.2">
      <c r="A748" s="8">
        <v>42776</v>
      </c>
      <c r="B748" s="9">
        <v>7.79</v>
      </c>
      <c r="E748" s="51"/>
      <c r="F748" s="51"/>
      <c r="G748" s="51"/>
      <c r="H748" s="51"/>
      <c r="I748" s="51"/>
      <c r="J748" s="53"/>
      <c r="K748" s="53"/>
      <c r="L748" s="53"/>
      <c r="M748" s="53"/>
      <c r="N748" s="53"/>
      <c r="O748" s="139"/>
      <c r="P748" s="50"/>
      <c r="Q748" s="57"/>
      <c r="R748" s="12">
        <v>42787</v>
      </c>
      <c r="S748" s="11">
        <v>7.89</v>
      </c>
      <c r="T748" s="148">
        <v>1.0083067092651756</v>
      </c>
      <c r="U748" s="148">
        <f t="shared" si="39"/>
        <v>6.5838632155338628</v>
      </c>
      <c r="V748" s="278">
        <f t="shared" si="40"/>
        <v>-1.0037641154328703E-2</v>
      </c>
      <c r="W748" s="278">
        <f t="shared" si="41"/>
        <v>-1.0280451032984588E-2</v>
      </c>
    </row>
    <row r="749" spans="1:23" x14ac:dyDescent="0.2">
      <c r="A749" s="8">
        <v>42779</v>
      </c>
      <c r="B749" s="9">
        <v>8.02</v>
      </c>
      <c r="E749" s="51"/>
      <c r="F749" s="51"/>
      <c r="G749" s="51"/>
      <c r="H749" s="51"/>
      <c r="I749" s="51"/>
      <c r="J749" s="53"/>
      <c r="K749" s="53"/>
      <c r="L749" s="53"/>
      <c r="M749" s="53"/>
      <c r="N749" s="53"/>
      <c r="O749" s="139"/>
      <c r="P749" s="50"/>
      <c r="Q749" s="57"/>
      <c r="R749" s="12">
        <v>42788</v>
      </c>
      <c r="S749" s="11">
        <v>7.625</v>
      </c>
      <c r="T749" s="148">
        <v>0.9744408945686901</v>
      </c>
      <c r="U749" s="148">
        <f t="shared" si="39"/>
        <v>6.3611335679583307</v>
      </c>
      <c r="V749" s="278">
        <f t="shared" si="40"/>
        <v>-3.3586818757921355E-2</v>
      </c>
      <c r="W749" s="278">
        <f t="shared" si="41"/>
        <v>-3.3829628636577243E-2</v>
      </c>
    </row>
    <row r="750" spans="1:23" x14ac:dyDescent="0.2">
      <c r="A750" s="8">
        <v>42780</v>
      </c>
      <c r="B750" s="9">
        <v>8.2100000000000009</v>
      </c>
      <c r="E750" s="51"/>
      <c r="F750" s="51"/>
      <c r="G750" s="51"/>
      <c r="H750" s="51"/>
      <c r="I750" s="51"/>
      <c r="J750" s="53"/>
      <c r="K750" s="53"/>
      <c r="L750" s="53"/>
      <c r="M750" s="53"/>
      <c r="N750" s="53"/>
      <c r="O750" s="139"/>
      <c r="P750" s="50"/>
      <c r="Q750" s="57"/>
      <c r="R750" s="12">
        <v>42789</v>
      </c>
      <c r="S750" s="11">
        <v>7.66</v>
      </c>
      <c r="T750" s="148">
        <v>0.97891373801916937</v>
      </c>
      <c r="U750" s="148">
        <f t="shared" si="39"/>
        <v>6.3887876677742916</v>
      </c>
      <c r="V750" s="278">
        <f t="shared" si="40"/>
        <v>4.5901639344263501E-3</v>
      </c>
      <c r="W750" s="278">
        <f t="shared" si="41"/>
        <v>4.3473540557704641E-3</v>
      </c>
    </row>
    <row r="751" spans="1:23" x14ac:dyDescent="0.2">
      <c r="A751" s="8">
        <v>42781</v>
      </c>
      <c r="B751" s="9">
        <v>8.1649999999999991</v>
      </c>
      <c r="E751" s="51"/>
      <c r="F751" s="51"/>
      <c r="G751" s="51"/>
      <c r="H751" s="51"/>
      <c r="I751" s="51"/>
      <c r="J751" s="53"/>
      <c r="K751" s="53"/>
      <c r="L751" s="53"/>
      <c r="M751" s="53"/>
      <c r="N751" s="53"/>
      <c r="O751" s="139"/>
      <c r="P751" s="50"/>
      <c r="Q751" s="57"/>
      <c r="R751" s="12">
        <v>42790</v>
      </c>
      <c r="S751" s="11">
        <v>7.4450000000000003</v>
      </c>
      <c r="T751" s="148">
        <v>0.95143769968051117</v>
      </c>
      <c r="U751" s="148">
        <f t="shared" si="39"/>
        <v>6.2079166487167736</v>
      </c>
      <c r="V751" s="278">
        <f t="shared" si="40"/>
        <v>-2.8067885117493474E-2</v>
      </c>
      <c r="W751" s="278">
        <f t="shared" si="41"/>
        <v>-2.8310694996149358E-2</v>
      </c>
    </row>
    <row r="752" spans="1:23" x14ac:dyDescent="0.2">
      <c r="A752" s="8">
        <v>42782</v>
      </c>
      <c r="B752" s="9">
        <v>8.1199999999999992</v>
      </c>
      <c r="E752" s="51"/>
      <c r="F752" s="51"/>
      <c r="G752" s="51"/>
      <c r="H752" s="51"/>
      <c r="I752" s="51"/>
      <c r="J752" s="53"/>
      <c r="K752" s="53"/>
      <c r="L752" s="53"/>
      <c r="M752" s="53"/>
      <c r="N752" s="53"/>
      <c r="O752" s="139"/>
      <c r="P752" s="50"/>
      <c r="Q752" s="57"/>
      <c r="R752" s="12">
        <v>42793</v>
      </c>
      <c r="S752" s="11">
        <v>7.5</v>
      </c>
      <c r="T752" s="148">
        <v>0.95846645367412142</v>
      </c>
      <c r="U752" s="148">
        <f t="shared" si="39"/>
        <v>6.2522703415858008</v>
      </c>
      <c r="V752" s="278">
        <f t="shared" si="40"/>
        <v>7.3875083948957698E-3</v>
      </c>
      <c r="W752" s="278">
        <f t="shared" si="41"/>
        <v>7.1446985162398838E-3</v>
      </c>
    </row>
    <row r="753" spans="1:23" x14ac:dyDescent="0.2">
      <c r="A753" s="8">
        <v>42783</v>
      </c>
      <c r="B753" s="9">
        <v>8.0449999999999999</v>
      </c>
      <c r="E753" s="51"/>
      <c r="F753" s="51"/>
      <c r="G753" s="51"/>
      <c r="H753" s="51"/>
      <c r="I753" s="51"/>
      <c r="J753" s="53"/>
      <c r="K753" s="53"/>
      <c r="L753" s="53"/>
      <c r="M753" s="53"/>
      <c r="N753" s="53"/>
      <c r="O753" s="139"/>
      <c r="P753" s="50"/>
      <c r="Q753" s="57"/>
      <c r="R753" s="12">
        <v>42794</v>
      </c>
      <c r="S753" s="11">
        <v>7.5649999999999995</v>
      </c>
      <c r="T753" s="148">
        <v>0.96677316293929705</v>
      </c>
      <c r="U753" s="148">
        <f t="shared" si="39"/>
        <v>6.3049385715432456</v>
      </c>
      <c r="V753" s="278">
        <f t="shared" si="40"/>
        <v>8.6666666666666003E-3</v>
      </c>
      <c r="W753" s="278">
        <f t="shared" si="41"/>
        <v>8.4238567880107144E-3</v>
      </c>
    </row>
    <row r="754" spans="1:23" x14ac:dyDescent="0.2">
      <c r="A754" s="8">
        <v>42786</v>
      </c>
      <c r="B754" s="9">
        <v>7.97</v>
      </c>
      <c r="E754" s="51"/>
      <c r="F754" s="51"/>
      <c r="G754" s="51"/>
      <c r="H754" s="51"/>
      <c r="I754" s="51"/>
      <c r="J754" s="53"/>
      <c r="K754" s="53"/>
      <c r="L754" s="53"/>
      <c r="M754" s="53"/>
      <c r="N754" s="53"/>
      <c r="O754" s="139"/>
      <c r="P754" s="50"/>
      <c r="Q754" s="57"/>
      <c r="R754" s="12">
        <v>42795</v>
      </c>
      <c r="S754" s="11">
        <v>7.8550000000000004</v>
      </c>
      <c r="T754" s="148">
        <v>1.0038338658146966</v>
      </c>
      <c r="U754" s="148">
        <f t="shared" si="39"/>
        <v>6.5451039273776619</v>
      </c>
      <c r="V754" s="278">
        <f t="shared" si="40"/>
        <v>3.8334434897554726E-2</v>
      </c>
      <c r="W754" s="278">
        <f t="shared" si="41"/>
        <v>3.8091625018898838E-2</v>
      </c>
    </row>
    <row r="755" spans="1:23" x14ac:dyDescent="0.2">
      <c r="A755" s="8">
        <v>42787</v>
      </c>
      <c r="B755" s="9">
        <v>7.89</v>
      </c>
      <c r="E755" s="51"/>
      <c r="F755" s="51"/>
      <c r="G755" s="51"/>
      <c r="H755" s="51"/>
      <c r="I755" s="51"/>
      <c r="J755" s="53"/>
      <c r="K755" s="53"/>
      <c r="L755" s="53"/>
      <c r="M755" s="53"/>
      <c r="N755" s="53"/>
      <c r="O755" s="139"/>
      <c r="P755" s="50"/>
      <c r="Q755" s="57"/>
      <c r="R755" s="12">
        <v>42796</v>
      </c>
      <c r="S755" s="11">
        <v>7.85</v>
      </c>
      <c r="T755" s="148">
        <v>1.0031948881789137</v>
      </c>
      <c r="U755" s="148">
        <f t="shared" si="39"/>
        <v>6.5393485091146495</v>
      </c>
      <c r="V755" s="278">
        <f t="shared" si="40"/>
        <v>-6.3653723742851387E-4</v>
      </c>
      <c r="W755" s="278">
        <f t="shared" si="41"/>
        <v>-8.7934711608439963E-4</v>
      </c>
    </row>
    <row r="756" spans="1:23" x14ac:dyDescent="0.2">
      <c r="A756" s="8">
        <v>42788</v>
      </c>
      <c r="B756" s="9">
        <v>7.625</v>
      </c>
      <c r="E756" s="51"/>
      <c r="F756" s="51"/>
      <c r="G756" s="51"/>
      <c r="H756" s="51"/>
      <c r="I756" s="51"/>
      <c r="J756" s="53"/>
      <c r="K756" s="53"/>
      <c r="L756" s="53"/>
      <c r="M756" s="53"/>
      <c r="N756" s="53"/>
      <c r="O756" s="139"/>
      <c r="P756" s="50"/>
      <c r="Q756" s="57"/>
      <c r="R756" s="12">
        <v>42797</v>
      </c>
      <c r="S756" s="11">
        <v>8.07</v>
      </c>
      <c r="T756" s="148">
        <v>1.0313099041533547</v>
      </c>
      <c r="U756" s="148">
        <f t="shared" si="39"/>
        <v>6.7210290565572004</v>
      </c>
      <c r="V756" s="278">
        <f t="shared" si="40"/>
        <v>2.8025477707006363E-2</v>
      </c>
      <c r="W756" s="278">
        <f t="shared" si="41"/>
        <v>2.7782667828350479E-2</v>
      </c>
    </row>
    <row r="757" spans="1:23" x14ac:dyDescent="0.2">
      <c r="A757" s="8">
        <v>42789</v>
      </c>
      <c r="B757" s="9">
        <v>7.66</v>
      </c>
      <c r="E757" s="51"/>
      <c r="F757" s="51"/>
      <c r="G757" s="51"/>
      <c r="H757" s="51"/>
      <c r="I757" s="51"/>
      <c r="J757" s="53"/>
      <c r="K757" s="53"/>
      <c r="L757" s="53"/>
      <c r="M757" s="53"/>
      <c r="N757" s="53"/>
      <c r="O757" s="139"/>
      <c r="P757" s="50"/>
      <c r="Q757" s="57"/>
      <c r="R757" s="12">
        <v>42800</v>
      </c>
      <c r="S757" s="11">
        <v>7.9249999999999998</v>
      </c>
      <c r="T757" s="148">
        <v>1.0127795527156549</v>
      </c>
      <c r="U757" s="148">
        <f t="shared" si="39"/>
        <v>6.5986351400199519</v>
      </c>
      <c r="V757" s="278">
        <f t="shared" si="40"/>
        <v>-1.7967781908302394E-2</v>
      </c>
      <c r="W757" s="278">
        <f t="shared" si="41"/>
        <v>-1.8210591786958278E-2</v>
      </c>
    </row>
    <row r="758" spans="1:23" x14ac:dyDescent="0.2">
      <c r="A758" s="8">
        <v>42790</v>
      </c>
      <c r="B758" s="9">
        <v>7.4450000000000003</v>
      </c>
      <c r="E758" s="51"/>
      <c r="F758" s="51"/>
      <c r="G758" s="51"/>
      <c r="H758" s="51"/>
      <c r="I758" s="51"/>
      <c r="J758" s="53"/>
      <c r="K758" s="53"/>
      <c r="L758" s="53"/>
      <c r="M758" s="53"/>
      <c r="N758" s="53"/>
      <c r="O758" s="139"/>
      <c r="P758" s="50"/>
      <c r="Q758" s="57"/>
      <c r="R758" s="12">
        <v>42801</v>
      </c>
      <c r="S758" s="11">
        <v>7.92</v>
      </c>
      <c r="T758" s="148">
        <v>1.0121405750798722</v>
      </c>
      <c r="U758" s="148">
        <f t="shared" si="39"/>
        <v>6.592869749477817</v>
      </c>
      <c r="V758" s="278">
        <f t="shared" si="40"/>
        <v>-6.309148264984632E-4</v>
      </c>
      <c r="W758" s="278">
        <f t="shared" si="41"/>
        <v>-8.7372470515434896E-4</v>
      </c>
    </row>
    <row r="759" spans="1:23" x14ac:dyDescent="0.2">
      <c r="A759" s="8">
        <v>42793</v>
      </c>
      <c r="B759" s="9">
        <v>7.5</v>
      </c>
      <c r="E759" s="51"/>
      <c r="F759" s="51"/>
      <c r="G759" s="51"/>
      <c r="H759" s="51"/>
      <c r="I759" s="51"/>
      <c r="J759" s="53"/>
      <c r="K759" s="53"/>
      <c r="L759" s="53"/>
      <c r="M759" s="53"/>
      <c r="N759" s="53"/>
      <c r="O759" s="139"/>
      <c r="P759" s="50"/>
      <c r="Q759" s="57"/>
      <c r="R759" s="12">
        <v>42802</v>
      </c>
      <c r="S759" s="11">
        <v>7.9950000000000001</v>
      </c>
      <c r="T759" s="148">
        <v>1.0217252396166134</v>
      </c>
      <c r="U759" s="148">
        <f t="shared" si="39"/>
        <v>6.6537014142621889</v>
      </c>
      <c r="V759" s="278">
        <f t="shared" si="40"/>
        <v>9.4696969696970168E-3</v>
      </c>
      <c r="W759" s="278">
        <f t="shared" si="41"/>
        <v>9.2268870910411308E-3</v>
      </c>
    </row>
    <row r="760" spans="1:23" x14ac:dyDescent="0.2">
      <c r="A760" s="8">
        <v>42794</v>
      </c>
      <c r="B760" s="9">
        <v>7.5649999999999995</v>
      </c>
      <c r="E760" s="51"/>
      <c r="F760" s="51"/>
      <c r="G760" s="51"/>
      <c r="H760" s="51"/>
      <c r="I760" s="51"/>
      <c r="J760" s="53"/>
      <c r="K760" s="53"/>
      <c r="L760" s="53"/>
      <c r="M760" s="53"/>
      <c r="N760" s="53"/>
      <c r="O760" s="139"/>
      <c r="P760" s="50"/>
      <c r="Q760" s="57"/>
      <c r="R760" s="12">
        <v>42803</v>
      </c>
      <c r="S760" s="11">
        <v>8.2050000000000001</v>
      </c>
      <c r="T760" s="148">
        <v>1.0485623003194888</v>
      </c>
      <c r="U760" s="148">
        <f t="shared" si="39"/>
        <v>6.8268547225114879</v>
      </c>
      <c r="V760" s="278">
        <f t="shared" si="40"/>
        <v>2.6266416510319024E-2</v>
      </c>
      <c r="W760" s="278">
        <f t="shared" si="41"/>
        <v>2.602360663166314E-2</v>
      </c>
    </row>
    <row r="761" spans="1:23" x14ac:dyDescent="0.2">
      <c r="A761" s="8">
        <v>42795</v>
      </c>
      <c r="B761" s="9">
        <v>7.8550000000000004</v>
      </c>
      <c r="E761" s="51"/>
      <c r="F761" s="51"/>
      <c r="G761" s="51"/>
      <c r="H761" s="51"/>
      <c r="I761" s="51"/>
      <c r="J761" s="53"/>
      <c r="K761" s="53"/>
      <c r="L761" s="53"/>
      <c r="M761" s="53"/>
      <c r="N761" s="53"/>
      <c r="O761" s="139"/>
      <c r="P761" s="50"/>
      <c r="Q761" s="57"/>
      <c r="R761" s="12">
        <v>42804</v>
      </c>
      <c r="S761" s="11">
        <v>8.4</v>
      </c>
      <c r="T761" s="148">
        <v>1.0734824281150159</v>
      </c>
      <c r="U761" s="148">
        <f t="shared" si="39"/>
        <v>6.9874440991188438</v>
      </c>
      <c r="V761" s="278">
        <f t="shared" si="40"/>
        <v>2.3765996343692919E-2</v>
      </c>
      <c r="W761" s="278">
        <f t="shared" si="41"/>
        <v>2.3523186465037035E-2</v>
      </c>
    </row>
    <row r="762" spans="1:23" x14ac:dyDescent="0.2">
      <c r="A762" s="8">
        <v>42796</v>
      </c>
      <c r="B762" s="9">
        <v>7.85</v>
      </c>
      <c r="E762" s="51"/>
      <c r="F762" s="51"/>
      <c r="G762" s="51"/>
      <c r="H762" s="51"/>
      <c r="I762" s="51"/>
      <c r="J762" s="53"/>
      <c r="K762" s="53"/>
      <c r="L762" s="53"/>
      <c r="M762" s="53"/>
      <c r="N762" s="53"/>
      <c r="O762" s="139"/>
      <c r="P762" s="50"/>
      <c r="Q762" s="57"/>
      <c r="R762" s="12">
        <v>42807</v>
      </c>
      <c r="S762" s="11">
        <v>8.2750000000000004</v>
      </c>
      <c r="T762" s="148">
        <v>1.0575079872204474</v>
      </c>
      <c r="U762" s="148">
        <f t="shared" si="39"/>
        <v>6.8817676557614682</v>
      </c>
      <c r="V762" s="278">
        <f t="shared" si="40"/>
        <v>-1.4880952380952328E-2</v>
      </c>
      <c r="W762" s="278">
        <f t="shared" si="41"/>
        <v>-1.5123762259608214E-2</v>
      </c>
    </row>
    <row r="763" spans="1:23" x14ac:dyDescent="0.2">
      <c r="A763" s="8">
        <v>42797</v>
      </c>
      <c r="B763" s="9">
        <v>8.07</v>
      </c>
      <c r="E763" s="51"/>
      <c r="F763" s="51"/>
      <c r="G763" s="51"/>
      <c r="H763" s="51"/>
      <c r="I763" s="51"/>
      <c r="J763" s="53"/>
      <c r="K763" s="53"/>
      <c r="L763" s="53"/>
      <c r="M763" s="53"/>
      <c r="N763" s="53"/>
      <c r="O763" s="139"/>
      <c r="P763" s="50"/>
      <c r="Q763" s="57"/>
      <c r="R763" s="12">
        <v>42808</v>
      </c>
      <c r="S763" s="11">
        <v>8.15</v>
      </c>
      <c r="T763" s="148">
        <v>1.0415335463258786</v>
      </c>
      <c r="U763" s="148">
        <f t="shared" si="39"/>
        <v>6.7761425003962419</v>
      </c>
      <c r="V763" s="278">
        <f t="shared" si="40"/>
        <v>-1.5105740181268867E-2</v>
      </c>
      <c r="W763" s="278">
        <f t="shared" si="41"/>
        <v>-1.5348550059924753E-2</v>
      </c>
    </row>
    <row r="764" spans="1:23" x14ac:dyDescent="0.2">
      <c r="A764" s="8">
        <v>42800</v>
      </c>
      <c r="B764" s="9">
        <v>7.9249999999999998</v>
      </c>
      <c r="E764" s="51"/>
      <c r="F764" s="51"/>
      <c r="G764" s="51"/>
      <c r="H764" s="51"/>
      <c r="I764" s="51"/>
      <c r="J764" s="53"/>
      <c r="K764" s="53"/>
      <c r="L764" s="53"/>
      <c r="M764" s="53"/>
      <c r="N764" s="53"/>
      <c r="O764" s="139"/>
      <c r="P764" s="50"/>
      <c r="Q764" s="57"/>
      <c r="R764" s="12">
        <v>42809</v>
      </c>
      <c r="S764" s="11">
        <v>8.2899999999999991</v>
      </c>
      <c r="T764" s="148">
        <v>1.0594249201277954</v>
      </c>
      <c r="U764" s="148">
        <f t="shared" si="39"/>
        <v>6.8908971799298016</v>
      </c>
      <c r="V764" s="278">
        <f t="shared" si="40"/>
        <v>1.7177914110429349E-2</v>
      </c>
      <c r="W764" s="278">
        <f t="shared" si="41"/>
        <v>1.6935104231773464E-2</v>
      </c>
    </row>
    <row r="765" spans="1:23" x14ac:dyDescent="0.2">
      <c r="A765" s="8">
        <v>42801</v>
      </c>
      <c r="B765" s="9">
        <v>7.92</v>
      </c>
      <c r="E765" s="51"/>
      <c r="F765" s="51"/>
      <c r="G765" s="51"/>
      <c r="H765" s="51"/>
      <c r="I765" s="51"/>
      <c r="J765" s="53"/>
      <c r="K765" s="53"/>
      <c r="L765" s="53"/>
      <c r="M765" s="53"/>
      <c r="N765" s="53"/>
      <c r="O765" s="139"/>
      <c r="P765" s="50"/>
      <c r="Q765" s="57"/>
      <c r="R765" s="12">
        <v>42810</v>
      </c>
      <c r="S765" s="11">
        <v>8.41</v>
      </c>
      <c r="T765" s="148">
        <v>1.0747603833865815</v>
      </c>
      <c r="U765" s="148">
        <f t="shared" si="39"/>
        <v>6.9889716089688259</v>
      </c>
      <c r="V765" s="278">
        <f t="shared" si="40"/>
        <v>1.4475271411338975E-2</v>
      </c>
      <c r="W765" s="278">
        <f t="shared" si="41"/>
        <v>1.4232461532683089E-2</v>
      </c>
    </row>
    <row r="766" spans="1:23" x14ac:dyDescent="0.2">
      <c r="A766" s="8">
        <v>42802</v>
      </c>
      <c r="B766" s="9">
        <v>7.9950000000000001</v>
      </c>
      <c r="E766" s="51"/>
      <c r="F766" s="51"/>
      <c r="G766" s="51"/>
      <c r="H766" s="51"/>
      <c r="I766" s="51"/>
      <c r="J766" s="53"/>
      <c r="K766" s="53"/>
      <c r="L766" s="53"/>
      <c r="M766" s="53"/>
      <c r="N766" s="53"/>
      <c r="O766" s="139"/>
      <c r="P766" s="50"/>
      <c r="Q766" s="57"/>
      <c r="R766" s="12">
        <v>42811</v>
      </c>
      <c r="S766" s="11">
        <v>8.3249999999999993</v>
      </c>
      <c r="T766" s="148">
        <v>1.0638977635782747</v>
      </c>
      <c r="U766" s="148">
        <f t="shared" si="39"/>
        <v>6.9166369735346303</v>
      </c>
      <c r="V766" s="278">
        <f t="shared" si="40"/>
        <v>-1.0107015457788471E-2</v>
      </c>
      <c r="W766" s="278">
        <f t="shared" si="41"/>
        <v>-1.0349825336444357E-2</v>
      </c>
    </row>
    <row r="767" spans="1:23" x14ac:dyDescent="0.2">
      <c r="A767" s="8">
        <v>42803</v>
      </c>
      <c r="B767" s="9">
        <v>8.2050000000000001</v>
      </c>
      <c r="E767" s="51"/>
      <c r="F767" s="51"/>
      <c r="G767" s="51"/>
      <c r="H767" s="51"/>
      <c r="I767" s="51"/>
      <c r="J767" s="53"/>
      <c r="K767" s="53"/>
      <c r="L767" s="53"/>
      <c r="M767" s="53"/>
      <c r="N767" s="53"/>
      <c r="O767" s="139"/>
      <c r="P767" s="50"/>
      <c r="Q767" s="57"/>
      <c r="R767" s="12">
        <v>42814</v>
      </c>
      <c r="S767" s="11">
        <v>8.3049999999999997</v>
      </c>
      <c r="T767" s="148">
        <v>1.0613418530351437</v>
      </c>
      <c r="U767" s="148">
        <f t="shared" si="39"/>
        <v>6.8983410004686156</v>
      </c>
      <c r="V767" s="278">
        <f t="shared" si="40"/>
        <v>-2.4024024024023038E-3</v>
      </c>
      <c r="W767" s="278">
        <f t="shared" si="41"/>
        <v>-2.6452122810581898E-3</v>
      </c>
    </row>
    <row r="768" spans="1:23" x14ac:dyDescent="0.2">
      <c r="A768" s="8">
        <v>42804</v>
      </c>
      <c r="B768" s="9">
        <v>8.4</v>
      </c>
      <c r="E768" s="51"/>
      <c r="F768" s="51"/>
      <c r="G768" s="51"/>
      <c r="H768" s="51"/>
      <c r="I768" s="51"/>
      <c r="J768" s="53"/>
      <c r="K768" s="53"/>
      <c r="L768" s="53"/>
      <c r="M768" s="53"/>
      <c r="N768" s="53"/>
      <c r="O768" s="139"/>
      <c r="P768" s="50"/>
      <c r="Q768" s="57"/>
      <c r="R768" s="12">
        <v>42815</v>
      </c>
      <c r="S768" s="11">
        <v>8.33</v>
      </c>
      <c r="T768" s="148">
        <v>1.0645367412140574</v>
      </c>
      <c r="U768" s="148">
        <f t="shared" si="39"/>
        <v>6.9174316412576129</v>
      </c>
      <c r="V768" s="278">
        <f t="shared" si="40"/>
        <v>3.0102347983143041E-3</v>
      </c>
      <c r="W768" s="278">
        <f t="shared" si="41"/>
        <v>2.7674249196584181E-3</v>
      </c>
    </row>
    <row r="769" spans="1:23" x14ac:dyDescent="0.2">
      <c r="A769" s="8">
        <v>42807</v>
      </c>
      <c r="B769" s="9">
        <v>8.2750000000000004</v>
      </c>
      <c r="E769" s="51"/>
      <c r="F769" s="51"/>
      <c r="G769" s="51"/>
      <c r="H769" s="51"/>
      <c r="I769" s="51"/>
      <c r="J769" s="53"/>
      <c r="K769" s="53"/>
      <c r="L769" s="53"/>
      <c r="M769" s="53"/>
      <c r="N769" s="53"/>
      <c r="O769" s="139"/>
      <c r="P769" s="50"/>
      <c r="Q769" s="57"/>
      <c r="R769" s="12">
        <v>42816</v>
      </c>
      <c r="S769" s="11">
        <v>8.3450000000000006</v>
      </c>
      <c r="T769" s="148">
        <v>1.0664536741214059</v>
      </c>
      <c r="U769" s="148">
        <f t="shared" si="39"/>
        <v>6.9282083800182521</v>
      </c>
      <c r="V769" s="278">
        <f t="shared" si="40"/>
        <v>1.8007202881153983E-3</v>
      </c>
      <c r="W769" s="278">
        <f t="shared" si="41"/>
        <v>1.5579104094595125E-3</v>
      </c>
    </row>
    <row r="770" spans="1:23" x14ac:dyDescent="0.2">
      <c r="A770" s="8">
        <v>42808</v>
      </c>
      <c r="B770" s="9">
        <v>8.15</v>
      </c>
      <c r="E770" s="51"/>
      <c r="F770" s="51"/>
      <c r="G770" s="51"/>
      <c r="H770" s="51"/>
      <c r="I770" s="51"/>
      <c r="J770" s="53"/>
      <c r="K770" s="53"/>
      <c r="L770" s="53"/>
      <c r="M770" s="53"/>
      <c r="N770" s="53"/>
      <c r="O770" s="139"/>
      <c r="P770" s="50"/>
      <c r="Q770" s="57"/>
      <c r="R770" s="12">
        <v>42817</v>
      </c>
      <c r="S770" s="11">
        <v>8.4450000000000003</v>
      </c>
      <c r="T770" s="148">
        <v>1.0792332268370608</v>
      </c>
      <c r="U770" s="148">
        <f t="shared" si="39"/>
        <v>7.0095484119652793</v>
      </c>
      <c r="V770" s="278">
        <f t="shared" si="40"/>
        <v>1.1983223487118E-2</v>
      </c>
      <c r="W770" s="278">
        <f t="shared" si="41"/>
        <v>1.1740413608462114E-2</v>
      </c>
    </row>
    <row r="771" spans="1:23" x14ac:dyDescent="0.2">
      <c r="A771" s="8">
        <v>42809</v>
      </c>
      <c r="B771" s="9">
        <v>8.2899999999999991</v>
      </c>
      <c r="E771" s="51"/>
      <c r="F771" s="51"/>
      <c r="G771" s="51"/>
      <c r="H771" s="51"/>
      <c r="I771" s="51"/>
      <c r="J771" s="53"/>
      <c r="K771" s="53"/>
      <c r="L771" s="53"/>
      <c r="M771" s="53"/>
      <c r="N771" s="53"/>
      <c r="O771" s="139"/>
      <c r="P771" s="50"/>
      <c r="Q771" s="57"/>
      <c r="R771" s="12">
        <v>42818</v>
      </c>
      <c r="S771" s="11">
        <v>8.4649999999999999</v>
      </c>
      <c r="T771" s="148">
        <v>1.0817891373801916</v>
      </c>
      <c r="U771" s="148">
        <f t="shared" si="39"/>
        <v>7.0244468942580989</v>
      </c>
      <c r="V771" s="278">
        <f t="shared" si="40"/>
        <v>2.3682652457075459E-3</v>
      </c>
      <c r="W771" s="278">
        <f t="shared" si="41"/>
        <v>2.12545536705166E-3</v>
      </c>
    </row>
    <row r="772" spans="1:23" x14ac:dyDescent="0.2">
      <c r="A772" s="8">
        <v>42810</v>
      </c>
      <c r="B772" s="9">
        <v>8.41</v>
      </c>
      <c r="E772" s="51"/>
      <c r="F772" s="51"/>
      <c r="G772" s="51"/>
      <c r="H772" s="51"/>
      <c r="I772" s="51"/>
      <c r="J772" s="53"/>
      <c r="K772" s="53"/>
      <c r="L772" s="53"/>
      <c r="M772" s="53"/>
      <c r="N772" s="53"/>
      <c r="O772" s="139"/>
      <c r="P772" s="50"/>
      <c r="Q772" s="57"/>
      <c r="R772" s="12">
        <v>42821</v>
      </c>
      <c r="S772" s="11">
        <v>8.375</v>
      </c>
      <c r="T772" s="148">
        <v>1.0702875399361023</v>
      </c>
      <c r="U772" s="148">
        <f t="shared" si="39"/>
        <v>6.9480572702016357</v>
      </c>
      <c r="V772" s="278">
        <f t="shared" si="40"/>
        <v>-1.0632014176018889E-2</v>
      </c>
      <c r="W772" s="278">
        <f t="shared" si="41"/>
        <v>-1.0874824054674775E-2</v>
      </c>
    </row>
    <row r="773" spans="1:23" x14ac:dyDescent="0.2">
      <c r="A773" s="8">
        <v>42811</v>
      </c>
      <c r="B773" s="9">
        <v>8.3249999999999993</v>
      </c>
      <c r="E773" s="51"/>
      <c r="F773" s="51"/>
      <c r="G773" s="51"/>
      <c r="H773" s="51"/>
      <c r="I773" s="51"/>
      <c r="J773" s="53"/>
      <c r="K773" s="53"/>
      <c r="L773" s="53"/>
      <c r="M773" s="53"/>
      <c r="N773" s="53"/>
      <c r="O773" s="139"/>
      <c r="P773" s="50"/>
      <c r="Q773" s="57"/>
      <c r="R773" s="12">
        <v>42822</v>
      </c>
      <c r="S773" s="11">
        <v>8.4700000000000006</v>
      </c>
      <c r="T773" s="148">
        <v>1.0824281150159745</v>
      </c>
      <c r="U773" s="148">
        <f t="shared" si="39"/>
        <v>7.0251839972194601</v>
      </c>
      <c r="V773" s="278">
        <f t="shared" si="40"/>
        <v>1.1343283582089692E-2</v>
      </c>
      <c r="W773" s="278">
        <f t="shared" si="41"/>
        <v>1.1100473703433806E-2</v>
      </c>
    </row>
    <row r="774" spans="1:23" x14ac:dyDescent="0.2">
      <c r="A774" s="8">
        <v>42814</v>
      </c>
      <c r="B774" s="9">
        <v>8.3049999999999997</v>
      </c>
      <c r="E774" s="51"/>
      <c r="F774" s="51"/>
      <c r="G774" s="51"/>
      <c r="H774" s="51"/>
      <c r="I774" s="51"/>
      <c r="J774" s="53"/>
      <c r="K774" s="53"/>
      <c r="L774" s="53"/>
      <c r="M774" s="53"/>
      <c r="N774" s="53"/>
      <c r="O774" s="139"/>
      <c r="P774" s="50"/>
      <c r="Q774" s="57"/>
      <c r="R774" s="12">
        <v>42823</v>
      </c>
      <c r="S774" s="11">
        <v>8.4350000000000005</v>
      </c>
      <c r="T774" s="148">
        <v>1.0779552715654952</v>
      </c>
      <c r="U774" s="148">
        <f t="shared" si="39"/>
        <v>6.9944485272066368</v>
      </c>
      <c r="V774" s="278">
        <f t="shared" si="40"/>
        <v>-4.1322314049586639E-3</v>
      </c>
      <c r="W774" s="278">
        <f t="shared" si="41"/>
        <v>-4.3750412836145499E-3</v>
      </c>
    </row>
    <row r="775" spans="1:23" x14ac:dyDescent="0.2">
      <c r="A775" s="8">
        <v>42815</v>
      </c>
      <c r="B775" s="9">
        <v>8.33</v>
      </c>
      <c r="E775" s="51"/>
      <c r="F775" s="51"/>
      <c r="G775" s="51"/>
      <c r="H775" s="51"/>
      <c r="I775" s="51"/>
      <c r="J775" s="53"/>
      <c r="K775" s="53"/>
      <c r="L775" s="53"/>
      <c r="M775" s="53"/>
      <c r="N775" s="53"/>
      <c r="O775" s="139"/>
      <c r="P775" s="50"/>
      <c r="Q775" s="57"/>
      <c r="R775" s="12">
        <v>42824</v>
      </c>
      <c r="S775" s="11">
        <v>8.49</v>
      </c>
      <c r="T775" s="148">
        <v>1.0849840255591054</v>
      </c>
      <c r="U775" s="148">
        <f t="shared" si="39"/>
        <v>7.0383571614318781</v>
      </c>
      <c r="V775" s="278">
        <f t="shared" si="40"/>
        <v>6.5204505038529703E-3</v>
      </c>
      <c r="W775" s="278">
        <f t="shared" si="41"/>
        <v>6.2776406251970843E-3</v>
      </c>
    </row>
    <row r="776" spans="1:23" x14ac:dyDescent="0.2">
      <c r="A776" s="8">
        <v>42816</v>
      </c>
      <c r="B776" s="9">
        <v>8.3450000000000006</v>
      </c>
      <c r="E776" s="51"/>
      <c r="F776" s="51"/>
      <c r="G776" s="51"/>
      <c r="H776" s="51"/>
      <c r="I776" s="51"/>
      <c r="J776" s="53"/>
      <c r="K776" s="53"/>
      <c r="L776" s="53"/>
      <c r="M776" s="53"/>
      <c r="N776" s="53"/>
      <c r="O776" s="139"/>
      <c r="P776" s="50"/>
      <c r="Q776" s="57"/>
      <c r="R776" s="12">
        <v>42825</v>
      </c>
      <c r="S776" s="11">
        <v>8.4499999999999993</v>
      </c>
      <c r="T776" s="148">
        <v>1.0798722044728433</v>
      </c>
      <c r="U776" s="148">
        <f t="shared" si="39"/>
        <v>7.0034874854434932</v>
      </c>
      <c r="V776" s="278">
        <f t="shared" si="40"/>
        <v>-4.7114252061249973E-3</v>
      </c>
      <c r="W776" s="278">
        <f t="shared" si="41"/>
        <v>-4.9542350847808832E-3</v>
      </c>
    </row>
    <row r="777" spans="1:23" x14ac:dyDescent="0.2">
      <c r="A777" s="8">
        <v>42817</v>
      </c>
      <c r="B777" s="9">
        <v>8.4450000000000003</v>
      </c>
      <c r="E777" s="51"/>
      <c r="F777" s="51"/>
      <c r="G777" s="51"/>
      <c r="H777" s="51"/>
      <c r="I777" s="51"/>
      <c r="J777" s="53"/>
      <c r="K777" s="53"/>
      <c r="L777" s="53"/>
      <c r="M777" s="53"/>
      <c r="N777" s="53"/>
      <c r="O777" s="139"/>
      <c r="P777" s="50"/>
      <c r="Q777" s="57"/>
      <c r="R777" s="12">
        <v>42828</v>
      </c>
      <c r="S777" s="11">
        <v>8.2449999999999992</v>
      </c>
      <c r="T777" s="148">
        <v>1.0536741214057508</v>
      </c>
      <c r="U777" s="148">
        <f t="shared" si="39"/>
        <v>6.8318798766548641</v>
      </c>
      <c r="V777" s="278">
        <f t="shared" si="40"/>
        <v>-2.4260355029585789E-2</v>
      </c>
      <c r="W777" s="278">
        <f t="shared" si="41"/>
        <v>-2.4503164908241674E-2</v>
      </c>
    </row>
    <row r="778" spans="1:23" x14ac:dyDescent="0.2">
      <c r="A778" s="8">
        <v>42818</v>
      </c>
      <c r="B778" s="9">
        <v>8.4649999999999999</v>
      </c>
      <c r="E778" s="51"/>
      <c r="F778" s="51"/>
      <c r="G778" s="51"/>
      <c r="H778" s="51"/>
      <c r="I778" s="51"/>
      <c r="J778" s="53"/>
      <c r="K778" s="53"/>
      <c r="L778" s="53"/>
      <c r="M778" s="53"/>
      <c r="N778" s="53"/>
      <c r="O778" s="139"/>
      <c r="P778" s="50"/>
      <c r="Q778" s="57"/>
      <c r="R778" s="12">
        <v>42829</v>
      </c>
      <c r="S778" s="11">
        <v>8.26</v>
      </c>
      <c r="T778" s="148">
        <v>1.0555910543130991</v>
      </c>
      <c r="U778" s="148">
        <f t="shared" si="39"/>
        <v>6.842650161314384</v>
      </c>
      <c r="V778" s="278">
        <f t="shared" si="40"/>
        <v>1.8192844147968401E-3</v>
      </c>
      <c r="W778" s="278">
        <f t="shared" si="41"/>
        <v>1.5764745361409543E-3</v>
      </c>
    </row>
    <row r="779" spans="1:23" x14ac:dyDescent="0.2">
      <c r="A779" s="8">
        <v>42821</v>
      </c>
      <c r="B779" s="9">
        <v>8.375</v>
      </c>
      <c r="E779" s="51"/>
      <c r="F779" s="51"/>
      <c r="G779" s="51"/>
      <c r="H779" s="51"/>
      <c r="I779" s="51"/>
      <c r="J779" s="53"/>
      <c r="K779" s="53"/>
      <c r="L779" s="53"/>
      <c r="M779" s="53"/>
      <c r="N779" s="53"/>
      <c r="O779" s="139"/>
      <c r="P779" s="50"/>
      <c r="Q779" s="57"/>
      <c r="R779" s="12">
        <v>42830</v>
      </c>
      <c r="S779" s="11">
        <v>8.2550000000000008</v>
      </c>
      <c r="T779" s="148">
        <v>1.0549520766773164</v>
      </c>
      <c r="U779" s="148">
        <f t="shared" si="39"/>
        <v>6.8368466582098097</v>
      </c>
      <c r="V779" s="278">
        <f t="shared" si="40"/>
        <v>-6.0532687651315698E-4</v>
      </c>
      <c r="W779" s="278">
        <f t="shared" si="41"/>
        <v>-8.4813675516904263E-4</v>
      </c>
    </row>
    <row r="780" spans="1:23" x14ac:dyDescent="0.2">
      <c r="A780" s="8">
        <v>42822</v>
      </c>
      <c r="B780" s="9">
        <v>8.4700000000000006</v>
      </c>
      <c r="E780" s="51"/>
      <c r="F780" s="51"/>
      <c r="G780" s="51"/>
      <c r="H780" s="51"/>
      <c r="I780" s="51"/>
      <c r="J780" s="53"/>
      <c r="K780" s="53"/>
      <c r="L780" s="53"/>
      <c r="M780" s="53"/>
      <c r="N780" s="53"/>
      <c r="O780" s="139"/>
      <c r="P780" s="50"/>
      <c r="Q780" s="57"/>
      <c r="R780" s="12">
        <v>42831</v>
      </c>
      <c r="S780" s="11">
        <v>8.2100000000000009</v>
      </c>
      <c r="T780" s="148">
        <v>1.0492012779552717</v>
      </c>
      <c r="U780" s="148">
        <f t="shared" si="39"/>
        <v>6.797917300895989</v>
      </c>
      <c r="V780" s="278">
        <f t="shared" si="40"/>
        <v>-5.4512416717140688E-3</v>
      </c>
      <c r="W780" s="278">
        <f t="shared" si="41"/>
        <v>-5.6940515503699548E-3</v>
      </c>
    </row>
    <row r="781" spans="1:23" x14ac:dyDescent="0.2">
      <c r="A781" s="8">
        <v>42823</v>
      </c>
      <c r="B781" s="9">
        <v>8.4350000000000005</v>
      </c>
      <c r="E781" s="51"/>
      <c r="F781" s="51"/>
      <c r="G781" s="51"/>
      <c r="H781" s="51"/>
      <c r="I781" s="51"/>
      <c r="J781" s="53"/>
      <c r="K781" s="53"/>
      <c r="L781" s="53"/>
      <c r="M781" s="53"/>
      <c r="N781" s="53"/>
      <c r="O781" s="139"/>
      <c r="P781" s="50"/>
      <c r="Q781" s="57"/>
      <c r="R781" s="12">
        <v>42832</v>
      </c>
      <c r="S781" s="11">
        <v>8.31</v>
      </c>
      <c r="T781" s="148">
        <v>1.0619808306709266</v>
      </c>
      <c r="U781" s="148">
        <f t="shared" si="39"/>
        <v>6.8790671537559529</v>
      </c>
      <c r="V781" s="278">
        <f t="shared" si="40"/>
        <v>1.2180267965895109E-2</v>
      </c>
      <c r="W781" s="278">
        <f t="shared" si="41"/>
        <v>1.1937458087239223E-2</v>
      </c>
    </row>
    <row r="782" spans="1:23" x14ac:dyDescent="0.2">
      <c r="A782" s="8">
        <v>42824</v>
      </c>
      <c r="B782" s="9">
        <v>8.49</v>
      </c>
      <c r="E782" s="51"/>
      <c r="F782" s="51"/>
      <c r="G782" s="51"/>
      <c r="H782" s="51"/>
      <c r="I782" s="51"/>
      <c r="J782" s="53"/>
      <c r="K782" s="53"/>
      <c r="L782" s="53"/>
      <c r="M782" s="53"/>
      <c r="N782" s="53"/>
      <c r="O782" s="139"/>
      <c r="P782" s="50"/>
      <c r="Q782" s="57"/>
      <c r="R782" s="12">
        <v>42835</v>
      </c>
      <c r="S782" s="11">
        <v>8.14</v>
      </c>
      <c r="T782" s="148">
        <v>1.0402555910543132</v>
      </c>
      <c r="U782" s="148">
        <f t="shared" si="39"/>
        <v>6.7366698427429164</v>
      </c>
      <c r="V782" s="278">
        <f t="shared" si="40"/>
        <v>-2.0457280385078214E-2</v>
      </c>
      <c r="W782" s="278">
        <f t="shared" si="41"/>
        <v>-2.0700090263734098E-2</v>
      </c>
    </row>
    <row r="783" spans="1:23" x14ac:dyDescent="0.2">
      <c r="A783" s="8">
        <v>42825</v>
      </c>
      <c r="B783" s="9">
        <v>8.4499999999999993</v>
      </c>
      <c r="E783" s="51"/>
      <c r="F783" s="51"/>
      <c r="G783" s="51"/>
      <c r="H783" s="51"/>
      <c r="I783" s="51"/>
      <c r="J783" s="53"/>
      <c r="K783" s="53"/>
      <c r="L783" s="53"/>
      <c r="M783" s="53"/>
      <c r="N783" s="53"/>
      <c r="O783" s="139"/>
      <c r="P783" s="50"/>
      <c r="Q783" s="57"/>
      <c r="R783" s="12">
        <v>42836</v>
      </c>
      <c r="S783" s="11">
        <v>8.06</v>
      </c>
      <c r="T783" s="148">
        <v>1.0300319488817893</v>
      </c>
      <c r="U783" s="148">
        <f t="shared" si="39"/>
        <v>6.6688260553333203</v>
      </c>
      <c r="V783" s="278">
        <f t="shared" si="40"/>
        <v>-9.8280098280097983E-3</v>
      </c>
      <c r="W783" s="278">
        <f t="shared" si="41"/>
        <v>-1.0070819706665684E-2</v>
      </c>
    </row>
    <row r="784" spans="1:23" x14ac:dyDescent="0.2">
      <c r="A784" s="8">
        <v>42828</v>
      </c>
      <c r="B784" s="9">
        <v>8.2449999999999992</v>
      </c>
      <c r="E784" s="51"/>
      <c r="F784" s="51"/>
      <c r="G784" s="51"/>
      <c r="H784" s="51"/>
      <c r="I784" s="51"/>
      <c r="J784" s="53"/>
      <c r="K784" s="53"/>
      <c r="L784" s="53"/>
      <c r="M784" s="53"/>
      <c r="N784" s="53"/>
      <c r="O784" s="139"/>
      <c r="P784" s="50"/>
      <c r="Q784" s="57"/>
      <c r="R784" s="12">
        <v>42837</v>
      </c>
      <c r="S784" s="11">
        <v>7.85</v>
      </c>
      <c r="T784" s="148">
        <v>1.0031948881789137</v>
      </c>
      <c r="U784" s="148">
        <f t="shared" si="39"/>
        <v>6.4934532660289905</v>
      </c>
      <c r="V784" s="278">
        <f t="shared" si="40"/>
        <v>-2.6054590570719682E-2</v>
      </c>
      <c r="W784" s="278">
        <f t="shared" si="41"/>
        <v>-2.6297400449375567E-2</v>
      </c>
    </row>
    <row r="785" spans="1:23" x14ac:dyDescent="0.2">
      <c r="A785" s="8">
        <v>42829</v>
      </c>
      <c r="B785" s="9">
        <v>8.26</v>
      </c>
      <c r="E785" s="51"/>
      <c r="F785" s="51"/>
      <c r="G785" s="51"/>
      <c r="H785" s="51"/>
      <c r="I785" s="51"/>
      <c r="J785" s="53"/>
      <c r="K785" s="53"/>
      <c r="L785" s="53"/>
      <c r="M785" s="53"/>
      <c r="N785" s="53"/>
      <c r="O785" s="139"/>
      <c r="P785" s="50"/>
      <c r="Q785" s="57"/>
      <c r="R785" s="12">
        <v>42838</v>
      </c>
      <c r="S785" s="11">
        <v>7.79</v>
      </c>
      <c r="T785" s="148">
        <v>0.99552715654952073</v>
      </c>
      <c r="U785" s="148">
        <f t="shared" si="39"/>
        <v>6.4422451014979769</v>
      </c>
      <c r="V785" s="278">
        <f t="shared" si="40"/>
        <v>-7.6433121019108263E-3</v>
      </c>
      <c r="W785" s="278">
        <f t="shared" si="41"/>
        <v>-7.8861219805667123E-3</v>
      </c>
    </row>
    <row r="786" spans="1:23" x14ac:dyDescent="0.2">
      <c r="A786" s="8">
        <v>42830</v>
      </c>
      <c r="B786" s="9">
        <v>8.2550000000000008</v>
      </c>
      <c r="E786" s="51"/>
      <c r="F786" s="51"/>
      <c r="G786" s="51"/>
      <c r="H786" s="51"/>
      <c r="I786" s="51"/>
      <c r="J786" s="53"/>
      <c r="K786" s="53"/>
      <c r="L786" s="53"/>
      <c r="M786" s="53"/>
      <c r="N786" s="53"/>
      <c r="O786" s="139"/>
      <c r="P786" s="50"/>
      <c r="Q786" s="57"/>
      <c r="R786" s="12">
        <v>42843</v>
      </c>
      <c r="S786" s="11">
        <v>7.6950000000000003</v>
      </c>
      <c r="T786" s="148">
        <v>0.98338658146964852</v>
      </c>
      <c r="U786" s="148">
        <f t="shared" si="39"/>
        <v>6.3621168960941965</v>
      </c>
      <c r="V786" s="278">
        <f t="shared" si="40"/>
        <v>-1.2195121951219523E-2</v>
      </c>
      <c r="W786" s="278">
        <f t="shared" si="41"/>
        <v>-1.2437931829875409E-2</v>
      </c>
    </row>
    <row r="787" spans="1:23" x14ac:dyDescent="0.2">
      <c r="A787" s="8">
        <v>42831</v>
      </c>
      <c r="B787" s="9">
        <v>8.2100000000000009</v>
      </c>
      <c r="E787" s="51"/>
      <c r="F787" s="51"/>
      <c r="G787" s="51"/>
      <c r="H787" s="51"/>
      <c r="I787" s="51"/>
      <c r="J787" s="53"/>
      <c r="K787" s="53"/>
      <c r="L787" s="53"/>
      <c r="M787" s="53"/>
      <c r="N787" s="53"/>
      <c r="O787" s="139"/>
      <c r="P787" s="50"/>
      <c r="Q787" s="57"/>
      <c r="R787" s="12">
        <v>42844</v>
      </c>
      <c r="S787" s="11">
        <v>7.9</v>
      </c>
      <c r="T787" s="148">
        <v>1.0095846645367412</v>
      </c>
      <c r="U787" s="148">
        <f t="shared" si="39"/>
        <v>6.5300632046608813</v>
      </c>
      <c r="V787" s="278">
        <f t="shared" si="40"/>
        <v>2.6640675763482724E-2</v>
      </c>
      <c r="W787" s="278">
        <f t="shared" si="41"/>
        <v>2.639786588482684E-2</v>
      </c>
    </row>
    <row r="788" spans="1:23" x14ac:dyDescent="0.2">
      <c r="A788" s="8">
        <v>42832</v>
      </c>
      <c r="B788" s="9">
        <v>8.31</v>
      </c>
      <c r="E788" s="51"/>
      <c r="F788" s="51"/>
      <c r="G788" s="51"/>
      <c r="H788" s="51"/>
      <c r="I788" s="51"/>
      <c r="J788" s="53"/>
      <c r="K788" s="53"/>
      <c r="L788" s="53"/>
      <c r="M788" s="53"/>
      <c r="N788" s="53"/>
      <c r="O788" s="139"/>
      <c r="P788" s="50"/>
      <c r="Q788" s="57"/>
      <c r="R788" s="12">
        <v>42845</v>
      </c>
      <c r="S788" s="11">
        <v>8.07</v>
      </c>
      <c r="T788" s="148">
        <v>1.0313099041533547</v>
      </c>
      <c r="U788" s="148">
        <f t="shared" si="39"/>
        <v>6.6689979882486101</v>
      </c>
      <c r="V788" s="278">
        <f t="shared" si="40"/>
        <v>2.1518987341772045E-2</v>
      </c>
      <c r="W788" s="278">
        <f t="shared" si="41"/>
        <v>2.127617746311616E-2</v>
      </c>
    </row>
    <row r="789" spans="1:23" x14ac:dyDescent="0.2">
      <c r="A789" s="8">
        <v>42835</v>
      </c>
      <c r="B789" s="9">
        <v>8.14</v>
      </c>
      <c r="E789" s="51"/>
      <c r="F789" s="51"/>
      <c r="G789" s="51"/>
      <c r="H789" s="51"/>
      <c r="I789" s="51"/>
      <c r="J789" s="53"/>
      <c r="K789" s="53"/>
      <c r="L789" s="53"/>
      <c r="M789" s="53"/>
      <c r="N789" s="53"/>
      <c r="O789" s="139"/>
      <c r="P789" s="50"/>
      <c r="Q789" s="57"/>
      <c r="R789" s="12">
        <v>42846</v>
      </c>
      <c r="S789" s="11">
        <v>8.1199999999999992</v>
      </c>
      <c r="T789" s="148">
        <v>1.037699680511182</v>
      </c>
      <c r="U789" s="148">
        <f t="shared" si="39"/>
        <v>6.7086983797941722</v>
      </c>
      <c r="V789" s="278">
        <f t="shared" si="40"/>
        <v>6.1957868649316072E-3</v>
      </c>
      <c r="W789" s="278">
        <f t="shared" si="41"/>
        <v>5.9529769862757213E-3</v>
      </c>
    </row>
    <row r="790" spans="1:23" x14ac:dyDescent="0.2">
      <c r="A790" s="8">
        <v>42836</v>
      </c>
      <c r="B790" s="9">
        <v>8.06</v>
      </c>
      <c r="E790" s="51"/>
      <c r="F790" s="51"/>
      <c r="G790" s="51"/>
      <c r="H790" s="51"/>
      <c r="I790" s="51"/>
      <c r="J790" s="53"/>
      <c r="K790" s="53"/>
      <c r="L790" s="53"/>
      <c r="M790" s="53"/>
      <c r="N790" s="53"/>
      <c r="O790" s="139"/>
      <c r="P790" s="50"/>
      <c r="Q790" s="57"/>
      <c r="R790" s="12">
        <v>42849</v>
      </c>
      <c r="S790" s="11">
        <v>8.5399999999999991</v>
      </c>
      <c r="T790" s="148">
        <v>1.0913738019169328</v>
      </c>
      <c r="U790" s="148">
        <f t="shared" si="39"/>
        <v>7.0540710818888162</v>
      </c>
      <c r="V790" s="278">
        <f t="shared" si="40"/>
        <v>5.1724137931034475E-2</v>
      </c>
      <c r="W790" s="278">
        <f t="shared" si="41"/>
        <v>5.1481328052378587E-2</v>
      </c>
    </row>
    <row r="791" spans="1:23" x14ac:dyDescent="0.2">
      <c r="A791" s="8">
        <v>42837</v>
      </c>
      <c r="B791" s="9">
        <v>7.85</v>
      </c>
      <c r="E791" s="51"/>
      <c r="F791" s="51"/>
      <c r="G791" s="51"/>
      <c r="H791" s="51"/>
      <c r="I791" s="51"/>
      <c r="J791" s="53"/>
      <c r="K791" s="53"/>
      <c r="L791" s="53"/>
      <c r="M791" s="53"/>
      <c r="N791" s="53"/>
      <c r="O791" s="139"/>
      <c r="P791" s="50"/>
      <c r="Q791" s="57"/>
      <c r="R791" s="12">
        <v>42850</v>
      </c>
      <c r="S791" s="11">
        <v>8.67</v>
      </c>
      <c r="T791" s="148">
        <v>1.1079872204472843</v>
      </c>
      <c r="U791" s="148">
        <f t="shared" si="39"/>
        <v>7.159738756888899</v>
      </c>
      <c r="V791" s="278">
        <f t="shared" si="40"/>
        <v>1.5222482435597318E-2</v>
      </c>
      <c r="W791" s="278">
        <f t="shared" si="41"/>
        <v>1.4979672556941432E-2</v>
      </c>
    </row>
    <row r="792" spans="1:23" x14ac:dyDescent="0.2">
      <c r="A792" s="8">
        <v>42838</v>
      </c>
      <c r="B792" s="9">
        <v>7.79</v>
      </c>
      <c r="E792" s="51"/>
      <c r="F792" s="51"/>
      <c r="G792" s="51"/>
      <c r="H792" s="51"/>
      <c r="I792" s="51"/>
      <c r="J792" s="53"/>
      <c r="K792" s="53"/>
      <c r="L792" s="53"/>
      <c r="M792" s="53"/>
      <c r="N792" s="53"/>
      <c r="O792" s="139"/>
      <c r="P792" s="50"/>
      <c r="Q792" s="57"/>
      <c r="R792" s="12">
        <v>42851</v>
      </c>
      <c r="S792" s="11">
        <v>8.5500000000000007</v>
      </c>
      <c r="T792" s="148">
        <v>1.0926517571884984</v>
      </c>
      <c r="U792" s="148">
        <f t="shared" si="39"/>
        <v>7.058903571390978</v>
      </c>
      <c r="V792" s="278">
        <f t="shared" si="40"/>
        <v>-1.3840830449826869E-2</v>
      </c>
      <c r="W792" s="278">
        <f t="shared" si="41"/>
        <v>-1.4083640328482755E-2</v>
      </c>
    </row>
    <row r="793" spans="1:23" x14ac:dyDescent="0.2">
      <c r="A793" s="8">
        <v>42843</v>
      </c>
      <c r="B793" s="9">
        <v>7.6950000000000003</v>
      </c>
      <c r="E793" s="51"/>
      <c r="F793" s="51"/>
      <c r="G793" s="51"/>
      <c r="H793" s="51"/>
      <c r="I793" s="51"/>
      <c r="J793" s="53"/>
      <c r="K793" s="53"/>
      <c r="L793" s="53"/>
      <c r="M793" s="53"/>
      <c r="N793" s="53"/>
      <c r="O793" s="139"/>
      <c r="P793" s="50"/>
      <c r="Q793" s="57"/>
      <c r="R793" s="12">
        <v>42852</v>
      </c>
      <c r="S793" s="11">
        <v>8.4949999999999992</v>
      </c>
      <c r="T793" s="148">
        <v>1.0856230031948881</v>
      </c>
      <c r="U793" s="148">
        <f t="shared" ref="U793:U856" si="42">U792*(1+W793)</f>
        <v>7.0117814482425329</v>
      </c>
      <c r="V793" s="278">
        <f t="shared" ref="V793:V856" si="43">S793/S792-1</f>
        <v>-6.4327485380119009E-3</v>
      </c>
      <c r="W793" s="278">
        <f t="shared" ref="W793:W856" si="44">V793-$V$3+$W$2</f>
        <v>-6.6755584166677869E-3</v>
      </c>
    </row>
    <row r="794" spans="1:23" x14ac:dyDescent="0.2">
      <c r="A794" s="8">
        <v>42844</v>
      </c>
      <c r="B794" s="9">
        <v>7.9</v>
      </c>
      <c r="E794" s="51"/>
      <c r="F794" s="51"/>
      <c r="G794" s="51"/>
      <c r="H794" s="51"/>
      <c r="I794" s="51"/>
      <c r="J794" s="53"/>
      <c r="K794" s="53"/>
      <c r="L794" s="53"/>
      <c r="M794" s="53"/>
      <c r="N794" s="53"/>
      <c r="O794" s="139"/>
      <c r="P794" s="50"/>
      <c r="Q794" s="57"/>
      <c r="R794" s="12">
        <v>42853</v>
      </c>
      <c r="S794" s="11">
        <v>8.8249999999999993</v>
      </c>
      <c r="T794" s="148">
        <v>1.1277955271565494</v>
      </c>
      <c r="U794" s="148">
        <f t="shared" si="42"/>
        <v>7.2824612466235639</v>
      </c>
      <c r="V794" s="278">
        <f t="shared" si="43"/>
        <v>3.8846380223660937E-2</v>
      </c>
      <c r="W794" s="278">
        <f t="shared" si="44"/>
        <v>3.8603570345005049E-2</v>
      </c>
    </row>
    <row r="795" spans="1:23" x14ac:dyDescent="0.2">
      <c r="A795" s="8">
        <v>42845</v>
      </c>
      <c r="B795" s="9">
        <v>8.07</v>
      </c>
      <c r="E795" s="51"/>
      <c r="F795" s="51"/>
      <c r="G795" s="51"/>
      <c r="H795" s="51"/>
      <c r="I795" s="51"/>
      <c r="J795" s="53"/>
      <c r="K795" s="53"/>
      <c r="L795" s="53"/>
      <c r="M795" s="53"/>
      <c r="N795" s="53"/>
      <c r="O795" s="139"/>
      <c r="P795" s="50"/>
      <c r="Q795" s="57"/>
      <c r="R795" s="12">
        <v>42857</v>
      </c>
      <c r="S795" s="11">
        <v>8.85</v>
      </c>
      <c r="T795" s="148">
        <v>1.1309904153354633</v>
      </c>
      <c r="U795" s="148">
        <f t="shared" si="42"/>
        <v>7.3013231949237483</v>
      </c>
      <c r="V795" s="278">
        <f t="shared" si="43"/>
        <v>2.8328611898016387E-3</v>
      </c>
      <c r="W795" s="278">
        <f t="shared" si="44"/>
        <v>2.5900513111457527E-3</v>
      </c>
    </row>
    <row r="796" spans="1:23" x14ac:dyDescent="0.2">
      <c r="A796" s="8">
        <v>42846</v>
      </c>
      <c r="B796" s="9">
        <v>8.1199999999999992</v>
      </c>
      <c r="E796" s="51"/>
      <c r="F796" s="51"/>
      <c r="G796" s="51"/>
      <c r="H796" s="51"/>
      <c r="I796" s="51"/>
      <c r="J796" s="53"/>
      <c r="K796" s="53"/>
      <c r="L796" s="53"/>
      <c r="M796" s="53"/>
      <c r="N796" s="53"/>
      <c r="O796" s="139"/>
      <c r="P796" s="50"/>
      <c r="Q796" s="57"/>
      <c r="R796" s="12">
        <v>42858</v>
      </c>
      <c r="S796" s="11">
        <v>8.8800000000000008</v>
      </c>
      <c r="T796" s="148">
        <v>1.1348242811501599</v>
      </c>
      <c r="U796" s="148">
        <f t="shared" si="42"/>
        <v>7.3243006096431476</v>
      </c>
      <c r="V796" s="278">
        <f t="shared" si="43"/>
        <v>3.3898305084747449E-3</v>
      </c>
      <c r="W796" s="278">
        <f t="shared" si="44"/>
        <v>3.1470206298188589E-3</v>
      </c>
    </row>
    <row r="797" spans="1:23" x14ac:dyDescent="0.2">
      <c r="A797" s="8">
        <v>42849</v>
      </c>
      <c r="B797" s="9">
        <v>8.5399999999999991</v>
      </c>
      <c r="E797" s="51"/>
      <c r="F797" s="51"/>
      <c r="G797" s="51"/>
      <c r="H797" s="51"/>
      <c r="I797" s="51"/>
      <c r="J797" s="53"/>
      <c r="K797" s="53"/>
      <c r="L797" s="53"/>
      <c r="M797" s="53"/>
      <c r="N797" s="53"/>
      <c r="O797" s="139"/>
      <c r="P797" s="50"/>
      <c r="Q797" s="57"/>
      <c r="R797" s="12">
        <v>42859</v>
      </c>
      <c r="S797" s="11">
        <v>9.0549999999999997</v>
      </c>
      <c r="T797" s="148">
        <v>1.1571884984025558</v>
      </c>
      <c r="U797" s="148">
        <f t="shared" si="42"/>
        <v>7.4668637068629904</v>
      </c>
      <c r="V797" s="278">
        <f t="shared" si="43"/>
        <v>1.9707207207207089E-2</v>
      </c>
      <c r="W797" s="278">
        <f t="shared" si="44"/>
        <v>1.9464397328551205E-2</v>
      </c>
    </row>
    <row r="798" spans="1:23" x14ac:dyDescent="0.2">
      <c r="A798" s="8">
        <v>42850</v>
      </c>
      <c r="B798" s="9">
        <v>8.67</v>
      </c>
      <c r="E798" s="51"/>
      <c r="F798" s="51"/>
      <c r="G798" s="51"/>
      <c r="H798" s="51"/>
      <c r="I798" s="51"/>
      <c r="J798" s="53"/>
      <c r="K798" s="53"/>
      <c r="L798" s="53"/>
      <c r="M798" s="53"/>
      <c r="N798" s="53"/>
      <c r="O798" s="139"/>
      <c r="P798" s="50"/>
      <c r="Q798" s="57"/>
      <c r="R798" s="12">
        <v>42860</v>
      </c>
      <c r="S798" s="11">
        <v>9.18</v>
      </c>
      <c r="T798" s="148">
        <v>1.1731629392971246</v>
      </c>
      <c r="U798" s="148">
        <f t="shared" si="42"/>
        <v>7.5681272068483638</v>
      </c>
      <c r="V798" s="278">
        <f t="shared" si="43"/>
        <v>1.3804527885146411E-2</v>
      </c>
      <c r="W798" s="278">
        <f t="shared" si="44"/>
        <v>1.3561718006490526E-2</v>
      </c>
    </row>
    <row r="799" spans="1:23" x14ac:dyDescent="0.2">
      <c r="A799" s="8">
        <v>42851</v>
      </c>
      <c r="B799" s="9">
        <v>8.5500000000000007</v>
      </c>
      <c r="E799" s="51"/>
      <c r="F799" s="51"/>
      <c r="G799" s="51"/>
      <c r="H799" s="51"/>
      <c r="I799" s="51"/>
      <c r="J799" s="53"/>
      <c r="K799" s="53"/>
      <c r="L799" s="53"/>
      <c r="M799" s="53"/>
      <c r="N799" s="53"/>
      <c r="O799" s="139"/>
      <c r="P799" s="50"/>
      <c r="Q799" s="57"/>
      <c r="R799" s="12">
        <v>42863</v>
      </c>
      <c r="S799" s="11">
        <v>9.125</v>
      </c>
      <c r="T799" s="148">
        <v>1.1661341853035143</v>
      </c>
      <c r="U799" s="148">
        <f t="shared" si="42"/>
        <v>7.5209467807368</v>
      </c>
      <c r="V799" s="278">
        <f t="shared" si="43"/>
        <v>-5.9912854030500506E-3</v>
      </c>
      <c r="W799" s="278">
        <f t="shared" si="44"/>
        <v>-6.2340952817059366E-3</v>
      </c>
    </row>
    <row r="800" spans="1:23" x14ac:dyDescent="0.2">
      <c r="A800" s="8">
        <v>42852</v>
      </c>
      <c r="B800" s="9">
        <v>8.4949999999999992</v>
      </c>
      <c r="E800" s="51"/>
      <c r="F800" s="51"/>
      <c r="G800" s="51"/>
      <c r="H800" s="51"/>
      <c r="I800" s="51"/>
      <c r="J800" s="53"/>
      <c r="K800" s="53"/>
      <c r="L800" s="53"/>
      <c r="M800" s="53"/>
      <c r="N800" s="53"/>
      <c r="O800" s="139"/>
      <c r="P800" s="50"/>
      <c r="Q800" s="57"/>
      <c r="R800" s="12">
        <v>42864</v>
      </c>
      <c r="S800" s="11">
        <v>9.1</v>
      </c>
      <c r="T800" s="148">
        <v>1.1629392971246006</v>
      </c>
      <c r="U800" s="148">
        <f t="shared" si="42"/>
        <v>7.4985152869157377</v>
      </c>
      <c r="V800" s="278">
        <f t="shared" si="43"/>
        <v>-2.739726027397249E-3</v>
      </c>
      <c r="W800" s="278">
        <f t="shared" si="44"/>
        <v>-2.982535906053135E-3</v>
      </c>
    </row>
    <row r="801" spans="1:23" x14ac:dyDescent="0.2">
      <c r="A801" s="8">
        <v>42853</v>
      </c>
      <c r="B801" s="9">
        <v>8.8249999999999993</v>
      </c>
      <c r="E801" s="51"/>
      <c r="F801" s="51"/>
      <c r="G801" s="51"/>
      <c r="H801" s="51"/>
      <c r="I801" s="51"/>
      <c r="J801" s="53"/>
      <c r="K801" s="53"/>
      <c r="L801" s="53"/>
      <c r="M801" s="53"/>
      <c r="N801" s="53"/>
      <c r="O801" s="139"/>
      <c r="P801" s="50"/>
      <c r="Q801" s="57"/>
      <c r="R801" s="12">
        <v>42865</v>
      </c>
      <c r="S801" s="11">
        <v>9.0749999999999993</v>
      </c>
      <c r="T801" s="148">
        <v>1.1597444089456868</v>
      </c>
      <c r="U801" s="148">
        <f t="shared" si="42"/>
        <v>7.476094256606526</v>
      </c>
      <c r="V801" s="278">
        <f t="shared" si="43"/>
        <v>-2.7472527472527375E-3</v>
      </c>
      <c r="W801" s="278">
        <f t="shared" si="44"/>
        <v>-2.9900626259086235E-3</v>
      </c>
    </row>
    <row r="802" spans="1:23" x14ac:dyDescent="0.2">
      <c r="A802" s="8">
        <v>42857</v>
      </c>
      <c r="B802" s="9">
        <v>8.85</v>
      </c>
      <c r="E802" s="51"/>
      <c r="F802" s="51"/>
      <c r="G802" s="51"/>
      <c r="H802" s="51"/>
      <c r="I802" s="51"/>
      <c r="J802" s="53"/>
      <c r="K802" s="53"/>
      <c r="L802" s="53"/>
      <c r="M802" s="53"/>
      <c r="N802" s="53"/>
      <c r="O802" s="139"/>
      <c r="P802" s="50"/>
      <c r="Q802" s="57"/>
      <c r="R802" s="12">
        <v>42866</v>
      </c>
      <c r="S802" s="11">
        <v>9.19</v>
      </c>
      <c r="T802" s="148">
        <v>1.1744408945686899</v>
      </c>
      <c r="U802" s="148">
        <f t="shared" si="42"/>
        <v>7.5690173715862397</v>
      </c>
      <c r="V802" s="278">
        <f t="shared" si="43"/>
        <v>1.2672176308540006E-2</v>
      </c>
      <c r="W802" s="278">
        <f t="shared" si="44"/>
        <v>1.242936642988412E-2</v>
      </c>
    </row>
    <row r="803" spans="1:23" x14ac:dyDescent="0.2">
      <c r="A803" s="8">
        <v>42858</v>
      </c>
      <c r="B803" s="9">
        <v>8.8800000000000008</v>
      </c>
      <c r="E803" s="51"/>
      <c r="F803" s="51"/>
      <c r="G803" s="51"/>
      <c r="H803" s="51"/>
      <c r="I803" s="51"/>
      <c r="J803" s="53"/>
      <c r="K803" s="53"/>
      <c r="L803" s="53"/>
      <c r="M803" s="53"/>
      <c r="N803" s="53"/>
      <c r="O803" s="139"/>
      <c r="P803" s="50"/>
      <c r="Q803" s="57"/>
      <c r="R803" s="12">
        <v>42867</v>
      </c>
      <c r="S803" s="11">
        <v>9.14</v>
      </c>
      <c r="T803" s="148">
        <v>1.1680511182108626</v>
      </c>
      <c r="U803" s="148">
        <f t="shared" si="42"/>
        <v>7.5259988137623912</v>
      </c>
      <c r="V803" s="278">
        <f t="shared" si="43"/>
        <v>-5.4406964091402443E-3</v>
      </c>
      <c r="W803" s="278">
        <f t="shared" si="44"/>
        <v>-5.6835062877961303E-3</v>
      </c>
    </row>
    <row r="804" spans="1:23" x14ac:dyDescent="0.2">
      <c r="A804" s="8">
        <v>42859</v>
      </c>
      <c r="B804" s="9">
        <v>9.0549999999999997</v>
      </c>
      <c r="E804" s="51"/>
      <c r="F804" s="51"/>
      <c r="G804" s="51"/>
      <c r="H804" s="51"/>
      <c r="I804" s="51"/>
      <c r="J804" s="53"/>
      <c r="K804" s="53"/>
      <c r="L804" s="53"/>
      <c r="M804" s="53"/>
      <c r="N804" s="53"/>
      <c r="O804" s="139"/>
      <c r="P804" s="50"/>
      <c r="Q804" s="57"/>
      <c r="R804" s="12">
        <v>42870</v>
      </c>
      <c r="S804" s="11">
        <v>9.1750000000000007</v>
      </c>
      <c r="T804" s="148">
        <v>1.1725239616613419</v>
      </c>
      <c r="U804" s="148">
        <f t="shared" si="42"/>
        <v>7.5529908971970565</v>
      </c>
      <c r="V804" s="278">
        <f t="shared" si="43"/>
        <v>3.8293216630196358E-3</v>
      </c>
      <c r="W804" s="278">
        <f t="shared" si="44"/>
        <v>3.5865117843637499E-3</v>
      </c>
    </row>
    <row r="805" spans="1:23" x14ac:dyDescent="0.2">
      <c r="A805" s="8">
        <v>42860</v>
      </c>
      <c r="B805" s="9">
        <v>9.18</v>
      </c>
      <c r="E805" s="51"/>
      <c r="F805" s="51"/>
      <c r="G805" s="51"/>
      <c r="H805" s="51"/>
      <c r="I805" s="51"/>
      <c r="J805" s="53"/>
      <c r="K805" s="53"/>
      <c r="L805" s="53"/>
      <c r="M805" s="53"/>
      <c r="N805" s="53"/>
      <c r="O805" s="139"/>
      <c r="P805" s="50"/>
      <c r="Q805" s="57"/>
      <c r="R805" s="12">
        <v>42871</v>
      </c>
      <c r="S805" s="11">
        <v>9.0749999999999993</v>
      </c>
      <c r="T805" s="148">
        <v>1.1597444089456868</v>
      </c>
      <c r="U805" s="148">
        <f t="shared" si="42"/>
        <v>7.4688355297213702</v>
      </c>
      <c r="V805" s="278">
        <f t="shared" si="43"/>
        <v>-1.0899182561308063E-2</v>
      </c>
      <c r="W805" s="278">
        <f t="shared" si="44"/>
        <v>-1.1141992439963949E-2</v>
      </c>
    </row>
    <row r="806" spans="1:23" x14ac:dyDescent="0.2">
      <c r="A806" s="8">
        <v>42863</v>
      </c>
      <c r="B806" s="9">
        <v>9.125</v>
      </c>
      <c r="E806" s="51"/>
      <c r="F806" s="51"/>
      <c r="G806" s="51"/>
      <c r="H806" s="51"/>
      <c r="I806" s="51"/>
      <c r="J806" s="53"/>
      <c r="K806" s="53"/>
      <c r="L806" s="53"/>
      <c r="M806" s="53"/>
      <c r="N806" s="53"/>
      <c r="O806" s="139"/>
      <c r="P806" s="50"/>
      <c r="Q806" s="57"/>
      <c r="R806" s="12">
        <v>42872</v>
      </c>
      <c r="S806" s="11">
        <v>8.92</v>
      </c>
      <c r="T806" s="148">
        <v>1.1399361022364216</v>
      </c>
      <c r="U806" s="148">
        <f t="shared" si="42"/>
        <v>7.3394551348372365</v>
      </c>
      <c r="V806" s="278">
        <f t="shared" si="43"/>
        <v>-1.7079889807162463E-2</v>
      </c>
      <c r="W806" s="278">
        <f t="shared" si="44"/>
        <v>-1.7322699685818347E-2</v>
      </c>
    </row>
    <row r="807" spans="1:23" x14ac:dyDescent="0.2">
      <c r="A807" s="8">
        <v>42864</v>
      </c>
      <c r="B807" s="9">
        <v>9.1</v>
      </c>
      <c r="E807" s="51"/>
      <c r="F807" s="51"/>
      <c r="G807" s="51"/>
      <c r="H807" s="51"/>
      <c r="I807" s="51"/>
      <c r="J807" s="53"/>
      <c r="K807" s="53"/>
      <c r="L807" s="53"/>
      <c r="M807" s="53"/>
      <c r="N807" s="53"/>
      <c r="O807" s="139"/>
      <c r="P807" s="50"/>
      <c r="Q807" s="57"/>
      <c r="R807" s="12">
        <v>42873</v>
      </c>
      <c r="S807" s="11">
        <v>8.9499999999999993</v>
      </c>
      <c r="T807" s="148">
        <v>1.1437699680511182</v>
      </c>
      <c r="U807" s="148">
        <f t="shared" si="42"/>
        <v>7.3623573087751009</v>
      </c>
      <c r="V807" s="278">
        <f t="shared" si="43"/>
        <v>3.3632286995515237E-3</v>
      </c>
      <c r="W807" s="278">
        <f t="shared" si="44"/>
        <v>3.1204188208956377E-3</v>
      </c>
    </row>
    <row r="808" spans="1:23" x14ac:dyDescent="0.2">
      <c r="A808" s="8">
        <v>42865</v>
      </c>
      <c r="B808" s="9">
        <v>9.0749999999999993</v>
      </c>
      <c r="E808" s="51"/>
      <c r="F808" s="51"/>
      <c r="G808" s="51"/>
      <c r="H808" s="51"/>
      <c r="I808" s="51"/>
      <c r="J808" s="53"/>
      <c r="K808" s="53"/>
      <c r="L808" s="53"/>
      <c r="M808" s="53"/>
      <c r="N808" s="53"/>
      <c r="O808" s="139"/>
      <c r="P808" s="50"/>
      <c r="Q808" s="57"/>
      <c r="R808" s="12">
        <v>42874</v>
      </c>
      <c r="S808" s="11">
        <v>9.0250000000000004</v>
      </c>
      <c r="T808" s="148">
        <v>1.1533546325878594</v>
      </c>
      <c r="U808" s="148">
        <f t="shared" si="42"/>
        <v>7.4222653873281157</v>
      </c>
      <c r="V808" s="278">
        <f t="shared" si="43"/>
        <v>8.379888268156499E-3</v>
      </c>
      <c r="W808" s="278">
        <f t="shared" si="44"/>
        <v>8.137078389500613E-3</v>
      </c>
    </row>
    <row r="809" spans="1:23" x14ac:dyDescent="0.2">
      <c r="A809" s="8">
        <v>42866</v>
      </c>
      <c r="B809" s="9">
        <v>9.19</v>
      </c>
      <c r="E809" s="51"/>
      <c r="F809" s="51"/>
      <c r="G809" s="51"/>
      <c r="H809" s="51"/>
      <c r="I809" s="51"/>
      <c r="J809" s="53"/>
      <c r="K809" s="53"/>
      <c r="L809" s="53"/>
      <c r="M809" s="53"/>
      <c r="N809" s="53"/>
      <c r="O809" s="139"/>
      <c r="P809" s="50"/>
      <c r="Q809" s="57"/>
      <c r="R809" s="12">
        <v>42877</v>
      </c>
      <c r="S809" s="11">
        <v>9.09</v>
      </c>
      <c r="T809" s="148">
        <v>1.161661341853035</v>
      </c>
      <c r="U809" s="148">
        <f t="shared" si="42"/>
        <v>7.4739199469923738</v>
      </c>
      <c r="V809" s="278">
        <f t="shared" si="43"/>
        <v>7.2022160664819701E-3</v>
      </c>
      <c r="W809" s="278">
        <f t="shared" si="44"/>
        <v>6.9594061878260841E-3</v>
      </c>
    </row>
    <row r="810" spans="1:23" x14ac:dyDescent="0.2">
      <c r="A810" s="8">
        <v>42867</v>
      </c>
      <c r="B810" s="9">
        <v>9.14</v>
      </c>
      <c r="E810" s="51"/>
      <c r="F810" s="51"/>
      <c r="G810" s="51"/>
      <c r="H810" s="51"/>
      <c r="I810" s="51"/>
      <c r="J810" s="53"/>
      <c r="K810" s="53"/>
      <c r="L810" s="53"/>
      <c r="M810" s="53"/>
      <c r="N810" s="53"/>
      <c r="O810" s="139"/>
      <c r="P810" s="50"/>
      <c r="Q810" s="57"/>
      <c r="R810" s="12">
        <v>42878</v>
      </c>
      <c r="S810" s="11">
        <v>9.15</v>
      </c>
      <c r="T810" s="148">
        <v>1.1693290734824282</v>
      </c>
      <c r="U810" s="148">
        <f t="shared" si="42"/>
        <v>7.5214380103276035</v>
      </c>
      <c r="V810" s="278">
        <f t="shared" si="43"/>
        <v>6.6006600660066805E-3</v>
      </c>
      <c r="W810" s="278">
        <f t="shared" si="44"/>
        <v>6.3578501873507946E-3</v>
      </c>
    </row>
    <row r="811" spans="1:23" x14ac:dyDescent="0.2">
      <c r="A811" s="8">
        <v>42870</v>
      </c>
      <c r="B811" s="9">
        <v>9.1750000000000007</v>
      </c>
      <c r="E811" s="51"/>
      <c r="F811" s="51"/>
      <c r="G811" s="51"/>
      <c r="H811" s="51"/>
      <c r="I811" s="51"/>
      <c r="J811" s="53"/>
      <c r="K811" s="53"/>
      <c r="L811" s="53"/>
      <c r="M811" s="53"/>
      <c r="N811" s="53"/>
      <c r="O811" s="139"/>
      <c r="P811" s="50"/>
      <c r="Q811" s="57"/>
      <c r="R811" s="12">
        <v>42879</v>
      </c>
      <c r="S811" s="11">
        <v>9.1050000000000004</v>
      </c>
      <c r="T811" s="148">
        <v>1.1635782747603833</v>
      </c>
      <c r="U811" s="148">
        <f t="shared" si="42"/>
        <v>7.4826210521376826</v>
      </c>
      <c r="V811" s="278">
        <f t="shared" si="43"/>
        <v>-4.9180327868851847E-3</v>
      </c>
      <c r="W811" s="278">
        <f t="shared" si="44"/>
        <v>-5.1608426655410707E-3</v>
      </c>
    </row>
    <row r="812" spans="1:23" x14ac:dyDescent="0.2">
      <c r="A812" s="8">
        <v>42871</v>
      </c>
      <c r="B812" s="9">
        <v>9.0749999999999993</v>
      </c>
      <c r="E812" s="51"/>
      <c r="F812" s="51"/>
      <c r="G812" s="51"/>
      <c r="H812" s="51"/>
      <c r="I812" s="51"/>
      <c r="J812" s="53"/>
      <c r="K812" s="53"/>
      <c r="L812" s="53"/>
      <c r="M812" s="53"/>
      <c r="N812" s="53"/>
      <c r="O812" s="139"/>
      <c r="P812" s="50"/>
      <c r="Q812" s="57"/>
      <c r="R812" s="12">
        <v>42880</v>
      </c>
      <c r="S812" s="11">
        <v>9.0649999999999995</v>
      </c>
      <c r="T812" s="148">
        <v>1.1584664536741214</v>
      </c>
      <c r="U812" s="148">
        <f t="shared" si="42"/>
        <v>7.4479316176977806</v>
      </c>
      <c r="V812" s="278">
        <f t="shared" si="43"/>
        <v>-4.3931905546403804E-3</v>
      </c>
      <c r="W812" s="278">
        <f t="shared" si="44"/>
        <v>-4.6360004332962664E-3</v>
      </c>
    </row>
    <row r="813" spans="1:23" x14ac:dyDescent="0.2">
      <c r="A813" s="8">
        <v>42872</v>
      </c>
      <c r="B813" s="9">
        <v>8.92</v>
      </c>
      <c r="E813" s="51"/>
      <c r="F813" s="51"/>
      <c r="G813" s="51"/>
      <c r="H813" s="51"/>
      <c r="I813" s="51"/>
      <c r="J813" s="53"/>
      <c r="K813" s="53"/>
      <c r="L813" s="53"/>
      <c r="M813" s="53"/>
      <c r="N813" s="53"/>
      <c r="O813" s="139"/>
      <c r="P813" s="50"/>
      <c r="Q813" s="57"/>
      <c r="R813" s="12">
        <v>42881</v>
      </c>
      <c r="S813" s="11">
        <v>8.93</v>
      </c>
      <c r="T813" s="148">
        <v>1.1412140575079872</v>
      </c>
      <c r="U813" s="148">
        <f t="shared" si="42"/>
        <v>7.3352052857861016</v>
      </c>
      <c r="V813" s="278">
        <f t="shared" si="43"/>
        <v>-1.4892443463871974E-2</v>
      </c>
      <c r="W813" s="278">
        <f t="shared" si="44"/>
        <v>-1.513525334252786E-2</v>
      </c>
    </row>
    <row r="814" spans="1:23" x14ac:dyDescent="0.2">
      <c r="A814" s="8">
        <v>42873</v>
      </c>
      <c r="B814" s="9">
        <v>8.9499999999999993</v>
      </c>
      <c r="E814" s="51"/>
      <c r="F814" s="51"/>
      <c r="G814" s="51"/>
      <c r="H814" s="51"/>
      <c r="I814" s="51"/>
      <c r="J814" s="53"/>
      <c r="K814" s="53"/>
      <c r="L814" s="53"/>
      <c r="M814" s="53"/>
      <c r="N814" s="53"/>
      <c r="O814" s="139"/>
      <c r="P814" s="50"/>
      <c r="Q814" s="57"/>
      <c r="R814" s="12">
        <v>42884</v>
      </c>
      <c r="S814" s="11">
        <v>8.65</v>
      </c>
      <c r="T814" s="148">
        <v>1.1054313099041533</v>
      </c>
      <c r="U814" s="148">
        <f t="shared" si="42"/>
        <v>7.103428986956656</v>
      </c>
      <c r="V814" s="278">
        <f t="shared" si="43"/>
        <v>-3.1354983202687481E-2</v>
      </c>
      <c r="W814" s="278">
        <f t="shared" si="44"/>
        <v>-3.1597793081343369E-2</v>
      </c>
    </row>
    <row r="815" spans="1:23" x14ac:dyDescent="0.2">
      <c r="A815" s="8">
        <v>42874</v>
      </c>
      <c r="B815" s="9">
        <v>9.0250000000000004</v>
      </c>
      <c r="E815" s="51"/>
      <c r="F815" s="51"/>
      <c r="G815" s="51"/>
      <c r="H815" s="51"/>
      <c r="I815" s="51"/>
      <c r="J815" s="53"/>
      <c r="K815" s="53"/>
      <c r="L815" s="53"/>
      <c r="M815" s="53"/>
      <c r="N815" s="53"/>
      <c r="O815" s="139"/>
      <c r="P815" s="50"/>
      <c r="Q815" s="57"/>
      <c r="R815" s="12">
        <v>42885</v>
      </c>
      <c r="S815" s="11">
        <v>8.65</v>
      </c>
      <c r="T815" s="148">
        <v>1.1054313099041533</v>
      </c>
      <c r="U815" s="148">
        <f t="shared" si="42"/>
        <v>7.1017042042262926</v>
      </c>
      <c r="V815" s="278">
        <f t="shared" si="43"/>
        <v>0</v>
      </c>
      <c r="W815" s="278">
        <f t="shared" si="44"/>
        <v>-2.4280987865588565E-4</v>
      </c>
    </row>
    <row r="816" spans="1:23" x14ac:dyDescent="0.2">
      <c r="A816" s="8">
        <v>42877</v>
      </c>
      <c r="B816" s="9">
        <v>9.09</v>
      </c>
      <c r="E816" s="51"/>
      <c r="F816" s="51"/>
      <c r="G816" s="51"/>
      <c r="H816" s="51"/>
      <c r="I816" s="51"/>
      <c r="J816" s="53"/>
      <c r="K816" s="53"/>
      <c r="L816" s="53"/>
      <c r="M816" s="53"/>
      <c r="N816" s="53"/>
      <c r="O816" s="139"/>
      <c r="P816" s="50"/>
      <c r="Q816" s="57"/>
      <c r="R816" s="12">
        <v>42886</v>
      </c>
      <c r="S816" s="11">
        <v>8.44</v>
      </c>
      <c r="T816" s="148">
        <v>1.0785942492012779</v>
      </c>
      <c r="U816" s="148">
        <f t="shared" si="42"/>
        <v>6.9275685243494598</v>
      </c>
      <c r="V816" s="278">
        <f t="shared" si="43"/>
        <v>-2.4277456647398887E-2</v>
      </c>
      <c r="W816" s="278">
        <f t="shared" si="44"/>
        <v>-2.4520266526054772E-2</v>
      </c>
    </row>
    <row r="817" spans="1:23" x14ac:dyDescent="0.2">
      <c r="A817" s="8">
        <v>42878</v>
      </c>
      <c r="B817" s="9">
        <v>9.15</v>
      </c>
      <c r="E817" s="51"/>
      <c r="F817" s="51"/>
      <c r="G817" s="51"/>
      <c r="H817" s="51"/>
      <c r="I817" s="51"/>
      <c r="J817" s="53"/>
      <c r="K817" s="53"/>
      <c r="L817" s="53"/>
      <c r="M817" s="53"/>
      <c r="N817" s="53"/>
      <c r="O817" s="139"/>
      <c r="P817" s="50"/>
      <c r="Q817" s="57"/>
      <c r="R817" s="12">
        <v>42887</v>
      </c>
      <c r="S817" s="11">
        <v>8.4749999999999996</v>
      </c>
      <c r="T817" s="148">
        <v>1.0830670926517572</v>
      </c>
      <c r="U817" s="148">
        <f t="shared" si="42"/>
        <v>6.9546145108018269</v>
      </c>
      <c r="V817" s="278">
        <f t="shared" si="43"/>
        <v>4.1469194312795388E-3</v>
      </c>
      <c r="W817" s="278">
        <f t="shared" si="44"/>
        <v>3.9041095526236528E-3</v>
      </c>
    </row>
    <row r="818" spans="1:23" x14ac:dyDescent="0.2">
      <c r="A818" s="8">
        <v>42879</v>
      </c>
      <c r="B818" s="9">
        <v>9.1050000000000004</v>
      </c>
      <c r="E818" s="51"/>
      <c r="F818" s="51"/>
      <c r="G818" s="51"/>
      <c r="H818" s="51"/>
      <c r="I818" s="51"/>
      <c r="J818" s="53"/>
      <c r="K818" s="53"/>
      <c r="L818" s="53"/>
      <c r="M818" s="53"/>
      <c r="N818" s="53"/>
      <c r="O818" s="139"/>
      <c r="P818" s="50"/>
      <c r="Q818" s="57"/>
      <c r="R818" s="12">
        <v>42888</v>
      </c>
      <c r="S818" s="11">
        <v>8.41</v>
      </c>
      <c r="T818" s="148">
        <v>1.0747603833865815</v>
      </c>
      <c r="U818" s="148">
        <f t="shared" si="42"/>
        <v>6.8995866353598281</v>
      </c>
      <c r="V818" s="278">
        <f t="shared" si="43"/>
        <v>-7.6696165191739718E-3</v>
      </c>
      <c r="W818" s="278">
        <f t="shared" si="44"/>
        <v>-7.9124263978298578E-3</v>
      </c>
    </row>
    <row r="819" spans="1:23" x14ac:dyDescent="0.2">
      <c r="A819" s="8">
        <v>42880</v>
      </c>
      <c r="B819" s="9">
        <v>9.0649999999999995</v>
      </c>
      <c r="E819" s="51"/>
      <c r="F819" s="51"/>
      <c r="G819" s="51"/>
      <c r="H819" s="51"/>
      <c r="I819" s="51"/>
      <c r="J819" s="53"/>
      <c r="K819" s="53"/>
      <c r="L819" s="53"/>
      <c r="M819" s="53"/>
      <c r="N819" s="53"/>
      <c r="O819" s="139"/>
      <c r="P819" s="50"/>
      <c r="Q819" s="57"/>
      <c r="R819" s="12">
        <v>42891</v>
      </c>
      <c r="S819" s="11">
        <v>8.3350000000000009</v>
      </c>
      <c r="T819" s="148">
        <v>1.0651757188498403</v>
      </c>
      <c r="U819" s="148">
        <f t="shared" si="42"/>
        <v>6.8363811457050057</v>
      </c>
      <c r="V819" s="278">
        <f t="shared" si="43"/>
        <v>-8.9179548156954613E-3</v>
      </c>
      <c r="W819" s="278">
        <f t="shared" si="44"/>
        <v>-9.1607646943513473E-3</v>
      </c>
    </row>
    <row r="820" spans="1:23" x14ac:dyDescent="0.2">
      <c r="A820" s="8">
        <v>42881</v>
      </c>
      <c r="B820" s="9">
        <v>8.93</v>
      </c>
      <c r="E820" s="51"/>
      <c r="F820" s="51"/>
      <c r="G820" s="51"/>
      <c r="H820" s="51"/>
      <c r="I820" s="51"/>
      <c r="J820" s="53"/>
      <c r="K820" s="53"/>
      <c r="L820" s="53"/>
      <c r="M820" s="53"/>
      <c r="N820" s="53"/>
      <c r="O820" s="139"/>
      <c r="P820" s="50"/>
      <c r="Q820" s="57"/>
      <c r="R820" s="12">
        <v>42892</v>
      </c>
      <c r="S820" s="11">
        <v>8.2899999999999991</v>
      </c>
      <c r="T820" s="148">
        <v>1.0594249201277954</v>
      </c>
      <c r="U820" s="148">
        <f t="shared" si="42"/>
        <v>6.7978121284570374</v>
      </c>
      <c r="V820" s="278">
        <f t="shared" si="43"/>
        <v>-5.3989202159570038E-3</v>
      </c>
      <c r="W820" s="278">
        <f t="shared" si="44"/>
        <v>-5.6417300946128898E-3</v>
      </c>
    </row>
    <row r="821" spans="1:23" x14ac:dyDescent="0.2">
      <c r="A821" s="8">
        <v>42884</v>
      </c>
      <c r="B821" s="9">
        <v>8.65</v>
      </c>
      <c r="E821" s="51"/>
      <c r="F821" s="51"/>
      <c r="G821" s="51"/>
      <c r="H821" s="51"/>
      <c r="I821" s="51"/>
      <c r="J821" s="53"/>
      <c r="K821" s="53"/>
      <c r="L821" s="53"/>
      <c r="M821" s="53"/>
      <c r="N821" s="53"/>
      <c r="O821" s="139"/>
      <c r="P821" s="50"/>
      <c r="Q821" s="57"/>
      <c r="R821" s="12">
        <v>42893</v>
      </c>
      <c r="S821" s="11">
        <v>8.3650000000000002</v>
      </c>
      <c r="T821" s="148">
        <v>1.0690095846645367</v>
      </c>
      <c r="U821" s="148">
        <f t="shared" si="42"/>
        <v>6.8576616622456932</v>
      </c>
      <c r="V821" s="278">
        <f t="shared" si="43"/>
        <v>9.0470446320869424E-3</v>
      </c>
      <c r="W821" s="278">
        <f t="shared" si="44"/>
        <v>8.8042347534310565E-3</v>
      </c>
    </row>
    <row r="822" spans="1:23" x14ac:dyDescent="0.2">
      <c r="A822" s="8">
        <v>42885</v>
      </c>
      <c r="B822" s="9">
        <v>8.65</v>
      </c>
      <c r="E822" s="51"/>
      <c r="F822" s="51"/>
      <c r="G822" s="51"/>
      <c r="H822" s="51"/>
      <c r="I822" s="51"/>
      <c r="J822" s="53"/>
      <c r="K822" s="53"/>
      <c r="L822" s="53"/>
      <c r="M822" s="53"/>
      <c r="N822" s="53"/>
      <c r="O822" s="139"/>
      <c r="P822" s="50"/>
      <c r="Q822" s="57"/>
      <c r="R822" s="12">
        <v>42894</v>
      </c>
      <c r="S822" s="11">
        <v>8.51</v>
      </c>
      <c r="T822" s="148">
        <v>1.0875399361022364</v>
      </c>
      <c r="U822" s="148">
        <f t="shared" si="42"/>
        <v>6.9748681550895029</v>
      </c>
      <c r="V822" s="278">
        <f t="shared" si="43"/>
        <v>1.7334130304841544E-2</v>
      </c>
      <c r="W822" s="278">
        <f t="shared" si="44"/>
        <v>1.709132042618566E-2</v>
      </c>
    </row>
    <row r="823" spans="1:23" x14ac:dyDescent="0.2">
      <c r="A823" s="8">
        <v>42886</v>
      </c>
      <c r="B823" s="9">
        <v>8.44</v>
      </c>
      <c r="E823" s="51"/>
      <c r="F823" s="51"/>
      <c r="G823" s="51"/>
      <c r="H823" s="51"/>
      <c r="I823" s="51"/>
      <c r="J823" s="53"/>
      <c r="K823" s="53"/>
      <c r="L823" s="53"/>
      <c r="M823" s="53"/>
      <c r="N823" s="53"/>
      <c r="O823" s="139"/>
      <c r="P823" s="50"/>
      <c r="Q823" s="57"/>
      <c r="R823" s="12">
        <v>42895</v>
      </c>
      <c r="S823" s="11">
        <v>8.59</v>
      </c>
      <c r="T823" s="148">
        <v>1.0977635782747603</v>
      </c>
      <c r="U823" s="148">
        <f t="shared" si="42"/>
        <v>7.0387432665078391</v>
      </c>
      <c r="V823" s="278">
        <f t="shared" si="43"/>
        <v>9.4007050528790437E-3</v>
      </c>
      <c r="W823" s="278">
        <f t="shared" si="44"/>
        <v>9.1578951742231577E-3</v>
      </c>
    </row>
    <row r="824" spans="1:23" x14ac:dyDescent="0.2">
      <c r="A824" s="8">
        <v>42887</v>
      </c>
      <c r="B824" s="9">
        <v>8.4749999999999996</v>
      </c>
      <c r="E824" s="51"/>
      <c r="F824" s="51"/>
      <c r="G824" s="51"/>
      <c r="H824" s="51"/>
      <c r="I824" s="51"/>
      <c r="J824" s="53"/>
      <c r="K824" s="53"/>
      <c r="L824" s="53"/>
      <c r="M824" s="53"/>
      <c r="N824" s="53"/>
      <c r="O824" s="139"/>
      <c r="P824" s="50"/>
      <c r="Q824" s="57"/>
      <c r="R824" s="12">
        <v>42898</v>
      </c>
      <c r="S824" s="11">
        <v>8.56</v>
      </c>
      <c r="T824" s="148">
        <v>1.093929712460064</v>
      </c>
      <c r="U824" s="148">
        <f t="shared" si="42"/>
        <v>7.0124518504126412</v>
      </c>
      <c r="V824" s="278">
        <f t="shared" si="43"/>
        <v>-3.4924330616995514E-3</v>
      </c>
      <c r="W824" s="278">
        <f t="shared" si="44"/>
        <v>-3.7352429403554373E-3</v>
      </c>
    </row>
    <row r="825" spans="1:23" x14ac:dyDescent="0.2">
      <c r="A825" s="8">
        <v>42888</v>
      </c>
      <c r="B825" s="9">
        <v>8.41</v>
      </c>
      <c r="E825" s="51"/>
      <c r="F825" s="51"/>
      <c r="G825" s="51"/>
      <c r="H825" s="51"/>
      <c r="I825" s="51"/>
      <c r="J825" s="53"/>
      <c r="K825" s="53"/>
      <c r="L825" s="53"/>
      <c r="M825" s="53"/>
      <c r="N825" s="53"/>
      <c r="O825" s="139"/>
      <c r="P825" s="50"/>
      <c r="Q825" s="57"/>
      <c r="R825" s="12">
        <v>42899</v>
      </c>
      <c r="S825" s="11">
        <v>8.6449999999999996</v>
      </c>
      <c r="T825" s="148">
        <v>1.1047923322683706</v>
      </c>
      <c r="U825" s="148">
        <f t="shared" si="42"/>
        <v>7.0803821493350263</v>
      </c>
      <c r="V825" s="278">
        <f t="shared" si="43"/>
        <v>9.929906542055944E-3</v>
      </c>
      <c r="W825" s="278">
        <f t="shared" si="44"/>
        <v>9.6870966634000581E-3</v>
      </c>
    </row>
    <row r="826" spans="1:23" x14ac:dyDescent="0.2">
      <c r="A826" s="8">
        <v>42891</v>
      </c>
      <c r="B826" s="9">
        <v>8.3350000000000009</v>
      </c>
      <c r="E826" s="51"/>
      <c r="F826" s="51"/>
      <c r="G826" s="51"/>
      <c r="H826" s="51"/>
      <c r="I826" s="51"/>
      <c r="J826" s="53"/>
      <c r="K826" s="53"/>
      <c r="L826" s="53"/>
      <c r="M826" s="53"/>
      <c r="N826" s="53"/>
      <c r="O826" s="139"/>
      <c r="P826" s="50"/>
      <c r="Q826" s="57"/>
      <c r="R826" s="12">
        <v>42900</v>
      </c>
      <c r="S826" s="11">
        <v>8.5250000000000004</v>
      </c>
      <c r="T826" s="148">
        <v>1.0894568690095847</v>
      </c>
      <c r="U826" s="148">
        <f t="shared" si="42"/>
        <v>6.9803811976629007</v>
      </c>
      <c r="V826" s="278">
        <f t="shared" si="43"/>
        <v>-1.3880855986119101E-2</v>
      </c>
      <c r="W826" s="278">
        <f t="shared" si="44"/>
        <v>-1.4123665864774987E-2</v>
      </c>
    </row>
    <row r="827" spans="1:23" x14ac:dyDescent="0.2">
      <c r="A827" s="8">
        <v>42892</v>
      </c>
      <c r="B827" s="9">
        <v>8.2899999999999991</v>
      </c>
      <c r="E827" s="51"/>
      <c r="F827" s="51"/>
      <c r="G827" s="51"/>
      <c r="H827" s="51"/>
      <c r="I827" s="51"/>
      <c r="J827" s="53"/>
      <c r="K827" s="53"/>
      <c r="L827" s="53"/>
      <c r="M827" s="53"/>
      <c r="N827" s="53"/>
      <c r="O827" s="139"/>
      <c r="P827" s="50"/>
      <c r="Q827" s="57"/>
      <c r="R827" s="12">
        <v>42901</v>
      </c>
      <c r="S827" s="11">
        <v>8.49</v>
      </c>
      <c r="T827" s="148">
        <v>1.0849840255591054</v>
      </c>
      <c r="U827" s="148">
        <f t="shared" si="42"/>
        <v>6.9500278356213299</v>
      </c>
      <c r="V827" s="278">
        <f t="shared" si="43"/>
        <v>-4.1055718475073721E-3</v>
      </c>
      <c r="W827" s="278">
        <f t="shared" si="44"/>
        <v>-4.3483817261632581E-3</v>
      </c>
    </row>
    <row r="828" spans="1:23" x14ac:dyDescent="0.2">
      <c r="A828" s="8">
        <v>42893</v>
      </c>
      <c r="B828" s="9">
        <v>8.3650000000000002</v>
      </c>
      <c r="E828" s="51"/>
      <c r="F828" s="51"/>
      <c r="G828" s="51"/>
      <c r="H828" s="51"/>
      <c r="I828" s="51"/>
      <c r="J828" s="53"/>
      <c r="K828" s="53"/>
      <c r="L828" s="53"/>
      <c r="M828" s="53"/>
      <c r="N828" s="53"/>
      <c r="O828" s="139"/>
      <c r="P828" s="50"/>
      <c r="Q828" s="57"/>
      <c r="R828" s="12">
        <v>42902</v>
      </c>
      <c r="S828" s="11">
        <v>8.5549999999999997</v>
      </c>
      <c r="T828" s="148">
        <v>1.0932907348242811</v>
      </c>
      <c r="U828" s="148">
        <f t="shared" si="42"/>
        <v>7.0015501717389315</v>
      </c>
      <c r="V828" s="278">
        <f t="shared" si="43"/>
        <v>7.6560659599527181E-3</v>
      </c>
      <c r="W828" s="278">
        <f t="shared" si="44"/>
        <v>7.4132560812968321E-3</v>
      </c>
    </row>
    <row r="829" spans="1:23" x14ac:dyDescent="0.2">
      <c r="A829" s="8">
        <v>42894</v>
      </c>
      <c r="B829" s="9">
        <v>8.51</v>
      </c>
      <c r="E829" s="51"/>
      <c r="F829" s="51"/>
      <c r="G829" s="51"/>
      <c r="H829" s="51"/>
      <c r="I829" s="51"/>
      <c r="J829" s="53"/>
      <c r="K829" s="53"/>
      <c r="L829" s="53"/>
      <c r="M829" s="53"/>
      <c r="N829" s="53"/>
      <c r="O829" s="139"/>
      <c r="P829" s="50"/>
      <c r="Q829" s="57"/>
      <c r="R829" s="12">
        <v>42905</v>
      </c>
      <c r="S829" s="11">
        <v>8.56</v>
      </c>
      <c r="T829" s="148">
        <v>1.093929712460064</v>
      </c>
      <c r="U829" s="148">
        <f t="shared" si="42"/>
        <v>7.0039422069462898</v>
      </c>
      <c r="V829" s="278">
        <f t="shared" si="43"/>
        <v>5.8445353594405169E-4</v>
      </c>
      <c r="W829" s="278">
        <f t="shared" si="44"/>
        <v>3.4164365728816604E-4</v>
      </c>
    </row>
    <row r="830" spans="1:23" x14ac:dyDescent="0.2">
      <c r="A830" s="8">
        <v>42895</v>
      </c>
      <c r="B830" s="9">
        <v>8.59</v>
      </c>
      <c r="E830" s="51"/>
      <c r="F830" s="51"/>
      <c r="G830" s="51"/>
      <c r="H830" s="51"/>
      <c r="I830" s="51"/>
      <c r="J830" s="53"/>
      <c r="K830" s="53"/>
      <c r="L830" s="53"/>
      <c r="M830" s="53"/>
      <c r="N830" s="53"/>
      <c r="O830" s="139"/>
      <c r="P830" s="50"/>
      <c r="Q830" s="57"/>
      <c r="R830" s="12">
        <v>42906</v>
      </c>
      <c r="S830" s="11">
        <v>8.3949999999999996</v>
      </c>
      <c r="T830" s="148">
        <v>1.0728434504792332</v>
      </c>
      <c r="U830" s="148">
        <f t="shared" si="42"/>
        <v>6.8672356852447329</v>
      </c>
      <c r="V830" s="278">
        <f t="shared" si="43"/>
        <v>-1.9275700934579532E-2</v>
      </c>
      <c r="W830" s="278">
        <f t="shared" si="44"/>
        <v>-1.9518510813235416E-2</v>
      </c>
    </row>
    <row r="831" spans="1:23" x14ac:dyDescent="0.2">
      <c r="A831" s="8">
        <v>42898</v>
      </c>
      <c r="B831" s="9">
        <v>8.56</v>
      </c>
      <c r="E831" s="51"/>
      <c r="F831" s="51"/>
      <c r="G831" s="51"/>
      <c r="H831" s="51"/>
      <c r="I831" s="51"/>
      <c r="J831" s="53"/>
      <c r="K831" s="53"/>
      <c r="L831" s="53"/>
      <c r="M831" s="53"/>
      <c r="N831" s="53"/>
      <c r="O831" s="139"/>
      <c r="P831" s="50"/>
      <c r="Q831" s="57"/>
      <c r="R831" s="12">
        <v>42907</v>
      </c>
      <c r="S831" s="11">
        <v>8.4749999999999996</v>
      </c>
      <c r="T831" s="148">
        <v>1.0830670926517572</v>
      </c>
      <c r="U831" s="148">
        <f t="shared" si="42"/>
        <v>6.9310094502965542</v>
      </c>
      <c r="V831" s="278">
        <f t="shared" si="43"/>
        <v>9.5294818344253684E-3</v>
      </c>
      <c r="W831" s="278">
        <f t="shared" si="44"/>
        <v>9.2866719557694825E-3</v>
      </c>
    </row>
    <row r="832" spans="1:23" x14ac:dyDescent="0.2">
      <c r="A832" s="8">
        <v>42899</v>
      </c>
      <c r="B832" s="9">
        <v>8.6449999999999996</v>
      </c>
      <c r="E832" s="51"/>
      <c r="F832" s="51"/>
      <c r="G832" s="51"/>
      <c r="H832" s="51"/>
      <c r="I832" s="51"/>
      <c r="J832" s="53"/>
      <c r="K832" s="53"/>
      <c r="L832" s="53"/>
      <c r="M832" s="53"/>
      <c r="N832" s="53"/>
      <c r="O832" s="139"/>
      <c r="P832" s="50"/>
      <c r="Q832" s="57"/>
      <c r="R832" s="12">
        <v>42908</v>
      </c>
      <c r="S832" s="11">
        <v>8.4</v>
      </c>
      <c r="T832" s="148">
        <v>1.0734824281150159</v>
      </c>
      <c r="U832" s="148">
        <f t="shared" si="42"/>
        <v>6.8679901659161819</v>
      </c>
      <c r="V832" s="278">
        <f t="shared" si="43"/>
        <v>-8.8495575221237965E-3</v>
      </c>
      <c r="W832" s="278">
        <f t="shared" si="44"/>
        <v>-9.0923674007796825E-3</v>
      </c>
    </row>
    <row r="833" spans="1:23" x14ac:dyDescent="0.2">
      <c r="A833" s="8">
        <v>42900</v>
      </c>
      <c r="B833" s="9">
        <v>8.5250000000000004</v>
      </c>
      <c r="E833" s="51"/>
      <c r="F833" s="51"/>
      <c r="G833" s="51"/>
      <c r="H833" s="51"/>
      <c r="I833" s="51"/>
      <c r="J833" s="53"/>
      <c r="K833" s="53"/>
      <c r="L833" s="53"/>
      <c r="M833" s="53"/>
      <c r="N833" s="53"/>
      <c r="O833" s="139"/>
      <c r="P833" s="50"/>
      <c r="Q833" s="57"/>
      <c r="R833" s="12">
        <v>42909</v>
      </c>
      <c r="S833" s="11">
        <v>8.2650000000000006</v>
      </c>
      <c r="T833" s="148">
        <v>1.0562300319488818</v>
      </c>
      <c r="U833" s="148">
        <f t="shared" si="42"/>
        <v>6.7559441366765904</v>
      </c>
      <c r="V833" s="278">
        <f t="shared" si="43"/>
        <v>-1.6071428571428514E-2</v>
      </c>
      <c r="W833" s="278">
        <f t="shared" si="44"/>
        <v>-1.6314238450084399E-2</v>
      </c>
    </row>
    <row r="834" spans="1:23" x14ac:dyDescent="0.2">
      <c r="A834" s="8">
        <v>42901</v>
      </c>
      <c r="B834" s="9">
        <v>8.49</v>
      </c>
      <c r="E834" s="51"/>
      <c r="F834" s="51"/>
      <c r="G834" s="51"/>
      <c r="H834" s="51"/>
      <c r="I834" s="51"/>
      <c r="J834" s="53"/>
      <c r="K834" s="53"/>
      <c r="L834" s="53"/>
      <c r="M834" s="53"/>
      <c r="N834" s="53"/>
      <c r="O834" s="139"/>
      <c r="P834" s="50"/>
      <c r="Q834" s="57"/>
      <c r="R834" s="12">
        <v>42912</v>
      </c>
      <c r="S834" s="11">
        <v>8.5</v>
      </c>
      <c r="T834" s="148">
        <v>1.0862619808306708</v>
      </c>
      <c r="U834" s="148">
        <f t="shared" si="42"/>
        <v>6.9463965121958982</v>
      </c>
      <c r="V834" s="278">
        <f t="shared" si="43"/>
        <v>2.8433151845129956E-2</v>
      </c>
      <c r="W834" s="278">
        <f t="shared" si="44"/>
        <v>2.8190341966474072E-2</v>
      </c>
    </row>
    <row r="835" spans="1:23" x14ac:dyDescent="0.2">
      <c r="A835" s="8">
        <v>42902</v>
      </c>
      <c r="B835" s="9">
        <v>8.5549999999999997</v>
      </c>
      <c r="E835" s="51"/>
      <c r="F835" s="51"/>
      <c r="G835" s="51"/>
      <c r="H835" s="51"/>
      <c r="I835" s="51"/>
      <c r="J835" s="53"/>
      <c r="K835" s="53"/>
      <c r="L835" s="53"/>
      <c r="M835" s="53"/>
      <c r="N835" s="53"/>
      <c r="O835" s="139"/>
      <c r="P835" s="50"/>
      <c r="Q835" s="57"/>
      <c r="R835" s="12">
        <v>42913</v>
      </c>
      <c r="S835" s="11">
        <v>8.48</v>
      </c>
      <c r="T835" s="148">
        <v>1.0837060702875401</v>
      </c>
      <c r="U835" s="148">
        <f t="shared" si="42"/>
        <v>6.9283653961200393</v>
      </c>
      <c r="V835" s="278">
        <f t="shared" si="43"/>
        <v>-2.3529411764705577E-3</v>
      </c>
      <c r="W835" s="278">
        <f t="shared" si="44"/>
        <v>-2.5957510551264436E-3</v>
      </c>
    </row>
    <row r="836" spans="1:23" x14ac:dyDescent="0.2">
      <c r="A836" s="8">
        <v>42905</v>
      </c>
      <c r="B836" s="9">
        <v>8.56</v>
      </c>
      <c r="E836" s="51"/>
      <c r="F836" s="51"/>
      <c r="G836" s="51"/>
      <c r="H836" s="51"/>
      <c r="I836" s="51"/>
      <c r="J836" s="53"/>
      <c r="K836" s="53"/>
      <c r="L836" s="53"/>
      <c r="M836" s="53"/>
      <c r="N836" s="53"/>
      <c r="O836" s="139"/>
      <c r="P836" s="50"/>
      <c r="Q836" s="57"/>
      <c r="R836" s="12">
        <v>42914</v>
      </c>
      <c r="S836" s="11">
        <v>8.6950000000000003</v>
      </c>
      <c r="T836" s="148">
        <v>1.1111821086261982</v>
      </c>
      <c r="U836" s="148">
        <f t="shared" si="42"/>
        <v>7.1023433281256461</v>
      </c>
      <c r="V836" s="278">
        <f t="shared" si="43"/>
        <v>2.5353773584905648E-2</v>
      </c>
      <c r="W836" s="278">
        <f t="shared" si="44"/>
        <v>2.5110963706249764E-2</v>
      </c>
    </row>
    <row r="837" spans="1:23" x14ac:dyDescent="0.2">
      <c r="A837" s="8">
        <v>42906</v>
      </c>
      <c r="B837" s="9">
        <v>8.3949999999999996</v>
      </c>
      <c r="E837" s="51"/>
      <c r="F837" s="51"/>
      <c r="G837" s="51"/>
      <c r="H837" s="51"/>
      <c r="I837" s="51"/>
      <c r="J837" s="53"/>
      <c r="K837" s="53"/>
      <c r="L837" s="53"/>
      <c r="M837" s="53"/>
      <c r="N837" s="53"/>
      <c r="O837" s="139"/>
      <c r="P837" s="50"/>
      <c r="Q837" s="57"/>
      <c r="R837" s="12">
        <v>42915</v>
      </c>
      <c r="S837" s="11">
        <v>8.6750000000000007</v>
      </c>
      <c r="T837" s="148">
        <v>1.1086261980830672</v>
      </c>
      <c r="U837" s="148">
        <f t="shared" si="42"/>
        <v>7.0842821941031646</v>
      </c>
      <c r="V837" s="278">
        <f t="shared" si="43"/>
        <v>-2.3001725129384587E-3</v>
      </c>
      <c r="W837" s="278">
        <f t="shared" si="44"/>
        <v>-2.5429823915943447E-3</v>
      </c>
    </row>
    <row r="838" spans="1:23" x14ac:dyDescent="0.2">
      <c r="A838" s="8">
        <v>42907</v>
      </c>
      <c r="B838" s="9">
        <v>8.4749999999999996</v>
      </c>
      <c r="E838" s="51"/>
      <c r="F838" s="51"/>
      <c r="G838" s="51"/>
      <c r="H838" s="51"/>
      <c r="I838" s="51"/>
      <c r="J838" s="53"/>
      <c r="K838" s="53"/>
      <c r="L838" s="53"/>
      <c r="M838" s="53"/>
      <c r="N838" s="53"/>
      <c r="O838" s="139"/>
      <c r="P838" s="50"/>
      <c r="Q838" s="57"/>
      <c r="R838" s="12">
        <v>42916</v>
      </c>
      <c r="S838" s="11">
        <v>8.64</v>
      </c>
      <c r="T838" s="148">
        <v>1.1041533546325879</v>
      </c>
      <c r="U838" s="148">
        <f t="shared" si="42"/>
        <v>7.0539799420408738</v>
      </c>
      <c r="V838" s="278">
        <f t="shared" si="43"/>
        <v>-4.0345821325649123E-3</v>
      </c>
      <c r="W838" s="278">
        <f t="shared" si="44"/>
        <v>-4.2773920112207982E-3</v>
      </c>
    </row>
    <row r="839" spans="1:23" x14ac:dyDescent="0.2">
      <c r="A839" s="8">
        <v>42908</v>
      </c>
      <c r="B839" s="9">
        <v>8.4</v>
      </c>
      <c r="E839" s="51"/>
      <c r="F839" s="51"/>
      <c r="G839" s="51"/>
      <c r="H839" s="51"/>
      <c r="I839" s="51"/>
      <c r="J839" s="53"/>
      <c r="K839" s="53"/>
      <c r="L839" s="53"/>
      <c r="M839" s="53"/>
      <c r="N839" s="53"/>
      <c r="O839" s="139"/>
      <c r="P839" s="50"/>
      <c r="Q839" s="57"/>
      <c r="R839" s="12">
        <v>42919</v>
      </c>
      <c r="S839" s="11">
        <v>8.8000000000000007</v>
      </c>
      <c r="T839" s="148">
        <v>1.124600638977636</v>
      </c>
      <c r="U839" s="148">
        <f t="shared" si="42"/>
        <v>7.1828964242130473</v>
      </c>
      <c r="V839" s="278">
        <f t="shared" si="43"/>
        <v>1.8518518518518601E-2</v>
      </c>
      <c r="W839" s="278">
        <f t="shared" si="44"/>
        <v>1.8275708639862717E-2</v>
      </c>
    </row>
    <row r="840" spans="1:23" x14ac:dyDescent="0.2">
      <c r="A840" s="8">
        <v>42909</v>
      </c>
      <c r="B840" s="9">
        <v>8.2650000000000006</v>
      </c>
      <c r="E840" s="51"/>
      <c r="F840" s="51"/>
      <c r="G840" s="51"/>
      <c r="H840" s="51"/>
      <c r="I840" s="51"/>
      <c r="J840" s="53"/>
      <c r="K840" s="53"/>
      <c r="L840" s="53"/>
      <c r="M840" s="53"/>
      <c r="N840" s="53"/>
      <c r="O840" s="139"/>
      <c r="P840" s="50"/>
      <c r="Q840" s="57"/>
      <c r="R840" s="12">
        <v>42920</v>
      </c>
      <c r="S840" s="11">
        <v>8.875</v>
      </c>
      <c r="T840" s="148">
        <v>1.134185303514377</v>
      </c>
      <c r="U840" s="148">
        <f t="shared" si="42"/>
        <v>7.2423702132557013</v>
      </c>
      <c r="V840" s="278">
        <f t="shared" si="43"/>
        <v>8.5227272727272929E-3</v>
      </c>
      <c r="W840" s="278">
        <f t="shared" si="44"/>
        <v>8.2799173940714069E-3</v>
      </c>
    </row>
    <row r="841" spans="1:23" x14ac:dyDescent="0.2">
      <c r="A841" s="8">
        <v>42912</v>
      </c>
      <c r="B841" s="9">
        <v>8.5</v>
      </c>
      <c r="E841" s="51"/>
      <c r="F841" s="51"/>
      <c r="G841" s="51"/>
      <c r="H841" s="51"/>
      <c r="I841" s="51"/>
      <c r="J841" s="53"/>
      <c r="K841" s="53"/>
      <c r="L841" s="53"/>
      <c r="M841" s="53"/>
      <c r="N841" s="53"/>
      <c r="O841" s="139"/>
      <c r="P841" s="50"/>
      <c r="Q841" s="57"/>
      <c r="R841" s="12">
        <v>42921</v>
      </c>
      <c r="S841" s="11">
        <v>8.7650000000000006</v>
      </c>
      <c r="T841" s="148">
        <v>1.1201277955271567</v>
      </c>
      <c r="U841" s="148">
        <f t="shared" si="42"/>
        <v>7.1508471056643783</v>
      </c>
      <c r="V841" s="278">
        <f t="shared" si="43"/>
        <v>-1.2394366197183038E-2</v>
      </c>
      <c r="W841" s="278">
        <f t="shared" si="44"/>
        <v>-1.2637176075838924E-2</v>
      </c>
    </row>
    <row r="842" spans="1:23" x14ac:dyDescent="0.2">
      <c r="A842" s="8">
        <v>42913</v>
      </c>
      <c r="B842" s="9">
        <v>8.48</v>
      </c>
      <c r="E842" s="51"/>
      <c r="F842" s="51"/>
      <c r="G842" s="51"/>
      <c r="H842" s="51"/>
      <c r="I842" s="51"/>
      <c r="J842" s="53"/>
      <c r="K842" s="53"/>
      <c r="L842" s="53"/>
      <c r="M842" s="53"/>
      <c r="N842" s="53"/>
      <c r="O842" s="139"/>
      <c r="P842" s="50"/>
      <c r="Q842" s="57"/>
      <c r="R842" s="12">
        <v>42922</v>
      </c>
      <c r="S842" s="11">
        <v>8.85</v>
      </c>
      <c r="T842" s="148">
        <v>1.1309904153354633</v>
      </c>
      <c r="U842" s="148">
        <f t="shared" si="42"/>
        <v>7.2184573015290763</v>
      </c>
      <c r="V842" s="278">
        <f t="shared" si="43"/>
        <v>9.6976611523102996E-3</v>
      </c>
      <c r="W842" s="278">
        <f t="shared" si="44"/>
        <v>9.4548512736544136E-3</v>
      </c>
    </row>
    <row r="843" spans="1:23" x14ac:dyDescent="0.2">
      <c r="A843" s="8">
        <v>42914</v>
      </c>
      <c r="B843" s="9">
        <v>8.6950000000000003</v>
      </c>
      <c r="E843" s="51"/>
      <c r="F843" s="51"/>
      <c r="G843" s="51"/>
      <c r="H843" s="51"/>
      <c r="I843" s="51"/>
      <c r="J843" s="53"/>
      <c r="K843" s="53"/>
      <c r="L843" s="53"/>
      <c r="M843" s="53"/>
      <c r="N843" s="53"/>
      <c r="O843" s="139"/>
      <c r="P843" s="50"/>
      <c r="Q843" s="57"/>
      <c r="R843" s="12">
        <v>42923</v>
      </c>
      <c r="S843" s="11">
        <v>8.82</v>
      </c>
      <c r="T843" s="148">
        <v>1.1271565495207667</v>
      </c>
      <c r="U843" s="148">
        <f t="shared" si="42"/>
        <v>7.1922352420027655</v>
      </c>
      <c r="V843" s="278">
        <f t="shared" si="43"/>
        <v>-3.3898305084745228E-3</v>
      </c>
      <c r="W843" s="278">
        <f t="shared" si="44"/>
        <v>-3.6326403871304088E-3</v>
      </c>
    </row>
    <row r="844" spans="1:23" x14ac:dyDescent="0.2">
      <c r="A844" s="8">
        <v>42915</v>
      </c>
      <c r="B844" s="9">
        <v>8.6750000000000007</v>
      </c>
      <c r="E844" s="51"/>
      <c r="F844" s="51"/>
      <c r="G844" s="51"/>
      <c r="H844" s="51"/>
      <c r="I844" s="51"/>
      <c r="J844" s="53"/>
      <c r="K844" s="53"/>
      <c r="L844" s="53"/>
      <c r="M844" s="53"/>
      <c r="N844" s="53"/>
      <c r="O844" s="139"/>
      <c r="P844" s="50"/>
      <c r="Q844" s="57"/>
      <c r="R844" s="12">
        <v>42926</v>
      </c>
      <c r="S844" s="11">
        <v>8.8699999999999992</v>
      </c>
      <c r="T844" s="148">
        <v>1.1335463258785941</v>
      </c>
      <c r="U844" s="148">
        <f t="shared" si="42"/>
        <v>7.2312612048645217</v>
      </c>
      <c r="V844" s="278">
        <f t="shared" si="43"/>
        <v>5.668934240362633E-3</v>
      </c>
      <c r="W844" s="278">
        <f t="shared" si="44"/>
        <v>5.4261243617067471E-3</v>
      </c>
    </row>
    <row r="845" spans="1:23" x14ac:dyDescent="0.2">
      <c r="A845" s="8">
        <v>42916</v>
      </c>
      <c r="B845" s="9">
        <v>8.64</v>
      </c>
      <c r="E845" s="51"/>
      <c r="F845" s="51"/>
      <c r="G845" s="51"/>
      <c r="H845" s="51"/>
      <c r="I845" s="51"/>
      <c r="J845" s="53"/>
      <c r="K845" s="53"/>
      <c r="L845" s="53"/>
      <c r="M845" s="53"/>
      <c r="N845" s="53"/>
      <c r="O845" s="139"/>
      <c r="P845" s="50"/>
      <c r="Q845" s="57"/>
      <c r="R845" s="12">
        <v>42927</v>
      </c>
      <c r="S845" s="11">
        <v>8.98</v>
      </c>
      <c r="T845" s="148">
        <v>1.1476038338658148</v>
      </c>
      <c r="U845" s="148">
        <f t="shared" si="42"/>
        <v>7.3191828051406436</v>
      </c>
      <c r="V845" s="278">
        <f t="shared" si="43"/>
        <v>1.2401352874859217E-2</v>
      </c>
      <c r="W845" s="278">
        <f t="shared" si="44"/>
        <v>1.2158542996203331E-2</v>
      </c>
    </row>
    <row r="846" spans="1:23" x14ac:dyDescent="0.2">
      <c r="A846" s="8">
        <v>42919</v>
      </c>
      <c r="B846" s="9">
        <v>8.8000000000000007</v>
      </c>
      <c r="E846" s="51"/>
      <c r="F846" s="51"/>
      <c r="G846" s="51"/>
      <c r="H846" s="51"/>
      <c r="I846" s="51"/>
      <c r="J846" s="53"/>
      <c r="K846" s="53"/>
      <c r="L846" s="53"/>
      <c r="M846" s="53"/>
      <c r="N846" s="53"/>
      <c r="O846" s="139"/>
      <c r="P846" s="50"/>
      <c r="Q846" s="57"/>
      <c r="R846" s="12">
        <v>42928</v>
      </c>
      <c r="S846" s="11">
        <v>9.09</v>
      </c>
      <c r="T846" s="148">
        <v>1.161661341853035</v>
      </c>
      <c r="U846" s="148">
        <f t="shared" si="42"/>
        <v>7.4070615493460172</v>
      </c>
      <c r="V846" s="278">
        <f t="shared" si="43"/>
        <v>1.2249443207126953E-2</v>
      </c>
      <c r="W846" s="278">
        <f t="shared" si="44"/>
        <v>1.2006633328471067E-2</v>
      </c>
    </row>
    <row r="847" spans="1:23" x14ac:dyDescent="0.2">
      <c r="A847" s="8">
        <v>42920</v>
      </c>
      <c r="B847" s="9">
        <v>8.875</v>
      </c>
      <c r="E847" s="51"/>
      <c r="F847" s="51"/>
      <c r="G847" s="51"/>
      <c r="H847" s="51"/>
      <c r="I847" s="51"/>
      <c r="J847" s="53"/>
      <c r="K847" s="53"/>
      <c r="L847" s="53"/>
      <c r="M847" s="53"/>
      <c r="N847" s="53"/>
      <c r="O847" s="139"/>
      <c r="P847" s="50"/>
      <c r="Q847" s="57"/>
      <c r="R847" s="12">
        <v>42929</v>
      </c>
      <c r="S847" s="11">
        <v>9.07</v>
      </c>
      <c r="T847" s="148">
        <v>1.1591054313099041</v>
      </c>
      <c r="U847" s="148">
        <f t="shared" si="42"/>
        <v>7.3889658765049502</v>
      </c>
      <c r="V847" s="278">
        <f t="shared" si="43"/>
        <v>-2.2002200220021528E-3</v>
      </c>
      <c r="W847" s="278">
        <f t="shared" si="44"/>
        <v>-2.4430299006580388E-3</v>
      </c>
    </row>
    <row r="848" spans="1:23" x14ac:dyDescent="0.2">
      <c r="A848" s="8">
        <v>42921</v>
      </c>
      <c r="B848" s="9">
        <v>8.7650000000000006</v>
      </c>
      <c r="E848" s="51"/>
      <c r="F848" s="51"/>
      <c r="G848" s="51"/>
      <c r="H848" s="51"/>
      <c r="I848" s="51"/>
      <c r="J848" s="53"/>
      <c r="K848" s="53"/>
      <c r="L848" s="53"/>
      <c r="M848" s="53"/>
      <c r="N848" s="53"/>
      <c r="O848" s="139"/>
      <c r="P848" s="50"/>
      <c r="Q848" s="57"/>
      <c r="R848" s="12">
        <v>42930</v>
      </c>
      <c r="S848" s="11">
        <v>9</v>
      </c>
      <c r="T848" s="148">
        <v>1.1501597444089458</v>
      </c>
      <c r="U848" s="148">
        <f t="shared" si="42"/>
        <v>7.330145565093737</v>
      </c>
      <c r="V848" s="278">
        <f t="shared" si="43"/>
        <v>-7.717750826901959E-3</v>
      </c>
      <c r="W848" s="278">
        <f t="shared" si="44"/>
        <v>-7.960560705557845E-3</v>
      </c>
    </row>
    <row r="849" spans="1:23" x14ac:dyDescent="0.2">
      <c r="A849" s="8">
        <v>42922</v>
      </c>
      <c r="B849" s="9">
        <v>8.85</v>
      </c>
      <c r="E849" s="51"/>
      <c r="F849" s="51"/>
      <c r="G849" s="51"/>
      <c r="H849" s="51"/>
      <c r="I849" s="51"/>
      <c r="J849" s="53"/>
      <c r="K849" s="53"/>
      <c r="L849" s="53"/>
      <c r="M849" s="53"/>
      <c r="N849" s="53"/>
      <c r="O849" s="139"/>
      <c r="P849" s="50"/>
      <c r="Q849" s="57"/>
      <c r="R849" s="12">
        <v>42933</v>
      </c>
      <c r="S849" s="11">
        <v>9.0050000000000008</v>
      </c>
      <c r="T849" s="148">
        <v>1.1507987220447284</v>
      </c>
      <c r="U849" s="148">
        <f t="shared" si="42"/>
        <v>7.3324380364302657</v>
      </c>
      <c r="V849" s="278">
        <f t="shared" si="43"/>
        <v>5.555555555556424E-4</v>
      </c>
      <c r="W849" s="278">
        <f t="shared" si="44"/>
        <v>3.1274567689975675E-4</v>
      </c>
    </row>
    <row r="850" spans="1:23" x14ac:dyDescent="0.2">
      <c r="A850" s="8">
        <v>42923</v>
      </c>
      <c r="B850" s="9">
        <v>8.82</v>
      </c>
      <c r="E850" s="51"/>
      <c r="F850" s="51"/>
      <c r="G850" s="51"/>
      <c r="H850" s="51"/>
      <c r="I850" s="51"/>
      <c r="J850" s="53"/>
      <c r="K850" s="53"/>
      <c r="L850" s="53"/>
      <c r="M850" s="53"/>
      <c r="N850" s="53"/>
      <c r="O850" s="139"/>
      <c r="P850" s="50"/>
      <c r="Q850" s="57"/>
      <c r="R850" s="12">
        <v>42934</v>
      </c>
      <c r="S850" s="11">
        <v>8.82</v>
      </c>
      <c r="T850" s="148">
        <v>1.1271565495207667</v>
      </c>
      <c r="U850" s="148">
        <f t="shared" si="42"/>
        <v>7.180018998763364</v>
      </c>
      <c r="V850" s="278">
        <f t="shared" si="43"/>
        <v>-2.0544142143253841E-2</v>
      </c>
      <c r="W850" s="278">
        <f t="shared" si="44"/>
        <v>-2.0786952021909725E-2</v>
      </c>
    </row>
    <row r="851" spans="1:23" x14ac:dyDescent="0.2">
      <c r="A851" s="8">
        <v>42926</v>
      </c>
      <c r="B851" s="9">
        <v>8.8699999999999992</v>
      </c>
      <c r="E851" s="51"/>
      <c r="F851" s="51"/>
      <c r="G851" s="51"/>
      <c r="H851" s="51"/>
      <c r="I851" s="51"/>
      <c r="J851" s="53"/>
      <c r="K851" s="53"/>
      <c r="L851" s="53"/>
      <c r="M851" s="53"/>
      <c r="N851" s="53"/>
      <c r="O851" s="139"/>
      <c r="P851" s="50"/>
      <c r="Q851" s="57"/>
      <c r="R851" s="12">
        <v>42935</v>
      </c>
      <c r="S851" s="11">
        <v>8.82</v>
      </c>
      <c r="T851" s="148">
        <v>1.1271565495207667</v>
      </c>
      <c r="U851" s="148">
        <f t="shared" si="42"/>
        <v>7.1782756192215276</v>
      </c>
      <c r="V851" s="278">
        <f t="shared" si="43"/>
        <v>0</v>
      </c>
      <c r="W851" s="278">
        <f t="shared" si="44"/>
        <v>-2.4280987865588565E-4</v>
      </c>
    </row>
    <row r="852" spans="1:23" x14ac:dyDescent="0.2">
      <c r="A852" s="8">
        <v>42927</v>
      </c>
      <c r="B852" s="9">
        <v>8.98</v>
      </c>
      <c r="E852" s="51"/>
      <c r="F852" s="51"/>
      <c r="G852" s="51"/>
      <c r="H852" s="51"/>
      <c r="I852" s="51"/>
      <c r="J852" s="53"/>
      <c r="K852" s="53"/>
      <c r="L852" s="53"/>
      <c r="M852" s="53"/>
      <c r="N852" s="53"/>
      <c r="O852" s="139"/>
      <c r="P852" s="50"/>
      <c r="Q852" s="57"/>
      <c r="R852" s="12">
        <v>42936</v>
      </c>
      <c r="S852" s="11">
        <v>8.7850000000000001</v>
      </c>
      <c r="T852" s="148">
        <v>1.1226837060702874</v>
      </c>
      <c r="U852" s="148">
        <f t="shared" si="42"/>
        <v>7.1480474422782692</v>
      </c>
      <c r="V852" s="278">
        <f t="shared" si="43"/>
        <v>-3.9682539682539542E-3</v>
      </c>
      <c r="W852" s="278">
        <f t="shared" si="44"/>
        <v>-4.2110638469098401E-3</v>
      </c>
    </row>
    <row r="853" spans="1:23" x14ac:dyDescent="0.2">
      <c r="A853" s="8">
        <v>42928</v>
      </c>
      <c r="B853" s="9">
        <v>9.09</v>
      </c>
      <c r="E853" s="51"/>
      <c r="F853" s="51"/>
      <c r="G853" s="51"/>
      <c r="H853" s="51"/>
      <c r="I853" s="51"/>
      <c r="J853" s="53"/>
      <c r="K853" s="53"/>
      <c r="L853" s="53"/>
      <c r="M853" s="53"/>
      <c r="N853" s="53"/>
      <c r="O853" s="139"/>
      <c r="P853" s="50"/>
      <c r="Q853" s="57"/>
      <c r="R853" s="12">
        <v>42937</v>
      </c>
      <c r="S853" s="11">
        <v>8.6750000000000007</v>
      </c>
      <c r="T853" s="148">
        <v>1.1086261980830672</v>
      </c>
      <c r="U853" s="148">
        <f t="shared" si="42"/>
        <v>7.0568086705212991</v>
      </c>
      <c r="V853" s="278">
        <f t="shared" si="43"/>
        <v>-1.2521343198633961E-2</v>
      </c>
      <c r="W853" s="278">
        <f t="shared" si="44"/>
        <v>-1.2764153077289847E-2</v>
      </c>
    </row>
    <row r="854" spans="1:23" x14ac:dyDescent="0.2">
      <c r="A854" s="8">
        <v>42929</v>
      </c>
      <c r="B854" s="9">
        <v>9.07</v>
      </c>
      <c r="E854" s="51"/>
      <c r="F854" s="51"/>
      <c r="G854" s="51"/>
      <c r="H854" s="51"/>
      <c r="I854" s="51"/>
      <c r="J854" s="53"/>
      <c r="K854" s="53"/>
      <c r="L854" s="53"/>
      <c r="M854" s="53"/>
      <c r="N854" s="53"/>
      <c r="O854" s="139"/>
      <c r="P854" s="50"/>
      <c r="Q854" s="57"/>
      <c r="R854" s="12">
        <v>42940</v>
      </c>
      <c r="S854" s="11">
        <v>8.7100000000000009</v>
      </c>
      <c r="T854" s="148">
        <v>1.1130990415335464</v>
      </c>
      <c r="U854" s="148">
        <f t="shared" si="42"/>
        <v>7.083566481839326</v>
      </c>
      <c r="V854" s="278">
        <f t="shared" si="43"/>
        <v>4.0345821325649123E-3</v>
      </c>
      <c r="W854" s="278">
        <f t="shared" si="44"/>
        <v>3.7917722539090263E-3</v>
      </c>
    </row>
    <row r="855" spans="1:23" x14ac:dyDescent="0.2">
      <c r="A855" s="8">
        <v>42930</v>
      </c>
      <c r="B855" s="9">
        <v>9</v>
      </c>
      <c r="E855" s="51"/>
      <c r="F855" s="51"/>
      <c r="G855" s="51"/>
      <c r="H855" s="51"/>
      <c r="I855" s="51"/>
      <c r="J855" s="53"/>
      <c r="K855" s="53"/>
      <c r="L855" s="53"/>
      <c r="M855" s="53"/>
      <c r="N855" s="53"/>
      <c r="O855" s="139"/>
      <c r="P855" s="50"/>
      <c r="Q855" s="57"/>
      <c r="R855" s="12">
        <v>42941</v>
      </c>
      <c r="S855" s="11">
        <v>8.74</v>
      </c>
      <c r="T855" s="148">
        <v>1.1169329073482428</v>
      </c>
      <c r="U855" s="148">
        <f t="shared" si="42"/>
        <v>7.1062445695052503</v>
      </c>
      <c r="V855" s="278">
        <f t="shared" si="43"/>
        <v>3.4443168771525201E-3</v>
      </c>
      <c r="W855" s="278">
        <f t="shared" si="44"/>
        <v>3.2015069984966341E-3</v>
      </c>
    </row>
    <row r="856" spans="1:23" x14ac:dyDescent="0.2">
      <c r="A856" s="8">
        <v>42933</v>
      </c>
      <c r="B856" s="9">
        <v>9.0050000000000008</v>
      </c>
      <c r="E856" s="51"/>
      <c r="F856" s="51"/>
      <c r="G856" s="51"/>
      <c r="H856" s="51"/>
      <c r="I856" s="51"/>
      <c r="J856" s="53"/>
      <c r="K856" s="53"/>
      <c r="L856" s="53"/>
      <c r="M856" s="53"/>
      <c r="N856" s="53"/>
      <c r="O856" s="139"/>
      <c r="P856" s="50"/>
      <c r="Q856" s="57"/>
      <c r="R856" s="12">
        <v>42942</v>
      </c>
      <c r="S856" s="11">
        <v>8.8350000000000009</v>
      </c>
      <c r="T856" s="148">
        <v>1.129073482428115</v>
      </c>
      <c r="U856" s="148">
        <f t="shared" si="42"/>
        <v>7.1817608919225995</v>
      </c>
      <c r="V856" s="278">
        <f t="shared" si="43"/>
        <v>1.0869565217391353E-2</v>
      </c>
      <c r="W856" s="278">
        <f t="shared" si="44"/>
        <v>1.0626755338735467E-2</v>
      </c>
    </row>
    <row r="857" spans="1:23" x14ac:dyDescent="0.2">
      <c r="A857" s="8">
        <v>42934</v>
      </c>
      <c r="B857" s="9">
        <v>8.82</v>
      </c>
      <c r="E857" s="51"/>
      <c r="F857" s="51"/>
      <c r="G857" s="51"/>
      <c r="H857" s="51"/>
      <c r="I857" s="51"/>
      <c r="J857" s="53"/>
      <c r="K857" s="53"/>
      <c r="L857" s="53"/>
      <c r="M857" s="53"/>
      <c r="N857" s="53"/>
      <c r="O857" s="139"/>
      <c r="P857" s="50"/>
      <c r="Q857" s="57"/>
      <c r="R857" s="12">
        <v>42943</v>
      </c>
      <c r="S857" s="11">
        <v>8.8949999999999996</v>
      </c>
      <c r="T857" s="148">
        <v>1.1367412140575079</v>
      </c>
      <c r="U857" s="148">
        <f t="shared" ref="U857:U920" si="45">U856*(1+W857)</f>
        <v>7.2287896591563259</v>
      </c>
      <c r="V857" s="278">
        <f t="shared" ref="V857:V920" si="46">S857/S856-1</f>
        <v>6.7911714770796383E-3</v>
      </c>
      <c r="W857" s="278">
        <f t="shared" ref="W857:W920" si="47">V857-$V$3+$W$2</f>
        <v>6.5483615984237523E-3</v>
      </c>
    </row>
    <row r="858" spans="1:23" x14ac:dyDescent="0.2">
      <c r="A858" s="8">
        <v>42935</v>
      </c>
      <c r="B858" s="9">
        <v>8.82</v>
      </c>
      <c r="E858" s="51"/>
      <c r="F858" s="51"/>
      <c r="G858" s="51"/>
      <c r="H858" s="51"/>
      <c r="I858" s="51"/>
      <c r="J858" s="53"/>
      <c r="K858" s="53"/>
      <c r="L858" s="53"/>
      <c r="M858" s="53"/>
      <c r="N858" s="53"/>
      <c r="O858" s="139"/>
      <c r="P858" s="50"/>
      <c r="Q858" s="57"/>
      <c r="R858" s="12">
        <v>42944</v>
      </c>
      <c r="S858" s="11">
        <v>8.8550000000000004</v>
      </c>
      <c r="T858" s="148">
        <v>1.131629392971246</v>
      </c>
      <c r="U858" s="148">
        <f t="shared" si="45"/>
        <v>7.1945272328534289</v>
      </c>
      <c r="V858" s="278">
        <f t="shared" si="46"/>
        <v>-4.4969083754917705E-3</v>
      </c>
      <c r="W858" s="278">
        <f t="shared" si="47"/>
        <v>-4.7397182541476564E-3</v>
      </c>
    </row>
    <row r="859" spans="1:23" x14ac:dyDescent="0.2">
      <c r="A859" s="8">
        <v>42936</v>
      </c>
      <c r="B859" s="9">
        <v>8.7850000000000001</v>
      </c>
      <c r="E859" s="51"/>
      <c r="F859" s="51"/>
      <c r="G859" s="51"/>
      <c r="H859" s="51"/>
      <c r="I859" s="51"/>
      <c r="J859" s="53"/>
      <c r="K859" s="53"/>
      <c r="L859" s="53"/>
      <c r="M859" s="53"/>
      <c r="N859" s="53"/>
      <c r="O859" s="139"/>
      <c r="P859" s="50"/>
      <c r="Q859" s="57"/>
      <c r="R859" s="12">
        <v>42947</v>
      </c>
      <c r="S859" s="11">
        <v>8.8149999999999995</v>
      </c>
      <c r="T859" s="148">
        <v>1.126517571884984</v>
      </c>
      <c r="U859" s="148">
        <f t="shared" si="45"/>
        <v>7.1602810545312989</v>
      </c>
      <c r="V859" s="278">
        <f t="shared" si="46"/>
        <v>-4.5172219085263254E-3</v>
      </c>
      <c r="W859" s="278">
        <f t="shared" si="47"/>
        <v>-4.7600317871822114E-3</v>
      </c>
    </row>
    <row r="860" spans="1:23" x14ac:dyDescent="0.2">
      <c r="A860" s="8">
        <v>42937</v>
      </c>
      <c r="B860" s="9">
        <v>8.6750000000000007</v>
      </c>
      <c r="E860" s="51"/>
      <c r="F860" s="51"/>
      <c r="G860" s="51"/>
      <c r="H860" s="51"/>
      <c r="I860" s="51"/>
      <c r="J860" s="53"/>
      <c r="K860" s="53"/>
      <c r="L860" s="53"/>
      <c r="M860" s="53"/>
      <c r="N860" s="53"/>
      <c r="O860" s="139"/>
      <c r="P860" s="50"/>
      <c r="Q860" s="57"/>
      <c r="R860" s="12">
        <v>42948</v>
      </c>
      <c r="S860" s="11">
        <v>8.7949999999999999</v>
      </c>
      <c r="T860" s="148">
        <v>1.123961661341853</v>
      </c>
      <c r="U860" s="148">
        <f t="shared" si="45"/>
        <v>7.1422967930149781</v>
      </c>
      <c r="V860" s="278">
        <f t="shared" si="46"/>
        <v>-2.2688598979012653E-3</v>
      </c>
      <c r="W860" s="278">
        <f t="shared" si="47"/>
        <v>-2.5116697765571513E-3</v>
      </c>
    </row>
    <row r="861" spans="1:23" x14ac:dyDescent="0.2">
      <c r="A861" s="8">
        <v>42940</v>
      </c>
      <c r="B861" s="9">
        <v>8.7100000000000009</v>
      </c>
      <c r="E861" s="51"/>
      <c r="F861" s="51"/>
      <c r="G861" s="51"/>
      <c r="H861" s="51"/>
      <c r="I861" s="51"/>
      <c r="J861" s="53"/>
      <c r="K861" s="53"/>
      <c r="L861" s="53"/>
      <c r="M861" s="53"/>
      <c r="N861" s="53"/>
      <c r="O861" s="139"/>
      <c r="P861" s="50"/>
      <c r="Q861" s="57"/>
      <c r="R861" s="12">
        <v>42949</v>
      </c>
      <c r="S861" s="11">
        <v>8.8800000000000008</v>
      </c>
      <c r="T861" s="148">
        <v>1.1348242811501599</v>
      </c>
      <c r="U861" s="148">
        <f t="shared" si="45"/>
        <v>7.2095898868856043</v>
      </c>
      <c r="V861" s="278">
        <f t="shared" si="46"/>
        <v>9.6645821489482753E-3</v>
      </c>
      <c r="W861" s="278">
        <f t="shared" si="47"/>
        <v>9.4217722702923893E-3</v>
      </c>
    </row>
    <row r="862" spans="1:23" x14ac:dyDescent="0.2">
      <c r="A862" s="8">
        <v>42941</v>
      </c>
      <c r="B862" s="9">
        <v>8.74</v>
      </c>
      <c r="E862" s="51"/>
      <c r="F862" s="51"/>
      <c r="G862" s="51"/>
      <c r="H862" s="51"/>
      <c r="I862" s="51"/>
      <c r="J862" s="53"/>
      <c r="K862" s="53"/>
      <c r="L862" s="53"/>
      <c r="M862" s="53"/>
      <c r="N862" s="53"/>
      <c r="O862" s="139"/>
      <c r="P862" s="50"/>
      <c r="Q862" s="57"/>
      <c r="R862" s="12">
        <v>42950</v>
      </c>
      <c r="S862" s="11">
        <v>9.01</v>
      </c>
      <c r="T862" s="148">
        <v>1.1514376996805111</v>
      </c>
      <c r="U862" s="148">
        <f t="shared" si="45"/>
        <v>7.3133851251336051</v>
      </c>
      <c r="V862" s="278">
        <f t="shared" si="46"/>
        <v>1.4639639639639546E-2</v>
      </c>
      <c r="W862" s="278">
        <f t="shared" si="47"/>
        <v>1.439682976098366E-2</v>
      </c>
    </row>
    <row r="863" spans="1:23" x14ac:dyDescent="0.2">
      <c r="A863" s="8">
        <v>42942</v>
      </c>
      <c r="B863" s="9">
        <v>8.8350000000000009</v>
      </c>
      <c r="E863" s="51"/>
      <c r="F863" s="51"/>
      <c r="G863" s="51"/>
      <c r="H863" s="51"/>
      <c r="I863" s="51"/>
      <c r="J863" s="53"/>
      <c r="K863" s="53"/>
      <c r="L863" s="53"/>
      <c r="M863" s="53"/>
      <c r="N863" s="53"/>
      <c r="O863" s="139"/>
      <c r="P863" s="50"/>
      <c r="Q863" s="57"/>
      <c r="R863" s="12">
        <v>42951</v>
      </c>
      <c r="S863" s="11">
        <v>8.9949999999999992</v>
      </c>
      <c r="T863" s="148">
        <v>1.1495207667731628</v>
      </c>
      <c r="U863" s="148">
        <f t="shared" si="45"/>
        <v>7.2994339160446229</v>
      </c>
      <c r="V863" s="278">
        <f t="shared" si="46"/>
        <v>-1.6648168701443034E-3</v>
      </c>
      <c r="W863" s="278">
        <f t="shared" si="47"/>
        <v>-1.9076267488001891E-3</v>
      </c>
    </row>
    <row r="864" spans="1:23" x14ac:dyDescent="0.2">
      <c r="A864" s="8">
        <v>42943</v>
      </c>
      <c r="B864" s="9">
        <v>8.8949999999999996</v>
      </c>
      <c r="E864" s="51"/>
      <c r="F864" s="51"/>
      <c r="G864" s="51"/>
      <c r="H864" s="51"/>
      <c r="I864" s="51"/>
      <c r="J864" s="53"/>
      <c r="K864" s="53"/>
      <c r="L864" s="53"/>
      <c r="M864" s="53"/>
      <c r="N864" s="53"/>
      <c r="O864" s="139"/>
      <c r="P864" s="50"/>
      <c r="Q864" s="57"/>
      <c r="R864" s="12">
        <v>42954</v>
      </c>
      <c r="S864" s="11">
        <v>9.09</v>
      </c>
      <c r="T864" s="148">
        <v>1.161661341853035</v>
      </c>
      <c r="U864" s="148">
        <f t="shared" si="45"/>
        <v>7.3747539507224262</v>
      </c>
      <c r="V864" s="278">
        <f t="shared" si="46"/>
        <v>1.0561423012784843E-2</v>
      </c>
      <c r="W864" s="278">
        <f t="shared" si="47"/>
        <v>1.0318613134128957E-2</v>
      </c>
    </row>
    <row r="865" spans="1:23" x14ac:dyDescent="0.2">
      <c r="A865" s="8">
        <v>42944</v>
      </c>
      <c r="B865" s="9">
        <v>8.8550000000000004</v>
      </c>
      <c r="E865" s="51"/>
      <c r="F865" s="51"/>
      <c r="G865" s="51"/>
      <c r="H865" s="51"/>
      <c r="I865" s="51"/>
      <c r="J865" s="53"/>
      <c r="K865" s="53"/>
      <c r="L865" s="53"/>
      <c r="M865" s="53"/>
      <c r="N865" s="53"/>
      <c r="O865" s="139"/>
      <c r="P865" s="50"/>
      <c r="Q865" s="57"/>
      <c r="R865" s="12">
        <v>42955</v>
      </c>
      <c r="S865" s="11">
        <v>9.0649999999999995</v>
      </c>
      <c r="T865" s="148">
        <v>1.1584664536741214</v>
      </c>
      <c r="U865" s="148">
        <f t="shared" si="45"/>
        <v>7.3526806859858844</v>
      </c>
      <c r="V865" s="278">
        <f t="shared" si="46"/>
        <v>-2.7502750275028021E-3</v>
      </c>
      <c r="W865" s="278">
        <f t="shared" si="47"/>
        <v>-2.993084906158688E-3</v>
      </c>
    </row>
    <row r="866" spans="1:23" x14ac:dyDescent="0.2">
      <c r="A866" s="8">
        <v>42947</v>
      </c>
      <c r="B866" s="9">
        <v>8.8149999999999995</v>
      </c>
      <c r="E866" s="51"/>
      <c r="F866" s="51"/>
      <c r="G866" s="51"/>
      <c r="H866" s="51"/>
      <c r="I866" s="51"/>
      <c r="J866" s="53"/>
      <c r="K866" s="53"/>
      <c r="L866" s="53"/>
      <c r="M866" s="53"/>
      <c r="N866" s="53"/>
      <c r="O866" s="139"/>
      <c r="P866" s="50"/>
      <c r="Q866" s="57"/>
      <c r="R866" s="12">
        <v>42956</v>
      </c>
      <c r="S866" s="11">
        <v>8.9</v>
      </c>
      <c r="T866" s="148">
        <v>1.1373801916932909</v>
      </c>
      <c r="U866" s="148">
        <f t="shared" si="45"/>
        <v>7.2170628051847885</v>
      </c>
      <c r="V866" s="278">
        <f t="shared" si="46"/>
        <v>-1.8201875344732388E-2</v>
      </c>
      <c r="W866" s="278">
        <f t="shared" si="47"/>
        <v>-1.8444685223388272E-2</v>
      </c>
    </row>
    <row r="867" spans="1:23" x14ac:dyDescent="0.2">
      <c r="A867" s="8">
        <v>42948</v>
      </c>
      <c r="B867" s="9">
        <v>8.7949999999999999</v>
      </c>
      <c r="E867" s="51"/>
      <c r="F867" s="51"/>
      <c r="G867" s="51"/>
      <c r="H867" s="51"/>
      <c r="I867" s="51"/>
      <c r="J867" s="53"/>
      <c r="K867" s="53"/>
      <c r="L867" s="53"/>
      <c r="M867" s="53"/>
      <c r="N867" s="53"/>
      <c r="O867" s="139"/>
      <c r="P867" s="50"/>
      <c r="Q867" s="57"/>
      <c r="R867" s="12">
        <v>42957</v>
      </c>
      <c r="S867" s="11">
        <v>8.8800000000000008</v>
      </c>
      <c r="T867" s="148">
        <v>1.1348242811501599</v>
      </c>
      <c r="U867" s="148">
        <f t="shared" si="45"/>
        <v>7.1990923123774735</v>
      </c>
      <c r="V867" s="278">
        <f t="shared" si="46"/>
        <v>-2.2471910112359383E-3</v>
      </c>
      <c r="W867" s="278">
        <f t="shared" si="47"/>
        <v>-2.4900008898918243E-3</v>
      </c>
    </row>
    <row r="868" spans="1:23" x14ac:dyDescent="0.2">
      <c r="A868" s="8">
        <v>42949</v>
      </c>
      <c r="B868" s="9">
        <v>8.8800000000000008</v>
      </c>
      <c r="E868" s="51"/>
      <c r="F868" s="51"/>
      <c r="G868" s="51"/>
      <c r="H868" s="51"/>
      <c r="I868" s="51"/>
      <c r="J868" s="53"/>
      <c r="K868" s="53"/>
      <c r="L868" s="53"/>
      <c r="M868" s="53"/>
      <c r="N868" s="53"/>
      <c r="O868" s="139"/>
      <c r="P868" s="50"/>
      <c r="Q868" s="57"/>
      <c r="R868" s="12">
        <v>42958</v>
      </c>
      <c r="S868" s="11">
        <v>8.6999999999999993</v>
      </c>
      <c r="T868" s="148">
        <v>1.1118210862619806</v>
      </c>
      <c r="U868" s="148">
        <f t="shared" si="45"/>
        <v>7.0514167547741557</v>
      </c>
      <c r="V868" s="278">
        <f t="shared" si="46"/>
        <v>-2.0270270270270396E-2</v>
      </c>
      <c r="W868" s="278">
        <f t="shared" si="47"/>
        <v>-2.0513080148926281E-2</v>
      </c>
    </row>
    <row r="869" spans="1:23" x14ac:dyDescent="0.2">
      <c r="A869" s="8">
        <v>42950</v>
      </c>
      <c r="B869" s="9">
        <v>9.01</v>
      </c>
      <c r="E869" s="51"/>
      <c r="F869" s="51"/>
      <c r="G869" s="51"/>
      <c r="H869" s="51"/>
      <c r="I869" s="51"/>
      <c r="J869" s="53"/>
      <c r="K869" s="53"/>
      <c r="L869" s="53"/>
      <c r="M869" s="53"/>
      <c r="N869" s="53"/>
      <c r="O869" s="139"/>
      <c r="P869" s="50"/>
      <c r="Q869" s="57"/>
      <c r="R869" s="12">
        <v>42961</v>
      </c>
      <c r="S869" s="11">
        <v>8.7949999999999999</v>
      </c>
      <c r="T869" s="148">
        <v>1.123961661341853</v>
      </c>
      <c r="U869" s="148">
        <f t="shared" si="45"/>
        <v>7.1267028300590187</v>
      </c>
      <c r="V869" s="278">
        <f t="shared" si="46"/>
        <v>1.0919540229885172E-2</v>
      </c>
      <c r="W869" s="278">
        <f t="shared" si="47"/>
        <v>1.0676730351229286E-2</v>
      </c>
    </row>
    <row r="870" spans="1:23" x14ac:dyDescent="0.2">
      <c r="A870" s="8">
        <v>42951</v>
      </c>
      <c r="B870" s="9">
        <v>8.9949999999999992</v>
      </c>
      <c r="E870" s="51"/>
      <c r="F870" s="51"/>
      <c r="G870" s="51"/>
      <c r="H870" s="51"/>
      <c r="I870" s="51"/>
      <c r="J870" s="53"/>
      <c r="K870" s="53"/>
      <c r="L870" s="53"/>
      <c r="M870" s="53"/>
      <c r="N870" s="53"/>
      <c r="O870" s="139"/>
      <c r="P870" s="50"/>
      <c r="Q870" s="57"/>
      <c r="R870" s="12">
        <v>42963</v>
      </c>
      <c r="S870" s="11">
        <v>8.875</v>
      </c>
      <c r="T870" s="148">
        <v>1.134185303514377</v>
      </c>
      <c r="U870" s="148">
        <f t="shared" si="45"/>
        <v>7.1897974361646924</v>
      </c>
      <c r="V870" s="278">
        <f t="shared" si="46"/>
        <v>9.0960773166572917E-3</v>
      </c>
      <c r="W870" s="278">
        <f t="shared" si="47"/>
        <v>8.8532674380014057E-3</v>
      </c>
    </row>
    <row r="871" spans="1:23" x14ac:dyDescent="0.2">
      <c r="A871" s="8">
        <v>42954</v>
      </c>
      <c r="B871" s="9">
        <v>9.09</v>
      </c>
      <c r="E871" s="51"/>
      <c r="F871" s="51"/>
      <c r="G871" s="51"/>
      <c r="H871" s="51"/>
      <c r="I871" s="51"/>
      <c r="J871" s="53"/>
      <c r="K871" s="53"/>
      <c r="L871" s="53"/>
      <c r="M871" s="53"/>
      <c r="N871" s="53"/>
      <c r="O871" s="139"/>
      <c r="P871" s="50"/>
      <c r="Q871" s="57"/>
      <c r="R871" s="12">
        <v>42964</v>
      </c>
      <c r="S871" s="11">
        <v>8.7799999999999994</v>
      </c>
      <c r="T871" s="148">
        <v>1.1220447284345048</v>
      </c>
      <c r="U871" s="148">
        <f t="shared" si="45"/>
        <v>7.1110904703289073</v>
      </c>
      <c r="V871" s="278">
        <f t="shared" si="46"/>
        <v>-1.0704225352112795E-2</v>
      </c>
      <c r="W871" s="278">
        <f t="shared" si="47"/>
        <v>-1.0947035230768681E-2</v>
      </c>
    </row>
    <row r="872" spans="1:23" x14ac:dyDescent="0.2">
      <c r="A872" s="8">
        <v>42955</v>
      </c>
      <c r="B872" s="9">
        <v>9.0649999999999995</v>
      </c>
      <c r="E872" s="51"/>
      <c r="F872" s="51"/>
      <c r="G872" s="51"/>
      <c r="H872" s="51"/>
      <c r="I872" s="51"/>
      <c r="J872" s="53"/>
      <c r="K872" s="53"/>
      <c r="L872" s="53"/>
      <c r="M872" s="53"/>
      <c r="N872" s="53"/>
      <c r="O872" s="139"/>
      <c r="P872" s="50"/>
      <c r="Q872" s="57"/>
      <c r="R872" s="12">
        <v>42965</v>
      </c>
      <c r="S872" s="11">
        <v>8.8550000000000004</v>
      </c>
      <c r="T872" s="148">
        <v>1.131629392971246</v>
      </c>
      <c r="U872" s="148">
        <f t="shared" si="45"/>
        <v>7.1701077664120376</v>
      </c>
      <c r="V872" s="278">
        <f t="shared" si="46"/>
        <v>8.5421412300683564E-3</v>
      </c>
      <c r="W872" s="278">
        <f t="shared" si="47"/>
        <v>8.2993313514124704E-3</v>
      </c>
    </row>
    <row r="873" spans="1:23" x14ac:dyDescent="0.2">
      <c r="A873" s="8">
        <v>42956</v>
      </c>
      <c r="B873" s="9">
        <v>8.9</v>
      </c>
      <c r="E873" s="51"/>
      <c r="F873" s="51"/>
      <c r="G873" s="51"/>
      <c r="H873" s="51"/>
      <c r="I873" s="51"/>
      <c r="J873" s="53"/>
      <c r="K873" s="53"/>
      <c r="L873" s="53"/>
      <c r="M873" s="53"/>
      <c r="N873" s="53"/>
      <c r="O873" s="139"/>
      <c r="P873" s="50"/>
      <c r="Q873" s="57"/>
      <c r="R873" s="12">
        <v>42968</v>
      </c>
      <c r="S873" s="11">
        <v>8.77</v>
      </c>
      <c r="T873" s="148">
        <v>1.1207667731629392</v>
      </c>
      <c r="U873" s="148">
        <f t="shared" si="45"/>
        <v>7.0995402366513467</v>
      </c>
      <c r="V873" s="278">
        <f t="shared" si="46"/>
        <v>-9.5990965556184138E-3</v>
      </c>
      <c r="W873" s="278">
        <f t="shared" si="47"/>
        <v>-9.8419064342742998E-3</v>
      </c>
    </row>
    <row r="874" spans="1:23" x14ac:dyDescent="0.2">
      <c r="A874" s="8">
        <v>42957</v>
      </c>
      <c r="B874" s="9">
        <v>8.8800000000000008</v>
      </c>
      <c r="E874" s="51"/>
      <c r="F874" s="51"/>
      <c r="G874" s="51"/>
      <c r="H874" s="51"/>
      <c r="I874" s="51"/>
      <c r="J874" s="53"/>
      <c r="K874" s="53"/>
      <c r="L874" s="53"/>
      <c r="M874" s="53"/>
      <c r="N874" s="53"/>
      <c r="O874" s="139"/>
      <c r="P874" s="50"/>
      <c r="Q874" s="57"/>
      <c r="R874" s="12">
        <v>42969</v>
      </c>
      <c r="S874" s="11">
        <v>8.6850000000000005</v>
      </c>
      <c r="T874" s="148">
        <v>1.1099041533546325</v>
      </c>
      <c r="U874" s="148">
        <f t="shared" si="45"/>
        <v>7.0290067151245568</v>
      </c>
      <c r="V874" s="278">
        <f t="shared" si="46"/>
        <v>-9.6921322690991518E-3</v>
      </c>
      <c r="W874" s="278">
        <f t="shared" si="47"/>
        <v>-9.9349421477550378E-3</v>
      </c>
    </row>
    <row r="875" spans="1:23" x14ac:dyDescent="0.2">
      <c r="A875" s="8">
        <v>42958</v>
      </c>
      <c r="B875" s="9">
        <v>8.6999999999999993</v>
      </c>
      <c r="E875" s="51"/>
      <c r="F875" s="51"/>
      <c r="G875" s="51"/>
      <c r="H875" s="51"/>
      <c r="I875" s="51"/>
      <c r="J875" s="53"/>
      <c r="K875" s="53"/>
      <c r="L875" s="53"/>
      <c r="M875" s="53"/>
      <c r="N875" s="53"/>
      <c r="O875" s="139"/>
      <c r="P875" s="50"/>
      <c r="Q875" s="57"/>
      <c r="R875" s="12">
        <v>42970</v>
      </c>
      <c r="S875" s="11">
        <v>8.56</v>
      </c>
      <c r="T875" s="148">
        <v>1.093929712460064</v>
      </c>
      <c r="U875" s="148">
        <f t="shared" si="45"/>
        <v>6.9261341030998684</v>
      </c>
      <c r="V875" s="278">
        <f t="shared" si="46"/>
        <v>-1.4392630972941856E-2</v>
      </c>
      <c r="W875" s="278">
        <f t="shared" si="47"/>
        <v>-1.4635440851597742E-2</v>
      </c>
    </row>
    <row r="876" spans="1:23" x14ac:dyDescent="0.2">
      <c r="A876" s="8">
        <v>42961</v>
      </c>
      <c r="B876" s="9">
        <v>8.7949999999999999</v>
      </c>
      <c r="E876" s="51"/>
      <c r="F876" s="51"/>
      <c r="G876" s="51"/>
      <c r="H876" s="51"/>
      <c r="I876" s="51"/>
      <c r="J876" s="53"/>
      <c r="K876" s="53"/>
      <c r="L876" s="53"/>
      <c r="M876" s="53"/>
      <c r="N876" s="53"/>
      <c r="O876" s="139"/>
      <c r="P876" s="50"/>
      <c r="Q876" s="57"/>
      <c r="R876" s="12">
        <v>42971</v>
      </c>
      <c r="S876" s="11">
        <v>8.59</v>
      </c>
      <c r="T876" s="148">
        <v>1.0977635782747603</v>
      </c>
      <c r="U876" s="148">
        <f t="shared" si="45"/>
        <v>6.9487262037922193</v>
      </c>
      <c r="V876" s="278">
        <f t="shared" si="46"/>
        <v>3.5046728971961372E-3</v>
      </c>
      <c r="W876" s="278">
        <f t="shared" si="47"/>
        <v>3.2618630185402512E-3</v>
      </c>
    </row>
    <row r="877" spans="1:23" x14ac:dyDescent="0.2">
      <c r="A877" s="8">
        <v>42963</v>
      </c>
      <c r="B877" s="9">
        <v>8.875</v>
      </c>
      <c r="E877" s="51"/>
      <c r="F877" s="51"/>
      <c r="G877" s="51"/>
      <c r="H877" s="51"/>
      <c r="I877" s="51"/>
      <c r="J877" s="53"/>
      <c r="K877" s="53"/>
      <c r="L877" s="53"/>
      <c r="M877" s="53"/>
      <c r="N877" s="53"/>
      <c r="O877" s="139"/>
      <c r="P877" s="50"/>
      <c r="Q877" s="57"/>
      <c r="R877" s="12">
        <v>42972</v>
      </c>
      <c r="S877" s="11">
        <v>8.5350000000000001</v>
      </c>
      <c r="T877" s="148">
        <v>1.0907348242811501</v>
      </c>
      <c r="U877" s="148">
        <f t="shared" si="45"/>
        <v>6.902547722352689</v>
      </c>
      <c r="V877" s="278">
        <f t="shared" si="46"/>
        <v>-6.402793946449381E-3</v>
      </c>
      <c r="W877" s="278">
        <f t="shared" si="47"/>
        <v>-6.645603825105267E-3</v>
      </c>
    </row>
    <row r="878" spans="1:23" x14ac:dyDescent="0.2">
      <c r="A878" s="8">
        <v>42964</v>
      </c>
      <c r="B878" s="9">
        <v>8.7799999999999994</v>
      </c>
      <c r="E878" s="51"/>
      <c r="F878" s="51"/>
      <c r="G878" s="51"/>
      <c r="H878" s="51"/>
      <c r="I878" s="51"/>
      <c r="J878" s="53"/>
      <c r="K878" s="53"/>
      <c r="L878" s="53"/>
      <c r="M878" s="53"/>
      <c r="N878" s="53"/>
      <c r="O878" s="139"/>
      <c r="P878" s="50"/>
      <c r="Q878" s="57"/>
      <c r="R878" s="12">
        <v>42975</v>
      </c>
      <c r="S878" s="11">
        <v>8.59</v>
      </c>
      <c r="T878" s="148">
        <v>1.0977635782747603</v>
      </c>
      <c r="U878" s="148">
        <f t="shared" si="45"/>
        <v>6.9453521051184524</v>
      </c>
      <c r="V878" s="278">
        <f t="shared" si="46"/>
        <v>6.444053895723556E-3</v>
      </c>
      <c r="W878" s="278">
        <f t="shared" si="47"/>
        <v>6.20124401706767E-3</v>
      </c>
    </row>
    <row r="879" spans="1:23" x14ac:dyDescent="0.2">
      <c r="A879" s="8">
        <v>42965</v>
      </c>
      <c r="B879" s="9">
        <v>8.8550000000000004</v>
      </c>
      <c r="E879" s="51"/>
      <c r="F879" s="51"/>
      <c r="G879" s="51"/>
      <c r="H879" s="51"/>
      <c r="I879" s="51"/>
      <c r="J879" s="53"/>
      <c r="K879" s="53"/>
      <c r="L879" s="53"/>
      <c r="M879" s="53"/>
      <c r="N879" s="53"/>
      <c r="O879" s="139"/>
      <c r="P879" s="50"/>
      <c r="Q879" s="57"/>
      <c r="R879" s="12">
        <v>42976</v>
      </c>
      <c r="S879" s="11">
        <v>8.4649999999999999</v>
      </c>
      <c r="T879" s="148">
        <v>1.0817891373801916</v>
      </c>
      <c r="U879" s="148">
        <f t="shared" si="45"/>
        <v>6.8425982995288317</v>
      </c>
      <c r="V879" s="278">
        <f t="shared" si="46"/>
        <v>-1.4551804423748593E-2</v>
      </c>
      <c r="W879" s="278">
        <f t="shared" si="47"/>
        <v>-1.4794614302404479E-2</v>
      </c>
    </row>
    <row r="880" spans="1:23" x14ac:dyDescent="0.2">
      <c r="A880" s="8">
        <v>42968</v>
      </c>
      <c r="B880" s="9">
        <v>8.77</v>
      </c>
      <c r="E880" s="51"/>
      <c r="F880" s="51"/>
      <c r="G880" s="51"/>
      <c r="H880" s="51"/>
      <c r="I880" s="51"/>
      <c r="J880" s="53"/>
      <c r="K880" s="53"/>
      <c r="L880" s="53"/>
      <c r="M880" s="53"/>
      <c r="N880" s="53"/>
      <c r="O880" s="139"/>
      <c r="P880" s="50"/>
      <c r="Q880" s="57"/>
      <c r="R880" s="12">
        <v>42977</v>
      </c>
      <c r="S880" s="11">
        <v>8.5050000000000008</v>
      </c>
      <c r="T880" s="148">
        <v>1.0869009584664537</v>
      </c>
      <c r="U880" s="148">
        <f t="shared" si="45"/>
        <v>6.8732704500088735</v>
      </c>
      <c r="V880" s="278">
        <f t="shared" si="46"/>
        <v>4.7253396337862963E-3</v>
      </c>
      <c r="W880" s="278">
        <f t="shared" si="47"/>
        <v>4.4825297551304103E-3</v>
      </c>
    </row>
    <row r="881" spans="1:23" x14ac:dyDescent="0.2">
      <c r="A881" s="8">
        <v>42969</v>
      </c>
      <c r="B881" s="9">
        <v>8.6850000000000005</v>
      </c>
      <c r="E881" s="51"/>
      <c r="F881" s="51"/>
      <c r="G881" s="51"/>
      <c r="H881" s="51"/>
      <c r="I881" s="51"/>
      <c r="J881" s="53"/>
      <c r="K881" s="53"/>
      <c r="L881" s="53"/>
      <c r="M881" s="53"/>
      <c r="N881" s="53"/>
      <c r="O881" s="139"/>
      <c r="P881" s="50"/>
      <c r="Q881" s="57"/>
      <c r="R881" s="12">
        <v>42978</v>
      </c>
      <c r="S881" s="11">
        <v>8.6199999999999992</v>
      </c>
      <c r="T881" s="148">
        <v>1.1015974440894567</v>
      </c>
      <c r="U881" s="148">
        <f t="shared" si="45"/>
        <v>6.9645381895230098</v>
      </c>
      <c r="V881" s="278">
        <f t="shared" si="46"/>
        <v>1.3521457965902206E-2</v>
      </c>
      <c r="W881" s="278">
        <f t="shared" si="47"/>
        <v>1.327864808724632E-2</v>
      </c>
    </row>
    <row r="882" spans="1:23" x14ac:dyDescent="0.2">
      <c r="A882" s="8">
        <v>42970</v>
      </c>
      <c r="B882" s="9">
        <v>8.56</v>
      </c>
      <c r="E882" s="51"/>
      <c r="F882" s="51"/>
      <c r="G882" s="51"/>
      <c r="H882" s="51"/>
      <c r="I882" s="51"/>
      <c r="J882" s="53"/>
      <c r="K882" s="53"/>
      <c r="L882" s="53"/>
      <c r="M882" s="53"/>
      <c r="N882" s="53"/>
      <c r="O882" s="139"/>
      <c r="P882" s="50"/>
      <c r="Q882" s="57"/>
      <c r="R882" s="12">
        <v>42979</v>
      </c>
      <c r="S882" s="11">
        <v>8.64</v>
      </c>
      <c r="T882" s="148">
        <v>1.1041533546325879</v>
      </c>
      <c r="U882" s="148">
        <f t="shared" si="45"/>
        <v>6.979006152171717</v>
      </c>
      <c r="V882" s="278">
        <f t="shared" si="46"/>
        <v>2.3201856148493682E-3</v>
      </c>
      <c r="W882" s="278">
        <f t="shared" si="47"/>
        <v>2.0773757361934823E-3</v>
      </c>
    </row>
    <row r="883" spans="1:23" x14ac:dyDescent="0.2">
      <c r="A883" s="8">
        <v>42971</v>
      </c>
      <c r="B883" s="9">
        <v>8.59</v>
      </c>
      <c r="E883" s="51"/>
      <c r="F883" s="51"/>
      <c r="G883" s="51"/>
      <c r="H883" s="51"/>
      <c r="I883" s="51"/>
      <c r="J883" s="53"/>
      <c r="K883" s="53"/>
      <c r="L883" s="53"/>
      <c r="M883" s="53"/>
      <c r="N883" s="53"/>
      <c r="O883" s="139"/>
      <c r="P883" s="50"/>
      <c r="Q883" s="57"/>
      <c r="R883" s="12">
        <v>42982</v>
      </c>
      <c r="S883" s="11">
        <v>8.6199999999999992</v>
      </c>
      <c r="T883" s="148">
        <v>1.1015974440894567</v>
      </c>
      <c r="U883" s="148">
        <f t="shared" si="45"/>
        <v>6.9611564737010374</v>
      </c>
      <c r="V883" s="278">
        <f t="shared" si="46"/>
        <v>-2.3148148148149916E-3</v>
      </c>
      <c r="W883" s="278">
        <f t="shared" si="47"/>
        <v>-2.5576246934708776E-3</v>
      </c>
    </row>
    <row r="884" spans="1:23" x14ac:dyDescent="0.2">
      <c r="A884" s="8">
        <v>42972</v>
      </c>
      <c r="B884" s="9">
        <v>8.5350000000000001</v>
      </c>
      <c r="E884" s="51"/>
      <c r="F884" s="51"/>
      <c r="G884" s="51"/>
      <c r="H884" s="51"/>
      <c r="I884" s="51"/>
      <c r="J884" s="53"/>
      <c r="K884" s="53"/>
      <c r="L884" s="53"/>
      <c r="M884" s="53"/>
      <c r="N884" s="53"/>
      <c r="O884" s="139"/>
      <c r="P884" s="50"/>
      <c r="Q884" s="57"/>
      <c r="R884" s="12">
        <v>42983</v>
      </c>
      <c r="S884" s="11">
        <v>8.4749999999999996</v>
      </c>
      <c r="T884" s="148">
        <v>1.0830670926517572</v>
      </c>
      <c r="U884" s="148">
        <f t="shared" si="45"/>
        <v>6.842370216573137</v>
      </c>
      <c r="V884" s="278">
        <f t="shared" si="46"/>
        <v>-1.6821345707656588E-2</v>
      </c>
      <c r="W884" s="278">
        <f t="shared" si="47"/>
        <v>-1.7064155586312472E-2</v>
      </c>
    </row>
    <row r="885" spans="1:23" x14ac:dyDescent="0.2">
      <c r="A885" s="8">
        <v>42975</v>
      </c>
      <c r="B885" s="9">
        <v>8.59</v>
      </c>
      <c r="E885" s="51"/>
      <c r="F885" s="51"/>
      <c r="G885" s="51"/>
      <c r="H885" s="51"/>
      <c r="I885" s="51"/>
      <c r="J885" s="53"/>
      <c r="K885" s="53"/>
      <c r="L885" s="53"/>
      <c r="M885" s="53"/>
      <c r="N885" s="53"/>
      <c r="O885" s="139"/>
      <c r="P885" s="50"/>
      <c r="Q885" s="57"/>
      <c r="R885" s="12">
        <v>42984</v>
      </c>
      <c r="S885" s="11">
        <v>8.44</v>
      </c>
      <c r="T885" s="148">
        <v>1.0785942492012779</v>
      </c>
      <c r="U885" s="148">
        <f t="shared" si="45"/>
        <v>6.8124512453754908</v>
      </c>
      <c r="V885" s="278">
        <f t="shared" si="46"/>
        <v>-4.1297935103244976E-3</v>
      </c>
      <c r="W885" s="278">
        <f t="shared" si="47"/>
        <v>-4.3726033889803836E-3</v>
      </c>
    </row>
    <row r="886" spans="1:23" x14ac:dyDescent="0.2">
      <c r="A886" s="8">
        <v>42976</v>
      </c>
      <c r="B886" s="9">
        <v>8.4649999999999999</v>
      </c>
      <c r="E886" s="51"/>
      <c r="F886" s="51"/>
      <c r="G886" s="51"/>
      <c r="H886" s="51"/>
      <c r="I886" s="51"/>
      <c r="J886" s="53"/>
      <c r="K886" s="53"/>
      <c r="L886" s="53"/>
      <c r="M886" s="53"/>
      <c r="N886" s="53"/>
      <c r="O886" s="139"/>
      <c r="P886" s="50"/>
      <c r="Q886" s="57"/>
      <c r="R886" s="12">
        <v>42985</v>
      </c>
      <c r="S886" s="11">
        <v>8.33</v>
      </c>
      <c r="T886" s="148">
        <v>1.0645367412140574</v>
      </c>
      <c r="U886" s="148">
        <f t="shared" si="45"/>
        <v>6.7220092432338188</v>
      </c>
      <c r="V886" s="278">
        <f t="shared" si="46"/>
        <v>-1.3033175355450122E-2</v>
      </c>
      <c r="W886" s="278">
        <f t="shared" si="47"/>
        <v>-1.3275985234106008E-2</v>
      </c>
    </row>
    <row r="887" spans="1:23" x14ac:dyDescent="0.2">
      <c r="A887" s="8">
        <v>42977</v>
      </c>
      <c r="B887" s="9">
        <v>8.5050000000000008</v>
      </c>
      <c r="E887" s="51"/>
      <c r="F887" s="51"/>
      <c r="G887" s="51"/>
      <c r="H887" s="51"/>
      <c r="I887" s="51"/>
      <c r="J887" s="53"/>
      <c r="K887" s="53"/>
      <c r="L887" s="53"/>
      <c r="M887" s="53"/>
      <c r="N887" s="53"/>
      <c r="O887" s="139"/>
      <c r="P887" s="50"/>
      <c r="Q887" s="57"/>
      <c r="R887" s="12">
        <v>42986</v>
      </c>
      <c r="S887" s="11">
        <v>8.4550000000000001</v>
      </c>
      <c r="T887" s="148">
        <v>1.0805111821086262</v>
      </c>
      <c r="U887" s="148">
        <f t="shared" si="45"/>
        <v>6.8212475598283895</v>
      </c>
      <c r="V887" s="278">
        <f t="shared" si="46"/>
        <v>1.5006002400960394E-2</v>
      </c>
      <c r="W887" s="278">
        <f t="shared" si="47"/>
        <v>1.4763192522304508E-2</v>
      </c>
    </row>
    <row r="888" spans="1:23" x14ac:dyDescent="0.2">
      <c r="A888" s="8">
        <v>42978</v>
      </c>
      <c r="B888" s="9">
        <v>8.6199999999999992</v>
      </c>
      <c r="E888" s="51"/>
      <c r="F888" s="51"/>
      <c r="G888" s="51"/>
      <c r="H888" s="51"/>
      <c r="I888" s="51"/>
      <c r="J888" s="53"/>
      <c r="K888" s="53"/>
      <c r="L888" s="53"/>
      <c r="M888" s="53"/>
      <c r="N888" s="53"/>
      <c r="O888" s="139"/>
      <c r="P888" s="50"/>
      <c r="Q888" s="57"/>
      <c r="R888" s="12">
        <v>42989</v>
      </c>
      <c r="S888" s="11">
        <v>8.64</v>
      </c>
      <c r="T888" s="148">
        <v>1.1041533546325879</v>
      </c>
      <c r="U888" s="148">
        <f t="shared" si="45"/>
        <v>6.9688439012910726</v>
      </c>
      <c r="V888" s="278">
        <f t="shared" si="46"/>
        <v>2.188054405677109E-2</v>
      </c>
      <c r="W888" s="278">
        <f t="shared" si="47"/>
        <v>2.1637734178115205E-2</v>
      </c>
    </row>
    <row r="889" spans="1:23" x14ac:dyDescent="0.2">
      <c r="A889" s="8">
        <v>42979</v>
      </c>
      <c r="B889" s="9">
        <v>8.64</v>
      </c>
      <c r="E889" s="51"/>
      <c r="F889" s="51"/>
      <c r="G889" s="51"/>
      <c r="H889" s="51"/>
      <c r="I889" s="51"/>
      <c r="J889" s="53"/>
      <c r="K889" s="53"/>
      <c r="L889" s="53"/>
      <c r="M889" s="53"/>
      <c r="N889" s="53"/>
      <c r="O889" s="139"/>
      <c r="P889" s="50"/>
      <c r="Q889" s="57"/>
      <c r="R889" s="12">
        <v>42990</v>
      </c>
      <c r="S889" s="11">
        <v>8.7249999999999996</v>
      </c>
      <c r="T889" s="148">
        <v>1.1150159744408945</v>
      </c>
      <c r="U889" s="148">
        <f t="shared" si="45"/>
        <v>7.0357110253445985</v>
      </c>
      <c r="V889" s="278">
        <f t="shared" si="46"/>
        <v>9.8379629629627985E-3</v>
      </c>
      <c r="W889" s="278">
        <f t="shared" si="47"/>
        <v>9.5951530843069125E-3</v>
      </c>
    </row>
    <row r="890" spans="1:23" x14ac:dyDescent="0.2">
      <c r="A890" s="8">
        <v>42982</v>
      </c>
      <c r="B890" s="9">
        <v>8.6199999999999992</v>
      </c>
      <c r="E890" s="51"/>
      <c r="F890" s="51"/>
      <c r="G890" s="51"/>
      <c r="H890" s="51"/>
      <c r="I890" s="51"/>
      <c r="J890" s="53"/>
      <c r="K890" s="53"/>
      <c r="L890" s="53"/>
      <c r="M890" s="53"/>
      <c r="N890" s="53"/>
      <c r="O890" s="139"/>
      <c r="P890" s="50"/>
      <c r="Q890" s="57"/>
      <c r="R890" s="12">
        <v>42991</v>
      </c>
      <c r="S890" s="11">
        <v>8.7799999999999994</v>
      </c>
      <c r="T890" s="148">
        <v>1.1220447284345048</v>
      </c>
      <c r="U890" s="148">
        <f t="shared" si="45"/>
        <v>7.0783538721835262</v>
      </c>
      <c r="V890" s="278">
        <f t="shared" si="46"/>
        <v>6.3037249283668384E-3</v>
      </c>
      <c r="W890" s="278">
        <f t="shared" si="47"/>
        <v>6.0609150497109524E-3</v>
      </c>
    </row>
    <row r="891" spans="1:23" x14ac:dyDescent="0.2">
      <c r="A891" s="8">
        <v>42983</v>
      </c>
      <c r="B891" s="9">
        <v>8.4749999999999996</v>
      </c>
      <c r="E891" s="51"/>
      <c r="F891" s="51"/>
      <c r="G891" s="51"/>
      <c r="H891" s="51"/>
      <c r="I891" s="51"/>
      <c r="J891" s="53"/>
      <c r="K891" s="53"/>
      <c r="L891" s="53"/>
      <c r="M891" s="53"/>
      <c r="N891" s="53"/>
      <c r="O891" s="139"/>
      <c r="P891" s="50"/>
      <c r="Q891" s="57"/>
      <c r="R891" s="12">
        <v>42992</v>
      </c>
      <c r="S891" s="11">
        <v>8.83</v>
      </c>
      <c r="T891" s="148">
        <v>1.1284345047923323</v>
      </c>
      <c r="U891" s="148">
        <f t="shared" si="45"/>
        <v>7.1169447102404666</v>
      </c>
      <c r="V891" s="278">
        <f t="shared" si="46"/>
        <v>5.6947608200457189E-3</v>
      </c>
      <c r="W891" s="278">
        <f t="shared" si="47"/>
        <v>5.451950941389833E-3</v>
      </c>
    </row>
    <row r="892" spans="1:23" x14ac:dyDescent="0.2">
      <c r="A892" s="8">
        <v>42984</v>
      </c>
      <c r="B892" s="9">
        <v>8.44</v>
      </c>
      <c r="E892" s="51"/>
      <c r="F892" s="51"/>
      <c r="G892" s="51"/>
      <c r="H892" s="51"/>
      <c r="I892" s="51"/>
      <c r="J892" s="53"/>
      <c r="K892" s="53"/>
      <c r="L892" s="53"/>
      <c r="M892" s="53"/>
      <c r="N892" s="53"/>
      <c r="O892" s="139"/>
      <c r="P892" s="50"/>
      <c r="Q892" s="57"/>
      <c r="R892" s="12">
        <v>42993</v>
      </c>
      <c r="S892" s="11">
        <v>8.7349999999999994</v>
      </c>
      <c r="T892" s="148">
        <v>1.1162939297124599</v>
      </c>
      <c r="U892" s="148">
        <f t="shared" si="45"/>
        <v>7.0386470254336215</v>
      </c>
      <c r="V892" s="278">
        <f t="shared" si="46"/>
        <v>-1.0758776896942268E-2</v>
      </c>
      <c r="W892" s="278">
        <f t="shared" si="47"/>
        <v>-1.1001586775598154E-2</v>
      </c>
    </row>
    <row r="893" spans="1:23" x14ac:dyDescent="0.2">
      <c r="A893" s="8">
        <v>42985</v>
      </c>
      <c r="B893" s="9">
        <v>8.33</v>
      </c>
      <c r="E893" s="51"/>
      <c r="F893" s="51"/>
      <c r="G893" s="51"/>
      <c r="H893" s="51"/>
      <c r="I893" s="51"/>
      <c r="J893" s="53"/>
      <c r="K893" s="53"/>
      <c r="L893" s="53"/>
      <c r="M893" s="53"/>
      <c r="N893" s="53"/>
      <c r="O893" s="139"/>
      <c r="P893" s="50"/>
      <c r="Q893" s="57"/>
      <c r="R893" s="12">
        <v>42996</v>
      </c>
      <c r="S893" s="11">
        <v>8.75</v>
      </c>
      <c r="T893" s="148">
        <v>1.1182108626198082</v>
      </c>
      <c r="U893" s="148">
        <f t="shared" si="45"/>
        <v>7.0490249449714772</v>
      </c>
      <c r="V893" s="278">
        <f t="shared" si="46"/>
        <v>1.7172295363481194E-3</v>
      </c>
      <c r="W893" s="278">
        <f t="shared" si="47"/>
        <v>1.4744196576922336E-3</v>
      </c>
    </row>
    <row r="894" spans="1:23" x14ac:dyDescent="0.2">
      <c r="A894" s="8">
        <v>42986</v>
      </c>
      <c r="B894" s="9">
        <v>8.4550000000000001</v>
      </c>
      <c r="E894" s="51"/>
      <c r="F894" s="51"/>
      <c r="G894" s="51"/>
      <c r="H894" s="51"/>
      <c r="I894" s="51"/>
      <c r="J894" s="53"/>
      <c r="K894" s="53"/>
      <c r="L894" s="53"/>
      <c r="M894" s="53"/>
      <c r="N894" s="53"/>
      <c r="O894" s="139"/>
      <c r="P894" s="50"/>
      <c r="Q894" s="57"/>
      <c r="R894" s="12">
        <v>42997</v>
      </c>
      <c r="S894" s="11">
        <v>8.8000000000000007</v>
      </c>
      <c r="T894" s="148">
        <v>1.124600638977636</v>
      </c>
      <c r="U894" s="148">
        <f t="shared" si="45"/>
        <v>7.0875935146226405</v>
      </c>
      <c r="V894" s="278">
        <f t="shared" si="46"/>
        <v>5.7142857142857828E-3</v>
      </c>
      <c r="W894" s="278">
        <f t="shared" si="47"/>
        <v>5.4714758356298968E-3</v>
      </c>
    </row>
    <row r="895" spans="1:23" x14ac:dyDescent="0.2">
      <c r="A895" s="8">
        <v>42989</v>
      </c>
      <c r="B895" s="9">
        <v>8.64</v>
      </c>
      <c r="E895" s="51"/>
      <c r="F895" s="51"/>
      <c r="G895" s="51"/>
      <c r="H895" s="51"/>
      <c r="I895" s="51"/>
      <c r="J895" s="53"/>
      <c r="K895" s="53"/>
      <c r="L895" s="53"/>
      <c r="M895" s="53"/>
      <c r="N895" s="53"/>
      <c r="O895" s="139"/>
      <c r="P895" s="50"/>
      <c r="Q895" s="57"/>
      <c r="R895" s="12">
        <v>42998</v>
      </c>
      <c r="S895" s="11">
        <v>8.86</v>
      </c>
      <c r="T895" s="148">
        <v>1.1322683706070287</v>
      </c>
      <c r="U895" s="148">
        <f t="shared" si="45"/>
        <v>7.1341970781374542</v>
      </c>
      <c r="V895" s="278">
        <f t="shared" si="46"/>
        <v>6.8181818181816123E-3</v>
      </c>
      <c r="W895" s="278">
        <f t="shared" si="47"/>
        <v>6.5753719395257263E-3</v>
      </c>
    </row>
    <row r="896" spans="1:23" x14ac:dyDescent="0.2">
      <c r="A896" s="8">
        <v>42990</v>
      </c>
      <c r="B896" s="9">
        <v>8.7249999999999996</v>
      </c>
      <c r="E896" s="51"/>
      <c r="F896" s="51"/>
      <c r="G896" s="51"/>
      <c r="H896" s="51"/>
      <c r="I896" s="51"/>
      <c r="J896" s="53"/>
      <c r="K896" s="53"/>
      <c r="L896" s="53"/>
      <c r="M896" s="53"/>
      <c r="N896" s="53"/>
      <c r="O896" s="139"/>
      <c r="P896" s="50"/>
      <c r="Q896" s="57"/>
      <c r="R896" s="12">
        <v>42999</v>
      </c>
      <c r="S896" s="11">
        <v>8.99</v>
      </c>
      <c r="T896" s="148">
        <v>1.1488817891373801</v>
      </c>
      <c r="U896" s="148">
        <f t="shared" si="45"/>
        <v>7.2371426598428696</v>
      </c>
      <c r="V896" s="278">
        <f t="shared" si="46"/>
        <v>1.4672686230248422E-2</v>
      </c>
      <c r="W896" s="278">
        <f t="shared" si="47"/>
        <v>1.4429876351592536E-2</v>
      </c>
    </row>
    <row r="897" spans="1:23" x14ac:dyDescent="0.2">
      <c r="A897" s="8">
        <v>42991</v>
      </c>
      <c r="B897" s="9">
        <v>8.7799999999999994</v>
      </c>
      <c r="E897" s="51"/>
      <c r="F897" s="51"/>
      <c r="G897" s="51"/>
      <c r="H897" s="51"/>
      <c r="I897" s="51"/>
      <c r="J897" s="53"/>
      <c r="K897" s="53"/>
      <c r="L897" s="53"/>
      <c r="M897" s="53"/>
      <c r="N897" s="53"/>
      <c r="O897" s="139"/>
      <c r="P897" s="50"/>
      <c r="Q897" s="57"/>
      <c r="R897" s="12">
        <v>43000</v>
      </c>
      <c r="S897" s="11">
        <v>8.9700000000000006</v>
      </c>
      <c r="T897" s="148">
        <v>1.1463258785942492</v>
      </c>
      <c r="U897" s="148">
        <f t="shared" si="45"/>
        <v>7.219284981502601</v>
      </c>
      <c r="V897" s="278">
        <f t="shared" si="46"/>
        <v>-2.2246941045606095E-3</v>
      </c>
      <c r="W897" s="278">
        <f t="shared" si="47"/>
        <v>-2.4675039832164954E-3</v>
      </c>
    </row>
    <row r="898" spans="1:23" x14ac:dyDescent="0.2">
      <c r="A898" s="8">
        <v>42992</v>
      </c>
      <c r="B898" s="9">
        <v>8.83</v>
      </c>
      <c r="E898" s="51"/>
      <c r="F898" s="51"/>
      <c r="G898" s="51"/>
      <c r="H898" s="51"/>
      <c r="I898" s="51"/>
      <c r="J898" s="53"/>
      <c r="K898" s="53"/>
      <c r="L898" s="53"/>
      <c r="M898" s="53"/>
      <c r="N898" s="53"/>
      <c r="O898" s="139"/>
      <c r="P898" s="50"/>
      <c r="Q898" s="57"/>
      <c r="R898" s="12">
        <v>43003</v>
      </c>
      <c r="S898" s="11">
        <v>8.8949999999999996</v>
      </c>
      <c r="T898" s="148">
        <v>1.1367412140575079</v>
      </c>
      <c r="U898" s="148">
        <f t="shared" si="45"/>
        <v>7.1571701532312009</v>
      </c>
      <c r="V898" s="278">
        <f t="shared" si="46"/>
        <v>-8.3612040133780319E-3</v>
      </c>
      <c r="W898" s="278">
        <f t="shared" si="47"/>
        <v>-8.6040138920339179E-3</v>
      </c>
    </row>
    <row r="899" spans="1:23" x14ac:dyDescent="0.2">
      <c r="A899" s="8">
        <v>42993</v>
      </c>
      <c r="B899" s="9">
        <v>8.7349999999999994</v>
      </c>
      <c r="E899" s="51"/>
      <c r="F899" s="51"/>
      <c r="G899" s="51"/>
      <c r="H899" s="51"/>
      <c r="I899" s="51"/>
      <c r="J899" s="53"/>
      <c r="K899" s="53"/>
      <c r="L899" s="53"/>
      <c r="M899" s="53"/>
      <c r="N899" s="53"/>
      <c r="O899" s="139"/>
      <c r="P899" s="50"/>
      <c r="Q899" s="57"/>
      <c r="R899" s="12">
        <v>43004</v>
      </c>
      <c r="S899" s="11">
        <v>8.92</v>
      </c>
      <c r="T899" s="148">
        <v>1.1399361022364216</v>
      </c>
      <c r="U899" s="148">
        <f t="shared" si="45"/>
        <v>7.1755480331190773</v>
      </c>
      <c r="V899" s="278">
        <f t="shared" si="46"/>
        <v>2.8105677346823565E-3</v>
      </c>
      <c r="W899" s="278">
        <f t="shared" si="47"/>
        <v>2.5677578560264706E-3</v>
      </c>
    </row>
    <row r="900" spans="1:23" x14ac:dyDescent="0.2">
      <c r="A900" s="8">
        <v>42996</v>
      </c>
      <c r="B900" s="9">
        <v>8.75</v>
      </c>
      <c r="E900" s="51"/>
      <c r="F900" s="51"/>
      <c r="G900" s="51"/>
      <c r="H900" s="51"/>
      <c r="I900" s="51"/>
      <c r="J900" s="53"/>
      <c r="K900" s="53"/>
      <c r="L900" s="53"/>
      <c r="M900" s="53"/>
      <c r="N900" s="53"/>
      <c r="O900" s="139"/>
      <c r="P900" s="50"/>
      <c r="Q900" s="57"/>
      <c r="R900" s="12">
        <v>43005</v>
      </c>
      <c r="S900" s="11">
        <v>9.07</v>
      </c>
      <c r="T900" s="148">
        <v>1.1591054313099041</v>
      </c>
      <c r="U900" s="148">
        <f t="shared" si="45"/>
        <v>7.2944707845718497</v>
      </c>
      <c r="V900" s="278">
        <f t="shared" si="46"/>
        <v>1.6816143497757841E-2</v>
      </c>
      <c r="W900" s="278">
        <f t="shared" si="47"/>
        <v>1.6573333619101956E-2</v>
      </c>
    </row>
    <row r="901" spans="1:23" x14ac:dyDescent="0.2">
      <c r="A901" s="8">
        <v>42997</v>
      </c>
      <c r="B901" s="9">
        <v>8.8000000000000007</v>
      </c>
      <c r="E901" s="51"/>
      <c r="F901" s="51"/>
      <c r="G901" s="51"/>
      <c r="H901" s="51"/>
      <c r="I901" s="51"/>
      <c r="J901" s="53"/>
      <c r="K901" s="53"/>
      <c r="L901" s="53"/>
      <c r="M901" s="53"/>
      <c r="N901" s="53"/>
      <c r="O901" s="139"/>
      <c r="P901" s="50"/>
      <c r="Q901" s="57"/>
      <c r="R901" s="12">
        <v>43006</v>
      </c>
      <c r="S901" s="11">
        <v>9.0299999999999994</v>
      </c>
      <c r="T901" s="148">
        <v>1.1539936102236421</v>
      </c>
      <c r="U901" s="148">
        <f t="shared" si="45"/>
        <v>7.2605299533318224</v>
      </c>
      <c r="V901" s="278">
        <f t="shared" si="46"/>
        <v>-4.4101433296582782E-3</v>
      </c>
      <c r="W901" s="278">
        <f t="shared" si="47"/>
        <v>-4.6529532083141641E-3</v>
      </c>
    </row>
    <row r="902" spans="1:23" x14ac:dyDescent="0.2">
      <c r="A902" s="8">
        <v>42998</v>
      </c>
      <c r="B902" s="9">
        <v>8.86</v>
      </c>
      <c r="E902" s="51"/>
      <c r="F902" s="51"/>
      <c r="G902" s="51"/>
      <c r="H902" s="51"/>
      <c r="I902" s="51"/>
      <c r="J902" s="53"/>
      <c r="K902" s="53"/>
      <c r="L902" s="53"/>
      <c r="M902" s="53"/>
      <c r="N902" s="53"/>
      <c r="O902" s="139"/>
      <c r="P902" s="50"/>
      <c r="Q902" s="57"/>
      <c r="R902" s="12">
        <v>43007</v>
      </c>
      <c r="S902" s="11">
        <v>9.08</v>
      </c>
      <c r="T902" s="148">
        <v>1.1603833865814697</v>
      </c>
      <c r="U902" s="148">
        <f t="shared" si="45"/>
        <v>7.2989692948868798</v>
      </c>
      <c r="V902" s="278">
        <f t="shared" si="46"/>
        <v>5.5370985603544476E-3</v>
      </c>
      <c r="W902" s="278">
        <f t="shared" si="47"/>
        <v>5.2942886816985616E-3</v>
      </c>
    </row>
    <row r="903" spans="1:23" x14ac:dyDescent="0.2">
      <c r="A903" s="8">
        <v>42999</v>
      </c>
      <c r="B903" s="9">
        <v>8.99</v>
      </c>
      <c r="E903" s="51"/>
      <c r="F903" s="51"/>
      <c r="G903" s="51"/>
      <c r="H903" s="51"/>
      <c r="I903" s="51"/>
      <c r="J903" s="53"/>
      <c r="K903" s="53"/>
      <c r="L903" s="53"/>
      <c r="M903" s="53"/>
      <c r="N903" s="53"/>
      <c r="O903" s="139"/>
      <c r="P903" s="50"/>
      <c r="Q903" s="57"/>
      <c r="R903" s="12">
        <v>43010</v>
      </c>
      <c r="S903" s="11">
        <v>9.1</v>
      </c>
      <c r="T903" s="148">
        <v>1.1629392971246006</v>
      </c>
      <c r="U903" s="148">
        <f t="shared" si="45"/>
        <v>7.3132740579166793</v>
      </c>
      <c r="V903" s="278">
        <f t="shared" si="46"/>
        <v>2.2026431718060735E-3</v>
      </c>
      <c r="W903" s="278">
        <f t="shared" si="47"/>
        <v>1.9598332931501875E-3</v>
      </c>
    </row>
    <row r="904" spans="1:23" x14ac:dyDescent="0.2">
      <c r="A904" s="8">
        <v>43000</v>
      </c>
      <c r="B904" s="9">
        <v>8.9700000000000006</v>
      </c>
      <c r="E904" s="51"/>
      <c r="F904" s="51"/>
      <c r="G904" s="51"/>
      <c r="H904" s="51"/>
      <c r="I904" s="51"/>
      <c r="J904" s="53"/>
      <c r="K904" s="53"/>
      <c r="L904" s="53"/>
      <c r="M904" s="53"/>
      <c r="N904" s="53"/>
      <c r="O904" s="139"/>
      <c r="P904" s="50"/>
      <c r="Q904" s="57"/>
      <c r="R904" s="12">
        <v>43011</v>
      </c>
      <c r="S904" s="11">
        <v>9.1349999999999998</v>
      </c>
      <c r="T904" s="148">
        <v>1.1674121405750799</v>
      </c>
      <c r="U904" s="148">
        <f t="shared" si="45"/>
        <v>7.3396262998759321</v>
      </c>
      <c r="V904" s="278">
        <f t="shared" si="46"/>
        <v>3.8461538461538325E-3</v>
      </c>
      <c r="W904" s="278">
        <f t="shared" si="47"/>
        <v>3.6033439674979465E-3</v>
      </c>
    </row>
    <row r="905" spans="1:23" x14ac:dyDescent="0.2">
      <c r="A905" s="8">
        <v>43003</v>
      </c>
      <c r="B905" s="9">
        <v>8.8949999999999996</v>
      </c>
      <c r="E905" s="51"/>
      <c r="F905" s="51"/>
      <c r="G905" s="51"/>
      <c r="H905" s="51"/>
      <c r="I905" s="51"/>
      <c r="J905" s="53"/>
      <c r="K905" s="53"/>
      <c r="L905" s="53"/>
      <c r="M905" s="53"/>
      <c r="N905" s="53"/>
      <c r="O905" s="139"/>
      <c r="P905" s="50"/>
      <c r="Q905" s="57"/>
      <c r="R905" s="12">
        <v>43012</v>
      </c>
      <c r="S905" s="11">
        <v>9.06</v>
      </c>
      <c r="T905" s="148">
        <v>1.1578274760383387</v>
      </c>
      <c r="U905" s="148">
        <f t="shared" si="45"/>
        <v>7.2775845084702313</v>
      </c>
      <c r="V905" s="278">
        <f t="shared" si="46"/>
        <v>-8.2101806239736064E-3</v>
      </c>
      <c r="W905" s="278">
        <f t="shared" si="47"/>
        <v>-8.4529905026294924E-3</v>
      </c>
    </row>
    <row r="906" spans="1:23" x14ac:dyDescent="0.2">
      <c r="A906" s="8">
        <v>43004</v>
      </c>
      <c r="B906" s="9">
        <v>8.92</v>
      </c>
      <c r="E906" s="51"/>
      <c r="F906" s="51"/>
      <c r="G906" s="51"/>
      <c r="H906" s="51"/>
      <c r="I906" s="51"/>
      <c r="J906" s="53"/>
      <c r="K906" s="53"/>
      <c r="L906" s="53"/>
      <c r="M906" s="53"/>
      <c r="N906" s="53"/>
      <c r="O906" s="139"/>
      <c r="P906" s="50"/>
      <c r="Q906" s="57"/>
      <c r="R906" s="12">
        <v>43013</v>
      </c>
      <c r="S906" s="11">
        <v>9.06</v>
      </c>
      <c r="T906" s="148">
        <v>1.1578274760383387</v>
      </c>
      <c r="U906" s="148">
        <f t="shared" si="45"/>
        <v>7.2758174390588222</v>
      </c>
      <c r="V906" s="278">
        <f t="shared" si="46"/>
        <v>0</v>
      </c>
      <c r="W906" s="278">
        <f t="shared" si="47"/>
        <v>-2.4280987865588565E-4</v>
      </c>
    </row>
    <row r="907" spans="1:23" x14ac:dyDescent="0.2">
      <c r="A907" s="8">
        <v>43005</v>
      </c>
      <c r="B907" s="9">
        <v>9.07</v>
      </c>
      <c r="E907" s="51"/>
      <c r="F907" s="51"/>
      <c r="G907" s="51"/>
      <c r="H907" s="51"/>
      <c r="I907" s="51"/>
      <c r="J907" s="53"/>
      <c r="K907" s="53"/>
      <c r="L907" s="53"/>
      <c r="M907" s="53"/>
      <c r="N907" s="53"/>
      <c r="O907" s="139"/>
      <c r="P907" s="50"/>
      <c r="Q907" s="57"/>
      <c r="R907" s="12">
        <v>43014</v>
      </c>
      <c r="S907" s="11">
        <v>9.15</v>
      </c>
      <c r="T907" s="148">
        <v>1.1693290734824282</v>
      </c>
      <c r="U907" s="148">
        <f t="shared" si="45"/>
        <v>7.3463271308854017</v>
      </c>
      <c r="V907" s="278">
        <f t="shared" si="46"/>
        <v>9.9337748344370258E-3</v>
      </c>
      <c r="W907" s="278">
        <f t="shared" si="47"/>
        <v>9.6909649557811398E-3</v>
      </c>
    </row>
    <row r="908" spans="1:23" x14ac:dyDescent="0.2">
      <c r="A908" s="8">
        <v>43006</v>
      </c>
      <c r="B908" s="9">
        <v>9.0299999999999994</v>
      </c>
      <c r="E908" s="51"/>
      <c r="F908" s="51"/>
      <c r="G908" s="51"/>
      <c r="H908" s="51"/>
      <c r="I908" s="51"/>
      <c r="J908" s="53"/>
      <c r="K908" s="53"/>
      <c r="L908" s="53"/>
      <c r="M908" s="53"/>
      <c r="N908" s="53"/>
      <c r="O908" s="139"/>
      <c r="P908" s="50"/>
      <c r="Q908" s="57"/>
      <c r="R908" s="12">
        <v>43017</v>
      </c>
      <c r="S908" s="11">
        <v>9.1999999999999993</v>
      </c>
      <c r="T908" s="148">
        <v>1.1757188498402555</v>
      </c>
      <c r="U908" s="148">
        <f t="shared" si="45"/>
        <v>7.3846872341893812</v>
      </c>
      <c r="V908" s="278">
        <f t="shared" si="46"/>
        <v>5.4644808743167239E-3</v>
      </c>
      <c r="W908" s="278">
        <f t="shared" si="47"/>
        <v>5.2216709956608379E-3</v>
      </c>
    </row>
    <row r="909" spans="1:23" x14ac:dyDescent="0.2">
      <c r="A909" s="8">
        <v>43007</v>
      </c>
      <c r="B909" s="9">
        <v>9.08</v>
      </c>
      <c r="E909" s="51"/>
      <c r="F909" s="51"/>
      <c r="G909" s="51"/>
      <c r="H909" s="51"/>
      <c r="I909" s="51"/>
      <c r="J909" s="53"/>
      <c r="K909" s="53"/>
      <c r="L909" s="53"/>
      <c r="M909" s="53"/>
      <c r="N909" s="53"/>
      <c r="O909" s="139"/>
      <c r="P909" s="50"/>
      <c r="Q909" s="57"/>
      <c r="R909" s="12">
        <v>43018</v>
      </c>
      <c r="S909" s="11">
        <v>9.1150000000000002</v>
      </c>
      <c r="T909" s="148">
        <v>1.1648562300319489</v>
      </c>
      <c r="U909" s="148">
        <f t="shared" si="45"/>
        <v>7.3146660706013868</v>
      </c>
      <c r="V909" s="278">
        <f t="shared" si="46"/>
        <v>-9.2391304347825276E-3</v>
      </c>
      <c r="W909" s="278">
        <f t="shared" si="47"/>
        <v>-9.4819403134384136E-3</v>
      </c>
    </row>
    <row r="910" spans="1:23" x14ac:dyDescent="0.2">
      <c r="A910" s="8">
        <v>43010</v>
      </c>
      <c r="B910" s="9">
        <v>9.1</v>
      </c>
      <c r="E910" s="51"/>
      <c r="F910" s="51"/>
      <c r="G910" s="51"/>
      <c r="H910" s="51"/>
      <c r="I910" s="51"/>
      <c r="J910" s="53"/>
      <c r="K910" s="53"/>
      <c r="L910" s="53"/>
      <c r="M910" s="53"/>
      <c r="N910" s="53"/>
      <c r="O910" s="139"/>
      <c r="P910" s="50"/>
      <c r="Q910" s="57"/>
      <c r="R910" s="12">
        <v>43019</v>
      </c>
      <c r="S910" s="11">
        <v>9.16</v>
      </c>
      <c r="T910" s="148">
        <v>1.1706070287539936</v>
      </c>
      <c r="U910" s="148">
        <f t="shared" si="45"/>
        <v>7.3490018979334923</v>
      </c>
      <c r="V910" s="278">
        <f t="shared" si="46"/>
        <v>4.9369171695008429E-3</v>
      </c>
      <c r="W910" s="278">
        <f t="shared" si="47"/>
        <v>4.6941072908449569E-3</v>
      </c>
    </row>
    <row r="911" spans="1:23" x14ac:dyDescent="0.2">
      <c r="A911" s="8">
        <v>43011</v>
      </c>
      <c r="B911" s="9">
        <v>9.1349999999999998</v>
      </c>
      <c r="E911" s="51"/>
      <c r="F911" s="51"/>
      <c r="G911" s="51"/>
      <c r="H911" s="51"/>
      <c r="I911" s="51"/>
      <c r="J911" s="53"/>
      <c r="K911" s="53"/>
      <c r="L911" s="53"/>
      <c r="M911" s="53"/>
      <c r="N911" s="53"/>
      <c r="O911" s="139"/>
      <c r="P911" s="50"/>
      <c r="Q911" s="57"/>
      <c r="R911" s="12">
        <v>43020</v>
      </c>
      <c r="S911" s="11">
        <v>9.1150000000000002</v>
      </c>
      <c r="T911" s="148">
        <v>1.1648562300319489</v>
      </c>
      <c r="U911" s="148">
        <f t="shared" si="45"/>
        <v>7.3111143124116396</v>
      </c>
      <c r="V911" s="278">
        <f t="shared" si="46"/>
        <v>-4.9126637554585129E-3</v>
      </c>
      <c r="W911" s="278">
        <f t="shared" si="47"/>
        <v>-5.1554736341143988E-3</v>
      </c>
    </row>
    <row r="912" spans="1:23" x14ac:dyDescent="0.2">
      <c r="A912" s="8">
        <v>43012</v>
      </c>
      <c r="B912" s="9">
        <v>9.06</v>
      </c>
      <c r="E912" s="51"/>
      <c r="F912" s="51"/>
      <c r="G912" s="51"/>
      <c r="H912" s="51"/>
      <c r="I912" s="51"/>
      <c r="J912" s="53"/>
      <c r="K912" s="53"/>
      <c r="L912" s="53"/>
      <c r="M912" s="53"/>
      <c r="N912" s="53"/>
      <c r="O912" s="139"/>
      <c r="P912" s="50"/>
      <c r="Q912" s="57"/>
      <c r="R912" s="12">
        <v>43021</v>
      </c>
      <c r="S912" s="11">
        <v>9.1199999999999992</v>
      </c>
      <c r="T912" s="148">
        <v>1.1654952076677314</v>
      </c>
      <c r="U912" s="148">
        <f t="shared" si="45"/>
        <v>7.3133495867189495</v>
      </c>
      <c r="V912" s="278">
        <f t="shared" si="46"/>
        <v>5.4854635216661229E-4</v>
      </c>
      <c r="W912" s="278">
        <f t="shared" si="47"/>
        <v>3.0573647351072664E-4</v>
      </c>
    </row>
    <row r="913" spans="1:23" x14ac:dyDescent="0.2">
      <c r="A913" s="8">
        <v>43013</v>
      </c>
      <c r="B913" s="9">
        <v>9.06</v>
      </c>
      <c r="E913" s="51"/>
      <c r="F913" s="51"/>
      <c r="G913" s="51"/>
      <c r="H913" s="51"/>
      <c r="I913" s="51"/>
      <c r="J913" s="53"/>
      <c r="K913" s="53"/>
      <c r="L913" s="53"/>
      <c r="M913" s="53"/>
      <c r="N913" s="53"/>
      <c r="O913" s="139"/>
      <c r="P913" s="50"/>
      <c r="Q913" s="57"/>
      <c r="R913" s="12">
        <v>43024</v>
      </c>
      <c r="S913" s="11">
        <v>9.1649999999999991</v>
      </c>
      <c r="T913" s="148">
        <v>1.1712460063897763</v>
      </c>
      <c r="U913" s="148">
        <f t="shared" si="45"/>
        <v>7.3476594397066446</v>
      </c>
      <c r="V913" s="278">
        <f t="shared" si="46"/>
        <v>4.9342105263157077E-3</v>
      </c>
      <c r="W913" s="278">
        <f t="shared" si="47"/>
        <v>4.6914006476598217E-3</v>
      </c>
    </row>
    <row r="914" spans="1:23" x14ac:dyDescent="0.2">
      <c r="A914" s="8">
        <v>43014</v>
      </c>
      <c r="B914" s="9">
        <v>9.15</v>
      </c>
      <c r="E914" s="51"/>
      <c r="F914" s="51"/>
      <c r="G914" s="51"/>
      <c r="H914" s="51"/>
      <c r="I914" s="51"/>
      <c r="J914" s="53"/>
      <c r="K914" s="53"/>
      <c r="L914" s="53"/>
      <c r="M914" s="53"/>
      <c r="N914" s="53"/>
      <c r="O914" s="139"/>
      <c r="P914" s="50"/>
      <c r="Q914" s="57"/>
      <c r="R914" s="12">
        <v>43025</v>
      </c>
      <c r="S914" s="11">
        <v>9.17</v>
      </c>
      <c r="T914" s="148">
        <v>1.171884984025559</v>
      </c>
      <c r="U914" s="148">
        <f t="shared" si="45"/>
        <v>7.3498838984755359</v>
      </c>
      <c r="V914" s="278">
        <f t="shared" si="46"/>
        <v>5.4555373704312515E-4</v>
      </c>
      <c r="W914" s="278">
        <f t="shared" si="47"/>
        <v>3.027438583872395E-4</v>
      </c>
    </row>
    <row r="915" spans="1:23" x14ac:dyDescent="0.2">
      <c r="A915" s="8">
        <v>43017</v>
      </c>
      <c r="B915" s="9">
        <v>9.1999999999999993</v>
      </c>
      <c r="E915" s="51"/>
      <c r="F915" s="51"/>
      <c r="G915" s="51"/>
      <c r="H915" s="51"/>
      <c r="I915" s="51"/>
      <c r="J915" s="53"/>
      <c r="K915" s="53"/>
      <c r="L915" s="53"/>
      <c r="M915" s="53"/>
      <c r="N915" s="53"/>
      <c r="O915" s="139"/>
      <c r="P915" s="50"/>
      <c r="Q915" s="57"/>
      <c r="R915" s="12">
        <v>43026</v>
      </c>
      <c r="S915" s="11">
        <v>9.1549999999999994</v>
      </c>
      <c r="T915" s="148">
        <v>1.1699680511182107</v>
      </c>
      <c r="U915" s="148">
        <f t="shared" si="45"/>
        <v>7.3360765632099056</v>
      </c>
      <c r="V915" s="278">
        <f t="shared" si="46"/>
        <v>-1.6357688113414204E-3</v>
      </c>
      <c r="W915" s="278">
        <f t="shared" si="47"/>
        <v>-1.8785786899973061E-3</v>
      </c>
    </row>
    <row r="916" spans="1:23" x14ac:dyDescent="0.2">
      <c r="A916" s="8">
        <v>43018</v>
      </c>
      <c r="B916" s="9">
        <v>9.1150000000000002</v>
      </c>
      <c r="E916" s="51"/>
      <c r="F916" s="51"/>
      <c r="G916" s="51"/>
      <c r="H916" s="51"/>
      <c r="I916" s="51"/>
      <c r="J916" s="53"/>
      <c r="K916" s="53"/>
      <c r="L916" s="53"/>
      <c r="M916" s="53"/>
      <c r="N916" s="53"/>
      <c r="O916" s="139"/>
      <c r="P916" s="50"/>
      <c r="Q916" s="57"/>
      <c r="R916" s="12">
        <v>43027</v>
      </c>
      <c r="S916" s="11">
        <v>9.0649999999999995</v>
      </c>
      <c r="T916" s="148">
        <v>1.1584664536741214</v>
      </c>
      <c r="U916" s="148">
        <f t="shared" si="45"/>
        <v>7.2621765703570036</v>
      </c>
      <c r="V916" s="278">
        <f t="shared" si="46"/>
        <v>-9.8306936100491793E-3</v>
      </c>
      <c r="W916" s="278">
        <f t="shared" si="47"/>
        <v>-1.0073503488705065E-2</v>
      </c>
    </row>
    <row r="917" spans="1:23" x14ac:dyDescent="0.2">
      <c r="A917" s="8">
        <v>43019</v>
      </c>
      <c r="B917" s="9">
        <v>9.16</v>
      </c>
      <c r="E917" s="51"/>
      <c r="F917" s="51"/>
      <c r="G917" s="51"/>
      <c r="H917" s="51"/>
      <c r="I917" s="51"/>
      <c r="J917" s="53"/>
      <c r="K917" s="53"/>
      <c r="L917" s="53"/>
      <c r="M917" s="53"/>
      <c r="N917" s="53"/>
      <c r="O917" s="139"/>
      <c r="P917" s="50"/>
      <c r="Q917" s="57"/>
      <c r="R917" s="12">
        <v>43028</v>
      </c>
      <c r="S917" s="11">
        <v>9.125</v>
      </c>
      <c r="T917" s="148">
        <v>1.1661341853035143</v>
      </c>
      <c r="U917" s="148">
        <f t="shared" si="45"/>
        <v>7.3084805994779325</v>
      </c>
      <c r="V917" s="278">
        <f t="shared" si="46"/>
        <v>6.61886376172105E-3</v>
      </c>
      <c r="W917" s="278">
        <f t="shared" si="47"/>
        <v>6.376053883065164E-3</v>
      </c>
    </row>
    <row r="918" spans="1:23" x14ac:dyDescent="0.2">
      <c r="A918" s="8">
        <v>43020</v>
      </c>
      <c r="B918" s="9">
        <v>9.1150000000000002</v>
      </c>
      <c r="E918" s="51"/>
      <c r="F918" s="51"/>
      <c r="G918" s="51"/>
      <c r="H918" s="51"/>
      <c r="I918" s="51"/>
      <c r="J918" s="53"/>
      <c r="K918" s="53"/>
      <c r="L918" s="53"/>
      <c r="M918" s="53"/>
      <c r="N918" s="53"/>
      <c r="O918" s="139"/>
      <c r="P918" s="50"/>
      <c r="Q918" s="57"/>
      <c r="R918" s="12">
        <v>43031</v>
      </c>
      <c r="S918" s="11">
        <v>9.1</v>
      </c>
      <c r="T918" s="148">
        <v>1.1629392971246006</v>
      </c>
      <c r="U918" s="148">
        <f t="shared" si="45"/>
        <v>7.2866827936712966</v>
      </c>
      <c r="V918" s="278">
        <f t="shared" si="46"/>
        <v>-2.739726027397249E-3</v>
      </c>
      <c r="W918" s="278">
        <f t="shared" si="47"/>
        <v>-2.982535906053135E-3</v>
      </c>
    </row>
    <row r="919" spans="1:23" x14ac:dyDescent="0.2">
      <c r="A919" s="8">
        <v>43021</v>
      </c>
      <c r="B919" s="9">
        <v>9.1199999999999992</v>
      </c>
      <c r="E919" s="51"/>
      <c r="F919" s="51"/>
      <c r="G919" s="51"/>
      <c r="H919" s="51"/>
      <c r="I919" s="51"/>
      <c r="J919" s="53"/>
      <c r="K919" s="53"/>
      <c r="L919" s="53"/>
      <c r="M919" s="53"/>
      <c r="N919" s="53"/>
      <c r="O919" s="139"/>
      <c r="P919" s="50"/>
      <c r="Q919" s="57"/>
      <c r="R919" s="12">
        <v>43032</v>
      </c>
      <c r="S919" s="11">
        <v>9.19</v>
      </c>
      <c r="T919" s="148">
        <v>1.1744408945686899</v>
      </c>
      <c r="U919" s="148">
        <f t="shared" si="45"/>
        <v>7.3569796086701427</v>
      </c>
      <c r="V919" s="278">
        <f t="shared" si="46"/>
        <v>9.890109890109855E-3</v>
      </c>
      <c r="W919" s="278">
        <f t="shared" si="47"/>
        <v>9.647300011453969E-3</v>
      </c>
    </row>
    <row r="920" spans="1:23" x14ac:dyDescent="0.2">
      <c r="A920" s="8">
        <v>43024</v>
      </c>
      <c r="B920" s="9">
        <v>9.1649999999999991</v>
      </c>
      <c r="E920" s="51"/>
      <c r="F920" s="51"/>
      <c r="G920" s="51"/>
      <c r="H920" s="51"/>
      <c r="I920" s="51"/>
      <c r="J920" s="53"/>
      <c r="K920" s="53"/>
      <c r="L920" s="53"/>
      <c r="M920" s="53"/>
      <c r="N920" s="53"/>
      <c r="O920" s="139"/>
      <c r="P920" s="50"/>
      <c r="Q920" s="57"/>
      <c r="R920" s="12">
        <v>43033</v>
      </c>
      <c r="S920" s="11">
        <v>9.17</v>
      </c>
      <c r="T920" s="148">
        <v>1.171884984025559</v>
      </c>
      <c r="U920" s="148">
        <f t="shared" si="45"/>
        <v>7.3391824243284836</v>
      </c>
      <c r="V920" s="278">
        <f t="shared" si="46"/>
        <v>-2.1762785636560977E-3</v>
      </c>
      <c r="W920" s="278">
        <f t="shared" si="47"/>
        <v>-2.4190884423119837E-3</v>
      </c>
    </row>
    <row r="921" spans="1:23" x14ac:dyDescent="0.2">
      <c r="A921" s="8">
        <v>43025</v>
      </c>
      <c r="B921" s="9">
        <v>9.17</v>
      </c>
      <c r="E921" s="51"/>
      <c r="F921" s="51"/>
      <c r="G921" s="51"/>
      <c r="H921" s="51"/>
      <c r="I921" s="51"/>
      <c r="J921" s="53"/>
      <c r="K921" s="53"/>
      <c r="L921" s="53"/>
      <c r="M921" s="53"/>
      <c r="N921" s="53"/>
      <c r="O921" s="139"/>
      <c r="P921" s="50"/>
      <c r="Q921" s="57"/>
      <c r="R921" s="12">
        <v>43034</v>
      </c>
      <c r="S921" s="11">
        <v>9.23</v>
      </c>
      <c r="T921" s="148">
        <v>1.1795527156549521</v>
      </c>
      <c r="U921" s="148">
        <f t="shared" ref="U921:U984" si="48">U920*(1+W921)</f>
        <v>7.3854212211764434</v>
      </c>
      <c r="V921" s="278">
        <f t="shared" ref="V921:V984" si="49">S921/S920-1</f>
        <v>6.5430752453654595E-3</v>
      </c>
      <c r="W921" s="278">
        <f t="shared" ref="W921:W984" si="50">V921-$V$3+$W$2</f>
        <v>6.3002653667095735E-3</v>
      </c>
    </row>
    <row r="922" spans="1:23" x14ac:dyDescent="0.2">
      <c r="A922" s="8">
        <v>43026</v>
      </c>
      <c r="B922" s="9">
        <v>9.1549999999999994</v>
      </c>
      <c r="E922" s="51"/>
      <c r="F922" s="51"/>
      <c r="G922" s="51"/>
      <c r="H922" s="51"/>
      <c r="I922" s="51"/>
      <c r="J922" s="53"/>
      <c r="K922" s="53"/>
      <c r="L922" s="53"/>
      <c r="M922" s="53"/>
      <c r="N922" s="53"/>
      <c r="O922" s="139"/>
      <c r="P922" s="50"/>
      <c r="Q922" s="57"/>
      <c r="R922" s="12">
        <v>43035</v>
      </c>
      <c r="S922" s="11">
        <v>9.3849999999999998</v>
      </c>
      <c r="T922" s="148">
        <v>1.1993610223642173</v>
      </c>
      <c r="U922" s="148">
        <f t="shared" si="48"/>
        <v>7.5076518346070484</v>
      </c>
      <c r="V922" s="278">
        <f t="shared" si="49"/>
        <v>1.679306608884068E-2</v>
      </c>
      <c r="W922" s="278">
        <f t="shared" si="50"/>
        <v>1.6550256210184796E-2</v>
      </c>
    </row>
    <row r="923" spans="1:23" x14ac:dyDescent="0.2">
      <c r="A923" s="8">
        <v>43027</v>
      </c>
      <c r="B923" s="9">
        <v>9.0649999999999995</v>
      </c>
      <c r="E923" s="51"/>
      <c r="F923" s="51"/>
      <c r="G923" s="51"/>
      <c r="H923" s="51"/>
      <c r="I923" s="51"/>
      <c r="J923" s="53"/>
      <c r="K923" s="53"/>
      <c r="L923" s="53"/>
      <c r="M923" s="53"/>
      <c r="N923" s="53"/>
      <c r="O923" s="139"/>
      <c r="P923" s="50"/>
      <c r="Q923" s="57"/>
      <c r="R923" s="12">
        <v>43038</v>
      </c>
      <c r="S923" s="11">
        <v>9.48</v>
      </c>
      <c r="T923" s="148">
        <v>1.2115015974440895</v>
      </c>
      <c r="U923" s="148">
        <f t="shared" si="48"/>
        <v>7.5818253782593859</v>
      </c>
      <c r="V923" s="278">
        <f t="shared" si="49"/>
        <v>1.0122535961641033E-2</v>
      </c>
      <c r="W923" s="278">
        <f t="shared" si="50"/>
        <v>9.8797260829851467E-3</v>
      </c>
    </row>
    <row r="924" spans="1:23" x14ac:dyDescent="0.2">
      <c r="A924" s="8">
        <v>43028</v>
      </c>
      <c r="B924" s="9">
        <v>9.125</v>
      </c>
      <c r="E924" s="51"/>
      <c r="F924" s="51"/>
      <c r="G924" s="51"/>
      <c r="H924" s="51"/>
      <c r="I924" s="51"/>
      <c r="J924" s="53"/>
      <c r="K924" s="53"/>
      <c r="L924" s="53"/>
      <c r="M924" s="53"/>
      <c r="N924" s="53"/>
      <c r="O924" s="139"/>
      <c r="P924" s="50"/>
      <c r="Q924" s="57"/>
      <c r="R924" s="12">
        <v>43039</v>
      </c>
      <c r="S924" s="11">
        <v>9.41</v>
      </c>
      <c r="T924" s="148">
        <v>1.2025559105431309</v>
      </c>
      <c r="U924" s="148">
        <f t="shared" si="48"/>
        <v>7.524000493492828</v>
      </c>
      <c r="V924" s="278">
        <f t="shared" si="49"/>
        <v>-7.3839662447258148E-3</v>
      </c>
      <c r="W924" s="278">
        <f t="shared" si="50"/>
        <v>-7.6267761233817007E-3</v>
      </c>
    </row>
    <row r="925" spans="1:23" x14ac:dyDescent="0.2">
      <c r="A925" s="8">
        <v>43031</v>
      </c>
      <c r="B925" s="9">
        <v>9.1</v>
      </c>
      <c r="E925" s="51"/>
      <c r="F925" s="51"/>
      <c r="G925" s="51"/>
      <c r="H925" s="51"/>
      <c r="I925" s="51"/>
      <c r="J925" s="53"/>
      <c r="K925" s="53"/>
      <c r="L925" s="53"/>
      <c r="M925" s="53"/>
      <c r="N925" s="53"/>
      <c r="O925" s="139"/>
      <c r="P925" s="50"/>
      <c r="Q925" s="57"/>
      <c r="R925" s="12">
        <v>43040</v>
      </c>
      <c r="S925" s="11">
        <v>9.5399999999999991</v>
      </c>
      <c r="T925" s="148">
        <v>1.2191693290734822</v>
      </c>
      <c r="U925" s="148">
        <f t="shared" si="48"/>
        <v>7.6261183383023257</v>
      </c>
      <c r="V925" s="278">
        <f t="shared" si="49"/>
        <v>1.381509032943673E-2</v>
      </c>
      <c r="W925" s="278">
        <f t="shared" si="50"/>
        <v>1.3572280450780844E-2</v>
      </c>
    </row>
    <row r="926" spans="1:23" x14ac:dyDescent="0.2">
      <c r="A926" s="8">
        <v>43032</v>
      </c>
      <c r="B926" s="9">
        <v>9.19</v>
      </c>
      <c r="E926" s="51"/>
      <c r="F926" s="51"/>
      <c r="G926" s="51"/>
      <c r="H926" s="51"/>
      <c r="I926" s="51"/>
      <c r="J926" s="53"/>
      <c r="K926" s="53"/>
      <c r="L926" s="53"/>
      <c r="M926" s="53"/>
      <c r="N926" s="53"/>
      <c r="O926" s="139"/>
      <c r="P926" s="50"/>
      <c r="Q926" s="57"/>
      <c r="R926" s="12">
        <v>43041</v>
      </c>
      <c r="S926" s="11">
        <v>9.64</v>
      </c>
      <c r="T926" s="148">
        <v>1.2319488817891375</v>
      </c>
      <c r="U926" s="148">
        <f t="shared" si="48"/>
        <v>7.7042049887956461</v>
      </c>
      <c r="V926" s="278">
        <f t="shared" si="49"/>
        <v>1.048218029350112E-2</v>
      </c>
      <c r="W926" s="278">
        <f t="shared" si="50"/>
        <v>1.0239370414845234E-2</v>
      </c>
    </row>
    <row r="927" spans="1:23" x14ac:dyDescent="0.2">
      <c r="A927" s="8">
        <v>43033</v>
      </c>
      <c r="B927" s="9">
        <v>9.17</v>
      </c>
      <c r="E927" s="51"/>
      <c r="F927" s="51"/>
      <c r="G927" s="51"/>
      <c r="H927" s="51"/>
      <c r="I927" s="51"/>
      <c r="J927" s="53"/>
      <c r="K927" s="53"/>
      <c r="L927" s="53"/>
      <c r="M927" s="53"/>
      <c r="N927" s="53"/>
      <c r="O927" s="139"/>
      <c r="P927" s="50"/>
      <c r="Q927" s="57"/>
      <c r="R927" s="12">
        <v>43042</v>
      </c>
      <c r="S927" s="11">
        <v>9.6</v>
      </c>
      <c r="T927" s="148">
        <v>1.2268370607028753</v>
      </c>
      <c r="U927" s="148">
        <f t="shared" si="48"/>
        <v>7.6703666761620068</v>
      </c>
      <c r="V927" s="278">
        <f t="shared" si="49"/>
        <v>-4.1493775933610921E-3</v>
      </c>
      <c r="W927" s="278">
        <f t="shared" si="50"/>
        <v>-4.3921874720169781E-3</v>
      </c>
    </row>
    <row r="928" spans="1:23" x14ac:dyDescent="0.2">
      <c r="A928" s="8">
        <v>43034</v>
      </c>
      <c r="B928" s="9">
        <v>9.23</v>
      </c>
      <c r="E928" s="51"/>
      <c r="F928" s="51"/>
      <c r="G928" s="51"/>
      <c r="H928" s="51"/>
      <c r="I928" s="51"/>
      <c r="J928" s="53"/>
      <c r="K928" s="53"/>
      <c r="L928" s="53"/>
      <c r="M928" s="53"/>
      <c r="N928" s="53"/>
      <c r="O928" s="139"/>
      <c r="P928" s="50"/>
      <c r="Q928" s="57"/>
      <c r="R928" s="12">
        <v>43045</v>
      </c>
      <c r="S928" s="11">
        <v>9.57</v>
      </c>
      <c r="T928" s="148">
        <v>1.223003194888179</v>
      </c>
      <c r="U928" s="148">
        <f t="shared" si="48"/>
        <v>7.6445343394971159</v>
      </c>
      <c r="V928" s="278">
        <f t="shared" si="49"/>
        <v>-3.1249999999999334E-3</v>
      </c>
      <c r="W928" s="278">
        <f t="shared" si="50"/>
        <v>-3.3678098786558194E-3</v>
      </c>
    </row>
    <row r="929" spans="1:23" x14ac:dyDescent="0.2">
      <c r="A929" s="8">
        <v>43035</v>
      </c>
      <c r="B929" s="9">
        <v>9.3849999999999998</v>
      </c>
      <c r="E929" s="51"/>
      <c r="F929" s="51"/>
      <c r="G929" s="51"/>
      <c r="H929" s="51"/>
      <c r="I929" s="51"/>
      <c r="J929" s="53"/>
      <c r="K929" s="53"/>
      <c r="L929" s="53"/>
      <c r="M929" s="53"/>
      <c r="N929" s="53"/>
      <c r="O929" s="139"/>
      <c r="P929" s="50"/>
      <c r="Q929" s="57"/>
      <c r="R929" s="12">
        <v>43046</v>
      </c>
      <c r="S929" s="11">
        <v>9.69</v>
      </c>
      <c r="T929" s="148">
        <v>1.2383386581469649</v>
      </c>
      <c r="U929" s="148">
        <f t="shared" si="48"/>
        <v>7.7385344010041059</v>
      </c>
      <c r="V929" s="278">
        <f t="shared" si="49"/>
        <v>1.25391849529779E-2</v>
      </c>
      <c r="W929" s="278">
        <f t="shared" si="50"/>
        <v>1.2296375074322014E-2</v>
      </c>
    </row>
    <row r="930" spans="1:23" x14ac:dyDescent="0.2">
      <c r="A930" s="8">
        <v>43038</v>
      </c>
      <c r="B930" s="9">
        <v>9.48</v>
      </c>
      <c r="E930" s="51"/>
      <c r="F930" s="51"/>
      <c r="G930" s="51"/>
      <c r="H930" s="51"/>
      <c r="I930" s="51"/>
      <c r="J930" s="53"/>
      <c r="K930" s="53"/>
      <c r="L930" s="53"/>
      <c r="M930" s="53"/>
      <c r="N930" s="53"/>
      <c r="O930" s="139"/>
      <c r="P930" s="50"/>
      <c r="Q930" s="57"/>
      <c r="R930" s="12">
        <v>43047</v>
      </c>
      <c r="S930" s="11">
        <v>9.68</v>
      </c>
      <c r="T930" s="148">
        <v>1.2370607028753993</v>
      </c>
      <c r="U930" s="148">
        <f t="shared" si="48"/>
        <v>7.7286693047922173</v>
      </c>
      <c r="V930" s="278">
        <f t="shared" si="49"/>
        <v>-1.0319917440659854E-3</v>
      </c>
      <c r="W930" s="278">
        <f t="shared" si="50"/>
        <v>-1.2748016227218711E-3</v>
      </c>
    </row>
    <row r="931" spans="1:23" x14ac:dyDescent="0.2">
      <c r="A931" s="8">
        <v>43039</v>
      </c>
      <c r="B931" s="9">
        <v>9.41</v>
      </c>
      <c r="E931" s="51"/>
      <c r="F931" s="51"/>
      <c r="G931" s="51"/>
      <c r="H931" s="51"/>
      <c r="I931" s="51"/>
      <c r="J931" s="53"/>
      <c r="K931" s="53"/>
      <c r="L931" s="53"/>
      <c r="M931" s="53"/>
      <c r="N931" s="53"/>
      <c r="O931" s="139"/>
      <c r="P931" s="50"/>
      <c r="Q931" s="57"/>
      <c r="R931" s="12">
        <v>43048</v>
      </c>
      <c r="S931" s="11">
        <v>9.8849999999999998</v>
      </c>
      <c r="T931" s="148">
        <v>1.263258785942492</v>
      </c>
      <c r="U931" s="148">
        <f t="shared" si="48"/>
        <v>7.8904680388876356</v>
      </c>
      <c r="V931" s="278">
        <f t="shared" si="49"/>
        <v>2.1177685950413139E-2</v>
      </c>
      <c r="W931" s="278">
        <f t="shared" si="50"/>
        <v>2.0934876071757254E-2</v>
      </c>
    </row>
    <row r="932" spans="1:23" x14ac:dyDescent="0.2">
      <c r="A932" s="8">
        <v>43040</v>
      </c>
      <c r="B932" s="9">
        <v>9.5399999999999991</v>
      </c>
      <c r="E932" s="51"/>
      <c r="F932" s="51"/>
      <c r="G932" s="51"/>
      <c r="H932" s="51"/>
      <c r="I932" s="51"/>
      <c r="J932" s="53"/>
      <c r="K932" s="53"/>
      <c r="L932" s="53"/>
      <c r="M932" s="53"/>
      <c r="N932" s="53"/>
      <c r="O932" s="139"/>
      <c r="P932" s="50"/>
      <c r="Q932" s="57"/>
      <c r="R932" s="12">
        <v>43049</v>
      </c>
      <c r="S932" s="11">
        <v>9.86</v>
      </c>
      <c r="T932" s="148">
        <v>1.2600638977635781</v>
      </c>
      <c r="U932" s="148">
        <f t="shared" si="48"/>
        <v>7.8685964951111771</v>
      </c>
      <c r="V932" s="278">
        <f t="shared" si="49"/>
        <v>-2.5290844714214167E-3</v>
      </c>
      <c r="W932" s="278">
        <f t="shared" si="50"/>
        <v>-2.7718943500773027E-3</v>
      </c>
    </row>
    <row r="933" spans="1:23" x14ac:dyDescent="0.2">
      <c r="A933" s="8">
        <v>43041</v>
      </c>
      <c r="B933" s="9">
        <v>9.64</v>
      </c>
      <c r="E933" s="51"/>
      <c r="F933" s="51"/>
      <c r="G933" s="51"/>
      <c r="H933" s="51"/>
      <c r="I933" s="51"/>
      <c r="J933" s="53"/>
      <c r="K933" s="53"/>
      <c r="L933" s="53"/>
      <c r="M933" s="53"/>
      <c r="N933" s="53"/>
      <c r="O933" s="139"/>
      <c r="P933" s="50"/>
      <c r="Q933" s="57"/>
      <c r="R933" s="12">
        <v>43052</v>
      </c>
      <c r="S933" s="11">
        <v>9.875</v>
      </c>
      <c r="T933" s="148">
        <v>1.2619808306709266</v>
      </c>
      <c r="U933" s="148">
        <f t="shared" si="48"/>
        <v>7.8786564036344426</v>
      </c>
      <c r="V933" s="278">
        <f t="shared" si="49"/>
        <v>1.5212981744423537E-3</v>
      </c>
      <c r="W933" s="278">
        <f t="shared" si="50"/>
        <v>1.278488295786468E-3</v>
      </c>
    </row>
    <row r="934" spans="1:23" x14ac:dyDescent="0.2">
      <c r="A934" s="8">
        <v>43042</v>
      </c>
      <c r="B934" s="9">
        <v>9.6</v>
      </c>
      <c r="E934" s="51"/>
      <c r="F934" s="51"/>
      <c r="G934" s="51"/>
      <c r="H934" s="51"/>
      <c r="I934" s="51"/>
      <c r="J934" s="53"/>
      <c r="K934" s="53"/>
      <c r="L934" s="53"/>
      <c r="M934" s="53"/>
      <c r="N934" s="53"/>
      <c r="O934" s="139"/>
      <c r="P934" s="50"/>
      <c r="Q934" s="57"/>
      <c r="R934" s="12">
        <v>43053</v>
      </c>
      <c r="S934" s="11">
        <v>9.8650000000000002</v>
      </c>
      <c r="T934" s="148">
        <v>1.260702875399361</v>
      </c>
      <c r="U934" s="148">
        <f t="shared" si="48"/>
        <v>7.8687650017975761</v>
      </c>
      <c r="V934" s="278">
        <f t="shared" si="49"/>
        <v>-1.0126582278481289E-3</v>
      </c>
      <c r="W934" s="278">
        <f t="shared" si="50"/>
        <v>-1.2554681065040146E-3</v>
      </c>
    </row>
    <row r="935" spans="1:23" x14ac:dyDescent="0.2">
      <c r="A935" s="8">
        <v>43045</v>
      </c>
      <c r="B935" s="9">
        <v>9.57</v>
      </c>
      <c r="E935" s="51"/>
      <c r="F935" s="51"/>
      <c r="G935" s="51"/>
      <c r="H935" s="51"/>
      <c r="I935" s="51"/>
      <c r="J935" s="53"/>
      <c r="K935" s="53"/>
      <c r="L935" s="53"/>
      <c r="M935" s="53"/>
      <c r="N935" s="53"/>
      <c r="O935" s="139"/>
      <c r="P935" s="50"/>
      <c r="Q935" s="57"/>
      <c r="R935" s="12">
        <v>43054</v>
      </c>
      <c r="S935" s="11">
        <v>9.8350000000000009</v>
      </c>
      <c r="T935" s="148">
        <v>1.2568690095846646</v>
      </c>
      <c r="U935" s="148">
        <f t="shared" si="48"/>
        <v>7.8429250468119358</v>
      </c>
      <c r="V935" s="278">
        <f t="shared" si="49"/>
        <v>-3.0410542321337442E-3</v>
      </c>
      <c r="W935" s="278">
        <f t="shared" si="50"/>
        <v>-3.2838641107896301E-3</v>
      </c>
    </row>
    <row r="936" spans="1:23" x14ac:dyDescent="0.2">
      <c r="A936" s="8">
        <v>43046</v>
      </c>
      <c r="B936" s="9">
        <v>9.69</v>
      </c>
      <c r="E936" s="51"/>
      <c r="F936" s="51"/>
      <c r="G936" s="51"/>
      <c r="H936" s="51"/>
      <c r="I936" s="51"/>
      <c r="J936" s="53"/>
      <c r="K936" s="53"/>
      <c r="L936" s="53"/>
      <c r="M936" s="53"/>
      <c r="N936" s="53"/>
      <c r="O936" s="139"/>
      <c r="P936" s="50"/>
      <c r="Q936" s="57"/>
      <c r="R936" s="12">
        <v>43055</v>
      </c>
      <c r="S936" s="11">
        <v>9.8849999999999998</v>
      </c>
      <c r="T936" s="148">
        <v>1.263258785942492</v>
      </c>
      <c r="U936" s="148">
        <f t="shared" si="48"/>
        <v>7.8808932289775049</v>
      </c>
      <c r="V936" s="278">
        <f t="shared" si="49"/>
        <v>5.0838840874427582E-3</v>
      </c>
      <c r="W936" s="278">
        <f t="shared" si="50"/>
        <v>4.8410742087868722E-3</v>
      </c>
    </row>
    <row r="937" spans="1:23" x14ac:dyDescent="0.2">
      <c r="A937" s="8">
        <v>43047</v>
      </c>
      <c r="B937" s="9">
        <v>9.68</v>
      </c>
      <c r="E937" s="51"/>
      <c r="F937" s="51"/>
      <c r="G937" s="51"/>
      <c r="H937" s="51"/>
      <c r="I937" s="51"/>
      <c r="J937" s="53"/>
      <c r="K937" s="53"/>
      <c r="L937" s="53"/>
      <c r="M937" s="53"/>
      <c r="N937" s="53"/>
      <c r="O937" s="139"/>
      <c r="P937" s="50"/>
      <c r="Q937" s="57"/>
      <c r="R937" s="12">
        <v>43056</v>
      </c>
      <c r="S937" s="11">
        <v>9.875</v>
      </c>
      <c r="T937" s="148">
        <v>1.2619808306709266</v>
      </c>
      <c r="U937" s="148">
        <f t="shared" si="48"/>
        <v>7.8710070923743425</v>
      </c>
      <c r="V937" s="278">
        <f t="shared" si="49"/>
        <v>-1.0116337885685001E-3</v>
      </c>
      <c r="W937" s="278">
        <f t="shared" si="50"/>
        <v>-1.2544436672243858E-3</v>
      </c>
    </row>
    <row r="938" spans="1:23" x14ac:dyDescent="0.2">
      <c r="A938" s="8">
        <v>43048</v>
      </c>
      <c r="B938" s="9">
        <v>9.8849999999999998</v>
      </c>
      <c r="E938" s="51"/>
      <c r="F938" s="51"/>
      <c r="G938" s="51"/>
      <c r="H938" s="51"/>
      <c r="I938" s="51"/>
      <c r="J938" s="53"/>
      <c r="K938" s="53"/>
      <c r="L938" s="53"/>
      <c r="M938" s="53"/>
      <c r="N938" s="53"/>
      <c r="O938" s="139"/>
      <c r="P938" s="50"/>
      <c r="Q938" s="57"/>
      <c r="R938" s="12">
        <v>43059</v>
      </c>
      <c r="S938" s="11">
        <v>9.5150000000000006</v>
      </c>
      <c r="T938" s="148">
        <v>1.2159744408945687</v>
      </c>
      <c r="U938" s="148">
        <f t="shared" si="48"/>
        <v>7.5821528907297724</v>
      </c>
      <c r="V938" s="278">
        <f t="shared" si="49"/>
        <v>-3.645569620253164E-2</v>
      </c>
      <c r="W938" s="278">
        <f t="shared" si="50"/>
        <v>-3.6698506081187528E-2</v>
      </c>
    </row>
    <row r="939" spans="1:23" x14ac:dyDescent="0.2">
      <c r="A939" s="8">
        <v>43049</v>
      </c>
      <c r="B939" s="9">
        <v>9.86</v>
      </c>
      <c r="E939" s="51"/>
      <c r="F939" s="51"/>
      <c r="G939" s="51"/>
      <c r="H939" s="51"/>
      <c r="I939" s="51"/>
      <c r="J939" s="53"/>
      <c r="K939" s="53"/>
      <c r="L939" s="53"/>
      <c r="M939" s="53"/>
      <c r="N939" s="53"/>
      <c r="O939" s="139"/>
      <c r="P939" s="50"/>
      <c r="Q939" s="57"/>
      <c r="R939" s="12">
        <v>43060</v>
      </c>
      <c r="S939" s="11">
        <v>9.3650000000000002</v>
      </c>
      <c r="T939" s="148">
        <v>1.1968051118210863</v>
      </c>
      <c r="U939" s="148">
        <f t="shared" si="48"/>
        <v>7.4607823963150981</v>
      </c>
      <c r="V939" s="278">
        <f t="shared" si="49"/>
        <v>-1.576458223857069E-2</v>
      </c>
      <c r="W939" s="278">
        <f t="shared" si="50"/>
        <v>-1.6007392117226574E-2</v>
      </c>
    </row>
    <row r="940" spans="1:23" x14ac:dyDescent="0.2">
      <c r="A940" s="8">
        <v>43052</v>
      </c>
      <c r="B940" s="9">
        <v>9.875</v>
      </c>
      <c r="E940" s="51"/>
      <c r="F940" s="51"/>
      <c r="G940" s="51"/>
      <c r="H940" s="51"/>
      <c r="I940" s="51"/>
      <c r="J940" s="53"/>
      <c r="K940" s="53"/>
      <c r="L940" s="53"/>
      <c r="M940" s="53"/>
      <c r="N940" s="53"/>
      <c r="O940" s="139"/>
      <c r="P940" s="50"/>
      <c r="Q940" s="57"/>
      <c r="R940" s="12">
        <v>43061</v>
      </c>
      <c r="S940" s="11">
        <v>9.48</v>
      </c>
      <c r="T940" s="148">
        <v>1.2115015974440895</v>
      </c>
      <c r="U940" s="148">
        <f t="shared" si="48"/>
        <v>7.5505874998070723</v>
      </c>
      <c r="V940" s="278">
        <f t="shared" si="49"/>
        <v>1.2279765082754857E-2</v>
      </c>
      <c r="W940" s="278">
        <f t="shared" si="50"/>
        <v>1.2036955204098971E-2</v>
      </c>
    </row>
    <row r="941" spans="1:23" x14ac:dyDescent="0.2">
      <c r="A941" s="8">
        <v>43053</v>
      </c>
      <c r="B941" s="9">
        <v>9.8650000000000002</v>
      </c>
      <c r="E941" s="51"/>
      <c r="F941" s="51"/>
      <c r="G941" s="51"/>
      <c r="H941" s="51"/>
      <c r="I941" s="51"/>
      <c r="J941" s="53"/>
      <c r="K941" s="53"/>
      <c r="L941" s="53"/>
      <c r="M941" s="53"/>
      <c r="N941" s="53"/>
      <c r="O941" s="139"/>
      <c r="P941" s="50"/>
      <c r="Q941" s="57"/>
      <c r="R941" s="12">
        <v>43062</v>
      </c>
      <c r="S941" s="11">
        <v>9.4749999999999996</v>
      </c>
      <c r="T941" s="148">
        <v>1.2108626198083066</v>
      </c>
      <c r="U941" s="148">
        <f t="shared" si="48"/>
        <v>7.5447717651991466</v>
      </c>
      <c r="V941" s="278">
        <f t="shared" si="49"/>
        <v>-5.2742616033762957E-4</v>
      </c>
      <c r="W941" s="278">
        <f t="shared" si="50"/>
        <v>-7.7023603899351522E-4</v>
      </c>
    </row>
    <row r="942" spans="1:23" x14ac:dyDescent="0.2">
      <c r="A942" s="8">
        <v>43054</v>
      </c>
      <c r="B942" s="9">
        <v>9.8350000000000009</v>
      </c>
      <c r="E942" s="51"/>
      <c r="F942" s="51"/>
      <c r="G942" s="51"/>
      <c r="H942" s="51"/>
      <c r="I942" s="51"/>
      <c r="J942" s="53"/>
      <c r="K942" s="53"/>
      <c r="L942" s="53"/>
      <c r="M942" s="53"/>
      <c r="N942" s="53"/>
      <c r="O942" s="139"/>
      <c r="P942" s="50"/>
      <c r="Q942" s="57"/>
      <c r="R942" s="12">
        <v>43063</v>
      </c>
      <c r="S942" s="11">
        <v>9.42</v>
      </c>
      <c r="T942" s="148">
        <v>1.2038338658146965</v>
      </c>
      <c r="U942" s="148">
        <f t="shared" si="48"/>
        <v>7.4991443111550753</v>
      </c>
      <c r="V942" s="278">
        <f t="shared" si="49"/>
        <v>-5.8047493403693418E-3</v>
      </c>
      <c r="W942" s="278">
        <f t="shared" si="50"/>
        <v>-6.0475592190252277E-3</v>
      </c>
    </row>
    <row r="943" spans="1:23" x14ac:dyDescent="0.2">
      <c r="A943" s="8">
        <v>43055</v>
      </c>
      <c r="B943" s="9">
        <v>9.8849999999999998</v>
      </c>
      <c r="E943" s="51"/>
      <c r="F943" s="51"/>
      <c r="G943" s="51"/>
      <c r="H943" s="51"/>
      <c r="I943" s="51"/>
      <c r="J943" s="53"/>
      <c r="K943" s="53"/>
      <c r="L943" s="53"/>
      <c r="M943" s="53"/>
      <c r="N943" s="53"/>
      <c r="O943" s="139"/>
      <c r="P943" s="50"/>
      <c r="Q943" s="57"/>
      <c r="R943" s="12">
        <v>43066</v>
      </c>
      <c r="S943" s="11">
        <v>9.31</v>
      </c>
      <c r="T943" s="148">
        <v>1.189776357827476</v>
      </c>
      <c r="U943" s="148">
        <f t="shared" si="48"/>
        <v>7.4097538191207368</v>
      </c>
      <c r="V943" s="278">
        <f t="shared" si="49"/>
        <v>-1.1677282377919207E-2</v>
      </c>
      <c r="W943" s="278">
        <f t="shared" si="50"/>
        <v>-1.1920092256575093E-2</v>
      </c>
    </row>
    <row r="944" spans="1:23" x14ac:dyDescent="0.2">
      <c r="A944" s="8">
        <v>43056</v>
      </c>
      <c r="B944" s="9">
        <v>9.875</v>
      </c>
      <c r="E944" s="51"/>
      <c r="F944" s="51"/>
      <c r="G944" s="51"/>
      <c r="H944" s="51"/>
      <c r="I944" s="51"/>
      <c r="J944" s="53"/>
      <c r="K944" s="53"/>
      <c r="L944" s="53"/>
      <c r="M944" s="53"/>
      <c r="N944" s="53"/>
      <c r="O944" s="139"/>
      <c r="P944" s="50"/>
      <c r="Q944" s="57"/>
      <c r="R944" s="12">
        <v>43067</v>
      </c>
      <c r="S944" s="11">
        <v>9.42</v>
      </c>
      <c r="T944" s="148">
        <v>1.2038338658146965</v>
      </c>
      <c r="U944" s="148">
        <f t="shared" si="48"/>
        <v>7.4955027694139789</v>
      </c>
      <c r="V944" s="278">
        <f t="shared" si="49"/>
        <v>1.1815252416756072E-2</v>
      </c>
      <c r="W944" s="278">
        <f t="shared" si="50"/>
        <v>1.1572442538100186E-2</v>
      </c>
    </row>
    <row r="945" spans="1:23" x14ac:dyDescent="0.2">
      <c r="A945" s="8">
        <v>43059</v>
      </c>
      <c r="B945" s="9">
        <v>9.5150000000000006</v>
      </c>
      <c r="E945" s="51"/>
      <c r="F945" s="51"/>
      <c r="G945" s="51"/>
      <c r="H945" s="51"/>
      <c r="I945" s="51"/>
      <c r="J945" s="53"/>
      <c r="K945" s="53"/>
      <c r="L945" s="53"/>
      <c r="M945" s="53"/>
      <c r="N945" s="53"/>
      <c r="O945" s="139"/>
      <c r="P945" s="50"/>
      <c r="Q945" s="57"/>
      <c r="R945" s="12">
        <v>43068</v>
      </c>
      <c r="S945" s="11">
        <v>9.51</v>
      </c>
      <c r="T945" s="148">
        <v>1.2153354632587858</v>
      </c>
      <c r="U945" s="148">
        <f t="shared" si="48"/>
        <v>7.5652958710802807</v>
      </c>
      <c r="V945" s="278">
        <f t="shared" si="49"/>
        <v>9.5541401273884219E-3</v>
      </c>
      <c r="W945" s="278">
        <f t="shared" si="50"/>
        <v>9.3113302487325359E-3</v>
      </c>
    </row>
    <row r="946" spans="1:23" x14ac:dyDescent="0.2">
      <c r="A946" s="8">
        <v>43060</v>
      </c>
      <c r="B946" s="9">
        <v>9.3650000000000002</v>
      </c>
      <c r="E946" s="51"/>
      <c r="F946" s="51"/>
      <c r="G946" s="51"/>
      <c r="H946" s="51"/>
      <c r="I946" s="51"/>
      <c r="J946" s="53"/>
      <c r="K946" s="53"/>
      <c r="L946" s="53"/>
      <c r="M946" s="53"/>
      <c r="N946" s="53"/>
      <c r="O946" s="139"/>
      <c r="P946" s="50"/>
      <c r="Q946" s="57"/>
      <c r="R946" s="12">
        <v>43069</v>
      </c>
      <c r="S946" s="11">
        <v>9.6950000000000003</v>
      </c>
      <c r="T946" s="148">
        <v>1.2389776357827476</v>
      </c>
      <c r="U946" s="148">
        <f t="shared" si="48"/>
        <v>7.7106282102417767</v>
      </c>
      <c r="V946" s="278">
        <f t="shared" si="49"/>
        <v>1.9453207150368135E-2</v>
      </c>
      <c r="W946" s="278">
        <f t="shared" si="50"/>
        <v>1.9210397271712251E-2</v>
      </c>
    </row>
    <row r="947" spans="1:23" x14ac:dyDescent="0.2">
      <c r="A947" s="8">
        <v>43061</v>
      </c>
      <c r="B947" s="9">
        <v>9.48</v>
      </c>
      <c r="E947" s="51"/>
      <c r="F947" s="51"/>
      <c r="G947" s="51"/>
      <c r="H947" s="51"/>
      <c r="I947" s="51"/>
      <c r="J947" s="53"/>
      <c r="K947" s="53"/>
      <c r="L947" s="53"/>
      <c r="M947" s="53"/>
      <c r="N947" s="53"/>
      <c r="O947" s="139"/>
      <c r="P947" s="50"/>
      <c r="Q947" s="57"/>
      <c r="R947" s="12">
        <v>43070</v>
      </c>
      <c r="S947" s="11">
        <v>9.6</v>
      </c>
      <c r="T947" s="148">
        <v>1.2268370607028753</v>
      </c>
      <c r="U947" s="148">
        <f t="shared" si="48"/>
        <v>7.6332005856022365</v>
      </c>
      <c r="V947" s="278">
        <f t="shared" si="49"/>
        <v>-9.7988653945333404E-3</v>
      </c>
      <c r="W947" s="278">
        <f t="shared" si="50"/>
        <v>-1.0041675273189226E-2</v>
      </c>
    </row>
    <row r="948" spans="1:23" x14ac:dyDescent="0.2">
      <c r="A948" s="8">
        <v>43062</v>
      </c>
      <c r="B948" s="9">
        <v>9.4749999999999996</v>
      </c>
      <c r="E948" s="51"/>
      <c r="F948" s="51"/>
      <c r="G948" s="51"/>
      <c r="H948" s="51"/>
      <c r="I948" s="51"/>
      <c r="J948" s="53"/>
      <c r="K948" s="53"/>
      <c r="L948" s="53"/>
      <c r="M948" s="53"/>
      <c r="N948" s="53"/>
      <c r="O948" s="139"/>
      <c r="P948" s="50"/>
      <c r="Q948" s="57"/>
      <c r="R948" s="12">
        <v>43073</v>
      </c>
      <c r="S948" s="11">
        <v>9.67</v>
      </c>
      <c r="T948" s="148">
        <v>1.2357827476038339</v>
      </c>
      <c r="U948" s="148">
        <f t="shared" si="48"/>
        <v>7.687005923364306</v>
      </c>
      <c r="V948" s="278">
        <f t="shared" si="49"/>
        <v>7.2916666666666963E-3</v>
      </c>
      <c r="W948" s="278">
        <f t="shared" si="50"/>
        <v>7.0488567880108103E-3</v>
      </c>
    </row>
    <row r="949" spans="1:23" x14ac:dyDescent="0.2">
      <c r="A949" s="8">
        <v>43063</v>
      </c>
      <c r="B949" s="9">
        <v>9.42</v>
      </c>
      <c r="E949" s="51"/>
      <c r="F949" s="51"/>
      <c r="G949" s="51"/>
      <c r="H949" s="51"/>
      <c r="I949" s="51"/>
      <c r="J949" s="53"/>
      <c r="K949" s="53"/>
      <c r="L949" s="53"/>
      <c r="M949" s="53"/>
      <c r="N949" s="53"/>
      <c r="O949" s="139"/>
      <c r="P949" s="50"/>
      <c r="Q949" s="57"/>
      <c r="R949" s="12">
        <v>43074</v>
      </c>
      <c r="S949" s="11">
        <v>9.61</v>
      </c>
      <c r="T949" s="148">
        <v>1.2281150159744407</v>
      </c>
      <c r="U949" s="148">
        <f t="shared" si="48"/>
        <v>7.6374434387278276</v>
      </c>
      <c r="V949" s="278">
        <f t="shared" si="49"/>
        <v>-6.2047569803516112E-3</v>
      </c>
      <c r="W949" s="278">
        <f t="shared" si="50"/>
        <v>-6.4475668590074971E-3</v>
      </c>
    </row>
    <row r="950" spans="1:23" x14ac:dyDescent="0.2">
      <c r="A950" s="8">
        <v>43066</v>
      </c>
      <c r="B950" s="9">
        <v>9.31</v>
      </c>
      <c r="E950" s="51"/>
      <c r="F950" s="51"/>
      <c r="G950" s="51"/>
      <c r="H950" s="51"/>
      <c r="I950" s="51"/>
      <c r="J950" s="53"/>
      <c r="K950" s="53"/>
      <c r="L950" s="53"/>
      <c r="M950" s="53"/>
      <c r="N950" s="53"/>
      <c r="O950" s="139"/>
      <c r="P950" s="50"/>
      <c r="Q950" s="57"/>
      <c r="R950" s="12">
        <v>43075</v>
      </c>
      <c r="S950" s="11">
        <v>9.4649999999999999</v>
      </c>
      <c r="T950" s="148">
        <v>1.2095846645367412</v>
      </c>
      <c r="U950" s="148">
        <f t="shared" si="48"/>
        <v>7.5203518121364832</v>
      </c>
      <c r="V950" s="278">
        <f t="shared" si="49"/>
        <v>-1.5088449531737713E-2</v>
      </c>
      <c r="W950" s="278">
        <f t="shared" si="50"/>
        <v>-1.5331259410393599E-2</v>
      </c>
    </row>
    <row r="951" spans="1:23" x14ac:dyDescent="0.2">
      <c r="A951" s="8">
        <v>43067</v>
      </c>
      <c r="B951" s="9">
        <v>9.42</v>
      </c>
      <c r="E951" s="51"/>
      <c r="F951" s="51"/>
      <c r="G951" s="51"/>
      <c r="H951" s="51"/>
      <c r="I951" s="51"/>
      <c r="J951" s="53"/>
      <c r="K951" s="53"/>
      <c r="L951" s="53"/>
      <c r="M951" s="53"/>
      <c r="N951" s="53"/>
      <c r="O951" s="139"/>
      <c r="P951" s="50"/>
      <c r="Q951" s="57"/>
      <c r="R951" s="12">
        <v>43076</v>
      </c>
      <c r="S951" s="11">
        <v>9.5</v>
      </c>
      <c r="T951" s="148">
        <v>1.2140575079872205</v>
      </c>
      <c r="U951" s="148">
        <f t="shared" si="48"/>
        <v>7.5463348099939145</v>
      </c>
      <c r="V951" s="278">
        <f t="shared" si="49"/>
        <v>3.6978341257263292E-3</v>
      </c>
      <c r="W951" s="278">
        <f t="shared" si="50"/>
        <v>3.4550242470704432E-3</v>
      </c>
    </row>
    <row r="952" spans="1:23" x14ac:dyDescent="0.2">
      <c r="A952" s="8">
        <v>43068</v>
      </c>
      <c r="B952" s="9">
        <v>9.51</v>
      </c>
      <c r="E952" s="51"/>
      <c r="F952" s="51"/>
      <c r="G952" s="51"/>
      <c r="H952" s="51"/>
      <c r="I952" s="51"/>
      <c r="J952" s="53"/>
      <c r="K952" s="53"/>
      <c r="L952" s="53"/>
      <c r="M952" s="53"/>
      <c r="N952" s="53"/>
      <c r="O952" s="139"/>
      <c r="P952" s="50"/>
      <c r="Q952" s="57"/>
      <c r="R952" s="12">
        <v>43077</v>
      </c>
      <c r="S952" s="11">
        <v>9.625</v>
      </c>
      <c r="T952" s="148">
        <v>1.230031948881789</v>
      </c>
      <c r="U952" s="148">
        <f t="shared" si="48"/>
        <v>7.6437963644332694</v>
      </c>
      <c r="V952" s="278">
        <f t="shared" si="49"/>
        <v>1.3157894736842035E-2</v>
      </c>
      <c r="W952" s="278">
        <f t="shared" si="50"/>
        <v>1.2915084858186149E-2</v>
      </c>
    </row>
    <row r="953" spans="1:23" x14ac:dyDescent="0.2">
      <c r="A953" s="8">
        <v>43069</v>
      </c>
      <c r="B953" s="9">
        <v>9.6950000000000003</v>
      </c>
      <c r="E953" s="51"/>
      <c r="F953" s="51"/>
      <c r="G953" s="51"/>
      <c r="H953" s="51"/>
      <c r="I953" s="51"/>
      <c r="J953" s="53"/>
      <c r="K953" s="53"/>
      <c r="L953" s="53"/>
      <c r="M953" s="53"/>
      <c r="N953" s="53"/>
      <c r="O953" s="139"/>
      <c r="P953" s="50"/>
      <c r="Q953" s="57"/>
      <c r="R953" s="12">
        <v>43080</v>
      </c>
      <c r="S953" s="11">
        <v>9.59</v>
      </c>
      <c r="T953" s="148">
        <v>1.2255591054313097</v>
      </c>
      <c r="U953" s="148">
        <f t="shared" si="48"/>
        <v>7.614144752022157</v>
      </c>
      <c r="V953" s="278">
        <f t="shared" si="49"/>
        <v>-3.6363636363636598E-3</v>
      </c>
      <c r="W953" s="278">
        <f t="shared" si="50"/>
        <v>-3.8791735150195458E-3</v>
      </c>
    </row>
    <row r="954" spans="1:23" x14ac:dyDescent="0.2">
      <c r="A954" s="8">
        <v>43070</v>
      </c>
      <c r="B954" s="9">
        <v>9.6</v>
      </c>
      <c r="E954" s="51"/>
      <c r="F954" s="51"/>
      <c r="G954" s="51"/>
      <c r="H954" s="51"/>
      <c r="I954" s="51"/>
      <c r="J954" s="53"/>
      <c r="K954" s="53"/>
      <c r="L954" s="53"/>
      <c r="M954" s="53"/>
      <c r="N954" s="53"/>
      <c r="O954" s="139"/>
      <c r="P954" s="50"/>
      <c r="Q954" s="57"/>
      <c r="R954" s="12">
        <v>43081</v>
      </c>
      <c r="S954" s="11">
        <v>9.5950000000000006</v>
      </c>
      <c r="T954" s="148">
        <v>1.2261980830670927</v>
      </c>
      <c r="U954" s="148">
        <f t="shared" si="48"/>
        <v>7.6162657980959834</v>
      </c>
      <c r="V954" s="278">
        <f t="shared" si="49"/>
        <v>5.2137643378524778E-4</v>
      </c>
      <c r="W954" s="278">
        <f t="shared" si="50"/>
        <v>2.7856655512936213E-4</v>
      </c>
    </row>
    <row r="955" spans="1:23" x14ac:dyDescent="0.2">
      <c r="A955" s="8">
        <v>43073</v>
      </c>
      <c r="B955" s="9">
        <v>9.67</v>
      </c>
      <c r="E955" s="51"/>
      <c r="F955" s="51"/>
      <c r="G955" s="51"/>
      <c r="H955" s="51"/>
      <c r="I955" s="51"/>
      <c r="J955" s="53"/>
      <c r="K955" s="53"/>
      <c r="L955" s="53"/>
      <c r="M955" s="53"/>
      <c r="N955" s="53"/>
      <c r="O955" s="139"/>
      <c r="P955" s="50"/>
      <c r="Q955" s="57"/>
      <c r="R955" s="12">
        <v>43082</v>
      </c>
      <c r="S955" s="11">
        <v>9.5500000000000007</v>
      </c>
      <c r="T955" s="148">
        <v>1.220447284345048</v>
      </c>
      <c r="U955" s="148">
        <f t="shared" si="48"/>
        <v>7.5786966435046113</v>
      </c>
      <c r="V955" s="278">
        <f t="shared" si="49"/>
        <v>-4.6899426784783316E-3</v>
      </c>
      <c r="W955" s="278">
        <f t="shared" si="50"/>
        <v>-4.9327525571342175E-3</v>
      </c>
    </row>
    <row r="956" spans="1:23" x14ac:dyDescent="0.2">
      <c r="A956" s="8">
        <v>43074</v>
      </c>
      <c r="B956" s="9">
        <v>9.61</v>
      </c>
      <c r="E956" s="51"/>
      <c r="F956" s="51"/>
      <c r="G956" s="51"/>
      <c r="H956" s="51"/>
      <c r="I956" s="51"/>
      <c r="J956" s="53"/>
      <c r="K956" s="53"/>
      <c r="L956" s="53"/>
      <c r="M956" s="53"/>
      <c r="N956" s="53"/>
      <c r="O956" s="139"/>
      <c r="P956" s="50"/>
      <c r="Q956" s="57"/>
      <c r="R956" s="12">
        <v>43083</v>
      </c>
      <c r="S956" s="11">
        <v>9.5399999999999991</v>
      </c>
      <c r="T956" s="148">
        <v>1.2191693290734822</v>
      </c>
      <c r="U956" s="148">
        <f t="shared" si="48"/>
        <v>7.5689206530885613</v>
      </c>
      <c r="V956" s="278">
        <f t="shared" si="49"/>
        <v>-1.0471204188483574E-3</v>
      </c>
      <c r="W956" s="278">
        <f t="shared" si="50"/>
        <v>-1.2899302975042431E-3</v>
      </c>
    </row>
    <row r="957" spans="1:23" x14ac:dyDescent="0.2">
      <c r="A957" s="8">
        <v>43075</v>
      </c>
      <c r="B957" s="9">
        <v>9.4649999999999999</v>
      </c>
      <c r="E957" s="51"/>
      <c r="F957" s="51"/>
      <c r="G957" s="51"/>
      <c r="H957" s="51"/>
      <c r="I957" s="51"/>
      <c r="J957" s="53"/>
      <c r="K957" s="53"/>
      <c r="L957" s="53"/>
      <c r="M957" s="53"/>
      <c r="N957" s="53"/>
      <c r="O957" s="139"/>
      <c r="P957" s="50"/>
      <c r="Q957" s="57"/>
      <c r="R957" s="12">
        <v>43084</v>
      </c>
      <c r="S957" s="11">
        <v>9.35</v>
      </c>
      <c r="T957" s="148">
        <v>1.194888178913738</v>
      </c>
      <c r="U957" s="148">
        <f t="shared" si="48"/>
        <v>7.416339141648761</v>
      </c>
      <c r="V957" s="278">
        <f t="shared" si="49"/>
        <v>-1.991614255765195E-2</v>
      </c>
      <c r="W957" s="278">
        <f t="shared" si="50"/>
        <v>-2.0158952436307834E-2</v>
      </c>
    </row>
    <row r="958" spans="1:23" x14ac:dyDescent="0.2">
      <c r="A958" s="8">
        <v>43076</v>
      </c>
      <c r="B958" s="9">
        <v>9.5</v>
      </c>
      <c r="E958" s="51"/>
      <c r="F958" s="51"/>
      <c r="G958" s="51"/>
      <c r="H958" s="51"/>
      <c r="I958" s="51"/>
      <c r="J958" s="53"/>
      <c r="K958" s="53"/>
      <c r="L958" s="53"/>
      <c r="M958" s="53"/>
      <c r="N958" s="53"/>
      <c r="O958" s="139"/>
      <c r="P958" s="50"/>
      <c r="Q958" s="57"/>
      <c r="R958" s="12">
        <v>43087</v>
      </c>
      <c r="S958" s="11">
        <v>9.4</v>
      </c>
      <c r="T958" s="148">
        <v>1.2012779552715656</v>
      </c>
      <c r="U958" s="148">
        <f t="shared" si="48"/>
        <v>7.4541979488441052</v>
      </c>
      <c r="V958" s="278">
        <f t="shared" si="49"/>
        <v>5.3475935828877219E-3</v>
      </c>
      <c r="W958" s="278">
        <f t="shared" si="50"/>
        <v>5.1047837042318359E-3</v>
      </c>
    </row>
    <row r="959" spans="1:23" x14ac:dyDescent="0.2">
      <c r="A959" s="8">
        <v>43077</v>
      </c>
      <c r="B959" s="9">
        <v>9.625</v>
      </c>
      <c r="E959" s="51"/>
      <c r="F959" s="51"/>
      <c r="G959" s="51"/>
      <c r="H959" s="51"/>
      <c r="I959" s="51"/>
      <c r="J959" s="53"/>
      <c r="K959" s="53"/>
      <c r="L959" s="53"/>
      <c r="M959" s="53"/>
      <c r="N959" s="53"/>
      <c r="O959" s="139"/>
      <c r="P959" s="50"/>
      <c r="Q959" s="57"/>
      <c r="R959" s="12">
        <v>43088</v>
      </c>
      <c r="S959" s="11">
        <v>9.4450000000000003</v>
      </c>
      <c r="T959" s="148">
        <v>1.2070287539936102</v>
      </c>
      <c r="U959" s="148">
        <f t="shared" si="48"/>
        <v>7.4880729861253057</v>
      </c>
      <c r="V959" s="278">
        <f t="shared" si="49"/>
        <v>4.7872340425532123E-3</v>
      </c>
      <c r="W959" s="278">
        <f t="shared" si="50"/>
        <v>4.5444241638973263E-3</v>
      </c>
    </row>
    <row r="960" spans="1:23" x14ac:dyDescent="0.2">
      <c r="A960" s="8">
        <v>43080</v>
      </c>
      <c r="B960" s="9">
        <v>9.59</v>
      </c>
      <c r="E960" s="51"/>
      <c r="F960" s="51"/>
      <c r="G960" s="51"/>
      <c r="H960" s="51"/>
      <c r="I960" s="51"/>
      <c r="J960" s="53"/>
      <c r="K960" s="53"/>
      <c r="L960" s="53"/>
      <c r="M960" s="53"/>
      <c r="N960" s="53"/>
      <c r="O960" s="139"/>
      <c r="P960" s="50"/>
      <c r="Q960" s="57"/>
      <c r="R960" s="12">
        <v>43089</v>
      </c>
      <c r="S960" s="11">
        <v>9.48</v>
      </c>
      <c r="T960" s="148">
        <v>1.2115015974440895</v>
      </c>
      <c r="U960" s="148">
        <f t="shared" si="48"/>
        <v>7.5140030933169202</v>
      </c>
      <c r="V960" s="278">
        <f t="shared" si="49"/>
        <v>3.7056643726840477E-3</v>
      </c>
      <c r="W960" s="278">
        <f t="shared" si="50"/>
        <v>3.4628544940281617E-3</v>
      </c>
    </row>
    <row r="961" spans="1:23" x14ac:dyDescent="0.2">
      <c r="A961" s="8">
        <v>43081</v>
      </c>
      <c r="B961" s="9">
        <v>9.5950000000000006</v>
      </c>
      <c r="E961" s="51"/>
      <c r="F961" s="51"/>
      <c r="G961" s="51"/>
      <c r="H961" s="51"/>
      <c r="I961" s="51"/>
      <c r="J961" s="53"/>
      <c r="K961" s="53"/>
      <c r="L961" s="53"/>
      <c r="M961" s="53"/>
      <c r="N961" s="53"/>
      <c r="O961" s="139"/>
      <c r="P961" s="50"/>
      <c r="Q961" s="57"/>
      <c r="R961" s="12">
        <v>43090</v>
      </c>
      <c r="S961" s="11">
        <v>9.5299999999999994</v>
      </c>
      <c r="T961" s="148">
        <v>1.2178913738019168</v>
      </c>
      <c r="U961" s="148">
        <f t="shared" si="48"/>
        <v>7.5518094371403368</v>
      </c>
      <c r="V961" s="278">
        <f t="shared" si="49"/>
        <v>5.2742616033754075E-3</v>
      </c>
      <c r="W961" s="278">
        <f t="shared" si="50"/>
        <v>5.0314517247195215E-3</v>
      </c>
    </row>
    <row r="962" spans="1:23" x14ac:dyDescent="0.2">
      <c r="A962" s="8">
        <v>43082</v>
      </c>
      <c r="B962" s="9">
        <v>9.5500000000000007</v>
      </c>
      <c r="E962" s="51"/>
      <c r="F962" s="51"/>
      <c r="G962" s="51"/>
      <c r="H962" s="51"/>
      <c r="I962" s="51"/>
      <c r="J962" s="53"/>
      <c r="K962" s="53"/>
      <c r="L962" s="53"/>
      <c r="M962" s="53"/>
      <c r="N962" s="53"/>
      <c r="O962" s="139"/>
      <c r="P962" s="50"/>
      <c r="Q962" s="57"/>
      <c r="R962" s="12">
        <v>43091</v>
      </c>
      <c r="S962" s="11">
        <v>9.5399999999999991</v>
      </c>
      <c r="T962" s="148">
        <v>1.2191693290734822</v>
      </c>
      <c r="U962" s="148">
        <f t="shared" si="48"/>
        <v>7.5579000323543237</v>
      </c>
      <c r="V962" s="278">
        <f t="shared" si="49"/>
        <v>1.0493179433368471E-3</v>
      </c>
      <c r="W962" s="278">
        <f t="shared" si="50"/>
        <v>8.0650806468096148E-4</v>
      </c>
    </row>
    <row r="963" spans="1:23" x14ac:dyDescent="0.2">
      <c r="A963" s="8">
        <v>43083</v>
      </c>
      <c r="B963" s="9">
        <v>9.5399999999999991</v>
      </c>
      <c r="E963" s="51"/>
      <c r="F963" s="51"/>
      <c r="G963" s="51"/>
      <c r="H963" s="51"/>
      <c r="I963" s="51"/>
      <c r="J963" s="53"/>
      <c r="K963" s="53"/>
      <c r="L963" s="53"/>
      <c r="M963" s="53"/>
      <c r="N963" s="53"/>
      <c r="O963" s="139"/>
      <c r="P963" s="50"/>
      <c r="Q963" s="57"/>
      <c r="R963" s="12">
        <v>43096</v>
      </c>
      <c r="S963" s="11">
        <v>9.5649999999999995</v>
      </c>
      <c r="T963" s="148">
        <v>1.2223642172523961</v>
      </c>
      <c r="U963" s="148">
        <f t="shared" si="48"/>
        <v>7.5758707172594235</v>
      </c>
      <c r="V963" s="278">
        <f t="shared" si="49"/>
        <v>2.620545073375391E-3</v>
      </c>
      <c r="W963" s="278">
        <f t="shared" si="50"/>
        <v>2.377735194719505E-3</v>
      </c>
    </row>
    <row r="964" spans="1:23" x14ac:dyDescent="0.2">
      <c r="A964" s="8">
        <v>43084</v>
      </c>
      <c r="B964" s="9">
        <v>9.35</v>
      </c>
      <c r="E964" s="51"/>
      <c r="F964" s="51"/>
      <c r="G964" s="51"/>
      <c r="H964" s="51"/>
      <c r="I964" s="51"/>
      <c r="J964" s="53"/>
      <c r="K964" s="53"/>
      <c r="L964" s="53"/>
      <c r="M964" s="53"/>
      <c r="N964" s="53"/>
      <c r="O964" s="139"/>
      <c r="P964" s="50"/>
      <c r="Q964" s="57"/>
      <c r="R964" s="12">
        <v>43097</v>
      </c>
      <c r="S964" s="11">
        <v>9.56</v>
      </c>
      <c r="T964" s="148">
        <v>1.2217252396166134</v>
      </c>
      <c r="U964" s="148">
        <f t="shared" si="48"/>
        <v>7.5700710167666445</v>
      </c>
      <c r="V964" s="278">
        <f t="shared" si="49"/>
        <v>-5.2273915316247699E-4</v>
      </c>
      <c r="W964" s="278">
        <f t="shared" si="50"/>
        <v>-7.6554903181836264E-4</v>
      </c>
    </row>
    <row r="965" spans="1:23" x14ac:dyDescent="0.2">
      <c r="A965" s="8">
        <v>43087</v>
      </c>
      <c r="B965" s="9">
        <v>9.4</v>
      </c>
      <c r="E965" s="51"/>
      <c r="F965" s="51"/>
      <c r="G965" s="51"/>
      <c r="H965" s="51"/>
      <c r="I965" s="51"/>
      <c r="J965" s="53"/>
      <c r="K965" s="53"/>
      <c r="L965" s="53"/>
      <c r="M965" s="53"/>
      <c r="N965" s="53"/>
      <c r="O965" s="139"/>
      <c r="P965" s="50"/>
      <c r="Q965" s="57"/>
      <c r="R965" s="12">
        <v>43098</v>
      </c>
      <c r="S965" s="11">
        <v>9.4600000000000009</v>
      </c>
      <c r="T965" s="148">
        <v>1.2089456869009585</v>
      </c>
      <c r="U965" s="148">
        <f t="shared" si="48"/>
        <v>7.4890480854700296</v>
      </c>
      <c r="V965" s="278">
        <f t="shared" si="49"/>
        <v>-1.0460251046025104E-2</v>
      </c>
      <c r="W965" s="278">
        <f t="shared" si="50"/>
        <v>-1.070306092468099E-2</v>
      </c>
    </row>
    <row r="966" spans="1:23" x14ac:dyDescent="0.2">
      <c r="A966" s="8">
        <v>43088</v>
      </c>
      <c r="B966" s="9">
        <v>9.4450000000000003</v>
      </c>
      <c r="E966" s="51"/>
      <c r="F966" s="51"/>
      <c r="G966" s="51"/>
      <c r="H966" s="51"/>
      <c r="I966" s="51"/>
      <c r="J966" s="53"/>
      <c r="K966" s="53"/>
      <c r="L966" s="53"/>
      <c r="M966" s="53"/>
      <c r="N966" s="53"/>
      <c r="O966" s="139"/>
      <c r="P966" s="50"/>
      <c r="Q966" s="57"/>
      <c r="R966" s="12">
        <v>43102</v>
      </c>
      <c r="S966" s="11">
        <v>9.42</v>
      </c>
      <c r="T966" s="148">
        <v>1.2038338658146965</v>
      </c>
      <c r="U966" s="148">
        <f t="shared" si="48"/>
        <v>7.4555635053468903</v>
      </c>
      <c r="V966" s="278">
        <f t="shared" si="49"/>
        <v>-4.2283298097252064E-3</v>
      </c>
      <c r="W966" s="278">
        <f t="shared" si="50"/>
        <v>-4.4711396883810924E-3</v>
      </c>
    </row>
    <row r="967" spans="1:23" x14ac:dyDescent="0.2">
      <c r="A967" s="8">
        <v>43089</v>
      </c>
      <c r="B967" s="9">
        <v>9.48</v>
      </c>
      <c r="E967" s="51"/>
      <c r="F967" s="51"/>
      <c r="G967" s="51"/>
      <c r="H967" s="51"/>
      <c r="I967" s="51"/>
      <c r="J967" s="53"/>
      <c r="K967" s="53"/>
      <c r="L967" s="53"/>
      <c r="M967" s="53"/>
      <c r="N967" s="53"/>
      <c r="O967" s="139"/>
      <c r="P967" s="50"/>
      <c r="Q967" s="57"/>
      <c r="R967" s="12">
        <v>43103</v>
      </c>
      <c r="S967" s="11">
        <v>9.3849999999999998</v>
      </c>
      <c r="T967" s="148">
        <v>1.1993610223642173</v>
      </c>
      <c r="U967" s="148">
        <f t="shared" si="48"/>
        <v>7.42605208258734</v>
      </c>
      <c r="V967" s="278">
        <f t="shared" si="49"/>
        <v>-3.7154989384289294E-3</v>
      </c>
      <c r="W967" s="278">
        <f t="shared" si="50"/>
        <v>-3.9583088170848154E-3</v>
      </c>
    </row>
    <row r="968" spans="1:23" x14ac:dyDescent="0.2">
      <c r="A968" s="8">
        <v>43090</v>
      </c>
      <c r="B968" s="9">
        <v>9.5299999999999994</v>
      </c>
      <c r="E968" s="51"/>
      <c r="F968" s="51"/>
      <c r="G968" s="51"/>
      <c r="H968" s="51"/>
      <c r="I968" s="51"/>
      <c r="J968" s="53"/>
      <c r="K968" s="53"/>
      <c r="L968" s="53"/>
      <c r="M968" s="53"/>
      <c r="N968" s="53"/>
      <c r="O968" s="139"/>
      <c r="P968" s="50"/>
      <c r="Q968" s="57"/>
      <c r="R968" s="12">
        <v>43104</v>
      </c>
      <c r="S968" s="11">
        <v>9.4749999999999996</v>
      </c>
      <c r="T968" s="148">
        <v>1.2108626198083066</v>
      </c>
      <c r="U968" s="148">
        <f t="shared" si="48"/>
        <v>7.4954631020276503</v>
      </c>
      <c r="V968" s="278">
        <f t="shared" si="49"/>
        <v>9.5897709110281948E-3</v>
      </c>
      <c r="W968" s="278">
        <f t="shared" si="50"/>
        <v>9.3469610323723088E-3</v>
      </c>
    </row>
    <row r="969" spans="1:23" x14ac:dyDescent="0.2">
      <c r="A969" s="8">
        <v>43091</v>
      </c>
      <c r="B969" s="9">
        <v>9.5399999999999991</v>
      </c>
      <c r="E969" s="51"/>
      <c r="F969" s="51"/>
      <c r="G969" s="51"/>
      <c r="H969" s="51"/>
      <c r="I969" s="51"/>
      <c r="J969" s="53"/>
      <c r="K969" s="53"/>
      <c r="L969" s="53"/>
      <c r="M969" s="53"/>
      <c r="N969" s="53"/>
      <c r="O969" s="139"/>
      <c r="P969" s="50"/>
      <c r="Q969" s="57"/>
      <c r="R969" s="12">
        <v>43105</v>
      </c>
      <c r="S969" s="11">
        <v>9.5150000000000006</v>
      </c>
      <c r="T969" s="148">
        <v>1.2159744408945687</v>
      </c>
      <c r="U969" s="148">
        <f t="shared" si="48"/>
        <v>7.525286245539383</v>
      </c>
      <c r="V969" s="278">
        <f t="shared" si="49"/>
        <v>4.2216358839051171E-3</v>
      </c>
      <c r="W969" s="278">
        <f t="shared" si="50"/>
        <v>3.9788260052492311E-3</v>
      </c>
    </row>
    <row r="970" spans="1:23" x14ac:dyDescent="0.2">
      <c r="A970" s="8">
        <v>43096</v>
      </c>
      <c r="B970" s="9">
        <v>9.5649999999999995</v>
      </c>
      <c r="E970" s="51"/>
      <c r="F970" s="51"/>
      <c r="G970" s="51"/>
      <c r="H970" s="51"/>
      <c r="I970" s="51"/>
      <c r="J970" s="53"/>
      <c r="K970" s="53"/>
      <c r="L970" s="53"/>
      <c r="M970" s="53"/>
      <c r="N970" s="53"/>
      <c r="O970" s="139"/>
      <c r="P970" s="50"/>
      <c r="Q970" s="57"/>
      <c r="R970" s="12">
        <v>43108</v>
      </c>
      <c r="S970" s="11">
        <v>9.59</v>
      </c>
      <c r="T970" s="148">
        <v>1.2255591054313097</v>
      </c>
      <c r="U970" s="148">
        <f t="shared" si="48"/>
        <v>7.5827755286425464</v>
      </c>
      <c r="V970" s="278">
        <f t="shared" si="49"/>
        <v>7.8822911192852896E-3</v>
      </c>
      <c r="W970" s="278">
        <f t="shared" si="50"/>
        <v>7.6394812406294036E-3</v>
      </c>
    </row>
    <row r="971" spans="1:23" x14ac:dyDescent="0.2">
      <c r="A971" s="8">
        <v>43097</v>
      </c>
      <c r="B971" s="9">
        <v>9.56</v>
      </c>
      <c r="E971" s="51"/>
      <c r="F971" s="51"/>
      <c r="G971" s="51"/>
      <c r="H971" s="51"/>
      <c r="I971" s="51"/>
      <c r="J971" s="53"/>
      <c r="K971" s="53"/>
      <c r="L971" s="53"/>
      <c r="M971" s="53"/>
      <c r="N971" s="53"/>
      <c r="O971" s="139"/>
      <c r="P971" s="50"/>
      <c r="Q971" s="57"/>
      <c r="R971" s="12">
        <v>43109</v>
      </c>
      <c r="S971" s="11">
        <v>9.5749999999999993</v>
      </c>
      <c r="T971" s="148">
        <v>1.2236421725239615</v>
      </c>
      <c r="U971" s="148">
        <f t="shared" si="48"/>
        <v>7.5690739144466095</v>
      </c>
      <c r="V971" s="278">
        <f t="shared" si="49"/>
        <v>-1.5641293013556323E-3</v>
      </c>
      <c r="W971" s="278">
        <f t="shared" si="50"/>
        <v>-1.8069391800115181E-3</v>
      </c>
    </row>
    <row r="972" spans="1:23" x14ac:dyDescent="0.2">
      <c r="A972" s="8">
        <v>43098</v>
      </c>
      <c r="B972" s="9">
        <v>9.4600000000000009</v>
      </c>
      <c r="E972" s="51"/>
      <c r="F972" s="51"/>
      <c r="G972" s="51"/>
      <c r="H972" s="51"/>
      <c r="I972" s="51"/>
      <c r="J972" s="53"/>
      <c r="K972" s="53"/>
      <c r="L972" s="53"/>
      <c r="M972" s="53"/>
      <c r="N972" s="53"/>
      <c r="O972" s="139"/>
      <c r="P972" s="50"/>
      <c r="Q972" s="57"/>
      <c r="R972" s="12">
        <v>43110</v>
      </c>
      <c r="S972" s="11">
        <v>9.8000000000000007</v>
      </c>
      <c r="T972" s="148">
        <v>1.2523961661341854</v>
      </c>
      <c r="U972" s="148">
        <f t="shared" si="48"/>
        <v>7.7450994242198634</v>
      </c>
      <c r="V972" s="278">
        <f t="shared" si="49"/>
        <v>2.3498694516971508E-2</v>
      </c>
      <c r="W972" s="278">
        <f t="shared" si="50"/>
        <v>2.3255884638315624E-2</v>
      </c>
    </row>
    <row r="973" spans="1:23" x14ac:dyDescent="0.2">
      <c r="A973" s="8">
        <v>43102</v>
      </c>
      <c r="B973" s="9">
        <v>9.42</v>
      </c>
      <c r="E973" s="51"/>
      <c r="F973" s="51"/>
      <c r="G973" s="51"/>
      <c r="H973" s="51"/>
      <c r="I973" s="51"/>
      <c r="J973" s="53"/>
      <c r="K973" s="53"/>
      <c r="L973" s="53"/>
      <c r="M973" s="53"/>
      <c r="N973" s="53"/>
      <c r="O973" s="139"/>
      <c r="P973" s="50"/>
      <c r="Q973" s="57"/>
      <c r="R973" s="12">
        <v>43111</v>
      </c>
      <c r="S973" s="11">
        <v>9.8000000000000007</v>
      </c>
      <c r="T973" s="148">
        <v>1.2523961661341854</v>
      </c>
      <c r="U973" s="148">
        <f t="shared" si="48"/>
        <v>7.7432188375684907</v>
      </c>
      <c r="V973" s="278">
        <f t="shared" si="49"/>
        <v>0</v>
      </c>
      <c r="W973" s="278">
        <f t="shared" si="50"/>
        <v>-2.4280987865588565E-4</v>
      </c>
    </row>
    <row r="974" spans="1:23" x14ac:dyDescent="0.2">
      <c r="A974" s="8">
        <v>43103</v>
      </c>
      <c r="B974" s="9">
        <v>9.3849999999999998</v>
      </c>
      <c r="E974" s="51"/>
      <c r="F974" s="51"/>
      <c r="G974" s="51"/>
      <c r="H974" s="51"/>
      <c r="I974" s="51"/>
      <c r="J974" s="53"/>
      <c r="K974" s="53"/>
      <c r="L974" s="53"/>
      <c r="M974" s="53"/>
      <c r="N974" s="53"/>
      <c r="O974" s="139"/>
      <c r="P974" s="50"/>
      <c r="Q974" s="57"/>
      <c r="R974" s="12">
        <v>43112</v>
      </c>
      <c r="S974" s="11">
        <v>9.77</v>
      </c>
      <c r="T974" s="148">
        <v>1.2485623003194888</v>
      </c>
      <c r="U974" s="148">
        <f t="shared" si="48"/>
        <v>7.7176349764067202</v>
      </c>
      <c r="V974" s="278">
        <f t="shared" si="49"/>
        <v>-3.0612244897960661E-3</v>
      </c>
      <c r="W974" s="278">
        <f t="shared" si="50"/>
        <v>-3.3040343684519521E-3</v>
      </c>
    </row>
    <row r="975" spans="1:23" x14ac:dyDescent="0.2">
      <c r="A975" s="8">
        <v>43104</v>
      </c>
      <c r="B975" s="9">
        <v>9.4749999999999996</v>
      </c>
      <c r="E975" s="51"/>
      <c r="F975" s="51"/>
      <c r="G975" s="51"/>
      <c r="H975" s="51"/>
      <c r="I975" s="51"/>
      <c r="J975" s="53"/>
      <c r="K975" s="53"/>
      <c r="L975" s="53"/>
      <c r="M975" s="53"/>
      <c r="N975" s="53"/>
      <c r="O975" s="139"/>
      <c r="P975" s="50"/>
      <c r="Q975" s="57"/>
      <c r="R975" s="12">
        <v>43115</v>
      </c>
      <c r="S975" s="11">
        <v>9.7750000000000004</v>
      </c>
      <c r="T975" s="148">
        <v>1.2492012779552715</v>
      </c>
      <c r="U975" s="148">
        <f t="shared" si="48"/>
        <v>7.7197107180549818</v>
      </c>
      <c r="V975" s="278">
        <f t="shared" si="49"/>
        <v>5.1177072671459989E-4</v>
      </c>
      <c r="W975" s="278">
        <f t="shared" si="50"/>
        <v>2.6896084805871424E-4</v>
      </c>
    </row>
    <row r="976" spans="1:23" x14ac:dyDescent="0.2">
      <c r="A976" s="8">
        <v>43105</v>
      </c>
      <c r="B976" s="9">
        <v>9.5150000000000006</v>
      </c>
      <c r="E976" s="51"/>
      <c r="F976" s="51"/>
      <c r="G976" s="51"/>
      <c r="H976" s="51"/>
      <c r="I976" s="51"/>
      <c r="J976" s="53"/>
      <c r="K976" s="53"/>
      <c r="L976" s="53"/>
      <c r="M976" s="53"/>
      <c r="N976" s="53"/>
      <c r="O976" s="139"/>
      <c r="P976" s="50"/>
      <c r="Q976" s="57"/>
      <c r="R976" s="12">
        <v>43116</v>
      </c>
      <c r="S976" s="11">
        <v>9.76</v>
      </c>
      <c r="T976" s="148">
        <v>1.2472843450479232</v>
      </c>
      <c r="U976" s="148">
        <f t="shared" si="48"/>
        <v>7.7059901926286072</v>
      </c>
      <c r="V976" s="278">
        <f t="shared" si="49"/>
        <v>-1.5345268542199531E-3</v>
      </c>
      <c r="W976" s="278">
        <f t="shared" si="50"/>
        <v>-1.7773367328758388E-3</v>
      </c>
    </row>
    <row r="977" spans="1:23" x14ac:dyDescent="0.2">
      <c r="A977" s="8">
        <v>43108</v>
      </c>
      <c r="B977" s="9">
        <v>9.59</v>
      </c>
      <c r="E977" s="51"/>
      <c r="F977" s="51"/>
      <c r="G977" s="51"/>
      <c r="H977" s="51"/>
      <c r="I977" s="51"/>
      <c r="J977" s="53"/>
      <c r="K977" s="53"/>
      <c r="L977" s="53"/>
      <c r="M977" s="53"/>
      <c r="N977" s="53"/>
      <c r="O977" s="139"/>
      <c r="P977" s="50"/>
      <c r="Q977" s="57"/>
      <c r="R977" s="12">
        <v>43117</v>
      </c>
      <c r="S977" s="11">
        <v>9.7899999999999991</v>
      </c>
      <c r="T977" s="148">
        <v>1.2511182108626198</v>
      </c>
      <c r="U977" s="148">
        <f t="shared" si="48"/>
        <v>7.7278055473492371</v>
      </c>
      <c r="V977" s="278">
        <f t="shared" si="49"/>
        <v>3.0737704918031294E-3</v>
      </c>
      <c r="W977" s="278">
        <f t="shared" si="50"/>
        <v>2.8309606131472435E-3</v>
      </c>
    </row>
    <row r="978" spans="1:23" x14ac:dyDescent="0.2">
      <c r="A978" s="8">
        <v>43109</v>
      </c>
      <c r="B978" s="9">
        <v>9.5749999999999993</v>
      </c>
      <c r="E978" s="51"/>
      <c r="F978" s="51"/>
      <c r="G978" s="51"/>
      <c r="H978" s="51"/>
      <c r="I978" s="51"/>
      <c r="J978" s="53"/>
      <c r="K978" s="53"/>
      <c r="L978" s="53"/>
      <c r="M978" s="53"/>
      <c r="N978" s="53"/>
      <c r="O978" s="139"/>
      <c r="P978" s="50"/>
      <c r="Q978" s="57"/>
      <c r="R978" s="12">
        <v>43118</v>
      </c>
      <c r="S978" s="11">
        <v>9.9149999999999991</v>
      </c>
      <c r="T978" s="148">
        <v>1.2670926517571883</v>
      </c>
      <c r="U978" s="148">
        <f t="shared" si="48"/>
        <v>7.824598791427591</v>
      </c>
      <c r="V978" s="278">
        <f t="shared" si="49"/>
        <v>1.2768130745658857E-2</v>
      </c>
      <c r="W978" s="278">
        <f t="shared" si="50"/>
        <v>1.2525320867002971E-2</v>
      </c>
    </row>
    <row r="979" spans="1:23" x14ac:dyDescent="0.2">
      <c r="A979" s="8">
        <v>43110</v>
      </c>
      <c r="B979" s="9">
        <v>9.8000000000000007</v>
      </c>
      <c r="E979" s="51"/>
      <c r="F979" s="51"/>
      <c r="G979" s="51"/>
      <c r="H979" s="51"/>
      <c r="I979" s="51"/>
      <c r="J979" s="53"/>
      <c r="K979" s="53"/>
      <c r="L979" s="53"/>
      <c r="M979" s="53"/>
      <c r="N979" s="53"/>
      <c r="O979" s="139"/>
      <c r="P979" s="50"/>
      <c r="Q979" s="57"/>
      <c r="R979" s="12">
        <v>43119</v>
      </c>
      <c r="S979" s="11">
        <v>9.9550000000000001</v>
      </c>
      <c r="T979" s="148">
        <v>1.2722044728434505</v>
      </c>
      <c r="U979" s="148">
        <f t="shared" si="48"/>
        <v>7.85426561376409</v>
      </c>
      <c r="V979" s="278">
        <f t="shared" si="49"/>
        <v>4.0342914775592931E-3</v>
      </c>
      <c r="W979" s="278">
        <f t="shared" si="50"/>
        <v>3.7914815989034071E-3</v>
      </c>
    </row>
    <row r="980" spans="1:23" x14ac:dyDescent="0.2">
      <c r="A980" s="8">
        <v>43111</v>
      </c>
      <c r="B980" s="9">
        <v>9.8000000000000007</v>
      </c>
      <c r="E980" s="51"/>
      <c r="F980" s="51"/>
      <c r="G980" s="51"/>
      <c r="H980" s="51"/>
      <c r="I980" s="51"/>
      <c r="J980" s="53"/>
      <c r="K980" s="53"/>
      <c r="L980" s="53"/>
      <c r="M980" s="53"/>
      <c r="N980" s="53"/>
      <c r="O980" s="139"/>
      <c r="P980" s="50"/>
      <c r="Q980" s="57"/>
      <c r="R980" s="12">
        <v>43122</v>
      </c>
      <c r="S980" s="11">
        <v>10.039999999999999</v>
      </c>
      <c r="T980" s="148">
        <v>1.2830670926517571</v>
      </c>
      <c r="U980" s="148">
        <f t="shared" si="48"/>
        <v>7.9194215618867885</v>
      </c>
      <c r="V980" s="278">
        <f t="shared" si="49"/>
        <v>8.5384229030636138E-3</v>
      </c>
      <c r="W980" s="278">
        <f t="shared" si="50"/>
        <v>8.2956130244077279E-3</v>
      </c>
    </row>
    <row r="981" spans="1:23" x14ac:dyDescent="0.2">
      <c r="A981" s="8">
        <v>43112</v>
      </c>
      <c r="B981" s="9">
        <v>9.77</v>
      </c>
      <c r="E981" s="51"/>
      <c r="F981" s="51"/>
      <c r="G981" s="51"/>
      <c r="H981" s="51"/>
      <c r="I981" s="51"/>
      <c r="J981" s="53"/>
      <c r="K981" s="53"/>
      <c r="L981" s="53"/>
      <c r="M981" s="53"/>
      <c r="N981" s="53"/>
      <c r="O981" s="139"/>
      <c r="P981" s="50"/>
      <c r="Q981" s="57"/>
      <c r="R981" s="12">
        <v>43123</v>
      </c>
      <c r="S981" s="11">
        <v>9.9749999999999996</v>
      </c>
      <c r="T981" s="148">
        <v>1.2747603833865815</v>
      </c>
      <c r="U981" s="148">
        <f t="shared" si="48"/>
        <v>7.8662274925681785</v>
      </c>
      <c r="V981" s="278">
        <f t="shared" si="49"/>
        <v>-6.4741035856573648E-3</v>
      </c>
      <c r="W981" s="278">
        <f t="shared" si="50"/>
        <v>-6.7169134643132507E-3</v>
      </c>
    </row>
    <row r="982" spans="1:23" x14ac:dyDescent="0.2">
      <c r="A982" s="8">
        <v>43115</v>
      </c>
      <c r="B982" s="9">
        <v>9.7750000000000004</v>
      </c>
      <c r="E982" s="51"/>
      <c r="F982" s="51"/>
      <c r="G982" s="51"/>
      <c r="H982" s="51"/>
      <c r="I982" s="51"/>
      <c r="J982" s="53"/>
      <c r="K982" s="53"/>
      <c r="L982" s="53"/>
      <c r="M982" s="53"/>
      <c r="N982" s="53"/>
      <c r="O982" s="139"/>
      <c r="P982" s="50"/>
      <c r="Q982" s="57"/>
      <c r="R982" s="12">
        <v>43124</v>
      </c>
      <c r="S982" s="11">
        <v>9.9700000000000006</v>
      </c>
      <c r="T982" s="148">
        <v>1.2741214057507988</v>
      </c>
      <c r="U982" s="148">
        <f t="shared" si="48"/>
        <v>7.8603745236510099</v>
      </c>
      <c r="V982" s="278">
        <f t="shared" si="49"/>
        <v>-5.0125313283200246E-4</v>
      </c>
      <c r="W982" s="278">
        <f t="shared" si="50"/>
        <v>-7.4406301148788811E-4</v>
      </c>
    </row>
    <row r="983" spans="1:23" x14ac:dyDescent="0.2">
      <c r="A983" s="8">
        <v>43116</v>
      </c>
      <c r="B983" s="9">
        <v>9.76</v>
      </c>
      <c r="E983" s="51"/>
      <c r="F983" s="51"/>
      <c r="G983" s="51"/>
      <c r="H983" s="51"/>
      <c r="I983" s="51"/>
      <c r="J983" s="53"/>
      <c r="K983" s="53"/>
      <c r="L983" s="53"/>
      <c r="M983" s="53"/>
      <c r="N983" s="53"/>
      <c r="O983" s="139"/>
      <c r="P983" s="50"/>
      <c r="Q983" s="57"/>
      <c r="R983" s="12">
        <v>43125</v>
      </c>
      <c r="S983" s="11">
        <v>9.9049999999999994</v>
      </c>
      <c r="T983" s="148">
        <v>1.2658146964856229</v>
      </c>
      <c r="U983" s="148">
        <f t="shared" si="48"/>
        <v>7.8072197741442331</v>
      </c>
      <c r="V983" s="278">
        <f t="shared" si="49"/>
        <v>-6.5195586760281588E-3</v>
      </c>
      <c r="W983" s="278">
        <f t="shared" si="50"/>
        <v>-6.7623685546840447E-3</v>
      </c>
    </row>
    <row r="984" spans="1:23" x14ac:dyDescent="0.2">
      <c r="A984" s="8">
        <v>43117</v>
      </c>
      <c r="B984" s="9">
        <v>9.7899999999999991</v>
      </c>
      <c r="E984" s="51"/>
      <c r="F984" s="51"/>
      <c r="G984" s="51"/>
      <c r="H984" s="51"/>
      <c r="I984" s="51"/>
      <c r="J984" s="53"/>
      <c r="K984" s="53"/>
      <c r="L984" s="53"/>
      <c r="M984" s="53"/>
      <c r="N984" s="53"/>
      <c r="O984" s="139"/>
      <c r="P984" s="50"/>
      <c r="Q984" s="57"/>
      <c r="R984" s="12">
        <v>43126</v>
      </c>
      <c r="S984" s="11">
        <v>9.83</v>
      </c>
      <c r="T984" s="148">
        <v>1.2562300319488817</v>
      </c>
      <c r="U984" s="148">
        <f t="shared" si="48"/>
        <v>7.7462083561469957</v>
      </c>
      <c r="V984" s="278">
        <f t="shared" si="49"/>
        <v>-7.5719333669862499E-3</v>
      </c>
      <c r="W984" s="278">
        <f t="shared" si="50"/>
        <v>-7.8147432456421358E-3</v>
      </c>
    </row>
    <row r="985" spans="1:23" x14ac:dyDescent="0.2">
      <c r="A985" s="8">
        <v>43118</v>
      </c>
      <c r="B985" s="9">
        <v>9.9149999999999991</v>
      </c>
      <c r="E985" s="51"/>
      <c r="F985" s="51"/>
      <c r="G985" s="51"/>
      <c r="H985" s="51"/>
      <c r="I985" s="51"/>
      <c r="J985" s="53"/>
      <c r="K985" s="53"/>
      <c r="L985" s="53"/>
      <c r="M985" s="53"/>
      <c r="N985" s="53"/>
      <c r="O985" s="139"/>
      <c r="P985" s="50"/>
      <c r="Q985" s="57"/>
      <c r="R985" s="12">
        <v>43129</v>
      </c>
      <c r="S985" s="11">
        <v>9.8539999999999992</v>
      </c>
      <c r="T985" s="148">
        <v>1.2592971246006388</v>
      </c>
      <c r="U985" s="148">
        <f t="shared" ref="U985:U1048" si="51">U984*(1+W985)</f>
        <v>7.7632399112784691</v>
      </c>
      <c r="V985" s="278">
        <f t="shared" ref="V985:V1048" si="52">S985/S984-1</f>
        <v>2.4415055951167997E-3</v>
      </c>
      <c r="W985" s="278">
        <f t="shared" ref="W985:W1048" si="53">V985-$V$3+$W$2</f>
        <v>2.1986957164609137E-3</v>
      </c>
    </row>
    <row r="986" spans="1:23" x14ac:dyDescent="0.2">
      <c r="A986" s="8">
        <v>43119</v>
      </c>
      <c r="B986" s="9">
        <v>9.9550000000000001</v>
      </c>
      <c r="E986" s="51"/>
      <c r="F986" s="51"/>
      <c r="G986" s="51"/>
      <c r="H986" s="51"/>
      <c r="I986" s="51"/>
      <c r="J986" s="53"/>
      <c r="K986" s="53"/>
      <c r="L986" s="53"/>
      <c r="M986" s="53"/>
      <c r="N986" s="53"/>
      <c r="O986" s="139"/>
      <c r="P986" s="50"/>
      <c r="Q986" s="57"/>
      <c r="R986" s="12">
        <v>43130</v>
      </c>
      <c r="S986" s="11">
        <v>9.7200000000000006</v>
      </c>
      <c r="T986" s="148">
        <v>1.2421725239616614</v>
      </c>
      <c r="U986" s="148">
        <f t="shared" si="51"/>
        <v>7.6557862018423135</v>
      </c>
      <c r="V986" s="278">
        <f t="shared" si="52"/>
        <v>-1.3598538664501558E-2</v>
      </c>
      <c r="W986" s="278">
        <f t="shared" si="53"/>
        <v>-1.3841348543157444E-2</v>
      </c>
    </row>
    <row r="987" spans="1:23" x14ac:dyDescent="0.2">
      <c r="A987" s="8">
        <v>43122</v>
      </c>
      <c r="B987" s="9">
        <v>10.039999999999999</v>
      </c>
      <c r="E987" s="51"/>
      <c r="F987" s="51"/>
      <c r="G987" s="51"/>
      <c r="H987" s="51"/>
      <c r="I987" s="51"/>
      <c r="J987" s="53"/>
      <c r="K987" s="53"/>
      <c r="L987" s="53"/>
      <c r="M987" s="53"/>
      <c r="N987" s="53"/>
      <c r="O987" s="139"/>
      <c r="P987" s="50"/>
      <c r="Q987" s="57"/>
      <c r="R987" s="12">
        <v>43131</v>
      </c>
      <c r="S987" s="11">
        <v>9.7919999999999998</v>
      </c>
      <c r="T987" s="148">
        <v>1.2513738019169329</v>
      </c>
      <c r="U987" s="148">
        <f t="shared" si="51"/>
        <v>7.7106368287446809</v>
      </c>
      <c r="V987" s="278">
        <f t="shared" si="52"/>
        <v>7.4074074074073071E-3</v>
      </c>
      <c r="W987" s="278">
        <f t="shared" si="53"/>
        <v>7.1645975287514211E-3</v>
      </c>
    </row>
    <row r="988" spans="1:23" x14ac:dyDescent="0.2">
      <c r="A988" s="8">
        <v>43123</v>
      </c>
      <c r="B988" s="9">
        <v>9.9749999999999996</v>
      </c>
      <c r="E988" s="51"/>
      <c r="F988" s="51"/>
      <c r="G988" s="51"/>
      <c r="H988" s="51"/>
      <c r="I988" s="51"/>
      <c r="J988" s="53"/>
      <c r="K988" s="53"/>
      <c r="L988" s="53"/>
      <c r="M988" s="53"/>
      <c r="N988" s="53"/>
      <c r="O988" s="139"/>
      <c r="P988" s="50"/>
      <c r="Q988" s="57"/>
      <c r="R988" s="12">
        <v>43132</v>
      </c>
      <c r="S988" s="11">
        <v>9.8879999999999999</v>
      </c>
      <c r="T988" s="148">
        <v>1.2636421725239617</v>
      </c>
      <c r="U988" s="148">
        <f t="shared" si="51"/>
        <v>7.7843590886651155</v>
      </c>
      <c r="V988" s="278">
        <f t="shared" si="52"/>
        <v>9.8039215686274161E-3</v>
      </c>
      <c r="W988" s="278">
        <f t="shared" si="53"/>
        <v>9.5611116899715302E-3</v>
      </c>
    </row>
    <row r="989" spans="1:23" x14ac:dyDescent="0.2">
      <c r="A989" s="8">
        <v>43124</v>
      </c>
      <c r="B989" s="9">
        <v>9.9700000000000006</v>
      </c>
      <c r="E989" s="51"/>
      <c r="F989" s="51"/>
      <c r="G989" s="51"/>
      <c r="H989" s="51"/>
      <c r="I989" s="51"/>
      <c r="J989" s="53"/>
      <c r="K989" s="53"/>
      <c r="L989" s="53"/>
      <c r="M989" s="53"/>
      <c r="N989" s="53"/>
      <c r="O989" s="139"/>
      <c r="P989" s="50"/>
      <c r="Q989" s="57"/>
      <c r="R989" s="12">
        <v>43133</v>
      </c>
      <c r="S989" s="11">
        <v>9.9459999999999997</v>
      </c>
      <c r="T989" s="148">
        <v>1.2710543130990415</v>
      </c>
      <c r="U989" s="148">
        <f t="shared" si="51"/>
        <v>7.8281296517360337</v>
      </c>
      <c r="V989" s="278">
        <f t="shared" si="52"/>
        <v>5.86569579288021E-3</v>
      </c>
      <c r="W989" s="278">
        <f t="shared" si="53"/>
        <v>5.6228859142243241E-3</v>
      </c>
    </row>
    <row r="990" spans="1:23" x14ac:dyDescent="0.2">
      <c r="A990" s="8">
        <v>43125</v>
      </c>
      <c r="B990" s="9">
        <v>9.9049999999999994</v>
      </c>
      <c r="E990" s="51"/>
      <c r="F990" s="51"/>
      <c r="G990" s="51"/>
      <c r="H990" s="51"/>
      <c r="I990" s="51"/>
      <c r="J990" s="53"/>
      <c r="K990" s="53"/>
      <c r="L990" s="53"/>
      <c r="M990" s="53"/>
      <c r="N990" s="53"/>
      <c r="O990" s="139"/>
      <c r="P990" s="50"/>
      <c r="Q990" s="57"/>
      <c r="R990" s="12">
        <v>43136</v>
      </c>
      <c r="S990" s="11">
        <v>9.8580000000000005</v>
      </c>
      <c r="T990" s="148">
        <v>1.2598083067092651</v>
      </c>
      <c r="U990" s="148">
        <f t="shared" si="51"/>
        <v>7.7569673512019719</v>
      </c>
      <c r="V990" s="278">
        <f t="shared" si="52"/>
        <v>-8.8477780012063967E-3</v>
      </c>
      <c r="W990" s="278">
        <f t="shared" si="53"/>
        <v>-9.0905878798622827E-3</v>
      </c>
    </row>
    <row r="991" spans="1:23" x14ac:dyDescent="0.2">
      <c r="A991" s="8">
        <v>43126</v>
      </c>
      <c r="B991" s="9">
        <v>9.83</v>
      </c>
      <c r="E991" s="51"/>
      <c r="F991" s="51"/>
      <c r="G991" s="51"/>
      <c r="H991" s="51"/>
      <c r="I991" s="51"/>
      <c r="J991" s="53"/>
      <c r="K991" s="53"/>
      <c r="L991" s="53"/>
      <c r="M991" s="53"/>
      <c r="N991" s="53"/>
      <c r="O991" s="139"/>
      <c r="P991" s="50"/>
      <c r="Q991" s="57"/>
      <c r="R991" s="12">
        <v>43137</v>
      </c>
      <c r="S991" s="11">
        <v>9.57</v>
      </c>
      <c r="T991" s="148">
        <v>1.223003194888179</v>
      </c>
      <c r="U991" s="148">
        <f t="shared" si="51"/>
        <v>7.5284652384346549</v>
      </c>
      <c r="V991" s="278">
        <f t="shared" si="52"/>
        <v>-2.9214850882531951E-2</v>
      </c>
      <c r="W991" s="278">
        <f t="shared" si="53"/>
        <v>-2.9457660761187835E-2</v>
      </c>
    </row>
    <row r="992" spans="1:23" x14ac:dyDescent="0.2">
      <c r="A992" s="8">
        <v>43129</v>
      </c>
      <c r="B992" s="9">
        <v>9.8539999999999992</v>
      </c>
      <c r="E992" s="51"/>
      <c r="F992" s="51"/>
      <c r="G992" s="51"/>
      <c r="H992" s="51"/>
      <c r="I992" s="51"/>
      <c r="J992" s="53"/>
      <c r="K992" s="53"/>
      <c r="L992" s="53"/>
      <c r="M992" s="53"/>
      <c r="N992" s="53"/>
      <c r="O992" s="139"/>
      <c r="P992" s="50"/>
      <c r="Q992" s="57"/>
      <c r="R992" s="12">
        <v>43138</v>
      </c>
      <c r="S992" s="11">
        <v>9.7259999999999991</v>
      </c>
      <c r="T992" s="148">
        <v>1.2429392971246005</v>
      </c>
      <c r="U992" s="148">
        <f t="shared" si="51"/>
        <v>7.6493583161514822</v>
      </c>
      <c r="V992" s="278">
        <f t="shared" si="52"/>
        <v>1.6300940438871425E-2</v>
      </c>
      <c r="W992" s="278">
        <f t="shared" si="53"/>
        <v>1.6058130560215541E-2</v>
      </c>
    </row>
    <row r="993" spans="1:23" x14ac:dyDescent="0.2">
      <c r="A993" s="8">
        <v>43130</v>
      </c>
      <c r="B993" s="9">
        <v>9.7200000000000006</v>
      </c>
      <c r="E993" s="51"/>
      <c r="F993" s="51"/>
      <c r="G993" s="51"/>
      <c r="H993" s="51"/>
      <c r="I993" s="51"/>
      <c r="J993" s="53"/>
      <c r="K993" s="53"/>
      <c r="L993" s="53"/>
      <c r="M993" s="53"/>
      <c r="N993" s="53"/>
      <c r="O993" s="139"/>
      <c r="P993" s="50"/>
      <c r="Q993" s="57"/>
      <c r="R993" s="12">
        <v>43139</v>
      </c>
      <c r="S993" s="11">
        <v>9.65</v>
      </c>
      <c r="T993" s="148">
        <v>1.2332268370607029</v>
      </c>
      <c r="U993" s="148">
        <f t="shared" si="51"/>
        <v>7.5877280757055203</v>
      </c>
      <c r="V993" s="278">
        <f t="shared" si="52"/>
        <v>-7.8141065186098091E-3</v>
      </c>
      <c r="W993" s="278">
        <f t="shared" si="53"/>
        <v>-8.0569163972656951E-3</v>
      </c>
    </row>
    <row r="994" spans="1:23" x14ac:dyDescent="0.2">
      <c r="A994" s="8">
        <v>43131</v>
      </c>
      <c r="B994" s="9">
        <v>9.7919999999999998</v>
      </c>
      <c r="E994" s="51"/>
      <c r="F994" s="51"/>
      <c r="G994" s="51"/>
      <c r="H994" s="51"/>
      <c r="I994" s="51"/>
      <c r="J994" s="53"/>
      <c r="K994" s="53"/>
      <c r="L994" s="53"/>
      <c r="M994" s="53"/>
      <c r="N994" s="53"/>
      <c r="O994" s="139"/>
      <c r="P994" s="50"/>
      <c r="Q994" s="57"/>
      <c r="R994" s="12">
        <v>43140</v>
      </c>
      <c r="S994" s="11">
        <v>9.718</v>
      </c>
      <c r="T994" s="148">
        <v>1.2419169329073483</v>
      </c>
      <c r="U994" s="148">
        <f t="shared" si="51"/>
        <v>7.6393536287812998</v>
      </c>
      <c r="V994" s="278">
        <f t="shared" si="52"/>
        <v>7.0466321243523034E-3</v>
      </c>
      <c r="W994" s="278">
        <f t="shared" si="53"/>
        <v>6.8038222456964174E-3</v>
      </c>
    </row>
    <row r="995" spans="1:23" x14ac:dyDescent="0.2">
      <c r="A995" s="8">
        <v>43132</v>
      </c>
      <c r="B995" s="9">
        <v>9.8879999999999999</v>
      </c>
      <c r="E995" s="51"/>
      <c r="F995" s="51"/>
      <c r="G995" s="51"/>
      <c r="H995" s="51"/>
      <c r="I995" s="51"/>
      <c r="J995" s="53"/>
      <c r="K995" s="53"/>
      <c r="L995" s="53"/>
      <c r="M995" s="53"/>
      <c r="N995" s="53"/>
      <c r="O995" s="139"/>
      <c r="P995" s="50"/>
      <c r="Q995" s="57"/>
      <c r="R995" s="12">
        <v>43143</v>
      </c>
      <c r="S995" s="11">
        <v>9.8000000000000007</v>
      </c>
      <c r="T995" s="148">
        <v>1.2523961661341854</v>
      </c>
      <c r="U995" s="148">
        <f t="shared" si="51"/>
        <v>7.7019592036992579</v>
      </c>
      <c r="V995" s="278">
        <f t="shared" si="52"/>
        <v>8.4379501955136327E-3</v>
      </c>
      <c r="W995" s="278">
        <f t="shared" si="53"/>
        <v>8.1951403168577467E-3</v>
      </c>
    </row>
    <row r="996" spans="1:23" x14ac:dyDescent="0.2">
      <c r="A996" s="8">
        <v>43133</v>
      </c>
      <c r="B996" s="9">
        <v>9.9459999999999997</v>
      </c>
      <c r="E996" s="51"/>
      <c r="F996" s="51"/>
      <c r="G996" s="51"/>
      <c r="H996" s="51"/>
      <c r="I996" s="51"/>
      <c r="J996" s="53"/>
      <c r="K996" s="53"/>
      <c r="L996" s="53"/>
      <c r="M996" s="53"/>
      <c r="N996" s="53"/>
      <c r="O996" s="139"/>
      <c r="P996" s="50"/>
      <c r="Q996" s="57"/>
      <c r="R996" s="12">
        <v>43144</v>
      </c>
      <c r="S996" s="11">
        <v>9.7959999999999994</v>
      </c>
      <c r="T996" s="148">
        <v>1.251884984025559</v>
      </c>
      <c r="U996" s="148">
        <f t="shared" si="51"/>
        <v>7.6969454351017577</v>
      </c>
      <c r="V996" s="278">
        <f t="shared" si="52"/>
        <v>-4.0816326530623837E-4</v>
      </c>
      <c r="W996" s="278">
        <f t="shared" si="53"/>
        <v>-6.5097314396212402E-4</v>
      </c>
    </row>
    <row r="997" spans="1:23" x14ac:dyDescent="0.2">
      <c r="A997" s="8">
        <v>43136</v>
      </c>
      <c r="B997" s="9">
        <v>9.8580000000000005</v>
      </c>
      <c r="E997" s="51"/>
      <c r="F997" s="51"/>
      <c r="G997" s="51"/>
      <c r="H997" s="51"/>
      <c r="I997" s="51"/>
      <c r="J997" s="53"/>
      <c r="K997" s="53"/>
      <c r="L997" s="53"/>
      <c r="M997" s="53"/>
      <c r="N997" s="53"/>
      <c r="O997" s="139"/>
      <c r="P997" s="50"/>
      <c r="Q997" s="57"/>
      <c r="R997" s="12">
        <v>43145</v>
      </c>
      <c r="S997" s="11">
        <v>9.718</v>
      </c>
      <c r="T997" s="148">
        <v>1.2419169329073483</v>
      </c>
      <c r="U997" s="148">
        <f t="shared" si="51"/>
        <v>7.6337901234077865</v>
      </c>
      <c r="V997" s="278">
        <f t="shared" si="52"/>
        <v>-7.9624336463862688E-3</v>
      </c>
      <c r="W997" s="278">
        <f t="shared" si="53"/>
        <v>-8.2052435250421548E-3</v>
      </c>
    </row>
    <row r="998" spans="1:23" x14ac:dyDescent="0.2">
      <c r="A998" s="8">
        <v>43137</v>
      </c>
      <c r="B998" s="9">
        <v>9.57</v>
      </c>
      <c r="E998" s="51"/>
      <c r="F998" s="51"/>
      <c r="G998" s="51"/>
      <c r="H998" s="51"/>
      <c r="I998" s="51"/>
      <c r="J998" s="53"/>
      <c r="K998" s="53"/>
      <c r="L998" s="53"/>
      <c r="M998" s="53"/>
      <c r="N998" s="53"/>
      <c r="O998" s="139"/>
      <c r="P998" s="50"/>
      <c r="Q998" s="57"/>
      <c r="R998" s="12">
        <v>43146</v>
      </c>
      <c r="S998" s="11">
        <v>9.8559999999999999</v>
      </c>
      <c r="T998" s="148">
        <v>1.259552715654952</v>
      </c>
      <c r="U998" s="148">
        <f t="shared" si="51"/>
        <v>7.7403398398429664</v>
      </c>
      <c r="V998" s="278">
        <f t="shared" si="52"/>
        <v>1.4200452768059257E-2</v>
      </c>
      <c r="W998" s="278">
        <f t="shared" si="53"/>
        <v>1.3957642889403371E-2</v>
      </c>
    </row>
    <row r="999" spans="1:23" x14ac:dyDescent="0.2">
      <c r="A999" s="8">
        <v>43138</v>
      </c>
      <c r="B999" s="9">
        <v>9.7259999999999991</v>
      </c>
      <c r="E999" s="51"/>
      <c r="F999" s="51"/>
      <c r="G999" s="51"/>
      <c r="H999" s="51"/>
      <c r="I999" s="51"/>
      <c r="J999" s="53"/>
      <c r="K999" s="53"/>
      <c r="L999" s="53"/>
      <c r="M999" s="53"/>
      <c r="N999" s="53"/>
      <c r="O999" s="139"/>
      <c r="P999" s="50"/>
      <c r="Q999" s="57"/>
      <c r="R999" s="12">
        <v>43147</v>
      </c>
      <c r="S999" s="11">
        <v>9.8819999999999997</v>
      </c>
      <c r="T999" s="148">
        <v>1.2628753993610222</v>
      </c>
      <c r="U999" s="148">
        <f t="shared" si="51"/>
        <v>7.7588793248393086</v>
      </c>
      <c r="V999" s="278">
        <f t="shared" si="52"/>
        <v>2.6379870129868976E-3</v>
      </c>
      <c r="W999" s="278">
        <f t="shared" si="53"/>
        <v>2.3951771343310117E-3</v>
      </c>
    </row>
    <row r="1000" spans="1:23" x14ac:dyDescent="0.2">
      <c r="A1000" s="8">
        <v>43139</v>
      </c>
      <c r="B1000" s="9">
        <v>9.65</v>
      </c>
      <c r="E1000" s="51"/>
      <c r="F1000" s="51"/>
      <c r="G1000" s="51"/>
      <c r="H1000" s="51"/>
      <c r="I1000" s="51"/>
      <c r="J1000" s="53"/>
      <c r="K1000" s="53"/>
      <c r="L1000" s="53"/>
      <c r="M1000" s="53"/>
      <c r="N1000" s="53"/>
      <c r="O1000" s="139"/>
      <c r="P1000" s="50"/>
      <c r="Q1000" s="57"/>
      <c r="R1000" s="12">
        <v>43150</v>
      </c>
      <c r="S1000" s="11">
        <v>9.8420000000000005</v>
      </c>
      <c r="T1000" s="148">
        <v>1.2577635782747605</v>
      </c>
      <c r="U1000" s="148">
        <f t="shared" si="51"/>
        <v>7.7255892829017778</v>
      </c>
      <c r="V1000" s="278">
        <f t="shared" si="52"/>
        <v>-4.047763610605104E-3</v>
      </c>
      <c r="W1000" s="278">
        <f t="shared" si="53"/>
        <v>-4.29057348926099E-3</v>
      </c>
    </row>
    <row r="1001" spans="1:23" x14ac:dyDescent="0.2">
      <c r="A1001" s="8">
        <v>43140</v>
      </c>
      <c r="B1001" s="9">
        <v>9.718</v>
      </c>
      <c r="E1001" s="51"/>
      <c r="F1001" s="51"/>
      <c r="G1001" s="51"/>
      <c r="H1001" s="51"/>
      <c r="I1001" s="51"/>
      <c r="J1001" s="53"/>
      <c r="K1001" s="53"/>
      <c r="L1001" s="53"/>
      <c r="M1001" s="53"/>
      <c r="N1001" s="53"/>
      <c r="O1001" s="139"/>
      <c r="P1001" s="50"/>
      <c r="Q1001" s="57"/>
      <c r="R1001" s="12">
        <v>43151</v>
      </c>
      <c r="S1001" s="11">
        <v>9.8740000000000006</v>
      </c>
      <c r="T1001" s="148">
        <v>1.26185303514377</v>
      </c>
      <c r="U1001" s="148">
        <f t="shared" si="51"/>
        <v>7.7488321956526622</v>
      </c>
      <c r="V1001" s="278">
        <f t="shared" si="52"/>
        <v>3.2513716724242858E-3</v>
      </c>
      <c r="W1001" s="278">
        <f t="shared" si="53"/>
        <v>3.0085617937683998E-3</v>
      </c>
    </row>
    <row r="1002" spans="1:23" x14ac:dyDescent="0.2">
      <c r="A1002" s="8">
        <v>43143</v>
      </c>
      <c r="B1002" s="9">
        <v>9.8000000000000007</v>
      </c>
      <c r="E1002" s="51"/>
      <c r="F1002" s="51"/>
      <c r="G1002" s="51"/>
      <c r="H1002" s="51"/>
      <c r="I1002" s="51"/>
      <c r="J1002" s="53"/>
      <c r="K1002" s="53"/>
      <c r="L1002" s="53"/>
      <c r="M1002" s="53"/>
      <c r="N1002" s="53"/>
      <c r="O1002" s="139"/>
      <c r="P1002" s="50"/>
      <c r="Q1002" s="57"/>
      <c r="R1002" s="12">
        <v>43152</v>
      </c>
      <c r="S1002" s="11">
        <v>9.8919999999999995</v>
      </c>
      <c r="T1002" s="148">
        <v>1.2641533546325878</v>
      </c>
      <c r="U1002" s="148">
        <f t="shared" si="51"/>
        <v>7.7610765867392395</v>
      </c>
      <c r="V1002" s="278">
        <f t="shared" si="52"/>
        <v>1.8229694146241204E-3</v>
      </c>
      <c r="W1002" s="278">
        <f t="shared" si="53"/>
        <v>1.5801595359682347E-3</v>
      </c>
    </row>
    <row r="1003" spans="1:23" x14ac:dyDescent="0.2">
      <c r="A1003" s="8">
        <v>43144</v>
      </c>
      <c r="B1003" s="9">
        <v>9.7959999999999994</v>
      </c>
      <c r="E1003" s="51"/>
      <c r="F1003" s="51"/>
      <c r="G1003" s="51"/>
      <c r="H1003" s="51"/>
      <c r="I1003" s="51"/>
      <c r="J1003" s="53"/>
      <c r="K1003" s="53"/>
      <c r="L1003" s="53"/>
      <c r="M1003" s="53"/>
      <c r="N1003" s="53"/>
      <c r="O1003" s="139"/>
      <c r="P1003" s="50"/>
      <c r="Q1003" s="57"/>
      <c r="R1003" s="12">
        <v>43153</v>
      </c>
      <c r="S1003" s="11">
        <v>9.7720000000000002</v>
      </c>
      <c r="T1003" s="148">
        <v>1.2488178913738019</v>
      </c>
      <c r="U1003" s="148">
        <f t="shared" si="51"/>
        <v>7.6650423844832325</v>
      </c>
      <c r="V1003" s="278">
        <f t="shared" si="52"/>
        <v>-1.2131014961585085E-2</v>
      </c>
      <c r="W1003" s="278">
        <f t="shared" si="53"/>
        <v>-1.2373824840240971E-2</v>
      </c>
    </row>
    <row r="1004" spans="1:23" x14ac:dyDescent="0.2">
      <c r="A1004" s="8">
        <v>43145</v>
      </c>
      <c r="B1004" s="9">
        <v>9.718</v>
      </c>
      <c r="E1004" s="51"/>
      <c r="F1004" s="51"/>
      <c r="G1004" s="51"/>
      <c r="H1004" s="51"/>
      <c r="I1004" s="51"/>
      <c r="J1004" s="53"/>
      <c r="K1004" s="53"/>
      <c r="L1004" s="53"/>
      <c r="M1004" s="53"/>
      <c r="N1004" s="53"/>
      <c r="O1004" s="139"/>
      <c r="P1004" s="50"/>
      <c r="Q1004" s="57"/>
      <c r="R1004" s="12">
        <v>43154</v>
      </c>
      <c r="S1004" s="11">
        <v>9.8659999999999997</v>
      </c>
      <c r="T1004" s="148">
        <v>1.2608306709265176</v>
      </c>
      <c r="U1004" s="148">
        <f t="shared" si="51"/>
        <v>7.7369137358724354</v>
      </c>
      <c r="V1004" s="278">
        <f t="shared" si="52"/>
        <v>9.6193205075725263E-3</v>
      </c>
      <c r="W1004" s="278">
        <f t="shared" si="53"/>
        <v>9.3765106289166403E-3</v>
      </c>
    </row>
    <row r="1005" spans="1:23" x14ac:dyDescent="0.2">
      <c r="A1005" s="8">
        <v>43146</v>
      </c>
      <c r="B1005" s="9">
        <v>9.8559999999999999</v>
      </c>
      <c r="E1005" s="51"/>
      <c r="F1005" s="51"/>
      <c r="G1005" s="51"/>
      <c r="H1005" s="51"/>
      <c r="I1005" s="51"/>
      <c r="J1005" s="53"/>
      <c r="K1005" s="53"/>
      <c r="L1005" s="53"/>
      <c r="M1005" s="53"/>
      <c r="N1005" s="53"/>
      <c r="O1005" s="139"/>
      <c r="P1005" s="50"/>
      <c r="Q1005" s="57"/>
      <c r="R1005" s="12">
        <v>43157</v>
      </c>
      <c r="S1005" s="11">
        <v>9.8859999999999992</v>
      </c>
      <c r="T1005" s="148">
        <v>1.2633865814696483</v>
      </c>
      <c r="U1005" s="148">
        <f t="shared" si="51"/>
        <v>7.7507191297647005</v>
      </c>
      <c r="V1005" s="278">
        <f t="shared" si="52"/>
        <v>2.027163997567305E-3</v>
      </c>
      <c r="W1005" s="278">
        <f t="shared" si="53"/>
        <v>1.7843541189114193E-3</v>
      </c>
    </row>
    <row r="1006" spans="1:23" x14ac:dyDescent="0.2">
      <c r="A1006" s="8">
        <v>43147</v>
      </c>
      <c r="B1006" s="9">
        <v>9.8819999999999997</v>
      </c>
      <c r="E1006" s="51"/>
      <c r="F1006" s="51"/>
      <c r="G1006" s="51"/>
      <c r="H1006" s="51"/>
      <c r="I1006" s="51"/>
      <c r="J1006" s="53"/>
      <c r="K1006" s="53"/>
      <c r="L1006" s="53"/>
      <c r="M1006" s="53"/>
      <c r="N1006" s="53"/>
      <c r="O1006" s="139"/>
      <c r="P1006" s="50"/>
      <c r="Q1006" s="57"/>
      <c r="R1006" s="12">
        <v>43158</v>
      </c>
      <c r="S1006" s="11">
        <v>9.94</v>
      </c>
      <c r="T1006" s="148">
        <v>1.2702875399361022</v>
      </c>
      <c r="U1006" s="148">
        <f t="shared" si="51"/>
        <v>7.7911736982177535</v>
      </c>
      <c r="V1006" s="278">
        <f t="shared" si="52"/>
        <v>5.462269876593151E-3</v>
      </c>
      <c r="W1006" s="278">
        <f t="shared" si="53"/>
        <v>5.219459997937265E-3</v>
      </c>
    </row>
    <row r="1007" spans="1:23" x14ac:dyDescent="0.2">
      <c r="A1007" s="8">
        <v>43150</v>
      </c>
      <c r="B1007" s="9">
        <v>9.8420000000000005</v>
      </c>
      <c r="E1007" s="51"/>
      <c r="F1007" s="51"/>
      <c r="G1007" s="51"/>
      <c r="H1007" s="51"/>
      <c r="I1007" s="51"/>
      <c r="J1007" s="53"/>
      <c r="K1007" s="53"/>
      <c r="L1007" s="53"/>
      <c r="M1007" s="53"/>
      <c r="N1007" s="53"/>
      <c r="O1007" s="139"/>
      <c r="P1007" s="50"/>
      <c r="Q1007" s="57"/>
      <c r="R1007" s="12">
        <v>43159</v>
      </c>
      <c r="S1007" s="11">
        <v>9.8539999999999992</v>
      </c>
      <c r="T1007" s="148">
        <v>1.2592971246006388</v>
      </c>
      <c r="U1007" s="148">
        <f t="shared" si="51"/>
        <v>7.7218733792023784</v>
      </c>
      <c r="V1007" s="278">
        <f t="shared" si="52"/>
        <v>-8.651911468812945E-3</v>
      </c>
      <c r="W1007" s="278">
        <f t="shared" si="53"/>
        <v>-8.894721347468831E-3</v>
      </c>
    </row>
    <row r="1008" spans="1:23" x14ac:dyDescent="0.2">
      <c r="A1008" s="8">
        <v>43151</v>
      </c>
      <c r="B1008" s="9">
        <v>9.8740000000000006</v>
      </c>
      <c r="E1008" s="51"/>
      <c r="F1008" s="51"/>
      <c r="G1008" s="51"/>
      <c r="H1008" s="51"/>
      <c r="I1008" s="51"/>
      <c r="J1008" s="53"/>
      <c r="K1008" s="53"/>
      <c r="L1008" s="53"/>
      <c r="M1008" s="53"/>
      <c r="N1008" s="53"/>
      <c r="O1008" s="139"/>
      <c r="P1008" s="50"/>
      <c r="Q1008" s="57"/>
      <c r="R1008" s="12">
        <v>43160</v>
      </c>
      <c r="S1008" s="11">
        <v>9.8019999999999996</v>
      </c>
      <c r="T1008" s="148">
        <v>1.2526517571884983</v>
      </c>
      <c r="U1008" s="148">
        <f t="shared" si="51"/>
        <v>7.679249759878414</v>
      </c>
      <c r="V1008" s="278">
        <f t="shared" si="52"/>
        <v>-5.2770448548812299E-3</v>
      </c>
      <c r="W1008" s="278">
        <f t="shared" si="53"/>
        <v>-5.5198547335371159E-3</v>
      </c>
    </row>
    <row r="1009" spans="1:23" x14ac:dyDescent="0.2">
      <c r="A1009" s="8">
        <v>43152</v>
      </c>
      <c r="B1009" s="9">
        <v>9.8919999999999995</v>
      </c>
      <c r="E1009" s="51"/>
      <c r="F1009" s="51"/>
      <c r="G1009" s="51"/>
      <c r="H1009" s="51"/>
      <c r="I1009" s="51"/>
      <c r="J1009" s="53"/>
      <c r="K1009" s="53"/>
      <c r="L1009" s="53"/>
      <c r="M1009" s="53"/>
      <c r="N1009" s="53"/>
      <c r="O1009" s="139"/>
      <c r="P1009" s="50"/>
      <c r="Q1009" s="57"/>
      <c r="R1009" s="12">
        <v>43161</v>
      </c>
      <c r="S1009" s="11">
        <v>9.66</v>
      </c>
      <c r="T1009" s="148">
        <v>1.2345047923322683</v>
      </c>
      <c r="U1009" s="148">
        <f t="shared" si="51"/>
        <v>7.5661371040345751</v>
      </c>
      <c r="V1009" s="278">
        <f t="shared" si="52"/>
        <v>-1.4486839420526421E-2</v>
      </c>
      <c r="W1009" s="278">
        <f t="shared" si="53"/>
        <v>-1.4729649299182307E-2</v>
      </c>
    </row>
    <row r="1010" spans="1:23" x14ac:dyDescent="0.2">
      <c r="A1010" s="8">
        <v>43153</v>
      </c>
      <c r="B1010" s="9">
        <v>9.7720000000000002</v>
      </c>
      <c r="E1010" s="51"/>
      <c r="F1010" s="51"/>
      <c r="G1010" s="51"/>
      <c r="H1010" s="51"/>
      <c r="I1010" s="51"/>
      <c r="J1010" s="53"/>
      <c r="K1010" s="53"/>
      <c r="L1010" s="53"/>
      <c r="M1010" s="53"/>
      <c r="N1010" s="53"/>
      <c r="O1010" s="139"/>
      <c r="P1010" s="50"/>
      <c r="Q1010" s="57"/>
      <c r="R1010" s="12">
        <v>43164</v>
      </c>
      <c r="S1010" s="11">
        <v>9.4819999999999993</v>
      </c>
      <c r="T1010" s="148">
        <v>1.2117571884984024</v>
      </c>
      <c r="U1010" s="148">
        <f t="shared" si="51"/>
        <v>7.4248825380225174</v>
      </c>
      <c r="V1010" s="278">
        <f t="shared" si="52"/>
        <v>-1.8426501035196718E-2</v>
      </c>
      <c r="W1010" s="278">
        <f t="shared" si="53"/>
        <v>-1.8669310913852603E-2</v>
      </c>
    </row>
    <row r="1011" spans="1:23" x14ac:dyDescent="0.2">
      <c r="A1011" s="8">
        <v>43154</v>
      </c>
      <c r="B1011" s="9">
        <v>9.8659999999999997</v>
      </c>
      <c r="E1011" s="51"/>
      <c r="F1011" s="51"/>
      <c r="G1011" s="51"/>
      <c r="H1011" s="51"/>
      <c r="I1011" s="51"/>
      <c r="J1011" s="53"/>
      <c r="K1011" s="53"/>
      <c r="L1011" s="53"/>
      <c r="M1011" s="53"/>
      <c r="N1011" s="53"/>
      <c r="O1011" s="139"/>
      <c r="P1011" s="50"/>
      <c r="Q1011" s="57"/>
      <c r="R1011" s="12">
        <v>43165</v>
      </c>
      <c r="S1011" s="11">
        <v>9.6359999999999992</v>
      </c>
      <c r="T1011" s="148">
        <v>1.231437699680511</v>
      </c>
      <c r="U1011" s="148">
        <f t="shared" si="51"/>
        <v>7.543669442791078</v>
      </c>
      <c r="V1011" s="278">
        <f t="shared" si="52"/>
        <v>1.6241299303944245E-2</v>
      </c>
      <c r="W1011" s="278">
        <f t="shared" si="53"/>
        <v>1.5998489425288361E-2</v>
      </c>
    </row>
    <row r="1012" spans="1:23" x14ac:dyDescent="0.2">
      <c r="A1012" s="8">
        <v>43157</v>
      </c>
      <c r="B1012" s="9">
        <v>9.8859999999999992</v>
      </c>
      <c r="E1012" s="51"/>
      <c r="F1012" s="51"/>
      <c r="G1012" s="51"/>
      <c r="H1012" s="51"/>
      <c r="I1012" s="51"/>
      <c r="J1012" s="53"/>
      <c r="K1012" s="53"/>
      <c r="L1012" s="53"/>
      <c r="M1012" s="53"/>
      <c r="N1012" s="53"/>
      <c r="O1012" s="139"/>
      <c r="P1012" s="50"/>
      <c r="Q1012" s="57"/>
      <c r="R1012" s="12">
        <v>43166</v>
      </c>
      <c r="S1012" s="11">
        <v>9.8000000000000007</v>
      </c>
      <c r="T1012" s="148">
        <v>1.2523961661341854</v>
      </c>
      <c r="U1012" s="148">
        <f t="shared" si="51"/>
        <v>7.6702273241312273</v>
      </c>
      <c r="V1012" s="278">
        <f t="shared" si="52"/>
        <v>1.7019510170195318E-2</v>
      </c>
      <c r="W1012" s="278">
        <f t="shared" si="53"/>
        <v>1.6776700291539434E-2</v>
      </c>
    </row>
    <row r="1013" spans="1:23" x14ac:dyDescent="0.2">
      <c r="A1013" s="8">
        <v>43158</v>
      </c>
      <c r="B1013" s="9">
        <v>9.94</v>
      </c>
      <c r="E1013" s="51"/>
      <c r="F1013" s="51"/>
      <c r="G1013" s="51"/>
      <c r="H1013" s="51"/>
      <c r="I1013" s="51"/>
      <c r="J1013" s="53"/>
      <c r="K1013" s="53"/>
      <c r="L1013" s="53"/>
      <c r="M1013" s="53"/>
      <c r="N1013" s="53"/>
      <c r="O1013" s="139"/>
      <c r="P1013" s="50"/>
      <c r="Q1013" s="57"/>
      <c r="R1013" s="12">
        <v>43167</v>
      </c>
      <c r="S1013" s="11">
        <v>9.84</v>
      </c>
      <c r="T1013" s="148">
        <v>1.2575079872204473</v>
      </c>
      <c r="U1013" s="148">
        <f t="shared" si="51"/>
        <v>7.6996719674679666</v>
      </c>
      <c r="V1013" s="278">
        <f t="shared" si="52"/>
        <v>4.0816326530610514E-3</v>
      </c>
      <c r="W1013" s="278">
        <f t="shared" si="53"/>
        <v>3.8388227744051654E-3</v>
      </c>
    </row>
    <row r="1014" spans="1:23" x14ac:dyDescent="0.2">
      <c r="A1014" s="8">
        <v>43159</v>
      </c>
      <c r="B1014" s="9">
        <v>9.8539999999999992</v>
      </c>
      <c r="E1014" s="51"/>
      <c r="F1014" s="51"/>
      <c r="G1014" s="51"/>
      <c r="H1014" s="51"/>
      <c r="I1014" s="51"/>
      <c r="J1014" s="53"/>
      <c r="K1014" s="53"/>
      <c r="L1014" s="53"/>
      <c r="M1014" s="53"/>
      <c r="N1014" s="53"/>
      <c r="O1014" s="139"/>
      <c r="P1014" s="50"/>
      <c r="Q1014" s="57"/>
      <c r="R1014" s="12">
        <v>43168</v>
      </c>
      <c r="S1014" s="11">
        <v>9.8819999999999997</v>
      </c>
      <c r="T1014" s="148">
        <v>1.2628753993610222</v>
      </c>
      <c r="U1014" s="148">
        <f t="shared" si="51"/>
        <v>7.7306668645715346</v>
      </c>
      <c r="V1014" s="278">
        <f t="shared" si="52"/>
        <v>4.268292682926722E-3</v>
      </c>
      <c r="W1014" s="278">
        <f t="shared" si="53"/>
        <v>4.0254828042708361E-3</v>
      </c>
    </row>
    <row r="1015" spans="1:23" x14ac:dyDescent="0.2">
      <c r="A1015" s="8">
        <v>43160</v>
      </c>
      <c r="B1015" s="9">
        <v>9.8019999999999996</v>
      </c>
      <c r="E1015" s="51"/>
      <c r="F1015" s="51"/>
      <c r="G1015" s="51"/>
      <c r="H1015" s="51"/>
      <c r="I1015" s="51"/>
      <c r="J1015" s="53"/>
      <c r="K1015" s="53"/>
      <c r="L1015" s="53"/>
      <c r="M1015" s="53"/>
      <c r="N1015" s="53"/>
      <c r="O1015" s="139"/>
      <c r="P1015" s="50"/>
      <c r="Q1015" s="57"/>
      <c r="R1015" s="12">
        <v>43171</v>
      </c>
      <c r="S1015" s="11">
        <v>9.8719999999999999</v>
      </c>
      <c r="T1015" s="148">
        <v>1.2615974440894568</v>
      </c>
      <c r="U1015" s="148">
        <f t="shared" si="51"/>
        <v>7.7209668042831883</v>
      </c>
      <c r="V1015" s="278">
        <f t="shared" si="52"/>
        <v>-1.0119409026512205E-3</v>
      </c>
      <c r="W1015" s="278">
        <f t="shared" si="53"/>
        <v>-1.2547507813071063E-3</v>
      </c>
    </row>
    <row r="1016" spans="1:23" x14ac:dyDescent="0.2">
      <c r="A1016" s="8">
        <v>43161</v>
      </c>
      <c r="B1016" s="9">
        <v>9.66</v>
      </c>
      <c r="E1016" s="51"/>
      <c r="F1016" s="51"/>
      <c r="G1016" s="51"/>
      <c r="H1016" s="51"/>
      <c r="I1016" s="51"/>
      <c r="J1016" s="53"/>
      <c r="K1016" s="53"/>
      <c r="L1016" s="53"/>
      <c r="M1016" s="53"/>
      <c r="N1016" s="53"/>
      <c r="O1016" s="139"/>
      <c r="P1016" s="50"/>
      <c r="Q1016" s="57"/>
      <c r="R1016" s="12">
        <v>43172</v>
      </c>
      <c r="S1016" s="11">
        <v>9.8620000000000001</v>
      </c>
      <c r="T1016" s="148">
        <v>1.2603194888178915</v>
      </c>
      <c r="U1016" s="148">
        <f t="shared" si="51"/>
        <v>7.7112710006857688</v>
      </c>
      <c r="V1016" s="278">
        <f t="shared" si="52"/>
        <v>-1.0129659643435263E-3</v>
      </c>
      <c r="W1016" s="278">
        <f t="shared" si="53"/>
        <v>-1.255775842999412E-3</v>
      </c>
    </row>
    <row r="1017" spans="1:23" x14ac:dyDescent="0.2">
      <c r="A1017" s="8">
        <v>43164</v>
      </c>
      <c r="B1017" s="9">
        <v>9.4819999999999993</v>
      </c>
      <c r="E1017" s="51"/>
      <c r="F1017" s="51"/>
      <c r="G1017" s="51"/>
      <c r="H1017" s="51"/>
      <c r="I1017" s="51"/>
      <c r="J1017" s="53"/>
      <c r="K1017" s="53"/>
      <c r="L1017" s="53"/>
      <c r="M1017" s="53"/>
      <c r="N1017" s="53"/>
      <c r="O1017" s="139"/>
      <c r="P1017" s="50"/>
      <c r="Q1017" s="57"/>
      <c r="R1017" s="12">
        <v>43173</v>
      </c>
      <c r="S1017" s="11">
        <v>9.7680000000000007</v>
      </c>
      <c r="T1017" s="148">
        <v>1.2483067092651758</v>
      </c>
      <c r="U1017" s="148">
        <f t="shared" si="51"/>
        <v>7.6358983770413795</v>
      </c>
      <c r="V1017" s="278">
        <f t="shared" si="52"/>
        <v>-9.5315351855607133E-3</v>
      </c>
      <c r="W1017" s="278">
        <f t="shared" si="53"/>
        <v>-9.7743450642165993E-3</v>
      </c>
    </row>
    <row r="1018" spans="1:23" x14ac:dyDescent="0.2">
      <c r="A1018" s="8">
        <v>43165</v>
      </c>
      <c r="B1018" s="9">
        <v>9.6359999999999992</v>
      </c>
      <c r="E1018" s="51"/>
      <c r="F1018" s="51"/>
      <c r="G1018" s="51"/>
      <c r="H1018" s="51"/>
      <c r="I1018" s="51"/>
      <c r="J1018" s="53"/>
      <c r="K1018" s="53"/>
      <c r="L1018" s="53"/>
      <c r="M1018" s="53"/>
      <c r="N1018" s="53"/>
      <c r="O1018" s="139"/>
      <c r="P1018" s="50"/>
      <c r="Q1018" s="57"/>
      <c r="R1018" s="12">
        <v>43174</v>
      </c>
      <c r="S1018" s="11">
        <v>9.81</v>
      </c>
      <c r="T1018" s="148">
        <v>1.2536741214057507</v>
      </c>
      <c r="U1018" s="148">
        <f t="shared" si="51"/>
        <v>7.6668767923621912</v>
      </c>
      <c r="V1018" s="278">
        <f t="shared" si="52"/>
        <v>4.2997542997542659E-3</v>
      </c>
      <c r="W1018" s="278">
        <f t="shared" si="53"/>
        <v>4.05694442109838E-3</v>
      </c>
    </row>
    <row r="1019" spans="1:23" x14ac:dyDescent="0.2">
      <c r="A1019" s="8">
        <v>43166</v>
      </c>
      <c r="B1019" s="9">
        <v>9.8000000000000007</v>
      </c>
      <c r="E1019" s="51"/>
      <c r="F1019" s="51"/>
      <c r="G1019" s="51"/>
      <c r="H1019" s="51"/>
      <c r="I1019" s="51"/>
      <c r="J1019" s="53"/>
      <c r="K1019" s="53"/>
      <c r="L1019" s="53"/>
      <c r="M1019" s="53"/>
      <c r="N1019" s="53"/>
      <c r="O1019" s="139"/>
      <c r="P1019" s="50"/>
      <c r="Q1019" s="57"/>
      <c r="R1019" s="12">
        <v>43175</v>
      </c>
      <c r="S1019" s="11">
        <v>9.86</v>
      </c>
      <c r="T1019" s="148">
        <v>1.2600638977635781</v>
      </c>
      <c r="U1019" s="148">
        <f t="shared" si="51"/>
        <v>7.7040920429363355</v>
      </c>
      <c r="V1019" s="278">
        <f t="shared" si="52"/>
        <v>5.0968399592252744E-3</v>
      </c>
      <c r="W1019" s="278">
        <f t="shared" si="53"/>
        <v>4.8540300805693885E-3</v>
      </c>
    </row>
    <row r="1020" spans="1:23" x14ac:dyDescent="0.2">
      <c r="A1020" s="8">
        <v>43167</v>
      </c>
      <c r="B1020" s="9">
        <v>9.84</v>
      </c>
      <c r="E1020" s="51"/>
      <c r="F1020" s="51"/>
      <c r="G1020" s="51"/>
      <c r="H1020" s="51"/>
      <c r="I1020" s="51"/>
      <c r="J1020" s="53"/>
      <c r="K1020" s="53"/>
      <c r="L1020" s="53"/>
      <c r="M1020" s="53"/>
      <c r="N1020" s="53"/>
      <c r="O1020" s="139"/>
      <c r="P1020" s="50"/>
      <c r="Q1020" s="57"/>
      <c r="R1020" s="12">
        <v>43178</v>
      </c>
      <c r="S1020" s="11">
        <v>9.782</v>
      </c>
      <c r="T1020" s="148">
        <v>1.2500958466453673</v>
      </c>
      <c r="U1020" s="148">
        <f t="shared" si="51"/>
        <v>7.6412762632468381</v>
      </c>
      <c r="V1020" s="278">
        <f t="shared" si="52"/>
        <v>-7.9107505070993289E-3</v>
      </c>
      <c r="W1020" s="278">
        <f t="shared" si="53"/>
        <v>-8.1535603857552149E-3</v>
      </c>
    </row>
    <row r="1021" spans="1:23" x14ac:dyDescent="0.2">
      <c r="A1021" s="8">
        <v>43168</v>
      </c>
      <c r="B1021" s="9">
        <v>9.8819999999999997</v>
      </c>
      <c r="E1021" s="51"/>
      <c r="F1021" s="51"/>
      <c r="G1021" s="51"/>
      <c r="H1021" s="51"/>
      <c r="I1021" s="51"/>
      <c r="J1021" s="53"/>
      <c r="K1021" s="53"/>
      <c r="L1021" s="53"/>
      <c r="M1021" s="53"/>
      <c r="N1021" s="53"/>
      <c r="O1021" s="139"/>
      <c r="P1021" s="50"/>
      <c r="Q1021" s="57"/>
      <c r="R1021" s="12">
        <v>43179</v>
      </c>
      <c r="S1021" s="11">
        <v>9.89</v>
      </c>
      <c r="T1021" s="148">
        <v>1.2638977635782749</v>
      </c>
      <c r="U1021" s="148">
        <f t="shared" si="51"/>
        <v>7.7237858252048301</v>
      </c>
      <c r="V1021" s="278">
        <f t="shared" si="52"/>
        <v>1.1040686976078629E-2</v>
      </c>
      <c r="W1021" s="278">
        <f t="shared" si="53"/>
        <v>1.0797877097422743E-2</v>
      </c>
    </row>
    <row r="1022" spans="1:23" x14ac:dyDescent="0.2">
      <c r="A1022" s="8">
        <v>43171</v>
      </c>
      <c r="B1022" s="9">
        <v>9.8719999999999999</v>
      </c>
      <c r="E1022" s="51"/>
      <c r="F1022" s="51"/>
      <c r="G1022" s="51"/>
      <c r="H1022" s="51"/>
      <c r="I1022" s="51"/>
      <c r="J1022" s="53"/>
      <c r="K1022" s="53"/>
      <c r="L1022" s="53"/>
      <c r="M1022" s="53"/>
      <c r="N1022" s="53"/>
      <c r="O1022" s="139"/>
      <c r="P1022" s="50"/>
      <c r="Q1022" s="57"/>
      <c r="R1022" s="12">
        <v>43180</v>
      </c>
      <c r="S1022" s="11">
        <v>9.89</v>
      </c>
      <c r="T1022" s="148">
        <v>1.2638977635782749</v>
      </c>
      <c r="U1022" s="148">
        <f t="shared" si="51"/>
        <v>7.7219104137058485</v>
      </c>
      <c r="V1022" s="278">
        <f t="shared" si="52"/>
        <v>0</v>
      </c>
      <c r="W1022" s="278">
        <f t="shared" si="53"/>
        <v>-2.4280987865588565E-4</v>
      </c>
    </row>
    <row r="1023" spans="1:23" x14ac:dyDescent="0.2">
      <c r="A1023" s="8">
        <v>43172</v>
      </c>
      <c r="B1023" s="9">
        <v>9.8620000000000001</v>
      </c>
      <c r="E1023" s="51"/>
      <c r="F1023" s="51"/>
      <c r="G1023" s="51"/>
      <c r="H1023" s="51"/>
      <c r="I1023" s="51"/>
      <c r="J1023" s="53"/>
      <c r="K1023" s="53"/>
      <c r="L1023" s="53"/>
      <c r="M1023" s="53"/>
      <c r="N1023" s="53"/>
      <c r="O1023" s="139"/>
      <c r="P1023" s="50"/>
      <c r="Q1023" s="57"/>
      <c r="R1023" s="12">
        <v>43181</v>
      </c>
      <c r="S1023" s="11">
        <v>9.7959999999999994</v>
      </c>
      <c r="T1023" s="148">
        <v>1.251884984025559</v>
      </c>
      <c r="U1023" s="148">
        <f t="shared" si="51"/>
        <v>7.6466421735623262</v>
      </c>
      <c r="V1023" s="278">
        <f t="shared" si="52"/>
        <v>-9.5045500505562819E-3</v>
      </c>
      <c r="W1023" s="278">
        <f t="shared" si="53"/>
        <v>-9.7473599292121679E-3</v>
      </c>
    </row>
    <row r="1024" spans="1:23" x14ac:dyDescent="0.2">
      <c r="A1024" s="8">
        <v>43173</v>
      </c>
      <c r="B1024" s="9">
        <v>9.7680000000000007</v>
      </c>
      <c r="E1024" s="51"/>
      <c r="F1024" s="51"/>
      <c r="G1024" s="51"/>
      <c r="H1024" s="51"/>
      <c r="I1024" s="51"/>
      <c r="J1024" s="53"/>
      <c r="K1024" s="53"/>
      <c r="L1024" s="53"/>
      <c r="M1024" s="53"/>
      <c r="N1024" s="53"/>
      <c r="O1024" s="139"/>
      <c r="P1024" s="50"/>
      <c r="Q1024" s="57"/>
      <c r="R1024" s="12">
        <v>43182</v>
      </c>
      <c r="S1024" s="11">
        <v>9.7319999999999993</v>
      </c>
      <c r="T1024" s="148">
        <v>1.2437060702875398</v>
      </c>
      <c r="U1024" s="148">
        <f t="shared" si="51"/>
        <v>7.5948278474171467</v>
      </c>
      <c r="V1024" s="278">
        <f t="shared" si="52"/>
        <v>-6.5332788893426308E-3</v>
      </c>
      <c r="W1024" s="278">
        <f t="shared" si="53"/>
        <v>-6.7760887679985168E-3</v>
      </c>
    </row>
    <row r="1025" spans="1:23" x14ac:dyDescent="0.2">
      <c r="A1025" s="8">
        <v>43174</v>
      </c>
      <c r="B1025" s="9">
        <v>9.81</v>
      </c>
      <c r="E1025" s="51"/>
      <c r="F1025" s="51"/>
      <c r="G1025" s="51"/>
      <c r="H1025" s="51"/>
      <c r="I1025" s="51"/>
      <c r="J1025" s="53"/>
      <c r="K1025" s="53"/>
      <c r="L1025" s="53"/>
      <c r="M1025" s="53"/>
      <c r="N1025" s="53"/>
      <c r="O1025" s="139"/>
      <c r="P1025" s="50"/>
      <c r="Q1025" s="57"/>
      <c r="R1025" s="12">
        <v>43185</v>
      </c>
      <c r="S1025" s="11">
        <v>9.5540000000000003</v>
      </c>
      <c r="T1025" s="148">
        <v>1.2209584664536741</v>
      </c>
      <c r="U1025" s="148">
        <f t="shared" si="51"/>
        <v>7.4540730045762533</v>
      </c>
      <c r="V1025" s="278">
        <f t="shared" si="52"/>
        <v>-1.829017673653921E-2</v>
      </c>
      <c r="W1025" s="278">
        <f t="shared" si="53"/>
        <v>-1.8532986615195094E-2</v>
      </c>
    </row>
    <row r="1026" spans="1:23" x14ac:dyDescent="0.2">
      <c r="A1026" s="8">
        <v>43175</v>
      </c>
      <c r="B1026" s="9">
        <v>9.86</v>
      </c>
      <c r="E1026" s="51"/>
      <c r="F1026" s="51"/>
      <c r="G1026" s="51"/>
      <c r="H1026" s="51"/>
      <c r="I1026" s="51"/>
      <c r="J1026" s="53"/>
      <c r="K1026" s="53"/>
      <c r="L1026" s="53"/>
      <c r="M1026" s="53"/>
      <c r="N1026" s="53"/>
      <c r="O1026" s="139"/>
      <c r="P1026" s="50"/>
      <c r="Q1026" s="57"/>
      <c r="R1026" s="12">
        <v>43186</v>
      </c>
      <c r="S1026" s="11">
        <v>9.4920000000000009</v>
      </c>
      <c r="T1026" s="148">
        <v>1.2130351437699682</v>
      </c>
      <c r="U1026" s="148">
        <f t="shared" si="51"/>
        <v>7.4038904081309393</v>
      </c>
      <c r="V1026" s="278">
        <f t="shared" si="52"/>
        <v>-6.489428511618156E-3</v>
      </c>
      <c r="W1026" s="278">
        <f t="shared" si="53"/>
        <v>-6.732238390274042E-3</v>
      </c>
    </row>
    <row r="1027" spans="1:23" x14ac:dyDescent="0.2">
      <c r="A1027" s="8">
        <v>43178</v>
      </c>
      <c r="B1027" s="9">
        <v>9.782</v>
      </c>
      <c r="E1027" s="51"/>
      <c r="F1027" s="51"/>
      <c r="G1027" s="51"/>
      <c r="H1027" s="51"/>
      <c r="I1027" s="51"/>
      <c r="J1027" s="53"/>
      <c r="K1027" s="53"/>
      <c r="L1027" s="53"/>
      <c r="M1027" s="53"/>
      <c r="N1027" s="53"/>
      <c r="O1027" s="139"/>
      <c r="P1027" s="50"/>
      <c r="Q1027" s="57"/>
      <c r="R1027" s="12">
        <v>43187</v>
      </c>
      <c r="S1027" s="11">
        <v>9.5380000000000003</v>
      </c>
      <c r="T1027" s="148">
        <v>1.2189137380191692</v>
      </c>
      <c r="U1027" s="148">
        <f t="shared" si="51"/>
        <v>7.4379733023814509</v>
      </c>
      <c r="V1027" s="278">
        <f t="shared" si="52"/>
        <v>4.846186262115415E-3</v>
      </c>
      <c r="W1027" s="278">
        <f t="shared" si="53"/>
        <v>4.6033763834595291E-3</v>
      </c>
    </row>
    <row r="1028" spans="1:23" x14ac:dyDescent="0.2">
      <c r="A1028" s="8">
        <v>43179</v>
      </c>
      <c r="B1028" s="9">
        <v>9.89</v>
      </c>
      <c r="E1028" s="51"/>
      <c r="F1028" s="51"/>
      <c r="G1028" s="51"/>
      <c r="H1028" s="51"/>
      <c r="I1028" s="51"/>
      <c r="J1028" s="53"/>
      <c r="K1028" s="53"/>
      <c r="L1028" s="53"/>
      <c r="M1028" s="53"/>
      <c r="N1028" s="53"/>
      <c r="O1028" s="139"/>
      <c r="P1028" s="50"/>
      <c r="Q1028" s="57"/>
      <c r="R1028" s="12">
        <v>43188</v>
      </c>
      <c r="S1028" s="11">
        <v>9.548</v>
      </c>
      <c r="T1028" s="148">
        <v>1.2201916932907348</v>
      </c>
      <c r="U1028" s="148">
        <f t="shared" si="51"/>
        <v>7.4439655415576222</v>
      </c>
      <c r="V1028" s="278">
        <f t="shared" si="52"/>
        <v>1.0484378276367501E-3</v>
      </c>
      <c r="W1028" s="278">
        <f t="shared" si="53"/>
        <v>8.0562794898086443E-4</v>
      </c>
    </row>
    <row r="1029" spans="1:23" x14ac:dyDescent="0.2">
      <c r="A1029" s="8">
        <v>43180</v>
      </c>
      <c r="B1029" s="9">
        <v>9.89</v>
      </c>
      <c r="E1029" s="51"/>
      <c r="F1029" s="51"/>
      <c r="G1029" s="51"/>
      <c r="H1029" s="51"/>
      <c r="I1029" s="51"/>
      <c r="J1029" s="53"/>
      <c r="K1029" s="53"/>
      <c r="L1029" s="53"/>
      <c r="M1029" s="53"/>
      <c r="N1029" s="53"/>
      <c r="O1029" s="139"/>
      <c r="P1029" s="50"/>
      <c r="Q1029" s="57"/>
      <c r="R1029" s="12">
        <v>43193</v>
      </c>
      <c r="S1029" s="11">
        <v>9.5860000000000003</v>
      </c>
      <c r="T1029" s="148">
        <v>1.2250479233226836</v>
      </c>
      <c r="U1029" s="148">
        <f t="shared" si="51"/>
        <v>7.4717842452216061</v>
      </c>
      <c r="V1029" s="278">
        <f t="shared" si="52"/>
        <v>3.9798910766652984E-3</v>
      </c>
      <c r="W1029" s="278">
        <f t="shared" si="53"/>
        <v>3.7370811980094124E-3</v>
      </c>
    </row>
    <row r="1030" spans="1:23" x14ac:dyDescent="0.2">
      <c r="A1030" s="8">
        <v>43181</v>
      </c>
      <c r="B1030" s="9">
        <v>9.7959999999999994</v>
      </c>
      <c r="E1030" s="51"/>
      <c r="F1030" s="51"/>
      <c r="G1030" s="51"/>
      <c r="H1030" s="51"/>
      <c r="I1030" s="51"/>
      <c r="J1030" s="53"/>
      <c r="K1030" s="53"/>
      <c r="L1030" s="53"/>
      <c r="M1030" s="53"/>
      <c r="N1030" s="53"/>
      <c r="O1030" s="139"/>
      <c r="P1030" s="50"/>
      <c r="Q1030" s="57"/>
      <c r="R1030" s="12">
        <v>43194</v>
      </c>
      <c r="S1030" s="11">
        <v>9.59</v>
      </c>
      <c r="T1030" s="148">
        <v>1.2255591054313097</v>
      </c>
      <c r="U1030" s="148">
        <f t="shared" si="51"/>
        <v>7.4730878124085836</v>
      </c>
      <c r="V1030" s="278">
        <f t="shared" si="52"/>
        <v>4.1727519298984106E-4</v>
      </c>
      <c r="W1030" s="278">
        <f t="shared" si="53"/>
        <v>1.7446531433395541E-4</v>
      </c>
    </row>
    <row r="1031" spans="1:23" x14ac:dyDescent="0.2">
      <c r="A1031" s="8">
        <v>43182</v>
      </c>
      <c r="B1031" s="9">
        <v>9.7319999999999993</v>
      </c>
      <c r="E1031" s="51"/>
      <c r="F1031" s="51"/>
      <c r="G1031" s="51"/>
      <c r="H1031" s="51"/>
      <c r="I1031" s="51"/>
      <c r="J1031" s="53"/>
      <c r="K1031" s="53"/>
      <c r="L1031" s="53"/>
      <c r="M1031" s="53"/>
      <c r="N1031" s="53"/>
      <c r="O1031" s="139"/>
      <c r="P1031" s="50"/>
      <c r="Q1031" s="57"/>
      <c r="R1031" s="12">
        <v>43195</v>
      </c>
      <c r="S1031" s="11">
        <v>9.6999999999999993</v>
      </c>
      <c r="T1031" s="148">
        <v>1.2396166134185302</v>
      </c>
      <c r="U1031" s="148">
        <f t="shared" si="51"/>
        <v>7.5569916940696036</v>
      </c>
      <c r="V1031" s="278">
        <f t="shared" si="52"/>
        <v>1.1470281543274119E-2</v>
      </c>
      <c r="W1031" s="278">
        <f t="shared" si="53"/>
        <v>1.1227471664618233E-2</v>
      </c>
    </row>
    <row r="1032" spans="1:23" x14ac:dyDescent="0.2">
      <c r="A1032" s="8">
        <v>43185</v>
      </c>
      <c r="B1032" s="9">
        <v>9.5540000000000003</v>
      </c>
      <c r="E1032" s="51"/>
      <c r="F1032" s="51"/>
      <c r="G1032" s="51"/>
      <c r="H1032" s="51"/>
      <c r="I1032" s="51"/>
      <c r="J1032" s="53"/>
      <c r="K1032" s="53"/>
      <c r="L1032" s="53"/>
      <c r="M1032" s="53"/>
      <c r="N1032" s="53"/>
      <c r="O1032" s="139"/>
      <c r="P1032" s="50"/>
      <c r="Q1032" s="57"/>
      <c r="R1032" s="12">
        <v>43196</v>
      </c>
      <c r="S1032" s="11">
        <v>9.6880000000000006</v>
      </c>
      <c r="T1032" s="148">
        <v>1.2380830670926517</v>
      </c>
      <c r="U1032" s="148">
        <f t="shared" si="51"/>
        <v>7.5458079261293607</v>
      </c>
      <c r="V1032" s="278">
        <f t="shared" si="52"/>
        <v>-1.2371134020616736E-3</v>
      </c>
      <c r="W1032" s="278">
        <f t="shared" si="53"/>
        <v>-1.4799232807175594E-3</v>
      </c>
    </row>
    <row r="1033" spans="1:23" x14ac:dyDescent="0.2">
      <c r="A1033" s="8">
        <v>43186</v>
      </c>
      <c r="B1033" s="9">
        <v>9.4920000000000009</v>
      </c>
      <c r="E1033" s="51"/>
      <c r="F1033" s="51"/>
      <c r="G1033" s="51"/>
      <c r="H1033" s="51"/>
      <c r="I1033" s="51"/>
      <c r="J1033" s="53"/>
      <c r="K1033" s="53"/>
      <c r="L1033" s="53"/>
      <c r="M1033" s="53"/>
      <c r="N1033" s="53"/>
      <c r="O1033" s="139"/>
      <c r="P1033" s="50"/>
      <c r="Q1033" s="57"/>
      <c r="R1033" s="12">
        <v>43199</v>
      </c>
      <c r="S1033" s="11">
        <v>9.7200000000000006</v>
      </c>
      <c r="T1033" s="148">
        <v>1.2421725239616614</v>
      </c>
      <c r="U1033" s="148">
        <f t="shared" si="51"/>
        <v>7.5688999504831642</v>
      </c>
      <c r="V1033" s="278">
        <f t="shared" si="52"/>
        <v>3.303055326176807E-3</v>
      </c>
      <c r="W1033" s="278">
        <f t="shared" si="53"/>
        <v>3.060245447520921E-3</v>
      </c>
    </row>
    <row r="1034" spans="1:23" x14ac:dyDescent="0.2">
      <c r="A1034" s="8">
        <v>43187</v>
      </c>
      <c r="B1034" s="9">
        <v>9.5380000000000003</v>
      </c>
      <c r="E1034" s="51"/>
      <c r="F1034" s="51"/>
      <c r="G1034" s="51"/>
      <c r="H1034" s="51"/>
      <c r="I1034" s="51"/>
      <c r="J1034" s="53"/>
      <c r="K1034" s="53"/>
      <c r="L1034" s="53"/>
      <c r="M1034" s="53"/>
      <c r="N1034" s="53"/>
      <c r="O1034" s="139"/>
      <c r="P1034" s="50"/>
      <c r="Q1034" s="57"/>
      <c r="R1034" s="12">
        <v>43200</v>
      </c>
      <c r="S1034" s="11">
        <v>9.8420000000000005</v>
      </c>
      <c r="T1034" s="148">
        <v>1.2577635782747605</v>
      </c>
      <c r="U1034" s="148">
        <f t="shared" si="51"/>
        <v>7.6620627428909396</v>
      </c>
      <c r="V1034" s="278">
        <f t="shared" si="52"/>
        <v>1.2551440329218178E-2</v>
      </c>
      <c r="W1034" s="278">
        <f t="shared" si="53"/>
        <v>1.2308630450562292E-2</v>
      </c>
    </row>
    <row r="1035" spans="1:23" x14ac:dyDescent="0.2">
      <c r="A1035" s="8">
        <v>43188</v>
      </c>
      <c r="B1035" s="9">
        <v>9.548</v>
      </c>
      <c r="E1035" s="51"/>
      <c r="F1035" s="51"/>
      <c r="G1035" s="51"/>
      <c r="H1035" s="51"/>
      <c r="I1035" s="51"/>
      <c r="J1035" s="53"/>
      <c r="K1035" s="53"/>
      <c r="L1035" s="53"/>
      <c r="M1035" s="53"/>
      <c r="N1035" s="53"/>
      <c r="O1035" s="139"/>
      <c r="P1035" s="50"/>
      <c r="Q1035" s="57"/>
      <c r="R1035" s="12">
        <v>43201</v>
      </c>
      <c r="S1035" s="11">
        <v>9.798</v>
      </c>
      <c r="T1035" s="148">
        <v>1.2521405750798722</v>
      </c>
      <c r="U1035" s="148">
        <f t="shared" si="51"/>
        <v>7.625948024453546</v>
      </c>
      <c r="V1035" s="278">
        <f t="shared" si="52"/>
        <v>-4.4706360495834208E-3</v>
      </c>
      <c r="W1035" s="278">
        <f t="shared" si="53"/>
        <v>-4.7134459282393067E-3</v>
      </c>
    </row>
    <row r="1036" spans="1:23" x14ac:dyDescent="0.2">
      <c r="A1036" s="8">
        <v>43193</v>
      </c>
      <c r="B1036" s="9">
        <v>9.5860000000000003</v>
      </c>
      <c r="E1036" s="51"/>
      <c r="F1036" s="51"/>
      <c r="G1036" s="51"/>
      <c r="H1036" s="51"/>
      <c r="I1036" s="51"/>
      <c r="J1036" s="53"/>
      <c r="K1036" s="53"/>
      <c r="L1036" s="53"/>
      <c r="M1036" s="53"/>
      <c r="N1036" s="53"/>
      <c r="O1036" s="139"/>
      <c r="P1036" s="50"/>
      <c r="Q1036" s="57"/>
      <c r="R1036" s="12">
        <v>43202</v>
      </c>
      <c r="S1036" s="11">
        <v>9.8420000000000005</v>
      </c>
      <c r="T1036" s="148">
        <v>1.2577635782747605</v>
      </c>
      <c r="U1036" s="148">
        <f t="shared" si="51"/>
        <v>7.6583423082201652</v>
      </c>
      <c r="V1036" s="278">
        <f t="shared" si="52"/>
        <v>4.4907123902837576E-3</v>
      </c>
      <c r="W1036" s="278">
        <f t="shared" si="53"/>
        <v>4.2479025116278716E-3</v>
      </c>
    </row>
    <row r="1037" spans="1:23" x14ac:dyDescent="0.2">
      <c r="A1037" s="8">
        <v>43194</v>
      </c>
      <c r="B1037" s="9">
        <v>9.59</v>
      </c>
      <c r="E1037" s="51"/>
      <c r="F1037" s="51"/>
      <c r="G1037" s="51"/>
      <c r="H1037" s="51"/>
      <c r="I1037" s="51"/>
      <c r="J1037" s="53"/>
      <c r="K1037" s="53"/>
      <c r="L1037" s="53"/>
      <c r="M1037" s="53"/>
      <c r="N1037" s="53"/>
      <c r="O1037" s="139"/>
      <c r="P1037" s="50"/>
      <c r="Q1037" s="57"/>
      <c r="R1037" s="12">
        <v>43203</v>
      </c>
      <c r="S1037" s="11">
        <v>9.7620000000000005</v>
      </c>
      <c r="T1037" s="148">
        <v>1.2475399361022363</v>
      </c>
      <c r="U1037" s="148">
        <f t="shared" si="51"/>
        <v>7.5942324939569126</v>
      </c>
      <c r="V1037" s="278">
        <f t="shared" si="52"/>
        <v>-8.1284291810607145E-3</v>
      </c>
      <c r="W1037" s="278">
        <f t="shared" si="53"/>
        <v>-8.3712390597166005E-3</v>
      </c>
    </row>
    <row r="1038" spans="1:23" x14ac:dyDescent="0.2">
      <c r="A1038" s="8">
        <v>43195</v>
      </c>
      <c r="B1038" s="9">
        <v>9.6999999999999993</v>
      </c>
      <c r="E1038" s="51"/>
      <c r="F1038" s="51"/>
      <c r="G1038" s="51"/>
      <c r="H1038" s="51"/>
      <c r="I1038" s="51"/>
      <c r="J1038" s="53"/>
      <c r="K1038" s="53"/>
      <c r="L1038" s="53"/>
      <c r="M1038" s="53"/>
      <c r="N1038" s="53"/>
      <c r="O1038" s="139"/>
      <c r="P1038" s="50"/>
      <c r="Q1038" s="57"/>
      <c r="R1038" s="12">
        <v>43206</v>
      </c>
      <c r="S1038" s="11">
        <v>9.7259999999999991</v>
      </c>
      <c r="T1038" s="148">
        <v>1.2429392971246005</v>
      </c>
      <c r="U1038" s="148">
        <f t="shared" si="51"/>
        <v>7.5643827648773865</v>
      </c>
      <c r="V1038" s="278">
        <f t="shared" si="52"/>
        <v>-3.6877688998157021E-3</v>
      </c>
      <c r="W1038" s="278">
        <f t="shared" si="53"/>
        <v>-3.9305787784715881E-3</v>
      </c>
    </row>
    <row r="1039" spans="1:23" x14ac:dyDescent="0.2">
      <c r="A1039" s="8">
        <v>43196</v>
      </c>
      <c r="B1039" s="9">
        <v>9.6880000000000006</v>
      </c>
      <c r="E1039" s="51"/>
      <c r="F1039" s="51"/>
      <c r="G1039" s="51"/>
      <c r="H1039" s="51"/>
      <c r="I1039" s="51"/>
      <c r="J1039" s="53"/>
      <c r="K1039" s="53"/>
      <c r="L1039" s="53"/>
      <c r="M1039" s="53"/>
      <c r="N1039" s="53"/>
      <c r="O1039" s="139"/>
      <c r="P1039" s="50"/>
      <c r="Q1039" s="57"/>
      <c r="R1039" s="12">
        <v>43207</v>
      </c>
      <c r="S1039" s="11">
        <v>9.8919999999999995</v>
      </c>
      <c r="T1039" s="148">
        <v>1.2641533546325878</v>
      </c>
      <c r="U1039" s="148">
        <f t="shared" si="51"/>
        <v>7.6916523235898238</v>
      </c>
      <c r="V1039" s="278">
        <f t="shared" si="52"/>
        <v>1.7067653711700714E-2</v>
      </c>
      <c r="W1039" s="278">
        <f t="shared" si="53"/>
        <v>1.682484383304483E-2</v>
      </c>
    </row>
    <row r="1040" spans="1:23" x14ac:dyDescent="0.2">
      <c r="A1040" s="8">
        <v>43199</v>
      </c>
      <c r="B1040" s="9">
        <v>9.7200000000000006</v>
      </c>
      <c r="E1040" s="51"/>
      <c r="F1040" s="51"/>
      <c r="G1040" s="51"/>
      <c r="H1040" s="51"/>
      <c r="I1040" s="51"/>
      <c r="J1040" s="53"/>
      <c r="K1040" s="53"/>
      <c r="L1040" s="53"/>
      <c r="M1040" s="53"/>
      <c r="N1040" s="53"/>
      <c r="O1040" s="139"/>
      <c r="P1040" s="50"/>
      <c r="Q1040" s="57"/>
      <c r="R1040" s="12">
        <v>43208</v>
      </c>
      <c r="S1040" s="11">
        <v>9.9979999999999993</v>
      </c>
      <c r="T1040" s="148">
        <v>1.277699680511182</v>
      </c>
      <c r="U1040" s="148">
        <f t="shared" si="51"/>
        <v>7.7722063830739581</v>
      </c>
      <c r="V1040" s="278">
        <f t="shared" si="52"/>
        <v>1.0715729882733616E-2</v>
      </c>
      <c r="W1040" s="278">
        <f t="shared" si="53"/>
        <v>1.047292000407773E-2</v>
      </c>
    </row>
    <row r="1041" spans="1:23" x14ac:dyDescent="0.2">
      <c r="A1041" s="8">
        <v>43200</v>
      </c>
      <c r="B1041" s="9">
        <v>9.8420000000000005</v>
      </c>
      <c r="E1041" s="51"/>
      <c r="F1041" s="51"/>
      <c r="G1041" s="51"/>
      <c r="H1041" s="51"/>
      <c r="I1041" s="51"/>
      <c r="J1041" s="53"/>
      <c r="K1041" s="53"/>
      <c r="L1041" s="53"/>
      <c r="M1041" s="53"/>
      <c r="N1041" s="53"/>
      <c r="O1041" s="139"/>
      <c r="P1041" s="50"/>
      <c r="Q1041" s="57"/>
      <c r="R1041" s="12">
        <v>43209</v>
      </c>
      <c r="S1041" s="11">
        <v>10.130000000000001</v>
      </c>
      <c r="T1041" s="148">
        <v>1.2945686900958466</v>
      </c>
      <c r="U1041" s="148">
        <f t="shared" si="51"/>
        <v>7.8729328615711696</v>
      </c>
      <c r="V1041" s="278">
        <f t="shared" si="52"/>
        <v>1.3202640528105825E-2</v>
      </c>
      <c r="W1041" s="278">
        <f t="shared" si="53"/>
        <v>1.2959830649449939E-2</v>
      </c>
    </row>
    <row r="1042" spans="1:23" x14ac:dyDescent="0.2">
      <c r="A1042" s="8">
        <v>43201</v>
      </c>
      <c r="B1042" s="9">
        <v>9.798</v>
      </c>
      <c r="E1042" s="51"/>
      <c r="F1042" s="51"/>
      <c r="G1042" s="51"/>
      <c r="H1042" s="51"/>
      <c r="I1042" s="51"/>
      <c r="J1042" s="53"/>
      <c r="K1042" s="53"/>
      <c r="L1042" s="53"/>
      <c r="M1042" s="53"/>
      <c r="N1042" s="53"/>
      <c r="O1042" s="139"/>
      <c r="P1042" s="50"/>
      <c r="Q1042" s="57"/>
      <c r="R1042" s="12">
        <v>43210</v>
      </c>
      <c r="S1042" s="11">
        <v>10.17</v>
      </c>
      <c r="T1042" s="148">
        <v>1.2996805111821086</v>
      </c>
      <c r="U1042" s="148">
        <f t="shared" si="51"/>
        <v>7.9021088284390393</v>
      </c>
      <c r="V1042" s="278">
        <f t="shared" si="52"/>
        <v>3.9486673247777215E-3</v>
      </c>
      <c r="W1042" s="278">
        <f t="shared" si="53"/>
        <v>3.7058574461218356E-3</v>
      </c>
    </row>
    <row r="1043" spans="1:23" x14ac:dyDescent="0.2">
      <c r="A1043" s="8">
        <v>43202</v>
      </c>
      <c r="B1043" s="9">
        <v>9.8420000000000005</v>
      </c>
      <c r="E1043" s="51"/>
      <c r="F1043" s="51"/>
      <c r="G1043" s="51"/>
      <c r="H1043" s="51"/>
      <c r="I1043" s="51"/>
      <c r="J1043" s="53"/>
      <c r="K1043" s="53"/>
      <c r="L1043" s="53"/>
      <c r="M1043" s="53"/>
      <c r="N1043" s="53"/>
      <c r="O1043" s="139"/>
      <c r="P1043" s="50"/>
      <c r="Q1043" s="57"/>
      <c r="R1043" s="12">
        <v>43213</v>
      </c>
      <c r="S1043" s="11">
        <v>10.375</v>
      </c>
      <c r="T1043" s="148">
        <v>1.3258785942492013</v>
      </c>
      <c r="U1043" s="148">
        <f t="shared" si="51"/>
        <v>8.0594754978842538</v>
      </c>
      <c r="V1043" s="278">
        <f t="shared" si="52"/>
        <v>2.015732546705995E-2</v>
      </c>
      <c r="W1043" s="278">
        <f t="shared" si="53"/>
        <v>1.9914515588404066E-2</v>
      </c>
    </row>
    <row r="1044" spans="1:23" x14ac:dyDescent="0.2">
      <c r="A1044" s="8">
        <v>43203</v>
      </c>
      <c r="B1044" s="9">
        <v>9.7620000000000005</v>
      </c>
      <c r="E1044" s="51"/>
      <c r="F1044" s="51"/>
      <c r="G1044" s="51"/>
      <c r="H1044" s="51"/>
      <c r="I1044" s="51"/>
      <c r="J1044" s="53"/>
      <c r="K1044" s="53"/>
      <c r="L1044" s="53"/>
      <c r="M1044" s="53"/>
      <c r="N1044" s="53"/>
      <c r="O1044" s="139"/>
      <c r="P1044" s="50"/>
      <c r="Q1044" s="57"/>
      <c r="R1044" s="12">
        <v>43214</v>
      </c>
      <c r="S1044" s="11">
        <v>10.45</v>
      </c>
      <c r="T1044" s="148">
        <v>1.3354632587859423</v>
      </c>
      <c r="U1044" s="148">
        <f t="shared" si="51"/>
        <v>8.115779846275986</v>
      </c>
      <c r="V1044" s="278">
        <f t="shared" si="52"/>
        <v>7.2289156626506035E-3</v>
      </c>
      <c r="W1044" s="278">
        <f t="shared" si="53"/>
        <v>6.9861057839947175E-3</v>
      </c>
    </row>
    <row r="1045" spans="1:23" x14ac:dyDescent="0.2">
      <c r="A1045" s="8">
        <v>43206</v>
      </c>
      <c r="B1045" s="9">
        <v>9.7259999999999991</v>
      </c>
      <c r="E1045" s="51"/>
      <c r="F1045" s="51"/>
      <c r="G1045" s="51"/>
      <c r="H1045" s="51"/>
      <c r="I1045" s="51"/>
      <c r="J1045" s="53"/>
      <c r="K1045" s="53"/>
      <c r="L1045" s="53"/>
      <c r="M1045" s="53"/>
      <c r="N1045" s="53"/>
      <c r="O1045" s="139"/>
      <c r="P1045" s="50"/>
      <c r="Q1045" s="57"/>
      <c r="R1045" s="12">
        <v>43215</v>
      </c>
      <c r="S1045" s="11">
        <v>10.24</v>
      </c>
      <c r="T1045" s="148">
        <v>1.3086261980830671</v>
      </c>
      <c r="U1045" s="148">
        <f t="shared" si="51"/>
        <v>7.950717028180434</v>
      </c>
      <c r="V1045" s="278">
        <f t="shared" si="52"/>
        <v>-2.0095693779904167E-2</v>
      </c>
      <c r="W1045" s="278">
        <f t="shared" si="53"/>
        <v>-2.0338503658560051E-2</v>
      </c>
    </row>
    <row r="1046" spans="1:23" x14ac:dyDescent="0.2">
      <c r="A1046" s="8">
        <v>43207</v>
      </c>
      <c r="B1046" s="9">
        <v>9.8919999999999995</v>
      </c>
      <c r="E1046" s="51"/>
      <c r="F1046" s="51"/>
      <c r="G1046" s="51"/>
      <c r="H1046" s="51"/>
      <c r="I1046" s="51"/>
      <c r="J1046" s="53"/>
      <c r="K1046" s="53"/>
      <c r="L1046" s="53"/>
      <c r="M1046" s="53"/>
      <c r="N1046" s="53"/>
      <c r="O1046" s="139"/>
      <c r="P1046" s="50"/>
      <c r="Q1046" s="57"/>
      <c r="R1046" s="12">
        <v>43216</v>
      </c>
      <c r="S1046" s="11">
        <v>10.220000000000001</v>
      </c>
      <c r="T1046" s="148">
        <v>1.3060702875399361</v>
      </c>
      <c r="U1046" s="148">
        <f t="shared" si="51"/>
        <v>7.9332577713479298</v>
      </c>
      <c r="V1046" s="278">
        <f t="shared" si="52"/>
        <v>-1.953125E-3</v>
      </c>
      <c r="W1046" s="278">
        <f t="shared" si="53"/>
        <v>-2.195934878655886E-3</v>
      </c>
    </row>
    <row r="1047" spans="1:23" x14ac:dyDescent="0.2">
      <c r="A1047" s="8">
        <v>43208</v>
      </c>
      <c r="B1047" s="9">
        <v>9.9979999999999993</v>
      </c>
      <c r="E1047" s="51"/>
      <c r="F1047" s="51"/>
      <c r="G1047" s="51"/>
      <c r="H1047" s="51"/>
      <c r="I1047" s="51"/>
      <c r="J1047" s="53"/>
      <c r="K1047" s="53"/>
      <c r="L1047" s="53"/>
      <c r="M1047" s="53"/>
      <c r="N1047" s="53"/>
      <c r="O1047" s="139"/>
      <c r="P1047" s="50"/>
      <c r="Q1047" s="57"/>
      <c r="R1047" s="12">
        <v>43217</v>
      </c>
      <c r="S1047" s="11">
        <v>10.130000000000001</v>
      </c>
      <c r="T1047" s="148">
        <v>1.2945686900958466</v>
      </c>
      <c r="U1047" s="148">
        <f t="shared" si="51"/>
        <v>7.8614691497111515</v>
      </c>
      <c r="V1047" s="278">
        <f t="shared" si="52"/>
        <v>-8.8062622309197369E-3</v>
      </c>
      <c r="W1047" s="278">
        <f t="shared" si="53"/>
        <v>-9.0490721095756229E-3</v>
      </c>
    </row>
    <row r="1048" spans="1:23" x14ac:dyDescent="0.2">
      <c r="A1048" s="8">
        <v>43209</v>
      </c>
      <c r="B1048" s="9">
        <v>10.130000000000001</v>
      </c>
      <c r="E1048" s="51"/>
      <c r="F1048" s="51"/>
      <c r="G1048" s="51"/>
      <c r="H1048" s="51"/>
      <c r="I1048" s="51"/>
      <c r="J1048" s="53"/>
      <c r="K1048" s="53"/>
      <c r="L1048" s="53"/>
      <c r="M1048" s="53"/>
      <c r="N1048" s="53"/>
      <c r="O1048" s="139"/>
      <c r="P1048" s="50"/>
      <c r="Q1048" s="57"/>
      <c r="R1048" s="12">
        <v>43220</v>
      </c>
      <c r="S1048" s="11">
        <v>10.065</v>
      </c>
      <c r="T1048" s="148">
        <v>1.2862619808306708</v>
      </c>
      <c r="U1048" s="148">
        <f t="shared" si="51"/>
        <v>7.8091165270120051</v>
      </c>
      <c r="V1048" s="278">
        <f t="shared" si="52"/>
        <v>-6.4165844027641583E-3</v>
      </c>
      <c r="W1048" s="278">
        <f t="shared" si="53"/>
        <v>-6.6593942814200443E-3</v>
      </c>
    </row>
    <row r="1049" spans="1:23" x14ac:dyDescent="0.2">
      <c r="A1049" s="8">
        <v>43210</v>
      </c>
      <c r="B1049" s="9">
        <v>10.17</v>
      </c>
      <c r="E1049" s="51"/>
      <c r="F1049" s="51"/>
      <c r="G1049" s="51"/>
      <c r="H1049" s="51"/>
      <c r="I1049" s="51"/>
      <c r="J1049" s="53"/>
      <c r="K1049" s="53"/>
      <c r="L1049" s="53"/>
      <c r="M1049" s="53"/>
      <c r="N1049" s="53"/>
      <c r="O1049" s="139"/>
      <c r="P1049" s="50"/>
      <c r="Q1049" s="57"/>
      <c r="R1049" s="12">
        <v>43222</v>
      </c>
      <c r="S1049" s="11">
        <v>10.19</v>
      </c>
      <c r="T1049" s="148">
        <v>1.3022364217252396</v>
      </c>
      <c r="U1049" s="148">
        <f t="shared" ref="U1049:U1112" si="54">U1048*(1+W1049)</f>
        <v>7.9042039598010563</v>
      </c>
      <c r="V1049" s="278">
        <f t="shared" ref="V1049:V1112" si="55">S1049/S1048-1</f>
        <v>1.2419274714356776E-2</v>
      </c>
      <c r="W1049" s="278">
        <f t="shared" ref="W1049:W1112" si="56">V1049-$V$3+$W$2</f>
        <v>1.217646483570089E-2</v>
      </c>
    </row>
    <row r="1050" spans="1:23" x14ac:dyDescent="0.2">
      <c r="A1050" s="8">
        <v>43213</v>
      </c>
      <c r="B1050" s="9">
        <v>10.375</v>
      </c>
      <c r="E1050" s="51"/>
      <c r="F1050" s="51"/>
      <c r="G1050" s="51"/>
      <c r="H1050" s="51"/>
      <c r="I1050" s="51"/>
      <c r="J1050" s="53"/>
      <c r="K1050" s="53"/>
      <c r="L1050" s="53"/>
      <c r="M1050" s="53"/>
      <c r="N1050" s="53"/>
      <c r="O1050" s="139"/>
      <c r="P1050" s="50"/>
      <c r="Q1050" s="57"/>
      <c r="R1050" s="12">
        <v>43223</v>
      </c>
      <c r="S1050" s="11">
        <v>10.015000000000001</v>
      </c>
      <c r="T1050" s="148">
        <v>1.2798722044728434</v>
      </c>
      <c r="U1050" s="148">
        <f t="shared" si="54"/>
        <v>7.7665403157793191</v>
      </c>
      <c r="V1050" s="278">
        <f t="shared" si="55"/>
        <v>-1.717369970559357E-2</v>
      </c>
      <c r="W1050" s="278">
        <f t="shared" si="56"/>
        <v>-1.7416509584249455E-2</v>
      </c>
    </row>
    <row r="1051" spans="1:23" x14ac:dyDescent="0.2">
      <c r="A1051" s="8">
        <v>43214</v>
      </c>
      <c r="B1051" s="9">
        <v>10.45</v>
      </c>
      <c r="E1051" s="51"/>
      <c r="F1051" s="51"/>
      <c r="G1051" s="51"/>
      <c r="H1051" s="51"/>
      <c r="I1051" s="51"/>
      <c r="J1051" s="53"/>
      <c r="K1051" s="53"/>
      <c r="L1051" s="53"/>
      <c r="M1051" s="53"/>
      <c r="N1051" s="53"/>
      <c r="O1051" s="139"/>
      <c r="P1051" s="50"/>
      <c r="Q1051" s="57"/>
      <c r="R1051" s="12">
        <v>43224</v>
      </c>
      <c r="S1051" s="11">
        <v>10.225</v>
      </c>
      <c r="T1051" s="148">
        <v>1.3067092651757188</v>
      </c>
      <c r="U1051" s="148">
        <f t="shared" si="54"/>
        <v>7.9275075900984868</v>
      </c>
      <c r="V1051" s="278">
        <f t="shared" si="55"/>
        <v>2.0968547179231134E-2</v>
      </c>
      <c r="W1051" s="278">
        <f t="shared" si="56"/>
        <v>2.072573730057525E-2</v>
      </c>
    </row>
    <row r="1052" spans="1:23" x14ac:dyDescent="0.2">
      <c r="A1052" s="8">
        <v>43215</v>
      </c>
      <c r="B1052" s="9">
        <v>10.24</v>
      </c>
      <c r="E1052" s="51"/>
      <c r="F1052" s="51"/>
      <c r="G1052" s="51"/>
      <c r="H1052" s="51"/>
      <c r="I1052" s="51"/>
      <c r="J1052" s="53"/>
      <c r="K1052" s="53"/>
      <c r="L1052" s="53"/>
      <c r="M1052" s="53"/>
      <c r="N1052" s="53"/>
      <c r="O1052" s="139"/>
      <c r="P1052" s="50"/>
      <c r="Q1052" s="57"/>
      <c r="R1052" s="12">
        <v>43227</v>
      </c>
      <c r="S1052" s="11">
        <v>10.275</v>
      </c>
      <c r="T1052" s="148">
        <v>1.3130990415335464</v>
      </c>
      <c r="U1052" s="148">
        <f t="shared" si="54"/>
        <v>7.9643480312314816</v>
      </c>
      <c r="V1052" s="278">
        <f t="shared" si="55"/>
        <v>4.8899755501223829E-3</v>
      </c>
      <c r="W1052" s="278">
        <f t="shared" si="56"/>
        <v>4.647165671466497E-3</v>
      </c>
    </row>
    <row r="1053" spans="1:23" x14ac:dyDescent="0.2">
      <c r="A1053" s="8">
        <v>43216</v>
      </c>
      <c r="B1053" s="9">
        <v>10.220000000000001</v>
      </c>
      <c r="E1053" s="51"/>
      <c r="F1053" s="51"/>
      <c r="G1053" s="51"/>
      <c r="H1053" s="51"/>
      <c r="I1053" s="51"/>
      <c r="J1053" s="53"/>
      <c r="K1053" s="53"/>
      <c r="L1053" s="53"/>
      <c r="M1053" s="53"/>
      <c r="N1053" s="53"/>
      <c r="O1053" s="139"/>
      <c r="P1053" s="50"/>
      <c r="Q1053" s="57"/>
      <c r="R1053" s="12">
        <v>43228</v>
      </c>
      <c r="S1053" s="11">
        <v>9.9700000000000006</v>
      </c>
      <c r="T1053" s="148">
        <v>1.2741214057507988</v>
      </c>
      <c r="U1053" s="148">
        <f t="shared" si="54"/>
        <v>7.7260029047623631</v>
      </c>
      <c r="V1053" s="278">
        <f t="shared" si="55"/>
        <v>-2.9683698296836925E-2</v>
      </c>
      <c r="W1053" s="278">
        <f t="shared" si="56"/>
        <v>-2.9926508175492809E-2</v>
      </c>
    </row>
    <row r="1054" spans="1:23" x14ac:dyDescent="0.2">
      <c r="A1054" s="8">
        <v>43217</v>
      </c>
      <c r="B1054" s="9">
        <v>10.130000000000001</v>
      </c>
      <c r="E1054" s="51"/>
      <c r="F1054" s="51"/>
      <c r="G1054" s="51"/>
      <c r="H1054" s="51"/>
      <c r="I1054" s="51"/>
      <c r="J1054" s="53"/>
      <c r="K1054" s="53"/>
      <c r="L1054" s="53"/>
      <c r="M1054" s="53"/>
      <c r="N1054" s="53"/>
      <c r="O1054" s="139"/>
      <c r="P1054" s="50"/>
      <c r="Q1054" s="57"/>
      <c r="R1054" s="12">
        <v>43229</v>
      </c>
      <c r="S1054" s="11">
        <v>10</v>
      </c>
      <c r="T1054" s="148">
        <v>1.2779552715654952</v>
      </c>
      <c r="U1054" s="148">
        <f t="shared" si="54"/>
        <v>7.7473747069047594</v>
      </c>
      <c r="V1054" s="278">
        <f t="shared" si="55"/>
        <v>3.0090270812437314E-3</v>
      </c>
      <c r="W1054" s="278">
        <f t="shared" si="56"/>
        <v>2.7662172025878454E-3</v>
      </c>
    </row>
    <row r="1055" spans="1:23" x14ac:dyDescent="0.2">
      <c r="A1055" s="8">
        <v>43220</v>
      </c>
      <c r="B1055" s="9">
        <v>10.065</v>
      </c>
      <c r="E1055" s="51"/>
      <c r="F1055" s="51"/>
      <c r="G1055" s="51"/>
      <c r="H1055" s="51"/>
      <c r="I1055" s="51"/>
      <c r="J1055" s="53"/>
      <c r="K1055" s="53"/>
      <c r="L1055" s="53"/>
      <c r="M1055" s="53"/>
      <c r="N1055" s="53"/>
      <c r="O1055" s="139"/>
      <c r="P1055" s="50"/>
      <c r="Q1055" s="57"/>
      <c r="R1055" s="12">
        <v>43230</v>
      </c>
      <c r="S1055" s="11">
        <v>9.8699999999999992</v>
      </c>
      <c r="T1055" s="148">
        <v>1.2613418530351437</v>
      </c>
      <c r="U1055" s="148">
        <f t="shared" si="54"/>
        <v>7.6447776966025112</v>
      </c>
      <c r="V1055" s="278">
        <f t="shared" si="55"/>
        <v>-1.3000000000000123E-2</v>
      </c>
      <c r="W1055" s="278">
        <f t="shared" si="56"/>
        <v>-1.3242809878656009E-2</v>
      </c>
    </row>
    <row r="1056" spans="1:23" x14ac:dyDescent="0.2">
      <c r="A1056" s="8">
        <v>43222</v>
      </c>
      <c r="B1056" s="9">
        <v>10.19</v>
      </c>
      <c r="E1056" s="51"/>
      <c r="F1056" s="51"/>
      <c r="G1056" s="51"/>
      <c r="H1056" s="51"/>
      <c r="I1056" s="51"/>
      <c r="J1056" s="53"/>
      <c r="K1056" s="53"/>
      <c r="L1056" s="53"/>
      <c r="M1056" s="53"/>
      <c r="N1056" s="53"/>
      <c r="O1056" s="139"/>
      <c r="P1056" s="50"/>
      <c r="Q1056" s="57"/>
      <c r="R1056" s="12">
        <v>43231</v>
      </c>
      <c r="S1056" s="11">
        <v>9.9480000000000004</v>
      </c>
      <c r="T1056" s="148">
        <v>1.2713099041533547</v>
      </c>
      <c r="U1056" s="148">
        <f t="shared" si="54"/>
        <v>7.703336125626544</v>
      </c>
      <c r="V1056" s="278">
        <f t="shared" si="55"/>
        <v>7.902735562310248E-3</v>
      </c>
      <c r="W1056" s="278">
        <f t="shared" si="56"/>
        <v>7.659925683654362E-3</v>
      </c>
    </row>
    <row r="1057" spans="1:23" x14ac:dyDescent="0.2">
      <c r="A1057" s="8">
        <v>43223</v>
      </c>
      <c r="B1057" s="9">
        <v>10.015000000000001</v>
      </c>
      <c r="E1057" s="51"/>
      <c r="F1057" s="51"/>
      <c r="G1057" s="51"/>
      <c r="H1057" s="51"/>
      <c r="I1057" s="51"/>
      <c r="J1057" s="53"/>
      <c r="K1057" s="53"/>
      <c r="L1057" s="53"/>
      <c r="M1057" s="53"/>
      <c r="N1057" s="53"/>
      <c r="O1057" s="139"/>
      <c r="P1057" s="50"/>
      <c r="Q1057" s="57"/>
      <c r="R1057" s="12">
        <v>43234</v>
      </c>
      <c r="S1057" s="11">
        <v>10.029999999999999</v>
      </c>
      <c r="T1057" s="148">
        <v>1.2817891373801915</v>
      </c>
      <c r="U1057" s="148">
        <f t="shared" si="54"/>
        <v>7.7649632229727432</v>
      </c>
      <c r="V1057" s="278">
        <f t="shared" si="55"/>
        <v>8.2428628870123699E-3</v>
      </c>
      <c r="W1057" s="278">
        <f t="shared" si="56"/>
        <v>8.0000530083564839E-3</v>
      </c>
    </row>
    <row r="1058" spans="1:23" x14ac:dyDescent="0.2">
      <c r="A1058" s="8">
        <v>43224</v>
      </c>
      <c r="B1058" s="9">
        <v>10.225</v>
      </c>
      <c r="E1058" s="51"/>
      <c r="F1058" s="51"/>
      <c r="G1058" s="51"/>
      <c r="H1058" s="51"/>
      <c r="I1058" s="51"/>
      <c r="J1058" s="53"/>
      <c r="K1058" s="53"/>
      <c r="L1058" s="53"/>
      <c r="M1058" s="53"/>
      <c r="N1058" s="53"/>
      <c r="O1058" s="139"/>
      <c r="P1058" s="50"/>
      <c r="Q1058" s="57"/>
      <c r="R1058" s="12">
        <v>43235</v>
      </c>
      <c r="S1058" s="11">
        <v>9.9580000000000002</v>
      </c>
      <c r="T1058" s="148">
        <v>1.27258785942492</v>
      </c>
      <c r="U1058" s="148">
        <f t="shared" si="54"/>
        <v>7.7073372995303959</v>
      </c>
      <c r="V1058" s="278">
        <f t="shared" si="55"/>
        <v>-7.1784646061813229E-3</v>
      </c>
      <c r="W1058" s="278">
        <f t="shared" si="56"/>
        <v>-7.4212744848372088E-3</v>
      </c>
    </row>
    <row r="1059" spans="1:23" x14ac:dyDescent="0.2">
      <c r="A1059" s="8">
        <v>43227</v>
      </c>
      <c r="B1059" s="9">
        <v>10.275</v>
      </c>
      <c r="E1059" s="51"/>
      <c r="F1059" s="51"/>
      <c r="G1059" s="51"/>
      <c r="H1059" s="51"/>
      <c r="I1059" s="51"/>
      <c r="J1059" s="53"/>
      <c r="K1059" s="53"/>
      <c r="L1059" s="53"/>
      <c r="M1059" s="53"/>
      <c r="N1059" s="53"/>
      <c r="O1059" s="139"/>
      <c r="P1059" s="50"/>
      <c r="Q1059" s="57"/>
      <c r="R1059" s="12">
        <v>43236</v>
      </c>
      <c r="S1059" s="11">
        <v>9.56</v>
      </c>
      <c r="T1059" s="148">
        <v>1.2217252396166134</v>
      </c>
      <c r="U1059" s="148">
        <f t="shared" si="54"/>
        <v>7.397420064943427</v>
      </c>
      <c r="V1059" s="278">
        <f t="shared" si="55"/>
        <v>-3.9967865033139205E-2</v>
      </c>
      <c r="W1059" s="278">
        <f t="shared" si="56"/>
        <v>-4.0210674911795093E-2</v>
      </c>
    </row>
    <row r="1060" spans="1:23" x14ac:dyDescent="0.2">
      <c r="A1060" s="8">
        <v>43228</v>
      </c>
      <c r="B1060" s="9">
        <v>9.9700000000000006</v>
      </c>
      <c r="E1060" s="51"/>
      <c r="F1060" s="51"/>
      <c r="G1060" s="51"/>
      <c r="H1060" s="51"/>
      <c r="I1060" s="51"/>
      <c r="J1060" s="53"/>
      <c r="K1060" s="53"/>
      <c r="L1060" s="53"/>
      <c r="M1060" s="53"/>
      <c r="N1060" s="53"/>
      <c r="O1060" s="139"/>
      <c r="P1060" s="50"/>
      <c r="Q1060" s="57"/>
      <c r="R1060" s="12">
        <v>43237</v>
      </c>
      <c r="S1060" s="11">
        <v>9.4779999999999998</v>
      </c>
      <c r="T1060" s="148">
        <v>1.2112460063897763</v>
      </c>
      <c r="U1060" s="148">
        <f t="shared" si="54"/>
        <v>7.3321732240778772</v>
      </c>
      <c r="V1060" s="278">
        <f t="shared" si="55"/>
        <v>-8.5774058577406942E-3</v>
      </c>
      <c r="W1060" s="278">
        <f t="shared" si="56"/>
        <v>-8.8202157363965802E-3</v>
      </c>
    </row>
    <row r="1061" spans="1:23" x14ac:dyDescent="0.2">
      <c r="A1061" s="8">
        <v>43229</v>
      </c>
      <c r="B1061" s="9">
        <v>10</v>
      </c>
      <c r="E1061" s="51"/>
      <c r="F1061" s="51"/>
      <c r="G1061" s="51"/>
      <c r="H1061" s="51"/>
      <c r="I1061" s="51"/>
      <c r="J1061" s="53"/>
      <c r="K1061" s="53"/>
      <c r="L1061" s="53"/>
      <c r="M1061" s="53"/>
      <c r="N1061" s="53"/>
      <c r="O1061" s="139"/>
      <c r="P1061" s="50"/>
      <c r="Q1061" s="57"/>
      <c r="R1061" s="12">
        <v>43238</v>
      </c>
      <c r="S1061" s="11">
        <v>9.1839999999999993</v>
      </c>
      <c r="T1061" s="148">
        <v>1.1736741214057507</v>
      </c>
      <c r="U1061" s="148">
        <f t="shared" si="54"/>
        <v>7.102954734986116</v>
      </c>
      <c r="V1061" s="278">
        <f t="shared" si="55"/>
        <v>-3.1019202363367859E-2</v>
      </c>
      <c r="W1061" s="278">
        <f t="shared" si="56"/>
        <v>-3.1262012242023747E-2</v>
      </c>
    </row>
    <row r="1062" spans="1:23" x14ac:dyDescent="0.2">
      <c r="A1062" s="8">
        <v>43230</v>
      </c>
      <c r="B1062" s="9">
        <v>9.8699999999999992</v>
      </c>
      <c r="E1062" s="51"/>
      <c r="F1062" s="51"/>
      <c r="G1062" s="51"/>
      <c r="H1062" s="51"/>
      <c r="I1062" s="51"/>
      <c r="J1062" s="53"/>
      <c r="K1062" s="53"/>
      <c r="L1062" s="53"/>
      <c r="M1062" s="53"/>
      <c r="N1062" s="53"/>
      <c r="O1062" s="139"/>
      <c r="P1062" s="50"/>
      <c r="Q1062" s="57"/>
      <c r="R1062" s="12">
        <v>43241</v>
      </c>
      <c r="S1062" s="11">
        <v>9.032</v>
      </c>
      <c r="T1062" s="148">
        <v>1.1542492012779553</v>
      </c>
      <c r="U1062" s="148">
        <f t="shared" si="54"/>
        <v>6.983672454199116</v>
      </c>
      <c r="V1062" s="278">
        <f t="shared" si="55"/>
        <v>-1.6550522648083543E-2</v>
      </c>
      <c r="W1062" s="278">
        <f t="shared" si="56"/>
        <v>-1.6793332526739427E-2</v>
      </c>
    </row>
    <row r="1063" spans="1:23" x14ac:dyDescent="0.2">
      <c r="A1063" s="8">
        <v>43231</v>
      </c>
      <c r="B1063" s="9">
        <v>9.9480000000000004</v>
      </c>
      <c r="E1063" s="51"/>
      <c r="F1063" s="51"/>
      <c r="G1063" s="51"/>
      <c r="H1063" s="51"/>
      <c r="I1063" s="51"/>
      <c r="J1063" s="53"/>
      <c r="K1063" s="53"/>
      <c r="L1063" s="53"/>
      <c r="M1063" s="53"/>
      <c r="N1063" s="53"/>
      <c r="O1063" s="139"/>
      <c r="P1063" s="50"/>
      <c r="Q1063" s="57"/>
      <c r="R1063" s="12">
        <v>43242</v>
      </c>
      <c r="S1063" s="11">
        <v>9.1839999999999993</v>
      </c>
      <c r="T1063" s="148">
        <v>1.1736741214057507</v>
      </c>
      <c r="U1063" s="148">
        <f t="shared" si="54"/>
        <v>7.0995053382268516</v>
      </c>
      <c r="V1063" s="278">
        <f t="shared" si="55"/>
        <v>1.6829052258635846E-2</v>
      </c>
      <c r="W1063" s="278">
        <f t="shared" si="56"/>
        <v>1.6586242379979962E-2</v>
      </c>
    </row>
    <row r="1064" spans="1:23" x14ac:dyDescent="0.2">
      <c r="A1064" s="8">
        <v>43234</v>
      </c>
      <c r="B1064" s="9">
        <v>10.029999999999999</v>
      </c>
      <c r="E1064" s="51"/>
      <c r="F1064" s="51"/>
      <c r="G1064" s="51"/>
      <c r="H1064" s="51"/>
      <c r="I1064" s="51"/>
      <c r="J1064" s="53"/>
      <c r="K1064" s="53"/>
      <c r="L1064" s="53"/>
      <c r="M1064" s="53"/>
      <c r="N1064" s="53"/>
      <c r="O1064" s="139"/>
      <c r="P1064" s="50"/>
      <c r="Q1064" s="57"/>
      <c r="R1064" s="12">
        <v>43243</v>
      </c>
      <c r="S1064" s="11">
        <v>9.09</v>
      </c>
      <c r="T1064" s="148">
        <v>1.161661341853035</v>
      </c>
      <c r="U1064" s="148">
        <f t="shared" si="54"/>
        <v>7.0251167105280263</v>
      </c>
      <c r="V1064" s="278">
        <f t="shared" si="55"/>
        <v>-1.0235191637630647E-2</v>
      </c>
      <c r="W1064" s="278">
        <f t="shared" si="56"/>
        <v>-1.0478001516286533E-2</v>
      </c>
    </row>
    <row r="1065" spans="1:23" x14ac:dyDescent="0.2">
      <c r="A1065" s="8">
        <v>43235</v>
      </c>
      <c r="B1065" s="9">
        <v>9.9580000000000002</v>
      </c>
      <c r="E1065" s="51"/>
      <c r="F1065" s="51"/>
      <c r="G1065" s="51"/>
      <c r="H1065" s="51"/>
      <c r="I1065" s="51"/>
      <c r="J1065" s="53"/>
      <c r="K1065" s="53"/>
      <c r="L1065" s="53"/>
      <c r="M1065" s="53"/>
      <c r="N1065" s="53"/>
      <c r="O1065" s="139"/>
      <c r="P1065" s="50"/>
      <c r="Q1065" s="57"/>
      <c r="R1065" s="12">
        <v>43244</v>
      </c>
      <c r="S1065" s="11">
        <v>8.8759999999999994</v>
      </c>
      <c r="T1065" s="148">
        <v>1.1343130990415335</v>
      </c>
      <c r="U1065" s="148">
        <f t="shared" si="54"/>
        <v>6.8580231566475547</v>
      </c>
      <c r="V1065" s="278">
        <f t="shared" si="55"/>
        <v>-2.3542354235423613E-2</v>
      </c>
      <c r="W1065" s="278">
        <f t="shared" si="56"/>
        <v>-2.3785164114079497E-2</v>
      </c>
    </row>
    <row r="1066" spans="1:23" x14ac:dyDescent="0.2">
      <c r="A1066" s="8">
        <v>43236</v>
      </c>
      <c r="B1066" s="9">
        <v>9.56</v>
      </c>
      <c r="E1066" s="51"/>
      <c r="F1066" s="51"/>
      <c r="G1066" s="51"/>
      <c r="H1066" s="51"/>
      <c r="I1066" s="51"/>
      <c r="J1066" s="53"/>
      <c r="K1066" s="53"/>
      <c r="L1066" s="53"/>
      <c r="M1066" s="53"/>
      <c r="N1066" s="53"/>
      <c r="O1066" s="139"/>
      <c r="P1066" s="50"/>
      <c r="Q1066" s="57"/>
      <c r="R1066" s="12">
        <v>43245</v>
      </c>
      <c r="S1066" s="11">
        <v>8.52</v>
      </c>
      <c r="T1066" s="148">
        <v>1.0888178913738018</v>
      </c>
      <c r="U1066" s="148">
        <f t="shared" si="54"/>
        <v>6.5812952925843105</v>
      </c>
      <c r="V1066" s="278">
        <f t="shared" si="55"/>
        <v>-4.0108156827399766E-2</v>
      </c>
      <c r="W1066" s="278">
        <f t="shared" si="56"/>
        <v>-4.0350966706055653E-2</v>
      </c>
    </row>
    <row r="1067" spans="1:23" x14ac:dyDescent="0.2">
      <c r="A1067" s="8">
        <v>43237</v>
      </c>
      <c r="B1067" s="9">
        <v>9.4779999999999998</v>
      </c>
      <c r="E1067" s="51"/>
      <c r="F1067" s="51"/>
      <c r="G1067" s="51"/>
      <c r="H1067" s="51"/>
      <c r="I1067" s="51"/>
      <c r="J1067" s="53"/>
      <c r="K1067" s="53"/>
      <c r="L1067" s="53"/>
      <c r="M1067" s="53"/>
      <c r="N1067" s="53"/>
      <c r="O1067" s="139"/>
      <c r="P1067" s="50"/>
      <c r="Q1067" s="57"/>
      <c r="R1067" s="12">
        <v>43248</v>
      </c>
      <c r="S1067" s="11">
        <v>8.0020000000000007</v>
      </c>
      <c r="T1067" s="148">
        <v>1.0226198083067093</v>
      </c>
      <c r="U1067" s="148">
        <f t="shared" si="54"/>
        <v>6.1795668945237807</v>
      </c>
      <c r="V1067" s="278">
        <f t="shared" si="55"/>
        <v>-6.0798122065727545E-2</v>
      </c>
      <c r="W1067" s="278">
        <f t="shared" si="56"/>
        <v>-6.1040931944383432E-2</v>
      </c>
    </row>
    <row r="1068" spans="1:23" x14ac:dyDescent="0.2">
      <c r="A1068" s="8">
        <v>43238</v>
      </c>
      <c r="B1068" s="9">
        <v>9.1839999999999993</v>
      </c>
      <c r="E1068" s="51"/>
      <c r="F1068" s="51"/>
      <c r="G1068" s="51"/>
      <c r="H1068" s="51"/>
      <c r="I1068" s="51"/>
      <c r="J1068" s="53"/>
      <c r="K1068" s="53"/>
      <c r="L1068" s="53"/>
      <c r="M1068" s="53"/>
      <c r="N1068" s="53"/>
      <c r="O1068" s="139"/>
      <c r="P1068" s="50"/>
      <c r="Q1068" s="57"/>
      <c r="R1068" s="12">
        <v>43249</v>
      </c>
      <c r="S1068" s="11">
        <v>7.6820000000000004</v>
      </c>
      <c r="T1068" s="148">
        <v>0.9817252396166134</v>
      </c>
      <c r="U1068" s="148">
        <f t="shared" si="54"/>
        <v>5.9309455390789134</v>
      </c>
      <c r="V1068" s="278">
        <f t="shared" si="55"/>
        <v>-3.9990002499375232E-2</v>
      </c>
      <c r="W1068" s="278">
        <f t="shared" si="56"/>
        <v>-4.023281237803112E-2</v>
      </c>
    </row>
    <row r="1069" spans="1:23" x14ac:dyDescent="0.2">
      <c r="A1069" s="8">
        <v>43241</v>
      </c>
      <c r="B1069" s="9">
        <v>9.032</v>
      </c>
      <c r="E1069" s="51"/>
      <c r="F1069" s="51"/>
      <c r="G1069" s="51"/>
      <c r="H1069" s="51"/>
      <c r="I1069" s="51"/>
      <c r="J1069" s="53"/>
      <c r="K1069" s="53"/>
      <c r="L1069" s="53"/>
      <c r="M1069" s="53"/>
      <c r="N1069" s="53"/>
      <c r="O1069" s="139"/>
      <c r="P1069" s="50"/>
      <c r="Q1069" s="57"/>
      <c r="R1069" s="12">
        <v>43250</v>
      </c>
      <c r="S1069" s="11">
        <v>8.2240000000000002</v>
      </c>
      <c r="T1069" s="148">
        <v>1.0509904153354632</v>
      </c>
      <c r="U1069" s="148">
        <f t="shared" si="54"/>
        <v>6.3479605995002233</v>
      </c>
      <c r="V1069" s="278">
        <f t="shared" si="55"/>
        <v>7.0554543087737454E-2</v>
      </c>
      <c r="W1069" s="278">
        <f t="shared" si="56"/>
        <v>7.0311733209081573E-2</v>
      </c>
    </row>
    <row r="1070" spans="1:23" x14ac:dyDescent="0.2">
      <c r="A1070" s="8">
        <v>43242</v>
      </c>
      <c r="B1070" s="9">
        <v>9.1839999999999993</v>
      </c>
      <c r="E1070" s="51"/>
      <c r="F1070" s="51"/>
      <c r="G1070" s="51"/>
      <c r="H1070" s="51"/>
      <c r="I1070" s="51"/>
      <c r="J1070" s="53"/>
      <c r="K1070" s="53"/>
      <c r="L1070" s="53"/>
      <c r="M1070" s="53"/>
      <c r="N1070" s="53"/>
      <c r="O1070" s="139"/>
      <c r="P1070" s="50"/>
      <c r="Q1070" s="57"/>
      <c r="R1070" s="12">
        <v>43251</v>
      </c>
      <c r="S1070" s="11">
        <v>8.0679999999999996</v>
      </c>
      <c r="T1070" s="148">
        <v>1.0310543130990415</v>
      </c>
      <c r="U1070" s="148">
        <f t="shared" si="54"/>
        <v>6.226005602453208</v>
      </c>
      <c r="V1070" s="278">
        <f t="shared" si="55"/>
        <v>-1.8968871595330783E-2</v>
      </c>
      <c r="W1070" s="278">
        <f t="shared" si="56"/>
        <v>-1.9211681473986667E-2</v>
      </c>
    </row>
    <row r="1071" spans="1:23" x14ac:dyDescent="0.2">
      <c r="A1071" s="8">
        <v>43243</v>
      </c>
      <c r="B1071" s="9">
        <v>9.09</v>
      </c>
      <c r="E1071" s="51"/>
      <c r="F1071" s="51"/>
      <c r="G1071" s="51"/>
      <c r="H1071" s="51"/>
      <c r="I1071" s="51"/>
      <c r="J1071" s="53"/>
      <c r="K1071" s="53"/>
      <c r="L1071" s="53"/>
      <c r="M1071" s="53"/>
      <c r="N1071" s="53"/>
      <c r="O1071" s="139"/>
      <c r="P1071" s="50"/>
      <c r="Q1071" s="57"/>
      <c r="R1071" s="12">
        <v>43252</v>
      </c>
      <c r="S1071" s="11">
        <v>8.2780000000000005</v>
      </c>
      <c r="T1071" s="148">
        <v>1.0578913738019169</v>
      </c>
      <c r="U1071" s="148">
        <f t="shared" si="54"/>
        <v>6.3865490448393292</v>
      </c>
      <c r="V1071" s="278">
        <f t="shared" si="55"/>
        <v>2.6028755577590657E-2</v>
      </c>
      <c r="W1071" s="278">
        <f t="shared" si="56"/>
        <v>2.5785945698934772E-2</v>
      </c>
    </row>
    <row r="1072" spans="1:23" x14ac:dyDescent="0.2">
      <c r="A1072" s="8">
        <v>43244</v>
      </c>
      <c r="B1072" s="9">
        <v>8.8759999999999994</v>
      </c>
      <c r="E1072" s="51"/>
      <c r="F1072" s="51"/>
      <c r="G1072" s="51"/>
      <c r="H1072" s="51"/>
      <c r="I1072" s="51"/>
      <c r="J1072" s="53"/>
      <c r="K1072" s="53"/>
      <c r="L1072" s="53"/>
      <c r="M1072" s="53"/>
      <c r="N1072" s="53"/>
      <c r="O1072" s="139"/>
      <c r="P1072" s="50"/>
      <c r="Q1072" s="57"/>
      <c r="R1072" s="12">
        <v>43255</v>
      </c>
      <c r="S1072" s="11">
        <v>8.1359999999999992</v>
      </c>
      <c r="T1072" s="148">
        <v>1.0397444089456869</v>
      </c>
      <c r="U1072" s="148">
        <f t="shared" si="54"/>
        <v>6.2754440917906145</v>
      </c>
      <c r="V1072" s="278">
        <f t="shared" si="55"/>
        <v>-1.7153901908673719E-2</v>
      </c>
      <c r="W1072" s="278">
        <f t="shared" si="56"/>
        <v>-1.7396711787329603E-2</v>
      </c>
    </row>
    <row r="1073" spans="1:23" x14ac:dyDescent="0.2">
      <c r="A1073" s="8">
        <v>43245</v>
      </c>
      <c r="B1073" s="9">
        <v>8.52</v>
      </c>
      <c r="E1073" s="51"/>
      <c r="F1073" s="51"/>
      <c r="G1073" s="51"/>
      <c r="H1073" s="51"/>
      <c r="I1073" s="51"/>
      <c r="J1073" s="53"/>
      <c r="K1073" s="53"/>
      <c r="L1073" s="53"/>
      <c r="M1073" s="53"/>
      <c r="N1073" s="53"/>
      <c r="O1073" s="139"/>
      <c r="P1073" s="50"/>
      <c r="Q1073" s="57"/>
      <c r="R1073" s="12">
        <v>43256</v>
      </c>
      <c r="S1073" s="11">
        <v>7.9279999999999999</v>
      </c>
      <c r="T1073" s="148">
        <v>1.0131629392971246</v>
      </c>
      <c r="U1073" s="148">
        <f t="shared" si="54"/>
        <v>6.1134861864003405</v>
      </c>
      <c r="V1073" s="278">
        <f t="shared" si="55"/>
        <v>-2.5565388397246758E-2</v>
      </c>
      <c r="W1073" s="278">
        <f t="shared" si="56"/>
        <v>-2.5808198275902642E-2</v>
      </c>
    </row>
    <row r="1074" spans="1:23" x14ac:dyDescent="0.2">
      <c r="A1074" s="8">
        <v>43248</v>
      </c>
      <c r="B1074" s="9">
        <v>8.0020000000000007</v>
      </c>
      <c r="E1074" s="51"/>
      <c r="F1074" s="51"/>
      <c r="G1074" s="51"/>
      <c r="H1074" s="51"/>
      <c r="I1074" s="51"/>
      <c r="J1074" s="53"/>
      <c r="K1074" s="53"/>
      <c r="L1074" s="53"/>
      <c r="M1074" s="53"/>
      <c r="N1074" s="53"/>
      <c r="O1074" s="139"/>
      <c r="P1074" s="50"/>
      <c r="Q1074" s="57"/>
      <c r="R1074" s="12">
        <v>43257</v>
      </c>
      <c r="S1074" s="11">
        <v>8.1820000000000004</v>
      </c>
      <c r="T1074" s="148">
        <v>1.0456230031948881</v>
      </c>
      <c r="U1074" s="148">
        <f t="shared" si="54"/>
        <v>6.3078677518016297</v>
      </c>
      <c r="V1074" s="278">
        <f t="shared" si="55"/>
        <v>3.2038345105953603E-2</v>
      </c>
      <c r="W1074" s="278">
        <f t="shared" si="56"/>
        <v>3.1795535227297715E-2</v>
      </c>
    </row>
    <row r="1075" spans="1:23" x14ac:dyDescent="0.2">
      <c r="A1075" s="8">
        <v>43249</v>
      </c>
      <c r="B1075" s="9">
        <v>7.6820000000000004</v>
      </c>
      <c r="E1075" s="51"/>
      <c r="F1075" s="51"/>
      <c r="G1075" s="51"/>
      <c r="H1075" s="51"/>
      <c r="I1075" s="51"/>
      <c r="J1075" s="53"/>
      <c r="K1075" s="53"/>
      <c r="L1075" s="53"/>
      <c r="M1075" s="53"/>
      <c r="N1075" s="53"/>
      <c r="O1075" s="139"/>
      <c r="P1075" s="50"/>
      <c r="Q1075" s="57"/>
      <c r="R1075" s="12">
        <v>43258</v>
      </c>
      <c r="S1075" s="11">
        <v>7.9980000000000002</v>
      </c>
      <c r="T1075" s="148">
        <v>1.0221086261980832</v>
      </c>
      <c r="U1075" s="148">
        <f t="shared" si="54"/>
        <v>6.1644823545084915</v>
      </c>
      <c r="V1075" s="278">
        <f t="shared" si="55"/>
        <v>-2.2488389146907872E-2</v>
      </c>
      <c r="W1075" s="278">
        <f t="shared" si="56"/>
        <v>-2.2731199025563757E-2</v>
      </c>
    </row>
    <row r="1076" spans="1:23" x14ac:dyDescent="0.2">
      <c r="A1076" s="8">
        <v>43250</v>
      </c>
      <c r="B1076" s="9">
        <v>8.2240000000000002</v>
      </c>
      <c r="E1076" s="51"/>
      <c r="F1076" s="51"/>
      <c r="G1076" s="51"/>
      <c r="H1076" s="51"/>
      <c r="I1076" s="51"/>
      <c r="J1076" s="53"/>
      <c r="K1076" s="53"/>
      <c r="L1076" s="53"/>
      <c r="M1076" s="53"/>
      <c r="N1076" s="53"/>
      <c r="O1076" s="139"/>
      <c r="P1076" s="50"/>
      <c r="Q1076" s="57"/>
      <c r="R1076" s="12">
        <v>43259</v>
      </c>
      <c r="S1076" s="11">
        <v>7.8280000000000003</v>
      </c>
      <c r="T1076" s="148">
        <v>1.0003833865814697</v>
      </c>
      <c r="U1076" s="148">
        <f t="shared" si="54"/>
        <v>6.0319575502609526</v>
      </c>
      <c r="V1076" s="278">
        <f t="shared" si="55"/>
        <v>-2.1255313828457134E-2</v>
      </c>
      <c r="W1076" s="278">
        <f t="shared" si="56"/>
        <v>-2.1498123707113018E-2</v>
      </c>
    </row>
    <row r="1077" spans="1:23" x14ac:dyDescent="0.2">
      <c r="A1077" s="8">
        <v>43251</v>
      </c>
      <c r="B1077" s="9">
        <v>8.0679999999999996</v>
      </c>
      <c r="E1077" s="51"/>
      <c r="F1077" s="51"/>
      <c r="G1077" s="51"/>
      <c r="H1077" s="51"/>
      <c r="I1077" s="51"/>
      <c r="J1077" s="53"/>
      <c r="K1077" s="53"/>
      <c r="L1077" s="53"/>
      <c r="M1077" s="53"/>
      <c r="N1077" s="53"/>
      <c r="O1077" s="139"/>
      <c r="P1077" s="50"/>
      <c r="Q1077" s="57"/>
      <c r="R1077" s="12">
        <v>43262</v>
      </c>
      <c r="S1077" s="11">
        <v>8.2100000000000009</v>
      </c>
      <c r="T1077" s="148">
        <v>1.0492012779552717</v>
      </c>
      <c r="U1077" s="148">
        <f t="shared" si="54"/>
        <v>6.3248475282375098</v>
      </c>
      <c r="V1077" s="278">
        <f t="shared" si="55"/>
        <v>4.8799182422074594E-2</v>
      </c>
      <c r="W1077" s="278">
        <f t="shared" si="56"/>
        <v>4.8556372543418706E-2</v>
      </c>
    </row>
    <row r="1078" spans="1:23" x14ac:dyDescent="0.2">
      <c r="A1078" s="8">
        <v>43252</v>
      </c>
      <c r="B1078" s="9">
        <v>8.2780000000000005</v>
      </c>
      <c r="E1078" s="51"/>
      <c r="F1078" s="51"/>
      <c r="G1078" s="51"/>
      <c r="H1078" s="51"/>
      <c r="I1078" s="51"/>
      <c r="J1078" s="53"/>
      <c r="K1078" s="53"/>
      <c r="L1078" s="53"/>
      <c r="M1078" s="53"/>
      <c r="N1078" s="53"/>
      <c r="O1078" s="139"/>
      <c r="P1078" s="50"/>
      <c r="Q1078" s="57"/>
      <c r="R1078" s="12">
        <v>43263</v>
      </c>
      <c r="S1078" s="11">
        <v>8.1</v>
      </c>
      <c r="T1078" s="148">
        <v>1.035143769968051</v>
      </c>
      <c r="U1078" s="148">
        <f t="shared" si="54"/>
        <v>6.2385696212655617</v>
      </c>
      <c r="V1078" s="278">
        <f t="shared" si="55"/>
        <v>-1.3398294762484886E-2</v>
      </c>
      <c r="W1078" s="278">
        <f t="shared" si="56"/>
        <v>-1.3641104641140772E-2</v>
      </c>
    </row>
    <row r="1079" spans="1:23" x14ac:dyDescent="0.2">
      <c r="A1079" s="8">
        <v>43255</v>
      </c>
      <c r="B1079" s="9">
        <v>8.1359999999999992</v>
      </c>
      <c r="E1079" s="51"/>
      <c r="F1079" s="51"/>
      <c r="G1079" s="51"/>
      <c r="H1079" s="51"/>
      <c r="I1079" s="51"/>
      <c r="J1079" s="53"/>
      <c r="K1079" s="53"/>
      <c r="L1079" s="53"/>
      <c r="M1079" s="53"/>
      <c r="N1079" s="53"/>
      <c r="O1079" s="139"/>
      <c r="P1079" s="50"/>
      <c r="Q1079" s="57"/>
      <c r="R1079" s="12">
        <v>43264</v>
      </c>
      <c r="S1079" s="11">
        <v>8.25</v>
      </c>
      <c r="T1079" s="148">
        <v>1.0543130990415335</v>
      </c>
      <c r="U1079" s="148">
        <f t="shared" si="54"/>
        <v>6.3525839019933095</v>
      </c>
      <c r="V1079" s="278">
        <f t="shared" si="55"/>
        <v>1.8518518518518601E-2</v>
      </c>
      <c r="W1079" s="278">
        <f t="shared" si="56"/>
        <v>1.8275708639862717E-2</v>
      </c>
    </row>
    <row r="1080" spans="1:23" x14ac:dyDescent="0.2">
      <c r="A1080" s="8">
        <v>43256</v>
      </c>
      <c r="B1080" s="9">
        <v>7.9279999999999999</v>
      </c>
      <c r="E1080" s="51"/>
      <c r="F1080" s="51"/>
      <c r="G1080" s="51"/>
      <c r="H1080" s="51"/>
      <c r="I1080" s="51"/>
      <c r="J1080" s="53"/>
      <c r="K1080" s="53"/>
      <c r="L1080" s="53"/>
      <c r="M1080" s="53"/>
      <c r="N1080" s="53"/>
      <c r="O1080" s="139"/>
      <c r="P1080" s="50"/>
      <c r="Q1080" s="57"/>
      <c r="R1080" s="12">
        <v>43265</v>
      </c>
      <c r="S1080" s="11">
        <v>8.1660000000000004</v>
      </c>
      <c r="T1080" s="148">
        <v>1.0435782747603835</v>
      </c>
      <c r="U1080" s="148">
        <f t="shared" si="54"/>
        <v>6.2863605775920739</v>
      </c>
      <c r="V1080" s="278">
        <f t="shared" si="55"/>
        <v>-1.0181818181818181E-2</v>
      </c>
      <c r="W1080" s="278">
        <f t="shared" si="56"/>
        <v>-1.0424628060474067E-2</v>
      </c>
    </row>
    <row r="1081" spans="1:23" x14ac:dyDescent="0.2">
      <c r="A1081" s="8">
        <v>43257</v>
      </c>
      <c r="B1081" s="9">
        <v>8.1820000000000004</v>
      </c>
      <c r="E1081" s="51"/>
      <c r="F1081" s="51"/>
      <c r="G1081" s="51"/>
      <c r="H1081" s="51"/>
      <c r="I1081" s="51"/>
      <c r="J1081" s="53"/>
      <c r="K1081" s="53"/>
      <c r="L1081" s="53"/>
      <c r="M1081" s="53"/>
      <c r="N1081" s="53"/>
      <c r="O1081" s="139"/>
      <c r="P1081" s="50"/>
      <c r="Q1081" s="57"/>
      <c r="R1081" s="12">
        <v>43266</v>
      </c>
      <c r="S1081" s="11">
        <v>8.0660000000000007</v>
      </c>
      <c r="T1081" s="148">
        <v>1.0307987220447286</v>
      </c>
      <c r="U1081" s="148">
        <f t="shared" si="54"/>
        <v>6.20785205908044</v>
      </c>
      <c r="V1081" s="278">
        <f t="shared" si="55"/>
        <v>-1.2245897624295843E-2</v>
      </c>
      <c r="W1081" s="278">
        <f t="shared" si="56"/>
        <v>-1.2488707502951729E-2</v>
      </c>
    </row>
    <row r="1082" spans="1:23" x14ac:dyDescent="0.2">
      <c r="A1082" s="8">
        <v>43258</v>
      </c>
      <c r="B1082" s="9">
        <v>7.9980000000000002</v>
      </c>
      <c r="E1082" s="51"/>
      <c r="F1082" s="51"/>
      <c r="G1082" s="51"/>
      <c r="H1082" s="51"/>
      <c r="I1082" s="51"/>
      <c r="J1082" s="53"/>
      <c r="K1082" s="53"/>
      <c r="L1082" s="53"/>
      <c r="M1082" s="53"/>
      <c r="N1082" s="53"/>
      <c r="O1082" s="139"/>
      <c r="P1082" s="50"/>
      <c r="Q1082" s="57"/>
      <c r="R1082" s="12">
        <v>43269</v>
      </c>
      <c r="S1082" s="11">
        <v>8.032</v>
      </c>
      <c r="T1082" s="148">
        <v>1.0264536741214056</v>
      </c>
      <c r="U1082" s="148">
        <f t="shared" si="54"/>
        <v>6.1801772418122392</v>
      </c>
      <c r="V1082" s="278">
        <f t="shared" si="55"/>
        <v>-4.215224398710693E-3</v>
      </c>
      <c r="W1082" s="278">
        <f t="shared" si="56"/>
        <v>-4.458034277366579E-3</v>
      </c>
    </row>
    <row r="1083" spans="1:23" x14ac:dyDescent="0.2">
      <c r="A1083" s="8">
        <v>43259</v>
      </c>
      <c r="B1083" s="9">
        <v>7.8280000000000003</v>
      </c>
      <c r="E1083" s="51"/>
      <c r="F1083" s="51"/>
      <c r="G1083" s="51"/>
      <c r="H1083" s="51"/>
      <c r="I1083" s="51"/>
      <c r="J1083" s="53"/>
      <c r="K1083" s="53"/>
      <c r="L1083" s="53"/>
      <c r="M1083" s="53"/>
      <c r="N1083" s="53"/>
      <c r="O1083" s="139"/>
      <c r="P1083" s="50"/>
      <c r="Q1083" s="57"/>
      <c r="R1083" s="12">
        <v>43270</v>
      </c>
      <c r="S1083" s="11">
        <v>8.1359999999999992</v>
      </c>
      <c r="T1083" s="148">
        <v>1.0397444089456869</v>
      </c>
      <c r="U1083" s="148">
        <f t="shared" si="54"/>
        <v>6.2586988490085114</v>
      </c>
      <c r="V1083" s="278">
        <f t="shared" si="55"/>
        <v>1.294820717131473E-2</v>
      </c>
      <c r="W1083" s="278">
        <f t="shared" si="56"/>
        <v>1.2705397292658844E-2</v>
      </c>
    </row>
    <row r="1084" spans="1:23" x14ac:dyDescent="0.2">
      <c r="A1084" s="8">
        <v>43262</v>
      </c>
      <c r="B1084" s="9">
        <v>8.2100000000000009</v>
      </c>
      <c r="E1084" s="51"/>
      <c r="F1084" s="51"/>
      <c r="G1084" s="51"/>
      <c r="H1084" s="51"/>
      <c r="I1084" s="51"/>
      <c r="J1084" s="53"/>
      <c r="K1084" s="53"/>
      <c r="L1084" s="53"/>
      <c r="M1084" s="53"/>
      <c r="N1084" s="53"/>
      <c r="O1084" s="139"/>
      <c r="P1084" s="50"/>
      <c r="Q1084" s="57"/>
      <c r="R1084" s="12">
        <v>43271</v>
      </c>
      <c r="S1084" s="11">
        <v>8.31</v>
      </c>
      <c r="T1084" s="148">
        <v>1.0619808306709266</v>
      </c>
      <c r="U1084" s="148">
        <f t="shared" si="54"/>
        <v>6.3910304041721551</v>
      </c>
      <c r="V1084" s="278">
        <f t="shared" si="55"/>
        <v>2.1386430678466128E-2</v>
      </c>
      <c r="W1084" s="278">
        <f t="shared" si="56"/>
        <v>2.1143620799810244E-2</v>
      </c>
    </row>
    <row r="1085" spans="1:23" x14ac:dyDescent="0.2">
      <c r="A1085" s="8">
        <v>43263</v>
      </c>
      <c r="B1085" s="9">
        <v>8.1</v>
      </c>
      <c r="E1085" s="51"/>
      <c r="F1085" s="51"/>
      <c r="G1085" s="51"/>
      <c r="H1085" s="51"/>
      <c r="I1085" s="51"/>
      <c r="J1085" s="53"/>
      <c r="K1085" s="53"/>
      <c r="L1085" s="53"/>
      <c r="M1085" s="53"/>
      <c r="N1085" s="53"/>
      <c r="O1085" s="139"/>
      <c r="P1085" s="50"/>
      <c r="Q1085" s="57"/>
      <c r="R1085" s="12">
        <v>43272</v>
      </c>
      <c r="S1085" s="11">
        <v>8.2260000000000009</v>
      </c>
      <c r="T1085" s="148">
        <v>1.0512460063897764</v>
      </c>
      <c r="U1085" s="148">
        <f t="shared" si="54"/>
        <v>6.324876125455658</v>
      </c>
      <c r="V1085" s="278">
        <f t="shared" si="55"/>
        <v>-1.0108303249097395E-2</v>
      </c>
      <c r="W1085" s="278">
        <f t="shared" si="56"/>
        <v>-1.0351113127753281E-2</v>
      </c>
    </row>
    <row r="1086" spans="1:23" x14ac:dyDescent="0.2">
      <c r="A1086" s="8">
        <v>43264</v>
      </c>
      <c r="B1086" s="9">
        <v>8.25</v>
      </c>
      <c r="E1086" s="51"/>
      <c r="F1086" s="51"/>
      <c r="G1086" s="51"/>
      <c r="H1086" s="51"/>
      <c r="I1086" s="51"/>
      <c r="J1086" s="53"/>
      <c r="K1086" s="53"/>
      <c r="L1086" s="53"/>
      <c r="M1086" s="53"/>
      <c r="N1086" s="53"/>
      <c r="O1086" s="139"/>
      <c r="P1086" s="50"/>
      <c r="Q1086" s="57"/>
      <c r="R1086" s="12">
        <v>43273</v>
      </c>
      <c r="S1086" s="11">
        <v>8.4339999999999993</v>
      </c>
      <c r="T1086" s="148">
        <v>1.0778274760383386</v>
      </c>
      <c r="U1086" s="148">
        <f t="shared" si="54"/>
        <v>6.4832691739695223</v>
      </c>
      <c r="V1086" s="278">
        <f t="shared" si="55"/>
        <v>2.5285679552637719E-2</v>
      </c>
      <c r="W1086" s="278">
        <f t="shared" si="56"/>
        <v>2.5042869673981834E-2</v>
      </c>
    </row>
    <row r="1087" spans="1:23" x14ac:dyDescent="0.2">
      <c r="A1087" s="8">
        <v>43265</v>
      </c>
      <c r="B1087" s="9">
        <v>8.1660000000000004</v>
      </c>
      <c r="E1087" s="51"/>
      <c r="F1087" s="51"/>
      <c r="G1087" s="51"/>
      <c r="H1087" s="51"/>
      <c r="I1087" s="51"/>
      <c r="J1087" s="53"/>
      <c r="K1087" s="53"/>
      <c r="L1087" s="53"/>
      <c r="M1087" s="53"/>
      <c r="N1087" s="53"/>
      <c r="O1087" s="139"/>
      <c r="P1087" s="50"/>
      <c r="Q1087" s="57"/>
      <c r="R1087" s="12">
        <v>43276</v>
      </c>
      <c r="S1087" s="11">
        <v>8.1419999999999995</v>
      </c>
      <c r="T1087" s="148">
        <v>1.0405111821086261</v>
      </c>
      <c r="U1087" s="148">
        <f t="shared" si="54"/>
        <v>6.2572327242668528</v>
      </c>
      <c r="V1087" s="278">
        <f t="shared" si="55"/>
        <v>-3.4621769030116156E-2</v>
      </c>
      <c r="W1087" s="278">
        <f t="shared" si="56"/>
        <v>-3.4864578908772044E-2</v>
      </c>
    </row>
    <row r="1088" spans="1:23" x14ac:dyDescent="0.2">
      <c r="A1088" s="8">
        <v>43266</v>
      </c>
      <c r="B1088" s="9">
        <v>8.0660000000000007</v>
      </c>
      <c r="E1088" s="51"/>
      <c r="F1088" s="51"/>
      <c r="G1088" s="51"/>
      <c r="H1088" s="51"/>
      <c r="I1088" s="51"/>
      <c r="J1088" s="53"/>
      <c r="K1088" s="53"/>
      <c r="L1088" s="53"/>
      <c r="M1088" s="53"/>
      <c r="N1088" s="53"/>
      <c r="O1088" s="139"/>
      <c r="P1088" s="50"/>
      <c r="Q1088" s="57"/>
      <c r="R1088" s="12">
        <v>43277</v>
      </c>
      <c r="S1088" s="11">
        <v>8.09</v>
      </c>
      <c r="T1088" s="148">
        <v>1.0338658146964856</v>
      </c>
      <c r="U1088" s="148">
        <f t="shared" si="54"/>
        <v>6.2157507311258176</v>
      </c>
      <c r="V1088" s="278">
        <f t="shared" si="55"/>
        <v>-6.3866371898796404E-3</v>
      </c>
      <c r="W1088" s="278">
        <f t="shared" si="56"/>
        <v>-6.6294470685355263E-3</v>
      </c>
    </row>
    <row r="1089" spans="1:23" x14ac:dyDescent="0.2">
      <c r="A1089" s="8">
        <v>43269</v>
      </c>
      <c r="B1089" s="9">
        <v>8.032</v>
      </c>
      <c r="E1089" s="51"/>
      <c r="F1089" s="51"/>
      <c r="G1089" s="51"/>
      <c r="H1089" s="51"/>
      <c r="I1089" s="51"/>
      <c r="J1089" s="53"/>
      <c r="K1089" s="53"/>
      <c r="L1089" s="53"/>
      <c r="M1089" s="53"/>
      <c r="N1089" s="53"/>
      <c r="O1089" s="139"/>
      <c r="P1089" s="50"/>
      <c r="Q1089" s="57"/>
      <c r="R1089" s="12">
        <v>43278</v>
      </c>
      <c r="S1089" s="11">
        <v>7.9660000000000002</v>
      </c>
      <c r="T1089" s="148">
        <v>1.0180191693290734</v>
      </c>
      <c r="U1089" s="148">
        <f t="shared" si="54"/>
        <v>6.1189691627429861</v>
      </c>
      <c r="V1089" s="278">
        <f t="shared" si="55"/>
        <v>-1.5327564894931922E-2</v>
      </c>
      <c r="W1089" s="278">
        <f t="shared" si="56"/>
        <v>-1.5570374773587808E-2</v>
      </c>
    </row>
    <row r="1090" spans="1:23" x14ac:dyDescent="0.2">
      <c r="A1090" s="8">
        <v>43270</v>
      </c>
      <c r="B1090" s="9">
        <v>8.1359999999999992</v>
      </c>
      <c r="E1090" s="51"/>
      <c r="F1090" s="51"/>
      <c r="G1090" s="51"/>
      <c r="H1090" s="51"/>
      <c r="I1090" s="51"/>
      <c r="J1090" s="53"/>
      <c r="K1090" s="53"/>
      <c r="L1090" s="53"/>
      <c r="M1090" s="53"/>
      <c r="N1090" s="53"/>
      <c r="O1090" s="139"/>
      <c r="P1090" s="50"/>
      <c r="Q1090" s="57"/>
      <c r="R1090" s="12">
        <v>43279</v>
      </c>
      <c r="S1090" s="11">
        <v>7.9139999999999997</v>
      </c>
      <c r="T1090" s="148">
        <v>1.0113738019169329</v>
      </c>
      <c r="U1090" s="148">
        <f t="shared" si="54"/>
        <v>6.0775403590306531</v>
      </c>
      <c r="V1090" s="278">
        <f t="shared" si="55"/>
        <v>-6.5277429073563598E-3</v>
      </c>
      <c r="W1090" s="278">
        <f t="shared" si="56"/>
        <v>-6.7705527860122457E-3</v>
      </c>
    </row>
    <row r="1091" spans="1:23" x14ac:dyDescent="0.2">
      <c r="A1091" s="8">
        <v>43271</v>
      </c>
      <c r="B1091" s="9">
        <v>8.31</v>
      </c>
      <c r="E1091" s="51"/>
      <c r="F1091" s="51"/>
      <c r="G1091" s="51"/>
      <c r="H1091" s="51"/>
      <c r="I1091" s="51"/>
      <c r="J1091" s="53"/>
      <c r="K1091" s="53"/>
      <c r="L1091" s="53"/>
      <c r="M1091" s="53"/>
      <c r="N1091" s="53"/>
      <c r="O1091" s="139"/>
      <c r="P1091" s="50"/>
      <c r="Q1091" s="57"/>
      <c r="R1091" s="12">
        <v>43280</v>
      </c>
      <c r="S1091" s="11">
        <v>7.9619999999999997</v>
      </c>
      <c r="T1091" s="148">
        <v>1.0175079872204473</v>
      </c>
      <c r="U1091" s="148">
        <f t="shared" si="54"/>
        <v>6.1129261755083686</v>
      </c>
      <c r="V1091" s="278">
        <f t="shared" si="55"/>
        <v>6.0652009097801329E-3</v>
      </c>
      <c r="W1091" s="278">
        <f t="shared" si="56"/>
        <v>5.822391031124247E-3</v>
      </c>
    </row>
    <row r="1092" spans="1:23" x14ac:dyDescent="0.2">
      <c r="A1092" s="8">
        <v>43272</v>
      </c>
      <c r="B1092" s="9">
        <v>8.2260000000000009</v>
      </c>
      <c r="E1092" s="51"/>
      <c r="F1092" s="51"/>
      <c r="G1092" s="51"/>
      <c r="H1092" s="51"/>
      <c r="I1092" s="51"/>
      <c r="J1092" s="53"/>
      <c r="K1092" s="53"/>
      <c r="L1092" s="53"/>
      <c r="M1092" s="53"/>
      <c r="N1092" s="53"/>
      <c r="O1092" s="139"/>
      <c r="P1092" s="50"/>
      <c r="Q1092" s="57"/>
      <c r="R1092" s="12">
        <v>43283</v>
      </c>
      <c r="S1092" s="11">
        <v>7.9219999999999997</v>
      </c>
      <c r="T1092" s="148">
        <v>1.0123961661341851</v>
      </c>
      <c r="U1092" s="148">
        <f t="shared" si="54"/>
        <v>6.0807313908654645</v>
      </c>
      <c r="V1092" s="278">
        <f t="shared" si="55"/>
        <v>-5.0238633509168684E-3</v>
      </c>
      <c r="W1092" s="278">
        <f t="shared" si="56"/>
        <v>-5.2666732295727544E-3</v>
      </c>
    </row>
    <row r="1093" spans="1:23" x14ac:dyDescent="0.2">
      <c r="A1093" s="8">
        <v>43273</v>
      </c>
      <c r="B1093" s="9">
        <v>8.4339999999999993</v>
      </c>
      <c r="E1093" s="51"/>
      <c r="F1093" s="51"/>
      <c r="G1093" s="51"/>
      <c r="H1093" s="51"/>
      <c r="I1093" s="51"/>
      <c r="J1093" s="53"/>
      <c r="K1093" s="53"/>
      <c r="L1093" s="53"/>
      <c r="M1093" s="53"/>
      <c r="N1093" s="53"/>
      <c r="O1093" s="139"/>
      <c r="P1093" s="50"/>
      <c r="Q1093" s="57"/>
      <c r="R1093" s="12">
        <v>43284</v>
      </c>
      <c r="S1093" s="11">
        <v>8.0180000000000007</v>
      </c>
      <c r="T1093" s="148">
        <v>1.0246645367412142</v>
      </c>
      <c r="U1093" s="148">
        <f t="shared" si="54"/>
        <v>6.1529421563694582</v>
      </c>
      <c r="V1093" s="278">
        <f t="shared" si="55"/>
        <v>1.2118151981822978E-2</v>
      </c>
      <c r="W1093" s="278">
        <f t="shared" si="56"/>
        <v>1.1875342103167092E-2</v>
      </c>
    </row>
    <row r="1094" spans="1:23" x14ac:dyDescent="0.2">
      <c r="A1094" s="8">
        <v>43276</v>
      </c>
      <c r="B1094" s="9">
        <v>8.1419999999999995</v>
      </c>
      <c r="E1094" s="51"/>
      <c r="F1094" s="51"/>
      <c r="G1094" s="51"/>
      <c r="H1094" s="51"/>
      <c r="I1094" s="51"/>
      <c r="J1094" s="53"/>
      <c r="K1094" s="53"/>
      <c r="L1094" s="53"/>
      <c r="M1094" s="53"/>
      <c r="N1094" s="53"/>
      <c r="O1094" s="139"/>
      <c r="P1094" s="50"/>
      <c r="Q1094" s="57"/>
      <c r="R1094" s="12">
        <v>43285</v>
      </c>
      <c r="S1094" s="11">
        <v>8.1259999999999994</v>
      </c>
      <c r="T1094" s="148">
        <v>1.0384664536741213</v>
      </c>
      <c r="U1094" s="148">
        <f t="shared" si="54"/>
        <v>6.2343264042951851</v>
      </c>
      <c r="V1094" s="278">
        <f t="shared" si="55"/>
        <v>1.3469693190321541E-2</v>
      </c>
      <c r="W1094" s="278">
        <f t="shared" si="56"/>
        <v>1.3226883311665655E-2</v>
      </c>
    </row>
    <row r="1095" spans="1:23" x14ac:dyDescent="0.2">
      <c r="A1095" s="8">
        <v>43277</v>
      </c>
      <c r="B1095" s="9">
        <v>8.09</v>
      </c>
      <c r="E1095" s="51"/>
      <c r="F1095" s="51"/>
      <c r="G1095" s="51"/>
      <c r="H1095" s="51"/>
      <c r="I1095" s="51"/>
      <c r="J1095" s="53"/>
      <c r="K1095" s="53"/>
      <c r="L1095" s="53"/>
      <c r="M1095" s="53"/>
      <c r="N1095" s="53"/>
      <c r="O1095" s="139"/>
      <c r="P1095" s="50"/>
      <c r="Q1095" s="57"/>
      <c r="R1095" s="12">
        <v>43286</v>
      </c>
      <c r="S1095" s="11">
        <v>8.2319999999999993</v>
      </c>
      <c r="T1095" s="148">
        <v>1.0520127795527154</v>
      </c>
      <c r="U1095" s="148">
        <f t="shared" si="54"/>
        <v>6.3141366205507481</v>
      </c>
      <c r="V1095" s="278">
        <f t="shared" si="55"/>
        <v>1.3044548363278397E-2</v>
      </c>
      <c r="W1095" s="278">
        <f t="shared" si="56"/>
        <v>1.2801738484622511E-2</v>
      </c>
    </row>
    <row r="1096" spans="1:23" x14ac:dyDescent="0.2">
      <c r="A1096" s="8">
        <v>43278</v>
      </c>
      <c r="B1096" s="9">
        <v>7.9660000000000002</v>
      </c>
      <c r="E1096" s="51"/>
      <c r="F1096" s="51"/>
      <c r="G1096" s="51"/>
      <c r="H1096" s="51"/>
      <c r="I1096" s="51"/>
      <c r="J1096" s="53"/>
      <c r="K1096" s="53"/>
      <c r="L1096" s="53"/>
      <c r="M1096" s="53"/>
      <c r="N1096" s="53"/>
      <c r="O1096" s="139"/>
      <c r="P1096" s="50"/>
      <c r="Q1096" s="57"/>
      <c r="R1096" s="12">
        <v>43287</v>
      </c>
      <c r="S1096" s="11">
        <v>8.1020000000000003</v>
      </c>
      <c r="T1096" s="148">
        <v>1.0353993610223642</v>
      </c>
      <c r="U1096" s="148">
        <f t="shared" si="54"/>
        <v>6.2128904439343691</v>
      </c>
      <c r="V1096" s="278">
        <f t="shared" si="55"/>
        <v>-1.5792031098153414E-2</v>
      </c>
      <c r="W1096" s="278">
        <f t="shared" si="56"/>
        <v>-1.6034840976809298E-2</v>
      </c>
    </row>
    <row r="1097" spans="1:23" x14ac:dyDescent="0.2">
      <c r="A1097" s="8">
        <v>43279</v>
      </c>
      <c r="B1097" s="9">
        <v>7.9139999999999997</v>
      </c>
      <c r="E1097" s="51"/>
      <c r="F1097" s="51"/>
      <c r="G1097" s="51"/>
      <c r="H1097" s="51"/>
      <c r="I1097" s="51"/>
      <c r="J1097" s="53"/>
      <c r="K1097" s="53"/>
      <c r="L1097" s="53"/>
      <c r="M1097" s="53"/>
      <c r="N1097" s="53"/>
      <c r="O1097" s="139"/>
      <c r="P1097" s="50"/>
      <c r="Q1097" s="57"/>
      <c r="R1097" s="12">
        <v>43290</v>
      </c>
      <c r="S1097" s="11">
        <v>8.1539999999999999</v>
      </c>
      <c r="T1097" s="148">
        <v>1.0420447284345047</v>
      </c>
      <c r="U1097" s="148">
        <f t="shared" si="54"/>
        <v>6.2512572695905524</v>
      </c>
      <c r="V1097" s="278">
        <f t="shared" si="55"/>
        <v>6.418168353492959E-3</v>
      </c>
      <c r="W1097" s="278">
        <f t="shared" si="56"/>
        <v>6.175358474837073E-3</v>
      </c>
    </row>
    <row r="1098" spans="1:23" x14ac:dyDescent="0.2">
      <c r="A1098" s="8">
        <v>43280</v>
      </c>
      <c r="B1098" s="9">
        <v>7.9619999999999997</v>
      </c>
      <c r="E1098" s="51"/>
      <c r="F1098" s="51"/>
      <c r="G1098" s="51"/>
      <c r="H1098" s="51"/>
      <c r="I1098" s="51"/>
      <c r="J1098" s="53"/>
      <c r="K1098" s="53"/>
      <c r="L1098" s="53"/>
      <c r="M1098" s="53"/>
      <c r="N1098" s="53"/>
      <c r="O1098" s="139"/>
      <c r="P1098" s="50"/>
      <c r="Q1098" s="57"/>
      <c r="R1098" s="12">
        <v>43291</v>
      </c>
      <c r="S1098" s="11">
        <v>8.0440000000000005</v>
      </c>
      <c r="T1098" s="148">
        <v>1.0279872204472844</v>
      </c>
      <c r="U1098" s="148">
        <f t="shared" si="54"/>
        <v>6.165407994715828</v>
      </c>
      <c r="V1098" s="278">
        <f t="shared" si="55"/>
        <v>-1.3490311503556507E-2</v>
      </c>
      <c r="W1098" s="278">
        <f t="shared" si="56"/>
        <v>-1.3733121382212393E-2</v>
      </c>
    </row>
    <row r="1099" spans="1:23" x14ac:dyDescent="0.2">
      <c r="A1099" s="8">
        <v>43283</v>
      </c>
      <c r="B1099" s="9">
        <v>7.9219999999999997</v>
      </c>
      <c r="E1099" s="51"/>
      <c r="F1099" s="51"/>
      <c r="G1099" s="51"/>
      <c r="H1099" s="51"/>
      <c r="I1099" s="51"/>
      <c r="J1099" s="53"/>
      <c r="K1099" s="53"/>
      <c r="L1099" s="53"/>
      <c r="M1099" s="53"/>
      <c r="N1099" s="53"/>
      <c r="O1099" s="139"/>
      <c r="P1099" s="50"/>
      <c r="Q1099" s="57"/>
      <c r="R1099" s="12">
        <v>43292</v>
      </c>
      <c r="S1099" s="11">
        <v>7.9080000000000004</v>
      </c>
      <c r="T1099" s="148">
        <v>1.0106070287539937</v>
      </c>
      <c r="U1099" s="148">
        <f t="shared" si="54"/>
        <v>6.0596723492677436</v>
      </c>
      <c r="V1099" s="278">
        <f t="shared" si="55"/>
        <v>-1.6907011437095942E-2</v>
      </c>
      <c r="W1099" s="278">
        <f t="shared" si="56"/>
        <v>-1.7149821315751827E-2</v>
      </c>
    </row>
    <row r="1100" spans="1:23" x14ac:dyDescent="0.2">
      <c r="A1100" s="8">
        <v>43284</v>
      </c>
      <c r="B1100" s="9">
        <v>8.0180000000000007</v>
      </c>
      <c r="E1100" s="51"/>
      <c r="F1100" s="51"/>
      <c r="G1100" s="51"/>
      <c r="H1100" s="51"/>
      <c r="I1100" s="51"/>
      <c r="J1100" s="53"/>
      <c r="K1100" s="53"/>
      <c r="L1100" s="53"/>
      <c r="M1100" s="53"/>
      <c r="N1100" s="53"/>
      <c r="O1100" s="139"/>
      <c r="P1100" s="50"/>
      <c r="Q1100" s="57"/>
      <c r="R1100" s="12">
        <v>43293</v>
      </c>
      <c r="S1100" s="11">
        <v>7.9420000000000002</v>
      </c>
      <c r="T1100" s="148">
        <v>1.0149520766773164</v>
      </c>
      <c r="U1100" s="148">
        <f t="shared" si="54"/>
        <v>6.0842542204686616</v>
      </c>
      <c r="V1100" s="278">
        <f t="shared" si="55"/>
        <v>4.2994436014163195E-3</v>
      </c>
      <c r="W1100" s="278">
        <f t="shared" si="56"/>
        <v>4.0566337227604336E-3</v>
      </c>
    </row>
    <row r="1101" spans="1:23" x14ac:dyDescent="0.2">
      <c r="A1101" s="8">
        <v>43285</v>
      </c>
      <c r="B1101" s="9">
        <v>8.1259999999999994</v>
      </c>
      <c r="E1101" s="51"/>
      <c r="F1101" s="51"/>
      <c r="G1101" s="51"/>
      <c r="H1101" s="51"/>
      <c r="I1101" s="51"/>
      <c r="J1101" s="53"/>
      <c r="K1101" s="53"/>
      <c r="L1101" s="53"/>
      <c r="M1101" s="53"/>
      <c r="N1101" s="53"/>
      <c r="O1101" s="139"/>
      <c r="P1101" s="50"/>
      <c r="Q1101" s="57"/>
      <c r="R1101" s="12">
        <v>43294</v>
      </c>
      <c r="S1101" s="11">
        <v>8.048</v>
      </c>
      <c r="T1101" s="148">
        <v>1.0284984025559105</v>
      </c>
      <c r="U1101" s="148">
        <f t="shared" si="54"/>
        <v>6.163982008875295</v>
      </c>
      <c r="V1101" s="278">
        <f t="shared" si="55"/>
        <v>1.3346764039284809E-2</v>
      </c>
      <c r="W1101" s="278">
        <f t="shared" si="56"/>
        <v>1.3103954160628923E-2</v>
      </c>
    </row>
    <row r="1102" spans="1:23" x14ac:dyDescent="0.2">
      <c r="A1102" s="8">
        <v>43286</v>
      </c>
      <c r="B1102" s="9">
        <v>8.2319999999999993</v>
      </c>
      <c r="E1102" s="51"/>
      <c r="F1102" s="51"/>
      <c r="G1102" s="51"/>
      <c r="H1102" s="51"/>
      <c r="I1102" s="51"/>
      <c r="J1102" s="53"/>
      <c r="K1102" s="53"/>
      <c r="L1102" s="53"/>
      <c r="M1102" s="53"/>
      <c r="N1102" s="53"/>
      <c r="O1102" s="139"/>
      <c r="P1102" s="50"/>
      <c r="Q1102" s="57"/>
      <c r="R1102" s="12">
        <v>43297</v>
      </c>
      <c r="S1102" s="11">
        <v>8.0760000000000005</v>
      </c>
      <c r="T1102" s="148">
        <v>1.0320766773162939</v>
      </c>
      <c r="U1102" s="148">
        <f t="shared" si="54"/>
        <v>6.1839305985901154</v>
      </c>
      <c r="V1102" s="278">
        <f t="shared" si="55"/>
        <v>3.4791252485089075E-3</v>
      </c>
      <c r="W1102" s="278">
        <f t="shared" si="56"/>
        <v>3.2363153698530215E-3</v>
      </c>
    </row>
    <row r="1103" spans="1:23" x14ac:dyDescent="0.2">
      <c r="A1103" s="8">
        <v>43287</v>
      </c>
      <c r="B1103" s="9">
        <v>8.1020000000000003</v>
      </c>
      <c r="E1103" s="51"/>
      <c r="F1103" s="51"/>
      <c r="G1103" s="51"/>
      <c r="H1103" s="51"/>
      <c r="I1103" s="51"/>
      <c r="J1103" s="53"/>
      <c r="K1103" s="53"/>
      <c r="L1103" s="53"/>
      <c r="M1103" s="53"/>
      <c r="N1103" s="53"/>
      <c r="O1103" s="139"/>
      <c r="P1103" s="50"/>
      <c r="Q1103" s="57"/>
      <c r="R1103" s="12">
        <v>43298</v>
      </c>
      <c r="S1103" s="11">
        <v>8.15</v>
      </c>
      <c r="T1103" s="148">
        <v>1.0415335463258786</v>
      </c>
      <c r="U1103" s="148">
        <f t="shared" si="54"/>
        <v>6.2390921381285347</v>
      </c>
      <c r="V1103" s="278">
        <f t="shared" si="55"/>
        <v>9.1629519564140338E-3</v>
      </c>
      <c r="W1103" s="278">
        <f t="shared" si="56"/>
        <v>8.9201420777581478E-3</v>
      </c>
    </row>
    <row r="1104" spans="1:23" x14ac:dyDescent="0.2">
      <c r="A1104" s="8">
        <v>43290</v>
      </c>
      <c r="B1104" s="9">
        <v>8.1539999999999999</v>
      </c>
      <c r="E1104" s="51"/>
      <c r="F1104" s="51"/>
      <c r="G1104" s="51"/>
      <c r="H1104" s="51"/>
      <c r="I1104" s="51"/>
      <c r="J1104" s="53"/>
      <c r="K1104" s="53"/>
      <c r="L1104" s="53"/>
      <c r="M1104" s="53"/>
      <c r="N1104" s="53"/>
      <c r="O1104" s="139"/>
      <c r="P1104" s="50"/>
      <c r="Q1104" s="57"/>
      <c r="R1104" s="12">
        <v>43299</v>
      </c>
      <c r="S1104" s="11">
        <v>8.1</v>
      </c>
      <c r="T1104" s="148">
        <v>1.035143769968051</v>
      </c>
      <c r="U1104" s="148">
        <f t="shared" si="54"/>
        <v>6.1993005860393282</v>
      </c>
      <c r="V1104" s="278">
        <f t="shared" si="55"/>
        <v>-6.1349693251534498E-3</v>
      </c>
      <c r="W1104" s="278">
        <f t="shared" si="56"/>
        <v>-6.3777792038093358E-3</v>
      </c>
    </row>
    <row r="1105" spans="1:23" x14ac:dyDescent="0.2">
      <c r="A1105" s="8">
        <v>43291</v>
      </c>
      <c r="B1105" s="9">
        <v>8.0440000000000005</v>
      </c>
      <c r="E1105" s="51"/>
      <c r="F1105" s="51"/>
      <c r="G1105" s="51"/>
      <c r="H1105" s="51"/>
      <c r="I1105" s="51"/>
      <c r="J1105" s="53"/>
      <c r="K1105" s="53"/>
      <c r="L1105" s="53"/>
      <c r="M1105" s="53"/>
      <c r="N1105" s="53"/>
      <c r="O1105" s="139"/>
      <c r="P1105" s="50"/>
      <c r="Q1105" s="57"/>
      <c r="R1105" s="12">
        <v>43300</v>
      </c>
      <c r="S1105" s="11">
        <v>8.1300000000000008</v>
      </c>
      <c r="T1105" s="148">
        <v>1.0389776357827476</v>
      </c>
      <c r="U1105" s="148">
        <f t="shared" si="54"/>
        <v>6.2207557071571671</v>
      </c>
      <c r="V1105" s="278">
        <f t="shared" si="55"/>
        <v>3.7037037037037646E-3</v>
      </c>
      <c r="W1105" s="278">
        <f t="shared" si="56"/>
        <v>3.4608938250478786E-3</v>
      </c>
    </row>
    <row r="1106" spans="1:23" x14ac:dyDescent="0.2">
      <c r="A1106" s="8">
        <v>43292</v>
      </c>
      <c r="B1106" s="9">
        <v>7.9080000000000004</v>
      </c>
      <c r="E1106" s="51"/>
      <c r="F1106" s="51"/>
      <c r="G1106" s="51"/>
      <c r="H1106" s="51"/>
      <c r="I1106" s="51"/>
      <c r="J1106" s="53"/>
      <c r="K1106" s="53"/>
      <c r="L1106" s="53"/>
      <c r="M1106" s="53"/>
      <c r="N1106" s="53"/>
      <c r="O1106" s="139"/>
      <c r="P1106" s="50"/>
      <c r="Q1106" s="57"/>
      <c r="R1106" s="12">
        <v>43301</v>
      </c>
      <c r="S1106" s="11">
        <v>8.0679999999999996</v>
      </c>
      <c r="T1106" s="148">
        <v>1.0310543130990415</v>
      </c>
      <c r="U1106" s="148">
        <f t="shared" si="54"/>
        <v>6.171805288796409</v>
      </c>
      <c r="V1106" s="278">
        <f t="shared" si="55"/>
        <v>-7.6260762607627264E-3</v>
      </c>
      <c r="W1106" s="278">
        <f t="shared" si="56"/>
        <v>-7.8688861394186124E-3</v>
      </c>
    </row>
    <row r="1107" spans="1:23" x14ac:dyDescent="0.2">
      <c r="A1107" s="8">
        <v>43293</v>
      </c>
      <c r="B1107" s="9">
        <v>7.9420000000000002</v>
      </c>
      <c r="E1107" s="51"/>
      <c r="F1107" s="51"/>
      <c r="G1107" s="51"/>
      <c r="H1107" s="51"/>
      <c r="I1107" s="51"/>
      <c r="J1107" s="53"/>
      <c r="K1107" s="53"/>
      <c r="L1107" s="53"/>
      <c r="M1107" s="53"/>
      <c r="N1107" s="53"/>
      <c r="O1107" s="139"/>
      <c r="P1107" s="50"/>
      <c r="Q1107" s="57"/>
      <c r="R1107" s="12">
        <v>43304</v>
      </c>
      <c r="S1107" s="11">
        <v>8.1780000000000008</v>
      </c>
      <c r="T1107" s="148">
        <v>1.045111821086262</v>
      </c>
      <c r="U1107" s="148">
        <f t="shared" si="54"/>
        <v>6.2544537861069678</v>
      </c>
      <c r="V1107" s="278">
        <f t="shared" si="55"/>
        <v>1.3634110064452365E-2</v>
      </c>
      <c r="W1107" s="278">
        <f t="shared" si="56"/>
        <v>1.3391300185796479E-2</v>
      </c>
    </row>
    <row r="1108" spans="1:23" x14ac:dyDescent="0.2">
      <c r="A1108" s="8">
        <v>43294</v>
      </c>
      <c r="B1108" s="9">
        <v>8.048</v>
      </c>
      <c r="E1108" s="51"/>
      <c r="F1108" s="51"/>
      <c r="G1108" s="51"/>
      <c r="H1108" s="51"/>
      <c r="I1108" s="51"/>
      <c r="J1108" s="53"/>
      <c r="K1108" s="53"/>
      <c r="L1108" s="53"/>
      <c r="M1108" s="53"/>
      <c r="N1108" s="53"/>
      <c r="O1108" s="139"/>
      <c r="P1108" s="50"/>
      <c r="Q1108" s="57"/>
      <c r="R1108" s="12">
        <v>43305</v>
      </c>
      <c r="S1108" s="11">
        <v>8.4179999999999993</v>
      </c>
      <c r="T1108" s="148">
        <v>1.0757827476038337</v>
      </c>
      <c r="U1108" s="148">
        <f t="shared" si="54"/>
        <v>6.4364847771638773</v>
      </c>
      <c r="V1108" s="278">
        <f t="shared" si="55"/>
        <v>2.934702861335281E-2</v>
      </c>
      <c r="W1108" s="278">
        <f t="shared" si="56"/>
        <v>2.9104218734696926E-2</v>
      </c>
    </row>
    <row r="1109" spans="1:23" x14ac:dyDescent="0.2">
      <c r="A1109" s="8">
        <v>43297</v>
      </c>
      <c r="B1109" s="9">
        <v>8.0760000000000005</v>
      </c>
      <c r="E1109" s="51"/>
      <c r="F1109" s="51"/>
      <c r="G1109" s="51"/>
      <c r="H1109" s="51"/>
      <c r="I1109" s="51"/>
      <c r="J1109" s="53"/>
      <c r="K1109" s="53"/>
      <c r="L1109" s="53"/>
      <c r="M1109" s="53"/>
      <c r="N1109" s="53"/>
      <c r="O1109" s="139"/>
      <c r="P1109" s="50"/>
      <c r="Q1109" s="57"/>
      <c r="R1109" s="12">
        <v>43306</v>
      </c>
      <c r="S1109" s="11">
        <v>8.5139999999999993</v>
      </c>
      <c r="T1109" s="148">
        <v>1.0880511182108625</v>
      </c>
      <c r="U1109" s="148">
        <f t="shared" si="54"/>
        <v>6.508324469954724</v>
      </c>
      <c r="V1109" s="278">
        <f t="shared" si="55"/>
        <v>1.1404133998574428E-2</v>
      </c>
      <c r="W1109" s="278">
        <f t="shared" si="56"/>
        <v>1.1161324119918542E-2</v>
      </c>
    </row>
    <row r="1110" spans="1:23" x14ac:dyDescent="0.2">
      <c r="A1110" s="8">
        <v>43298</v>
      </c>
      <c r="B1110" s="9">
        <v>8.15</v>
      </c>
      <c r="E1110" s="51"/>
      <c r="F1110" s="51"/>
      <c r="G1110" s="51"/>
      <c r="H1110" s="51"/>
      <c r="I1110" s="51"/>
      <c r="J1110" s="53"/>
      <c r="K1110" s="53"/>
      <c r="L1110" s="53"/>
      <c r="M1110" s="53"/>
      <c r="N1110" s="53"/>
      <c r="O1110" s="139"/>
      <c r="P1110" s="50"/>
      <c r="Q1110" s="57"/>
      <c r="R1110" s="12">
        <v>43307</v>
      </c>
      <c r="S1110" s="11">
        <v>8.5939999999999994</v>
      </c>
      <c r="T1110" s="148">
        <v>1.0982747603833865</v>
      </c>
      <c r="U1110" s="148">
        <f t="shared" si="54"/>
        <v>6.5678982786303051</v>
      </c>
      <c r="V1110" s="278">
        <f t="shared" si="55"/>
        <v>9.396288466055891E-3</v>
      </c>
      <c r="W1110" s="278">
        <f t="shared" si="56"/>
        <v>9.153478587400005E-3</v>
      </c>
    </row>
    <row r="1111" spans="1:23" x14ac:dyDescent="0.2">
      <c r="A1111" s="8">
        <v>43299</v>
      </c>
      <c r="B1111" s="9">
        <v>8.1</v>
      </c>
      <c r="E1111" s="51"/>
      <c r="F1111" s="51"/>
      <c r="G1111" s="51"/>
      <c r="H1111" s="51"/>
      <c r="I1111" s="51"/>
      <c r="J1111" s="53"/>
      <c r="K1111" s="53"/>
      <c r="L1111" s="53"/>
      <c r="M1111" s="53"/>
      <c r="N1111" s="53"/>
      <c r="O1111" s="139"/>
      <c r="P1111" s="50"/>
      <c r="Q1111" s="57"/>
      <c r="R1111" s="12">
        <v>43308</v>
      </c>
      <c r="S1111" s="11">
        <v>8.7520000000000007</v>
      </c>
      <c r="T1111" s="148">
        <v>1.1184664536741216</v>
      </c>
      <c r="U1111" s="148">
        <f t="shared" si="54"/>
        <v>6.6870538105716824</v>
      </c>
      <c r="V1111" s="278">
        <f t="shared" si="55"/>
        <v>1.838491971142675E-2</v>
      </c>
      <c r="W1111" s="278">
        <f t="shared" si="56"/>
        <v>1.8142109832770866E-2</v>
      </c>
    </row>
    <row r="1112" spans="1:23" x14ac:dyDescent="0.2">
      <c r="A1112" s="8">
        <v>43300</v>
      </c>
      <c r="B1112" s="9">
        <v>8.1300000000000008</v>
      </c>
      <c r="E1112" s="51"/>
      <c r="F1112" s="51"/>
      <c r="G1112" s="51"/>
      <c r="H1112" s="51"/>
      <c r="I1112" s="51"/>
      <c r="J1112" s="53"/>
      <c r="K1112" s="53"/>
      <c r="L1112" s="53"/>
      <c r="M1112" s="53"/>
      <c r="N1112" s="53"/>
      <c r="O1112" s="139"/>
      <c r="P1112" s="50"/>
      <c r="Q1112" s="57"/>
      <c r="R1112" s="12">
        <v>43311</v>
      </c>
      <c r="S1112" s="11">
        <v>8.6739999999999995</v>
      </c>
      <c r="T1112" s="148">
        <v>1.1084984025559104</v>
      </c>
      <c r="U1112" s="148">
        <f t="shared" si="54"/>
        <v>6.6258334416928246</v>
      </c>
      <c r="V1112" s="278">
        <f t="shared" si="55"/>
        <v>-8.9122486288849556E-3</v>
      </c>
      <c r="W1112" s="278">
        <f t="shared" si="56"/>
        <v>-9.1550585075408416E-3</v>
      </c>
    </row>
    <row r="1113" spans="1:23" x14ac:dyDescent="0.2">
      <c r="A1113" s="8">
        <v>43301</v>
      </c>
      <c r="B1113" s="9">
        <v>8.0679999999999996</v>
      </c>
      <c r="E1113" s="51"/>
      <c r="F1113" s="51"/>
      <c r="G1113" s="51"/>
      <c r="H1113" s="51"/>
      <c r="I1113" s="51"/>
      <c r="J1113" s="53"/>
      <c r="K1113" s="53"/>
      <c r="L1113" s="53"/>
      <c r="M1113" s="53"/>
      <c r="N1113" s="53"/>
      <c r="O1113" s="139"/>
      <c r="P1113" s="50"/>
      <c r="Q1113" s="57"/>
      <c r="R1113" s="12">
        <v>43312</v>
      </c>
      <c r="S1113" s="11">
        <v>8.8840000000000003</v>
      </c>
      <c r="T1113" s="148">
        <v>1.135335463258786</v>
      </c>
      <c r="U1113" s="148">
        <f t="shared" ref="U1113:U1176" si="57">U1112*(1+W1113)</f>
        <v>6.7846379306295441</v>
      </c>
      <c r="V1113" s="278">
        <f t="shared" ref="V1113:V1176" si="58">S1113/S1112-1</f>
        <v>2.4210283606179495E-2</v>
      </c>
      <c r="W1113" s="278">
        <f t="shared" ref="W1113:W1176" si="59">V1113-$V$3+$W$2</f>
        <v>2.396747372752361E-2</v>
      </c>
    </row>
    <row r="1114" spans="1:23" x14ac:dyDescent="0.2">
      <c r="A1114" s="8">
        <v>43304</v>
      </c>
      <c r="B1114" s="9">
        <v>8.1780000000000008</v>
      </c>
      <c r="E1114" s="51"/>
      <c r="F1114" s="51"/>
      <c r="G1114" s="51"/>
      <c r="H1114" s="51"/>
      <c r="I1114" s="51"/>
      <c r="J1114" s="53"/>
      <c r="K1114" s="53"/>
      <c r="L1114" s="53"/>
      <c r="M1114" s="53"/>
      <c r="N1114" s="53"/>
      <c r="O1114" s="139"/>
      <c r="P1114" s="50"/>
      <c r="Q1114" s="57"/>
      <c r="R1114" s="12">
        <v>43313</v>
      </c>
      <c r="S1114" s="11">
        <v>8.7740000000000009</v>
      </c>
      <c r="T1114" s="148">
        <v>1.1212779552715655</v>
      </c>
      <c r="U1114" s="148">
        <f t="shared" si="57"/>
        <v>6.6989844557715843</v>
      </c>
      <c r="V1114" s="278">
        <f t="shared" si="58"/>
        <v>-1.2381809995497428E-2</v>
      </c>
      <c r="W1114" s="278">
        <f t="shared" si="59"/>
        <v>-1.2624619874153314E-2</v>
      </c>
    </row>
    <row r="1115" spans="1:23" x14ac:dyDescent="0.2">
      <c r="A1115" s="8">
        <v>43305</v>
      </c>
      <c r="B1115" s="9">
        <v>8.4179999999999993</v>
      </c>
      <c r="E1115" s="51"/>
      <c r="F1115" s="51"/>
      <c r="G1115" s="51"/>
      <c r="H1115" s="51"/>
      <c r="I1115" s="51"/>
      <c r="J1115" s="53"/>
      <c r="K1115" s="53"/>
      <c r="L1115" s="53"/>
      <c r="M1115" s="53"/>
      <c r="N1115" s="53"/>
      <c r="O1115" s="139"/>
      <c r="P1115" s="50"/>
      <c r="Q1115" s="57"/>
      <c r="R1115" s="12">
        <v>43314</v>
      </c>
      <c r="S1115" s="11">
        <v>8.6839999999999993</v>
      </c>
      <c r="T1115" s="148">
        <v>1.109776357827476</v>
      </c>
      <c r="U1115" s="148">
        <f t="shared" si="57"/>
        <v>6.6286425124783737</v>
      </c>
      <c r="V1115" s="278">
        <f t="shared" si="58"/>
        <v>-1.0257579211306322E-2</v>
      </c>
      <c r="W1115" s="278">
        <f t="shared" si="59"/>
        <v>-1.0500389089962208E-2</v>
      </c>
    </row>
    <row r="1116" spans="1:23" x14ac:dyDescent="0.2">
      <c r="A1116" s="8">
        <v>43306</v>
      </c>
      <c r="B1116" s="9">
        <v>8.5139999999999993</v>
      </c>
      <c r="E1116" s="51"/>
      <c r="F1116" s="51"/>
      <c r="G1116" s="51"/>
      <c r="H1116" s="51"/>
      <c r="I1116" s="51"/>
      <c r="J1116" s="53"/>
      <c r="K1116" s="53"/>
      <c r="L1116" s="53"/>
      <c r="M1116" s="53"/>
      <c r="N1116" s="53"/>
      <c r="O1116" s="139"/>
      <c r="P1116" s="50"/>
      <c r="Q1116" s="57"/>
      <c r="R1116" s="12">
        <v>43315</v>
      </c>
      <c r="S1116" s="11">
        <v>8.8260000000000005</v>
      </c>
      <c r="T1116" s="148">
        <v>1.1279233226837062</v>
      </c>
      <c r="U1116" s="148">
        <f t="shared" si="57"/>
        <v>6.7354239887310605</v>
      </c>
      <c r="V1116" s="278">
        <f t="shared" si="58"/>
        <v>1.6351911561492516E-2</v>
      </c>
      <c r="W1116" s="278">
        <f t="shared" si="59"/>
        <v>1.6109101682836632E-2</v>
      </c>
    </row>
    <row r="1117" spans="1:23" x14ac:dyDescent="0.2">
      <c r="A1117" s="8">
        <v>43307</v>
      </c>
      <c r="B1117" s="9">
        <v>8.5939999999999994</v>
      </c>
      <c r="E1117" s="51"/>
      <c r="F1117" s="51"/>
      <c r="G1117" s="51"/>
      <c r="H1117" s="51"/>
      <c r="I1117" s="51"/>
      <c r="J1117" s="53"/>
      <c r="K1117" s="53"/>
      <c r="L1117" s="53"/>
      <c r="M1117" s="53"/>
      <c r="N1117" s="53"/>
      <c r="O1117" s="139"/>
      <c r="P1117" s="50"/>
      <c r="Q1117" s="57"/>
      <c r="R1117" s="12">
        <v>43318</v>
      </c>
      <c r="S1117" s="11">
        <v>8.68</v>
      </c>
      <c r="T1117" s="148">
        <v>1.1092651757188499</v>
      </c>
      <c r="U1117" s="148">
        <f t="shared" si="57"/>
        <v>6.6223709425826831</v>
      </c>
      <c r="V1117" s="278">
        <f t="shared" si="58"/>
        <v>-1.6542034896895652E-2</v>
      </c>
      <c r="W1117" s="278">
        <f t="shared" si="59"/>
        <v>-1.6784844775551536E-2</v>
      </c>
    </row>
    <row r="1118" spans="1:23" x14ac:dyDescent="0.2">
      <c r="A1118" s="8">
        <v>43308</v>
      </c>
      <c r="B1118" s="9">
        <v>8.7520000000000007</v>
      </c>
      <c r="E1118" s="51"/>
      <c r="F1118" s="51"/>
      <c r="G1118" s="51"/>
      <c r="H1118" s="51"/>
      <c r="I1118" s="51"/>
      <c r="J1118" s="53"/>
      <c r="K1118" s="53"/>
      <c r="L1118" s="53"/>
      <c r="M1118" s="53"/>
      <c r="N1118" s="53"/>
      <c r="O1118" s="139"/>
      <c r="P1118" s="50"/>
      <c r="Q1118" s="57"/>
      <c r="R1118" s="12">
        <v>43319</v>
      </c>
      <c r="S1118" s="11">
        <v>8.7940000000000005</v>
      </c>
      <c r="T1118" s="148">
        <v>1.1238338658146965</v>
      </c>
      <c r="U1118" s="148">
        <f t="shared" si="57"/>
        <v>6.7077388050661817</v>
      </c>
      <c r="V1118" s="278">
        <f t="shared" si="58"/>
        <v>1.3133640552995374E-2</v>
      </c>
      <c r="W1118" s="278">
        <f t="shared" si="59"/>
        <v>1.2890830674339488E-2</v>
      </c>
    </row>
    <row r="1119" spans="1:23" x14ac:dyDescent="0.2">
      <c r="A1119" s="8">
        <v>43311</v>
      </c>
      <c r="B1119" s="9">
        <v>8.6739999999999995</v>
      </c>
      <c r="E1119" s="51"/>
      <c r="F1119" s="51"/>
      <c r="G1119" s="51"/>
      <c r="H1119" s="51"/>
      <c r="I1119" s="51"/>
      <c r="J1119" s="53"/>
      <c r="K1119" s="53"/>
      <c r="L1119" s="53"/>
      <c r="M1119" s="53"/>
      <c r="N1119" s="53"/>
      <c r="O1119" s="139"/>
      <c r="P1119" s="50"/>
      <c r="Q1119" s="57"/>
      <c r="R1119" s="12">
        <v>43320</v>
      </c>
      <c r="S1119" s="11">
        <v>8.7880000000000003</v>
      </c>
      <c r="T1119" s="148">
        <v>1.1230670926517572</v>
      </c>
      <c r="U1119" s="148">
        <f t="shared" si="57"/>
        <v>6.7015335211501386</v>
      </c>
      <c r="V1119" s="278">
        <f t="shared" si="58"/>
        <v>-6.8228337502840297E-4</v>
      </c>
      <c r="W1119" s="278">
        <f t="shared" si="59"/>
        <v>-9.2509325368428873E-4</v>
      </c>
    </row>
    <row r="1120" spans="1:23" x14ac:dyDescent="0.2">
      <c r="A1120" s="8">
        <v>43312</v>
      </c>
      <c r="B1120" s="9">
        <v>8.8840000000000003</v>
      </c>
      <c r="E1120" s="51"/>
      <c r="F1120" s="51"/>
      <c r="G1120" s="51"/>
      <c r="H1120" s="51"/>
      <c r="I1120" s="51"/>
      <c r="J1120" s="53"/>
      <c r="K1120" s="53"/>
      <c r="L1120" s="53"/>
      <c r="M1120" s="53"/>
      <c r="N1120" s="53"/>
      <c r="O1120" s="139"/>
      <c r="P1120" s="50"/>
      <c r="Q1120" s="57"/>
      <c r="R1120" s="12">
        <v>43321</v>
      </c>
      <c r="S1120" s="11">
        <v>8.8060000000000009</v>
      </c>
      <c r="T1120" s="148">
        <v>1.1253674121405752</v>
      </c>
      <c r="U1120" s="148">
        <f t="shared" si="57"/>
        <v>6.7136327226296215</v>
      </c>
      <c r="V1120" s="278">
        <f t="shared" si="58"/>
        <v>2.0482476103778069E-3</v>
      </c>
      <c r="W1120" s="278">
        <f t="shared" si="59"/>
        <v>1.8054377317219211E-3</v>
      </c>
    </row>
    <row r="1121" spans="1:23" x14ac:dyDescent="0.2">
      <c r="A1121" s="8">
        <v>43313</v>
      </c>
      <c r="B1121" s="9">
        <v>8.7740000000000009</v>
      </c>
      <c r="E1121" s="51"/>
      <c r="F1121" s="51"/>
      <c r="G1121" s="51"/>
      <c r="H1121" s="51"/>
      <c r="I1121" s="51"/>
      <c r="J1121" s="53"/>
      <c r="K1121" s="53"/>
      <c r="L1121" s="53"/>
      <c r="M1121" s="53"/>
      <c r="N1121" s="53"/>
      <c r="O1121" s="139"/>
      <c r="P1121" s="50"/>
      <c r="Q1121" s="57"/>
      <c r="R1121" s="12">
        <v>43322</v>
      </c>
      <c r="S1121" s="11">
        <v>8.7159999999999993</v>
      </c>
      <c r="T1121" s="148">
        <v>1.1138658146964855</v>
      </c>
      <c r="U1121" s="148">
        <f t="shared" si="57"/>
        <v>6.6433872166443946</v>
      </c>
      <c r="V1121" s="278">
        <f t="shared" si="58"/>
        <v>-1.0220304337951625E-2</v>
      </c>
      <c r="W1121" s="278">
        <f t="shared" si="59"/>
        <v>-1.046311421660751E-2</v>
      </c>
    </row>
    <row r="1122" spans="1:23" x14ac:dyDescent="0.2">
      <c r="A1122" s="8">
        <v>43314</v>
      </c>
      <c r="B1122" s="9">
        <v>8.6839999999999993</v>
      </c>
      <c r="E1122" s="51"/>
      <c r="F1122" s="51"/>
      <c r="G1122" s="51"/>
      <c r="H1122" s="51"/>
      <c r="I1122" s="51"/>
      <c r="J1122" s="53"/>
      <c r="K1122" s="53"/>
      <c r="L1122" s="53"/>
      <c r="M1122" s="53"/>
      <c r="N1122" s="53"/>
      <c r="O1122" s="139"/>
      <c r="P1122" s="50"/>
      <c r="Q1122" s="57"/>
      <c r="R1122" s="12">
        <v>43325</v>
      </c>
      <c r="S1122" s="11">
        <v>8.5440000000000005</v>
      </c>
      <c r="T1122" s="148">
        <v>1.0918849840255591</v>
      </c>
      <c r="U1122" s="148">
        <f t="shared" si="57"/>
        <v>6.5106747101132116</v>
      </c>
      <c r="V1122" s="278">
        <f t="shared" si="58"/>
        <v>-1.97338228545203E-2</v>
      </c>
      <c r="W1122" s="278">
        <f t="shared" si="59"/>
        <v>-1.9976632733176184E-2</v>
      </c>
    </row>
    <row r="1123" spans="1:23" x14ac:dyDescent="0.2">
      <c r="A1123" s="8">
        <v>43315</v>
      </c>
      <c r="B1123" s="9">
        <v>8.8260000000000005</v>
      </c>
      <c r="E1123" s="51"/>
      <c r="F1123" s="51"/>
      <c r="G1123" s="51"/>
      <c r="H1123" s="51"/>
      <c r="I1123" s="51"/>
      <c r="J1123" s="53"/>
      <c r="K1123" s="53"/>
      <c r="L1123" s="53"/>
      <c r="M1123" s="53"/>
      <c r="N1123" s="53"/>
      <c r="O1123" s="139"/>
      <c r="P1123" s="50"/>
      <c r="Q1123" s="57"/>
      <c r="R1123" s="12">
        <v>43326</v>
      </c>
      <c r="S1123" s="11">
        <v>8.32</v>
      </c>
      <c r="T1123" s="148">
        <v>1.063258785942492</v>
      </c>
      <c r="U1123" s="148">
        <f t="shared" si="57"/>
        <v>6.3384020076443246</v>
      </c>
      <c r="V1123" s="278">
        <f t="shared" si="58"/>
        <v>-2.621722846441954E-2</v>
      </c>
      <c r="W1123" s="278">
        <f t="shared" si="59"/>
        <v>-2.6460038343075424E-2</v>
      </c>
    </row>
    <row r="1124" spans="1:23" x14ac:dyDescent="0.2">
      <c r="A1124" s="8">
        <v>43318</v>
      </c>
      <c r="B1124" s="9">
        <v>8.68</v>
      </c>
      <c r="E1124" s="51"/>
      <c r="F1124" s="51"/>
      <c r="G1124" s="51"/>
      <c r="H1124" s="51"/>
      <c r="I1124" s="51"/>
      <c r="J1124" s="53"/>
      <c r="K1124" s="53"/>
      <c r="L1124" s="53"/>
      <c r="M1124" s="53"/>
      <c r="N1124" s="53"/>
      <c r="O1124" s="139"/>
      <c r="P1124" s="50"/>
      <c r="Q1124" s="57"/>
      <c r="R1124" s="12">
        <v>43328</v>
      </c>
      <c r="S1124" s="11">
        <v>8.4960000000000004</v>
      </c>
      <c r="T1124" s="148">
        <v>1.0857507987220447</v>
      </c>
      <c r="U1124" s="148">
        <f t="shared" si="57"/>
        <v>6.4709445619529129</v>
      </c>
      <c r="V1124" s="278">
        <f t="shared" si="58"/>
        <v>2.1153846153846079E-2</v>
      </c>
      <c r="W1124" s="278">
        <f t="shared" si="59"/>
        <v>2.0911036275190194E-2</v>
      </c>
    </row>
    <row r="1125" spans="1:23" x14ac:dyDescent="0.2">
      <c r="A1125" s="8">
        <v>43319</v>
      </c>
      <c r="B1125" s="9">
        <v>8.7940000000000005</v>
      </c>
      <c r="E1125" s="51"/>
      <c r="F1125" s="51"/>
      <c r="G1125" s="51"/>
      <c r="H1125" s="51"/>
      <c r="I1125" s="51"/>
      <c r="J1125" s="53"/>
      <c r="K1125" s="53"/>
      <c r="L1125" s="53"/>
      <c r="M1125" s="53"/>
      <c r="N1125" s="53"/>
      <c r="O1125" s="139"/>
      <c r="P1125" s="50"/>
      <c r="Q1125" s="57"/>
      <c r="R1125" s="12">
        <v>43329</v>
      </c>
      <c r="S1125" s="11">
        <v>8.4019999999999992</v>
      </c>
      <c r="T1125" s="148">
        <v>1.0737380191693289</v>
      </c>
      <c r="U1125" s="148">
        <f t="shared" si="57"/>
        <v>6.3977786270742074</v>
      </c>
      <c r="V1125" s="278">
        <f t="shared" si="58"/>
        <v>-1.1064030131826885E-2</v>
      </c>
      <c r="W1125" s="278">
        <f t="shared" si="59"/>
        <v>-1.1306840010482771E-2</v>
      </c>
    </row>
    <row r="1126" spans="1:23" x14ac:dyDescent="0.2">
      <c r="A1126" s="8">
        <v>43320</v>
      </c>
      <c r="B1126" s="9">
        <v>8.7880000000000003</v>
      </c>
      <c r="E1126" s="51"/>
      <c r="F1126" s="51"/>
      <c r="G1126" s="51"/>
      <c r="H1126" s="51"/>
      <c r="I1126" s="51"/>
      <c r="J1126" s="53"/>
      <c r="K1126" s="53"/>
      <c r="L1126" s="53"/>
      <c r="M1126" s="53"/>
      <c r="N1126" s="53"/>
      <c r="O1126" s="139"/>
      <c r="P1126" s="50"/>
      <c r="Q1126" s="57"/>
      <c r="R1126" s="12">
        <v>43332</v>
      </c>
      <c r="S1126" s="11">
        <v>8.4280000000000008</v>
      </c>
      <c r="T1126" s="148">
        <v>1.0770607028753993</v>
      </c>
      <c r="U1126" s="148">
        <f t="shared" si="57"/>
        <v>6.4160231175596314</v>
      </c>
      <c r="V1126" s="278">
        <f t="shared" si="58"/>
        <v>3.0945013092122942E-3</v>
      </c>
      <c r="W1126" s="278">
        <f t="shared" si="59"/>
        <v>2.8516914305564082E-3</v>
      </c>
    </row>
    <row r="1127" spans="1:23" x14ac:dyDescent="0.2">
      <c r="A1127" s="8">
        <v>43321</v>
      </c>
      <c r="B1127" s="9">
        <v>8.8060000000000009</v>
      </c>
      <c r="E1127" s="51"/>
      <c r="F1127" s="51"/>
      <c r="G1127" s="51"/>
      <c r="H1127" s="51"/>
      <c r="I1127" s="51"/>
      <c r="J1127" s="53"/>
      <c r="K1127" s="53"/>
      <c r="L1127" s="53"/>
      <c r="M1127" s="53"/>
      <c r="N1127" s="53"/>
      <c r="O1127" s="139"/>
      <c r="P1127" s="50"/>
      <c r="Q1127" s="57"/>
      <c r="R1127" s="12">
        <v>43333</v>
      </c>
      <c r="S1127" s="11">
        <v>8.5660000000000007</v>
      </c>
      <c r="T1127" s="148">
        <v>1.0946964856230033</v>
      </c>
      <c r="U1127" s="148">
        <f t="shared" si="57"/>
        <v>6.5195211514801468</v>
      </c>
      <c r="V1127" s="278">
        <f t="shared" si="58"/>
        <v>1.6373991457047987E-2</v>
      </c>
      <c r="W1127" s="278">
        <f t="shared" si="59"/>
        <v>1.6131181578392103E-2</v>
      </c>
    </row>
    <row r="1128" spans="1:23" x14ac:dyDescent="0.2">
      <c r="A1128" s="8">
        <v>43322</v>
      </c>
      <c r="B1128" s="9">
        <v>8.7159999999999993</v>
      </c>
      <c r="E1128" s="51"/>
      <c r="F1128" s="51"/>
      <c r="G1128" s="51"/>
      <c r="H1128" s="51"/>
      <c r="I1128" s="51"/>
      <c r="J1128" s="53"/>
      <c r="K1128" s="53"/>
      <c r="L1128" s="53"/>
      <c r="M1128" s="53"/>
      <c r="N1128" s="53"/>
      <c r="O1128" s="139"/>
      <c r="P1128" s="50"/>
      <c r="Q1128" s="57"/>
      <c r="R1128" s="12">
        <v>43334</v>
      </c>
      <c r="S1128" s="11">
        <v>8.3940000000000001</v>
      </c>
      <c r="T1128" s="148">
        <v>1.0727156549520767</v>
      </c>
      <c r="U1128" s="148">
        <f t="shared" si="57"/>
        <v>6.3870301811888632</v>
      </c>
      <c r="V1128" s="278">
        <f t="shared" si="58"/>
        <v>-2.0079383609619472E-2</v>
      </c>
      <c r="W1128" s="278">
        <f t="shared" si="59"/>
        <v>-2.0322193488275356E-2</v>
      </c>
    </row>
    <row r="1129" spans="1:23" x14ac:dyDescent="0.2">
      <c r="A1129" s="8">
        <v>43325</v>
      </c>
      <c r="B1129" s="9">
        <v>8.5440000000000005</v>
      </c>
      <c r="E1129" s="51"/>
      <c r="F1129" s="51"/>
      <c r="G1129" s="51"/>
      <c r="H1129" s="51"/>
      <c r="I1129" s="51"/>
      <c r="J1129" s="53"/>
      <c r="K1129" s="53"/>
      <c r="L1129" s="53"/>
      <c r="M1129" s="53"/>
      <c r="N1129" s="53"/>
      <c r="O1129" s="139"/>
      <c r="P1129" s="50"/>
      <c r="Q1129" s="57"/>
      <c r="R1129" s="12">
        <v>43335</v>
      </c>
      <c r="S1129" s="11">
        <v>8.2959999999999994</v>
      </c>
      <c r="T1129" s="148">
        <v>1.0601916932907347</v>
      </c>
      <c r="U1129" s="148">
        <f t="shared" si="57"/>
        <v>6.3109107317550048</v>
      </c>
      <c r="V1129" s="278">
        <f t="shared" si="58"/>
        <v>-1.1675005956635731E-2</v>
      </c>
      <c r="W1129" s="278">
        <f t="shared" si="59"/>
        <v>-1.1917815835291617E-2</v>
      </c>
    </row>
    <row r="1130" spans="1:23" x14ac:dyDescent="0.2">
      <c r="A1130" s="8">
        <v>43326</v>
      </c>
      <c r="B1130" s="9">
        <v>8.32</v>
      </c>
      <c r="E1130" s="51"/>
      <c r="F1130" s="51"/>
      <c r="G1130" s="51"/>
      <c r="H1130" s="51"/>
      <c r="I1130" s="51"/>
      <c r="J1130" s="53"/>
      <c r="K1130" s="53"/>
      <c r="L1130" s="53"/>
      <c r="M1130" s="53"/>
      <c r="N1130" s="53"/>
      <c r="O1130" s="139"/>
      <c r="P1130" s="50"/>
      <c r="Q1130" s="57"/>
      <c r="R1130" s="12">
        <v>43336</v>
      </c>
      <c r="S1130" s="11">
        <v>8.3040000000000003</v>
      </c>
      <c r="T1130" s="148">
        <v>1.0612140575079871</v>
      </c>
      <c r="U1130" s="148">
        <f t="shared" si="57"/>
        <v>6.3154641186965828</v>
      </c>
      <c r="V1130" s="278">
        <f t="shared" si="58"/>
        <v>9.6432015429126494E-4</v>
      </c>
      <c r="W1130" s="278">
        <f t="shared" si="59"/>
        <v>7.2151027563537929E-4</v>
      </c>
    </row>
    <row r="1131" spans="1:23" x14ac:dyDescent="0.2">
      <c r="A1131" s="8">
        <v>43328</v>
      </c>
      <c r="B1131" s="9">
        <v>8.4960000000000004</v>
      </c>
      <c r="E1131" s="51"/>
      <c r="F1131" s="51"/>
      <c r="G1131" s="51"/>
      <c r="H1131" s="51"/>
      <c r="I1131" s="51"/>
      <c r="J1131" s="53"/>
      <c r="K1131" s="53"/>
      <c r="L1131" s="53"/>
      <c r="M1131" s="53"/>
      <c r="N1131" s="53"/>
      <c r="O1131" s="139"/>
      <c r="P1131" s="50"/>
      <c r="Q1131" s="57"/>
      <c r="R1131" s="12">
        <v>43339</v>
      </c>
      <c r="S1131" s="11">
        <v>8.2880000000000003</v>
      </c>
      <c r="T1131" s="148">
        <v>1.0591693290734825</v>
      </c>
      <c r="U1131" s="148">
        <f t="shared" si="57"/>
        <v>6.3017621373067856</v>
      </c>
      <c r="V1131" s="278">
        <f t="shared" si="58"/>
        <v>-1.9267822736031004E-3</v>
      </c>
      <c r="W1131" s="278">
        <f t="shared" si="59"/>
        <v>-2.1695921522589864E-3</v>
      </c>
    </row>
    <row r="1132" spans="1:23" x14ac:dyDescent="0.2">
      <c r="A1132" s="8">
        <v>43329</v>
      </c>
      <c r="B1132" s="9">
        <v>8.4019999999999992</v>
      </c>
      <c r="E1132" s="51"/>
      <c r="F1132" s="51"/>
      <c r="G1132" s="51"/>
      <c r="H1132" s="51"/>
      <c r="I1132" s="51"/>
      <c r="J1132" s="53"/>
      <c r="K1132" s="53"/>
      <c r="L1132" s="53"/>
      <c r="M1132" s="53"/>
      <c r="N1132" s="53"/>
      <c r="O1132" s="139"/>
      <c r="P1132" s="50"/>
      <c r="Q1132" s="57"/>
      <c r="R1132" s="12">
        <v>43340</v>
      </c>
      <c r="S1132" s="11">
        <v>8.2379999999999995</v>
      </c>
      <c r="T1132" s="148">
        <v>1.0527795527156549</v>
      </c>
      <c r="U1132" s="148">
        <f t="shared" si="57"/>
        <v>6.2622146197955484</v>
      </c>
      <c r="V1132" s="278">
        <f t="shared" si="58"/>
        <v>-6.0328185328186734E-3</v>
      </c>
      <c r="W1132" s="278">
        <f t="shared" si="59"/>
        <v>-6.2756284114745594E-3</v>
      </c>
    </row>
    <row r="1133" spans="1:23" x14ac:dyDescent="0.2">
      <c r="A1133" s="8">
        <v>43332</v>
      </c>
      <c r="B1133" s="9">
        <v>8.4280000000000008</v>
      </c>
      <c r="E1133" s="51"/>
      <c r="F1133" s="51"/>
      <c r="G1133" s="51"/>
      <c r="H1133" s="51"/>
      <c r="I1133" s="51"/>
      <c r="J1133" s="53"/>
      <c r="K1133" s="53"/>
      <c r="L1133" s="53"/>
      <c r="M1133" s="53"/>
      <c r="N1133" s="53"/>
      <c r="O1133" s="139"/>
      <c r="P1133" s="50"/>
      <c r="Q1133" s="57"/>
      <c r="R1133" s="12">
        <v>43341</v>
      </c>
      <c r="S1133" s="11">
        <v>8.2740000000000009</v>
      </c>
      <c r="T1133" s="148">
        <v>1.0573801916932908</v>
      </c>
      <c r="U1133" s="148">
        <f t="shared" si="57"/>
        <v>6.2880599245023845</v>
      </c>
      <c r="V1133" s="278">
        <f t="shared" si="58"/>
        <v>4.3699927166789276E-3</v>
      </c>
      <c r="W1133" s="278">
        <f t="shared" si="59"/>
        <v>4.1271828380230417E-3</v>
      </c>
    </row>
    <row r="1134" spans="1:23" x14ac:dyDescent="0.2">
      <c r="A1134" s="8">
        <v>43333</v>
      </c>
      <c r="B1134" s="9">
        <v>8.5660000000000007</v>
      </c>
      <c r="E1134" s="51"/>
      <c r="F1134" s="51"/>
      <c r="G1134" s="51"/>
      <c r="H1134" s="51"/>
      <c r="I1134" s="51"/>
      <c r="J1134" s="53"/>
      <c r="K1134" s="53"/>
      <c r="L1134" s="53"/>
      <c r="M1134" s="53"/>
      <c r="N1134" s="53"/>
      <c r="O1134" s="139"/>
      <c r="P1134" s="50"/>
      <c r="Q1134" s="57"/>
      <c r="R1134" s="12">
        <v>43342</v>
      </c>
      <c r="S1134" s="11">
        <v>8.1539999999999999</v>
      </c>
      <c r="T1134" s="148">
        <v>1.0420447284345047</v>
      </c>
      <c r="U1134" s="148">
        <f t="shared" si="57"/>
        <v>6.1953357331174788</v>
      </c>
      <c r="V1134" s="278">
        <f t="shared" si="58"/>
        <v>-1.4503263234227792E-2</v>
      </c>
      <c r="W1134" s="278">
        <f t="shared" si="59"/>
        <v>-1.4746073112883678E-2</v>
      </c>
    </row>
    <row r="1135" spans="1:23" x14ac:dyDescent="0.2">
      <c r="A1135" s="8">
        <v>43334</v>
      </c>
      <c r="B1135" s="9">
        <v>8.3940000000000001</v>
      </c>
      <c r="E1135" s="51"/>
      <c r="F1135" s="51"/>
      <c r="G1135" s="51"/>
      <c r="H1135" s="51"/>
      <c r="I1135" s="51"/>
      <c r="J1135" s="53"/>
      <c r="K1135" s="53"/>
      <c r="L1135" s="53"/>
      <c r="M1135" s="53"/>
      <c r="N1135" s="53"/>
      <c r="O1135" s="139"/>
      <c r="P1135" s="50"/>
      <c r="Q1135" s="57"/>
      <c r="R1135" s="12">
        <v>43343</v>
      </c>
      <c r="S1135" s="11">
        <v>8.016</v>
      </c>
      <c r="T1135" s="148">
        <v>1.024408945686901</v>
      </c>
      <c r="U1135" s="148">
        <f t="shared" si="57"/>
        <v>6.0889802877687611</v>
      </c>
      <c r="V1135" s="278">
        <f t="shared" si="58"/>
        <v>-1.6924208977189048E-2</v>
      </c>
      <c r="W1135" s="278">
        <f t="shared" si="59"/>
        <v>-1.7167018855844932E-2</v>
      </c>
    </row>
    <row r="1136" spans="1:23" x14ac:dyDescent="0.2">
      <c r="A1136" s="8">
        <v>43335</v>
      </c>
      <c r="B1136" s="9">
        <v>8.2959999999999994</v>
      </c>
      <c r="E1136" s="51"/>
      <c r="F1136" s="51"/>
      <c r="G1136" s="51"/>
      <c r="H1136" s="51"/>
      <c r="I1136" s="51"/>
      <c r="J1136" s="53"/>
      <c r="K1136" s="53"/>
      <c r="L1136" s="53"/>
      <c r="M1136" s="53"/>
      <c r="N1136" s="53"/>
      <c r="O1136" s="139"/>
      <c r="P1136" s="50"/>
      <c r="Q1136" s="57"/>
      <c r="R1136" s="12">
        <v>43346</v>
      </c>
      <c r="S1136" s="11">
        <v>8.2379999999999995</v>
      </c>
      <c r="T1136" s="148">
        <v>1.0527795527156549</v>
      </c>
      <c r="U1136" s="148">
        <f t="shared" si="57"/>
        <v>6.2561337623113173</v>
      </c>
      <c r="V1136" s="278">
        <f t="shared" si="58"/>
        <v>2.7694610778443041E-2</v>
      </c>
      <c r="W1136" s="278">
        <f t="shared" si="59"/>
        <v>2.7451800899787156E-2</v>
      </c>
    </row>
    <row r="1137" spans="1:23" x14ac:dyDescent="0.2">
      <c r="A1137" s="8">
        <v>43336</v>
      </c>
      <c r="B1137" s="9">
        <v>8.3040000000000003</v>
      </c>
      <c r="E1137" s="51"/>
      <c r="F1137" s="51"/>
      <c r="G1137" s="51"/>
      <c r="H1137" s="51"/>
      <c r="I1137" s="51"/>
      <c r="J1137" s="53"/>
      <c r="K1137" s="53"/>
      <c r="L1137" s="53"/>
      <c r="M1137" s="53"/>
      <c r="N1137" s="53"/>
      <c r="O1137" s="139"/>
      <c r="P1137" s="50"/>
      <c r="Q1137" s="57"/>
      <c r="R1137" s="12">
        <v>43347</v>
      </c>
      <c r="S1137" s="11">
        <v>8.4819999999999993</v>
      </c>
      <c r="T1137" s="148">
        <v>1.083961661341853</v>
      </c>
      <c r="U1137" s="148">
        <f t="shared" si="57"/>
        <v>6.4399141331791903</v>
      </c>
      <c r="V1137" s="278">
        <f t="shared" si="58"/>
        <v>2.9618839524156337E-2</v>
      </c>
      <c r="W1137" s="278">
        <f t="shared" si="59"/>
        <v>2.9376029645500453E-2</v>
      </c>
    </row>
    <row r="1138" spans="1:23" x14ac:dyDescent="0.2">
      <c r="A1138" s="8">
        <v>43339</v>
      </c>
      <c r="B1138" s="9">
        <v>8.2880000000000003</v>
      </c>
      <c r="E1138" s="51"/>
      <c r="F1138" s="51"/>
      <c r="G1138" s="51"/>
      <c r="H1138" s="51"/>
      <c r="I1138" s="51"/>
      <c r="J1138" s="53"/>
      <c r="K1138" s="53"/>
      <c r="L1138" s="53"/>
      <c r="M1138" s="53"/>
      <c r="N1138" s="53"/>
      <c r="O1138" s="139"/>
      <c r="P1138" s="50"/>
      <c r="Q1138" s="57"/>
      <c r="R1138" s="12">
        <v>43348</v>
      </c>
      <c r="S1138" s="11">
        <v>8.7579999999999991</v>
      </c>
      <c r="T1138" s="148">
        <v>1.1192332268370606</v>
      </c>
      <c r="U1138" s="148">
        <f t="shared" si="57"/>
        <v>6.6479020147359957</v>
      </c>
      <c r="V1138" s="278">
        <f t="shared" si="58"/>
        <v>3.2539495402027718E-2</v>
      </c>
      <c r="W1138" s="278">
        <f t="shared" si="59"/>
        <v>3.2296685523371831E-2</v>
      </c>
    </row>
    <row r="1139" spans="1:23" x14ac:dyDescent="0.2">
      <c r="A1139" s="8">
        <v>43340</v>
      </c>
      <c r="B1139" s="9">
        <v>8.2379999999999995</v>
      </c>
      <c r="E1139" s="51"/>
      <c r="F1139" s="51"/>
      <c r="G1139" s="51"/>
      <c r="H1139" s="51"/>
      <c r="I1139" s="51"/>
      <c r="J1139" s="53"/>
      <c r="K1139" s="53"/>
      <c r="L1139" s="53"/>
      <c r="M1139" s="53"/>
      <c r="N1139" s="53"/>
      <c r="O1139" s="139"/>
      <c r="P1139" s="50"/>
      <c r="Q1139" s="57"/>
      <c r="R1139" s="12">
        <v>43349</v>
      </c>
      <c r="S1139" s="11">
        <v>8.6820000000000004</v>
      </c>
      <c r="T1139" s="148">
        <v>1.109520766773163</v>
      </c>
      <c r="U1139" s="148">
        <f t="shared" si="57"/>
        <v>6.5885988052140236</v>
      </c>
      <c r="V1139" s="278">
        <f t="shared" si="58"/>
        <v>-8.6777803151403266E-3</v>
      </c>
      <c r="W1139" s="278">
        <f t="shared" si="59"/>
        <v>-8.9205901937962125E-3</v>
      </c>
    </row>
    <row r="1140" spans="1:23" x14ac:dyDescent="0.2">
      <c r="A1140" s="8">
        <v>43341</v>
      </c>
      <c r="B1140" s="9">
        <v>8.2740000000000009</v>
      </c>
      <c r="E1140" s="51"/>
      <c r="F1140" s="51"/>
      <c r="G1140" s="51"/>
      <c r="H1140" s="51"/>
      <c r="I1140" s="51"/>
      <c r="J1140" s="53"/>
      <c r="K1140" s="53"/>
      <c r="L1140" s="53"/>
      <c r="M1140" s="53"/>
      <c r="N1140" s="53"/>
      <c r="O1140" s="139"/>
      <c r="P1140" s="50"/>
      <c r="Q1140" s="57"/>
      <c r="R1140" s="12">
        <v>43350</v>
      </c>
      <c r="S1140" s="11">
        <v>8.6839999999999993</v>
      </c>
      <c r="T1140" s="148">
        <v>1.109776357827476</v>
      </c>
      <c r="U1140" s="148">
        <f t="shared" si="57"/>
        <v>6.588516788946972</v>
      </c>
      <c r="V1140" s="278">
        <f t="shared" si="58"/>
        <v>2.3036166781831291E-4</v>
      </c>
      <c r="W1140" s="278">
        <f t="shared" si="59"/>
        <v>-1.2448210837572742E-5</v>
      </c>
    </row>
    <row r="1141" spans="1:23" x14ac:dyDescent="0.2">
      <c r="A1141" s="8">
        <v>43342</v>
      </c>
      <c r="B1141" s="9">
        <v>8.1539999999999999</v>
      </c>
      <c r="E1141" s="51"/>
      <c r="F1141" s="51"/>
      <c r="G1141" s="51"/>
      <c r="H1141" s="51"/>
      <c r="I1141" s="51"/>
      <c r="J1141" s="53"/>
      <c r="K1141" s="53"/>
      <c r="L1141" s="53"/>
      <c r="M1141" s="53"/>
      <c r="N1141" s="53"/>
      <c r="O1141" s="139"/>
      <c r="P1141" s="50"/>
      <c r="Q1141" s="57"/>
      <c r="R1141" s="12">
        <v>43353</v>
      </c>
      <c r="S1141" s="11">
        <v>9.0660000000000007</v>
      </c>
      <c r="T1141" s="148">
        <v>1.158594249201278</v>
      </c>
      <c r="U1141" s="148">
        <f t="shared" si="57"/>
        <v>6.8767389358745783</v>
      </c>
      <c r="V1141" s="278">
        <f t="shared" si="58"/>
        <v>4.3988945186550055E-2</v>
      </c>
      <c r="W1141" s="278">
        <f t="shared" si="59"/>
        <v>4.3746135307894167E-2</v>
      </c>
    </row>
    <row r="1142" spans="1:23" x14ac:dyDescent="0.2">
      <c r="A1142" s="8">
        <v>43343</v>
      </c>
      <c r="B1142" s="9">
        <v>8.016</v>
      </c>
      <c r="E1142" s="51"/>
      <c r="F1142" s="51"/>
      <c r="G1142" s="51"/>
      <c r="H1142" s="51"/>
      <c r="I1142" s="51"/>
      <c r="J1142" s="53"/>
      <c r="K1142" s="53"/>
      <c r="L1142" s="53"/>
      <c r="M1142" s="53"/>
      <c r="N1142" s="53"/>
      <c r="O1142" s="139"/>
      <c r="P1142" s="50"/>
      <c r="Q1142" s="57"/>
      <c r="R1142" s="12">
        <v>43354</v>
      </c>
      <c r="S1142" s="11">
        <v>9.0180000000000007</v>
      </c>
      <c r="T1142" s="148">
        <v>1.1524600638977636</v>
      </c>
      <c r="U1142" s="148">
        <f t="shared" si="57"/>
        <v>6.8386602536452861</v>
      </c>
      <c r="V1142" s="278">
        <f t="shared" si="58"/>
        <v>-5.2945069490403229E-3</v>
      </c>
      <c r="W1142" s="278">
        <f t="shared" si="59"/>
        <v>-5.5373168276962089E-3</v>
      </c>
    </row>
    <row r="1143" spans="1:23" x14ac:dyDescent="0.2">
      <c r="A1143" s="8">
        <v>43346</v>
      </c>
      <c r="B1143" s="9">
        <v>8.2379999999999995</v>
      </c>
      <c r="E1143" s="51"/>
      <c r="F1143" s="51"/>
      <c r="G1143" s="51"/>
      <c r="H1143" s="51"/>
      <c r="I1143" s="51"/>
      <c r="J1143" s="53"/>
      <c r="K1143" s="53"/>
      <c r="L1143" s="53"/>
      <c r="M1143" s="53"/>
      <c r="N1143" s="53"/>
      <c r="O1143" s="139"/>
      <c r="P1143" s="50"/>
      <c r="Q1143" s="57"/>
      <c r="R1143" s="12">
        <v>43355</v>
      </c>
      <c r="S1143" s="11">
        <v>9.0640000000000001</v>
      </c>
      <c r="T1143" s="148">
        <v>1.1583386581469648</v>
      </c>
      <c r="U1143" s="148">
        <f t="shared" si="57"/>
        <v>6.8718831450151763</v>
      </c>
      <c r="V1143" s="278">
        <f t="shared" si="58"/>
        <v>5.1009092925260457E-3</v>
      </c>
      <c r="W1143" s="278">
        <f t="shared" si="59"/>
        <v>4.8580994138701598E-3</v>
      </c>
    </row>
    <row r="1144" spans="1:23" x14ac:dyDescent="0.2">
      <c r="A1144" s="8">
        <v>43347</v>
      </c>
      <c r="B1144" s="9">
        <v>8.4819999999999993</v>
      </c>
      <c r="E1144" s="51"/>
      <c r="F1144" s="51"/>
      <c r="G1144" s="51"/>
      <c r="H1144" s="51"/>
      <c r="I1144" s="51"/>
      <c r="J1144" s="53"/>
      <c r="K1144" s="53"/>
      <c r="L1144" s="53"/>
      <c r="M1144" s="53"/>
      <c r="N1144" s="53"/>
      <c r="O1144" s="139"/>
      <c r="P1144" s="50"/>
      <c r="Q1144" s="57"/>
      <c r="R1144" s="12">
        <v>43356</v>
      </c>
      <c r="S1144" s="11">
        <v>9.0039999999999996</v>
      </c>
      <c r="T1144" s="148">
        <v>1.1506709265175719</v>
      </c>
      <c r="U1144" s="148">
        <f t="shared" si="57"/>
        <v>6.8247255074792843</v>
      </c>
      <c r="V1144" s="278">
        <f t="shared" si="58"/>
        <v>-6.6195939982348628E-3</v>
      </c>
      <c r="W1144" s="278">
        <f t="shared" si="59"/>
        <v>-6.8624038768907488E-3</v>
      </c>
    </row>
    <row r="1145" spans="1:23" x14ac:dyDescent="0.2">
      <c r="A1145" s="8">
        <v>43348</v>
      </c>
      <c r="B1145" s="9">
        <v>8.7579999999999991</v>
      </c>
      <c r="E1145" s="51"/>
      <c r="F1145" s="51"/>
      <c r="G1145" s="51"/>
      <c r="H1145" s="51"/>
      <c r="I1145" s="51"/>
      <c r="J1145" s="53"/>
      <c r="K1145" s="53"/>
      <c r="L1145" s="53"/>
      <c r="M1145" s="53"/>
      <c r="N1145" s="53"/>
      <c r="O1145" s="139"/>
      <c r="P1145" s="50"/>
      <c r="Q1145" s="57"/>
      <c r="R1145" s="12">
        <v>43357</v>
      </c>
      <c r="S1145" s="11">
        <v>9.0280000000000005</v>
      </c>
      <c r="T1145" s="148">
        <v>1.1537380191693292</v>
      </c>
      <c r="U1145" s="148">
        <f t="shared" si="57"/>
        <v>6.8412595797566542</v>
      </c>
      <c r="V1145" s="278">
        <f t="shared" si="58"/>
        <v>2.6654820079965447E-3</v>
      </c>
      <c r="W1145" s="278">
        <f t="shared" si="59"/>
        <v>2.4226721293406587E-3</v>
      </c>
    </row>
    <row r="1146" spans="1:23" x14ac:dyDescent="0.2">
      <c r="A1146" s="8">
        <v>43349</v>
      </c>
      <c r="B1146" s="9">
        <v>8.6820000000000004</v>
      </c>
      <c r="E1146" s="51"/>
      <c r="F1146" s="51"/>
      <c r="G1146" s="51"/>
      <c r="H1146" s="51"/>
      <c r="I1146" s="51"/>
      <c r="J1146" s="53"/>
      <c r="K1146" s="53"/>
      <c r="L1146" s="53"/>
      <c r="M1146" s="53"/>
      <c r="N1146" s="53"/>
      <c r="O1146" s="139"/>
      <c r="P1146" s="50"/>
      <c r="Q1146" s="57"/>
      <c r="R1146" s="12">
        <v>43360</v>
      </c>
      <c r="S1146" s="11">
        <v>9.1820000000000004</v>
      </c>
      <c r="T1146" s="148">
        <v>1.1734185303514377</v>
      </c>
      <c r="U1146" s="148">
        <f t="shared" si="57"/>
        <v>6.9562969451859136</v>
      </c>
      <c r="V1146" s="278">
        <f t="shared" si="58"/>
        <v>1.7058041648205569E-2</v>
      </c>
      <c r="W1146" s="278">
        <f t="shared" si="59"/>
        <v>1.6815231769549684E-2</v>
      </c>
    </row>
    <row r="1147" spans="1:23" x14ac:dyDescent="0.2">
      <c r="A1147" s="8">
        <v>43350</v>
      </c>
      <c r="B1147" s="9">
        <v>8.6839999999999993</v>
      </c>
      <c r="E1147" s="51"/>
      <c r="F1147" s="51"/>
      <c r="G1147" s="51"/>
      <c r="H1147" s="51"/>
      <c r="I1147" s="51"/>
      <c r="J1147" s="53"/>
      <c r="K1147" s="53"/>
      <c r="L1147" s="53"/>
      <c r="M1147" s="53"/>
      <c r="N1147" s="53"/>
      <c r="O1147" s="139"/>
      <c r="P1147" s="50"/>
      <c r="Q1147" s="57"/>
      <c r="R1147" s="12">
        <v>43361</v>
      </c>
      <c r="S1147" s="11">
        <v>9.2119999999999997</v>
      </c>
      <c r="T1147" s="148">
        <v>1.1772523961661341</v>
      </c>
      <c r="U1147" s="148">
        <f t="shared" si="57"/>
        <v>6.9773359324778825</v>
      </c>
      <c r="V1147" s="278">
        <f t="shared" si="58"/>
        <v>3.2672620344151859E-3</v>
      </c>
      <c r="W1147" s="278">
        <f t="shared" si="59"/>
        <v>3.0244521557592999E-3</v>
      </c>
    </row>
    <row r="1148" spans="1:23" x14ac:dyDescent="0.2">
      <c r="A1148" s="8">
        <v>43353</v>
      </c>
      <c r="B1148" s="9">
        <v>9.0660000000000007</v>
      </c>
      <c r="E1148" s="51"/>
      <c r="F1148" s="51"/>
      <c r="G1148" s="51"/>
      <c r="H1148" s="51"/>
      <c r="I1148" s="51"/>
      <c r="J1148" s="53"/>
      <c r="K1148" s="53"/>
      <c r="L1148" s="53"/>
      <c r="M1148" s="53"/>
      <c r="N1148" s="53"/>
      <c r="O1148" s="139"/>
      <c r="P1148" s="50"/>
      <c r="Q1148" s="57"/>
      <c r="R1148" s="12">
        <v>43362</v>
      </c>
      <c r="S1148" s="11">
        <v>9.3079999999999998</v>
      </c>
      <c r="T1148" s="148">
        <v>1.1895207667731629</v>
      </c>
      <c r="U1148" s="148">
        <f t="shared" si="57"/>
        <v>7.0483539081060416</v>
      </c>
      <c r="V1148" s="278">
        <f t="shared" si="58"/>
        <v>1.042118975249684E-2</v>
      </c>
      <c r="W1148" s="278">
        <f t="shared" si="59"/>
        <v>1.0178379873840954E-2</v>
      </c>
    </row>
    <row r="1149" spans="1:23" x14ac:dyDescent="0.2">
      <c r="A1149" s="8">
        <v>43354</v>
      </c>
      <c r="B1149" s="9">
        <v>9.0180000000000007</v>
      </c>
      <c r="E1149" s="51"/>
      <c r="F1149" s="51"/>
      <c r="G1149" s="51"/>
      <c r="H1149" s="51"/>
      <c r="I1149" s="51"/>
      <c r="J1149" s="53"/>
      <c r="K1149" s="53"/>
      <c r="L1149" s="53"/>
      <c r="M1149" s="53"/>
      <c r="N1149" s="53"/>
      <c r="O1149" s="139"/>
      <c r="P1149" s="50"/>
      <c r="Q1149" s="57"/>
      <c r="R1149" s="12">
        <v>43363</v>
      </c>
      <c r="S1149" s="11">
        <v>9.1739999999999995</v>
      </c>
      <c r="T1149" s="148">
        <v>1.1723961661341853</v>
      </c>
      <c r="U1149" s="148">
        <f t="shared" si="57"/>
        <v>6.9451728565839774</v>
      </c>
      <c r="V1149" s="278">
        <f t="shared" si="58"/>
        <v>-1.4396218306832909E-2</v>
      </c>
      <c r="W1149" s="278">
        <f t="shared" si="59"/>
        <v>-1.4639028185488795E-2</v>
      </c>
    </row>
    <row r="1150" spans="1:23" x14ac:dyDescent="0.2">
      <c r="A1150" s="8">
        <v>43355</v>
      </c>
      <c r="B1150" s="9">
        <v>9.0640000000000001</v>
      </c>
      <c r="E1150" s="51"/>
      <c r="F1150" s="51"/>
      <c r="G1150" s="51"/>
      <c r="H1150" s="51"/>
      <c r="I1150" s="51"/>
      <c r="J1150" s="53"/>
      <c r="K1150" s="53"/>
      <c r="L1150" s="53"/>
      <c r="M1150" s="53"/>
      <c r="N1150" s="53"/>
      <c r="O1150" s="139"/>
      <c r="P1150" s="50"/>
      <c r="Q1150" s="57"/>
      <c r="R1150" s="12">
        <v>43364</v>
      </c>
      <c r="S1150" s="11">
        <v>9.1720000000000006</v>
      </c>
      <c r="T1150" s="148">
        <v>1.1721405750798723</v>
      </c>
      <c r="U1150" s="148">
        <f t="shared" si="57"/>
        <v>6.9419724008433201</v>
      </c>
      <c r="V1150" s="278">
        <f t="shared" si="58"/>
        <v>-2.1800741225186382E-4</v>
      </c>
      <c r="W1150" s="278">
        <f t="shared" si="59"/>
        <v>-4.6081729090774947E-4</v>
      </c>
    </row>
    <row r="1151" spans="1:23" x14ac:dyDescent="0.2">
      <c r="A1151" s="8">
        <v>43356</v>
      </c>
      <c r="B1151" s="9">
        <v>9.0039999999999996</v>
      </c>
      <c r="E1151" s="51"/>
      <c r="F1151" s="51"/>
      <c r="G1151" s="51"/>
      <c r="H1151" s="51"/>
      <c r="I1151" s="51"/>
      <c r="J1151" s="53"/>
      <c r="K1151" s="53"/>
      <c r="L1151" s="53"/>
      <c r="M1151" s="53"/>
      <c r="N1151" s="53"/>
      <c r="O1151" s="139"/>
      <c r="P1151" s="50"/>
      <c r="Q1151" s="57"/>
      <c r="R1151" s="12">
        <v>43367</v>
      </c>
      <c r="S1151" s="11">
        <v>9.1059999999999999</v>
      </c>
      <c r="T1151" s="148">
        <v>1.1637060702875399</v>
      </c>
      <c r="U1151" s="148">
        <f t="shared" si="57"/>
        <v>6.8903336837246858</v>
      </c>
      <c r="V1151" s="278">
        <f t="shared" si="58"/>
        <v>-7.195813344962998E-3</v>
      </c>
      <c r="W1151" s="278">
        <f t="shared" si="59"/>
        <v>-7.4386232236188839E-3</v>
      </c>
    </row>
    <row r="1152" spans="1:23" x14ac:dyDescent="0.2">
      <c r="A1152" s="8">
        <v>43357</v>
      </c>
      <c r="B1152" s="9">
        <v>9.0280000000000005</v>
      </c>
      <c r="E1152" s="51"/>
      <c r="F1152" s="51"/>
      <c r="G1152" s="51"/>
      <c r="H1152" s="51"/>
      <c r="I1152" s="51"/>
      <c r="J1152" s="53"/>
      <c r="K1152" s="53"/>
      <c r="L1152" s="53"/>
      <c r="M1152" s="53"/>
      <c r="N1152" s="53"/>
      <c r="O1152" s="139"/>
      <c r="P1152" s="50"/>
      <c r="Q1152" s="57"/>
      <c r="R1152" s="12">
        <v>43368</v>
      </c>
      <c r="S1152" s="11">
        <v>9.2759999999999998</v>
      </c>
      <c r="T1152" s="148">
        <v>1.1854313099041534</v>
      </c>
      <c r="U1152" s="148">
        <f t="shared" si="57"/>
        <v>7.0172963472550309</v>
      </c>
      <c r="V1152" s="278">
        <f t="shared" si="58"/>
        <v>1.8669009444322482E-2</v>
      </c>
      <c r="W1152" s="278">
        <f t="shared" si="59"/>
        <v>1.8426199565666598E-2</v>
      </c>
    </row>
    <row r="1153" spans="1:23" x14ac:dyDescent="0.2">
      <c r="A1153" s="8">
        <v>43360</v>
      </c>
      <c r="B1153" s="9">
        <v>9.1820000000000004</v>
      </c>
      <c r="E1153" s="51"/>
      <c r="F1153" s="51"/>
      <c r="G1153" s="51"/>
      <c r="H1153" s="51"/>
      <c r="I1153" s="51"/>
      <c r="J1153" s="53"/>
      <c r="K1153" s="53"/>
      <c r="L1153" s="53"/>
      <c r="M1153" s="53"/>
      <c r="N1153" s="53"/>
      <c r="O1153" s="139"/>
      <c r="P1153" s="50"/>
      <c r="Q1153" s="57"/>
      <c r="R1153" s="12">
        <v>43369</v>
      </c>
      <c r="S1153" s="11">
        <v>9.26</v>
      </c>
      <c r="T1153" s="148">
        <v>1.1833865814696485</v>
      </c>
      <c r="U1153" s="148">
        <f t="shared" si="57"/>
        <v>7.0034884743317249</v>
      </c>
      <c r="V1153" s="278">
        <f t="shared" si="58"/>
        <v>-1.7248814144027458E-3</v>
      </c>
      <c r="W1153" s="278">
        <f t="shared" si="59"/>
        <v>-1.9676912930586318E-3</v>
      </c>
    </row>
    <row r="1154" spans="1:23" x14ac:dyDescent="0.2">
      <c r="A1154" s="8">
        <v>43361</v>
      </c>
      <c r="B1154" s="9">
        <v>9.2119999999999997</v>
      </c>
      <c r="E1154" s="51"/>
      <c r="F1154" s="51"/>
      <c r="G1154" s="51"/>
      <c r="H1154" s="51"/>
      <c r="I1154" s="51"/>
      <c r="J1154" s="53"/>
      <c r="K1154" s="53"/>
      <c r="L1154" s="53"/>
      <c r="M1154" s="53"/>
      <c r="N1154" s="53"/>
      <c r="O1154" s="139"/>
      <c r="P1154" s="50"/>
      <c r="Q1154" s="57"/>
      <c r="R1154" s="12">
        <v>43370</v>
      </c>
      <c r="S1154" s="11">
        <v>9.1679999999999993</v>
      </c>
      <c r="T1154" s="148">
        <v>1.1716293929712458</v>
      </c>
      <c r="U1154" s="148">
        <f t="shared" si="57"/>
        <v>6.9322068631517437</v>
      </c>
      <c r="V1154" s="278">
        <f t="shared" si="58"/>
        <v>-9.9352051835853716E-3</v>
      </c>
      <c r="W1154" s="278">
        <f t="shared" si="59"/>
        <v>-1.0178015062241258E-2</v>
      </c>
    </row>
    <row r="1155" spans="1:23" x14ac:dyDescent="0.2">
      <c r="A1155" s="8">
        <v>43362</v>
      </c>
      <c r="B1155" s="9">
        <v>9.3079999999999998</v>
      </c>
      <c r="E1155" s="51"/>
      <c r="F1155" s="51"/>
      <c r="G1155" s="51"/>
      <c r="H1155" s="51"/>
      <c r="I1155" s="51"/>
      <c r="J1155" s="53"/>
      <c r="K1155" s="53"/>
      <c r="L1155" s="53"/>
      <c r="M1155" s="53"/>
      <c r="N1155" s="53"/>
      <c r="O1155" s="139"/>
      <c r="P1155" s="50"/>
      <c r="Q1155" s="57"/>
      <c r="R1155" s="12">
        <v>43371</v>
      </c>
      <c r="S1155" s="11">
        <v>8.6039999999999992</v>
      </c>
      <c r="T1155" s="148">
        <v>1.0995527156549521</v>
      </c>
      <c r="U1155" s="148">
        <f t="shared" si="57"/>
        <v>6.5040659027919556</v>
      </c>
      <c r="V1155" s="278">
        <f t="shared" si="58"/>
        <v>-6.1518324607329866E-2</v>
      </c>
      <c r="W1155" s="278">
        <f t="shared" si="59"/>
        <v>-6.1761134485985754E-2</v>
      </c>
    </row>
    <row r="1156" spans="1:23" x14ac:dyDescent="0.2">
      <c r="A1156" s="8">
        <v>43363</v>
      </c>
      <c r="B1156" s="9">
        <v>9.1739999999999995</v>
      </c>
      <c r="E1156" s="51"/>
      <c r="F1156" s="51"/>
      <c r="G1156" s="51"/>
      <c r="H1156" s="51"/>
      <c r="I1156" s="51"/>
      <c r="J1156" s="53"/>
      <c r="K1156" s="53"/>
      <c r="L1156" s="53"/>
      <c r="M1156" s="53"/>
      <c r="N1156" s="53"/>
      <c r="O1156" s="139"/>
      <c r="P1156" s="50"/>
      <c r="Q1156" s="57"/>
      <c r="R1156" s="12">
        <v>43374</v>
      </c>
      <c r="S1156" s="11">
        <v>8.3420000000000005</v>
      </c>
      <c r="T1156" s="148">
        <v>1.0660702875399362</v>
      </c>
      <c r="U1156" s="148">
        <f t="shared" si="57"/>
        <v>6.3044316459312064</v>
      </c>
      <c r="V1156" s="278">
        <f t="shared" si="58"/>
        <v>-3.0450953045095153E-2</v>
      </c>
      <c r="W1156" s="278">
        <f t="shared" si="59"/>
        <v>-3.0693762923751037E-2</v>
      </c>
    </row>
    <row r="1157" spans="1:23" x14ac:dyDescent="0.2">
      <c r="A1157" s="8">
        <v>43364</v>
      </c>
      <c r="B1157" s="9">
        <v>9.1720000000000006</v>
      </c>
      <c r="E1157" s="51"/>
      <c r="F1157" s="51"/>
      <c r="G1157" s="51"/>
      <c r="H1157" s="51"/>
      <c r="I1157" s="51"/>
      <c r="J1157" s="53"/>
      <c r="K1157" s="53"/>
      <c r="L1157" s="53"/>
      <c r="M1157" s="53"/>
      <c r="N1157" s="53"/>
      <c r="O1157" s="139"/>
      <c r="P1157" s="50"/>
      <c r="Q1157" s="57"/>
      <c r="R1157" s="12">
        <v>43375</v>
      </c>
      <c r="S1157" s="11">
        <v>8.3040000000000003</v>
      </c>
      <c r="T1157" s="148">
        <v>1.0612140575079871</v>
      </c>
      <c r="U1157" s="148">
        <f t="shared" si="57"/>
        <v>6.2741825264176967</v>
      </c>
      <c r="V1157" s="278">
        <f t="shared" si="58"/>
        <v>-4.5552625269720259E-3</v>
      </c>
      <c r="W1157" s="278">
        <f t="shared" si="59"/>
        <v>-4.7980724056279119E-3</v>
      </c>
    </row>
    <row r="1158" spans="1:23" x14ac:dyDescent="0.2">
      <c r="A1158" s="8">
        <v>43367</v>
      </c>
      <c r="B1158" s="9">
        <v>9.1059999999999999</v>
      </c>
      <c r="E1158" s="51"/>
      <c r="F1158" s="51"/>
      <c r="G1158" s="51"/>
      <c r="H1158" s="51"/>
      <c r="I1158" s="51"/>
      <c r="J1158" s="53"/>
      <c r="K1158" s="53"/>
      <c r="L1158" s="53"/>
      <c r="M1158" s="53"/>
      <c r="N1158" s="53"/>
      <c r="O1158" s="139"/>
      <c r="P1158" s="50"/>
      <c r="Q1158" s="57"/>
      <c r="R1158" s="12">
        <v>43376</v>
      </c>
      <c r="S1158" s="11">
        <v>8.3800000000000008</v>
      </c>
      <c r="T1158" s="148">
        <v>1.070926517571885</v>
      </c>
      <c r="U1158" s="148">
        <f t="shared" si="57"/>
        <v>6.3300817653677379</v>
      </c>
      <c r="V1158" s="278">
        <f t="shared" si="58"/>
        <v>9.1522157996146714E-3</v>
      </c>
      <c r="W1158" s="278">
        <f t="shared" si="59"/>
        <v>8.9094059209587854E-3</v>
      </c>
    </row>
    <row r="1159" spans="1:23" x14ac:dyDescent="0.2">
      <c r="A1159" s="8">
        <v>43368</v>
      </c>
      <c r="B1159" s="9">
        <v>9.2759999999999998</v>
      </c>
      <c r="E1159" s="51"/>
      <c r="F1159" s="51"/>
      <c r="G1159" s="51"/>
      <c r="H1159" s="51"/>
      <c r="I1159" s="51"/>
      <c r="J1159" s="53"/>
      <c r="K1159" s="53"/>
      <c r="L1159" s="53"/>
      <c r="M1159" s="53"/>
      <c r="N1159" s="53"/>
      <c r="O1159" s="139"/>
      <c r="P1159" s="50"/>
      <c r="Q1159" s="57"/>
      <c r="R1159" s="12">
        <v>43377</v>
      </c>
      <c r="S1159" s="11">
        <v>8.3680000000000003</v>
      </c>
      <c r="T1159" s="148">
        <v>1.0693929712460064</v>
      </c>
      <c r="U1159" s="148">
        <f t="shared" si="57"/>
        <v>6.31948020275515</v>
      </c>
      <c r="V1159" s="278">
        <f t="shared" si="58"/>
        <v>-1.4319809069213152E-3</v>
      </c>
      <c r="W1159" s="278">
        <f t="shared" si="59"/>
        <v>-1.6747907855772009E-3</v>
      </c>
    </row>
    <row r="1160" spans="1:23" x14ac:dyDescent="0.2">
      <c r="A1160" s="8">
        <v>43369</v>
      </c>
      <c r="B1160" s="9">
        <v>9.26</v>
      </c>
      <c r="E1160" s="51"/>
      <c r="F1160" s="51"/>
      <c r="G1160" s="51"/>
      <c r="H1160" s="51"/>
      <c r="I1160" s="51"/>
      <c r="J1160" s="53"/>
      <c r="K1160" s="53"/>
      <c r="L1160" s="53"/>
      <c r="M1160" s="53"/>
      <c r="N1160" s="53"/>
      <c r="O1160" s="139"/>
      <c r="P1160" s="50"/>
      <c r="Q1160" s="57"/>
      <c r="R1160" s="12">
        <v>43378</v>
      </c>
      <c r="S1160" s="11">
        <v>8.2279999999999998</v>
      </c>
      <c r="T1160" s="148">
        <v>1.0515015974440893</v>
      </c>
      <c r="U1160" s="148">
        <f t="shared" si="57"/>
        <v>6.2122183292832664</v>
      </c>
      <c r="V1160" s="278">
        <f t="shared" si="58"/>
        <v>-1.6730401529636785E-2</v>
      </c>
      <c r="W1160" s="278">
        <f t="shared" si="59"/>
        <v>-1.6973211408292669E-2</v>
      </c>
    </row>
    <row r="1161" spans="1:23" x14ac:dyDescent="0.2">
      <c r="A1161" s="8">
        <v>43370</v>
      </c>
      <c r="B1161" s="9">
        <v>9.1679999999999993</v>
      </c>
      <c r="E1161" s="51"/>
      <c r="F1161" s="51"/>
      <c r="G1161" s="51"/>
      <c r="H1161" s="51"/>
      <c r="I1161" s="51"/>
      <c r="J1161" s="53"/>
      <c r="K1161" s="53"/>
      <c r="L1161" s="53"/>
      <c r="M1161" s="53"/>
      <c r="N1161" s="53"/>
      <c r="O1161" s="139"/>
      <c r="P1161" s="50"/>
      <c r="Q1161" s="57"/>
      <c r="R1161" s="12">
        <v>43381</v>
      </c>
      <c r="S1161" s="11">
        <v>7.8440000000000003</v>
      </c>
      <c r="T1161" s="148">
        <v>1.0024281150159744</v>
      </c>
      <c r="U1161" s="148">
        <f t="shared" si="57"/>
        <v>5.9207862856841347</v>
      </c>
      <c r="V1161" s="278">
        <f t="shared" si="58"/>
        <v>-4.6669907632474361E-2</v>
      </c>
      <c r="W1161" s="278">
        <f t="shared" si="59"/>
        <v>-4.6912717511130249E-2</v>
      </c>
    </row>
    <row r="1162" spans="1:23" x14ac:dyDescent="0.2">
      <c r="A1162" s="8">
        <v>43371</v>
      </c>
      <c r="B1162" s="9">
        <v>8.6039999999999992</v>
      </c>
      <c r="E1162" s="51"/>
      <c r="F1162" s="51"/>
      <c r="G1162" s="51"/>
      <c r="H1162" s="51"/>
      <c r="I1162" s="51"/>
      <c r="J1162" s="53"/>
      <c r="K1162" s="53"/>
      <c r="L1162" s="53"/>
      <c r="M1162" s="53"/>
      <c r="N1162" s="53"/>
      <c r="O1162" s="139"/>
      <c r="P1162" s="50"/>
      <c r="Q1162" s="57"/>
      <c r="R1162" s="12">
        <v>43382</v>
      </c>
      <c r="S1162" s="11">
        <v>7.91</v>
      </c>
      <c r="T1162" s="148">
        <v>1.0108626198083066</v>
      </c>
      <c r="U1162" s="148">
        <f t="shared" si="57"/>
        <v>5.9691665969055627</v>
      </c>
      <c r="V1162" s="278">
        <f t="shared" si="58"/>
        <v>8.414074451810194E-3</v>
      </c>
      <c r="W1162" s="278">
        <f t="shared" si="59"/>
        <v>8.171264573154308E-3</v>
      </c>
    </row>
    <row r="1163" spans="1:23" x14ac:dyDescent="0.2">
      <c r="A1163" s="8">
        <v>43374</v>
      </c>
      <c r="B1163" s="9">
        <v>8.3420000000000005</v>
      </c>
      <c r="E1163" s="51"/>
      <c r="F1163" s="51"/>
      <c r="G1163" s="51"/>
      <c r="H1163" s="51"/>
      <c r="I1163" s="51"/>
      <c r="J1163" s="53"/>
      <c r="K1163" s="53"/>
      <c r="L1163" s="53"/>
      <c r="M1163" s="53"/>
      <c r="N1163" s="53"/>
      <c r="O1163" s="139"/>
      <c r="P1163" s="50"/>
      <c r="Q1163" s="57"/>
      <c r="R1163" s="12">
        <v>43383</v>
      </c>
      <c r="S1163" s="11">
        <v>7.8440000000000003</v>
      </c>
      <c r="T1163" s="148">
        <v>1.0024281150159744</v>
      </c>
      <c r="U1163" s="148">
        <f t="shared" si="57"/>
        <v>5.9179112830248037</v>
      </c>
      <c r="V1163" s="278">
        <f t="shared" si="58"/>
        <v>-8.3438685208596652E-3</v>
      </c>
      <c r="W1163" s="278">
        <f t="shared" si="59"/>
        <v>-8.5866783995155512E-3</v>
      </c>
    </row>
    <row r="1164" spans="1:23" x14ac:dyDescent="0.2">
      <c r="A1164" s="8">
        <v>43375</v>
      </c>
      <c r="B1164" s="9">
        <v>8.3040000000000003</v>
      </c>
      <c r="E1164" s="51"/>
      <c r="F1164" s="51"/>
      <c r="G1164" s="51"/>
      <c r="H1164" s="51"/>
      <c r="I1164" s="51"/>
      <c r="J1164" s="53"/>
      <c r="K1164" s="53"/>
      <c r="L1164" s="53"/>
      <c r="M1164" s="53"/>
      <c r="N1164" s="53"/>
      <c r="O1164" s="139"/>
      <c r="P1164" s="50"/>
      <c r="Q1164" s="57"/>
      <c r="R1164" s="12">
        <v>43384</v>
      </c>
      <c r="S1164" s="11">
        <v>7.7439999999999998</v>
      </c>
      <c r="T1164" s="148">
        <v>0.98964856230031939</v>
      </c>
      <c r="U1164" s="148">
        <f t="shared" si="57"/>
        <v>5.8410292858033985</v>
      </c>
      <c r="V1164" s="278">
        <f t="shared" si="58"/>
        <v>-1.2748597654258065E-2</v>
      </c>
      <c r="W1164" s="278">
        <f t="shared" si="59"/>
        <v>-1.2991407532913951E-2</v>
      </c>
    </row>
    <row r="1165" spans="1:23" x14ac:dyDescent="0.2">
      <c r="A1165" s="8">
        <v>43376</v>
      </c>
      <c r="B1165" s="9">
        <v>8.3800000000000008</v>
      </c>
      <c r="E1165" s="51"/>
      <c r="F1165" s="51"/>
      <c r="G1165" s="51"/>
      <c r="H1165" s="51"/>
      <c r="I1165" s="51"/>
      <c r="J1165" s="53"/>
      <c r="K1165" s="53"/>
      <c r="L1165" s="53"/>
      <c r="M1165" s="53"/>
      <c r="N1165" s="53"/>
      <c r="O1165" s="139"/>
      <c r="P1165" s="50"/>
      <c r="Q1165" s="57"/>
      <c r="R1165" s="12">
        <v>43385</v>
      </c>
      <c r="S1165" s="11">
        <v>7.6779999999999999</v>
      </c>
      <c r="T1165" s="148">
        <v>0.98121405750798718</v>
      </c>
      <c r="U1165" s="148">
        <f t="shared" si="57"/>
        <v>5.789829526596372</v>
      </c>
      <c r="V1165" s="278">
        <f t="shared" si="58"/>
        <v>-8.5227272727272929E-3</v>
      </c>
      <c r="W1165" s="278">
        <f t="shared" si="59"/>
        <v>-8.7655371513831789E-3</v>
      </c>
    </row>
    <row r="1166" spans="1:23" x14ac:dyDescent="0.2">
      <c r="A1166" s="8">
        <v>43377</v>
      </c>
      <c r="B1166" s="9">
        <v>8.3680000000000003</v>
      </c>
      <c r="E1166" s="51"/>
      <c r="F1166" s="51"/>
      <c r="G1166" s="51"/>
      <c r="H1166" s="51"/>
      <c r="I1166" s="51"/>
      <c r="J1166" s="53"/>
      <c r="K1166" s="53"/>
      <c r="L1166" s="53"/>
      <c r="M1166" s="53"/>
      <c r="N1166" s="53"/>
      <c r="O1166" s="139"/>
      <c r="P1166" s="50"/>
      <c r="Q1166" s="57"/>
      <c r="R1166" s="12">
        <v>43388</v>
      </c>
      <c r="S1166" s="11">
        <v>7.6879999999999997</v>
      </c>
      <c r="T1166" s="148">
        <v>0.98249201277955267</v>
      </c>
      <c r="U1166" s="148">
        <f t="shared" si="57"/>
        <v>5.795964503072117</v>
      </c>
      <c r="V1166" s="278">
        <f t="shared" si="58"/>
        <v>1.3024225058608785E-3</v>
      </c>
      <c r="W1166" s="278">
        <f t="shared" si="59"/>
        <v>1.0596126272049929E-3</v>
      </c>
    </row>
    <row r="1167" spans="1:23" x14ac:dyDescent="0.2">
      <c r="A1167" s="8">
        <v>43378</v>
      </c>
      <c r="B1167" s="9">
        <v>8.2279999999999998</v>
      </c>
      <c r="E1167" s="51"/>
      <c r="F1167" s="51"/>
      <c r="G1167" s="51"/>
      <c r="H1167" s="51"/>
      <c r="I1167" s="51"/>
      <c r="J1167" s="53"/>
      <c r="K1167" s="53"/>
      <c r="L1167" s="53"/>
      <c r="M1167" s="53"/>
      <c r="N1167" s="53"/>
      <c r="O1167" s="139"/>
      <c r="P1167" s="50"/>
      <c r="Q1167" s="57"/>
      <c r="R1167" s="12">
        <v>43389</v>
      </c>
      <c r="S1167" s="11">
        <v>7.8079999999999998</v>
      </c>
      <c r="T1167" s="148">
        <v>0.99782747603833866</v>
      </c>
      <c r="U1167" s="148">
        <f t="shared" si="57"/>
        <v>5.8850248937989278</v>
      </c>
      <c r="V1167" s="278">
        <f t="shared" si="58"/>
        <v>1.5608740894901052E-2</v>
      </c>
      <c r="W1167" s="278">
        <f t="shared" si="59"/>
        <v>1.5365931016245166E-2</v>
      </c>
    </row>
    <row r="1168" spans="1:23" x14ac:dyDescent="0.2">
      <c r="A1168" s="8">
        <v>43381</v>
      </c>
      <c r="B1168" s="9">
        <v>7.8440000000000003</v>
      </c>
      <c r="E1168" s="51"/>
      <c r="F1168" s="51"/>
      <c r="G1168" s="51"/>
      <c r="H1168" s="51"/>
      <c r="I1168" s="51"/>
      <c r="J1168" s="53"/>
      <c r="K1168" s="53"/>
      <c r="L1168" s="53"/>
      <c r="M1168" s="53"/>
      <c r="N1168" s="53"/>
      <c r="O1168" s="139"/>
      <c r="P1168" s="50"/>
      <c r="Q1168" s="57"/>
      <c r="R1168" s="12">
        <v>43390</v>
      </c>
      <c r="S1168" s="11">
        <v>7.718</v>
      </c>
      <c r="T1168" s="148">
        <v>0.98632587859424914</v>
      </c>
      <c r="U1168" s="148">
        <f t="shared" si="57"/>
        <v>5.8157613921357525</v>
      </c>
      <c r="V1168" s="278">
        <f t="shared" si="58"/>
        <v>-1.1526639344262235E-2</v>
      </c>
      <c r="W1168" s="278">
        <f t="shared" si="59"/>
        <v>-1.1769449222918121E-2</v>
      </c>
    </row>
    <row r="1169" spans="1:23" x14ac:dyDescent="0.2">
      <c r="A1169" s="8">
        <v>43382</v>
      </c>
      <c r="B1169" s="9">
        <v>7.91</v>
      </c>
      <c r="E1169" s="51"/>
      <c r="F1169" s="51"/>
      <c r="G1169" s="51"/>
      <c r="H1169" s="51"/>
      <c r="I1169" s="51"/>
      <c r="J1169" s="53"/>
      <c r="K1169" s="53"/>
      <c r="L1169" s="53"/>
      <c r="M1169" s="53"/>
      <c r="N1169" s="53"/>
      <c r="O1169" s="139"/>
      <c r="P1169" s="50"/>
      <c r="Q1169" s="57"/>
      <c r="R1169" s="12">
        <v>43391</v>
      </c>
      <c r="S1169" s="11">
        <v>7.6440000000000001</v>
      </c>
      <c r="T1169" s="148">
        <v>0.97686900958466449</v>
      </c>
      <c r="U1169" s="148">
        <f t="shared" si="57"/>
        <v>5.7585878862399609</v>
      </c>
      <c r="V1169" s="278">
        <f t="shared" si="58"/>
        <v>-9.5879761596268098E-3</v>
      </c>
      <c r="W1169" s="278">
        <f t="shared" si="59"/>
        <v>-9.8307860382826958E-3</v>
      </c>
    </row>
    <row r="1170" spans="1:23" x14ac:dyDescent="0.2">
      <c r="A1170" s="8">
        <v>43383</v>
      </c>
      <c r="B1170" s="9">
        <v>7.8440000000000003</v>
      </c>
      <c r="E1170" s="51"/>
      <c r="F1170" s="51"/>
      <c r="G1170" s="51"/>
      <c r="H1170" s="51"/>
      <c r="I1170" s="51"/>
      <c r="J1170" s="53"/>
      <c r="K1170" s="53"/>
      <c r="L1170" s="53"/>
      <c r="M1170" s="53"/>
      <c r="N1170" s="53"/>
      <c r="O1170" s="139"/>
      <c r="P1170" s="50"/>
      <c r="Q1170" s="57"/>
      <c r="R1170" s="12">
        <v>43392</v>
      </c>
      <c r="S1170" s="11">
        <v>7.8780000000000001</v>
      </c>
      <c r="T1170" s="148">
        <v>1.0067731629392971</v>
      </c>
      <c r="U1170" s="148">
        <f t="shared" si="57"/>
        <v>5.9334729468540717</v>
      </c>
      <c r="V1170" s="278">
        <f t="shared" si="58"/>
        <v>3.0612244897959107E-2</v>
      </c>
      <c r="W1170" s="278">
        <f t="shared" si="59"/>
        <v>3.0369435019303222E-2</v>
      </c>
    </row>
    <row r="1171" spans="1:23" x14ac:dyDescent="0.2">
      <c r="A1171" s="8">
        <v>43384</v>
      </c>
      <c r="B1171" s="9">
        <v>7.7439999999999998</v>
      </c>
      <c r="E1171" s="51"/>
      <c r="F1171" s="51"/>
      <c r="G1171" s="51"/>
      <c r="H1171" s="51"/>
      <c r="I1171" s="51"/>
      <c r="J1171" s="53"/>
      <c r="K1171" s="53"/>
      <c r="L1171" s="53"/>
      <c r="M1171" s="53"/>
      <c r="N1171" s="53"/>
      <c r="O1171" s="139"/>
      <c r="P1171" s="50"/>
      <c r="Q1171" s="57"/>
      <c r="R1171" s="12">
        <v>43395</v>
      </c>
      <c r="S1171" s="11">
        <v>7.7359999999999998</v>
      </c>
      <c r="T1171" s="148">
        <v>0.98862619808306706</v>
      </c>
      <c r="U1171" s="148">
        <f t="shared" si="57"/>
        <v>5.8250821066522551</v>
      </c>
      <c r="V1171" s="278">
        <f t="shared" si="58"/>
        <v>-1.8024879411018047E-2</v>
      </c>
      <c r="W1171" s="278">
        <f t="shared" si="59"/>
        <v>-1.8267689289673931E-2</v>
      </c>
    </row>
    <row r="1172" spans="1:23" x14ac:dyDescent="0.2">
      <c r="A1172" s="8">
        <v>43385</v>
      </c>
      <c r="B1172" s="9">
        <v>7.6779999999999999</v>
      </c>
      <c r="E1172" s="51"/>
      <c r="F1172" s="51"/>
      <c r="G1172" s="51"/>
      <c r="H1172" s="51"/>
      <c r="I1172" s="51"/>
      <c r="J1172" s="53"/>
      <c r="K1172" s="53"/>
      <c r="L1172" s="53"/>
      <c r="M1172" s="53"/>
      <c r="N1172" s="53"/>
      <c r="O1172" s="139"/>
      <c r="P1172" s="50"/>
      <c r="Q1172" s="57"/>
      <c r="R1172" s="12">
        <v>43396</v>
      </c>
      <c r="S1172" s="11">
        <v>7.7539999999999996</v>
      </c>
      <c r="T1172" s="148">
        <v>0.99092651757188488</v>
      </c>
      <c r="U1172" s="148">
        <f t="shared" si="57"/>
        <v>5.8372214262461668</v>
      </c>
      <c r="V1172" s="278">
        <f t="shared" si="58"/>
        <v>2.3267838676317432E-3</v>
      </c>
      <c r="W1172" s="278">
        <f t="shared" si="59"/>
        <v>2.0839739889758572E-3</v>
      </c>
    </row>
    <row r="1173" spans="1:23" x14ac:dyDescent="0.2">
      <c r="A1173" s="8">
        <v>43388</v>
      </c>
      <c r="B1173" s="9">
        <v>7.6879999999999997</v>
      </c>
      <c r="E1173" s="51"/>
      <c r="F1173" s="51"/>
      <c r="G1173" s="51"/>
      <c r="H1173" s="51"/>
      <c r="I1173" s="51"/>
      <c r="J1173" s="53"/>
      <c r="K1173" s="53"/>
      <c r="L1173" s="53"/>
      <c r="M1173" s="53"/>
      <c r="N1173" s="53"/>
      <c r="O1173" s="139"/>
      <c r="P1173" s="50"/>
      <c r="Q1173" s="57"/>
      <c r="R1173" s="12">
        <v>43397</v>
      </c>
      <c r="S1173" s="11">
        <v>7.492</v>
      </c>
      <c r="T1173" s="148">
        <v>0.95744408945686899</v>
      </c>
      <c r="U1173" s="148">
        <f t="shared" si="57"/>
        <v>5.6385701456852173</v>
      </c>
      <c r="V1173" s="278">
        <f t="shared" si="58"/>
        <v>-3.3789012122775297E-2</v>
      </c>
      <c r="W1173" s="278">
        <f t="shared" si="59"/>
        <v>-3.4031822001431185E-2</v>
      </c>
    </row>
    <row r="1174" spans="1:23" x14ac:dyDescent="0.2">
      <c r="A1174" s="8">
        <v>43389</v>
      </c>
      <c r="B1174" s="9">
        <v>7.8079999999999998</v>
      </c>
      <c r="E1174" s="51"/>
      <c r="F1174" s="51"/>
      <c r="G1174" s="51"/>
      <c r="H1174" s="51"/>
      <c r="I1174" s="51"/>
      <c r="J1174" s="53"/>
      <c r="K1174" s="53"/>
      <c r="L1174" s="53"/>
      <c r="M1174" s="53"/>
      <c r="N1174" s="53"/>
      <c r="O1174" s="139"/>
      <c r="P1174" s="50"/>
      <c r="Q1174" s="57"/>
      <c r="R1174" s="12">
        <v>43398</v>
      </c>
      <c r="S1174" s="11">
        <v>7.78</v>
      </c>
      <c r="T1174" s="148">
        <v>0.99424920127795524</v>
      </c>
      <c r="U1174" s="148">
        <f t="shared" si="57"/>
        <v>5.8539533411957754</v>
      </c>
      <c r="V1174" s="278">
        <f t="shared" si="58"/>
        <v>3.8441003737319734E-2</v>
      </c>
      <c r="W1174" s="278">
        <f t="shared" si="59"/>
        <v>3.8198193858663847E-2</v>
      </c>
    </row>
    <row r="1175" spans="1:23" x14ac:dyDescent="0.2">
      <c r="A1175" s="8">
        <v>43390</v>
      </c>
      <c r="B1175" s="9">
        <v>7.718</v>
      </c>
      <c r="E1175" s="51"/>
      <c r="F1175" s="51"/>
      <c r="G1175" s="51"/>
      <c r="H1175" s="51"/>
      <c r="I1175" s="51"/>
      <c r="J1175" s="53"/>
      <c r="K1175" s="53"/>
      <c r="L1175" s="53"/>
      <c r="M1175" s="53"/>
      <c r="N1175" s="53"/>
      <c r="O1175" s="139"/>
      <c r="P1175" s="50"/>
      <c r="Q1175" s="57"/>
      <c r="R1175" s="12">
        <v>43399</v>
      </c>
      <c r="S1175" s="11">
        <v>7.57</v>
      </c>
      <c r="T1175" s="148">
        <v>0.96741214057507985</v>
      </c>
      <c r="U1175" s="148">
        <f t="shared" si="57"/>
        <v>5.694520349452783</v>
      </c>
      <c r="V1175" s="278">
        <f t="shared" si="58"/>
        <v>-2.6992287917737778E-2</v>
      </c>
      <c r="W1175" s="278">
        <f t="shared" si="59"/>
        <v>-2.7235097796393663E-2</v>
      </c>
    </row>
    <row r="1176" spans="1:23" x14ac:dyDescent="0.2">
      <c r="A1176" s="8">
        <v>43391</v>
      </c>
      <c r="B1176" s="9">
        <v>7.6440000000000001</v>
      </c>
      <c r="E1176" s="51"/>
      <c r="F1176" s="51"/>
      <c r="G1176" s="51"/>
      <c r="H1176" s="51"/>
      <c r="I1176" s="51"/>
      <c r="J1176" s="53"/>
      <c r="K1176" s="53"/>
      <c r="L1176" s="53"/>
      <c r="M1176" s="53"/>
      <c r="N1176" s="53"/>
      <c r="O1176" s="139"/>
      <c r="P1176" s="50"/>
      <c r="Q1176" s="57"/>
      <c r="R1176" s="12">
        <v>43402</v>
      </c>
      <c r="S1176" s="11">
        <v>7.7859999999999996</v>
      </c>
      <c r="T1176" s="148">
        <v>0.99501597444089451</v>
      </c>
      <c r="U1176" s="148">
        <f t="shared" si="57"/>
        <v>5.8556233169578338</v>
      </c>
      <c r="V1176" s="278">
        <f t="shared" si="58"/>
        <v>2.8533685601056735E-2</v>
      </c>
      <c r="W1176" s="278">
        <f t="shared" si="59"/>
        <v>2.8290875722400851E-2</v>
      </c>
    </row>
    <row r="1177" spans="1:23" x14ac:dyDescent="0.2">
      <c r="A1177" s="8">
        <v>43392</v>
      </c>
      <c r="B1177" s="9">
        <v>7.8780000000000001</v>
      </c>
      <c r="E1177" s="51"/>
      <c r="F1177" s="51"/>
      <c r="G1177" s="51"/>
      <c r="H1177" s="51"/>
      <c r="I1177" s="51"/>
      <c r="J1177" s="53"/>
      <c r="K1177" s="53"/>
      <c r="L1177" s="53"/>
      <c r="M1177" s="53"/>
      <c r="N1177" s="53"/>
      <c r="O1177" s="139"/>
      <c r="P1177" s="50"/>
      <c r="Q1177" s="57"/>
      <c r="R1177" s="12">
        <v>43403</v>
      </c>
      <c r="S1177" s="11">
        <v>7.806</v>
      </c>
      <c r="T1177" s="148">
        <v>0.99757188498402549</v>
      </c>
      <c r="U1177" s="148">
        <f t="shared" ref="U1177:U1240" si="60">U1176*(1+W1177)</f>
        <v>5.8692429299458659</v>
      </c>
      <c r="V1177" s="278">
        <f t="shared" ref="V1177:V1240" si="61">S1177/S1176-1</f>
        <v>2.5687130747495956E-3</v>
      </c>
      <c r="W1177" s="278">
        <f t="shared" ref="W1177:W1240" si="62">V1177-$V$3+$W$2</f>
        <v>2.3259031960937097E-3</v>
      </c>
    </row>
    <row r="1178" spans="1:23" x14ac:dyDescent="0.2">
      <c r="A1178" s="8">
        <v>43395</v>
      </c>
      <c r="B1178" s="9">
        <v>7.7359999999999998</v>
      </c>
      <c r="E1178" s="51"/>
      <c r="F1178" s="51"/>
      <c r="G1178" s="51"/>
      <c r="H1178" s="51"/>
      <c r="I1178" s="51"/>
      <c r="J1178" s="53"/>
      <c r="K1178" s="53"/>
      <c r="L1178" s="53"/>
      <c r="M1178" s="53"/>
      <c r="N1178" s="53"/>
      <c r="O1178" s="139"/>
      <c r="P1178" s="50"/>
      <c r="Q1178" s="57"/>
      <c r="R1178" s="12">
        <v>43404</v>
      </c>
      <c r="S1178" s="11">
        <v>7.7519999999999998</v>
      </c>
      <c r="T1178" s="148">
        <v>0.99067092651757183</v>
      </c>
      <c r="U1178" s="148">
        <f t="shared" si="60"/>
        <v>5.8272158317964537</v>
      </c>
      <c r="V1178" s="278">
        <f t="shared" si="61"/>
        <v>-6.9177555726365192E-3</v>
      </c>
      <c r="W1178" s="278">
        <f t="shared" si="62"/>
        <v>-7.1605654512924052E-3</v>
      </c>
    </row>
    <row r="1179" spans="1:23" x14ac:dyDescent="0.2">
      <c r="A1179" s="8">
        <v>43396</v>
      </c>
      <c r="B1179" s="9">
        <v>7.7539999999999996</v>
      </c>
      <c r="E1179" s="51"/>
      <c r="F1179" s="51"/>
      <c r="G1179" s="51"/>
      <c r="H1179" s="51"/>
      <c r="I1179" s="51"/>
      <c r="J1179" s="53"/>
      <c r="K1179" s="53"/>
      <c r="L1179" s="53"/>
      <c r="M1179" s="53"/>
      <c r="N1179" s="53"/>
      <c r="O1179" s="139"/>
      <c r="P1179" s="50"/>
      <c r="Q1179" s="57"/>
      <c r="R1179" s="12">
        <v>43405</v>
      </c>
      <c r="S1179" s="11">
        <v>7.8280000000000003</v>
      </c>
      <c r="T1179" s="148">
        <v>1.0003833865814697</v>
      </c>
      <c r="U1179" s="148">
        <f t="shared" si="60"/>
        <v>5.8829304932058291</v>
      </c>
      <c r="V1179" s="278">
        <f t="shared" si="61"/>
        <v>9.8039215686274161E-3</v>
      </c>
      <c r="W1179" s="278">
        <f t="shared" si="62"/>
        <v>9.5611116899715302E-3</v>
      </c>
    </row>
    <row r="1180" spans="1:23" x14ac:dyDescent="0.2">
      <c r="A1180" s="8">
        <v>43397</v>
      </c>
      <c r="B1180" s="9">
        <v>7.492</v>
      </c>
      <c r="E1180" s="51"/>
      <c r="F1180" s="51"/>
      <c r="G1180" s="51"/>
      <c r="H1180" s="51"/>
      <c r="I1180" s="51"/>
      <c r="J1180" s="53"/>
      <c r="K1180" s="53"/>
      <c r="L1180" s="53"/>
      <c r="M1180" s="53"/>
      <c r="N1180" s="53"/>
      <c r="O1180" s="139"/>
      <c r="P1180" s="50"/>
      <c r="Q1180" s="57"/>
      <c r="R1180" s="12">
        <v>43406</v>
      </c>
      <c r="S1180" s="11">
        <v>7.9320000000000004</v>
      </c>
      <c r="T1180" s="148">
        <v>1.0136741214057507</v>
      </c>
      <c r="U1180" s="148">
        <f t="shared" si="60"/>
        <v>5.9596605638197495</v>
      </c>
      <c r="V1180" s="278">
        <f t="shared" si="61"/>
        <v>1.3285641287685168E-2</v>
      </c>
      <c r="W1180" s="278">
        <f t="shared" si="62"/>
        <v>1.3042831409029282E-2</v>
      </c>
    </row>
    <row r="1181" spans="1:23" x14ac:dyDescent="0.2">
      <c r="A1181" s="8">
        <v>43398</v>
      </c>
      <c r="B1181" s="9">
        <v>7.78</v>
      </c>
      <c r="E1181" s="51"/>
      <c r="F1181" s="51"/>
      <c r="G1181" s="51"/>
      <c r="H1181" s="51"/>
      <c r="I1181" s="51"/>
      <c r="J1181" s="53"/>
      <c r="K1181" s="53"/>
      <c r="L1181" s="53"/>
      <c r="M1181" s="53"/>
      <c r="N1181" s="53"/>
      <c r="O1181" s="139"/>
      <c r="P1181" s="50"/>
      <c r="Q1181" s="57"/>
      <c r="R1181" s="12">
        <v>43409</v>
      </c>
      <c r="S1181" s="11">
        <v>7.8419999999999996</v>
      </c>
      <c r="T1181" s="148">
        <v>1.0021725239616612</v>
      </c>
      <c r="U1181" s="148">
        <f t="shared" si="60"/>
        <v>5.8905925398627064</v>
      </c>
      <c r="V1181" s="278">
        <f t="shared" si="61"/>
        <v>-1.1346444780635512E-2</v>
      </c>
      <c r="W1181" s="278">
        <f t="shared" si="62"/>
        <v>-1.1589254659291398E-2</v>
      </c>
    </row>
    <row r="1182" spans="1:23" x14ac:dyDescent="0.2">
      <c r="A1182" s="8">
        <v>43399</v>
      </c>
      <c r="B1182" s="9">
        <v>7.57</v>
      </c>
      <c r="E1182" s="51"/>
      <c r="F1182" s="51"/>
      <c r="G1182" s="51"/>
      <c r="H1182" s="51"/>
      <c r="I1182" s="51"/>
      <c r="J1182" s="53"/>
      <c r="K1182" s="53"/>
      <c r="L1182" s="53"/>
      <c r="M1182" s="53"/>
      <c r="N1182" s="53"/>
      <c r="O1182" s="139"/>
      <c r="P1182" s="50"/>
      <c r="Q1182" s="57"/>
      <c r="R1182" s="12">
        <v>43410</v>
      </c>
      <c r="S1182" s="11">
        <v>7.8120000000000003</v>
      </c>
      <c r="T1182" s="148">
        <v>0.99833865814696487</v>
      </c>
      <c r="U1182" s="148">
        <f t="shared" si="60"/>
        <v>5.8666274617942351</v>
      </c>
      <c r="V1182" s="278">
        <f t="shared" si="61"/>
        <v>-3.8255547054322214E-3</v>
      </c>
      <c r="W1182" s="278">
        <f t="shared" si="62"/>
        <v>-4.0683645840881074E-3</v>
      </c>
    </row>
    <row r="1183" spans="1:23" x14ac:dyDescent="0.2">
      <c r="A1183" s="8">
        <v>43402</v>
      </c>
      <c r="B1183" s="9">
        <v>7.7859999999999996</v>
      </c>
      <c r="E1183" s="51"/>
      <c r="F1183" s="51"/>
      <c r="G1183" s="51"/>
      <c r="H1183" s="51"/>
      <c r="I1183" s="51"/>
      <c r="J1183" s="53"/>
      <c r="K1183" s="53"/>
      <c r="L1183" s="53"/>
      <c r="M1183" s="53"/>
      <c r="N1183" s="53"/>
      <c r="O1183" s="139"/>
      <c r="P1183" s="50"/>
      <c r="Q1183" s="57"/>
      <c r="R1183" s="12">
        <v>43411</v>
      </c>
      <c r="S1183" s="11">
        <v>7.8460000000000001</v>
      </c>
      <c r="T1183" s="148">
        <v>1.0026837060702876</v>
      </c>
      <c r="U1183" s="148">
        <f t="shared" si="60"/>
        <v>5.8907361835304437</v>
      </c>
      <c r="V1183" s="278">
        <f t="shared" si="61"/>
        <v>4.3522785458269819E-3</v>
      </c>
      <c r="W1183" s="278">
        <f t="shared" si="62"/>
        <v>4.1094686671710959E-3</v>
      </c>
    </row>
    <row r="1184" spans="1:23" x14ac:dyDescent="0.2">
      <c r="A1184" s="8">
        <v>43403</v>
      </c>
      <c r="B1184" s="9">
        <v>7.806</v>
      </c>
      <c r="E1184" s="51"/>
      <c r="F1184" s="51"/>
      <c r="G1184" s="51"/>
      <c r="H1184" s="51"/>
      <c r="I1184" s="51"/>
      <c r="J1184" s="53"/>
      <c r="K1184" s="53"/>
      <c r="L1184" s="53"/>
      <c r="M1184" s="53"/>
      <c r="N1184" s="53"/>
      <c r="O1184" s="139"/>
      <c r="P1184" s="50"/>
      <c r="Q1184" s="57"/>
      <c r="R1184" s="12">
        <v>43412</v>
      </c>
      <c r="S1184" s="11">
        <v>7.8680000000000003</v>
      </c>
      <c r="T1184" s="148">
        <v>1.0054952076677317</v>
      </c>
      <c r="U1184" s="148">
        <f t="shared" si="60"/>
        <v>5.9058233407048988</v>
      </c>
      <c r="V1184" s="278">
        <f t="shared" si="61"/>
        <v>2.8039765485599055E-3</v>
      </c>
      <c r="W1184" s="278">
        <f t="shared" si="62"/>
        <v>2.5611666699040195E-3</v>
      </c>
    </row>
    <row r="1185" spans="1:23" x14ac:dyDescent="0.2">
      <c r="A1185" s="8">
        <v>43404</v>
      </c>
      <c r="B1185" s="9">
        <v>7.7519999999999998</v>
      </c>
      <c r="E1185" s="51"/>
      <c r="F1185" s="51"/>
      <c r="G1185" s="51"/>
      <c r="H1185" s="51"/>
      <c r="I1185" s="51"/>
      <c r="J1185" s="53"/>
      <c r="K1185" s="53"/>
      <c r="L1185" s="53"/>
      <c r="M1185" s="53"/>
      <c r="N1185" s="53"/>
      <c r="O1185" s="139"/>
      <c r="P1185" s="50"/>
      <c r="Q1185" s="57"/>
      <c r="R1185" s="12">
        <v>43413</v>
      </c>
      <c r="S1185" s="11">
        <v>7.8620000000000001</v>
      </c>
      <c r="T1185" s="148">
        <v>1.0047284345047922</v>
      </c>
      <c r="U1185" s="148">
        <f t="shared" si="60"/>
        <v>5.8998856702604199</v>
      </c>
      <c r="V1185" s="278">
        <f t="shared" si="61"/>
        <v>-7.6258261311645814E-4</v>
      </c>
      <c r="W1185" s="278">
        <f t="shared" si="62"/>
        <v>-1.0053924917723439E-3</v>
      </c>
    </row>
    <row r="1186" spans="1:23" x14ac:dyDescent="0.2">
      <c r="A1186" s="8">
        <v>43405</v>
      </c>
      <c r="B1186" s="9">
        <v>7.8280000000000003</v>
      </c>
      <c r="E1186" s="51"/>
      <c r="F1186" s="51"/>
      <c r="G1186" s="51"/>
      <c r="H1186" s="51"/>
      <c r="I1186" s="51"/>
      <c r="J1186" s="53"/>
      <c r="K1186" s="53"/>
      <c r="L1186" s="53"/>
      <c r="M1186" s="53"/>
      <c r="N1186" s="53"/>
      <c r="O1186" s="139"/>
      <c r="P1186" s="50"/>
      <c r="Q1186" s="57"/>
      <c r="R1186" s="12">
        <v>43416</v>
      </c>
      <c r="S1186" s="11">
        <v>7.8680000000000003</v>
      </c>
      <c r="T1186" s="148">
        <v>1.0054952076677317</v>
      </c>
      <c r="U1186" s="148">
        <f t="shared" si="60"/>
        <v>5.9029557035603926</v>
      </c>
      <c r="V1186" s="278">
        <f t="shared" si="61"/>
        <v>7.6316458916303453E-4</v>
      </c>
      <c r="W1186" s="278">
        <f t="shared" si="62"/>
        <v>5.2035471050714888E-4</v>
      </c>
    </row>
    <row r="1187" spans="1:23" x14ac:dyDescent="0.2">
      <c r="A1187" s="8">
        <v>43406</v>
      </c>
      <c r="B1187" s="9">
        <v>7.9320000000000004</v>
      </c>
      <c r="E1187" s="51"/>
      <c r="F1187" s="51"/>
      <c r="G1187" s="51"/>
      <c r="H1187" s="51"/>
      <c r="I1187" s="51"/>
      <c r="J1187" s="53"/>
      <c r="K1187" s="53"/>
      <c r="L1187" s="53"/>
      <c r="M1187" s="53"/>
      <c r="N1187" s="53"/>
      <c r="O1187" s="139"/>
      <c r="P1187" s="50"/>
      <c r="Q1187" s="57"/>
      <c r="R1187" s="12">
        <v>43417</v>
      </c>
      <c r="S1187" s="11">
        <v>7.9080000000000004</v>
      </c>
      <c r="T1187" s="148">
        <v>1.0106070287539937</v>
      </c>
      <c r="U1187" s="148">
        <f t="shared" si="60"/>
        <v>5.9315323501725095</v>
      </c>
      <c r="V1187" s="278">
        <f t="shared" si="61"/>
        <v>5.0838840874427582E-3</v>
      </c>
      <c r="W1187" s="278">
        <f t="shared" si="62"/>
        <v>4.8410742087868722E-3</v>
      </c>
    </row>
    <row r="1188" spans="1:23" x14ac:dyDescent="0.2">
      <c r="A1188" s="8">
        <v>43409</v>
      </c>
      <c r="B1188" s="9">
        <v>7.8419999999999996</v>
      </c>
      <c r="E1188" s="51"/>
      <c r="F1188" s="51"/>
      <c r="G1188" s="51"/>
      <c r="H1188" s="51"/>
      <c r="I1188" s="51"/>
      <c r="J1188" s="53"/>
      <c r="K1188" s="53"/>
      <c r="L1188" s="53"/>
      <c r="M1188" s="53"/>
      <c r="N1188" s="53"/>
      <c r="O1188" s="139"/>
      <c r="P1188" s="50"/>
      <c r="Q1188" s="57"/>
      <c r="R1188" s="12">
        <v>43418</v>
      </c>
      <c r="S1188" s="11">
        <v>7.8419999999999996</v>
      </c>
      <c r="T1188" s="148">
        <v>1.0021725239616612</v>
      </c>
      <c r="U1188" s="148">
        <f t="shared" si="60"/>
        <v>5.8805876725390895</v>
      </c>
      <c r="V1188" s="278">
        <f t="shared" si="61"/>
        <v>-8.3459787556905418E-3</v>
      </c>
      <c r="W1188" s="278">
        <f t="shared" si="62"/>
        <v>-8.5887886343464278E-3</v>
      </c>
    </row>
    <row r="1189" spans="1:23" x14ac:dyDescent="0.2">
      <c r="A1189" s="8">
        <v>43410</v>
      </c>
      <c r="B1189" s="9">
        <v>7.8120000000000003</v>
      </c>
      <c r="E1189" s="51"/>
      <c r="F1189" s="51"/>
      <c r="G1189" s="51"/>
      <c r="H1189" s="51"/>
      <c r="I1189" s="51"/>
      <c r="J1189" s="53"/>
      <c r="K1189" s="53"/>
      <c r="L1189" s="53"/>
      <c r="M1189" s="53"/>
      <c r="N1189" s="53"/>
      <c r="O1189" s="139"/>
      <c r="P1189" s="50"/>
      <c r="Q1189" s="57"/>
      <c r="R1189" s="12">
        <v>43419</v>
      </c>
      <c r="S1189" s="11">
        <v>7.758</v>
      </c>
      <c r="T1189" s="148">
        <v>0.99143769968051121</v>
      </c>
      <c r="U1189" s="148">
        <f t="shared" si="60"/>
        <v>5.8161695802040061</v>
      </c>
      <c r="V1189" s="278">
        <f t="shared" si="61"/>
        <v>-1.0711553175210331E-2</v>
      </c>
      <c r="W1189" s="278">
        <f t="shared" si="62"/>
        <v>-1.0954363053866217E-2</v>
      </c>
    </row>
    <row r="1190" spans="1:23" x14ac:dyDescent="0.2">
      <c r="A1190" s="8">
        <v>43411</v>
      </c>
      <c r="B1190" s="9">
        <v>7.8460000000000001</v>
      </c>
      <c r="E1190" s="51"/>
      <c r="F1190" s="51"/>
      <c r="G1190" s="51"/>
      <c r="H1190" s="51"/>
      <c r="I1190" s="51"/>
      <c r="J1190" s="53"/>
      <c r="K1190" s="53"/>
      <c r="L1190" s="53"/>
      <c r="M1190" s="53"/>
      <c r="N1190" s="53"/>
      <c r="O1190" s="139"/>
      <c r="P1190" s="50"/>
      <c r="Q1190" s="57"/>
      <c r="R1190" s="12">
        <v>43420</v>
      </c>
      <c r="S1190" s="11">
        <v>7.78</v>
      </c>
      <c r="T1190" s="148">
        <v>0.99424920127795524</v>
      </c>
      <c r="U1190" s="148">
        <f t="shared" si="60"/>
        <v>5.8312507482105103</v>
      </c>
      <c r="V1190" s="278">
        <f t="shared" si="61"/>
        <v>2.8357824181490798E-3</v>
      </c>
      <c r="W1190" s="278">
        <f t="shared" si="62"/>
        <v>2.5929725394931939E-3</v>
      </c>
    </row>
    <row r="1191" spans="1:23" x14ac:dyDescent="0.2">
      <c r="A1191" s="8">
        <v>43412</v>
      </c>
      <c r="B1191" s="9">
        <v>7.8680000000000003</v>
      </c>
      <c r="E1191" s="51"/>
      <c r="F1191" s="51"/>
      <c r="G1191" s="51"/>
      <c r="H1191" s="51"/>
      <c r="I1191" s="51"/>
      <c r="J1191" s="53"/>
      <c r="K1191" s="53"/>
      <c r="L1191" s="53"/>
      <c r="M1191" s="53"/>
      <c r="N1191" s="53"/>
      <c r="O1191" s="139"/>
      <c r="P1191" s="50"/>
      <c r="Q1191" s="57"/>
      <c r="R1191" s="12">
        <v>43423</v>
      </c>
      <c r="S1191" s="11">
        <v>7.4</v>
      </c>
      <c r="T1191" s="148">
        <v>0.94568690095846653</v>
      </c>
      <c r="U1191" s="148">
        <f t="shared" si="60"/>
        <v>5.545017988332666</v>
      </c>
      <c r="V1191" s="278">
        <f t="shared" si="61"/>
        <v>-4.8843187660668419E-2</v>
      </c>
      <c r="W1191" s="278">
        <f t="shared" si="62"/>
        <v>-4.9085997539324307E-2</v>
      </c>
    </row>
    <row r="1192" spans="1:23" x14ac:dyDescent="0.2">
      <c r="A1192" s="8">
        <v>43413</v>
      </c>
      <c r="B1192" s="9">
        <v>7.8620000000000001</v>
      </c>
      <c r="E1192" s="51"/>
      <c r="F1192" s="51"/>
      <c r="G1192" s="51"/>
      <c r="H1192" s="51"/>
      <c r="I1192" s="51"/>
      <c r="J1192" s="53"/>
      <c r="K1192" s="53"/>
      <c r="L1192" s="53"/>
      <c r="M1192" s="53"/>
      <c r="N1192" s="53"/>
      <c r="O1192" s="139"/>
      <c r="P1192" s="50"/>
      <c r="Q1192" s="57"/>
      <c r="R1192" s="12">
        <v>43424</v>
      </c>
      <c r="S1192" s="11">
        <v>7.226</v>
      </c>
      <c r="T1192" s="148">
        <v>0.92345047923322676</v>
      </c>
      <c r="U1192" s="148">
        <f t="shared" si="60"/>
        <v>5.4132887477864378</v>
      </c>
      <c r="V1192" s="278">
        <f t="shared" si="61"/>
        <v>-2.3513513513513606E-2</v>
      </c>
      <c r="W1192" s="278">
        <f t="shared" si="62"/>
        <v>-2.3756323392169491E-2</v>
      </c>
    </row>
    <row r="1193" spans="1:23" x14ac:dyDescent="0.2">
      <c r="A1193" s="8">
        <v>43416</v>
      </c>
      <c r="B1193" s="9">
        <v>7.8680000000000003</v>
      </c>
      <c r="E1193" s="51"/>
      <c r="F1193" s="51"/>
      <c r="G1193" s="51"/>
      <c r="H1193" s="51"/>
      <c r="I1193" s="51"/>
      <c r="J1193" s="53"/>
      <c r="K1193" s="53"/>
      <c r="L1193" s="53"/>
      <c r="M1193" s="53"/>
      <c r="N1193" s="53"/>
      <c r="O1193" s="139"/>
      <c r="P1193" s="50"/>
      <c r="Q1193" s="57"/>
      <c r="R1193" s="12">
        <v>43425</v>
      </c>
      <c r="S1193" s="11">
        <v>7.3019999999999996</v>
      </c>
      <c r="T1193" s="148">
        <v>0.93316293929712457</v>
      </c>
      <c r="U1193" s="148">
        <f t="shared" si="60"/>
        <v>5.4689090204888355</v>
      </c>
      <c r="V1193" s="278">
        <f t="shared" si="61"/>
        <v>1.0517575422086756E-2</v>
      </c>
      <c r="W1193" s="278">
        <f t="shared" si="62"/>
        <v>1.027476554343087E-2</v>
      </c>
    </row>
    <row r="1194" spans="1:23" x14ac:dyDescent="0.2">
      <c r="A1194" s="8">
        <v>43417</v>
      </c>
      <c r="B1194" s="9">
        <v>7.9080000000000004</v>
      </c>
      <c r="E1194" s="51"/>
      <c r="F1194" s="51"/>
      <c r="G1194" s="51"/>
      <c r="H1194" s="51"/>
      <c r="I1194" s="51"/>
      <c r="J1194" s="53"/>
      <c r="K1194" s="53"/>
      <c r="L1194" s="53"/>
      <c r="M1194" s="53"/>
      <c r="N1194" s="53"/>
      <c r="O1194" s="139"/>
      <c r="P1194" s="50"/>
      <c r="Q1194" s="57"/>
      <c r="R1194" s="12">
        <v>43426</v>
      </c>
      <c r="S1194" s="11">
        <v>7.2880000000000003</v>
      </c>
      <c r="T1194" s="148">
        <v>0.93137380191693286</v>
      </c>
      <c r="U1194" s="148">
        <f t="shared" si="60"/>
        <v>5.4570956694086767</v>
      </c>
      <c r="V1194" s="278">
        <f t="shared" si="61"/>
        <v>-1.9172829361817634E-3</v>
      </c>
      <c r="W1194" s="278">
        <f t="shared" si="62"/>
        <v>-2.1600928148376494E-3</v>
      </c>
    </row>
    <row r="1195" spans="1:23" x14ac:dyDescent="0.2">
      <c r="A1195" s="8">
        <v>43418</v>
      </c>
      <c r="B1195" s="9">
        <v>7.8419999999999996</v>
      </c>
      <c r="E1195" s="51"/>
      <c r="F1195" s="51"/>
      <c r="G1195" s="51"/>
      <c r="H1195" s="51"/>
      <c r="I1195" s="51"/>
      <c r="J1195" s="53"/>
      <c r="K1195" s="53"/>
      <c r="L1195" s="53"/>
      <c r="M1195" s="53"/>
      <c r="N1195" s="53"/>
      <c r="O1195" s="139"/>
      <c r="P1195" s="50"/>
      <c r="Q1195" s="57"/>
      <c r="R1195" s="12">
        <v>43427</v>
      </c>
      <c r="S1195" s="11">
        <v>7.3419999999999996</v>
      </c>
      <c r="T1195" s="148">
        <v>0.93827476038338653</v>
      </c>
      <c r="U1195" s="148">
        <f t="shared" si="60"/>
        <v>5.4962046565665528</v>
      </c>
      <c r="V1195" s="278">
        <f t="shared" si="61"/>
        <v>7.4094401756310546E-3</v>
      </c>
      <c r="W1195" s="278">
        <f t="shared" si="62"/>
        <v>7.1666302969751686E-3</v>
      </c>
    </row>
    <row r="1196" spans="1:23" x14ac:dyDescent="0.2">
      <c r="A1196" s="8">
        <v>43419</v>
      </c>
      <c r="B1196" s="9">
        <v>7.758</v>
      </c>
      <c r="E1196" s="51"/>
      <c r="F1196" s="51"/>
      <c r="G1196" s="51"/>
      <c r="H1196" s="51"/>
      <c r="I1196" s="51"/>
      <c r="J1196" s="53"/>
      <c r="K1196" s="53"/>
      <c r="L1196" s="53"/>
      <c r="M1196" s="53"/>
      <c r="N1196" s="53"/>
      <c r="O1196" s="139"/>
      <c r="P1196" s="50"/>
      <c r="Q1196" s="57"/>
      <c r="R1196" s="12">
        <v>43430</v>
      </c>
      <c r="S1196" s="11">
        <v>7.6680000000000001</v>
      </c>
      <c r="T1196" s="148">
        <v>0.97993610223642169</v>
      </c>
      <c r="U1196" s="148">
        <f t="shared" si="60"/>
        <v>5.7389129892181296</v>
      </c>
      <c r="V1196" s="278">
        <f t="shared" si="61"/>
        <v>4.4402070280577632E-2</v>
      </c>
      <c r="W1196" s="278">
        <f t="shared" si="62"/>
        <v>4.4159260401921745E-2</v>
      </c>
    </row>
    <row r="1197" spans="1:23" x14ac:dyDescent="0.2">
      <c r="A1197" s="8">
        <v>43420</v>
      </c>
      <c r="B1197" s="9">
        <v>7.78</v>
      </c>
      <c r="E1197" s="51"/>
      <c r="F1197" s="51"/>
      <c r="G1197" s="51"/>
      <c r="H1197" s="51"/>
      <c r="I1197" s="51"/>
      <c r="J1197" s="53"/>
      <c r="K1197" s="53"/>
      <c r="L1197" s="53"/>
      <c r="M1197" s="53"/>
      <c r="N1197" s="53"/>
      <c r="O1197" s="139"/>
      <c r="P1197" s="50"/>
      <c r="Q1197" s="57"/>
      <c r="R1197" s="12">
        <v>43431</v>
      </c>
      <c r="S1197" s="11">
        <v>7.7</v>
      </c>
      <c r="T1197" s="148">
        <v>0.98402555910543132</v>
      </c>
      <c r="U1197" s="148">
        <f t="shared" si="60"/>
        <v>5.7614690830920514</v>
      </c>
      <c r="V1197" s="278">
        <f t="shared" si="61"/>
        <v>4.1731872717787333E-3</v>
      </c>
      <c r="W1197" s="278">
        <f t="shared" si="62"/>
        <v>3.9303773931228473E-3</v>
      </c>
    </row>
    <row r="1198" spans="1:23" x14ac:dyDescent="0.2">
      <c r="A1198" s="8">
        <v>43423</v>
      </c>
      <c r="B1198" s="9">
        <v>7.4</v>
      </c>
      <c r="E1198" s="51"/>
      <c r="F1198" s="51"/>
      <c r="G1198" s="51"/>
      <c r="H1198" s="51"/>
      <c r="I1198" s="51"/>
      <c r="J1198" s="53"/>
      <c r="K1198" s="53"/>
      <c r="L1198" s="53"/>
      <c r="M1198" s="53"/>
      <c r="N1198" s="53"/>
      <c r="O1198" s="139"/>
      <c r="P1198" s="50"/>
      <c r="Q1198" s="57"/>
      <c r="R1198" s="12">
        <v>43432</v>
      </c>
      <c r="S1198" s="11">
        <v>7.734</v>
      </c>
      <c r="T1198" s="148">
        <v>0.98837060702875401</v>
      </c>
      <c r="U1198" s="148">
        <f t="shared" si="60"/>
        <v>5.7855103945772788</v>
      </c>
      <c r="V1198" s="278">
        <f t="shared" si="61"/>
        <v>4.4155844155844282E-3</v>
      </c>
      <c r="W1198" s="278">
        <f t="shared" si="62"/>
        <v>4.1727745369285422E-3</v>
      </c>
    </row>
    <row r="1199" spans="1:23" x14ac:dyDescent="0.2">
      <c r="A1199" s="8">
        <v>43424</v>
      </c>
      <c r="B1199" s="9">
        <v>7.226</v>
      </c>
      <c r="E1199" s="51"/>
      <c r="F1199" s="51"/>
      <c r="G1199" s="51"/>
      <c r="H1199" s="51"/>
      <c r="I1199" s="51"/>
      <c r="J1199" s="53"/>
      <c r="K1199" s="53"/>
      <c r="L1199" s="53"/>
      <c r="M1199" s="53"/>
      <c r="N1199" s="53"/>
      <c r="O1199" s="139"/>
      <c r="P1199" s="50"/>
      <c r="Q1199" s="57"/>
      <c r="R1199" s="12">
        <v>43433</v>
      </c>
      <c r="S1199" s="11">
        <v>7.8079999999999998</v>
      </c>
      <c r="T1199" s="148">
        <v>0.99782747603833866</v>
      </c>
      <c r="U1199" s="148">
        <f t="shared" si="60"/>
        <v>5.8394621928470238</v>
      </c>
      <c r="V1199" s="278">
        <f t="shared" si="61"/>
        <v>9.5681406775278699E-3</v>
      </c>
      <c r="W1199" s="278">
        <f t="shared" si="62"/>
        <v>9.3253307988719839E-3</v>
      </c>
    </row>
    <row r="1200" spans="1:23" x14ac:dyDescent="0.2">
      <c r="A1200" s="8">
        <v>43425</v>
      </c>
      <c r="B1200" s="9">
        <v>7.3019999999999996</v>
      </c>
      <c r="E1200" s="51"/>
      <c r="F1200" s="51"/>
      <c r="G1200" s="51"/>
      <c r="H1200" s="51"/>
      <c r="I1200" s="51"/>
      <c r="J1200" s="53"/>
      <c r="K1200" s="53"/>
      <c r="L1200" s="53"/>
      <c r="M1200" s="53"/>
      <c r="N1200" s="53"/>
      <c r="O1200" s="139"/>
      <c r="P1200" s="50"/>
      <c r="Q1200" s="57"/>
      <c r="R1200" s="12">
        <v>43434</v>
      </c>
      <c r="S1200" s="11">
        <v>7.806</v>
      </c>
      <c r="T1200" s="148">
        <v>0.99757188498402549</v>
      </c>
      <c r="U1200" s="148">
        <f t="shared" si="60"/>
        <v>5.8365485498591987</v>
      </c>
      <c r="V1200" s="278">
        <f t="shared" si="61"/>
        <v>-2.5614754098357562E-4</v>
      </c>
      <c r="W1200" s="278">
        <f t="shared" si="62"/>
        <v>-4.9895741963946127E-4</v>
      </c>
    </row>
    <row r="1201" spans="1:23" x14ac:dyDescent="0.2">
      <c r="A1201" s="8">
        <v>43426</v>
      </c>
      <c r="B1201" s="9">
        <v>7.2880000000000003</v>
      </c>
      <c r="E1201" s="51"/>
      <c r="F1201" s="51"/>
      <c r="G1201" s="51"/>
      <c r="H1201" s="51"/>
      <c r="I1201" s="51"/>
      <c r="J1201" s="53"/>
      <c r="K1201" s="53"/>
      <c r="L1201" s="53"/>
      <c r="M1201" s="53"/>
      <c r="N1201" s="53"/>
      <c r="O1201" s="139"/>
      <c r="P1201" s="50"/>
      <c r="Q1201" s="57"/>
      <c r="R1201" s="12">
        <v>43437</v>
      </c>
      <c r="S1201" s="11">
        <v>7.8559999999999999</v>
      </c>
      <c r="T1201" s="148">
        <v>1.0039616613418529</v>
      </c>
      <c r="U1201" s="148">
        <f t="shared" si="60"/>
        <v>5.8725163932656592</v>
      </c>
      <c r="V1201" s="278">
        <f t="shared" si="61"/>
        <v>6.4053292339225631E-3</v>
      </c>
      <c r="W1201" s="278">
        <f t="shared" si="62"/>
        <v>6.1625193552666772E-3</v>
      </c>
    </row>
    <row r="1202" spans="1:23" x14ac:dyDescent="0.2">
      <c r="A1202" s="8">
        <v>43427</v>
      </c>
      <c r="B1202" s="9">
        <v>7.3419999999999996</v>
      </c>
      <c r="E1202" s="51"/>
      <c r="F1202" s="51"/>
      <c r="G1202" s="51"/>
      <c r="H1202" s="51"/>
      <c r="I1202" s="51"/>
      <c r="J1202" s="53"/>
      <c r="K1202" s="53"/>
      <c r="L1202" s="53"/>
      <c r="M1202" s="53"/>
      <c r="N1202" s="53"/>
      <c r="O1202" s="139"/>
      <c r="P1202" s="50"/>
      <c r="Q1202" s="57"/>
      <c r="R1202" s="12">
        <v>43438</v>
      </c>
      <c r="S1202" s="11">
        <v>7.7140000000000004</v>
      </c>
      <c r="T1202" s="148">
        <v>0.98581469648562303</v>
      </c>
      <c r="U1202" s="148">
        <f t="shared" si="60"/>
        <v>5.7649426614087886</v>
      </c>
      <c r="V1202" s="278">
        <f t="shared" si="61"/>
        <v>-1.8075356415478527E-2</v>
      </c>
      <c r="W1202" s="278">
        <f t="shared" si="62"/>
        <v>-1.8318166294134412E-2</v>
      </c>
    </row>
    <row r="1203" spans="1:23" x14ac:dyDescent="0.2">
      <c r="A1203" s="8">
        <v>43430</v>
      </c>
      <c r="B1203" s="9">
        <v>7.6680000000000001</v>
      </c>
      <c r="E1203" s="51"/>
      <c r="F1203" s="51"/>
      <c r="G1203" s="51"/>
      <c r="H1203" s="51"/>
      <c r="I1203" s="51"/>
      <c r="J1203" s="53"/>
      <c r="K1203" s="53"/>
      <c r="L1203" s="53"/>
      <c r="M1203" s="53"/>
      <c r="N1203" s="53"/>
      <c r="O1203" s="139"/>
      <c r="P1203" s="50"/>
      <c r="Q1203" s="57"/>
      <c r="R1203" s="12">
        <v>43439</v>
      </c>
      <c r="S1203" s="11">
        <v>7.73</v>
      </c>
      <c r="T1203" s="148">
        <v>0.98785942492012779</v>
      </c>
      <c r="U1203" s="148">
        <f t="shared" si="60"/>
        <v>5.7755002373584858</v>
      </c>
      <c r="V1203" s="278">
        <f t="shared" si="61"/>
        <v>2.0741508944774889E-3</v>
      </c>
      <c r="W1203" s="278">
        <f t="shared" si="62"/>
        <v>1.8313410158216031E-3</v>
      </c>
    </row>
    <row r="1204" spans="1:23" x14ac:dyDescent="0.2">
      <c r="A1204" s="8">
        <v>43431</v>
      </c>
      <c r="B1204" s="9">
        <v>7.7</v>
      </c>
      <c r="E1204" s="51"/>
      <c r="F1204" s="51"/>
      <c r="G1204" s="51"/>
      <c r="H1204" s="51"/>
      <c r="I1204" s="51"/>
      <c r="J1204" s="53"/>
      <c r="K1204" s="53"/>
      <c r="L1204" s="53"/>
      <c r="M1204" s="53"/>
      <c r="N1204" s="53"/>
      <c r="O1204" s="139"/>
      <c r="P1204" s="50"/>
      <c r="Q1204" s="57"/>
      <c r="R1204" s="12">
        <v>43440</v>
      </c>
      <c r="S1204" s="11">
        <v>7.4980000000000002</v>
      </c>
      <c r="T1204" s="148">
        <v>0.95821086261980837</v>
      </c>
      <c r="U1204" s="148">
        <f t="shared" si="60"/>
        <v>5.6007581663282844</v>
      </c>
      <c r="V1204" s="278">
        <f t="shared" si="61"/>
        <v>-3.0012936610607999E-2</v>
      </c>
      <c r="W1204" s="278">
        <f t="shared" si="62"/>
        <v>-3.0255746489263883E-2</v>
      </c>
    </row>
    <row r="1205" spans="1:23" x14ac:dyDescent="0.2">
      <c r="A1205" s="8">
        <v>43432</v>
      </c>
      <c r="B1205" s="9">
        <v>7.734</v>
      </c>
      <c r="E1205" s="51"/>
      <c r="F1205" s="51"/>
      <c r="G1205" s="51"/>
      <c r="H1205" s="51"/>
      <c r="I1205" s="51"/>
      <c r="J1205" s="53"/>
      <c r="K1205" s="53"/>
      <c r="L1205" s="53"/>
      <c r="M1205" s="53"/>
      <c r="N1205" s="53"/>
      <c r="O1205" s="139"/>
      <c r="P1205" s="50"/>
      <c r="Q1205" s="57"/>
      <c r="R1205" s="12">
        <v>43441</v>
      </c>
      <c r="S1205" s="11">
        <v>7.492</v>
      </c>
      <c r="T1205" s="148">
        <v>0.95744408945686899</v>
      </c>
      <c r="U1205" s="148">
        <f t="shared" si="60"/>
        <v>5.5949164452373603</v>
      </c>
      <c r="V1205" s="278">
        <f t="shared" si="61"/>
        <v>-8.0021339023739202E-4</v>
      </c>
      <c r="W1205" s="278">
        <f t="shared" si="62"/>
        <v>-1.0430232688932778E-3</v>
      </c>
    </row>
    <row r="1206" spans="1:23" x14ac:dyDescent="0.2">
      <c r="A1206" s="8">
        <v>43433</v>
      </c>
      <c r="B1206" s="9">
        <v>7.8079999999999998</v>
      </c>
      <c r="E1206" s="51"/>
      <c r="F1206" s="51"/>
      <c r="G1206" s="51"/>
      <c r="H1206" s="51"/>
      <c r="I1206" s="51"/>
      <c r="J1206" s="53"/>
      <c r="K1206" s="53"/>
      <c r="L1206" s="53"/>
      <c r="M1206" s="53"/>
      <c r="N1206" s="53"/>
      <c r="O1206" s="139"/>
      <c r="P1206" s="50"/>
      <c r="Q1206" s="57"/>
      <c r="R1206" s="12">
        <v>43444</v>
      </c>
      <c r="S1206" s="11">
        <v>7.32</v>
      </c>
      <c r="T1206" s="148">
        <v>0.9354632587859425</v>
      </c>
      <c r="U1206" s="148">
        <f t="shared" si="60"/>
        <v>5.4651108502097783</v>
      </c>
      <c r="V1206" s="278">
        <f t="shared" si="61"/>
        <v>-2.2957821676454881E-2</v>
      </c>
      <c r="W1206" s="278">
        <f t="shared" si="62"/>
        <v>-2.3200631555110766E-2</v>
      </c>
    </row>
    <row r="1207" spans="1:23" x14ac:dyDescent="0.2">
      <c r="A1207" s="8">
        <v>43434</v>
      </c>
      <c r="B1207" s="9">
        <v>7.806</v>
      </c>
      <c r="E1207" s="51"/>
      <c r="F1207" s="51"/>
      <c r="G1207" s="51"/>
      <c r="H1207" s="51"/>
      <c r="I1207" s="51"/>
      <c r="J1207" s="53"/>
      <c r="K1207" s="53"/>
      <c r="L1207" s="53"/>
      <c r="M1207" s="53"/>
      <c r="N1207" s="53"/>
      <c r="O1207" s="139"/>
      <c r="P1207" s="50"/>
      <c r="Q1207" s="57"/>
      <c r="R1207" s="12">
        <v>43445</v>
      </c>
      <c r="S1207" s="11">
        <v>7.2839999999999998</v>
      </c>
      <c r="T1207" s="148">
        <v>0.93086261980830665</v>
      </c>
      <c r="U1207" s="148">
        <f t="shared" si="60"/>
        <v>5.436906272962104</v>
      </c>
      <c r="V1207" s="278">
        <f t="shared" si="61"/>
        <v>-4.9180327868852958E-3</v>
      </c>
      <c r="W1207" s="278">
        <f t="shared" si="62"/>
        <v>-5.1608426655411817E-3</v>
      </c>
    </row>
    <row r="1208" spans="1:23" x14ac:dyDescent="0.2">
      <c r="A1208" s="8">
        <v>43437</v>
      </c>
      <c r="B1208" s="9">
        <v>7.8559999999999999</v>
      </c>
      <c r="E1208" s="51"/>
      <c r="F1208" s="51"/>
      <c r="G1208" s="51"/>
      <c r="H1208" s="51"/>
      <c r="I1208" s="51"/>
      <c r="J1208" s="53"/>
      <c r="K1208" s="53"/>
      <c r="L1208" s="53"/>
      <c r="M1208" s="53"/>
      <c r="N1208" s="53"/>
      <c r="O1208" s="139"/>
      <c r="P1208" s="50"/>
      <c r="Q1208" s="57"/>
      <c r="R1208" s="12">
        <v>43446</v>
      </c>
      <c r="S1208" s="11">
        <v>7.524</v>
      </c>
      <c r="T1208" s="148">
        <v>0.96153354632587862</v>
      </c>
      <c r="U1208" s="148">
        <f t="shared" si="60"/>
        <v>5.6147263780460159</v>
      </c>
      <c r="V1208" s="278">
        <f t="shared" si="61"/>
        <v>3.2948929159802409E-2</v>
      </c>
      <c r="W1208" s="278">
        <f t="shared" si="62"/>
        <v>3.2706119281146522E-2</v>
      </c>
    </row>
    <row r="1209" spans="1:23" x14ac:dyDescent="0.2">
      <c r="A1209" s="8">
        <v>43438</v>
      </c>
      <c r="B1209" s="9">
        <v>7.7140000000000004</v>
      </c>
      <c r="E1209" s="51"/>
      <c r="F1209" s="51"/>
      <c r="G1209" s="51"/>
      <c r="H1209" s="51"/>
      <c r="I1209" s="51"/>
      <c r="J1209" s="53"/>
      <c r="K1209" s="53"/>
      <c r="L1209" s="53"/>
      <c r="M1209" s="53"/>
      <c r="N1209" s="53"/>
      <c r="O1209" s="139"/>
      <c r="P1209" s="50"/>
      <c r="Q1209" s="57"/>
      <c r="R1209" s="12">
        <v>43447</v>
      </c>
      <c r="S1209" s="11">
        <v>7.5540000000000003</v>
      </c>
      <c r="T1209" s="148">
        <v>0.96536741214057509</v>
      </c>
      <c r="U1209" s="148">
        <f t="shared" si="60"/>
        <v>5.6357503332756282</v>
      </c>
      <c r="V1209" s="278">
        <f t="shared" si="61"/>
        <v>3.9872408293462058E-3</v>
      </c>
      <c r="W1209" s="278">
        <f t="shared" si="62"/>
        <v>3.7444309506903199E-3</v>
      </c>
    </row>
    <row r="1210" spans="1:23" x14ac:dyDescent="0.2">
      <c r="A1210" s="8">
        <v>43439</v>
      </c>
      <c r="B1210" s="9">
        <v>7.73</v>
      </c>
      <c r="E1210" s="51"/>
      <c r="F1210" s="51"/>
      <c r="G1210" s="51"/>
      <c r="H1210" s="51"/>
      <c r="I1210" s="51"/>
      <c r="J1210" s="53"/>
      <c r="K1210" s="53"/>
      <c r="L1210" s="53"/>
      <c r="M1210" s="53"/>
      <c r="N1210" s="53"/>
      <c r="O1210" s="139"/>
      <c r="P1210" s="50"/>
      <c r="Q1210" s="57"/>
      <c r="R1210" s="12">
        <v>43448</v>
      </c>
      <c r="S1210" s="11">
        <v>7.6219999999999999</v>
      </c>
      <c r="T1210" s="148">
        <v>0.97405750798722046</v>
      </c>
      <c r="U1210" s="148">
        <f t="shared" si="60"/>
        <v>5.6851141152848168</v>
      </c>
      <c r="V1210" s="278">
        <f t="shared" si="61"/>
        <v>9.0018533227429476E-3</v>
      </c>
      <c r="W1210" s="278">
        <f t="shared" si="62"/>
        <v>8.7590434440870616E-3</v>
      </c>
    </row>
    <row r="1211" spans="1:23" x14ac:dyDescent="0.2">
      <c r="A1211" s="8">
        <v>43440</v>
      </c>
      <c r="B1211" s="9">
        <v>7.4980000000000002</v>
      </c>
      <c r="E1211" s="51"/>
      <c r="F1211" s="51"/>
      <c r="G1211" s="51"/>
      <c r="H1211" s="51"/>
      <c r="I1211" s="51"/>
      <c r="J1211" s="53"/>
      <c r="K1211" s="53"/>
      <c r="L1211" s="53"/>
      <c r="M1211" s="53"/>
      <c r="N1211" s="53"/>
      <c r="O1211" s="139"/>
      <c r="P1211" s="50"/>
      <c r="Q1211" s="57"/>
      <c r="R1211" s="12">
        <v>43451</v>
      </c>
      <c r="S1211" s="11">
        <v>7.5039999999999996</v>
      </c>
      <c r="T1211" s="148">
        <v>0.95897763578274753</v>
      </c>
      <c r="U1211" s="148">
        <f t="shared" si="60"/>
        <v>5.5957196140193819</v>
      </c>
      <c r="V1211" s="278">
        <f t="shared" si="61"/>
        <v>-1.5481500918394175E-2</v>
      </c>
      <c r="W1211" s="278">
        <f t="shared" si="62"/>
        <v>-1.572431079705006E-2</v>
      </c>
    </row>
    <row r="1212" spans="1:23" x14ac:dyDescent="0.2">
      <c r="A1212" s="8">
        <v>43441</v>
      </c>
      <c r="B1212" s="9">
        <v>7.492</v>
      </c>
      <c r="E1212" s="51"/>
      <c r="F1212" s="51"/>
      <c r="G1212" s="51"/>
      <c r="H1212" s="51"/>
      <c r="I1212" s="51"/>
      <c r="J1212" s="53"/>
      <c r="K1212" s="53"/>
      <c r="L1212" s="53"/>
      <c r="M1212" s="53"/>
      <c r="N1212" s="53"/>
      <c r="O1212" s="139"/>
      <c r="P1212" s="50"/>
      <c r="Q1212" s="57"/>
      <c r="R1212" s="12">
        <v>43452</v>
      </c>
      <c r="S1212" s="11">
        <v>7.57</v>
      </c>
      <c r="T1212" s="148">
        <v>0.96741214057507985</v>
      </c>
      <c r="U1212" s="148">
        <f t="shared" si="60"/>
        <v>5.6435770020441334</v>
      </c>
      <c r="V1212" s="278">
        <f t="shared" si="61"/>
        <v>8.7953091684436213E-3</v>
      </c>
      <c r="W1212" s="278">
        <f t="shared" si="62"/>
        <v>8.5524992897877353E-3</v>
      </c>
    </row>
    <row r="1213" spans="1:23" x14ac:dyDescent="0.2">
      <c r="A1213" s="8">
        <v>43444</v>
      </c>
      <c r="B1213" s="9">
        <v>7.32</v>
      </c>
      <c r="E1213" s="51"/>
      <c r="F1213" s="51"/>
      <c r="G1213" s="51"/>
      <c r="H1213" s="51"/>
      <c r="I1213" s="51"/>
      <c r="J1213" s="53"/>
      <c r="K1213" s="53"/>
      <c r="L1213" s="53"/>
      <c r="M1213" s="53"/>
      <c r="N1213" s="53"/>
      <c r="O1213" s="139"/>
      <c r="P1213" s="50"/>
      <c r="Q1213" s="57"/>
      <c r="R1213" s="12">
        <v>43453</v>
      </c>
      <c r="S1213" s="11">
        <v>7.7080000000000002</v>
      </c>
      <c r="T1213" s="148">
        <v>0.98504792332268376</v>
      </c>
      <c r="U1213" s="148">
        <f t="shared" si="60"/>
        <v>5.7450882744737113</v>
      </c>
      <c r="V1213" s="278">
        <f t="shared" si="61"/>
        <v>1.8229854689564062E-2</v>
      </c>
      <c r="W1213" s="278">
        <f t="shared" si="62"/>
        <v>1.7987044810908178E-2</v>
      </c>
    </row>
    <row r="1214" spans="1:23" x14ac:dyDescent="0.2">
      <c r="A1214" s="8">
        <v>43445</v>
      </c>
      <c r="B1214" s="9">
        <v>7.2839999999999998</v>
      </c>
      <c r="E1214" s="51"/>
      <c r="F1214" s="51"/>
      <c r="G1214" s="51"/>
      <c r="H1214" s="51"/>
      <c r="I1214" s="51"/>
      <c r="J1214" s="53"/>
      <c r="K1214" s="53"/>
      <c r="L1214" s="53"/>
      <c r="M1214" s="53"/>
      <c r="N1214" s="53"/>
      <c r="O1214" s="139"/>
      <c r="P1214" s="50"/>
      <c r="Q1214" s="57"/>
      <c r="R1214" s="12">
        <v>43454</v>
      </c>
      <c r="S1214" s="11">
        <v>7.54</v>
      </c>
      <c r="T1214" s="148">
        <v>0.96357827476038338</v>
      </c>
      <c r="U1214" s="148">
        <f t="shared" si="60"/>
        <v>5.6184760256331066</v>
      </c>
      <c r="V1214" s="278">
        <f t="shared" si="61"/>
        <v>-2.1795537104307261E-2</v>
      </c>
      <c r="W1214" s="278">
        <f t="shared" si="62"/>
        <v>-2.2038346982963145E-2</v>
      </c>
    </row>
    <row r="1215" spans="1:23" x14ac:dyDescent="0.2">
      <c r="A1215" s="8">
        <v>43446</v>
      </c>
      <c r="B1215" s="9">
        <v>7.524</v>
      </c>
      <c r="E1215" s="51"/>
      <c r="F1215" s="51"/>
      <c r="G1215" s="51"/>
      <c r="H1215" s="51"/>
      <c r="I1215" s="51"/>
      <c r="J1215" s="53"/>
      <c r="K1215" s="53"/>
      <c r="L1215" s="53"/>
      <c r="M1215" s="53"/>
      <c r="N1215" s="53"/>
      <c r="O1215" s="139"/>
      <c r="P1215" s="50"/>
      <c r="Q1215" s="57"/>
      <c r="R1215" s="12">
        <v>43455</v>
      </c>
      <c r="S1215" s="11">
        <v>7.3559999999999999</v>
      </c>
      <c r="T1215" s="148">
        <v>0.94006389776357824</v>
      </c>
      <c r="U1215" s="148">
        <f t="shared" si="60"/>
        <v>5.4800031053823259</v>
      </c>
      <c r="V1215" s="278">
        <f t="shared" si="61"/>
        <v>-2.4403183023872677E-2</v>
      </c>
      <c r="W1215" s="278">
        <f t="shared" si="62"/>
        <v>-2.4645992902528561E-2</v>
      </c>
    </row>
    <row r="1216" spans="1:23" x14ac:dyDescent="0.2">
      <c r="A1216" s="8">
        <v>43447</v>
      </c>
      <c r="B1216" s="9">
        <v>7.5540000000000003</v>
      </c>
      <c r="E1216" s="51"/>
      <c r="F1216" s="51"/>
      <c r="G1216" s="51"/>
      <c r="H1216" s="51"/>
      <c r="I1216" s="51"/>
      <c r="J1216" s="53"/>
      <c r="K1216" s="53"/>
      <c r="L1216" s="53"/>
      <c r="M1216" s="53"/>
      <c r="N1216" s="53"/>
      <c r="O1216" s="139"/>
      <c r="P1216" s="50"/>
      <c r="Q1216" s="57"/>
      <c r="R1216" s="12">
        <v>43461</v>
      </c>
      <c r="S1216" s="11">
        <v>7.2439999999999998</v>
      </c>
      <c r="T1216" s="148">
        <v>0.92575079872204469</v>
      </c>
      <c r="U1216" s="148">
        <f t="shared" si="60"/>
        <v>5.395235808858307</v>
      </c>
      <c r="V1216" s="278">
        <f t="shared" si="61"/>
        <v>-1.5225666122892889E-2</v>
      </c>
      <c r="W1216" s="278">
        <f t="shared" si="62"/>
        <v>-1.5468476001548775E-2</v>
      </c>
    </row>
    <row r="1217" spans="1:23" x14ac:dyDescent="0.2">
      <c r="A1217" s="8">
        <v>43448</v>
      </c>
      <c r="B1217" s="9">
        <v>7.6219999999999999</v>
      </c>
      <c r="E1217" s="51"/>
      <c r="F1217" s="51"/>
      <c r="G1217" s="51"/>
      <c r="H1217" s="51"/>
      <c r="I1217" s="51"/>
      <c r="J1217" s="53"/>
      <c r="K1217" s="53"/>
      <c r="L1217" s="53"/>
      <c r="M1217" s="53"/>
      <c r="N1217" s="53"/>
      <c r="O1217" s="139"/>
      <c r="P1217" s="50"/>
      <c r="Q1217" s="57"/>
      <c r="R1217" s="12">
        <v>43462</v>
      </c>
      <c r="S1217" s="11">
        <v>7.3760000000000003</v>
      </c>
      <c r="T1217" s="148">
        <v>0.94261980830670933</v>
      </c>
      <c r="U1217" s="148">
        <f t="shared" si="60"/>
        <v>5.4922376540910669</v>
      </c>
      <c r="V1217" s="278">
        <f t="shared" si="61"/>
        <v>1.8221976808393325E-2</v>
      </c>
      <c r="W1217" s="278">
        <f t="shared" si="62"/>
        <v>1.7979166929737441E-2</v>
      </c>
    </row>
    <row r="1218" spans="1:23" x14ac:dyDescent="0.2">
      <c r="A1218" s="8">
        <v>43451</v>
      </c>
      <c r="B1218" s="9">
        <v>7.5039999999999996</v>
      </c>
      <c r="E1218" s="51"/>
      <c r="F1218" s="51"/>
      <c r="G1218" s="51"/>
      <c r="H1218" s="51"/>
      <c r="I1218" s="51"/>
      <c r="J1218" s="53"/>
      <c r="K1218" s="53"/>
      <c r="L1218" s="53"/>
      <c r="M1218" s="53"/>
      <c r="N1218" s="53"/>
      <c r="O1218" s="139"/>
      <c r="P1218" s="50"/>
      <c r="Q1218" s="57"/>
      <c r="R1218" s="12">
        <v>43467</v>
      </c>
      <c r="S1218" s="11">
        <v>7.3040000000000003</v>
      </c>
      <c r="T1218" s="148">
        <v>0.93341853035143774</v>
      </c>
      <c r="U1218" s="148">
        <f t="shared" si="60"/>
        <v>5.4372922202303204</v>
      </c>
      <c r="V1218" s="278">
        <f t="shared" si="61"/>
        <v>-9.761388286334105E-3</v>
      </c>
      <c r="W1218" s="278">
        <f t="shared" si="62"/>
        <v>-1.0004198164989991E-2</v>
      </c>
    </row>
    <row r="1219" spans="1:23" x14ac:dyDescent="0.2">
      <c r="A1219" s="8">
        <v>43452</v>
      </c>
      <c r="B1219" s="9">
        <v>7.57</v>
      </c>
      <c r="E1219" s="51"/>
      <c r="F1219" s="51"/>
      <c r="G1219" s="51"/>
      <c r="H1219" s="51"/>
      <c r="I1219" s="51"/>
      <c r="J1219" s="53"/>
      <c r="K1219" s="53"/>
      <c r="L1219" s="53"/>
      <c r="M1219" s="53"/>
      <c r="N1219" s="53"/>
      <c r="O1219" s="139"/>
      <c r="P1219" s="50"/>
      <c r="Q1219" s="57"/>
      <c r="R1219" s="12">
        <v>43468</v>
      </c>
      <c r="S1219" s="11">
        <v>7.298</v>
      </c>
      <c r="T1219" s="148">
        <v>0.93265175718849835</v>
      </c>
      <c r="U1219" s="148">
        <f t="shared" si="60"/>
        <v>5.4315054320918783</v>
      </c>
      <c r="V1219" s="278">
        <f t="shared" si="61"/>
        <v>-8.2146768893764932E-4</v>
      </c>
      <c r="W1219" s="278">
        <f t="shared" si="62"/>
        <v>-1.0642775675935351E-3</v>
      </c>
    </row>
    <row r="1220" spans="1:23" x14ac:dyDescent="0.2">
      <c r="A1220" s="8">
        <v>43453</v>
      </c>
      <c r="B1220" s="9">
        <v>7.7080000000000002</v>
      </c>
      <c r="E1220" s="51"/>
      <c r="F1220" s="51"/>
      <c r="G1220" s="51"/>
      <c r="H1220" s="51"/>
      <c r="I1220" s="51"/>
      <c r="J1220" s="53"/>
      <c r="K1220" s="53"/>
      <c r="L1220" s="53"/>
      <c r="M1220" s="53"/>
      <c r="N1220" s="53"/>
      <c r="O1220" s="139"/>
      <c r="P1220" s="50"/>
      <c r="Q1220" s="57"/>
      <c r="R1220" s="12">
        <v>43469</v>
      </c>
      <c r="S1220" s="11">
        <v>7.7320000000000002</v>
      </c>
      <c r="T1220" s="148">
        <v>0.98811501597444085</v>
      </c>
      <c r="U1220" s="148">
        <f t="shared" si="60"/>
        <v>5.7531892613598368</v>
      </c>
      <c r="V1220" s="278">
        <f t="shared" si="61"/>
        <v>5.9468347492463769E-2</v>
      </c>
      <c r="W1220" s="278">
        <f t="shared" si="62"/>
        <v>5.9225537613807881E-2</v>
      </c>
    </row>
    <row r="1221" spans="1:23" x14ac:dyDescent="0.2">
      <c r="A1221" s="8">
        <v>43454</v>
      </c>
      <c r="B1221" s="9">
        <v>7.54</v>
      </c>
      <c r="E1221" s="51"/>
      <c r="F1221" s="51"/>
      <c r="G1221" s="51"/>
      <c r="H1221" s="51"/>
      <c r="I1221" s="51"/>
      <c r="J1221" s="53"/>
      <c r="K1221" s="53"/>
      <c r="L1221" s="53"/>
      <c r="M1221" s="53"/>
      <c r="N1221" s="53"/>
      <c r="O1221" s="139"/>
      <c r="P1221" s="50"/>
      <c r="Q1221" s="57"/>
      <c r="R1221" s="12">
        <v>43472</v>
      </c>
      <c r="S1221" s="11">
        <v>7.718</v>
      </c>
      <c r="T1221" s="148">
        <v>0.98632587859424914</v>
      </c>
      <c r="U1221" s="148">
        <f t="shared" si="60"/>
        <v>5.7413752777084461</v>
      </c>
      <c r="V1221" s="278">
        <f t="shared" si="61"/>
        <v>-1.8106570098292973E-3</v>
      </c>
      <c r="W1221" s="278">
        <f t="shared" si="62"/>
        <v>-2.0534668884851833E-3</v>
      </c>
    </row>
    <row r="1222" spans="1:23" x14ac:dyDescent="0.2">
      <c r="A1222" s="8">
        <v>43455</v>
      </c>
      <c r="B1222" s="9">
        <v>7.3559999999999999</v>
      </c>
      <c r="E1222" s="51"/>
      <c r="F1222" s="51"/>
      <c r="G1222" s="51"/>
      <c r="H1222" s="51"/>
      <c r="I1222" s="51"/>
      <c r="J1222" s="53"/>
      <c r="K1222" s="53"/>
      <c r="L1222" s="53"/>
      <c r="M1222" s="53"/>
      <c r="N1222" s="53"/>
      <c r="O1222" s="139"/>
      <c r="P1222" s="50"/>
      <c r="Q1222" s="57"/>
      <c r="R1222" s="12">
        <v>43473</v>
      </c>
      <c r="S1222" s="11">
        <v>7.694</v>
      </c>
      <c r="T1222" s="148">
        <v>0.98325878594249194</v>
      </c>
      <c r="U1222" s="148">
        <f t="shared" si="60"/>
        <v>5.7221277547649292</v>
      </c>
      <c r="V1222" s="278">
        <f t="shared" si="61"/>
        <v>-3.1096138896087311E-3</v>
      </c>
      <c r="W1222" s="278">
        <f t="shared" si="62"/>
        <v>-3.3524237682646171E-3</v>
      </c>
    </row>
    <row r="1223" spans="1:23" x14ac:dyDescent="0.2">
      <c r="A1223" s="8">
        <v>43461</v>
      </c>
      <c r="B1223" s="9">
        <v>7.2439999999999998</v>
      </c>
      <c r="E1223" s="51"/>
      <c r="F1223" s="51"/>
      <c r="G1223" s="51"/>
      <c r="H1223" s="51"/>
      <c r="I1223" s="51"/>
      <c r="J1223" s="53"/>
      <c r="K1223" s="53"/>
      <c r="L1223" s="53"/>
      <c r="M1223" s="53"/>
      <c r="N1223" s="53"/>
      <c r="O1223" s="139"/>
      <c r="P1223" s="50"/>
      <c r="Q1223" s="57"/>
      <c r="R1223" s="12">
        <v>43474</v>
      </c>
      <c r="S1223" s="11">
        <v>7.6539999999999999</v>
      </c>
      <c r="T1223" s="148">
        <v>0.97814696485622998</v>
      </c>
      <c r="U1223" s="148">
        <f t="shared" si="60"/>
        <v>5.6909898459686872</v>
      </c>
      <c r="V1223" s="278">
        <f t="shared" si="61"/>
        <v>-5.1988562516246395E-3</v>
      </c>
      <c r="W1223" s="278">
        <f t="shared" si="62"/>
        <v>-5.4416661302805255E-3</v>
      </c>
    </row>
    <row r="1224" spans="1:23" x14ac:dyDescent="0.2">
      <c r="A1224" s="8">
        <v>43462</v>
      </c>
      <c r="B1224" s="9">
        <v>7.3760000000000003</v>
      </c>
      <c r="E1224" s="51"/>
      <c r="F1224" s="51"/>
      <c r="G1224" s="51"/>
      <c r="H1224" s="51"/>
      <c r="I1224" s="51"/>
      <c r="J1224" s="53"/>
      <c r="K1224" s="53"/>
      <c r="L1224" s="53"/>
      <c r="M1224" s="53"/>
      <c r="N1224" s="53"/>
      <c r="O1224" s="139"/>
      <c r="P1224" s="50"/>
      <c r="Q1224" s="57"/>
      <c r="R1224" s="12">
        <v>43475</v>
      </c>
      <c r="S1224" s="11">
        <v>7.6580000000000004</v>
      </c>
      <c r="T1224" s="148">
        <v>0.9786581469648562</v>
      </c>
      <c r="U1224" s="148">
        <f t="shared" si="60"/>
        <v>5.6925821432814754</v>
      </c>
      <c r="V1224" s="278">
        <f t="shared" si="61"/>
        <v>5.2260256075253864E-4</v>
      </c>
      <c r="W1224" s="278">
        <f t="shared" si="62"/>
        <v>2.7979268209665298E-4</v>
      </c>
    </row>
    <row r="1225" spans="1:23" x14ac:dyDescent="0.2">
      <c r="A1225" s="8">
        <v>43467</v>
      </c>
      <c r="B1225" s="9">
        <v>7.3040000000000003</v>
      </c>
      <c r="E1225" s="51"/>
      <c r="F1225" s="51"/>
      <c r="G1225" s="51"/>
      <c r="H1225" s="51"/>
      <c r="I1225" s="51"/>
      <c r="J1225" s="53"/>
      <c r="K1225" s="53"/>
      <c r="L1225" s="53"/>
      <c r="M1225" s="53"/>
      <c r="N1225" s="53"/>
      <c r="O1225" s="139"/>
      <c r="P1225" s="50"/>
      <c r="Q1225" s="57"/>
      <c r="R1225" s="12">
        <v>43476</v>
      </c>
      <c r="S1225" s="11">
        <v>7.7539999999999996</v>
      </c>
      <c r="T1225" s="148">
        <v>0.99092651757188488</v>
      </c>
      <c r="U1225" s="148">
        <f t="shared" si="60"/>
        <v>5.7625616264246968</v>
      </c>
      <c r="V1225" s="278">
        <f t="shared" si="61"/>
        <v>1.2535910159310326E-2</v>
      </c>
      <c r="W1225" s="278">
        <f t="shared" si="62"/>
        <v>1.229310028065444E-2</v>
      </c>
    </row>
    <row r="1226" spans="1:23" x14ac:dyDescent="0.2">
      <c r="A1226" s="8">
        <v>43468</v>
      </c>
      <c r="B1226" s="9">
        <v>7.298</v>
      </c>
      <c r="E1226" s="51"/>
      <c r="F1226" s="51"/>
      <c r="G1226" s="51"/>
      <c r="H1226" s="51"/>
      <c r="I1226" s="51"/>
      <c r="J1226" s="53"/>
      <c r="K1226" s="53"/>
      <c r="L1226" s="53"/>
      <c r="M1226" s="53"/>
      <c r="N1226" s="53"/>
      <c r="O1226" s="139"/>
      <c r="P1226" s="50"/>
      <c r="Q1226" s="57"/>
      <c r="R1226" s="12">
        <v>43479</v>
      </c>
      <c r="S1226" s="11">
        <v>7.67</v>
      </c>
      <c r="T1226" s="148">
        <v>0.98019169329073474</v>
      </c>
      <c r="U1226" s="148">
        <f t="shared" si="60"/>
        <v>5.6987359072037806</v>
      </c>
      <c r="V1226" s="278">
        <f t="shared" si="61"/>
        <v>-1.0833118390508045E-2</v>
      </c>
      <c r="W1226" s="278">
        <f t="shared" si="62"/>
        <v>-1.1075928269163931E-2</v>
      </c>
    </row>
    <row r="1227" spans="1:23" x14ac:dyDescent="0.2">
      <c r="A1227" s="8">
        <v>43469</v>
      </c>
      <c r="B1227" s="9">
        <v>7.7320000000000002</v>
      </c>
      <c r="E1227" s="51"/>
      <c r="F1227" s="51"/>
      <c r="G1227" s="51"/>
      <c r="H1227" s="51"/>
      <c r="I1227" s="51"/>
      <c r="J1227" s="53"/>
      <c r="K1227" s="53"/>
      <c r="L1227" s="53"/>
      <c r="M1227" s="53"/>
      <c r="N1227" s="53"/>
      <c r="O1227" s="139"/>
      <c r="P1227" s="50"/>
      <c r="Q1227" s="57"/>
      <c r="R1227" s="12">
        <v>43480</v>
      </c>
      <c r="S1227" s="11">
        <v>7.66</v>
      </c>
      <c r="T1227" s="148">
        <v>0.97891373801916937</v>
      </c>
      <c r="U1227" s="148">
        <f t="shared" si="60"/>
        <v>5.6899222944304384</v>
      </c>
      <c r="V1227" s="278">
        <f t="shared" si="61"/>
        <v>-1.3037809647978849E-3</v>
      </c>
      <c r="W1227" s="278">
        <f t="shared" si="62"/>
        <v>-1.5465908434537706E-3</v>
      </c>
    </row>
    <row r="1228" spans="1:23" x14ac:dyDescent="0.2">
      <c r="A1228" s="8">
        <v>43472</v>
      </c>
      <c r="B1228" s="9">
        <v>7.718</v>
      </c>
      <c r="E1228" s="51"/>
      <c r="F1228" s="51"/>
      <c r="G1228" s="51"/>
      <c r="H1228" s="51"/>
      <c r="I1228" s="51"/>
      <c r="J1228" s="53"/>
      <c r="K1228" s="53"/>
      <c r="L1228" s="53"/>
      <c r="M1228" s="53"/>
      <c r="N1228" s="53"/>
      <c r="O1228" s="139"/>
      <c r="P1228" s="50"/>
      <c r="Q1228" s="57"/>
      <c r="R1228" s="12">
        <v>43481</v>
      </c>
      <c r="S1228" s="11">
        <v>7.8360000000000003</v>
      </c>
      <c r="T1228" s="148">
        <v>1.001405750798722</v>
      </c>
      <c r="U1228" s="148">
        <f t="shared" si="60"/>
        <v>5.8192752321146433</v>
      </c>
      <c r="V1228" s="278">
        <f t="shared" si="61"/>
        <v>2.297650130548301E-2</v>
      </c>
      <c r="W1228" s="278">
        <f t="shared" si="62"/>
        <v>2.2733691426827126E-2</v>
      </c>
    </row>
    <row r="1229" spans="1:23" x14ac:dyDescent="0.2">
      <c r="A1229" s="8">
        <v>43473</v>
      </c>
      <c r="B1229" s="9">
        <v>7.694</v>
      </c>
      <c r="E1229" s="51"/>
      <c r="F1229" s="51"/>
      <c r="G1229" s="51"/>
      <c r="H1229" s="51"/>
      <c r="I1229" s="51"/>
      <c r="J1229" s="53"/>
      <c r="K1229" s="53"/>
      <c r="L1229" s="53"/>
      <c r="M1229" s="53"/>
      <c r="N1229" s="53"/>
      <c r="O1229" s="139"/>
      <c r="P1229" s="50"/>
      <c r="Q1229" s="57"/>
      <c r="R1229" s="12">
        <v>43482</v>
      </c>
      <c r="S1229" s="11">
        <v>7.8460000000000001</v>
      </c>
      <c r="T1229" s="148">
        <v>1.0026837060702876</v>
      </c>
      <c r="U1229" s="148">
        <f t="shared" si="60"/>
        <v>5.8252885884864485</v>
      </c>
      <c r="V1229" s="278">
        <f t="shared" si="61"/>
        <v>1.276161306789092E-3</v>
      </c>
      <c r="W1229" s="278">
        <f t="shared" si="62"/>
        <v>1.0333514281332065E-3</v>
      </c>
    </row>
    <row r="1230" spans="1:23" x14ac:dyDescent="0.2">
      <c r="A1230" s="8">
        <v>43474</v>
      </c>
      <c r="B1230" s="9">
        <v>7.6539999999999999</v>
      </c>
      <c r="E1230" s="51"/>
      <c r="F1230" s="51"/>
      <c r="G1230" s="51"/>
      <c r="H1230" s="51"/>
      <c r="I1230" s="51"/>
      <c r="J1230" s="53"/>
      <c r="K1230" s="53"/>
      <c r="L1230" s="53"/>
      <c r="M1230" s="53"/>
      <c r="N1230" s="53"/>
      <c r="O1230" s="139"/>
      <c r="P1230" s="50"/>
      <c r="Q1230" s="57"/>
      <c r="R1230" s="12">
        <v>43483</v>
      </c>
      <c r="S1230" s="11">
        <v>7.8780000000000001</v>
      </c>
      <c r="T1230" s="148">
        <v>1.0067731629392971</v>
      </c>
      <c r="U1230" s="148">
        <f t="shared" si="60"/>
        <v>5.8476326564576278</v>
      </c>
      <c r="V1230" s="278">
        <f t="shared" si="61"/>
        <v>4.0785113433596809E-3</v>
      </c>
      <c r="W1230" s="278">
        <f t="shared" si="62"/>
        <v>3.8357014647037949E-3</v>
      </c>
    </row>
    <row r="1231" spans="1:23" x14ac:dyDescent="0.2">
      <c r="A1231" s="8">
        <v>43475</v>
      </c>
      <c r="B1231" s="9">
        <v>7.6580000000000004</v>
      </c>
      <c r="E1231" s="51"/>
      <c r="F1231" s="51"/>
      <c r="G1231" s="51"/>
      <c r="H1231" s="51"/>
      <c r="I1231" s="51"/>
      <c r="J1231" s="53"/>
      <c r="K1231" s="53"/>
      <c r="L1231" s="53"/>
      <c r="M1231" s="53"/>
      <c r="N1231" s="53"/>
      <c r="O1231" s="139"/>
      <c r="P1231" s="50"/>
      <c r="Q1231" s="57"/>
      <c r="R1231" s="12">
        <v>43486</v>
      </c>
      <c r="S1231" s="11">
        <v>7.9</v>
      </c>
      <c r="T1231" s="148">
        <v>1.0095846645367412</v>
      </c>
      <c r="U1231" s="148">
        <f t="shared" si="60"/>
        <v>5.8625428161325699</v>
      </c>
      <c r="V1231" s="278">
        <f t="shared" si="61"/>
        <v>2.7925869510028178E-3</v>
      </c>
      <c r="W1231" s="278">
        <f t="shared" si="62"/>
        <v>2.5497770723469319E-3</v>
      </c>
    </row>
    <row r="1232" spans="1:23" x14ac:dyDescent="0.2">
      <c r="A1232" s="8">
        <v>43476</v>
      </c>
      <c r="B1232" s="9">
        <v>7.7539999999999996</v>
      </c>
      <c r="E1232" s="51"/>
      <c r="F1232" s="51"/>
      <c r="G1232" s="51"/>
      <c r="H1232" s="51"/>
      <c r="I1232" s="51"/>
      <c r="J1232" s="53"/>
      <c r="K1232" s="53"/>
      <c r="L1232" s="53"/>
      <c r="M1232" s="53"/>
      <c r="N1232" s="53"/>
      <c r="O1232" s="139"/>
      <c r="P1232" s="50"/>
      <c r="Q1232" s="57"/>
      <c r="R1232" s="12">
        <v>43487</v>
      </c>
      <c r="S1232" s="11">
        <v>7.8739999999999997</v>
      </c>
      <c r="T1232" s="148">
        <v>1.0062619808306708</v>
      </c>
      <c r="U1232" s="148">
        <f t="shared" si="60"/>
        <v>5.8418248881114474</v>
      </c>
      <c r="V1232" s="278">
        <f t="shared" si="61"/>
        <v>-3.2911392405063911E-3</v>
      </c>
      <c r="W1232" s="278">
        <f t="shared" si="62"/>
        <v>-3.533949119162277E-3</v>
      </c>
    </row>
    <row r="1233" spans="1:23" x14ac:dyDescent="0.2">
      <c r="A1233" s="8">
        <v>43479</v>
      </c>
      <c r="B1233" s="9">
        <v>7.67</v>
      </c>
      <c r="E1233" s="51"/>
      <c r="F1233" s="51"/>
      <c r="G1233" s="51"/>
      <c r="H1233" s="51"/>
      <c r="I1233" s="51"/>
      <c r="J1233" s="53"/>
      <c r="K1233" s="53"/>
      <c r="L1233" s="53"/>
      <c r="M1233" s="53"/>
      <c r="N1233" s="53"/>
      <c r="O1233" s="139"/>
      <c r="P1233" s="50"/>
      <c r="Q1233" s="57"/>
      <c r="R1233" s="12">
        <v>43488</v>
      </c>
      <c r="S1233" s="11">
        <v>7.88</v>
      </c>
      <c r="T1233" s="148">
        <v>1.0070287539936102</v>
      </c>
      <c r="U1233" s="148">
        <f t="shared" si="60"/>
        <v>5.8448579147869353</v>
      </c>
      <c r="V1233" s="278">
        <f t="shared" si="61"/>
        <v>7.620015240030753E-4</v>
      </c>
      <c r="W1233" s="278">
        <f t="shared" si="62"/>
        <v>5.1919164534718965E-4</v>
      </c>
    </row>
    <row r="1234" spans="1:23" x14ac:dyDescent="0.2">
      <c r="A1234" s="8">
        <v>43480</v>
      </c>
      <c r="B1234" s="9">
        <v>7.66</v>
      </c>
      <c r="E1234" s="51"/>
      <c r="F1234" s="51"/>
      <c r="G1234" s="51"/>
      <c r="H1234" s="51"/>
      <c r="I1234" s="51"/>
      <c r="J1234" s="53"/>
      <c r="K1234" s="53"/>
      <c r="L1234" s="53"/>
      <c r="M1234" s="53"/>
      <c r="N1234" s="53"/>
      <c r="O1234" s="139"/>
      <c r="P1234" s="50"/>
      <c r="Q1234" s="57"/>
      <c r="R1234" s="12">
        <v>43489</v>
      </c>
      <c r="S1234" s="11">
        <v>7.8940000000000001</v>
      </c>
      <c r="T1234" s="148">
        <v>1.008817891373802</v>
      </c>
      <c r="U1234" s="148">
        <f t="shared" si="60"/>
        <v>5.8538229908767239</v>
      </c>
      <c r="V1234" s="278">
        <f t="shared" si="61"/>
        <v>1.7766497461928488E-3</v>
      </c>
      <c r="W1234" s="278">
        <f t="shared" si="62"/>
        <v>1.533839867536963E-3</v>
      </c>
    </row>
    <row r="1235" spans="1:23" x14ac:dyDescent="0.2">
      <c r="A1235" s="8">
        <v>43481</v>
      </c>
      <c r="B1235" s="9">
        <v>7.8360000000000003</v>
      </c>
      <c r="E1235" s="51"/>
      <c r="F1235" s="51"/>
      <c r="G1235" s="51"/>
      <c r="H1235" s="51"/>
      <c r="I1235" s="51"/>
      <c r="J1235" s="53"/>
      <c r="K1235" s="53"/>
      <c r="L1235" s="53"/>
      <c r="M1235" s="53"/>
      <c r="N1235" s="53"/>
      <c r="O1235" s="139"/>
      <c r="P1235" s="50"/>
      <c r="Q1235" s="57"/>
      <c r="R1235" s="12">
        <v>43490</v>
      </c>
      <c r="S1235" s="11">
        <v>7.976</v>
      </c>
      <c r="T1235" s="148">
        <v>1.019297124600639</v>
      </c>
      <c r="U1235" s="148">
        <f t="shared" si="60"/>
        <v>5.9132090083143334</v>
      </c>
      <c r="V1235" s="278">
        <f t="shared" si="61"/>
        <v>1.0387636179376658E-2</v>
      </c>
      <c r="W1235" s="278">
        <f t="shared" si="62"/>
        <v>1.0144826300720772E-2</v>
      </c>
    </row>
    <row r="1236" spans="1:23" x14ac:dyDescent="0.2">
      <c r="A1236" s="8">
        <v>43482</v>
      </c>
      <c r="B1236" s="9">
        <v>7.8460000000000001</v>
      </c>
      <c r="E1236" s="51"/>
      <c r="F1236" s="51"/>
      <c r="G1236" s="51"/>
      <c r="H1236" s="51"/>
      <c r="I1236" s="51"/>
      <c r="J1236" s="53"/>
      <c r="K1236" s="53"/>
      <c r="L1236" s="53"/>
      <c r="M1236" s="53"/>
      <c r="N1236" s="53"/>
      <c r="O1236" s="139"/>
      <c r="P1236" s="50"/>
      <c r="Q1236" s="57"/>
      <c r="R1236" s="12">
        <v>43493</v>
      </c>
      <c r="S1236" s="11">
        <v>7.8760000000000003</v>
      </c>
      <c r="T1236" s="148">
        <v>1.0065175718849841</v>
      </c>
      <c r="U1236" s="148">
        <f t="shared" si="60"/>
        <v>5.8376356975730905</v>
      </c>
      <c r="V1236" s="278">
        <f t="shared" si="61"/>
        <v>-1.2537612838515511E-2</v>
      </c>
      <c r="W1236" s="278">
        <f t="shared" si="62"/>
        <v>-1.2780422717171397E-2</v>
      </c>
    </row>
    <row r="1237" spans="1:23" x14ac:dyDescent="0.2">
      <c r="A1237" s="8">
        <v>43483</v>
      </c>
      <c r="B1237" s="9">
        <v>7.8780000000000001</v>
      </c>
      <c r="E1237" s="51"/>
      <c r="F1237" s="51"/>
      <c r="G1237" s="51"/>
      <c r="H1237" s="51"/>
      <c r="I1237" s="51"/>
      <c r="J1237" s="53"/>
      <c r="K1237" s="53"/>
      <c r="L1237" s="53"/>
      <c r="M1237" s="53"/>
      <c r="N1237" s="53"/>
      <c r="O1237" s="139"/>
      <c r="P1237" s="50"/>
      <c r="Q1237" s="57"/>
      <c r="R1237" s="12">
        <v>43494</v>
      </c>
      <c r="S1237" s="11">
        <v>7.8159999999999998</v>
      </c>
      <c r="T1237" s="148">
        <v>0.99884984025559098</v>
      </c>
      <c r="U1237" s="148">
        <f t="shared" si="60"/>
        <v>5.7917466847796675</v>
      </c>
      <c r="V1237" s="278">
        <f t="shared" si="61"/>
        <v>-7.6180802437786355E-3</v>
      </c>
      <c r="W1237" s="278">
        <f t="shared" si="62"/>
        <v>-7.8608901224345214E-3</v>
      </c>
    </row>
    <row r="1238" spans="1:23" x14ac:dyDescent="0.2">
      <c r="A1238" s="8">
        <v>43486</v>
      </c>
      <c r="B1238" s="9">
        <v>7.9</v>
      </c>
      <c r="E1238" s="51"/>
      <c r="F1238" s="51"/>
      <c r="G1238" s="51"/>
      <c r="H1238" s="51"/>
      <c r="I1238" s="51"/>
      <c r="J1238" s="53"/>
      <c r="K1238" s="53"/>
      <c r="L1238" s="53"/>
      <c r="M1238" s="53"/>
      <c r="N1238" s="53"/>
      <c r="O1238" s="139"/>
      <c r="P1238" s="50"/>
      <c r="Q1238" s="57"/>
      <c r="R1238" s="12">
        <v>43495</v>
      </c>
      <c r="S1238" s="11">
        <v>7.8319999999999999</v>
      </c>
      <c r="T1238" s="148">
        <v>1.0008945686900959</v>
      </c>
      <c r="U1238" s="148">
        <f t="shared" si="60"/>
        <v>5.8021965771091919</v>
      </c>
      <c r="V1238" s="278">
        <f t="shared" si="61"/>
        <v>2.0470829068577334E-3</v>
      </c>
      <c r="W1238" s="278">
        <f t="shared" si="62"/>
        <v>1.8042730282018477E-3</v>
      </c>
    </row>
    <row r="1239" spans="1:23" x14ac:dyDescent="0.2">
      <c r="A1239" s="8">
        <v>43487</v>
      </c>
      <c r="B1239" s="9">
        <v>7.8739999999999997</v>
      </c>
      <c r="E1239" s="51"/>
      <c r="F1239" s="51"/>
      <c r="G1239" s="51"/>
      <c r="H1239" s="51"/>
      <c r="I1239" s="51"/>
      <c r="J1239" s="53"/>
      <c r="K1239" s="53"/>
      <c r="L1239" s="53"/>
      <c r="M1239" s="53"/>
      <c r="N1239" s="53"/>
      <c r="O1239" s="139"/>
      <c r="P1239" s="50"/>
      <c r="Q1239" s="57"/>
      <c r="R1239" s="12">
        <v>43496</v>
      </c>
      <c r="S1239" s="11">
        <v>7.5960000000000001</v>
      </c>
      <c r="T1239" s="148">
        <v>0.9707348242811501</v>
      </c>
      <c r="U1239" s="148">
        <f t="shared" si="60"/>
        <v>5.6259513838222013</v>
      </c>
      <c r="V1239" s="278">
        <f t="shared" si="61"/>
        <v>-3.0132788559754875E-2</v>
      </c>
      <c r="W1239" s="278">
        <f t="shared" si="62"/>
        <v>-3.0375598438410759E-2</v>
      </c>
    </row>
    <row r="1240" spans="1:23" x14ac:dyDescent="0.2">
      <c r="A1240" s="8">
        <v>43488</v>
      </c>
      <c r="B1240" s="9">
        <v>7.88</v>
      </c>
      <c r="E1240" s="51"/>
      <c r="F1240" s="51"/>
      <c r="G1240" s="51"/>
      <c r="H1240" s="51"/>
      <c r="I1240" s="51"/>
      <c r="J1240" s="53"/>
      <c r="K1240" s="53"/>
      <c r="L1240" s="53"/>
      <c r="M1240" s="53"/>
      <c r="N1240" s="53"/>
      <c r="O1240" s="139"/>
      <c r="P1240" s="50"/>
      <c r="Q1240" s="57"/>
      <c r="R1240" s="12">
        <v>43497</v>
      </c>
      <c r="S1240" s="11">
        <v>7.38</v>
      </c>
      <c r="T1240" s="148">
        <v>0.94313099041533544</v>
      </c>
      <c r="U1240" s="148">
        <f t="shared" si="60"/>
        <v>5.4646056870458963</v>
      </c>
      <c r="V1240" s="278">
        <f t="shared" si="61"/>
        <v>-2.8436018957346043E-2</v>
      </c>
      <c r="W1240" s="278">
        <f t="shared" si="62"/>
        <v>-2.8678828836001927E-2</v>
      </c>
    </row>
    <row r="1241" spans="1:23" x14ac:dyDescent="0.2">
      <c r="A1241" s="8">
        <v>43489</v>
      </c>
      <c r="B1241" s="9">
        <v>7.8940000000000001</v>
      </c>
      <c r="E1241" s="51"/>
      <c r="F1241" s="51"/>
      <c r="G1241" s="51"/>
      <c r="H1241" s="51"/>
      <c r="I1241" s="51"/>
      <c r="J1241" s="53"/>
      <c r="K1241" s="53"/>
      <c r="L1241" s="53"/>
      <c r="M1241" s="53"/>
      <c r="N1241" s="53"/>
      <c r="O1241" s="139"/>
      <c r="P1241" s="50"/>
      <c r="Q1241" s="57"/>
      <c r="R1241" s="12">
        <v>43500</v>
      </c>
      <c r="S1241" s="11">
        <v>7.3339999999999996</v>
      </c>
      <c r="T1241" s="148">
        <v>0.93725239616613409</v>
      </c>
      <c r="U1241" s="148">
        <f t="shared" ref="U1241:U1271" si="63">U1240*(1+W1241)</f>
        <v>5.4292175989424862</v>
      </c>
      <c r="V1241" s="278">
        <f t="shared" ref="V1241:V1271" si="64">S1241/S1240-1</f>
        <v>-6.2330623306233734E-3</v>
      </c>
      <c r="W1241" s="278">
        <f t="shared" ref="W1241:W1271" si="65">V1241-$V$3+$W$2</f>
        <v>-6.4758722092792594E-3</v>
      </c>
    </row>
    <row r="1242" spans="1:23" x14ac:dyDescent="0.2">
      <c r="A1242" s="8">
        <v>43490</v>
      </c>
      <c r="B1242" s="9">
        <v>7.976</v>
      </c>
      <c r="E1242" s="51"/>
      <c r="F1242" s="51"/>
      <c r="G1242" s="51"/>
      <c r="H1242" s="51"/>
      <c r="I1242" s="51"/>
      <c r="J1242" s="53"/>
      <c r="K1242" s="53"/>
      <c r="L1242" s="53"/>
      <c r="M1242" s="53"/>
      <c r="N1242" s="53"/>
      <c r="O1242" s="139"/>
      <c r="P1242" s="50"/>
      <c r="Q1242" s="57"/>
      <c r="R1242" s="12">
        <v>43501</v>
      </c>
      <c r="S1242" s="11">
        <v>7.5819999999999999</v>
      </c>
      <c r="T1242" s="148">
        <v>0.96894568690095839</v>
      </c>
      <c r="U1242" s="148">
        <f t="shared" si="63"/>
        <v>5.6114889092059697</v>
      </c>
      <c r="V1242" s="278">
        <f t="shared" si="64"/>
        <v>3.3815107717480197E-2</v>
      </c>
      <c r="W1242" s="278">
        <f t="shared" si="65"/>
        <v>3.357229783882431E-2</v>
      </c>
    </row>
    <row r="1243" spans="1:23" x14ac:dyDescent="0.2">
      <c r="A1243" s="8">
        <v>43493</v>
      </c>
      <c r="B1243" s="9">
        <v>7.8760000000000003</v>
      </c>
      <c r="E1243" s="51"/>
      <c r="F1243" s="51"/>
      <c r="G1243" s="51"/>
      <c r="H1243" s="51"/>
      <c r="I1243" s="51"/>
      <c r="J1243" s="53"/>
      <c r="K1243" s="53"/>
      <c r="L1243" s="53"/>
      <c r="M1243" s="53"/>
      <c r="N1243" s="53"/>
      <c r="O1243" s="139"/>
      <c r="P1243" s="50"/>
      <c r="Q1243" s="57"/>
      <c r="R1243" s="12">
        <v>43502</v>
      </c>
      <c r="S1243" s="11">
        <v>7.7439999999999998</v>
      </c>
      <c r="T1243" s="148">
        <v>0.98964856230031939</v>
      </c>
      <c r="U1243" s="148">
        <f t="shared" si="63"/>
        <v>5.7300236677377248</v>
      </c>
      <c r="V1243" s="278">
        <f t="shared" si="64"/>
        <v>2.1366394091268726E-2</v>
      </c>
      <c r="W1243" s="278">
        <f t="shared" si="65"/>
        <v>2.1123584212612841E-2</v>
      </c>
    </row>
    <row r="1244" spans="1:23" x14ac:dyDescent="0.2">
      <c r="A1244" s="8">
        <v>43494</v>
      </c>
      <c r="B1244" s="9">
        <v>7.8159999999999998</v>
      </c>
      <c r="E1244" s="51"/>
      <c r="F1244" s="51"/>
      <c r="G1244" s="51"/>
      <c r="H1244" s="51"/>
      <c r="I1244" s="51"/>
      <c r="J1244" s="53"/>
      <c r="K1244" s="53"/>
      <c r="L1244" s="53"/>
      <c r="M1244" s="53"/>
      <c r="N1244" s="53"/>
      <c r="O1244" s="139"/>
      <c r="P1244" s="50"/>
      <c r="Q1244" s="57"/>
      <c r="R1244" s="12">
        <v>43503</v>
      </c>
      <c r="S1244" s="11">
        <v>7.718</v>
      </c>
      <c r="T1244" s="148">
        <v>0.98632587859424914</v>
      </c>
      <c r="U1244" s="148">
        <f t="shared" si="63"/>
        <v>5.7093941620885929</v>
      </c>
      <c r="V1244" s="278">
        <f t="shared" si="64"/>
        <v>-3.3574380165288797E-3</v>
      </c>
      <c r="W1244" s="278">
        <f t="shared" si="65"/>
        <v>-3.6002478951847657E-3</v>
      </c>
    </row>
    <row r="1245" spans="1:23" x14ac:dyDescent="0.2">
      <c r="A1245" s="8">
        <v>43495</v>
      </c>
      <c r="B1245" s="9">
        <v>7.8319999999999999</v>
      </c>
      <c r="E1245" s="51"/>
      <c r="F1245" s="51"/>
      <c r="G1245" s="51"/>
      <c r="H1245" s="51"/>
      <c r="I1245" s="51"/>
      <c r="J1245" s="53"/>
      <c r="K1245" s="53"/>
      <c r="L1245" s="53"/>
      <c r="M1245" s="53"/>
      <c r="N1245" s="53"/>
      <c r="O1245" s="139"/>
      <c r="P1245" s="50"/>
      <c r="Q1245" s="57"/>
      <c r="R1245" s="12">
        <v>43504</v>
      </c>
      <c r="S1245" s="11">
        <v>7.7519999999999998</v>
      </c>
      <c r="T1245" s="148">
        <v>0.99067092651757183</v>
      </c>
      <c r="U1245" s="148">
        <f t="shared" si="63"/>
        <v>5.7331593809174457</v>
      </c>
      <c r="V1245" s="278">
        <f t="shared" si="64"/>
        <v>4.405286343612369E-3</v>
      </c>
      <c r="W1245" s="278">
        <f t="shared" si="65"/>
        <v>4.1624764649564831E-3</v>
      </c>
    </row>
    <row r="1246" spans="1:23" x14ac:dyDescent="0.2">
      <c r="A1246" s="8">
        <v>43496</v>
      </c>
      <c r="B1246" s="9">
        <v>7.5960000000000001</v>
      </c>
      <c r="E1246" s="51"/>
      <c r="F1246" s="51"/>
      <c r="G1246" s="51"/>
      <c r="H1246" s="51"/>
      <c r="I1246" s="51"/>
      <c r="J1246" s="53"/>
      <c r="K1246" s="53"/>
      <c r="L1246" s="53"/>
      <c r="M1246" s="53"/>
      <c r="N1246" s="53"/>
      <c r="O1246" s="139"/>
      <c r="P1246" s="50"/>
      <c r="Q1246" s="57"/>
      <c r="R1246" s="12">
        <v>43507</v>
      </c>
      <c r="S1246" s="11">
        <v>7.8879999999999999</v>
      </c>
      <c r="T1246" s="148">
        <v>1.0080511182108627</v>
      </c>
      <c r="U1246" s="148">
        <f t="shared" si="63"/>
        <v>5.8323490567087175</v>
      </c>
      <c r="V1246" s="278">
        <f t="shared" si="64"/>
        <v>1.7543859649122862E-2</v>
      </c>
      <c r="W1246" s="278">
        <f t="shared" si="65"/>
        <v>1.7301049770466977E-2</v>
      </c>
    </row>
    <row r="1247" spans="1:23" x14ac:dyDescent="0.2">
      <c r="A1247" s="8">
        <v>43497</v>
      </c>
      <c r="B1247" s="9">
        <v>7.38</v>
      </c>
      <c r="E1247" s="51"/>
      <c r="F1247" s="51"/>
      <c r="G1247" s="51"/>
      <c r="H1247" s="51"/>
      <c r="I1247" s="51"/>
      <c r="J1247" s="53"/>
      <c r="K1247" s="53"/>
      <c r="L1247" s="53"/>
      <c r="M1247" s="53"/>
      <c r="N1247" s="53"/>
      <c r="O1247" s="139"/>
      <c r="P1247" s="50"/>
      <c r="Q1247" s="57"/>
      <c r="R1247" s="12">
        <v>43508</v>
      </c>
      <c r="S1247" s="11">
        <v>7.9279999999999999</v>
      </c>
      <c r="T1247" s="148">
        <v>1.0131629392971246</v>
      </c>
      <c r="U1247" s="148">
        <f t="shared" si="63"/>
        <v>5.8605087113175802</v>
      </c>
      <c r="V1247" s="278">
        <f t="shared" si="64"/>
        <v>5.0709939148072536E-3</v>
      </c>
      <c r="W1247" s="278">
        <f t="shared" si="65"/>
        <v>4.8281840361513676E-3</v>
      </c>
    </row>
    <row r="1248" spans="1:23" x14ac:dyDescent="0.2">
      <c r="A1248" s="8">
        <v>43500</v>
      </c>
      <c r="B1248" s="9">
        <v>7.3339999999999996</v>
      </c>
      <c r="E1248" s="51"/>
      <c r="F1248" s="51"/>
      <c r="G1248" s="51"/>
      <c r="H1248" s="51"/>
      <c r="I1248" s="51"/>
      <c r="J1248" s="53"/>
      <c r="K1248" s="53"/>
      <c r="L1248" s="53"/>
      <c r="M1248" s="53"/>
      <c r="N1248" s="53"/>
      <c r="O1248" s="139"/>
      <c r="P1248" s="50"/>
      <c r="Q1248" s="57"/>
      <c r="R1248" s="12">
        <v>43509</v>
      </c>
      <c r="S1248" s="11">
        <v>8.07</v>
      </c>
      <c r="T1248" s="148">
        <v>1.0313099041533547</v>
      </c>
      <c r="U1248" s="148">
        <f t="shared" si="63"/>
        <v>5.9640544702696605</v>
      </c>
      <c r="V1248" s="278">
        <f t="shared" si="64"/>
        <v>1.7911200807265493E-2</v>
      </c>
      <c r="W1248" s="278">
        <f t="shared" si="65"/>
        <v>1.7668390928609608E-2</v>
      </c>
    </row>
    <row r="1249" spans="1:23" x14ac:dyDescent="0.2">
      <c r="A1249" s="8">
        <v>43501</v>
      </c>
      <c r="B1249" s="9">
        <v>7.5819999999999999</v>
      </c>
      <c r="E1249" s="51"/>
      <c r="F1249" s="51"/>
      <c r="G1249" s="51"/>
      <c r="H1249" s="51"/>
      <c r="I1249" s="51"/>
      <c r="J1249" s="53"/>
      <c r="K1249" s="53"/>
      <c r="L1249" s="53"/>
      <c r="M1249" s="53"/>
      <c r="N1249" s="53"/>
      <c r="O1249" s="139"/>
      <c r="P1249" s="50"/>
      <c r="Q1249" s="57"/>
      <c r="R1249" s="12">
        <v>43510</v>
      </c>
      <c r="S1249" s="11">
        <v>8.02</v>
      </c>
      <c r="T1249" s="148">
        <v>1.0249201277955271</v>
      </c>
      <c r="U1249" s="148">
        <f t="shared" si="63"/>
        <v>5.9256543285788021</v>
      </c>
      <c r="V1249" s="278">
        <f t="shared" si="64"/>
        <v>-6.1957868649319403E-3</v>
      </c>
      <c r="W1249" s="278">
        <f t="shared" si="65"/>
        <v>-6.4385967435878263E-3</v>
      </c>
    </row>
    <row r="1250" spans="1:23" x14ac:dyDescent="0.2">
      <c r="A1250" s="8">
        <v>43502</v>
      </c>
      <c r="B1250" s="9">
        <v>7.7439999999999998</v>
      </c>
      <c r="E1250" s="51"/>
      <c r="F1250" s="51"/>
      <c r="G1250" s="51"/>
      <c r="H1250" s="51"/>
      <c r="I1250" s="51"/>
      <c r="J1250" s="53"/>
      <c r="K1250" s="53"/>
      <c r="L1250" s="53"/>
      <c r="M1250" s="53"/>
      <c r="N1250" s="53"/>
      <c r="O1250" s="139"/>
      <c r="P1250" s="50"/>
      <c r="Q1250" s="57"/>
      <c r="R1250" s="12">
        <v>43511</v>
      </c>
      <c r="S1250" s="11">
        <v>8.3059999999999992</v>
      </c>
      <c r="T1250" s="148">
        <v>1.0614696485623001</v>
      </c>
      <c r="U1250" s="148">
        <f t="shared" si="63"/>
        <v>6.1355293787730067</v>
      </c>
      <c r="V1250" s="278">
        <f t="shared" si="64"/>
        <v>3.5660847880299107E-2</v>
      </c>
      <c r="W1250" s="278">
        <f t="shared" si="65"/>
        <v>3.5418038001643219E-2</v>
      </c>
    </row>
    <row r="1251" spans="1:23" x14ac:dyDescent="0.2">
      <c r="A1251" s="8">
        <v>43503</v>
      </c>
      <c r="B1251" s="9">
        <v>7.718</v>
      </c>
      <c r="E1251" s="51"/>
      <c r="F1251" s="51"/>
      <c r="G1251" s="51"/>
      <c r="H1251" s="51"/>
      <c r="I1251" s="51"/>
      <c r="J1251" s="53"/>
      <c r="K1251" s="53"/>
      <c r="L1251" s="53"/>
      <c r="M1251" s="53"/>
      <c r="N1251" s="53"/>
      <c r="O1251" s="139"/>
      <c r="P1251" s="50"/>
      <c r="Q1251" s="57"/>
      <c r="R1251" s="12">
        <v>43514</v>
      </c>
      <c r="S1251" s="11">
        <v>8.3260000000000005</v>
      </c>
      <c r="T1251" s="148">
        <v>1.0640255591054313</v>
      </c>
      <c r="U1251" s="148">
        <f t="shared" si="63"/>
        <v>6.1488133399670613</v>
      </c>
      <c r="V1251" s="278">
        <f t="shared" si="64"/>
        <v>2.407897905128964E-3</v>
      </c>
      <c r="W1251" s="278">
        <f t="shared" si="65"/>
        <v>2.165088026473078E-3</v>
      </c>
    </row>
    <row r="1252" spans="1:23" x14ac:dyDescent="0.2">
      <c r="A1252" s="8">
        <v>43504</v>
      </c>
      <c r="B1252" s="9">
        <v>7.7519999999999998</v>
      </c>
      <c r="E1252" s="51"/>
      <c r="F1252" s="51"/>
      <c r="G1252" s="51"/>
      <c r="H1252" s="51"/>
      <c r="I1252" s="51"/>
      <c r="J1252" s="53"/>
      <c r="K1252" s="53"/>
      <c r="L1252" s="53"/>
      <c r="M1252" s="53"/>
      <c r="N1252" s="53"/>
      <c r="O1252" s="139"/>
      <c r="P1252" s="50"/>
      <c r="Q1252" s="57"/>
      <c r="R1252" s="12">
        <v>43515</v>
      </c>
      <c r="S1252" s="11">
        <v>8.2880000000000003</v>
      </c>
      <c r="T1252" s="148">
        <v>1.0591693290734825</v>
      </c>
      <c r="U1252" s="148">
        <f t="shared" si="63"/>
        <v>6.1192570628254774</v>
      </c>
      <c r="V1252" s="278">
        <f t="shared" si="64"/>
        <v>-4.5640163343743101E-3</v>
      </c>
      <c r="W1252" s="278">
        <f t="shared" si="65"/>
        <v>-4.8068262130301961E-3</v>
      </c>
    </row>
    <row r="1253" spans="1:23" x14ac:dyDescent="0.2">
      <c r="A1253" s="8">
        <v>43507</v>
      </c>
      <c r="B1253" s="9">
        <v>7.8879999999999999</v>
      </c>
      <c r="E1253" s="51"/>
      <c r="F1253" s="51"/>
      <c r="G1253" s="51"/>
      <c r="H1253" s="51"/>
      <c r="I1253" s="51"/>
      <c r="J1253" s="53"/>
      <c r="K1253" s="53"/>
      <c r="L1253" s="53"/>
      <c r="M1253" s="53"/>
      <c r="N1253" s="53"/>
      <c r="O1253" s="139"/>
      <c r="P1253" s="50"/>
      <c r="Q1253" s="57"/>
      <c r="R1253" s="12">
        <v>43516</v>
      </c>
      <c r="S1253" s="11">
        <v>8.3179999999999996</v>
      </c>
      <c r="T1253" s="148">
        <v>1.0630031948881788</v>
      </c>
      <c r="U1253" s="148">
        <f t="shared" si="63"/>
        <v>6.139921067210004</v>
      </c>
      <c r="V1253" s="278">
        <f t="shared" si="64"/>
        <v>3.6196911196910708E-3</v>
      </c>
      <c r="W1253" s="278">
        <f t="shared" si="65"/>
        <v>3.3768812410351848E-3</v>
      </c>
    </row>
    <row r="1254" spans="1:23" x14ac:dyDescent="0.2">
      <c r="A1254" s="8">
        <v>43508</v>
      </c>
      <c r="B1254" s="9">
        <v>7.9279999999999999</v>
      </c>
      <c r="E1254" s="51"/>
      <c r="F1254" s="51"/>
      <c r="G1254" s="51"/>
      <c r="H1254" s="51"/>
      <c r="I1254" s="51"/>
      <c r="J1254" s="53"/>
      <c r="K1254" s="53"/>
      <c r="L1254" s="53"/>
      <c r="M1254" s="53"/>
      <c r="N1254" s="53"/>
      <c r="O1254" s="139"/>
      <c r="P1254" s="50"/>
      <c r="Q1254" s="57"/>
      <c r="R1254" s="12">
        <v>43517</v>
      </c>
      <c r="S1254" s="11">
        <v>8.234</v>
      </c>
      <c r="T1254" s="148">
        <v>1.0522683706070288</v>
      </c>
      <c r="U1254" s="148">
        <f t="shared" si="63"/>
        <v>6.0764257410968137</v>
      </c>
      <c r="V1254" s="278">
        <f t="shared" si="64"/>
        <v>-1.0098581389757055E-2</v>
      </c>
      <c r="W1254" s="278">
        <f t="shared" si="65"/>
        <v>-1.0341391268412941E-2</v>
      </c>
    </row>
    <row r="1255" spans="1:23" x14ac:dyDescent="0.2">
      <c r="A1255" s="8">
        <v>43509</v>
      </c>
      <c r="B1255" s="9">
        <v>8.07</v>
      </c>
      <c r="E1255" s="51"/>
      <c r="F1255" s="51"/>
      <c r="G1255" s="51"/>
      <c r="H1255" s="51"/>
      <c r="I1255" s="51"/>
      <c r="J1255" s="53"/>
      <c r="K1255" s="53"/>
      <c r="L1255" s="53"/>
      <c r="M1255" s="53"/>
      <c r="N1255" s="53"/>
      <c r="O1255" s="139"/>
      <c r="P1255" s="50"/>
      <c r="Q1255" s="57"/>
      <c r="R1255" s="12">
        <v>43518</v>
      </c>
      <c r="S1255" s="11">
        <v>8.2560000000000002</v>
      </c>
      <c r="T1255" s="148">
        <v>1.0550798722044727</v>
      </c>
      <c r="U1255" s="148">
        <f t="shared" si="63"/>
        <v>6.0911856134965223</v>
      </c>
      <c r="V1255" s="278">
        <f t="shared" si="64"/>
        <v>2.6718484333252412E-3</v>
      </c>
      <c r="W1255" s="278">
        <f t="shared" si="65"/>
        <v>2.4290385546693553E-3</v>
      </c>
    </row>
    <row r="1256" spans="1:23" x14ac:dyDescent="0.2">
      <c r="A1256" s="8">
        <v>43510</v>
      </c>
      <c r="B1256" s="9">
        <v>8.02</v>
      </c>
      <c r="E1256" s="51"/>
      <c r="F1256" s="51"/>
      <c r="G1256" s="51"/>
      <c r="H1256" s="51"/>
      <c r="I1256" s="51"/>
      <c r="J1256" s="53"/>
      <c r="K1256" s="53"/>
      <c r="L1256" s="53"/>
      <c r="M1256" s="53"/>
      <c r="N1256" s="53"/>
      <c r="O1256" s="139"/>
      <c r="P1256" s="50"/>
      <c r="Q1256" s="57"/>
      <c r="R1256" s="12">
        <v>43521</v>
      </c>
      <c r="S1256" s="11">
        <v>8.36</v>
      </c>
      <c r="T1256" s="148">
        <v>1.068370607028754</v>
      </c>
      <c r="U1256" s="148">
        <f t="shared" si="63"/>
        <v>6.166436664789642</v>
      </c>
      <c r="V1256" s="278">
        <f t="shared" si="64"/>
        <v>1.2596899224806002E-2</v>
      </c>
      <c r="W1256" s="278">
        <f t="shared" si="65"/>
        <v>1.2354089346150116E-2</v>
      </c>
    </row>
    <row r="1257" spans="1:23" x14ac:dyDescent="0.2">
      <c r="A1257" s="8">
        <v>43511</v>
      </c>
      <c r="B1257" s="9">
        <v>8.3059999999999992</v>
      </c>
      <c r="E1257" s="51"/>
      <c r="F1257" s="51"/>
      <c r="G1257" s="51"/>
      <c r="H1257" s="51"/>
      <c r="I1257" s="51"/>
      <c r="J1257" s="53"/>
      <c r="K1257" s="53"/>
      <c r="L1257" s="53"/>
      <c r="M1257" s="53"/>
      <c r="N1257" s="53"/>
      <c r="O1257" s="139"/>
      <c r="P1257" s="50"/>
      <c r="Q1257" s="57"/>
      <c r="R1257" s="12">
        <v>43522</v>
      </c>
      <c r="S1257" s="11">
        <v>8.49</v>
      </c>
      <c r="T1257" s="148">
        <v>1.0849840255591054</v>
      </c>
      <c r="U1257" s="148">
        <f t="shared" si="63"/>
        <v>6.260828958412886</v>
      </c>
      <c r="V1257" s="278">
        <f t="shared" si="64"/>
        <v>1.5550239234449759E-2</v>
      </c>
      <c r="W1257" s="278">
        <f t="shared" si="65"/>
        <v>1.5307429355793873E-2</v>
      </c>
    </row>
    <row r="1258" spans="1:23" x14ac:dyDescent="0.2">
      <c r="A1258" s="8">
        <v>43514</v>
      </c>
      <c r="B1258" s="9">
        <v>8.3260000000000005</v>
      </c>
      <c r="E1258" s="51"/>
      <c r="F1258" s="51"/>
      <c r="G1258" s="51"/>
      <c r="H1258" s="51"/>
      <c r="I1258" s="51"/>
      <c r="J1258" s="53"/>
      <c r="K1258" s="53"/>
      <c r="L1258" s="53"/>
      <c r="M1258" s="53"/>
      <c r="N1258" s="53"/>
      <c r="O1258" s="139"/>
      <c r="P1258" s="50"/>
      <c r="Q1258" s="57"/>
      <c r="R1258" s="12">
        <v>43523</v>
      </c>
      <c r="S1258" s="11">
        <v>8.58</v>
      </c>
      <c r="T1258" s="148">
        <v>1.096485623003195</v>
      </c>
      <c r="U1258" s="148">
        <f t="shared" si="63"/>
        <v>6.3256779788664899</v>
      </c>
      <c r="V1258" s="278">
        <f t="shared" si="64"/>
        <v>1.0600706713780994E-2</v>
      </c>
      <c r="W1258" s="278">
        <f t="shared" si="65"/>
        <v>1.0357896835125108E-2</v>
      </c>
    </row>
    <row r="1259" spans="1:23" x14ac:dyDescent="0.2">
      <c r="A1259" s="8">
        <v>43515</v>
      </c>
      <c r="B1259" s="9">
        <v>8.2880000000000003</v>
      </c>
      <c r="E1259" s="51"/>
      <c r="F1259" s="51"/>
      <c r="G1259" s="51"/>
      <c r="H1259" s="51"/>
      <c r="I1259" s="51"/>
      <c r="J1259" s="53"/>
      <c r="K1259" s="53"/>
      <c r="L1259" s="53"/>
      <c r="M1259" s="53"/>
      <c r="N1259" s="53"/>
      <c r="O1259" s="139"/>
      <c r="P1259" s="50"/>
      <c r="Q1259" s="57"/>
      <c r="R1259" s="12">
        <v>43524</v>
      </c>
      <c r="S1259" s="11">
        <v>8.8219999999999992</v>
      </c>
      <c r="T1259" s="148">
        <v>1.1274121405750797</v>
      </c>
      <c r="U1259" s="148">
        <f t="shared" si="63"/>
        <v>6.5025586001423097</v>
      </c>
      <c r="V1259" s="278">
        <f t="shared" si="64"/>
        <v>2.8205128205128105E-2</v>
      </c>
      <c r="W1259" s="278">
        <f t="shared" si="65"/>
        <v>2.7962318326472221E-2</v>
      </c>
    </row>
    <row r="1260" spans="1:23" x14ac:dyDescent="0.2">
      <c r="A1260" s="8">
        <v>43516</v>
      </c>
      <c r="B1260" s="9">
        <v>8.3179999999999996</v>
      </c>
      <c r="E1260" s="51"/>
      <c r="F1260" s="51"/>
      <c r="G1260" s="51"/>
      <c r="H1260" s="51"/>
      <c r="I1260" s="51"/>
      <c r="J1260" s="53"/>
      <c r="K1260" s="53"/>
      <c r="L1260" s="53"/>
      <c r="M1260" s="53"/>
      <c r="N1260" s="53"/>
      <c r="O1260" s="139"/>
      <c r="P1260" s="50"/>
      <c r="Q1260" s="57"/>
      <c r="R1260" s="12">
        <v>43525</v>
      </c>
      <c r="S1260" s="11">
        <v>8.6440000000000001</v>
      </c>
      <c r="T1260" s="148">
        <v>1.104664536741214</v>
      </c>
      <c r="U1260" s="148">
        <f t="shared" si="63"/>
        <v>6.3697786910066831</v>
      </c>
      <c r="V1260" s="278">
        <f t="shared" si="64"/>
        <v>-2.0176830650646016E-2</v>
      </c>
      <c r="W1260" s="278">
        <f t="shared" si="65"/>
        <v>-2.04196405293019E-2</v>
      </c>
    </row>
    <row r="1261" spans="1:23" x14ac:dyDescent="0.2">
      <c r="A1261" s="8">
        <v>43517</v>
      </c>
      <c r="B1261" s="9">
        <v>8.234</v>
      </c>
      <c r="E1261" s="51"/>
      <c r="F1261" s="51"/>
      <c r="G1261" s="51"/>
      <c r="H1261" s="51"/>
      <c r="I1261" s="51"/>
      <c r="J1261" s="53"/>
      <c r="K1261" s="53"/>
      <c r="L1261" s="53"/>
      <c r="M1261" s="53"/>
      <c r="N1261" s="53"/>
      <c r="O1261" s="139"/>
      <c r="P1261" s="50"/>
      <c r="Q1261" s="57"/>
      <c r="R1261" s="12">
        <v>43528</v>
      </c>
      <c r="S1261" s="11">
        <v>8.7219999999999995</v>
      </c>
      <c r="T1261" s="148">
        <v>1.1146325878594248</v>
      </c>
      <c r="U1261" s="148">
        <f t="shared" si="63"/>
        <v>6.4257103819908643</v>
      </c>
      <c r="V1261" s="278">
        <f t="shared" si="64"/>
        <v>9.0236001850994008E-3</v>
      </c>
      <c r="W1261" s="278">
        <f t="shared" si="65"/>
        <v>8.7807903064435148E-3</v>
      </c>
    </row>
    <row r="1262" spans="1:23" x14ac:dyDescent="0.2">
      <c r="A1262" s="8">
        <v>43518</v>
      </c>
      <c r="B1262" s="9">
        <v>8.2560000000000002</v>
      </c>
      <c r="E1262" s="51"/>
      <c r="F1262" s="51"/>
      <c r="G1262" s="51"/>
      <c r="H1262" s="51"/>
      <c r="I1262" s="51"/>
      <c r="J1262" s="53"/>
      <c r="K1262" s="53"/>
      <c r="L1262" s="53"/>
      <c r="M1262" s="53"/>
      <c r="N1262" s="53"/>
      <c r="O1262" s="139"/>
      <c r="P1262" s="50"/>
      <c r="Q1262" s="57"/>
      <c r="R1262" s="12">
        <v>43529</v>
      </c>
      <c r="S1262" s="11">
        <v>8.7360000000000007</v>
      </c>
      <c r="T1262" s="148">
        <v>1.1164217252396167</v>
      </c>
      <c r="U1262" s="148">
        <f t="shared" si="63"/>
        <v>6.4344642978978888</v>
      </c>
      <c r="V1262" s="278">
        <f t="shared" si="64"/>
        <v>1.6051364365972098E-3</v>
      </c>
      <c r="W1262" s="278">
        <f t="shared" si="65"/>
        <v>1.3623265579413241E-3</v>
      </c>
    </row>
    <row r="1263" spans="1:23" x14ac:dyDescent="0.2">
      <c r="A1263" s="8">
        <v>43521</v>
      </c>
      <c r="B1263" s="9">
        <v>8.36</v>
      </c>
      <c r="E1263" s="51"/>
      <c r="F1263" s="51"/>
      <c r="G1263" s="51"/>
      <c r="H1263" s="51"/>
      <c r="I1263" s="51"/>
      <c r="J1263" s="53"/>
      <c r="K1263" s="53"/>
      <c r="L1263" s="53"/>
      <c r="M1263" s="53"/>
      <c r="N1263" s="53"/>
      <c r="O1263" s="139"/>
      <c r="P1263" s="50"/>
      <c r="Q1263" s="57"/>
      <c r="R1263" s="12">
        <v>43530</v>
      </c>
      <c r="S1263" s="11">
        <v>8.9</v>
      </c>
      <c r="T1263" s="148">
        <v>1.1373801916932909</v>
      </c>
      <c r="U1263" s="148">
        <f t="shared" si="63"/>
        <v>6.5536954611524143</v>
      </c>
      <c r="V1263" s="278">
        <f t="shared" si="64"/>
        <v>1.8772893772893706E-2</v>
      </c>
      <c r="W1263" s="278">
        <f t="shared" si="65"/>
        <v>1.8530083894237822E-2</v>
      </c>
    </row>
    <row r="1264" spans="1:23" x14ac:dyDescent="0.2">
      <c r="A1264" s="8">
        <v>43522</v>
      </c>
      <c r="B1264" s="9">
        <v>8.49</v>
      </c>
      <c r="E1264" s="51"/>
      <c r="F1264" s="51"/>
      <c r="G1264" s="51"/>
      <c r="H1264" s="51"/>
      <c r="I1264" s="51"/>
      <c r="J1264" s="53"/>
      <c r="K1264" s="53"/>
      <c r="L1264" s="53"/>
      <c r="M1264" s="53"/>
      <c r="N1264" s="53"/>
      <c r="O1264" s="139"/>
      <c r="P1264" s="50"/>
      <c r="Q1264" s="57"/>
      <c r="R1264" s="12">
        <v>43531</v>
      </c>
      <c r="S1264" s="11">
        <v>8.7520000000000007</v>
      </c>
      <c r="T1264" s="148">
        <v>1.1184664536741216</v>
      </c>
      <c r="U1264" s="148">
        <f t="shared" si="63"/>
        <v>6.4431213582257154</v>
      </c>
      <c r="V1264" s="278">
        <f t="shared" si="64"/>
        <v>-1.6629213483146055E-2</v>
      </c>
      <c r="W1264" s="278">
        <f t="shared" si="65"/>
        <v>-1.6872023361801939E-2</v>
      </c>
    </row>
    <row r="1265" spans="1:23" x14ac:dyDescent="0.2">
      <c r="A1265" s="8">
        <v>43523</v>
      </c>
      <c r="B1265" s="9">
        <v>8.58</v>
      </c>
      <c r="E1265" s="51"/>
      <c r="F1265" s="51"/>
      <c r="G1265" s="51"/>
      <c r="H1265" s="51"/>
      <c r="I1265" s="51"/>
      <c r="J1265" s="53"/>
      <c r="K1265" s="53"/>
      <c r="L1265" s="53"/>
      <c r="M1265" s="53"/>
      <c r="N1265" s="53"/>
      <c r="O1265" s="139"/>
      <c r="P1265" s="50"/>
      <c r="Q1265" s="57"/>
      <c r="R1265" s="12">
        <v>43532</v>
      </c>
      <c r="S1265" s="11">
        <v>8.6620000000000008</v>
      </c>
      <c r="T1265" s="148">
        <v>1.106964856230032</v>
      </c>
      <c r="U1265" s="148">
        <f t="shared" si="63"/>
        <v>6.3752999437598836</v>
      </c>
      <c r="V1265" s="278">
        <f t="shared" si="64"/>
        <v>-1.0283363802559453E-2</v>
      </c>
      <c r="W1265" s="278">
        <f t="shared" si="65"/>
        <v>-1.0526173681215339E-2</v>
      </c>
    </row>
    <row r="1266" spans="1:23" x14ac:dyDescent="0.2">
      <c r="A1266" s="8">
        <v>43524</v>
      </c>
      <c r="B1266" s="9">
        <v>8.8219999999999992</v>
      </c>
      <c r="E1266" s="51"/>
      <c r="F1266" s="51"/>
      <c r="G1266" s="51"/>
      <c r="H1266" s="51"/>
      <c r="I1266" s="51"/>
      <c r="J1266" s="53"/>
      <c r="K1266" s="53"/>
      <c r="L1266" s="53"/>
      <c r="M1266" s="53"/>
      <c r="N1266" s="53"/>
      <c r="O1266" s="139"/>
      <c r="P1266" s="50"/>
      <c r="Q1266" s="57"/>
      <c r="R1266" s="12">
        <v>43535</v>
      </c>
      <c r="S1266" s="11">
        <v>8.7859999999999996</v>
      </c>
      <c r="T1266" s="148">
        <v>1.122811501597444</v>
      </c>
      <c r="U1266" s="148">
        <f t="shared" si="63"/>
        <v>6.4650169305962848</v>
      </c>
      <c r="V1266" s="278">
        <f t="shared" si="64"/>
        <v>1.4315400600323214E-2</v>
      </c>
      <c r="W1266" s="278">
        <f t="shared" si="65"/>
        <v>1.4072590721667328E-2</v>
      </c>
    </row>
    <row r="1267" spans="1:23" x14ac:dyDescent="0.2">
      <c r="A1267" s="8">
        <v>43525</v>
      </c>
      <c r="B1267" s="9">
        <v>8.6440000000000001</v>
      </c>
      <c r="E1267" s="51"/>
      <c r="F1267" s="51"/>
      <c r="G1267" s="51"/>
      <c r="H1267" s="51"/>
      <c r="I1267" s="51"/>
      <c r="J1267" s="53"/>
      <c r="K1267" s="53"/>
      <c r="L1267" s="53"/>
      <c r="M1267" s="53"/>
      <c r="N1267" s="53"/>
      <c r="O1267" s="139"/>
      <c r="P1267" s="50"/>
      <c r="Q1267" s="57"/>
      <c r="R1267" s="12">
        <v>43536</v>
      </c>
      <c r="S1267" s="11">
        <v>8.7560000000000002</v>
      </c>
      <c r="T1267" s="148">
        <v>1.1189776357827477</v>
      </c>
      <c r="U1267" s="148">
        <f t="shared" si="63"/>
        <v>6.4413722109365121</v>
      </c>
      <c r="V1267" s="278">
        <f t="shared" si="64"/>
        <v>-3.4145231049396152E-3</v>
      </c>
      <c r="W1267" s="278">
        <f t="shared" si="65"/>
        <v>-3.6573329835955012E-3</v>
      </c>
    </row>
    <row r="1268" spans="1:23" x14ac:dyDescent="0.2">
      <c r="A1268" s="8">
        <v>43528</v>
      </c>
      <c r="B1268" s="9">
        <v>8.7219999999999995</v>
      </c>
      <c r="E1268" s="51"/>
      <c r="F1268" s="51"/>
      <c r="G1268" s="51"/>
      <c r="H1268" s="51"/>
      <c r="I1268" s="51"/>
      <c r="J1268" s="53"/>
      <c r="K1268" s="53"/>
      <c r="L1268" s="53"/>
      <c r="M1268" s="53"/>
      <c r="N1268" s="53"/>
      <c r="O1268" s="139"/>
      <c r="P1268" s="50"/>
      <c r="Q1268" s="57"/>
      <c r="R1268" s="12">
        <v>43537</v>
      </c>
      <c r="S1268" s="11">
        <v>8.8800000000000008</v>
      </c>
      <c r="T1268" s="148">
        <v>1.1348242811501599</v>
      </c>
      <c r="U1268" s="148">
        <f t="shared" si="63"/>
        <v>6.5310290768502037</v>
      </c>
      <c r="V1268" s="278">
        <f t="shared" si="64"/>
        <v>1.416171767930563E-2</v>
      </c>
      <c r="W1268" s="278">
        <f t="shared" si="65"/>
        <v>1.3918907800649744E-2</v>
      </c>
    </row>
    <row r="1269" spans="1:23" x14ac:dyDescent="0.2">
      <c r="A1269" s="8">
        <v>43529</v>
      </c>
      <c r="B1269" s="9">
        <v>8.7360000000000007</v>
      </c>
      <c r="E1269" s="51"/>
      <c r="F1269" s="51"/>
      <c r="G1269" s="51"/>
      <c r="H1269" s="51"/>
      <c r="I1269" s="51"/>
      <c r="J1269" s="53"/>
      <c r="K1269" s="53"/>
      <c r="L1269" s="53"/>
      <c r="M1269" s="53"/>
      <c r="N1269" s="53"/>
      <c r="O1269" s="139"/>
      <c r="P1269" s="50"/>
      <c r="Q1269" s="57"/>
      <c r="R1269" s="12">
        <v>43538</v>
      </c>
      <c r="S1269" s="11">
        <v>8.9179999999999993</v>
      </c>
      <c r="T1269" s="148">
        <v>1.1396805111821084</v>
      </c>
      <c r="U1269" s="148">
        <f t="shared" si="63"/>
        <v>6.5573913758734896</v>
      </c>
      <c r="V1269" s="278">
        <f t="shared" si="64"/>
        <v>4.2792792792791801E-3</v>
      </c>
      <c r="W1269" s="278">
        <f t="shared" si="65"/>
        <v>4.0364694006232941E-3</v>
      </c>
    </row>
    <row r="1270" spans="1:23" x14ac:dyDescent="0.2">
      <c r="A1270" s="8">
        <v>43530</v>
      </c>
      <c r="B1270" s="9">
        <v>8.9</v>
      </c>
      <c r="E1270" s="51"/>
      <c r="F1270" s="51"/>
      <c r="G1270" s="51"/>
      <c r="H1270" s="51"/>
      <c r="I1270" s="51"/>
      <c r="J1270" s="53"/>
      <c r="K1270" s="53"/>
      <c r="L1270" s="53"/>
      <c r="M1270" s="53"/>
      <c r="N1270" s="53"/>
      <c r="O1270" s="139"/>
      <c r="P1270" s="50"/>
      <c r="Q1270" s="57"/>
      <c r="R1270" s="12">
        <v>43539</v>
      </c>
      <c r="S1270" s="11">
        <v>8.9879999999999995</v>
      </c>
      <c r="T1270" s="148">
        <v>1.148626198083067</v>
      </c>
      <c r="U1270" s="148">
        <f t="shared" si="63"/>
        <v>6.6072700663897272</v>
      </c>
      <c r="V1270" s="278">
        <f t="shared" si="64"/>
        <v>7.8492935635792183E-3</v>
      </c>
      <c r="W1270" s="278">
        <f t="shared" si="65"/>
        <v>7.6064836849233323E-3</v>
      </c>
    </row>
    <row r="1271" spans="1:23" x14ac:dyDescent="0.2">
      <c r="A1271" s="8">
        <v>43531</v>
      </c>
      <c r="B1271" s="9">
        <v>8.7520000000000007</v>
      </c>
      <c r="E1271" s="51"/>
      <c r="F1271" s="51"/>
      <c r="G1271" s="51"/>
      <c r="H1271" s="51"/>
      <c r="I1271" s="51"/>
      <c r="J1271" s="53"/>
      <c r="K1271" s="53"/>
      <c r="L1271" s="53"/>
      <c r="M1271" s="53"/>
      <c r="N1271" s="53"/>
      <c r="O1271" s="139"/>
      <c r="P1271" s="50"/>
      <c r="Q1271" s="57"/>
      <c r="R1271" s="12">
        <v>43542</v>
      </c>
      <c r="S1271" s="11">
        <v>9.18</v>
      </c>
      <c r="T1271" s="148">
        <v>1.1731629392971246</v>
      </c>
      <c r="U1271" s="148">
        <f t="shared" si="63"/>
        <v>6.7468090417440374</v>
      </c>
      <c r="V1271" s="278">
        <f t="shared" si="64"/>
        <v>2.1361815754339153E-2</v>
      </c>
      <c r="W1271" s="278">
        <f t="shared" si="65"/>
        <v>2.1119005875683269E-2</v>
      </c>
    </row>
    <row r="1272" spans="1:23" x14ac:dyDescent="0.2">
      <c r="A1272" s="8">
        <v>43532</v>
      </c>
      <c r="B1272" s="9">
        <v>8.6620000000000008</v>
      </c>
      <c r="E1272" s="51"/>
      <c r="F1272" s="51"/>
      <c r="G1272" s="51"/>
      <c r="H1272" s="51"/>
      <c r="I1272" s="51"/>
      <c r="J1272" s="53"/>
      <c r="K1272" s="53"/>
      <c r="L1272" s="53"/>
      <c r="M1272" s="53"/>
      <c r="N1272" s="53"/>
      <c r="O1272" s="139"/>
      <c r="P1272" s="50"/>
      <c r="Q1272" s="57"/>
      <c r="U1272" s="148"/>
      <c r="V1272" s="278"/>
      <c r="W1272" s="278"/>
    </row>
    <row r="1273" spans="1:23" x14ac:dyDescent="0.2">
      <c r="A1273" s="8">
        <v>43535</v>
      </c>
      <c r="B1273" s="9">
        <v>8.7859999999999996</v>
      </c>
      <c r="E1273" s="51"/>
      <c r="F1273" s="51"/>
      <c r="G1273" s="51"/>
      <c r="H1273" s="51"/>
      <c r="I1273" s="51"/>
      <c r="J1273" s="53"/>
      <c r="K1273" s="53"/>
      <c r="L1273" s="53"/>
      <c r="M1273" s="53"/>
      <c r="N1273" s="53"/>
      <c r="O1273" s="139"/>
      <c r="P1273" s="50"/>
      <c r="Q1273" s="57"/>
      <c r="U1273" s="148"/>
      <c r="V1273" s="278"/>
      <c r="W1273" s="278"/>
    </row>
    <row r="1274" spans="1:23" x14ac:dyDescent="0.2">
      <c r="A1274" s="8">
        <v>43536</v>
      </c>
      <c r="B1274" s="9">
        <v>8.7560000000000002</v>
      </c>
      <c r="E1274" s="51"/>
      <c r="F1274" s="51"/>
      <c r="G1274" s="51"/>
      <c r="H1274" s="51"/>
      <c r="I1274" s="51"/>
      <c r="J1274" s="53"/>
      <c r="K1274" s="53"/>
      <c r="L1274" s="53"/>
      <c r="M1274" s="53"/>
      <c r="N1274" s="53"/>
      <c r="O1274" s="139"/>
      <c r="P1274" s="50"/>
      <c r="Q1274" s="57"/>
      <c r="U1274" s="148"/>
      <c r="V1274" s="278"/>
      <c r="W1274" s="278"/>
    </row>
    <row r="1275" spans="1:23" x14ac:dyDescent="0.2">
      <c r="A1275" s="8">
        <v>43537</v>
      </c>
      <c r="B1275" s="9">
        <v>8.8800000000000008</v>
      </c>
      <c r="E1275" s="51"/>
      <c r="F1275" s="51"/>
      <c r="G1275" s="51"/>
      <c r="H1275" s="51"/>
      <c r="I1275" s="51"/>
      <c r="J1275" s="53"/>
      <c r="K1275" s="53"/>
      <c r="L1275" s="53"/>
      <c r="M1275" s="53"/>
      <c r="N1275" s="53"/>
      <c r="O1275" s="139"/>
      <c r="P1275" s="50"/>
      <c r="Q1275" s="57"/>
      <c r="U1275" s="148"/>
      <c r="V1275" s="278"/>
      <c r="W1275" s="278"/>
    </row>
    <row r="1276" spans="1:23" x14ac:dyDescent="0.2">
      <c r="A1276" s="8">
        <v>43538</v>
      </c>
      <c r="B1276" s="9">
        <v>8.9179999999999993</v>
      </c>
      <c r="E1276" s="51"/>
      <c r="F1276" s="51"/>
      <c r="G1276" s="51"/>
      <c r="H1276" s="51"/>
      <c r="I1276" s="51"/>
      <c r="J1276" s="53"/>
      <c r="K1276" s="53"/>
      <c r="L1276" s="53"/>
      <c r="M1276" s="53"/>
      <c r="N1276" s="53"/>
      <c r="O1276" s="139"/>
      <c r="P1276" s="50"/>
      <c r="Q1276" s="57"/>
      <c r="U1276" s="148"/>
      <c r="V1276" s="278"/>
      <c r="W1276" s="278"/>
    </row>
    <row r="1277" spans="1:23" x14ac:dyDescent="0.2">
      <c r="A1277" s="8">
        <v>43539</v>
      </c>
      <c r="B1277" s="9">
        <v>8.9879999999999995</v>
      </c>
      <c r="E1277" s="51"/>
      <c r="F1277" s="51"/>
      <c r="G1277" s="51"/>
      <c r="H1277" s="51"/>
      <c r="I1277" s="51"/>
      <c r="J1277" s="53"/>
      <c r="K1277" s="53"/>
      <c r="L1277" s="53"/>
      <c r="M1277" s="53"/>
      <c r="N1277" s="53"/>
      <c r="O1277" s="139"/>
      <c r="P1277" s="50"/>
      <c r="Q1277" s="57"/>
      <c r="U1277" s="148"/>
      <c r="V1277" s="278"/>
      <c r="W1277" s="278"/>
    </row>
    <row r="1278" spans="1:23" x14ac:dyDescent="0.2">
      <c r="A1278" s="8">
        <v>43542</v>
      </c>
      <c r="B1278" s="9">
        <v>9.18</v>
      </c>
      <c r="E1278" s="51"/>
      <c r="F1278" s="51"/>
      <c r="G1278" s="51"/>
      <c r="H1278" s="51"/>
      <c r="I1278" s="51"/>
      <c r="J1278" s="53"/>
      <c r="K1278" s="53"/>
      <c r="L1278" s="53"/>
      <c r="M1278" s="53"/>
      <c r="N1278" s="53"/>
      <c r="O1278" s="139"/>
      <c r="P1278" s="50"/>
      <c r="Q1278" s="57"/>
      <c r="U1278" s="148"/>
      <c r="V1278" s="278"/>
      <c r="W1278" s="278"/>
    </row>
    <row r="1279" spans="1:23" x14ac:dyDescent="0.2">
      <c r="A1279" s="8"/>
      <c r="B1279" s="9"/>
      <c r="E1279" s="51"/>
      <c r="F1279" s="51"/>
      <c r="G1279" s="51"/>
      <c r="H1279" s="51"/>
      <c r="I1279" s="51"/>
      <c r="J1279" s="53"/>
      <c r="K1279" s="53"/>
      <c r="L1279" s="53"/>
      <c r="M1279" s="53"/>
      <c r="N1279" s="53"/>
      <c r="O1279" s="139"/>
      <c r="P1279" s="50"/>
      <c r="Q1279" s="57"/>
      <c r="U1279" s="148"/>
      <c r="V1279" s="278"/>
      <c r="W1279" s="278"/>
    </row>
    <row r="1280" spans="1:23" x14ac:dyDescent="0.2">
      <c r="A1280" s="8"/>
      <c r="B1280" s="9"/>
      <c r="E1280" s="51"/>
      <c r="F1280" s="51"/>
      <c r="G1280" s="51"/>
      <c r="H1280" s="51"/>
      <c r="I1280" s="51"/>
      <c r="J1280" s="53"/>
      <c r="K1280" s="53"/>
      <c r="L1280" s="53"/>
      <c r="M1280" s="53"/>
      <c r="N1280" s="53"/>
      <c r="O1280" s="139"/>
      <c r="P1280" s="50"/>
      <c r="Q1280" s="57"/>
      <c r="U1280" s="148"/>
      <c r="V1280" s="278"/>
      <c r="W1280" s="278"/>
    </row>
    <row r="1281" spans="1:23" x14ac:dyDescent="0.2">
      <c r="A1281" s="8"/>
      <c r="B1281" s="9"/>
      <c r="E1281" s="51"/>
      <c r="F1281" s="51"/>
      <c r="G1281" s="51"/>
      <c r="H1281" s="51"/>
      <c r="I1281" s="51"/>
      <c r="J1281" s="53"/>
      <c r="K1281" s="53"/>
      <c r="L1281" s="53"/>
      <c r="M1281" s="53"/>
      <c r="N1281" s="53"/>
      <c r="O1281" s="139"/>
      <c r="P1281" s="50"/>
      <c r="Q1281" s="57"/>
      <c r="U1281" s="148"/>
      <c r="V1281" s="278"/>
      <c r="W1281" s="278"/>
    </row>
    <row r="1282" spans="1:23" x14ac:dyDescent="0.2">
      <c r="A1282" s="8"/>
      <c r="B1282" s="9"/>
      <c r="E1282" s="51"/>
      <c r="F1282" s="51"/>
      <c r="G1282" s="51"/>
      <c r="H1282" s="51"/>
      <c r="I1282" s="51"/>
      <c r="J1282" s="53"/>
      <c r="K1282" s="53"/>
      <c r="L1282" s="53"/>
      <c r="M1282" s="53"/>
      <c r="N1282" s="53"/>
      <c r="O1282" s="139"/>
      <c r="P1282" s="50"/>
      <c r="Q1282" s="57"/>
      <c r="U1282" s="148"/>
      <c r="V1282" s="278"/>
      <c r="W1282" s="278"/>
    </row>
    <row r="1283" spans="1:23" x14ac:dyDescent="0.2">
      <c r="A1283" s="8"/>
      <c r="B1283" s="9"/>
      <c r="E1283" s="51"/>
      <c r="F1283" s="51"/>
      <c r="G1283" s="51"/>
      <c r="H1283" s="51"/>
      <c r="I1283" s="51"/>
      <c r="J1283" s="53"/>
      <c r="K1283" s="53"/>
      <c r="L1283" s="53"/>
      <c r="M1283" s="53"/>
      <c r="N1283" s="53"/>
      <c r="O1283" s="139"/>
      <c r="P1283" s="50"/>
      <c r="Q1283" s="57"/>
      <c r="U1283" s="148"/>
      <c r="V1283" s="278"/>
      <c r="W1283" s="278"/>
    </row>
    <row r="1284" spans="1:23" x14ac:dyDescent="0.2">
      <c r="A1284" s="8"/>
      <c r="B1284" s="9"/>
      <c r="E1284" s="51"/>
      <c r="F1284" s="51"/>
      <c r="G1284" s="51"/>
      <c r="H1284" s="51"/>
      <c r="I1284" s="51"/>
      <c r="J1284" s="53"/>
      <c r="K1284" s="53"/>
      <c r="L1284" s="53"/>
      <c r="M1284" s="53"/>
      <c r="N1284" s="53"/>
      <c r="O1284" s="139"/>
      <c r="P1284" s="50"/>
      <c r="Q1284" s="57"/>
      <c r="U1284" s="148"/>
      <c r="V1284" s="278"/>
      <c r="W1284" s="278"/>
    </row>
    <row r="1285" spans="1:23" x14ac:dyDescent="0.2">
      <c r="A1285" s="8"/>
      <c r="B1285" s="9"/>
      <c r="E1285" s="51"/>
      <c r="F1285" s="51"/>
      <c r="G1285" s="51"/>
      <c r="H1285" s="51"/>
      <c r="I1285" s="51"/>
      <c r="J1285" s="53"/>
      <c r="K1285" s="53"/>
      <c r="L1285" s="53"/>
      <c r="M1285" s="53"/>
      <c r="N1285" s="53"/>
      <c r="O1285" s="139"/>
      <c r="P1285" s="50"/>
      <c r="Q1285" s="57"/>
      <c r="U1285" s="148"/>
      <c r="V1285" s="278"/>
      <c r="W1285" s="278"/>
    </row>
    <row r="1286" spans="1:23" x14ac:dyDescent="0.2">
      <c r="A1286" s="8"/>
      <c r="B1286" s="9"/>
      <c r="E1286" s="51"/>
      <c r="F1286" s="51"/>
      <c r="G1286" s="51"/>
      <c r="H1286" s="51"/>
      <c r="I1286" s="51"/>
      <c r="J1286" s="53"/>
      <c r="K1286" s="53"/>
      <c r="L1286" s="53"/>
      <c r="M1286" s="53"/>
      <c r="N1286" s="53"/>
      <c r="O1286" s="139"/>
      <c r="P1286" s="50"/>
      <c r="Q1286" s="57"/>
      <c r="U1286" s="148"/>
      <c r="V1286" s="278"/>
      <c r="W1286" s="278"/>
    </row>
    <row r="1287" spans="1:23" x14ac:dyDescent="0.2">
      <c r="A1287" s="8"/>
      <c r="B1287" s="9"/>
      <c r="E1287" s="51"/>
      <c r="F1287" s="51"/>
      <c r="G1287" s="51"/>
      <c r="H1287" s="51"/>
      <c r="I1287" s="51"/>
      <c r="J1287" s="53"/>
      <c r="K1287" s="53"/>
      <c r="L1287" s="53"/>
      <c r="M1287" s="53"/>
      <c r="N1287" s="53"/>
      <c r="O1287" s="139"/>
      <c r="P1287" s="50"/>
      <c r="Q1287" s="57"/>
      <c r="U1287" s="148"/>
      <c r="V1287" s="278"/>
      <c r="W1287" s="278"/>
    </row>
    <row r="1288" spans="1:23" x14ac:dyDescent="0.2">
      <c r="A1288" s="8"/>
      <c r="B1288" s="9"/>
      <c r="E1288" s="51"/>
      <c r="F1288" s="51"/>
      <c r="G1288" s="51"/>
      <c r="H1288" s="51"/>
      <c r="I1288" s="51"/>
      <c r="J1288" s="53"/>
      <c r="K1288" s="53"/>
      <c r="L1288" s="53"/>
      <c r="M1288" s="53"/>
      <c r="N1288" s="53"/>
      <c r="O1288" s="139"/>
      <c r="P1288" s="50"/>
      <c r="Q1288" s="57"/>
    </row>
    <row r="1289" spans="1:23" x14ac:dyDescent="0.2">
      <c r="A1289" s="8"/>
      <c r="B1289" s="9"/>
      <c r="E1289" s="51"/>
      <c r="F1289" s="51"/>
      <c r="G1289" s="51"/>
      <c r="H1289" s="51"/>
      <c r="I1289" s="51"/>
      <c r="J1289" s="53"/>
      <c r="K1289" s="53"/>
      <c r="L1289" s="53"/>
      <c r="M1289" s="53"/>
      <c r="N1289" s="53"/>
      <c r="O1289" s="139"/>
      <c r="P1289" s="50"/>
      <c r="Q1289" s="57"/>
    </row>
    <row r="1290" spans="1:23" x14ac:dyDescent="0.2">
      <c r="A1290" s="8"/>
      <c r="B1290" s="9"/>
      <c r="E1290" s="51"/>
      <c r="F1290" s="51"/>
      <c r="G1290" s="51"/>
      <c r="H1290" s="51"/>
      <c r="I1290" s="51"/>
      <c r="J1290" s="53"/>
      <c r="K1290" s="53"/>
      <c r="L1290" s="53"/>
      <c r="M1290" s="53"/>
      <c r="N1290" s="53"/>
      <c r="O1290" s="139"/>
      <c r="P1290" s="50"/>
      <c r="Q1290" s="57"/>
    </row>
    <row r="1291" spans="1:23" x14ac:dyDescent="0.2">
      <c r="A1291" s="8"/>
      <c r="B1291" s="9"/>
      <c r="E1291" s="51"/>
      <c r="F1291" s="51"/>
      <c r="G1291" s="51"/>
      <c r="H1291" s="51"/>
      <c r="I1291" s="51"/>
      <c r="J1291" s="53"/>
      <c r="K1291" s="53"/>
      <c r="L1291" s="53"/>
      <c r="M1291" s="53"/>
      <c r="N1291" s="53"/>
      <c r="O1291" s="139"/>
      <c r="P1291" s="50"/>
      <c r="Q1291" s="57"/>
    </row>
    <row r="1292" spans="1:23" x14ac:dyDescent="0.2">
      <c r="A1292" s="8"/>
      <c r="B1292" s="9"/>
      <c r="E1292" s="51"/>
      <c r="F1292" s="51"/>
      <c r="G1292" s="51"/>
      <c r="H1292" s="51"/>
      <c r="I1292" s="51"/>
      <c r="J1292" s="53"/>
      <c r="K1292" s="53"/>
      <c r="L1292" s="53"/>
      <c r="M1292" s="53"/>
      <c r="N1292" s="53"/>
      <c r="O1292" s="139"/>
      <c r="P1292" s="50"/>
      <c r="Q1292" s="57"/>
    </row>
    <row r="1293" spans="1:23" x14ac:dyDescent="0.2">
      <c r="A1293" s="8"/>
      <c r="B1293" s="9"/>
      <c r="E1293" s="51"/>
      <c r="F1293" s="51"/>
      <c r="G1293" s="51"/>
      <c r="H1293" s="51"/>
      <c r="I1293" s="51"/>
      <c r="J1293" s="53"/>
      <c r="K1293" s="53"/>
      <c r="L1293" s="53"/>
      <c r="M1293" s="53"/>
      <c r="N1293" s="53"/>
      <c r="O1293" s="139"/>
      <c r="P1293" s="50"/>
      <c r="Q1293" s="57"/>
    </row>
    <row r="1294" spans="1:23" x14ac:dyDescent="0.2">
      <c r="A1294" s="8"/>
      <c r="B1294" s="9"/>
      <c r="E1294" s="51"/>
      <c r="F1294" s="51"/>
      <c r="G1294" s="51"/>
      <c r="H1294" s="51"/>
      <c r="I1294" s="51"/>
      <c r="J1294" s="53"/>
      <c r="K1294" s="53"/>
      <c r="L1294" s="53"/>
      <c r="M1294" s="53"/>
      <c r="N1294" s="53"/>
      <c r="O1294" s="139"/>
      <c r="P1294" s="50"/>
      <c r="Q1294" s="57"/>
    </row>
    <row r="1295" spans="1:23" x14ac:dyDescent="0.2">
      <c r="A1295" s="8"/>
      <c r="B1295" s="9"/>
      <c r="E1295" s="51"/>
      <c r="F1295" s="51"/>
      <c r="G1295" s="51"/>
      <c r="H1295" s="51"/>
      <c r="I1295" s="51"/>
      <c r="J1295" s="53"/>
      <c r="K1295" s="53"/>
      <c r="L1295" s="53"/>
      <c r="M1295" s="53"/>
      <c r="N1295" s="53"/>
      <c r="O1295" s="139"/>
      <c r="P1295" s="50"/>
      <c r="Q1295" s="57"/>
    </row>
    <row r="1296" spans="1:23" x14ac:dyDescent="0.2">
      <c r="A1296" s="8"/>
      <c r="B1296" s="9"/>
      <c r="E1296" s="51"/>
      <c r="F1296" s="51"/>
      <c r="G1296" s="51"/>
      <c r="H1296" s="51"/>
      <c r="I1296" s="51"/>
      <c r="J1296" s="53"/>
      <c r="K1296" s="53"/>
      <c r="L1296" s="53"/>
      <c r="M1296" s="53"/>
      <c r="N1296" s="53"/>
      <c r="O1296" s="139"/>
      <c r="P1296" s="50"/>
      <c r="Q1296" s="57"/>
    </row>
    <row r="1297" spans="1:17" x14ac:dyDescent="0.2">
      <c r="A1297" s="8"/>
      <c r="B1297" s="9"/>
      <c r="E1297" s="51"/>
      <c r="F1297" s="51"/>
      <c r="G1297" s="51"/>
      <c r="H1297" s="51"/>
      <c r="I1297" s="51"/>
      <c r="J1297" s="53"/>
      <c r="K1297" s="53"/>
      <c r="L1297" s="53"/>
      <c r="M1297" s="53"/>
      <c r="N1297" s="53"/>
      <c r="O1297" s="139"/>
      <c r="P1297" s="50"/>
      <c r="Q1297" s="57"/>
    </row>
    <row r="1298" spans="1:17" x14ac:dyDescent="0.2">
      <c r="A1298" s="8"/>
      <c r="B1298" s="9"/>
      <c r="E1298" s="51"/>
      <c r="F1298" s="51"/>
      <c r="G1298" s="51"/>
      <c r="H1298" s="51"/>
      <c r="I1298" s="51"/>
      <c r="J1298" s="53"/>
      <c r="K1298" s="53"/>
      <c r="L1298" s="53"/>
      <c r="M1298" s="53"/>
      <c r="N1298" s="53"/>
      <c r="O1298" s="139"/>
      <c r="P1298" s="50"/>
      <c r="Q1298" s="57"/>
    </row>
    <row r="1299" spans="1:17" x14ac:dyDescent="0.2">
      <c r="A1299" s="8"/>
      <c r="B1299" s="9"/>
      <c r="E1299" s="51"/>
      <c r="F1299" s="51"/>
      <c r="G1299" s="51"/>
      <c r="H1299" s="51"/>
      <c r="I1299" s="51"/>
      <c r="J1299" s="53"/>
      <c r="K1299" s="53"/>
      <c r="L1299" s="53"/>
      <c r="M1299" s="53"/>
      <c r="N1299" s="53"/>
      <c r="O1299" s="139"/>
      <c r="P1299" s="50"/>
      <c r="Q1299" s="57"/>
    </row>
    <row r="1300" spans="1:17" x14ac:dyDescent="0.2">
      <c r="A1300" s="8"/>
      <c r="B1300" s="9"/>
      <c r="E1300" s="51"/>
      <c r="F1300" s="51"/>
      <c r="G1300" s="51"/>
      <c r="H1300" s="51"/>
      <c r="I1300" s="51"/>
      <c r="J1300" s="53"/>
      <c r="K1300" s="53"/>
      <c r="L1300" s="53"/>
      <c r="M1300" s="53"/>
      <c r="N1300" s="53"/>
      <c r="O1300" s="139"/>
      <c r="P1300" s="50"/>
      <c r="Q1300" s="57"/>
    </row>
    <row r="1301" spans="1:17" x14ac:dyDescent="0.2">
      <c r="A1301" s="8"/>
      <c r="B1301" s="9"/>
      <c r="E1301" s="51"/>
      <c r="F1301" s="51"/>
      <c r="G1301" s="51"/>
      <c r="H1301" s="51"/>
      <c r="I1301" s="51"/>
      <c r="J1301" s="53"/>
      <c r="K1301" s="53"/>
      <c r="L1301" s="53"/>
      <c r="M1301" s="53"/>
      <c r="N1301" s="53"/>
      <c r="O1301" s="139"/>
      <c r="P1301" s="50"/>
      <c r="Q1301" s="57"/>
    </row>
    <row r="1302" spans="1:17" x14ac:dyDescent="0.2">
      <c r="A1302" s="8"/>
      <c r="B1302" s="9"/>
      <c r="E1302" s="51"/>
      <c r="F1302" s="51"/>
      <c r="G1302" s="51"/>
      <c r="H1302" s="51"/>
      <c r="I1302" s="51"/>
      <c r="J1302" s="53"/>
      <c r="K1302" s="53"/>
      <c r="L1302" s="53"/>
      <c r="M1302" s="53"/>
      <c r="N1302" s="53"/>
      <c r="O1302" s="139"/>
      <c r="P1302" s="50"/>
      <c r="Q1302" s="57"/>
    </row>
    <row r="1303" spans="1:17" x14ac:dyDescent="0.2">
      <c r="A1303" s="8"/>
      <c r="B1303" s="9"/>
      <c r="E1303" s="51"/>
      <c r="F1303" s="51"/>
      <c r="G1303" s="51"/>
      <c r="H1303" s="51"/>
      <c r="I1303" s="51"/>
      <c r="J1303" s="53"/>
      <c r="K1303" s="53"/>
      <c r="L1303" s="53"/>
      <c r="M1303" s="53"/>
      <c r="N1303" s="53"/>
      <c r="O1303" s="139"/>
      <c r="P1303" s="50"/>
      <c r="Q1303" s="57"/>
    </row>
    <row r="1304" spans="1:17" x14ac:dyDescent="0.2">
      <c r="A1304" s="8"/>
      <c r="B1304" s="9"/>
      <c r="E1304" s="51"/>
      <c r="F1304" s="51"/>
      <c r="G1304" s="51"/>
      <c r="H1304" s="51"/>
      <c r="I1304" s="51"/>
      <c r="J1304" s="53"/>
      <c r="K1304" s="53"/>
      <c r="L1304" s="53"/>
      <c r="M1304" s="53"/>
      <c r="N1304" s="53"/>
      <c r="O1304" s="139"/>
      <c r="P1304" s="50"/>
      <c r="Q1304" s="57"/>
    </row>
    <row r="1305" spans="1:17" x14ac:dyDescent="0.2">
      <c r="A1305" s="8"/>
      <c r="B1305" s="9"/>
      <c r="E1305" s="51"/>
      <c r="F1305" s="51"/>
      <c r="G1305" s="51"/>
      <c r="H1305" s="51"/>
      <c r="I1305" s="51"/>
      <c r="J1305" s="53"/>
      <c r="K1305" s="53"/>
      <c r="L1305" s="53"/>
      <c r="M1305" s="53"/>
      <c r="N1305" s="53"/>
      <c r="O1305" s="139"/>
      <c r="P1305" s="50"/>
      <c r="Q1305" s="57"/>
    </row>
    <row r="1306" spans="1:17" x14ac:dyDescent="0.2">
      <c r="A1306" s="8"/>
      <c r="B1306" s="9"/>
      <c r="E1306" s="51"/>
      <c r="F1306" s="51"/>
      <c r="G1306" s="51"/>
      <c r="H1306" s="51"/>
      <c r="I1306" s="51"/>
      <c r="J1306" s="53"/>
      <c r="K1306" s="53"/>
      <c r="L1306" s="53"/>
      <c r="M1306" s="53"/>
      <c r="N1306" s="53"/>
      <c r="O1306" s="139"/>
      <c r="P1306" s="50"/>
      <c r="Q1306" s="57"/>
    </row>
    <row r="1307" spans="1:17" x14ac:dyDescent="0.2">
      <c r="A1307" s="8"/>
      <c r="B1307" s="9"/>
    </row>
    <row r="1308" spans="1:17" x14ac:dyDescent="0.2">
      <c r="A1308" s="8"/>
      <c r="B1308" s="9"/>
    </row>
    <row r="1309" spans="1:17" x14ac:dyDescent="0.2">
      <c r="A1309" s="8"/>
      <c r="B1309" s="9"/>
    </row>
    <row r="1310" spans="1:17" x14ac:dyDescent="0.2">
      <c r="A1310" s="8"/>
      <c r="B1310" s="9"/>
    </row>
    <row r="1311" spans="1:17" x14ac:dyDescent="0.2">
      <c r="A1311" s="8"/>
      <c r="B1311" s="9"/>
    </row>
    <row r="1312" spans="1:17" x14ac:dyDescent="0.2">
      <c r="A1312" s="8"/>
      <c r="B1312" s="9"/>
    </row>
    <row r="1313" spans="1:2" x14ac:dyDescent="0.2">
      <c r="A1313" s="8"/>
      <c r="B1313" s="9"/>
    </row>
    <row r="1314" spans="1:2" x14ac:dyDescent="0.2">
      <c r="A1314" s="8"/>
      <c r="B1314" s="9"/>
    </row>
    <row r="1315" spans="1:2" x14ac:dyDescent="0.2">
      <c r="A1315" s="8"/>
      <c r="B1315" s="9"/>
    </row>
    <row r="1316" spans="1:2" x14ac:dyDescent="0.2">
      <c r="A1316" s="8"/>
      <c r="B1316" s="9"/>
    </row>
    <row r="1317" spans="1:2" x14ac:dyDescent="0.2">
      <c r="A1317" s="8"/>
      <c r="B1317" s="9"/>
    </row>
    <row r="1318" spans="1:2" x14ac:dyDescent="0.2">
      <c r="A1318" s="8"/>
      <c r="B1318" s="9"/>
    </row>
    <row r="1319" spans="1:2" x14ac:dyDescent="0.2">
      <c r="A1319" s="8"/>
      <c r="B1319" s="9"/>
    </row>
    <row r="1320" spans="1:2" x14ac:dyDescent="0.2">
      <c r="A1320" s="8"/>
      <c r="B1320" s="9"/>
    </row>
    <row r="1321" spans="1:2" x14ac:dyDescent="0.2">
      <c r="A1321" s="8"/>
      <c r="B1321" s="9"/>
    </row>
    <row r="1322" spans="1:2" x14ac:dyDescent="0.2">
      <c r="A1322" s="8"/>
      <c r="B1322" s="9"/>
    </row>
  </sheetData>
  <mergeCells count="1">
    <mergeCell ref="D1:F1"/>
  </mergeCells>
  <phoneticPr fontId="0" type="noConversion"/>
  <pageMargins left="0.75" right="0.75" top="1" bottom="1" header="0.5" footer="0.5"/>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6"/>
  <dimension ref="A1:BA98"/>
  <sheetViews>
    <sheetView topLeftCell="Y1" zoomScaleNormal="100" workbookViewId="0">
      <selection activeCell="AZ6" sqref="AZ6"/>
    </sheetView>
  </sheetViews>
  <sheetFormatPr defaultRowHeight="12.75" x14ac:dyDescent="0.2"/>
  <cols>
    <col min="1" max="1" width="14.5703125" style="13" bestFit="1" customWidth="1"/>
    <col min="2" max="2" width="11.28515625" style="13" bestFit="1" customWidth="1"/>
    <col min="3" max="3" width="12" style="13" bestFit="1" customWidth="1"/>
    <col min="4" max="4" width="11.28515625" style="13" bestFit="1" customWidth="1"/>
    <col min="5" max="5" width="8.7109375" style="13" bestFit="1" customWidth="1"/>
    <col min="6" max="7" width="11.28515625" style="13" bestFit="1" customWidth="1"/>
    <col min="8" max="8" width="11.28515625" style="13" customWidth="1"/>
    <col min="9" max="9" width="9.5703125" style="13" bestFit="1" customWidth="1"/>
    <col min="10" max="10" width="10.28515625" style="15" customWidth="1"/>
    <col min="11" max="12" width="9.140625" style="15"/>
    <col min="13" max="13" width="9.140625" style="13"/>
    <col min="14" max="14" width="15.85546875" style="13" bestFit="1" customWidth="1"/>
    <col min="15" max="15" width="11.42578125" style="15" customWidth="1"/>
    <col min="16" max="16" width="9.140625" style="3"/>
    <col min="17" max="17" width="12" style="13" bestFit="1" customWidth="1"/>
    <col min="18" max="18" width="11.28515625" style="13" bestFit="1" customWidth="1"/>
    <col min="19" max="19" width="11.140625" style="13" bestFit="1" customWidth="1"/>
    <col min="20" max="20" width="9.140625" style="3"/>
    <col min="21" max="21" width="13" style="3" bestFit="1" customWidth="1"/>
    <col min="22" max="22" width="11.28515625" style="3" bestFit="1" customWidth="1"/>
    <col min="23" max="23" width="10.28515625" style="3" bestFit="1" customWidth="1"/>
    <col min="24" max="24" width="10.140625" style="3" bestFit="1" customWidth="1"/>
    <col min="25" max="25" width="12" style="3" bestFit="1" customWidth="1"/>
    <col min="26" max="26" width="12" style="3" customWidth="1"/>
    <col min="27" max="28" width="9.5703125" style="3" customWidth="1"/>
    <col min="29" max="30" width="9.140625" style="3"/>
    <col min="31" max="31" width="10.140625" style="3" bestFit="1" customWidth="1"/>
    <col min="32" max="32" width="10.140625" style="3" customWidth="1"/>
    <col min="33" max="16384" width="9.140625" style="3"/>
  </cols>
  <sheetData>
    <row r="1" spans="1:53" x14ac:dyDescent="0.2">
      <c r="A1" s="15"/>
      <c r="D1" s="3"/>
      <c r="E1" s="15"/>
      <c r="F1" s="15"/>
      <c r="G1" s="15"/>
      <c r="H1" s="15"/>
      <c r="I1" s="3"/>
      <c r="J1" s="325" t="s">
        <v>5</v>
      </c>
      <c r="K1" s="326"/>
      <c r="L1" s="327"/>
      <c r="M1" s="3"/>
      <c r="N1" s="325" t="s">
        <v>6</v>
      </c>
      <c r="O1" s="327"/>
      <c r="Q1" s="322" t="s">
        <v>7</v>
      </c>
      <c r="R1" s="323"/>
      <c r="S1" s="324"/>
      <c r="V1" s="3">
        <v>6</v>
      </c>
      <c r="W1" s="3">
        <f>+V1+1</f>
        <v>7</v>
      </c>
      <c r="X1" s="3">
        <f t="shared" ref="X1:AZ1" si="0">+W1+1</f>
        <v>8</v>
      </c>
      <c r="Y1" s="3">
        <f t="shared" si="0"/>
        <v>9</v>
      </c>
      <c r="Z1" s="3">
        <f t="shared" si="0"/>
        <v>10</v>
      </c>
      <c r="AA1" s="3">
        <f t="shared" si="0"/>
        <v>11</v>
      </c>
      <c r="AB1" s="3">
        <f t="shared" si="0"/>
        <v>12</v>
      </c>
      <c r="AC1" s="3">
        <f t="shared" si="0"/>
        <v>13</v>
      </c>
      <c r="AD1" s="3">
        <f t="shared" si="0"/>
        <v>14</v>
      </c>
      <c r="AE1" s="3">
        <f t="shared" si="0"/>
        <v>15</v>
      </c>
      <c r="AF1" s="3">
        <f t="shared" si="0"/>
        <v>16</v>
      </c>
      <c r="AG1" s="3">
        <f t="shared" si="0"/>
        <v>17</v>
      </c>
      <c r="AH1" s="3">
        <f t="shared" si="0"/>
        <v>18</v>
      </c>
      <c r="AI1" s="3">
        <f t="shared" si="0"/>
        <v>19</v>
      </c>
      <c r="AJ1" s="3">
        <f t="shared" si="0"/>
        <v>20</v>
      </c>
      <c r="AK1" s="3">
        <f t="shared" si="0"/>
        <v>21</v>
      </c>
      <c r="AL1" s="3">
        <f t="shared" si="0"/>
        <v>22</v>
      </c>
      <c r="AM1" s="3">
        <f t="shared" si="0"/>
        <v>23</v>
      </c>
      <c r="AN1" s="3">
        <f t="shared" si="0"/>
        <v>24</v>
      </c>
      <c r="AO1" s="3">
        <f t="shared" si="0"/>
        <v>25</v>
      </c>
      <c r="AP1" s="3">
        <f t="shared" si="0"/>
        <v>26</v>
      </c>
      <c r="AQ1" s="3">
        <f t="shared" si="0"/>
        <v>27</v>
      </c>
      <c r="AR1" s="3">
        <f t="shared" si="0"/>
        <v>28</v>
      </c>
      <c r="AS1" s="3">
        <f t="shared" si="0"/>
        <v>29</v>
      </c>
      <c r="AT1" s="3">
        <f t="shared" si="0"/>
        <v>30</v>
      </c>
      <c r="AU1" s="3">
        <f t="shared" si="0"/>
        <v>31</v>
      </c>
      <c r="AV1" s="3">
        <f t="shared" si="0"/>
        <v>32</v>
      </c>
      <c r="AW1" s="3">
        <f t="shared" si="0"/>
        <v>33</v>
      </c>
      <c r="AX1" s="3">
        <f t="shared" si="0"/>
        <v>34</v>
      </c>
      <c r="AY1" s="3">
        <f t="shared" si="0"/>
        <v>35</v>
      </c>
      <c r="AZ1" s="3">
        <f t="shared" si="0"/>
        <v>36</v>
      </c>
    </row>
    <row r="2" spans="1:53" x14ac:dyDescent="0.2">
      <c r="A2" s="70" t="s">
        <v>63</v>
      </c>
      <c r="B2" s="71" t="s">
        <v>92</v>
      </c>
      <c r="C2" s="71" t="s">
        <v>64</v>
      </c>
      <c r="D2" s="71" t="s">
        <v>22</v>
      </c>
      <c r="E2" s="71" t="s">
        <v>48</v>
      </c>
      <c r="F2" s="71" t="s">
        <v>20</v>
      </c>
      <c r="G2" s="71" t="s">
        <v>49</v>
      </c>
      <c r="H2" s="71" t="s">
        <v>62</v>
      </c>
      <c r="I2" s="3"/>
      <c r="J2" s="72" t="s">
        <v>13</v>
      </c>
      <c r="K2" s="71" t="s">
        <v>18</v>
      </c>
      <c r="L2" s="73" t="s">
        <v>14</v>
      </c>
      <c r="M2" s="3"/>
      <c r="N2" s="74" t="s">
        <v>11</v>
      </c>
      <c r="O2" s="72" t="s">
        <v>12</v>
      </c>
      <c r="Q2" s="58" t="s">
        <v>8</v>
      </c>
      <c r="R2" s="23" t="s">
        <v>9</v>
      </c>
      <c r="S2" s="59" t="s">
        <v>10</v>
      </c>
      <c r="U2" s="248" t="s">
        <v>15</v>
      </c>
      <c r="V2" s="71" t="str">
        <f>V1&amp;"m"</f>
        <v>6m</v>
      </c>
      <c r="W2" s="320" t="str">
        <f t="shared" ref="W2:AZ2" si="1">W1&amp;"m"</f>
        <v>7m</v>
      </c>
      <c r="X2" s="320" t="str">
        <f t="shared" si="1"/>
        <v>8m</v>
      </c>
      <c r="Y2" s="320" t="str">
        <f t="shared" si="1"/>
        <v>9m</v>
      </c>
      <c r="Z2" s="320" t="str">
        <f t="shared" si="1"/>
        <v>10m</v>
      </c>
      <c r="AA2" s="320" t="str">
        <f t="shared" si="1"/>
        <v>11m</v>
      </c>
      <c r="AB2" s="320" t="str">
        <f t="shared" si="1"/>
        <v>12m</v>
      </c>
      <c r="AC2" s="320" t="str">
        <f t="shared" si="1"/>
        <v>13m</v>
      </c>
      <c r="AD2" s="320" t="str">
        <f t="shared" si="1"/>
        <v>14m</v>
      </c>
      <c r="AE2" s="320" t="str">
        <f t="shared" si="1"/>
        <v>15m</v>
      </c>
      <c r="AF2" s="320" t="str">
        <f t="shared" si="1"/>
        <v>16m</v>
      </c>
      <c r="AG2" s="320" t="str">
        <f t="shared" si="1"/>
        <v>17m</v>
      </c>
      <c r="AH2" s="320" t="str">
        <f t="shared" si="1"/>
        <v>18m</v>
      </c>
      <c r="AI2" s="320" t="str">
        <f t="shared" si="1"/>
        <v>19m</v>
      </c>
      <c r="AJ2" s="320" t="str">
        <f t="shared" si="1"/>
        <v>20m</v>
      </c>
      <c r="AK2" s="320" t="str">
        <f t="shared" si="1"/>
        <v>21m</v>
      </c>
      <c r="AL2" s="320" t="str">
        <f t="shared" si="1"/>
        <v>22m</v>
      </c>
      <c r="AM2" s="320" t="str">
        <f t="shared" si="1"/>
        <v>23m</v>
      </c>
      <c r="AN2" s="320" t="str">
        <f t="shared" si="1"/>
        <v>24m</v>
      </c>
      <c r="AO2" s="320" t="str">
        <f t="shared" si="1"/>
        <v>25m</v>
      </c>
      <c r="AP2" s="320" t="str">
        <f t="shared" si="1"/>
        <v>26m</v>
      </c>
      <c r="AQ2" s="320" t="str">
        <f t="shared" si="1"/>
        <v>27m</v>
      </c>
      <c r="AR2" s="320" t="str">
        <f t="shared" si="1"/>
        <v>28m</v>
      </c>
      <c r="AS2" s="320" t="str">
        <f t="shared" si="1"/>
        <v>29m</v>
      </c>
      <c r="AT2" s="320" t="str">
        <f t="shared" si="1"/>
        <v>30m</v>
      </c>
      <c r="AU2" s="320" t="str">
        <f t="shared" si="1"/>
        <v>31m</v>
      </c>
      <c r="AV2" s="320" t="str">
        <f t="shared" si="1"/>
        <v>32m</v>
      </c>
      <c r="AW2" s="320" t="str">
        <f t="shared" si="1"/>
        <v>33m</v>
      </c>
      <c r="AX2" s="320" t="str">
        <f t="shared" si="1"/>
        <v>34m</v>
      </c>
      <c r="AY2" s="320" t="str">
        <f t="shared" si="1"/>
        <v>35m</v>
      </c>
      <c r="AZ2" s="320" t="str">
        <f t="shared" si="1"/>
        <v>36m</v>
      </c>
    </row>
    <row r="3" spans="1:53" x14ac:dyDescent="0.2">
      <c r="A3" s="75" t="str">
        <f>VLOOKUP(MIN(Dati_G!$E$34:$E$150),Dati_G!$E$34:$Q$150,6,FALSE)</f>
        <v>IT0005086886</v>
      </c>
      <c r="B3" s="136">
        <f>VALUE(VLOOKUP(MIN(Dati_G!$E$34:$E$150),Dati_G!$E$34:$Q$150,10,FALSE))</f>
        <v>100.8</v>
      </c>
      <c r="C3" s="135">
        <f>VALUE(VLOOKUP(MIN(Dati_G!$E$34:$E$150),Dati_G!$E$34:$Q$150,7,FALSE))</f>
        <v>42051</v>
      </c>
      <c r="D3" s="135">
        <f>VALUE(VLOOKUP(MIN(Dati_G!$E$34:$E$150),Dati_G!$E$34:$Q$150,8,FALSE))</f>
        <v>44666</v>
      </c>
      <c r="E3" s="147">
        <f>VALUE(VLOOKUP(MIN(Dati_G!$E$34:$E$150),Dati_G!$E$34:$Q$150,9,FALSE))/100</f>
        <v>1.3500000000000002E-2</v>
      </c>
      <c r="F3" s="136">
        <f>VALUE(VLOOKUP(MIN(Dati_G!$E$34:$E$150),Dati_G!$E$34:$Q$150,12,FALSE))</f>
        <v>101.483</v>
      </c>
      <c r="G3" s="137">
        <f>VALUE(VLOOKUP(MIN(Dati_G!$E$34:$E$150),Dati_G!$E$34:$Q$150,13,FALSE))/100</f>
        <v>8.5799999999999991E-3</v>
      </c>
      <c r="H3" s="125">
        <v>0.34806629834254149</v>
      </c>
      <c r="I3" s="3"/>
      <c r="J3" s="24">
        <f>Dati_G!B2</f>
        <v>43542</v>
      </c>
      <c r="K3" s="25">
        <v>0</v>
      </c>
      <c r="L3" s="26">
        <v>2</v>
      </c>
      <c r="M3" s="3"/>
      <c r="N3" s="36" t="s">
        <v>59</v>
      </c>
      <c r="O3" s="123">
        <f>IdR!Q45</f>
        <v>6.4000000000000003E-3</v>
      </c>
      <c r="Q3" s="107">
        <f>[1]!MLPutMatrix("Info_Cedole",J3:L77)</f>
        <v>0</v>
      </c>
      <c r="R3" s="1">
        <f>[1]!MLEvalString("[TIR,TIR_Perc,Stat,VFR_Barr] = TIR_Certificate_Digital_Autocallable_Barrier_v1(Index,Info_Cedole,Para,Drift,'B','G',Scenari)")</f>
        <v>0</v>
      </c>
      <c r="S3" s="17">
        <f>[1]!Mlgetmatrix("Stat","V3")</f>
        <v>0</v>
      </c>
      <c r="U3" s="150" t="s">
        <v>19</v>
      </c>
      <c r="V3" s="151">
        <v>5.7085175130959814E-2</v>
      </c>
      <c r="W3" s="151">
        <v>5.7983676939473608E-2</v>
      </c>
      <c r="X3" s="151">
        <v>5.7952032228921223E-2</v>
      </c>
      <c r="Y3" s="151">
        <v>5.7927444913886142E-2</v>
      </c>
      <c r="Z3" s="151">
        <v>5.8288230506001328E-2</v>
      </c>
      <c r="AA3" s="151">
        <v>5.8238274722843146E-2</v>
      </c>
      <c r="AB3" s="151">
        <v>5.8355177452563023E-2</v>
      </c>
      <c r="AC3" s="151">
        <v>5.8308124063890576E-2</v>
      </c>
      <c r="AD3" s="151">
        <v>5.8403083010921779E-2</v>
      </c>
      <c r="AE3" s="151">
        <v>5.8359444321396114E-2</v>
      </c>
      <c r="AF3" s="151">
        <v>5.8321317908585794E-2</v>
      </c>
      <c r="AG3" s="151">
        <v>5.8398034823549314E-2</v>
      </c>
      <c r="AH3" s="151">
        <v>5.8362288347748745E-2</v>
      </c>
      <c r="AI3" s="151">
        <v>5.8428530025453014E-2</v>
      </c>
      <c r="AJ3" s="151">
        <v>5.839509812963542E-2</v>
      </c>
      <c r="AK3" s="151">
        <v>5.8364887367921649E-2</v>
      </c>
      <c r="AL3" s="151">
        <v>5.8590094372223976E-2</v>
      </c>
      <c r="AM3" s="151">
        <v>5.8554590555019985E-2</v>
      </c>
      <c r="AN3" s="151">
        <v>5.85990361438622E-2</v>
      </c>
      <c r="AO3" s="151">
        <v>5.8566243396362613E-2</v>
      </c>
      <c r="AP3" s="151">
        <v>5.8606601869817629E-2</v>
      </c>
      <c r="AQ3" s="151">
        <v>5.8576170116120825E-2</v>
      </c>
      <c r="AR3" s="151">
        <v>5.8547945674778543E-2</v>
      </c>
      <c r="AS3" s="151">
        <v>5.858432587929182E-2</v>
      </c>
      <c r="AT3" s="151">
        <v>5.8557900213208662E-2</v>
      </c>
      <c r="AU3" s="151">
        <v>5.8591428274865652E-2</v>
      </c>
      <c r="AV3" s="151">
        <v>5.6671943796989213E-2</v>
      </c>
      <c r="AW3" s="151">
        <v>5.8543319402818442E-2</v>
      </c>
      <c r="AX3" s="151">
        <v>5.8679312946639167E-2</v>
      </c>
      <c r="AY3" s="151">
        <v>5.8654526548822493E-2</v>
      </c>
      <c r="AZ3" s="151">
        <v>5.5352647167702045E-2</v>
      </c>
    </row>
    <row r="4" spans="1:53" x14ac:dyDescent="0.2">
      <c r="A4" s="3"/>
      <c r="D4" s="41"/>
      <c r="E4" s="3"/>
      <c r="F4" s="71" t="s">
        <v>61</v>
      </c>
      <c r="G4" s="124">
        <v>1.1258337427934872E-2</v>
      </c>
      <c r="H4" s="124">
        <v>1.0122181542388317E-2</v>
      </c>
      <c r="I4" s="3"/>
      <c r="J4" s="28">
        <f>IdR!L184</f>
        <v>43581</v>
      </c>
      <c r="K4" s="29">
        <v>0</v>
      </c>
      <c r="L4" s="30">
        <v>2</v>
      </c>
      <c r="M4" s="3"/>
      <c r="N4" s="39" t="s">
        <v>84</v>
      </c>
      <c r="O4" s="167">
        <f>IdR!Q87</f>
        <v>0</v>
      </c>
      <c r="Q4" s="37">
        <f>[1]!MLPutMatrix("Para",O3:O14)</f>
        <v>0</v>
      </c>
      <c r="R4" s="40"/>
      <c r="S4" s="261">
        <f>[1]!Mlgetmatrix("TIR_Perc","V13")</f>
        <v>0</v>
      </c>
      <c r="U4" s="150" t="s">
        <v>16</v>
      </c>
      <c r="V4" s="151">
        <v>5.7065642066786722E-2</v>
      </c>
      <c r="W4" s="151">
        <v>5.7838122959912835E-2</v>
      </c>
      <c r="X4" s="151">
        <v>5.7533342855348141E-2</v>
      </c>
      <c r="Y4" s="151">
        <v>5.7478497517434543E-2</v>
      </c>
      <c r="Z4" s="151">
        <v>5.7581544945030032E-2</v>
      </c>
      <c r="AA4" s="151">
        <v>5.6791473710013758E-2</v>
      </c>
      <c r="AB4" s="151">
        <v>5.6493810567628436E-2</v>
      </c>
      <c r="AC4" s="151">
        <v>5.5714945584861279E-2</v>
      </c>
      <c r="AD4" s="151">
        <v>5.5119201040545407E-2</v>
      </c>
      <c r="AE4" s="151">
        <v>5.4080789067973568E-2</v>
      </c>
      <c r="AF4" s="151">
        <v>5.2261900396633199E-2</v>
      </c>
      <c r="AG4" s="151">
        <v>5.2386792880265536E-2</v>
      </c>
      <c r="AH4" s="151">
        <v>5.1251906331880627E-2</v>
      </c>
      <c r="AI4" s="151">
        <v>5.0707371977158543E-2</v>
      </c>
      <c r="AJ4" s="151">
        <v>4.806946509518932E-2</v>
      </c>
      <c r="AK4" s="151">
        <v>4.7577913019519379E-2</v>
      </c>
      <c r="AL4" s="151">
        <v>4.9256574246275636E-2</v>
      </c>
      <c r="AM4" s="151">
        <v>4.4098969555515607E-2</v>
      </c>
      <c r="AN4" s="151">
        <v>4.4085985260164717E-2</v>
      </c>
      <c r="AO4" s="151">
        <v>4.4656888421569604E-2</v>
      </c>
      <c r="AP4" s="151">
        <v>4.3638155597513481E-2</v>
      </c>
      <c r="AQ4" s="151">
        <v>4.4181911363070196E-2</v>
      </c>
      <c r="AR4" s="151">
        <v>4.0993218066696091E-2</v>
      </c>
      <c r="AS4" s="151">
        <v>4.3584680013002024E-2</v>
      </c>
      <c r="AT4" s="151">
        <v>4.2295214980353948E-2</v>
      </c>
      <c r="AU4" s="151">
        <v>3.88803261347343E-2</v>
      </c>
      <c r="AV4" s="151">
        <v>3.7708977991461751E-2</v>
      </c>
      <c r="AW4" s="151">
        <v>4.2746401141965873E-2</v>
      </c>
      <c r="AX4" s="151">
        <v>3.8164068486597071E-2</v>
      </c>
      <c r="AY4" s="151">
        <v>3.7516788929905252E-2</v>
      </c>
      <c r="AZ4" s="151">
        <v>-0.11298842052944133</v>
      </c>
    </row>
    <row r="5" spans="1:53" x14ac:dyDescent="0.2">
      <c r="A5" s="76"/>
      <c r="B5" s="15"/>
      <c r="C5" s="3"/>
      <c r="D5" s="3"/>
      <c r="E5" s="3"/>
      <c r="J5" s="140">
        <f>IdR!M7</f>
        <v>43585</v>
      </c>
      <c r="K5" s="27">
        <v>1</v>
      </c>
      <c r="L5" s="141">
        <v>0</v>
      </c>
      <c r="M5" s="3"/>
      <c r="N5" s="39" t="s">
        <v>136</v>
      </c>
      <c r="O5" s="82">
        <f>IdR!L123</f>
        <v>1</v>
      </c>
      <c r="Q5" s="37">
        <f>[1]!MLPutMatrix("Scenari",O15)</f>
        <v>0</v>
      </c>
      <c r="S5" s="261">
        <f>[1]!Mlgetmatrix("VFR_Barr","BA7")</f>
        <v>0</v>
      </c>
      <c r="U5" s="150" t="s">
        <v>17</v>
      </c>
      <c r="V5" s="151">
        <v>3.7465848832987918E-2</v>
      </c>
      <c r="W5" s="151">
        <v>4.0895371999037242E-2</v>
      </c>
      <c r="X5" s="151">
        <v>3.5623661030497231E-2</v>
      </c>
      <c r="Y5" s="151">
        <v>3.8093617665692532E-2</v>
      </c>
      <c r="Z5" s="151">
        <v>4.0262142898894307E-2</v>
      </c>
      <c r="AA5" s="151">
        <v>2.5932111883713117E-2</v>
      </c>
      <c r="AB5" s="151">
        <v>2.858540141375707E-2</v>
      </c>
      <c r="AC5" s="151">
        <v>2.6506935840182391E-2</v>
      </c>
      <c r="AD5" s="151">
        <v>1.6278757488980548E-2</v>
      </c>
      <c r="AE5" s="151">
        <v>2.6599070949868783E-2</v>
      </c>
      <c r="AF5" s="151">
        <v>1.7756759307894731E-2</v>
      </c>
      <c r="AG5" s="151">
        <v>2.6890732761000714E-2</v>
      </c>
      <c r="AH5" s="151">
        <v>2.2177079477488353E-2</v>
      </c>
      <c r="AI5" s="151">
        <v>2.3934128664500589E-2</v>
      </c>
      <c r="AJ5" s="151">
        <v>1.1343735214747172E-2</v>
      </c>
      <c r="AK5" s="151">
        <v>1.8969301171402612E-2</v>
      </c>
      <c r="AL5" s="151">
        <v>2.3275126581697912E-2</v>
      </c>
      <c r="AM5" s="151">
        <v>1.9728518333004721E-2</v>
      </c>
      <c r="AN5" s="151">
        <v>1.6489012669246267E-2</v>
      </c>
      <c r="AO5" s="151">
        <v>1.8225801128486784E-2</v>
      </c>
      <c r="AP5" s="151">
        <v>2.20671613022267E-2</v>
      </c>
      <c r="AQ5" s="151">
        <v>2.5473026440637522E-2</v>
      </c>
      <c r="AR5" s="151">
        <v>1.4295558455913264E-2</v>
      </c>
      <c r="AS5" s="151">
        <v>7.8420689059282411E-3</v>
      </c>
      <c r="AT5" s="151">
        <v>1.7031606320906917E-2</v>
      </c>
      <c r="AU5" s="151">
        <v>1.6566879865650218E-2</v>
      </c>
      <c r="AV5" s="151">
        <v>1.4129219705757494E-2</v>
      </c>
      <c r="AW5" s="151">
        <v>1.1996146523683245E-2</v>
      </c>
      <c r="AX5" s="151">
        <v>1.8615977637768424E-2</v>
      </c>
      <c r="AY5" s="151">
        <v>1.3053660504486014E-2</v>
      </c>
      <c r="AZ5" s="151">
        <v>-0.3258294362301955</v>
      </c>
      <c r="BA5" s="258" t="s">
        <v>147</v>
      </c>
    </row>
    <row r="6" spans="1:53" x14ac:dyDescent="0.2">
      <c r="A6" s="126" t="s">
        <v>52</v>
      </c>
      <c r="B6" s="190">
        <v>5.0000000000000001E-3</v>
      </c>
      <c r="D6" s="41"/>
      <c r="E6" s="41"/>
      <c r="J6" s="140">
        <f>IdR!P45</f>
        <v>43613</v>
      </c>
      <c r="K6" s="27">
        <v>0</v>
      </c>
      <c r="L6" s="141">
        <v>2</v>
      </c>
      <c r="M6" s="3"/>
      <c r="N6" s="39" t="s">
        <v>60</v>
      </c>
      <c r="O6" s="82">
        <f>IdR!M86</f>
        <v>1</v>
      </c>
      <c r="Q6" s="108">
        <f>[1]!MLPutMatrix("Drift",O16)</f>
        <v>0</v>
      </c>
      <c r="R6" s="45"/>
      <c r="S6" s="46"/>
      <c r="U6" s="201" t="s">
        <v>24</v>
      </c>
      <c r="V6" s="202">
        <v>1</v>
      </c>
      <c r="W6" s="202">
        <v>1</v>
      </c>
      <c r="X6" s="202">
        <v>1</v>
      </c>
      <c r="Y6" s="202">
        <v>1</v>
      </c>
      <c r="Z6" s="202">
        <v>1</v>
      </c>
      <c r="AA6" s="202">
        <v>1</v>
      </c>
      <c r="AB6" s="202">
        <v>1</v>
      </c>
      <c r="AC6" s="202">
        <v>1</v>
      </c>
      <c r="AD6" s="202">
        <v>1</v>
      </c>
      <c r="AE6" s="202">
        <v>1</v>
      </c>
      <c r="AF6" s="202">
        <v>1</v>
      </c>
      <c r="AG6" s="202">
        <v>1</v>
      </c>
      <c r="AH6" s="202">
        <v>1</v>
      </c>
      <c r="AI6" s="202">
        <v>1</v>
      </c>
      <c r="AJ6" s="202">
        <v>1</v>
      </c>
      <c r="AK6" s="202">
        <v>1</v>
      </c>
      <c r="AL6" s="202">
        <v>1</v>
      </c>
      <c r="AM6" s="202">
        <v>1</v>
      </c>
      <c r="AN6" s="202">
        <v>1</v>
      </c>
      <c r="AO6" s="202">
        <v>1</v>
      </c>
      <c r="AP6" s="202">
        <v>1</v>
      </c>
      <c r="AQ6" s="202">
        <v>1</v>
      </c>
      <c r="AR6" s="202">
        <v>1</v>
      </c>
      <c r="AS6" s="202">
        <v>1</v>
      </c>
      <c r="AT6" s="202">
        <v>1</v>
      </c>
      <c r="AU6" s="202">
        <v>1</v>
      </c>
      <c r="AV6" s="202">
        <v>1</v>
      </c>
      <c r="AW6" s="202">
        <v>1</v>
      </c>
      <c r="AX6" s="202">
        <v>1</v>
      </c>
      <c r="AY6" s="202">
        <v>1</v>
      </c>
      <c r="AZ6" s="202">
        <v>0.24015972618368511</v>
      </c>
      <c r="BA6" s="256">
        <f>SUMPRODUCT(V6:AZ6,V7:AZ7)</f>
        <v>0.86680000000000001</v>
      </c>
    </row>
    <row r="7" spans="1:53" x14ac:dyDescent="0.2">
      <c r="A7" s="126" t="s">
        <v>65</v>
      </c>
      <c r="B7" s="127">
        <f>IF(OR(WEEKDAY(J3)=4,WEEKDAY(J3)=5,WEEKDAY(J3)=6),J3+5,J3+3)</f>
        <v>43545</v>
      </c>
      <c r="C7" s="3"/>
      <c r="D7" s="3"/>
      <c r="I7" s="3"/>
      <c r="J7" s="140">
        <f>IdR!R45</f>
        <v>43619</v>
      </c>
      <c r="K7" s="27">
        <v>1</v>
      </c>
      <c r="L7" s="141">
        <v>0</v>
      </c>
      <c r="M7" s="3"/>
      <c r="N7" s="39" t="s">
        <v>74</v>
      </c>
      <c r="O7" s="82">
        <f>IdR!L164</f>
        <v>0.7</v>
      </c>
      <c r="Q7" s="38"/>
      <c r="U7" s="150" t="s">
        <v>68</v>
      </c>
      <c r="V7" s="203">
        <v>0.503</v>
      </c>
      <c r="W7" s="203">
        <v>5.8700000000000002E-2</v>
      </c>
      <c r="X7" s="203">
        <v>4.2799999999999998E-2</v>
      </c>
      <c r="Y7" s="203">
        <v>2.6599999999999999E-2</v>
      </c>
      <c r="Z7" s="203">
        <v>2.12E-2</v>
      </c>
      <c r="AA7" s="203">
        <v>1.9199999999999998E-2</v>
      </c>
      <c r="AB7" s="203">
        <v>1.67E-2</v>
      </c>
      <c r="AC7" s="203">
        <v>1.2800000000000001E-2</v>
      </c>
      <c r="AD7" s="203">
        <v>1.34E-2</v>
      </c>
      <c r="AE7" s="203">
        <v>8.5000000000000006E-3</v>
      </c>
      <c r="AF7" s="203">
        <v>0.01</v>
      </c>
      <c r="AG7" s="203">
        <v>8.8000000000000005E-3</v>
      </c>
      <c r="AH7" s="203">
        <v>7.9000000000000008E-3</v>
      </c>
      <c r="AI7" s="203">
        <v>9.4000000000000004E-3</v>
      </c>
      <c r="AJ7" s="203">
        <v>6.4999999999999997E-3</v>
      </c>
      <c r="AK7" s="203">
        <v>5.8999999999999999E-3</v>
      </c>
      <c r="AL7" s="203">
        <v>4.5999999999999999E-3</v>
      </c>
      <c r="AM7" s="203">
        <v>5.1000000000000004E-3</v>
      </c>
      <c r="AN7" s="203">
        <v>3.8999999999999998E-3</v>
      </c>
      <c r="AO7" s="203">
        <v>4.5999999999999999E-3</v>
      </c>
      <c r="AP7" s="203">
        <v>3.8999999999999998E-3</v>
      </c>
      <c r="AQ7" s="203">
        <v>3.5999999999999999E-3</v>
      </c>
      <c r="AR7" s="203">
        <v>4.0000000000000001E-3</v>
      </c>
      <c r="AS7" s="203">
        <v>3.0999999999999999E-3</v>
      </c>
      <c r="AT7" s="203">
        <v>4.3E-3</v>
      </c>
      <c r="AU7" s="203">
        <v>4.0000000000000001E-3</v>
      </c>
      <c r="AV7" s="203">
        <v>3.0999999999999999E-3</v>
      </c>
      <c r="AW7" s="203">
        <v>3.7000000000000002E-3</v>
      </c>
      <c r="AX7" s="203">
        <v>2.3999999999999998E-3</v>
      </c>
      <c r="AY7" s="203">
        <v>3.0000000000000001E-3</v>
      </c>
      <c r="AZ7" s="203">
        <v>0.17530000000000001</v>
      </c>
      <c r="BA7" s="43">
        <v>0.1331</v>
      </c>
    </row>
    <row r="8" spans="1:53" x14ac:dyDescent="0.2">
      <c r="B8" s="139"/>
      <c r="D8" s="3"/>
      <c r="J8" s="140">
        <f>IdR!P46</f>
        <v>43642</v>
      </c>
      <c r="K8" s="27">
        <v>0</v>
      </c>
      <c r="L8" s="141">
        <v>2</v>
      </c>
      <c r="M8" s="3"/>
      <c r="N8" s="39" t="s">
        <v>437</v>
      </c>
      <c r="O8" s="82">
        <f>IdR!M44</f>
        <v>0.7</v>
      </c>
      <c r="U8" s="204" t="s">
        <v>103</v>
      </c>
      <c r="V8" s="205">
        <v>0</v>
      </c>
      <c r="W8" s="205">
        <v>0</v>
      </c>
      <c r="X8" s="205">
        <v>0</v>
      </c>
      <c r="Y8" s="205">
        <v>0</v>
      </c>
      <c r="Z8" s="205">
        <v>0</v>
      </c>
      <c r="AA8" s="205">
        <v>0</v>
      </c>
      <c r="AB8" s="205">
        <v>0</v>
      </c>
      <c r="AC8" s="205">
        <v>0</v>
      </c>
      <c r="AD8" s="205">
        <v>0</v>
      </c>
      <c r="AE8" s="205">
        <v>0</v>
      </c>
      <c r="AF8" s="205">
        <v>0</v>
      </c>
      <c r="AG8" s="205">
        <v>0</v>
      </c>
      <c r="AH8" s="205">
        <v>0</v>
      </c>
      <c r="AI8" s="205">
        <v>0</v>
      </c>
      <c r="AJ8" s="205">
        <v>0</v>
      </c>
      <c r="AK8" s="205">
        <v>0</v>
      </c>
      <c r="AL8" s="205">
        <v>0</v>
      </c>
      <c r="AM8" s="205">
        <v>0</v>
      </c>
      <c r="AN8" s="205">
        <v>0</v>
      </c>
      <c r="AO8" s="205">
        <v>0</v>
      </c>
      <c r="AP8" s="205">
        <v>0</v>
      </c>
      <c r="AQ8" s="205">
        <v>0</v>
      </c>
      <c r="AR8" s="205">
        <v>0</v>
      </c>
      <c r="AS8" s="205">
        <v>0</v>
      </c>
      <c r="AT8" s="205">
        <v>0</v>
      </c>
      <c r="AU8" s="205">
        <v>0</v>
      </c>
      <c r="AV8" s="205">
        <v>0</v>
      </c>
      <c r="AW8" s="205">
        <v>0</v>
      </c>
      <c r="AX8" s="205">
        <v>0</v>
      </c>
      <c r="AY8" s="205">
        <v>0</v>
      </c>
      <c r="AZ8" s="205">
        <v>0.75926982316029668</v>
      </c>
      <c r="BA8" s="258" t="s">
        <v>148</v>
      </c>
    </row>
    <row r="9" spans="1:53" x14ac:dyDescent="0.2">
      <c r="A9" s="322" t="s">
        <v>7</v>
      </c>
      <c r="B9" s="323"/>
      <c r="C9" s="324"/>
      <c r="D9" s="3"/>
      <c r="I9" s="3"/>
      <c r="J9" s="140">
        <f>IdR!R46</f>
        <v>43648</v>
      </c>
      <c r="K9" s="27">
        <v>1</v>
      </c>
      <c r="L9" s="141">
        <v>0</v>
      </c>
      <c r="M9" s="3"/>
      <c r="N9" s="11" t="s">
        <v>438</v>
      </c>
      <c r="O9" s="255">
        <v>5</v>
      </c>
      <c r="Q9" s="38"/>
      <c r="S9" s="106"/>
      <c r="U9" s="254" t="s">
        <v>146</v>
      </c>
      <c r="V9" s="253">
        <v>5.7085175130959814E-2</v>
      </c>
      <c r="W9" s="253">
        <v>5.7983676939473608E-2</v>
      </c>
      <c r="X9" s="253">
        <v>5.7952032228921223E-2</v>
      </c>
      <c r="Y9" s="253">
        <v>5.7927444913886142E-2</v>
      </c>
      <c r="Z9" s="253">
        <v>5.8288230506001328E-2</v>
      </c>
      <c r="AA9" s="253">
        <v>5.8238274722843146E-2</v>
      </c>
      <c r="AB9" s="253">
        <v>5.8355177452563023E-2</v>
      </c>
      <c r="AC9" s="253">
        <v>5.8308124063890576E-2</v>
      </c>
      <c r="AD9" s="253">
        <v>5.8403083010921779E-2</v>
      </c>
      <c r="AE9" s="253">
        <v>5.8359444321396114E-2</v>
      </c>
      <c r="AF9" s="253">
        <v>5.4613982173366091E-2</v>
      </c>
      <c r="AG9" s="253">
        <v>5.4883113806675793E-2</v>
      </c>
      <c r="AH9" s="253">
        <v>5.4903349174021857E-2</v>
      </c>
      <c r="AI9" s="253">
        <v>5.2178192642531304E-2</v>
      </c>
      <c r="AJ9" s="253">
        <v>5.2460179757044395E-2</v>
      </c>
      <c r="AK9" s="253">
        <v>5.2552568777642236E-2</v>
      </c>
      <c r="AL9" s="253">
        <v>5.5748669351410991E-2</v>
      </c>
      <c r="AM9" s="253">
        <v>4.5421480661440854E-2</v>
      </c>
      <c r="AN9" s="253">
        <v>4.8450035535466743E-2</v>
      </c>
      <c r="AO9" s="253">
        <v>4.7586886563454764E-2</v>
      </c>
      <c r="AP9" s="253">
        <v>4.4774046050525297E-2</v>
      </c>
      <c r="AQ9" s="253">
        <v>4.1751467751731094E-2</v>
      </c>
      <c r="AR9" s="253">
        <v>4.0324706827559009E-2</v>
      </c>
      <c r="AS9" s="253">
        <v>4.1933230719092295E-2</v>
      </c>
      <c r="AT9" s="253">
        <v>4.1793247198947239E-2</v>
      </c>
      <c r="AU9" s="253">
        <v>3.7719576933112932E-2</v>
      </c>
      <c r="AV9" s="253">
        <v>4.005974938663627E-2</v>
      </c>
      <c r="AW9" s="253">
        <v>4.3833879975945879E-2</v>
      </c>
      <c r="AX9" s="253">
        <v>3.9529235105002843E-2</v>
      </c>
      <c r="AY9" s="253">
        <v>3.7008704972036247E-2</v>
      </c>
      <c r="AZ9" s="253">
        <v>-0.11967392069717835</v>
      </c>
      <c r="BA9" s="256">
        <f>SUM(V10:AZ10)</f>
        <v>1.8081732158046135E-2</v>
      </c>
    </row>
    <row r="10" spans="1:53" x14ac:dyDescent="0.2">
      <c r="A10" s="58" t="s">
        <v>8</v>
      </c>
      <c r="B10" s="23" t="s">
        <v>9</v>
      </c>
      <c r="C10" s="59" t="s">
        <v>10</v>
      </c>
      <c r="D10" s="3"/>
      <c r="J10" s="140">
        <f>IdR!P47</f>
        <v>43675</v>
      </c>
      <c r="K10" s="27">
        <v>0</v>
      </c>
      <c r="L10" s="141">
        <v>2</v>
      </c>
      <c r="M10" s="3"/>
      <c r="N10" s="39" t="s">
        <v>443</v>
      </c>
      <c r="O10" s="102">
        <f>IdR!Y213</f>
        <v>-4.8558999999999998E-3</v>
      </c>
      <c r="Q10" s="38"/>
      <c r="V10" s="265">
        <f>IF(V9&gt;0,V9,V9/0.74)*V7</f>
        <v>2.8713843090872788E-2</v>
      </c>
      <c r="W10" s="265">
        <f>IF(W9&gt;0,W9,W9/0.74)*W7</f>
        <v>3.4036418363471007E-3</v>
      </c>
      <c r="X10" s="265">
        <f t="shared" ref="X10:AZ10" si="2">IF(X9&gt;0,X9,X9/0.74)*X7</f>
        <v>2.4803469793978281E-3</v>
      </c>
      <c r="Y10" s="265">
        <f t="shared" si="2"/>
        <v>1.5408700347093714E-3</v>
      </c>
      <c r="Z10" s="265">
        <f t="shared" si="2"/>
        <v>1.2357104867272281E-3</v>
      </c>
      <c r="AA10" s="265">
        <f t="shared" si="2"/>
        <v>1.1181748746785882E-3</v>
      </c>
      <c r="AB10" s="265">
        <f t="shared" si="2"/>
        <v>9.7453146345780246E-4</v>
      </c>
      <c r="AC10" s="265">
        <f t="shared" si="2"/>
        <v>7.4634398801779942E-4</v>
      </c>
      <c r="AD10" s="265">
        <f t="shared" si="2"/>
        <v>7.8260131234635186E-4</v>
      </c>
      <c r="AE10" s="265">
        <f t="shared" si="2"/>
        <v>4.9605527673186704E-4</v>
      </c>
      <c r="AF10" s="265">
        <f t="shared" si="2"/>
        <v>5.4613982173366089E-4</v>
      </c>
      <c r="AG10" s="265">
        <f t="shared" si="2"/>
        <v>4.8297140149874702E-4</v>
      </c>
      <c r="AH10" s="265">
        <f t="shared" si="2"/>
        <v>4.3373645847477268E-4</v>
      </c>
      <c r="AI10" s="265">
        <f t="shared" si="2"/>
        <v>4.9047501083979432E-4</v>
      </c>
      <c r="AJ10" s="265">
        <f t="shared" si="2"/>
        <v>3.4099116842078856E-4</v>
      </c>
      <c r="AK10" s="265">
        <f t="shared" si="2"/>
        <v>3.1006015578808921E-4</v>
      </c>
      <c r="AL10" s="265">
        <f t="shared" si="2"/>
        <v>2.5644387901649053E-4</v>
      </c>
      <c r="AM10" s="265">
        <f t="shared" si="2"/>
        <v>2.3164955137334838E-4</v>
      </c>
      <c r="AN10" s="265">
        <f t="shared" si="2"/>
        <v>1.889551385883203E-4</v>
      </c>
      <c r="AO10" s="265">
        <f t="shared" si="2"/>
        <v>2.1889967819189191E-4</v>
      </c>
      <c r="AP10" s="265">
        <f t="shared" si="2"/>
        <v>1.7461877959704865E-4</v>
      </c>
      <c r="AQ10" s="265">
        <f t="shared" si="2"/>
        <v>1.5030528390623193E-4</v>
      </c>
      <c r="AR10" s="265">
        <f t="shared" si="2"/>
        <v>1.6129882731023604E-4</v>
      </c>
      <c r="AS10" s="265">
        <f t="shared" si="2"/>
        <v>1.2999301522918612E-4</v>
      </c>
      <c r="AT10" s="265">
        <f t="shared" si="2"/>
        <v>1.7971096295547312E-4</v>
      </c>
      <c r="AU10" s="265">
        <f t="shared" si="2"/>
        <v>1.5087830773245173E-4</v>
      </c>
      <c r="AV10" s="265">
        <f t="shared" si="2"/>
        <v>1.2418522309857243E-4</v>
      </c>
      <c r="AW10" s="265">
        <f t="shared" si="2"/>
        <v>1.6218535591099975E-4</v>
      </c>
      <c r="AX10" s="265">
        <f t="shared" si="2"/>
        <v>9.4870164252006817E-5</v>
      </c>
      <c r="AY10" s="265">
        <f t="shared" si="2"/>
        <v>1.1102611491610874E-4</v>
      </c>
      <c r="AZ10" s="265">
        <f t="shared" si="2"/>
        <v>-2.8349781484074819E-2</v>
      </c>
    </row>
    <row r="11" spans="1:53" x14ac:dyDescent="0.2">
      <c r="A11" s="107" t="str">
        <f>[1]!MLPutMatrix("Prezzo",F3)</f>
        <v>#MATLAB?</v>
      </c>
      <c r="B11" s="128" t="str">
        <f>[1]!MLEvalString("[TIR,Accrued] = TIR_BTP(Prezzo,Cedola,Emissione,Scadenza,Spot,Commissione)")</f>
        <v>#MATLAB?</v>
      </c>
      <c r="C11" s="128" t="str">
        <f>[1]!Mlgetmatrix("TIR","G4")</f>
        <v>#MATLAB?</v>
      </c>
      <c r="D11" s="3"/>
      <c r="G11" s="3"/>
      <c r="H11" s="3"/>
      <c r="I11" s="3"/>
      <c r="J11" s="140">
        <f>IdR!R47</f>
        <v>43679</v>
      </c>
      <c r="K11" s="27">
        <v>1</v>
      </c>
      <c r="L11" s="141">
        <v>0</v>
      </c>
      <c r="M11" s="3"/>
      <c r="N11" s="39" t="s">
        <v>442</v>
      </c>
      <c r="O11" s="102">
        <f>IdR!V213</f>
        <v>-2.2717599999999998E-3</v>
      </c>
      <c r="Q11" s="38"/>
      <c r="V11" s="43"/>
      <c r="W11" s="43"/>
    </row>
    <row r="12" spans="1:53" x14ac:dyDescent="0.2">
      <c r="A12" s="129" t="str">
        <f>[1]!MLPutMatrix("Cedola",E3)</f>
        <v>#MATLAB?</v>
      </c>
      <c r="B12" s="77"/>
      <c r="C12" s="130" t="str">
        <f>[1]!Mlgetmatrix("Accrued","H3")</f>
        <v>#MATLAB?</v>
      </c>
      <c r="D12" s="3"/>
      <c r="E12" s="3"/>
      <c r="F12" s="50"/>
      <c r="G12" s="50"/>
      <c r="H12" s="50"/>
      <c r="J12" s="140">
        <f>IdR!P48</f>
        <v>43704</v>
      </c>
      <c r="K12" s="27">
        <v>0</v>
      </c>
      <c r="L12" s="141">
        <v>2</v>
      </c>
      <c r="M12" s="3"/>
      <c r="N12" s="39" t="s">
        <v>441</v>
      </c>
      <c r="O12" s="102">
        <f>IdR!S213</f>
        <v>-2.56346E-3</v>
      </c>
      <c r="Q12" s="38"/>
      <c r="U12" s="142" t="s">
        <v>78</v>
      </c>
      <c r="V12" s="71" t="str">
        <f>V2</f>
        <v>6m</v>
      </c>
      <c r="W12" s="321" t="str">
        <f t="shared" ref="W12:AZ12" si="3">W2</f>
        <v>7m</v>
      </c>
      <c r="X12" s="321" t="str">
        <f t="shared" si="3"/>
        <v>8m</v>
      </c>
      <c r="Y12" s="321" t="str">
        <f t="shared" si="3"/>
        <v>9m</v>
      </c>
      <c r="Z12" s="321" t="str">
        <f t="shared" si="3"/>
        <v>10m</v>
      </c>
      <c r="AA12" s="321" t="str">
        <f t="shared" si="3"/>
        <v>11m</v>
      </c>
      <c r="AB12" s="321" t="str">
        <f t="shared" si="3"/>
        <v>12m</v>
      </c>
      <c r="AC12" s="321" t="str">
        <f t="shared" si="3"/>
        <v>13m</v>
      </c>
      <c r="AD12" s="321" t="str">
        <f t="shared" si="3"/>
        <v>14m</v>
      </c>
      <c r="AE12" s="321" t="str">
        <f t="shared" si="3"/>
        <v>15m</v>
      </c>
      <c r="AF12" s="321" t="str">
        <f t="shared" si="3"/>
        <v>16m</v>
      </c>
      <c r="AG12" s="321" t="str">
        <f t="shared" si="3"/>
        <v>17m</v>
      </c>
      <c r="AH12" s="321" t="str">
        <f t="shared" si="3"/>
        <v>18m</v>
      </c>
      <c r="AI12" s="321" t="str">
        <f t="shared" si="3"/>
        <v>19m</v>
      </c>
      <c r="AJ12" s="321" t="str">
        <f t="shared" si="3"/>
        <v>20m</v>
      </c>
      <c r="AK12" s="321" t="str">
        <f t="shared" si="3"/>
        <v>21m</v>
      </c>
      <c r="AL12" s="321" t="str">
        <f t="shared" si="3"/>
        <v>22m</v>
      </c>
      <c r="AM12" s="321" t="str">
        <f t="shared" si="3"/>
        <v>23m</v>
      </c>
      <c r="AN12" s="321" t="str">
        <f t="shared" si="3"/>
        <v>24m</v>
      </c>
      <c r="AO12" s="321" t="str">
        <f t="shared" si="3"/>
        <v>25m</v>
      </c>
      <c r="AP12" s="321" t="str">
        <f t="shared" si="3"/>
        <v>26m</v>
      </c>
      <c r="AQ12" s="321" t="str">
        <f t="shared" si="3"/>
        <v>27m</v>
      </c>
      <c r="AR12" s="321" t="str">
        <f t="shared" si="3"/>
        <v>28m</v>
      </c>
      <c r="AS12" s="321" t="str">
        <f t="shared" si="3"/>
        <v>29m</v>
      </c>
      <c r="AT12" s="321" t="str">
        <f t="shared" si="3"/>
        <v>30m</v>
      </c>
      <c r="AU12" s="321" t="str">
        <f t="shared" si="3"/>
        <v>31m</v>
      </c>
      <c r="AV12" s="321" t="str">
        <f t="shared" si="3"/>
        <v>32m</v>
      </c>
      <c r="AW12" s="321" t="str">
        <f t="shared" si="3"/>
        <v>33m</v>
      </c>
      <c r="AX12" s="321" t="str">
        <f t="shared" si="3"/>
        <v>34m</v>
      </c>
      <c r="AY12" s="321" t="str">
        <f t="shared" si="3"/>
        <v>35m</v>
      </c>
      <c r="AZ12" s="321" t="str">
        <f t="shared" si="3"/>
        <v>36m</v>
      </c>
    </row>
    <row r="13" spans="1:53" x14ac:dyDescent="0.2">
      <c r="A13" s="129" t="str">
        <f>[1]!MLPutMatrix("Scadenza",D3)</f>
        <v>#MATLAB?</v>
      </c>
      <c r="B13" s="77"/>
      <c r="C13" s="130"/>
      <c r="D13" s="3"/>
      <c r="E13" s="3"/>
      <c r="F13" s="50"/>
      <c r="G13" s="50"/>
      <c r="H13" s="50"/>
      <c r="I13" s="3"/>
      <c r="J13" s="140">
        <f>IdR!R48</f>
        <v>43710</v>
      </c>
      <c r="K13" s="27">
        <v>1</v>
      </c>
      <c r="L13" s="141">
        <v>0</v>
      </c>
      <c r="M13" s="3"/>
      <c r="N13" s="39" t="s">
        <v>440</v>
      </c>
      <c r="O13" s="102">
        <f>IdR!P213</f>
        <v>3.4809099999999998E-3</v>
      </c>
      <c r="U13" s="156">
        <v>0.01</v>
      </c>
      <c r="V13" s="143">
        <v>5.7085175130959814E-2</v>
      </c>
      <c r="W13" s="143">
        <v>4.9455622859258634E-2</v>
      </c>
      <c r="X13" s="143">
        <v>4.3082345234960864E-2</v>
      </c>
      <c r="Y13" s="143">
        <v>4.464998025943271E-2</v>
      </c>
      <c r="Z13" s="143">
        <v>4.0365261517867387E-2</v>
      </c>
      <c r="AA13" s="143">
        <v>3.341781943564736E-2</v>
      </c>
      <c r="AB13" s="143">
        <v>3.4397096149992749E-2</v>
      </c>
      <c r="AC13" s="143">
        <v>3.3381654183484218E-2</v>
      </c>
      <c r="AD13" s="143">
        <v>2.6507043675743063E-2</v>
      </c>
      <c r="AE13" s="143">
        <v>2.6631178690665256E-2</v>
      </c>
      <c r="AF13" s="143">
        <v>2.3167378753708855E-2</v>
      </c>
      <c r="AG13" s="143">
        <v>2.8283569481707196E-2</v>
      </c>
      <c r="AH13" s="143">
        <v>2.4031866055131058E-2</v>
      </c>
      <c r="AI13" s="143">
        <v>2.5260047985725335E-2</v>
      </c>
      <c r="AJ13" s="143">
        <v>1.2638122541479441E-2</v>
      </c>
      <c r="AK13" s="143">
        <v>1.8969301171402612E-2</v>
      </c>
      <c r="AL13" s="143">
        <v>2.3275126581697912E-2</v>
      </c>
      <c r="AM13" s="143">
        <v>1.9755152563842453E-2</v>
      </c>
      <c r="AN13" s="143">
        <v>1.6489012669246267E-2</v>
      </c>
      <c r="AO13" s="143">
        <v>1.8225801128486784E-2</v>
      </c>
      <c r="AP13" s="143">
        <v>2.20671613022267E-2</v>
      </c>
      <c r="AQ13" s="143">
        <v>2.5473026440637522E-2</v>
      </c>
      <c r="AR13" s="143">
        <v>1.4295558455913264E-2</v>
      </c>
      <c r="AS13" s="143">
        <v>7.8420689059282411E-3</v>
      </c>
      <c r="AT13" s="143">
        <v>1.7031606320906917E-2</v>
      </c>
      <c r="AU13" s="143">
        <v>1.6566879865650218E-2</v>
      </c>
      <c r="AV13" s="143">
        <v>1.4129219705757494E-2</v>
      </c>
      <c r="AW13" s="143">
        <v>1.1996146523683245E-2</v>
      </c>
      <c r="AX13" s="143">
        <v>1.8615977637768424E-2</v>
      </c>
      <c r="AY13" s="143">
        <v>1.3053660504486014E-2</v>
      </c>
      <c r="AZ13" s="143">
        <v>-0.3258294362301955</v>
      </c>
    </row>
    <row r="14" spans="1:53" x14ac:dyDescent="0.2">
      <c r="A14" s="129" t="str">
        <f>[1]!MLPutMatrix("Emissione",C3)</f>
        <v>#MATLAB?</v>
      </c>
      <c r="B14" s="77"/>
      <c r="C14" s="130"/>
      <c r="D14" s="3"/>
      <c r="E14" s="3"/>
      <c r="F14" s="50"/>
      <c r="G14" s="50"/>
      <c r="H14" s="50"/>
      <c r="I14" s="27"/>
      <c r="J14" s="140">
        <f>IdR!P49</f>
        <v>43734</v>
      </c>
      <c r="K14" s="27">
        <v>0</v>
      </c>
      <c r="L14" s="141">
        <v>2</v>
      </c>
      <c r="M14" s="3"/>
      <c r="N14" s="39" t="s">
        <v>439</v>
      </c>
      <c r="O14" s="102">
        <f>IdR!M213</f>
        <v>5.3001699999999999E-3</v>
      </c>
      <c r="U14" s="157">
        <v>0.05</v>
      </c>
      <c r="V14" s="144">
        <v>5.7085175130959814E-2</v>
      </c>
      <c r="W14" s="144">
        <v>5.7983676939473608E-2</v>
      </c>
      <c r="X14" s="144">
        <v>5.7952032228921223E-2</v>
      </c>
      <c r="Y14" s="144">
        <v>5.7927444913886142E-2</v>
      </c>
      <c r="Z14" s="144">
        <v>5.2264724005957469E-2</v>
      </c>
      <c r="AA14" s="144">
        <v>4.7241347589843927E-2</v>
      </c>
      <c r="AB14" s="144">
        <v>4.3344892722437987E-2</v>
      </c>
      <c r="AC14" s="144">
        <v>4.4000919010534004E-2</v>
      </c>
      <c r="AD14" s="144">
        <v>4.1308410347731167E-2</v>
      </c>
      <c r="AE14" s="144">
        <v>3.8617870598148987E-2</v>
      </c>
      <c r="AF14" s="144">
        <v>3.2287303560296562E-2</v>
      </c>
      <c r="AG14" s="144">
        <v>3.3878141941327065E-2</v>
      </c>
      <c r="AH14" s="144">
        <v>3.3446384643534346E-2</v>
      </c>
      <c r="AI14" s="144">
        <v>3.3202821421897399E-2</v>
      </c>
      <c r="AJ14" s="144">
        <v>2.7864662054998143E-2</v>
      </c>
      <c r="AK14" s="144">
        <v>2.7225398433207579E-2</v>
      </c>
      <c r="AL14" s="144">
        <v>2.8220401551995403E-2</v>
      </c>
      <c r="AM14" s="144">
        <v>2.4756891599982078E-2</v>
      </c>
      <c r="AN14" s="144">
        <v>2.1320586748397284E-2</v>
      </c>
      <c r="AO14" s="144">
        <v>2.2230457393951544E-2</v>
      </c>
      <c r="AP14" s="144">
        <v>2.2147398862711332E-2</v>
      </c>
      <c r="AQ14" s="144">
        <v>2.9770599060579911E-2</v>
      </c>
      <c r="AR14" s="144">
        <v>2.7425643390512889E-2</v>
      </c>
      <c r="AS14" s="144">
        <v>1.2538003013068585E-2</v>
      </c>
      <c r="AT14" s="144">
        <v>2.0081645529689041E-2</v>
      </c>
      <c r="AU14" s="144">
        <v>2.2068366470729066E-2</v>
      </c>
      <c r="AV14" s="144">
        <v>1.9897092824302378E-2</v>
      </c>
      <c r="AW14" s="144">
        <v>2.5363527629262705E-2</v>
      </c>
      <c r="AX14" s="144">
        <v>1.9822748991902613E-2</v>
      </c>
      <c r="AY14" s="144">
        <v>2.1191684133200415E-2</v>
      </c>
      <c r="AZ14" s="144">
        <v>-0.27090041823249345</v>
      </c>
    </row>
    <row r="15" spans="1:53" x14ac:dyDescent="0.2">
      <c r="A15" s="129" t="str">
        <f>[1]!MLPutMatrix("Spot",B7)</f>
        <v>#MATLAB?</v>
      </c>
      <c r="B15" s="78"/>
      <c r="D15" s="3"/>
      <c r="E15" s="3"/>
      <c r="F15" s="3"/>
      <c r="G15" s="3"/>
      <c r="H15" s="3"/>
      <c r="I15" s="27"/>
      <c r="J15" s="140">
        <f>IdR!R49</f>
        <v>43740</v>
      </c>
      <c r="K15" s="27">
        <v>1</v>
      </c>
      <c r="L15" s="141">
        <v>0</v>
      </c>
      <c r="M15" s="3"/>
      <c r="N15" s="268" t="s">
        <v>46</v>
      </c>
      <c r="O15" s="269">
        <v>10000</v>
      </c>
      <c r="U15" s="157">
        <v>0.25</v>
      </c>
      <c r="V15" s="144">
        <v>5.7085175130959814E-2</v>
      </c>
      <c r="W15" s="144">
        <v>5.7983676939473608E-2</v>
      </c>
      <c r="X15" s="144">
        <v>5.7952032228921223E-2</v>
      </c>
      <c r="Y15" s="144">
        <v>5.7927444913886142E-2</v>
      </c>
      <c r="Z15" s="144">
        <v>5.8288230506001328E-2</v>
      </c>
      <c r="AA15" s="144">
        <v>5.8238274722843146E-2</v>
      </c>
      <c r="AB15" s="144">
        <v>5.8355177452563023E-2</v>
      </c>
      <c r="AC15" s="144">
        <v>5.37599795344329E-2</v>
      </c>
      <c r="AD15" s="144">
        <v>5.4110930887309658E-2</v>
      </c>
      <c r="AE15" s="144">
        <v>5.4271957360666472E-2</v>
      </c>
      <c r="AF15" s="144">
        <v>4.8962523765164981E-2</v>
      </c>
      <c r="AG15" s="144">
        <v>4.7937731170222306E-2</v>
      </c>
      <c r="AH15" s="144">
        <v>4.5192322143148757E-2</v>
      </c>
      <c r="AI15" s="144">
        <v>4.5826257690927408E-2</v>
      </c>
      <c r="AJ15" s="144">
        <v>4.0375683880081226E-2</v>
      </c>
      <c r="AK15" s="144">
        <v>3.8527264258522292E-2</v>
      </c>
      <c r="AL15" s="144">
        <v>3.9531718414941332E-2</v>
      </c>
      <c r="AM15" s="144">
        <v>3.531419751876428E-2</v>
      </c>
      <c r="AN15" s="144">
        <v>3.3903171778119162E-2</v>
      </c>
      <c r="AO15" s="144">
        <v>3.4508115246803285E-2</v>
      </c>
      <c r="AP15" s="144">
        <v>3.5465374489531604E-2</v>
      </c>
      <c r="AQ15" s="144">
        <v>3.6637939258367426E-2</v>
      </c>
      <c r="AR15" s="144">
        <v>3.0927642900504943E-2</v>
      </c>
      <c r="AS15" s="144">
        <v>3.7919433320156695E-2</v>
      </c>
      <c r="AT15" s="144">
        <v>3.4567067280518622E-2</v>
      </c>
      <c r="AU15" s="144">
        <v>3.2418593316620253E-2</v>
      </c>
      <c r="AV15" s="144">
        <v>2.7867213676422288E-2</v>
      </c>
      <c r="AW15" s="144">
        <v>3.2633989788584561E-2</v>
      </c>
      <c r="AX15" s="144">
        <v>3.0531875991102547E-2</v>
      </c>
      <c r="AY15" s="144">
        <v>2.9764748570824291E-2</v>
      </c>
      <c r="AZ15" s="144">
        <v>-0.18724384197198937</v>
      </c>
    </row>
    <row r="16" spans="1:53" x14ac:dyDescent="0.2">
      <c r="A16" s="131" t="str">
        <f>[1]!MLPutMatrix("Commissione",B6)</f>
        <v>#MATLAB?</v>
      </c>
      <c r="B16" s="45"/>
      <c r="C16" s="45"/>
      <c r="F16" s="41"/>
      <c r="G16" s="41"/>
      <c r="H16" s="41"/>
      <c r="I16" s="27"/>
      <c r="J16" s="140">
        <f>IdR!P50</f>
        <v>43767</v>
      </c>
      <c r="K16" s="27">
        <v>0</v>
      </c>
      <c r="L16" s="141">
        <v>2</v>
      </c>
      <c r="M16" s="3"/>
      <c r="N16" s="6" t="s">
        <v>151</v>
      </c>
      <c r="O16" s="270">
        <f>AVERAGE(P16:Q16)</f>
        <v>6.5299999999999997E-2</v>
      </c>
      <c r="P16" s="260">
        <v>3.1767567567567566E-2</v>
      </c>
      <c r="Q16" s="260">
        <v>9.8832432432432435E-2</v>
      </c>
      <c r="U16" s="157">
        <v>0.5</v>
      </c>
      <c r="V16" s="144">
        <v>5.7085175130959814E-2</v>
      </c>
      <c r="W16" s="144">
        <v>5.7983676939473608E-2</v>
      </c>
      <c r="X16" s="144">
        <v>5.7952032228921223E-2</v>
      </c>
      <c r="Y16" s="144">
        <v>5.7927444913886142E-2</v>
      </c>
      <c r="Z16" s="144">
        <v>5.8288230506001328E-2</v>
      </c>
      <c r="AA16" s="144">
        <v>5.8238274722843146E-2</v>
      </c>
      <c r="AB16" s="144">
        <v>5.8355177452563023E-2</v>
      </c>
      <c r="AC16" s="144">
        <v>5.8308124063890576E-2</v>
      </c>
      <c r="AD16" s="144">
        <v>5.8403083010921779E-2</v>
      </c>
      <c r="AE16" s="144">
        <v>5.8359444321396114E-2</v>
      </c>
      <c r="AF16" s="144">
        <v>5.4613982173366091E-2</v>
      </c>
      <c r="AG16" s="144">
        <v>5.4883113806675793E-2</v>
      </c>
      <c r="AH16" s="144">
        <v>5.4903349174021857E-2</v>
      </c>
      <c r="AI16" s="144">
        <v>5.2178192642531304E-2</v>
      </c>
      <c r="AJ16" s="144">
        <v>5.2460179757044395E-2</v>
      </c>
      <c r="AK16" s="144">
        <v>5.2552568777642236E-2</v>
      </c>
      <c r="AL16" s="144">
        <v>5.5748669351410991E-2</v>
      </c>
      <c r="AM16" s="144">
        <v>4.5421480661440854E-2</v>
      </c>
      <c r="AN16" s="144">
        <v>4.8450035535466743E-2</v>
      </c>
      <c r="AO16" s="144">
        <v>4.7586886563454764E-2</v>
      </c>
      <c r="AP16" s="144">
        <v>4.4774046050525297E-2</v>
      </c>
      <c r="AQ16" s="144">
        <v>4.1751467751731094E-2</v>
      </c>
      <c r="AR16" s="144">
        <v>4.0324706827559009E-2</v>
      </c>
      <c r="AS16" s="144">
        <v>4.1933230719092295E-2</v>
      </c>
      <c r="AT16" s="144">
        <v>4.1793247198947239E-2</v>
      </c>
      <c r="AU16" s="144">
        <v>3.7719576933112932E-2</v>
      </c>
      <c r="AV16" s="144">
        <v>4.005974938663627E-2</v>
      </c>
      <c r="AW16" s="144">
        <v>4.3833879975945879E-2</v>
      </c>
      <c r="AX16" s="144">
        <v>3.9529235105002843E-2</v>
      </c>
      <c r="AY16" s="144">
        <v>3.7008704972036247E-2</v>
      </c>
      <c r="AZ16" s="144">
        <v>-0.11967392069717835</v>
      </c>
    </row>
    <row r="17" spans="1:52" x14ac:dyDescent="0.2">
      <c r="A17" s="130"/>
      <c r="F17" s="41"/>
      <c r="G17" s="41"/>
      <c r="H17" s="41"/>
      <c r="I17" s="27"/>
      <c r="J17" s="140">
        <f>IdR!R50</f>
        <v>43773</v>
      </c>
      <c r="K17" s="27">
        <v>1</v>
      </c>
      <c r="L17" s="141">
        <v>0</v>
      </c>
      <c r="M17" s="3"/>
      <c r="U17" s="157">
        <v>0.75</v>
      </c>
      <c r="V17" s="144">
        <v>5.7085175130959814E-2</v>
      </c>
      <c r="W17" s="144">
        <v>5.7983676939473608E-2</v>
      </c>
      <c r="X17" s="144">
        <v>5.7952032228921223E-2</v>
      </c>
      <c r="Y17" s="144">
        <v>5.7927444913886142E-2</v>
      </c>
      <c r="Z17" s="144">
        <v>5.8288230506001328E-2</v>
      </c>
      <c r="AA17" s="144">
        <v>5.8238274722843146E-2</v>
      </c>
      <c r="AB17" s="144">
        <v>5.8355177452563023E-2</v>
      </c>
      <c r="AC17" s="144">
        <v>5.8308124063890576E-2</v>
      </c>
      <c r="AD17" s="144">
        <v>5.8403083010921779E-2</v>
      </c>
      <c r="AE17" s="144">
        <v>5.8359444321396114E-2</v>
      </c>
      <c r="AF17" s="144">
        <v>5.8321317908585794E-2</v>
      </c>
      <c r="AG17" s="144">
        <v>5.8398034823549314E-2</v>
      </c>
      <c r="AH17" s="144">
        <v>5.8362288347748745E-2</v>
      </c>
      <c r="AI17" s="144">
        <v>5.8428530025453014E-2</v>
      </c>
      <c r="AJ17" s="144">
        <v>5.839509812963542E-2</v>
      </c>
      <c r="AK17" s="144">
        <v>5.7677225112810752E-2</v>
      </c>
      <c r="AL17" s="144">
        <v>5.8590094372223976E-2</v>
      </c>
      <c r="AM17" s="144">
        <v>5.3368480132101714E-2</v>
      </c>
      <c r="AN17" s="144">
        <v>5.3551762865382879E-2</v>
      </c>
      <c r="AO17" s="144">
        <v>5.3888538728212192E-2</v>
      </c>
      <c r="AP17" s="144">
        <v>5.4009136812560248E-2</v>
      </c>
      <c r="AQ17" s="144">
        <v>5.207827154506231E-2</v>
      </c>
      <c r="AR17" s="144">
        <v>4.9914885991695579E-2</v>
      </c>
      <c r="AS17" s="144">
        <v>5.4467283109266504E-2</v>
      </c>
      <c r="AT17" s="144">
        <v>5.4701489945971994E-2</v>
      </c>
      <c r="AU17" s="144">
        <v>4.6001969917036437E-2</v>
      </c>
      <c r="AV17" s="144">
        <v>4.6807239947249432E-2</v>
      </c>
      <c r="AW17" s="144">
        <v>5.3235772834089007E-2</v>
      </c>
      <c r="AX17" s="144">
        <v>4.5119953889845146E-2</v>
      </c>
      <c r="AY17" s="144">
        <v>4.6694643105365807E-2</v>
      </c>
      <c r="AZ17" s="144">
        <v>-4.4995872723977537E-2</v>
      </c>
    </row>
    <row r="18" spans="1:52" x14ac:dyDescent="0.2">
      <c r="F18" s="3"/>
      <c r="G18" s="3"/>
      <c r="H18" s="3"/>
      <c r="I18" s="27"/>
      <c r="J18" s="140">
        <f>IdR!P51</f>
        <v>43795</v>
      </c>
      <c r="K18" s="27">
        <v>0</v>
      </c>
      <c r="L18" s="141">
        <v>2</v>
      </c>
      <c r="U18" s="157">
        <v>0.95</v>
      </c>
      <c r="V18" s="144">
        <v>5.7085175130959814E-2</v>
      </c>
      <c r="W18" s="144">
        <v>5.7983676939473608E-2</v>
      </c>
      <c r="X18" s="144">
        <v>5.7952032228921223E-2</v>
      </c>
      <c r="Y18" s="144">
        <v>5.7927444913886142E-2</v>
      </c>
      <c r="Z18" s="144">
        <v>5.8288230506001328E-2</v>
      </c>
      <c r="AA18" s="144">
        <v>5.8238274722843146E-2</v>
      </c>
      <c r="AB18" s="144">
        <v>5.8355177452563023E-2</v>
      </c>
      <c r="AC18" s="144">
        <v>5.8308124063890576E-2</v>
      </c>
      <c r="AD18" s="144">
        <v>5.8403083010921779E-2</v>
      </c>
      <c r="AE18" s="144">
        <v>5.8359444321396114E-2</v>
      </c>
      <c r="AF18" s="144">
        <v>5.8321317908585794E-2</v>
      </c>
      <c r="AG18" s="144">
        <v>5.8398034823549314E-2</v>
      </c>
      <c r="AH18" s="144">
        <v>5.8362288347748745E-2</v>
      </c>
      <c r="AI18" s="144">
        <v>5.8428530025453014E-2</v>
      </c>
      <c r="AJ18" s="144">
        <v>5.839509812963542E-2</v>
      </c>
      <c r="AK18" s="144">
        <v>5.8364887367921649E-2</v>
      </c>
      <c r="AL18" s="144">
        <v>5.8590094372223976E-2</v>
      </c>
      <c r="AM18" s="144">
        <v>5.8554590555019985E-2</v>
      </c>
      <c r="AN18" s="144">
        <v>5.85990361438622E-2</v>
      </c>
      <c r="AO18" s="144">
        <v>5.8566243396362613E-2</v>
      </c>
      <c r="AP18" s="144">
        <v>5.7600384165258457E-2</v>
      </c>
      <c r="AQ18" s="144">
        <v>5.8576170116120825E-2</v>
      </c>
      <c r="AR18" s="144">
        <v>5.8547945674778543E-2</v>
      </c>
      <c r="AS18" s="144">
        <v>5.858432587929182E-2</v>
      </c>
      <c r="AT18" s="144">
        <v>5.8557900213208662E-2</v>
      </c>
      <c r="AU18" s="144">
        <v>5.6615355878970819E-2</v>
      </c>
      <c r="AV18" s="144">
        <v>5.4670880165685984E-2</v>
      </c>
      <c r="AW18" s="144">
        <v>5.6807089735189609E-2</v>
      </c>
      <c r="AX18" s="144">
        <v>5.7489074090451758E-2</v>
      </c>
      <c r="AY18" s="144">
        <v>5.8654526548822493E-2</v>
      </c>
      <c r="AZ18" s="144">
        <v>4.3415061273799384E-2</v>
      </c>
    </row>
    <row r="19" spans="1:52" x14ac:dyDescent="0.2">
      <c r="A19" s="126" t="s">
        <v>75</v>
      </c>
      <c r="B19" s="127">
        <f>J64</f>
        <v>44502</v>
      </c>
      <c r="I19" s="27"/>
      <c r="J19" s="140">
        <f>IdR!R51</f>
        <v>43801</v>
      </c>
      <c r="K19" s="27">
        <v>1</v>
      </c>
      <c r="L19" s="141">
        <v>0</v>
      </c>
      <c r="P19" s="265"/>
      <c r="Q19" s="291"/>
      <c r="U19" s="158">
        <v>0.99</v>
      </c>
      <c r="V19" s="155">
        <v>5.7085175130959814E-2</v>
      </c>
      <c r="W19" s="155">
        <v>5.7983676939473608E-2</v>
      </c>
      <c r="X19" s="155">
        <v>5.7952032228921223E-2</v>
      </c>
      <c r="Y19" s="155">
        <v>5.7927444913886142E-2</v>
      </c>
      <c r="Z19" s="155">
        <v>5.8288230506001328E-2</v>
      </c>
      <c r="AA19" s="155">
        <v>5.8238274722843146E-2</v>
      </c>
      <c r="AB19" s="155">
        <v>5.8355177452563023E-2</v>
      </c>
      <c r="AC19" s="155">
        <v>5.8308124063890576E-2</v>
      </c>
      <c r="AD19" s="155">
        <v>5.8403083010921779E-2</v>
      </c>
      <c r="AE19" s="155">
        <v>5.8359444321396114E-2</v>
      </c>
      <c r="AF19" s="155">
        <v>5.8321317908585794E-2</v>
      </c>
      <c r="AG19" s="155">
        <v>5.8398034823549314E-2</v>
      </c>
      <c r="AH19" s="155">
        <v>5.8362288347748745E-2</v>
      </c>
      <c r="AI19" s="155">
        <v>5.8428530025453014E-2</v>
      </c>
      <c r="AJ19" s="155">
        <v>5.839509812963542E-2</v>
      </c>
      <c r="AK19" s="155">
        <v>5.8364887367921649E-2</v>
      </c>
      <c r="AL19" s="155">
        <v>5.8590094372223976E-2</v>
      </c>
      <c r="AM19" s="155">
        <v>5.8554590555019985E-2</v>
      </c>
      <c r="AN19" s="155">
        <v>5.85990361438622E-2</v>
      </c>
      <c r="AO19" s="155">
        <v>5.8566243396362613E-2</v>
      </c>
      <c r="AP19" s="155">
        <v>5.8606601869817629E-2</v>
      </c>
      <c r="AQ19" s="155">
        <v>5.8576170116120825E-2</v>
      </c>
      <c r="AR19" s="155">
        <v>5.8547945674778543E-2</v>
      </c>
      <c r="AS19" s="155">
        <v>5.858432587929182E-2</v>
      </c>
      <c r="AT19" s="155">
        <v>5.8557900213208662E-2</v>
      </c>
      <c r="AU19" s="155">
        <v>5.8591428274865652E-2</v>
      </c>
      <c r="AV19" s="155">
        <v>5.6671943796989213E-2</v>
      </c>
      <c r="AW19" s="155">
        <v>5.8543319402818442E-2</v>
      </c>
      <c r="AX19" s="155">
        <v>5.8679312946639167E-2</v>
      </c>
      <c r="AY19" s="155">
        <v>5.8654526548822493E-2</v>
      </c>
      <c r="AZ19" s="155">
        <v>5.5352647167702045E-2</v>
      </c>
    </row>
    <row r="20" spans="1:52" x14ac:dyDescent="0.2">
      <c r="A20" s="70" t="s">
        <v>70</v>
      </c>
      <c r="B20" s="71" t="s">
        <v>92</v>
      </c>
      <c r="C20" s="71" t="s">
        <v>64</v>
      </c>
      <c r="D20" s="71" t="s">
        <v>22</v>
      </c>
      <c r="E20" s="71" t="s">
        <v>48</v>
      </c>
      <c r="F20" s="71" t="s">
        <v>20</v>
      </c>
      <c r="G20" s="71" t="s">
        <v>49</v>
      </c>
      <c r="H20" s="71" t="s">
        <v>62</v>
      </c>
      <c r="I20" s="27"/>
      <c r="J20" s="140">
        <f>IdR!P52</f>
        <v>43832</v>
      </c>
      <c r="K20" s="27">
        <v>0</v>
      </c>
      <c r="L20" s="141">
        <v>2</v>
      </c>
      <c r="O20" s="298"/>
      <c r="P20" s="265"/>
    </row>
    <row r="21" spans="1:52" x14ac:dyDescent="0.2">
      <c r="A21" s="75" t="str">
        <f>VLOOKUP(MIN(Dati_G!$F$34:$F$150),Dati_G!$F$34:$Q$150,5,FALSE)</f>
        <v>IT0005216491</v>
      </c>
      <c r="B21" s="136">
        <f>VALUE(VLOOKUP(MIN(Dati_G!$F$34:$F$150),Dati_G!$F$34:$Q$150,9,FALSE))</f>
        <v>100.33</v>
      </c>
      <c r="C21" s="135">
        <f>VALUE(VLOOKUP(MIN(Dati_G!$F$34:$F$150),Dati_G!$F$34:$Q$150,6,FALSE))</f>
        <v>42646</v>
      </c>
      <c r="D21" s="135">
        <f>VALUE(VLOOKUP(MIN(Dati_G!$F$34:$F$150),Dati_G!$F$34:$Q$150,7,FALSE))</f>
        <v>44501</v>
      </c>
      <c r="E21" s="147">
        <f>VALUE(VLOOKUP(MIN(Dati_G!$F$34:$F$150),Dati_G!$F$34:$Q$150,8,FALSE))/100</f>
        <v>3.4999999999999996E-3</v>
      </c>
      <c r="F21" s="136">
        <f>VALUE(VLOOKUP(MIN(Dati_G!$F$34:$F$150),Dati_G!$F$34:$Q$150,11,FALSE))</f>
        <v>99.4</v>
      </c>
      <c r="G21" s="137">
        <f>VALUE(VLOOKUP(MIN(Dati_G!$F$34:$F$150),Dati_G!$F$34:$Q$150,12,FALSE))/100</f>
        <v>5.8199999999999997E-3</v>
      </c>
      <c r="H21" s="125">
        <v>1.4266304347826086</v>
      </c>
      <c r="I21" s="27"/>
      <c r="J21" s="140">
        <f>IdR!R52</f>
        <v>43832</v>
      </c>
      <c r="K21" s="27">
        <v>1</v>
      </c>
      <c r="L21" s="141">
        <v>0</v>
      </c>
      <c r="U21" s="60" t="s">
        <v>21</v>
      </c>
    </row>
    <row r="22" spans="1:52" x14ac:dyDescent="0.2">
      <c r="A22" s="3"/>
      <c r="D22" s="41"/>
      <c r="E22" s="3"/>
      <c r="F22" s="71" t="s">
        <v>61</v>
      </c>
      <c r="G22" s="124">
        <v>2.8703942571837535E-2</v>
      </c>
      <c r="H22" s="124">
        <v>2.5841623164388147E-2</v>
      </c>
      <c r="I22" s="27"/>
      <c r="J22" s="140">
        <f>IdR!P53</f>
        <v>43863</v>
      </c>
      <c r="K22" s="27">
        <v>0</v>
      </c>
      <c r="L22" s="141">
        <v>2</v>
      </c>
      <c r="U22" s="31"/>
      <c r="V22" s="32"/>
      <c r="W22" s="32"/>
      <c r="X22" s="32"/>
      <c r="Y22" s="32"/>
      <c r="Z22" s="32"/>
      <c r="AA22" s="32"/>
      <c r="AB22" s="32"/>
      <c r="AC22" s="33"/>
    </row>
    <row r="23" spans="1:52" x14ac:dyDescent="0.2">
      <c r="I23" s="27"/>
      <c r="J23" s="140">
        <f>IdR!R53</f>
        <v>43863</v>
      </c>
      <c r="K23" s="27">
        <v>1</v>
      </c>
      <c r="L23" s="141">
        <v>0</v>
      </c>
      <c r="O23" s="27"/>
      <c r="U23" s="34"/>
      <c r="V23" s="13"/>
      <c r="W23" s="13"/>
      <c r="X23" s="13"/>
      <c r="Y23" s="13"/>
      <c r="Z23" s="13"/>
      <c r="AA23" s="13"/>
      <c r="AB23" s="13"/>
      <c r="AC23" s="35"/>
    </row>
    <row r="24" spans="1:52" x14ac:dyDescent="0.2">
      <c r="A24" s="322" t="s">
        <v>7</v>
      </c>
      <c r="B24" s="323"/>
      <c r="C24" s="324"/>
      <c r="H24" s="13">
        <v>1.2173913043478262</v>
      </c>
      <c r="I24" s="27"/>
      <c r="J24" s="140">
        <f>IdR!P54</f>
        <v>43892</v>
      </c>
      <c r="K24" s="27">
        <v>0</v>
      </c>
      <c r="L24" s="141">
        <v>2</v>
      </c>
      <c r="O24" s="49"/>
      <c r="U24" s="34"/>
      <c r="V24" s="13"/>
      <c r="W24" s="13"/>
      <c r="X24" s="13"/>
      <c r="Y24" s="13"/>
      <c r="Z24" s="13"/>
      <c r="AA24" s="13"/>
      <c r="AB24" s="13"/>
      <c r="AC24" s="35"/>
    </row>
    <row r="25" spans="1:52" x14ac:dyDescent="0.2">
      <c r="A25" s="58" t="s">
        <v>8</v>
      </c>
      <c r="B25" s="23" t="s">
        <v>9</v>
      </c>
      <c r="C25" s="59" t="s">
        <v>10</v>
      </c>
      <c r="G25" s="13">
        <v>3.8858044489785263E-3</v>
      </c>
      <c r="H25" s="13">
        <v>-8.7516351768879459E-4</v>
      </c>
      <c r="I25" s="27"/>
      <c r="J25" s="140">
        <f>IdR!R54</f>
        <v>43892</v>
      </c>
      <c r="K25" s="27">
        <v>1</v>
      </c>
      <c r="L25" s="141">
        <v>0</v>
      </c>
      <c r="O25" s="49"/>
      <c r="U25" s="34"/>
      <c r="V25" s="13"/>
      <c r="W25" s="13"/>
      <c r="X25" s="13"/>
      <c r="Y25" s="13"/>
      <c r="Z25" s="13"/>
      <c r="AA25" s="13"/>
      <c r="AB25" s="13"/>
      <c r="AC25" s="35"/>
    </row>
    <row r="26" spans="1:52" x14ac:dyDescent="0.2">
      <c r="A26" s="107" t="str">
        <f>[1]!MLPutMatrix("Prezzo",F21)</f>
        <v>#MATLAB?</v>
      </c>
      <c r="B26" s="128" t="str">
        <f>[1]!MLEvalString("[TIR,Accrued] = TIR_BTP(Prezzo,Cedola,Emissione,Scadenza,Spot,Commissione)")</f>
        <v>#MATLAB?</v>
      </c>
      <c r="C26" s="128" t="str">
        <f>[1]!Mlgetmatrix("TIR","G25")</f>
        <v>#MATLAB?</v>
      </c>
      <c r="F26" s="139"/>
      <c r="I26" s="27"/>
      <c r="J26" s="140">
        <f>IdR!P55</f>
        <v>43923</v>
      </c>
      <c r="K26" s="27">
        <v>0</v>
      </c>
      <c r="L26" s="141">
        <v>2</v>
      </c>
      <c r="O26" s="49"/>
      <c r="U26" s="34"/>
      <c r="V26" s="13"/>
      <c r="W26" s="13"/>
      <c r="X26" s="13"/>
      <c r="Y26" s="13"/>
      <c r="Z26" s="13"/>
      <c r="AA26" s="13"/>
      <c r="AB26" s="13"/>
      <c r="AC26" s="35"/>
    </row>
    <row r="27" spans="1:52" x14ac:dyDescent="0.2">
      <c r="A27" s="129" t="str">
        <f>[1]!MLPutMatrix("Cedola",E21)</f>
        <v>#MATLAB?</v>
      </c>
      <c r="B27" s="77"/>
      <c r="C27" s="130" t="str">
        <f>[1]!Mlgetmatrix("Accrued","H24")</f>
        <v>#MATLAB?</v>
      </c>
      <c r="F27" s="139"/>
      <c r="G27" s="165"/>
      <c r="H27" s="165"/>
      <c r="I27" s="27"/>
      <c r="J27" s="140">
        <f>IdR!R55</f>
        <v>43923</v>
      </c>
      <c r="K27" s="27">
        <v>1</v>
      </c>
      <c r="L27" s="141">
        <v>0</v>
      </c>
      <c r="O27" s="49"/>
      <c r="U27" s="34"/>
      <c r="V27" s="13"/>
      <c r="W27" s="13"/>
      <c r="X27" s="13"/>
      <c r="Y27" s="13"/>
      <c r="Z27" s="13"/>
      <c r="AA27" s="13"/>
      <c r="AB27" s="13"/>
      <c r="AC27" s="35"/>
      <c r="AE27" s="42"/>
      <c r="AF27" s="42"/>
    </row>
    <row r="28" spans="1:52" x14ac:dyDescent="0.2">
      <c r="A28" s="129" t="str">
        <f>[1]!MLPutMatrix("Scadenza",D21)</f>
        <v>#MATLAB?</v>
      </c>
      <c r="B28" s="77"/>
      <c r="C28" s="130"/>
      <c r="F28" s="139"/>
      <c r="G28" s="165"/>
      <c r="H28" s="165"/>
      <c r="I28" s="27"/>
      <c r="J28" s="140">
        <f>IdR!P56</f>
        <v>43953</v>
      </c>
      <c r="K28" s="27">
        <v>0</v>
      </c>
      <c r="L28" s="141">
        <v>2</v>
      </c>
      <c r="O28" s="49"/>
      <c r="U28" s="34"/>
      <c r="V28" s="13"/>
      <c r="W28" s="13"/>
      <c r="X28" s="13"/>
      <c r="Y28" s="13"/>
      <c r="Z28" s="13"/>
      <c r="AA28" s="13"/>
      <c r="AB28" s="13"/>
      <c r="AC28" s="35"/>
      <c r="AE28" s="42"/>
      <c r="AF28" s="42"/>
    </row>
    <row r="29" spans="1:52" x14ac:dyDescent="0.2">
      <c r="A29" s="129" t="str">
        <f>[1]!MLPutMatrix("Emissione",C21)</f>
        <v>#MATLAB?</v>
      </c>
      <c r="B29" s="77"/>
      <c r="C29" s="130"/>
      <c r="I29" s="27"/>
      <c r="J29" s="140">
        <f>IdR!R56</f>
        <v>43953</v>
      </c>
      <c r="K29" s="27">
        <v>1</v>
      </c>
      <c r="L29" s="141">
        <v>0</v>
      </c>
      <c r="O29" s="49"/>
      <c r="U29" s="34"/>
      <c r="V29" s="13"/>
      <c r="W29" s="13"/>
      <c r="X29" s="13"/>
      <c r="Y29" s="13"/>
      <c r="Z29" s="13"/>
      <c r="AA29" s="13"/>
      <c r="AB29" s="13"/>
      <c r="AC29" s="35"/>
      <c r="AE29" s="42"/>
      <c r="AF29" s="42"/>
    </row>
    <row r="30" spans="1:52" x14ac:dyDescent="0.2">
      <c r="A30" s="129" t="str">
        <f>[1]!MLPutMatrix("Spot",B7)</f>
        <v>#MATLAB?</v>
      </c>
      <c r="B30" s="78"/>
      <c r="I30" s="27"/>
      <c r="J30" s="140">
        <f>IdR!P57</f>
        <v>43984</v>
      </c>
      <c r="K30" s="27">
        <v>0</v>
      </c>
      <c r="L30" s="141">
        <v>2</v>
      </c>
      <c r="O30" s="49"/>
      <c r="U30" s="34"/>
      <c r="V30" s="13"/>
      <c r="W30" s="13"/>
      <c r="X30" s="13"/>
      <c r="Y30" s="13"/>
      <c r="Z30" s="13"/>
      <c r="AA30" s="13"/>
      <c r="AB30" s="13"/>
      <c r="AC30" s="35"/>
      <c r="AE30" s="42"/>
      <c r="AF30" s="42"/>
    </row>
    <row r="31" spans="1:52" x14ac:dyDescent="0.2">
      <c r="A31" s="131" t="str">
        <f>[1]!MLPutMatrix("Commissione",B6)</f>
        <v>#MATLAB?</v>
      </c>
      <c r="B31" s="45"/>
      <c r="C31" s="45"/>
      <c r="I31" s="166"/>
      <c r="J31" s="140">
        <f>IdR!R57</f>
        <v>43984</v>
      </c>
      <c r="K31" s="27">
        <v>1</v>
      </c>
      <c r="L31" s="141">
        <v>0</v>
      </c>
      <c r="O31" s="49"/>
      <c r="U31" s="34"/>
      <c r="V31" s="13"/>
      <c r="W31" s="13"/>
      <c r="X31" s="13"/>
      <c r="Y31" s="13"/>
      <c r="Z31" s="13"/>
      <c r="AA31" s="13"/>
      <c r="AB31" s="13"/>
      <c r="AC31" s="35"/>
      <c r="AE31" s="42"/>
      <c r="AF31" s="42"/>
    </row>
    <row r="32" spans="1:52" x14ac:dyDescent="0.2">
      <c r="A32" s="130"/>
      <c r="I32" s="27"/>
      <c r="J32" s="140">
        <f>IdR!P58</f>
        <v>44014</v>
      </c>
      <c r="K32" s="27">
        <v>0</v>
      </c>
      <c r="L32" s="141">
        <v>2</v>
      </c>
      <c r="N32" s="48"/>
      <c r="O32" s="49"/>
      <c r="U32" s="34"/>
      <c r="V32" s="13"/>
      <c r="W32" s="13"/>
      <c r="X32" s="13"/>
      <c r="Y32" s="13"/>
      <c r="Z32" s="13"/>
      <c r="AA32" s="13"/>
      <c r="AB32" s="13"/>
      <c r="AC32" s="35"/>
      <c r="AE32" s="42"/>
      <c r="AF32" s="42"/>
      <c r="AG32" s="5"/>
      <c r="AH32" s="5"/>
    </row>
    <row r="33" spans="1:32" x14ac:dyDescent="0.2">
      <c r="A33" s="130"/>
      <c r="I33" s="27"/>
      <c r="J33" s="140">
        <f>IdR!R58</f>
        <v>44014</v>
      </c>
      <c r="K33" s="27">
        <v>1</v>
      </c>
      <c r="L33" s="141">
        <v>0</v>
      </c>
      <c r="M33" s="52"/>
      <c r="N33" s="48"/>
      <c r="O33" s="49"/>
      <c r="U33" s="34"/>
      <c r="V33" s="13"/>
      <c r="W33" s="13"/>
      <c r="X33" s="13"/>
      <c r="Y33" s="13"/>
      <c r="Z33" s="13"/>
      <c r="AA33" s="13"/>
      <c r="AB33" s="13"/>
      <c r="AC33" s="35"/>
      <c r="AE33" s="42"/>
      <c r="AF33" s="42"/>
    </row>
    <row r="34" spans="1:32" x14ac:dyDescent="0.2">
      <c r="A34" s="126" t="s">
        <v>76</v>
      </c>
      <c r="B34" s="127">
        <f>J52</f>
        <v>44318</v>
      </c>
      <c r="I34" s="27"/>
      <c r="J34" s="140">
        <f>IdR!P59</f>
        <v>44045</v>
      </c>
      <c r="K34" s="27">
        <v>0</v>
      </c>
      <c r="L34" s="141">
        <v>2</v>
      </c>
      <c r="M34" s="52"/>
      <c r="N34" s="48"/>
      <c r="O34" s="49"/>
      <c r="U34" s="34"/>
      <c r="V34" s="13"/>
      <c r="W34" s="13"/>
      <c r="X34" s="13"/>
      <c r="Y34" s="13"/>
      <c r="Z34" s="13"/>
      <c r="AA34" s="13"/>
      <c r="AB34" s="13"/>
      <c r="AC34" s="35"/>
      <c r="AE34" s="42"/>
      <c r="AF34" s="42"/>
    </row>
    <row r="35" spans="1:32" x14ac:dyDescent="0.2">
      <c r="A35" s="70" t="s">
        <v>73</v>
      </c>
      <c r="B35" s="71" t="s">
        <v>92</v>
      </c>
      <c r="C35" s="71" t="s">
        <v>64</v>
      </c>
      <c r="D35" s="71" t="s">
        <v>22</v>
      </c>
      <c r="E35" s="71" t="s">
        <v>48</v>
      </c>
      <c r="F35" s="71" t="s">
        <v>20</v>
      </c>
      <c r="G35" s="71" t="s">
        <v>49</v>
      </c>
      <c r="H35" s="71" t="s">
        <v>62</v>
      </c>
      <c r="I35" s="27"/>
      <c r="J35" s="140">
        <f>IdR!R59</f>
        <v>44045</v>
      </c>
      <c r="K35" s="27">
        <v>1</v>
      </c>
      <c r="L35" s="141">
        <v>0</v>
      </c>
      <c r="M35" s="52"/>
      <c r="N35" s="48"/>
      <c r="O35" s="49"/>
      <c r="U35" s="34"/>
      <c r="V35" s="13"/>
      <c r="W35" s="13"/>
      <c r="X35" s="13"/>
      <c r="Y35" s="13"/>
      <c r="Z35" s="13"/>
      <c r="AA35" s="13"/>
      <c r="AB35" s="13"/>
      <c r="AC35" s="35"/>
      <c r="AE35" s="42"/>
      <c r="AF35" s="42"/>
    </row>
    <row r="36" spans="1:32" x14ac:dyDescent="0.2">
      <c r="A36" s="75" t="str">
        <f>VLOOKUP(MIN(Dati_G!$G$34:$G$150),Dati_G!$G$34:$Q$150,4,FALSE)</f>
        <v>IT0004966401</v>
      </c>
      <c r="B36" s="136">
        <f>VALUE(VLOOKUP(MIN(Dati_G!$G$34:$G$150),Dati_G!$G$34:$Q$150,8,FALSE))</f>
        <v>100.13800000000001</v>
      </c>
      <c r="C36" s="135">
        <f>VALUE(VLOOKUP(MIN(Dati_G!$G$34:$G$150),Dati_G!$G$34:$Q$150,5,FALSE))</f>
        <v>41563</v>
      </c>
      <c r="D36" s="135">
        <f>VALUE(VLOOKUP(MIN(Dati_G!$G$34:$G$150),Dati_G!$G$34:$Q$150,6,FALSE))</f>
        <v>44317</v>
      </c>
      <c r="E36" s="147">
        <f>VALUE(VLOOKUP(MIN(Dati_G!$G$34:$G$150),Dati_G!$G$34:$Q$150,7,FALSE))/100</f>
        <v>3.7499999999999999E-2</v>
      </c>
      <c r="F36" s="136">
        <f>VALUE(VLOOKUP(MIN(Dati_G!$G$34:$G$150),Dati_G!$G$34:$Q$150,10,FALSE))</f>
        <v>106.999</v>
      </c>
      <c r="G36" s="137">
        <f>VALUE(VLOOKUP(MIN(Dati_G!$G$34:$G$150),Dati_G!$G$34:$Q$150,11,FALSE))/100</f>
        <v>4.2300000000000003E-3</v>
      </c>
      <c r="H36" s="125">
        <v>1.4266304347826086</v>
      </c>
      <c r="I36" s="27"/>
      <c r="J36" s="140">
        <f>IdR!P60</f>
        <v>44076</v>
      </c>
      <c r="K36" s="27">
        <v>0</v>
      </c>
      <c r="L36" s="141">
        <v>2</v>
      </c>
      <c r="M36" s="52"/>
      <c r="N36" s="48"/>
      <c r="O36" s="49"/>
      <c r="U36" s="34"/>
      <c r="V36" s="13"/>
      <c r="W36" s="13"/>
      <c r="X36" s="13"/>
      <c r="Y36" s="13"/>
      <c r="Z36" s="13"/>
      <c r="AA36" s="13"/>
      <c r="AB36" s="13"/>
      <c r="AC36" s="35"/>
      <c r="AE36" s="42"/>
      <c r="AF36" s="42"/>
    </row>
    <row r="37" spans="1:32" x14ac:dyDescent="0.2">
      <c r="A37" s="3"/>
      <c r="D37" s="41"/>
      <c r="E37" s="3"/>
      <c r="F37" s="71" t="s">
        <v>61</v>
      </c>
      <c r="G37" s="249">
        <v>4.6771063439318056E-2</v>
      </c>
      <c r="H37" s="249">
        <v>4.2830354209184802E-2</v>
      </c>
      <c r="I37" s="27"/>
      <c r="J37" s="140">
        <f>IdR!R60</f>
        <v>44076</v>
      </c>
      <c r="K37" s="27">
        <v>1</v>
      </c>
      <c r="L37" s="141">
        <v>0</v>
      </c>
      <c r="M37" s="52"/>
      <c r="O37" s="13"/>
      <c r="U37" s="34"/>
      <c r="V37" s="13"/>
      <c r="W37" s="13"/>
      <c r="X37" s="13"/>
      <c r="Y37" s="13"/>
      <c r="Z37" s="13"/>
      <c r="AA37" s="13"/>
      <c r="AB37" s="13"/>
      <c r="AC37" s="35"/>
    </row>
    <row r="38" spans="1:32" x14ac:dyDescent="0.2">
      <c r="I38" s="27"/>
      <c r="J38" s="140">
        <f>IdR!P61</f>
        <v>44106</v>
      </c>
      <c r="K38" s="27">
        <v>0</v>
      </c>
      <c r="L38" s="141">
        <v>2</v>
      </c>
      <c r="M38" s="52"/>
      <c r="O38" s="13"/>
      <c r="U38" s="34"/>
      <c r="V38" s="13"/>
      <c r="W38" s="13"/>
      <c r="X38" s="13"/>
      <c r="Y38" s="13"/>
      <c r="Z38" s="13"/>
      <c r="AA38" s="13"/>
      <c r="AB38" s="13"/>
      <c r="AC38" s="35"/>
    </row>
    <row r="39" spans="1:32" x14ac:dyDescent="0.2">
      <c r="A39" s="322" t="s">
        <v>7</v>
      </c>
      <c r="B39" s="323"/>
      <c r="C39" s="324"/>
      <c r="H39" s="13">
        <v>1.4502762430939227</v>
      </c>
      <c r="I39" s="27"/>
      <c r="J39" s="140">
        <f>IdR!R61</f>
        <v>44106</v>
      </c>
      <c r="K39" s="27">
        <v>1</v>
      </c>
      <c r="L39" s="141">
        <v>0</v>
      </c>
      <c r="M39" s="52"/>
      <c r="O39" s="13"/>
      <c r="U39" s="34"/>
      <c r="V39" s="13"/>
      <c r="W39" s="13"/>
      <c r="X39" s="13"/>
      <c r="Y39" s="13"/>
      <c r="Z39" s="13"/>
      <c r="AA39" s="13"/>
      <c r="AB39" s="13"/>
      <c r="AC39" s="35"/>
    </row>
    <row r="40" spans="1:32" x14ac:dyDescent="0.2">
      <c r="A40" s="58" t="s">
        <v>8</v>
      </c>
      <c r="B40" s="23" t="s">
        <v>9</v>
      </c>
      <c r="C40" s="59" t="s">
        <v>10</v>
      </c>
      <c r="G40" s="13">
        <v>7.2558732758008539E-3</v>
      </c>
      <c r="H40" s="13">
        <v>2.8021183984382747E-3</v>
      </c>
      <c r="I40" s="27"/>
      <c r="J40" s="140">
        <f>IdR!P62</f>
        <v>44137</v>
      </c>
      <c r="K40" s="27">
        <v>0</v>
      </c>
      <c r="L40" s="141">
        <v>2</v>
      </c>
      <c r="M40" s="52"/>
      <c r="O40" s="13"/>
      <c r="U40" s="34"/>
      <c r="V40" s="13"/>
      <c r="W40" s="13"/>
      <c r="X40" s="13"/>
      <c r="Y40" s="13"/>
      <c r="Z40" s="13"/>
      <c r="AA40" s="13"/>
      <c r="AB40" s="13"/>
      <c r="AC40" s="35"/>
    </row>
    <row r="41" spans="1:32" x14ac:dyDescent="0.2">
      <c r="A41" s="107" t="str">
        <f>[1]!MLPutMatrix("Prezzo",F36)</f>
        <v>#MATLAB?</v>
      </c>
      <c r="B41" s="128" t="str">
        <f>[1]!MLEvalString("[TIR,Accrued] = TIR_BTP(Prezzo,Cedola,Emissione,Scadenza,Spot,Commissione)")</f>
        <v>#MATLAB?</v>
      </c>
      <c r="C41" s="128" t="str">
        <f>[1]!Mlgetmatrix("TIR","G40")</f>
        <v>#MATLAB?</v>
      </c>
      <c r="I41" s="27"/>
      <c r="J41" s="140">
        <f>IdR!R62</f>
        <v>44137</v>
      </c>
      <c r="K41" s="27">
        <v>1</v>
      </c>
      <c r="L41" s="141">
        <v>0</v>
      </c>
      <c r="M41" s="52"/>
      <c r="O41" s="13"/>
      <c r="U41" s="34"/>
      <c r="V41" s="13"/>
      <c r="W41" s="13"/>
      <c r="X41" s="13"/>
      <c r="Y41" s="13"/>
      <c r="Z41" s="13"/>
      <c r="AA41" s="13"/>
      <c r="AB41" s="13"/>
      <c r="AC41" s="35"/>
    </row>
    <row r="42" spans="1:32" x14ac:dyDescent="0.2">
      <c r="A42" s="129" t="str">
        <f>[1]!MLPutMatrix("Cedola",E36)</f>
        <v>#MATLAB?</v>
      </c>
      <c r="B42" s="77"/>
      <c r="C42" s="130" t="str">
        <f>[1]!Mlgetmatrix("Accrued","H39")</f>
        <v>#MATLAB?</v>
      </c>
      <c r="I42" s="27"/>
      <c r="J42" s="140">
        <f>IdR!P63</f>
        <v>44167</v>
      </c>
      <c r="K42" s="27">
        <v>0</v>
      </c>
      <c r="L42" s="141">
        <v>2</v>
      </c>
      <c r="M42" s="52"/>
      <c r="O42" s="13"/>
      <c r="U42" s="34"/>
      <c r="V42" s="13"/>
      <c r="W42" s="13"/>
      <c r="X42" s="13"/>
      <c r="Y42" s="13"/>
      <c r="Z42" s="13"/>
      <c r="AA42" s="13"/>
      <c r="AB42" s="13"/>
      <c r="AC42" s="35"/>
    </row>
    <row r="43" spans="1:32" x14ac:dyDescent="0.2">
      <c r="A43" s="129" t="str">
        <f>[1]!MLPutMatrix("Scadenza",D36)</f>
        <v>#MATLAB?</v>
      </c>
      <c r="B43" s="77"/>
      <c r="C43" s="130"/>
      <c r="I43" s="27"/>
      <c r="J43" s="140">
        <f>IdR!R63</f>
        <v>44167</v>
      </c>
      <c r="K43" s="27">
        <v>1</v>
      </c>
      <c r="L43" s="141">
        <v>0</v>
      </c>
      <c r="M43" s="52"/>
      <c r="O43" s="13"/>
      <c r="U43" s="34"/>
      <c r="V43" s="13"/>
      <c r="W43" s="13"/>
      <c r="X43" s="13"/>
      <c r="Y43" s="13"/>
      <c r="Z43" s="13"/>
      <c r="AA43" s="13"/>
      <c r="AB43" s="13"/>
      <c r="AC43" s="35"/>
    </row>
    <row r="44" spans="1:32" x14ac:dyDescent="0.2">
      <c r="A44" s="129" t="str">
        <f>[1]!MLPutMatrix("Emissione",C36)</f>
        <v>#MATLAB?</v>
      </c>
      <c r="B44" s="77"/>
      <c r="C44" s="130"/>
      <c r="I44" s="27"/>
      <c r="J44" s="140">
        <f>IdR!P64</f>
        <v>44198</v>
      </c>
      <c r="K44" s="27">
        <v>0</v>
      </c>
      <c r="L44" s="141">
        <v>2</v>
      </c>
      <c r="M44" s="52"/>
      <c r="U44" s="34"/>
      <c r="V44" s="13"/>
      <c r="W44" s="13"/>
      <c r="X44" s="13"/>
      <c r="Y44" s="13"/>
      <c r="Z44" s="13"/>
      <c r="AA44" s="13"/>
      <c r="AB44" s="13"/>
      <c r="AC44" s="35"/>
    </row>
    <row r="45" spans="1:32" x14ac:dyDescent="0.2">
      <c r="A45" s="129" t="str">
        <f>[1]!MLPutMatrix("Spot",$B$7)</f>
        <v>#MATLAB?</v>
      </c>
      <c r="B45" s="78"/>
      <c r="I45" s="27"/>
      <c r="J45" s="140">
        <f>IdR!R64</f>
        <v>44198</v>
      </c>
      <c r="K45" s="27">
        <v>1</v>
      </c>
      <c r="L45" s="141">
        <v>0</v>
      </c>
      <c r="U45" s="34"/>
      <c r="V45" s="13"/>
      <c r="W45" s="13"/>
      <c r="X45" s="13"/>
      <c r="Y45" s="13"/>
      <c r="Z45" s="13"/>
      <c r="AA45" s="13"/>
      <c r="AB45" s="13"/>
      <c r="AC45" s="35"/>
    </row>
    <row r="46" spans="1:32" x14ac:dyDescent="0.2">
      <c r="A46" s="131" t="str">
        <f>[1]!MLPutMatrix("Commissione",B6)</f>
        <v>#MATLAB?</v>
      </c>
      <c r="B46" s="45"/>
      <c r="C46" s="45"/>
      <c r="I46" s="27"/>
      <c r="J46" s="140">
        <f>IdR!P65</f>
        <v>44229</v>
      </c>
      <c r="K46" s="27">
        <v>0</v>
      </c>
      <c r="L46" s="141">
        <v>2</v>
      </c>
      <c r="U46" s="34"/>
      <c r="V46" s="13"/>
      <c r="W46" s="13"/>
      <c r="X46" s="13"/>
      <c r="Y46" s="13"/>
      <c r="Z46" s="13"/>
      <c r="AA46" s="13"/>
      <c r="AB46" s="13"/>
      <c r="AC46" s="35"/>
    </row>
    <row r="47" spans="1:32" x14ac:dyDescent="0.2">
      <c r="B47" s="50"/>
      <c r="I47" s="27"/>
      <c r="J47" s="140">
        <f>IdR!R65</f>
        <v>44229</v>
      </c>
      <c r="K47" s="27">
        <v>1</v>
      </c>
      <c r="L47" s="141">
        <v>0</v>
      </c>
      <c r="U47" s="34"/>
      <c r="V47" s="13"/>
      <c r="W47" s="13"/>
      <c r="X47" s="13"/>
      <c r="Y47" s="13"/>
      <c r="Z47" s="13"/>
      <c r="AA47" s="13"/>
      <c r="AB47" s="13"/>
      <c r="AC47" s="35"/>
    </row>
    <row r="48" spans="1:32" x14ac:dyDescent="0.2">
      <c r="A48" s="126" t="s">
        <v>134</v>
      </c>
      <c r="B48" s="127">
        <f>J40</f>
        <v>44137</v>
      </c>
      <c r="I48" s="51"/>
      <c r="J48" s="140">
        <f>IdR!P66</f>
        <v>44257</v>
      </c>
      <c r="K48" s="27">
        <v>0</v>
      </c>
      <c r="L48" s="141">
        <v>2</v>
      </c>
      <c r="U48" s="44"/>
      <c r="V48" s="45"/>
      <c r="W48" s="45"/>
      <c r="X48" s="45"/>
      <c r="Y48" s="45"/>
      <c r="Z48" s="45"/>
      <c r="AA48" s="45"/>
      <c r="AB48" s="45"/>
      <c r="AC48" s="46"/>
    </row>
    <row r="49" spans="1:29" x14ac:dyDescent="0.2">
      <c r="A49" s="318" t="s">
        <v>449</v>
      </c>
      <c r="B49" s="319" t="s">
        <v>92</v>
      </c>
      <c r="C49" s="319" t="s">
        <v>64</v>
      </c>
      <c r="D49" s="319" t="s">
        <v>22</v>
      </c>
      <c r="E49" s="319" t="s">
        <v>48</v>
      </c>
      <c r="F49" s="319" t="s">
        <v>20</v>
      </c>
      <c r="G49" s="319" t="s">
        <v>49</v>
      </c>
      <c r="H49" s="319" t="s">
        <v>62</v>
      </c>
      <c r="I49" s="51"/>
      <c r="J49" s="140">
        <f>IdR!R66</f>
        <v>44257</v>
      </c>
      <c r="K49" s="27">
        <v>1</v>
      </c>
      <c r="L49" s="141">
        <v>0</v>
      </c>
      <c r="U49" s="31"/>
      <c r="V49" s="32"/>
      <c r="W49" s="32"/>
      <c r="X49" s="32"/>
      <c r="Y49" s="32"/>
      <c r="Z49" s="32"/>
      <c r="AA49" s="32"/>
      <c r="AB49" s="32"/>
      <c r="AC49" s="33"/>
    </row>
    <row r="50" spans="1:29" x14ac:dyDescent="0.2">
      <c r="A50" s="75" t="str">
        <f>VLOOKUP(MIN(Dati_G!$H$34:$H$150),Dati_G!$H$34:$Q$150,3,FALSE)</f>
        <v>IT0005142143</v>
      </c>
      <c r="B50" s="136">
        <f>VALUE(VLOOKUP(MIN(Dati_G!$H$34:$H$150),Dati_G!$H$34:$Q$150,7,FALSE))</f>
        <v>100.57000000000001</v>
      </c>
      <c r="C50" s="135">
        <f>VALUE(VLOOKUP(MIN(Dati_G!$H$34:$H$150),Dati_G!$H$34:$Q$150,4,FALSE))</f>
        <v>42310</v>
      </c>
      <c r="D50" s="135">
        <f>VALUE(VLOOKUP(MIN(Dati_G!$H$34:$H$150),Dati_G!$H$34:$Q$150,5,FALSE))</f>
        <v>44136</v>
      </c>
      <c r="E50" s="147">
        <f>VALUE(VLOOKUP(MIN(Dati_G!$H$34:$H$150),Dati_G!$H$34:$Q$150,6,FALSE))/100</f>
        <v>6.5000000000000006E-3</v>
      </c>
      <c r="F50" s="136">
        <f>VALUE(VLOOKUP(MIN(Dati_G!$H$34:$H$150),Dati_G!$H$34:$Q$150,9,FALSE))</f>
        <v>100.788</v>
      </c>
      <c r="G50" s="137">
        <f>VALUE(VLOOKUP(MIN(Dati_G!$H$34:$H$150),Dati_G!$H$34:$Q$150,10,FALSE))/100</f>
        <v>1.6100000000000001E-3</v>
      </c>
      <c r="H50" s="125">
        <v>1.4266304347826086</v>
      </c>
      <c r="I50" s="51"/>
      <c r="J50" s="140">
        <f>IdR!P67</f>
        <v>44288</v>
      </c>
      <c r="K50" s="27">
        <v>0</v>
      </c>
      <c r="L50" s="141">
        <v>2</v>
      </c>
      <c r="U50" s="34"/>
      <c r="V50" s="13"/>
      <c r="W50" s="13"/>
      <c r="X50" s="13"/>
      <c r="Y50" s="13"/>
      <c r="Z50" s="13"/>
      <c r="AA50" s="13"/>
      <c r="AB50" s="13"/>
      <c r="AC50" s="35"/>
    </row>
    <row r="51" spans="1:29" x14ac:dyDescent="0.2">
      <c r="A51" s="3"/>
      <c r="D51" s="41"/>
      <c r="E51" s="3"/>
      <c r="F51" s="319" t="s">
        <v>61</v>
      </c>
      <c r="G51" s="249">
        <v>4.6771063439318056E-2</v>
      </c>
      <c r="H51" s="249">
        <v>4.2830354209184802E-2</v>
      </c>
      <c r="I51" s="51"/>
      <c r="J51" s="140">
        <f>IdR!R67</f>
        <v>44288</v>
      </c>
      <c r="K51" s="27">
        <v>1</v>
      </c>
      <c r="L51" s="141">
        <v>0</v>
      </c>
      <c r="U51" s="34"/>
      <c r="V51" s="13"/>
      <c r="W51" s="13"/>
      <c r="X51" s="13"/>
      <c r="Y51" s="13"/>
      <c r="Z51" s="13"/>
      <c r="AA51" s="13"/>
      <c r="AB51" s="13"/>
      <c r="AC51" s="35"/>
    </row>
    <row r="52" spans="1:29" x14ac:dyDescent="0.2">
      <c r="J52" s="140">
        <f>IdR!P68</f>
        <v>44318</v>
      </c>
      <c r="K52" s="27">
        <v>0</v>
      </c>
      <c r="L52" s="141">
        <v>2</v>
      </c>
      <c r="U52" s="34"/>
      <c r="V52" s="13"/>
      <c r="W52" s="13"/>
      <c r="X52" s="13"/>
      <c r="Y52" s="13"/>
      <c r="Z52" s="13"/>
      <c r="AA52" s="13"/>
      <c r="AB52" s="13"/>
      <c r="AC52" s="35"/>
    </row>
    <row r="53" spans="1:29" x14ac:dyDescent="0.2">
      <c r="A53" s="322" t="s">
        <v>7</v>
      </c>
      <c r="B53" s="323"/>
      <c r="C53" s="324"/>
      <c r="H53" s="13">
        <v>1.4502762430939227</v>
      </c>
      <c r="J53" s="140">
        <f>IdR!R68</f>
        <v>44318</v>
      </c>
      <c r="K53" s="27">
        <v>1</v>
      </c>
      <c r="L53" s="141">
        <v>0</v>
      </c>
      <c r="U53" s="34"/>
      <c r="V53" s="13"/>
      <c r="W53" s="13"/>
      <c r="X53" s="13"/>
      <c r="Y53" s="13"/>
      <c r="Z53" s="13"/>
      <c r="AA53" s="13"/>
      <c r="AB53" s="13"/>
      <c r="AC53" s="35"/>
    </row>
    <row r="54" spans="1:29" x14ac:dyDescent="0.2">
      <c r="A54" s="315" t="s">
        <v>8</v>
      </c>
      <c r="B54" s="316" t="s">
        <v>9</v>
      </c>
      <c r="C54" s="317" t="s">
        <v>10</v>
      </c>
      <c r="G54" s="13">
        <v>7.2558732758008539E-3</v>
      </c>
      <c r="H54" s="13">
        <v>2.8021183984382747E-3</v>
      </c>
      <c r="J54" s="140">
        <f>IdR!P69</f>
        <v>44349</v>
      </c>
      <c r="K54" s="27">
        <v>0</v>
      </c>
      <c r="L54" s="141">
        <v>2</v>
      </c>
      <c r="U54" s="34"/>
      <c r="V54" s="13"/>
      <c r="W54" s="13"/>
      <c r="X54" s="13"/>
      <c r="Y54" s="13"/>
      <c r="Z54" s="13"/>
      <c r="AA54" s="13"/>
      <c r="AB54" s="13"/>
      <c r="AC54" s="35"/>
    </row>
    <row r="55" spans="1:29" x14ac:dyDescent="0.2">
      <c r="A55" s="107" t="str">
        <f>[1]!MLPutMatrix("Prezzo",F50)</f>
        <v>#MATLAB?</v>
      </c>
      <c r="B55" s="128" t="str">
        <f>[1]!MLEvalString("[TIR,Accrued] = TIR_BTP(Prezzo,Cedola,Emissione,Scadenza,Spot,Commissione)")</f>
        <v>#MATLAB?</v>
      </c>
      <c r="C55" s="128" t="str">
        <f>[1]!Mlgetmatrix("TIR","G40")</f>
        <v>#MATLAB?</v>
      </c>
      <c r="J55" s="140">
        <f>IdR!R69</f>
        <v>44349</v>
      </c>
      <c r="K55" s="27">
        <v>1</v>
      </c>
      <c r="L55" s="141">
        <v>0</v>
      </c>
      <c r="U55" s="34"/>
      <c r="V55" s="13"/>
      <c r="W55" s="13"/>
      <c r="X55" s="13"/>
      <c r="Y55" s="13"/>
      <c r="Z55" s="13"/>
      <c r="AA55" s="13"/>
      <c r="AB55" s="13"/>
      <c r="AC55" s="35"/>
    </row>
    <row r="56" spans="1:29" x14ac:dyDescent="0.2">
      <c r="A56" s="129" t="str">
        <f>[1]!MLPutMatrix("Cedola",E50)</f>
        <v>#MATLAB?</v>
      </c>
      <c r="B56" s="77"/>
      <c r="C56" s="130" t="str">
        <f>[1]!Mlgetmatrix("Accrued","H39")</f>
        <v>#MATLAB?</v>
      </c>
      <c r="J56" s="140">
        <f>IdR!P70</f>
        <v>44379</v>
      </c>
      <c r="K56" s="27">
        <v>0</v>
      </c>
      <c r="L56" s="141">
        <v>2</v>
      </c>
      <c r="U56" s="34"/>
      <c r="V56" s="13"/>
      <c r="W56" s="13"/>
      <c r="X56" s="13"/>
      <c r="Y56" s="13"/>
      <c r="Z56" s="13"/>
      <c r="AA56" s="13"/>
      <c r="AB56" s="13"/>
      <c r="AC56" s="35"/>
    </row>
    <row r="57" spans="1:29" x14ac:dyDescent="0.2">
      <c r="A57" s="129" t="str">
        <f>[1]!MLPutMatrix("Scadenza",D50)</f>
        <v>#MATLAB?</v>
      </c>
      <c r="B57" s="77"/>
      <c r="C57" s="130"/>
      <c r="J57" s="140">
        <f>IdR!R70</f>
        <v>44379</v>
      </c>
      <c r="K57" s="27">
        <v>1</v>
      </c>
      <c r="L57" s="141">
        <v>0</v>
      </c>
      <c r="U57" s="34"/>
      <c r="V57" s="13"/>
      <c r="W57" s="13"/>
      <c r="X57" s="13"/>
      <c r="Y57" s="13"/>
      <c r="Z57" s="13"/>
      <c r="AA57" s="13"/>
      <c r="AB57" s="13"/>
      <c r="AC57" s="35"/>
    </row>
    <row r="58" spans="1:29" x14ac:dyDescent="0.2">
      <c r="A58" s="129" t="str">
        <f>[1]!MLPutMatrix("Emissione",C50)</f>
        <v>#MATLAB?</v>
      </c>
      <c r="B58" s="77"/>
      <c r="C58" s="130"/>
      <c r="J58" s="140">
        <f>IdR!P71</f>
        <v>44410</v>
      </c>
      <c r="K58" s="27">
        <v>0</v>
      </c>
      <c r="L58" s="141">
        <v>2</v>
      </c>
      <c r="U58" s="34"/>
      <c r="V58" s="13"/>
      <c r="W58" s="13"/>
      <c r="X58" s="13"/>
      <c r="Y58" s="13"/>
      <c r="Z58" s="13"/>
      <c r="AA58" s="13"/>
      <c r="AB58" s="13"/>
      <c r="AC58" s="35"/>
    </row>
    <row r="59" spans="1:29" x14ac:dyDescent="0.2">
      <c r="A59" s="129" t="str">
        <f>[1]!MLPutMatrix("Spot",$B$7)</f>
        <v>#MATLAB?</v>
      </c>
      <c r="B59" s="78"/>
      <c r="J59" s="140">
        <f>IdR!R71</f>
        <v>44410</v>
      </c>
      <c r="K59" s="27">
        <v>1</v>
      </c>
      <c r="L59" s="141">
        <v>0</v>
      </c>
      <c r="U59" s="34"/>
      <c r="V59" s="13"/>
      <c r="W59" s="13"/>
      <c r="X59" s="13"/>
      <c r="Y59" s="13"/>
      <c r="Z59" s="13"/>
      <c r="AA59" s="13"/>
      <c r="AB59" s="13"/>
      <c r="AC59" s="35"/>
    </row>
    <row r="60" spans="1:29" x14ac:dyDescent="0.2">
      <c r="A60" s="131" t="str">
        <f>[1]!MLPutMatrix("Commissione",B20)</f>
        <v>#MATLAB?</v>
      </c>
      <c r="B60" s="45"/>
      <c r="C60" s="45"/>
      <c r="J60" s="140">
        <f>IdR!P72</f>
        <v>44441</v>
      </c>
      <c r="K60" s="27">
        <v>0</v>
      </c>
      <c r="L60" s="141">
        <v>2</v>
      </c>
      <c r="U60" s="34"/>
      <c r="V60" s="13"/>
      <c r="W60" s="13"/>
      <c r="X60" s="13"/>
      <c r="Y60" s="13"/>
      <c r="Z60" s="13"/>
      <c r="AA60" s="13"/>
      <c r="AB60" s="13"/>
      <c r="AC60" s="35"/>
    </row>
    <row r="61" spans="1:29" x14ac:dyDescent="0.2">
      <c r="J61" s="140">
        <f>IdR!R72</f>
        <v>44441</v>
      </c>
      <c r="K61" s="27">
        <v>1</v>
      </c>
      <c r="L61" s="141">
        <v>0</v>
      </c>
      <c r="U61" s="34"/>
      <c r="V61" s="13"/>
      <c r="W61" s="13"/>
      <c r="X61" s="13"/>
      <c r="Y61" s="13"/>
      <c r="Z61" s="13"/>
      <c r="AA61" s="13"/>
      <c r="AB61" s="13"/>
      <c r="AC61" s="35"/>
    </row>
    <row r="62" spans="1:29" x14ac:dyDescent="0.2">
      <c r="A62" s="126" t="s">
        <v>452</v>
      </c>
      <c r="B62" s="127">
        <f>J29</f>
        <v>43953</v>
      </c>
      <c r="J62" s="140">
        <f>IdR!P73</f>
        <v>44471</v>
      </c>
      <c r="K62" s="27">
        <v>0</v>
      </c>
      <c r="L62" s="141">
        <v>2</v>
      </c>
      <c r="U62" s="34"/>
      <c r="V62" s="13"/>
      <c r="W62" s="13"/>
      <c r="X62" s="13"/>
      <c r="Y62" s="13"/>
      <c r="Z62" s="13"/>
      <c r="AA62" s="13"/>
      <c r="AB62" s="13"/>
      <c r="AC62" s="35"/>
    </row>
    <row r="63" spans="1:29" x14ac:dyDescent="0.2">
      <c r="A63" s="318" t="s">
        <v>450</v>
      </c>
      <c r="B63" s="319" t="s">
        <v>92</v>
      </c>
      <c r="C63" s="319" t="s">
        <v>64</v>
      </c>
      <c r="D63" s="319" t="s">
        <v>22</v>
      </c>
      <c r="E63" s="319" t="s">
        <v>48</v>
      </c>
      <c r="F63" s="319" t="s">
        <v>20</v>
      </c>
      <c r="G63" s="319" t="s">
        <v>49</v>
      </c>
      <c r="H63" s="319" t="s">
        <v>62</v>
      </c>
      <c r="J63" s="140">
        <f>IdR!R73</f>
        <v>44471</v>
      </c>
      <c r="K63" s="27">
        <v>1</v>
      </c>
      <c r="L63" s="141">
        <v>0</v>
      </c>
      <c r="U63" s="34"/>
      <c r="V63" s="13"/>
      <c r="W63" s="13"/>
      <c r="X63" s="13"/>
      <c r="Y63" s="13"/>
      <c r="Z63" s="13"/>
      <c r="AA63" s="13"/>
      <c r="AB63" s="13"/>
      <c r="AC63" s="35"/>
    </row>
    <row r="64" spans="1:29" x14ac:dyDescent="0.2">
      <c r="A64" s="75" t="str">
        <f>VLOOKUP(MIN(Dati_G!$I$34:$I$150),Dati_G!$I$34:$Q$150,2,FALSE)</f>
        <v>IT0005107708</v>
      </c>
      <c r="B64" s="136">
        <f>VALUE(VLOOKUP(MIN(Dati_G!$I$34:$I$150),Dati_G!$I$34:$Q$150,6,FALSE))</f>
        <v>100.33</v>
      </c>
      <c r="C64" s="135">
        <f>VALUE(VLOOKUP(MIN(Dati_G!$I$34:$I$150),Dati_G!$I$34:$Q$150,3,FALSE))</f>
        <v>42128</v>
      </c>
      <c r="D64" s="135">
        <f>VALUE(VLOOKUP(MIN(Dati_G!$I$34:$I$150),Dati_G!$I$34:$Q$150,4,FALSE))</f>
        <v>43952</v>
      </c>
      <c r="E64" s="147">
        <f>VALUE(VLOOKUP(MIN(Dati_G!$I$34:$I$150),Dati_G!$I$34:$Q$150,5,FALSE))/100</f>
        <v>6.9999999999999993E-3</v>
      </c>
      <c r="F64" s="136">
        <f>VALUE(VLOOKUP(MIN(Dati_G!$I$34:$I$150),Dati_G!$I$34:$Q$150,8,FALSE))</f>
        <v>100.732</v>
      </c>
      <c r="G64" s="137">
        <f>VALUE(VLOOKUP(MIN(Dati_G!$I$34:$I$150),Dati_G!$I$34:$Q$150,9,FALSE))/100</f>
        <v>4.3999999999999996E-4</v>
      </c>
      <c r="H64" s="125">
        <v>1.4266304347826086</v>
      </c>
      <c r="J64" s="140">
        <f>IdR!P74</f>
        <v>44502</v>
      </c>
      <c r="K64" s="27">
        <v>0</v>
      </c>
      <c r="L64" s="141">
        <v>2</v>
      </c>
      <c r="U64" s="34"/>
      <c r="V64" s="13"/>
      <c r="W64" s="13"/>
      <c r="X64" s="13"/>
      <c r="Y64" s="13"/>
      <c r="Z64" s="13"/>
      <c r="AA64" s="13"/>
      <c r="AB64" s="13"/>
      <c r="AC64" s="35"/>
    </row>
    <row r="65" spans="1:29" x14ac:dyDescent="0.2">
      <c r="A65" s="3"/>
      <c r="D65" s="41"/>
      <c r="E65" s="3"/>
      <c r="F65" s="319" t="s">
        <v>61</v>
      </c>
      <c r="G65" s="249">
        <v>4.6771063439318056E-2</v>
      </c>
      <c r="H65" s="249">
        <v>4.2830354209184802E-2</v>
      </c>
      <c r="J65" s="140">
        <f>IdR!R74</f>
        <v>44502</v>
      </c>
      <c r="K65" s="27">
        <v>1</v>
      </c>
      <c r="L65" s="141">
        <v>0</v>
      </c>
      <c r="U65" s="34"/>
      <c r="V65" s="13"/>
      <c r="W65" s="13"/>
      <c r="X65" s="13"/>
      <c r="Y65" s="13"/>
      <c r="Z65" s="13"/>
      <c r="AA65" s="13"/>
      <c r="AB65" s="13"/>
      <c r="AC65" s="35"/>
    </row>
    <row r="66" spans="1:29" x14ac:dyDescent="0.2">
      <c r="J66" s="140">
        <f>IdR!P75</f>
        <v>44532</v>
      </c>
      <c r="K66" s="27">
        <v>0</v>
      </c>
      <c r="L66" s="141">
        <v>2</v>
      </c>
      <c r="U66" s="34"/>
      <c r="V66" s="13"/>
      <c r="W66" s="13"/>
      <c r="X66" s="13"/>
      <c r="Y66" s="13"/>
      <c r="Z66" s="13"/>
      <c r="AA66" s="13"/>
      <c r="AB66" s="13"/>
      <c r="AC66" s="35"/>
    </row>
    <row r="67" spans="1:29" x14ac:dyDescent="0.2">
      <c r="A67" s="322" t="s">
        <v>7</v>
      </c>
      <c r="B67" s="323"/>
      <c r="C67" s="324"/>
      <c r="H67" s="13">
        <v>1.4502762430939227</v>
      </c>
      <c r="J67" s="140">
        <f>IdR!R75</f>
        <v>44532</v>
      </c>
      <c r="K67" s="27">
        <v>1</v>
      </c>
      <c r="L67" s="141">
        <v>0</v>
      </c>
      <c r="U67" s="34"/>
      <c r="V67" s="13"/>
      <c r="W67" s="13"/>
      <c r="X67" s="13"/>
      <c r="Y67" s="13"/>
      <c r="Z67" s="13"/>
      <c r="AA67" s="13"/>
      <c r="AB67" s="13"/>
      <c r="AC67" s="35"/>
    </row>
    <row r="68" spans="1:29" x14ac:dyDescent="0.2">
      <c r="A68" s="315" t="s">
        <v>8</v>
      </c>
      <c r="B68" s="316" t="s">
        <v>9</v>
      </c>
      <c r="C68" s="317" t="s">
        <v>10</v>
      </c>
      <c r="G68" s="13">
        <v>7.2558732758008539E-3</v>
      </c>
      <c r="H68" s="13">
        <v>2.8021183984382747E-3</v>
      </c>
      <c r="J68" s="140">
        <f>IdR!P76</f>
        <v>44563</v>
      </c>
      <c r="K68" s="27">
        <v>0</v>
      </c>
      <c r="L68" s="141">
        <v>2</v>
      </c>
      <c r="U68" s="34"/>
      <c r="V68" s="13"/>
      <c r="W68" s="13"/>
      <c r="X68" s="13"/>
      <c r="Y68" s="13"/>
      <c r="Z68" s="13"/>
      <c r="AA68" s="13"/>
      <c r="AB68" s="13"/>
      <c r="AC68" s="35"/>
    </row>
    <row r="69" spans="1:29" x14ac:dyDescent="0.2">
      <c r="A69" s="107" t="str">
        <f>[1]!MLPutMatrix("Prezzo",F64)</f>
        <v>#MATLAB?</v>
      </c>
      <c r="B69" s="128" t="str">
        <f>[1]!MLEvalString("[TIR,Accrued] = TIR_BTP(Prezzo,Cedola,Emissione,Scadenza,Spot,Commissione)")</f>
        <v>#MATLAB?</v>
      </c>
      <c r="C69" s="128" t="str">
        <f>[1]!Mlgetmatrix("TIR","G40")</f>
        <v>#MATLAB?</v>
      </c>
      <c r="J69" s="140">
        <f>IdR!R76</f>
        <v>44563</v>
      </c>
      <c r="K69" s="27">
        <v>1</v>
      </c>
      <c r="L69" s="141">
        <v>0</v>
      </c>
      <c r="U69" s="34"/>
      <c r="V69" s="13"/>
      <c r="W69" s="13"/>
      <c r="X69" s="13"/>
      <c r="Y69" s="13"/>
      <c r="Z69" s="13"/>
      <c r="AA69" s="13"/>
      <c r="AB69" s="13"/>
      <c r="AC69" s="35"/>
    </row>
    <row r="70" spans="1:29" x14ac:dyDescent="0.2">
      <c r="A70" s="129" t="str">
        <f>[1]!MLPutMatrix("Cedola",E64)</f>
        <v>#MATLAB?</v>
      </c>
      <c r="B70" s="77"/>
      <c r="C70" s="130" t="str">
        <f>[1]!Mlgetmatrix("Accrued","H39")</f>
        <v>#MATLAB?</v>
      </c>
      <c r="J70" s="140">
        <f>IdR!P77</f>
        <v>44594</v>
      </c>
      <c r="K70" s="27">
        <v>0</v>
      </c>
      <c r="L70" s="141">
        <v>2</v>
      </c>
      <c r="U70" s="34"/>
      <c r="V70" s="13"/>
      <c r="W70" s="13"/>
      <c r="X70" s="13"/>
      <c r="Y70" s="13"/>
      <c r="Z70" s="13"/>
      <c r="AA70" s="13"/>
      <c r="AB70" s="13"/>
      <c r="AC70" s="35"/>
    </row>
    <row r="71" spans="1:29" x14ac:dyDescent="0.2">
      <c r="A71" s="129" t="str">
        <f>[1]!MLPutMatrix("Scadenza",D64)</f>
        <v>#MATLAB?</v>
      </c>
      <c r="B71" s="77"/>
      <c r="C71" s="130"/>
      <c r="J71" s="140">
        <f>IdR!R77</f>
        <v>44594</v>
      </c>
      <c r="K71" s="27">
        <v>1</v>
      </c>
      <c r="L71" s="141">
        <v>0</v>
      </c>
      <c r="U71" s="34"/>
      <c r="V71" s="13"/>
      <c r="W71" s="13"/>
      <c r="X71" s="13"/>
      <c r="Y71" s="13"/>
      <c r="Z71" s="13"/>
      <c r="AA71" s="13"/>
      <c r="AB71" s="13"/>
      <c r="AC71" s="35"/>
    </row>
    <row r="72" spans="1:29" x14ac:dyDescent="0.2">
      <c r="A72" s="129" t="str">
        <f>[1]!MLPutMatrix("Emissione",C64)</f>
        <v>#MATLAB?</v>
      </c>
      <c r="B72" s="77"/>
      <c r="C72" s="130"/>
      <c r="J72" s="140">
        <f>IdR!P78</f>
        <v>44622</v>
      </c>
      <c r="K72" s="27">
        <v>0</v>
      </c>
      <c r="L72" s="141">
        <v>2</v>
      </c>
      <c r="U72" s="34"/>
      <c r="V72" s="13"/>
      <c r="W72" s="13"/>
      <c r="X72" s="13"/>
      <c r="Y72" s="13"/>
      <c r="Z72" s="13"/>
      <c r="AA72" s="13"/>
      <c r="AB72" s="13"/>
      <c r="AC72" s="35"/>
    </row>
    <row r="73" spans="1:29" x14ac:dyDescent="0.2">
      <c r="A73" s="129" t="str">
        <f>[1]!MLPutMatrix("Spot",$B$7)</f>
        <v>#MATLAB?</v>
      </c>
      <c r="B73" s="78"/>
      <c r="J73" s="140">
        <f>IdR!R78</f>
        <v>44622</v>
      </c>
      <c r="K73" s="27">
        <v>1</v>
      </c>
      <c r="L73" s="141">
        <v>0</v>
      </c>
      <c r="U73" s="44"/>
      <c r="V73" s="45"/>
      <c r="W73" s="45"/>
      <c r="X73" s="45"/>
      <c r="Y73" s="45"/>
      <c r="Z73" s="45"/>
      <c r="AA73" s="45"/>
      <c r="AB73" s="45"/>
      <c r="AC73" s="46"/>
    </row>
    <row r="74" spans="1:29" x14ac:dyDescent="0.2">
      <c r="A74" s="131" t="str">
        <f>[1]!MLPutMatrix("Commissione",B34)</f>
        <v>#MATLAB?</v>
      </c>
      <c r="B74" s="45"/>
      <c r="C74" s="45"/>
      <c r="J74" s="140">
        <f>IdR!P79</f>
        <v>44653</v>
      </c>
      <c r="K74" s="27">
        <v>0</v>
      </c>
      <c r="L74" s="141">
        <v>2</v>
      </c>
      <c r="U74" s="31"/>
      <c r="V74" s="32"/>
      <c r="W74" s="32"/>
      <c r="X74" s="32"/>
      <c r="Y74" s="32"/>
      <c r="Z74" s="32"/>
      <c r="AA74" s="32"/>
      <c r="AB74" s="32"/>
      <c r="AC74" s="33"/>
    </row>
    <row r="75" spans="1:29" x14ac:dyDescent="0.2">
      <c r="J75" s="140">
        <f>IdR!R79</f>
        <v>44653</v>
      </c>
      <c r="K75" s="27">
        <v>1</v>
      </c>
      <c r="L75" s="141">
        <v>0</v>
      </c>
      <c r="U75" s="34"/>
      <c r="V75" s="13"/>
      <c r="W75" s="13"/>
      <c r="X75" s="13"/>
      <c r="Y75" s="13"/>
      <c r="Z75" s="13"/>
      <c r="AA75" s="13"/>
      <c r="AB75" s="13"/>
      <c r="AC75" s="35"/>
    </row>
    <row r="76" spans="1:29" x14ac:dyDescent="0.2">
      <c r="J76" s="140">
        <f>IdR!P187</f>
        <v>44679</v>
      </c>
      <c r="K76" s="27">
        <v>0</v>
      </c>
      <c r="L76" s="141">
        <v>2</v>
      </c>
      <c r="U76" s="34"/>
      <c r="V76" s="13"/>
      <c r="W76" s="13"/>
      <c r="X76" s="13"/>
      <c r="Y76" s="13"/>
      <c r="Z76" s="13"/>
      <c r="AA76" s="13"/>
      <c r="AB76" s="13"/>
      <c r="AC76" s="35"/>
    </row>
    <row r="77" spans="1:29" x14ac:dyDescent="0.2">
      <c r="J77" s="103">
        <f>IdR!N7</f>
        <v>44683</v>
      </c>
      <c r="K77" s="104">
        <v>1</v>
      </c>
      <c r="L77" s="105">
        <v>0</v>
      </c>
      <c r="U77" s="34"/>
      <c r="V77" s="13"/>
      <c r="W77" s="13"/>
      <c r="X77" s="13"/>
      <c r="Y77" s="13"/>
      <c r="Z77" s="13"/>
      <c r="AA77" s="13"/>
      <c r="AB77" s="13"/>
      <c r="AC77" s="35"/>
    </row>
    <row r="78" spans="1:29" x14ac:dyDescent="0.2">
      <c r="B78" s="50"/>
      <c r="U78" s="34"/>
      <c r="V78" s="13"/>
      <c r="W78" s="13"/>
      <c r="X78" s="13"/>
      <c r="Y78" s="13"/>
      <c r="Z78" s="13"/>
      <c r="AA78" s="13"/>
      <c r="AB78" s="13"/>
      <c r="AC78" s="35"/>
    </row>
    <row r="79" spans="1:29" x14ac:dyDescent="0.2">
      <c r="A79" s="126" t="s">
        <v>75</v>
      </c>
      <c r="B79" s="127">
        <f>J77</f>
        <v>44683</v>
      </c>
      <c r="U79" s="34"/>
      <c r="V79" s="13"/>
      <c r="W79" s="13"/>
      <c r="X79" s="13"/>
      <c r="Y79" s="13"/>
      <c r="Z79" s="13"/>
      <c r="AA79" s="13"/>
      <c r="AB79" s="13"/>
      <c r="AC79" s="35"/>
    </row>
    <row r="80" spans="1:29" x14ac:dyDescent="0.2">
      <c r="A80" s="70" t="s">
        <v>63</v>
      </c>
      <c r="B80" s="71" t="s">
        <v>92</v>
      </c>
      <c r="C80" s="71" t="s">
        <v>64</v>
      </c>
      <c r="D80" s="71" t="s">
        <v>22</v>
      </c>
      <c r="E80" s="71" t="s">
        <v>48</v>
      </c>
      <c r="F80" s="71" t="s">
        <v>20</v>
      </c>
      <c r="G80" s="71" t="s">
        <v>49</v>
      </c>
      <c r="H80" s="71" t="s">
        <v>62</v>
      </c>
      <c r="U80" s="34"/>
      <c r="V80" s="13"/>
      <c r="W80" s="13"/>
      <c r="X80" s="13"/>
      <c r="Y80" s="13"/>
      <c r="Z80" s="13"/>
      <c r="AA80" s="13"/>
      <c r="AB80" s="13"/>
      <c r="AC80" s="35"/>
    </row>
    <row r="81" spans="1:29" x14ac:dyDescent="0.2">
      <c r="A81" s="75" t="str">
        <f>VLOOKUP(MIN(Dati_G!$E$34:$E$150),Dati_G!$E$34:$Q$150,6,FALSE)</f>
        <v>IT0005086886</v>
      </c>
      <c r="B81" s="136">
        <f>VALUE(VLOOKUP(MIN(Dati_G!$E$34:$E$150),Dati_G!$E$34:$Q$150,10,FALSE))</f>
        <v>100.8</v>
      </c>
      <c r="C81" s="135">
        <f>VALUE(VLOOKUP(MIN(Dati_G!$E$34:$E$150),Dati_G!$E$34:$Q$150,7,FALSE))</f>
        <v>42051</v>
      </c>
      <c r="D81" s="135">
        <f>VALUE(VLOOKUP(MIN(Dati_G!$E$34:$E$150),Dati_G!$E$34:$Q$150,8,FALSE))</f>
        <v>44666</v>
      </c>
      <c r="E81" s="147">
        <f>VALUE(VLOOKUP(MIN(Dati_G!$E$34:$E$150),Dati_G!$E$34:$Q$150,9,FALSE))/100</f>
        <v>1.3500000000000002E-2</v>
      </c>
      <c r="F81" s="136">
        <f>VALUE(VLOOKUP(MIN(Dati_G!$E$34:$E$150),Dati_G!$E$34:$Q$150,12,FALSE))</f>
        <v>101.483</v>
      </c>
      <c r="G81" s="137">
        <f>VALUE(VLOOKUP(MIN(Dati_G!$E$34:$E$150),Dati_G!$E$34:$Q$150,13,FALSE))/100</f>
        <v>8.5799999999999991E-3</v>
      </c>
      <c r="H81" s="125">
        <v>0.34806629834254149</v>
      </c>
      <c r="U81" s="34"/>
      <c r="V81" s="13"/>
      <c r="W81" s="13"/>
      <c r="X81" s="13"/>
      <c r="Y81" s="13"/>
      <c r="Z81" s="13"/>
      <c r="AA81" s="13"/>
      <c r="AB81" s="13"/>
      <c r="AC81" s="35"/>
    </row>
    <row r="82" spans="1:29" x14ac:dyDescent="0.2">
      <c r="A82" s="3"/>
      <c r="D82" s="41"/>
      <c r="E82" s="3"/>
      <c r="F82" s="71" t="s">
        <v>61</v>
      </c>
      <c r="G82" s="249">
        <v>4.5478078742319149E-2</v>
      </c>
      <c r="H82" s="249">
        <v>4.2523358220772738E-2</v>
      </c>
      <c r="U82" s="34"/>
      <c r="V82" s="13"/>
      <c r="W82" s="13"/>
      <c r="X82" s="13"/>
      <c r="Y82" s="13"/>
      <c r="Z82" s="13"/>
      <c r="AA82" s="13"/>
      <c r="AB82" s="13"/>
      <c r="AC82" s="35"/>
    </row>
    <row r="83" spans="1:29" x14ac:dyDescent="0.2">
      <c r="U83" s="34"/>
      <c r="V83" s="13"/>
      <c r="W83" s="13"/>
      <c r="X83" s="13"/>
      <c r="Y83" s="13"/>
      <c r="Z83" s="13"/>
      <c r="AA83" s="13"/>
      <c r="AB83" s="13"/>
      <c r="AC83" s="35"/>
    </row>
    <row r="84" spans="1:29" x14ac:dyDescent="0.2">
      <c r="A84" s="322" t="s">
        <v>7</v>
      </c>
      <c r="B84" s="323"/>
      <c r="C84" s="324"/>
      <c r="H84" s="13">
        <v>0.34806629834254149</v>
      </c>
      <c r="U84" s="34"/>
      <c r="V84" s="13"/>
      <c r="W84" s="13"/>
      <c r="X84" s="13"/>
      <c r="Y84" s="13"/>
      <c r="Z84" s="13"/>
      <c r="AA84" s="13"/>
      <c r="AB84" s="13"/>
      <c r="AC84" s="35"/>
    </row>
    <row r="85" spans="1:29" x14ac:dyDescent="0.2">
      <c r="A85" s="58" t="s">
        <v>8</v>
      </c>
      <c r="B85" s="23" t="s">
        <v>9</v>
      </c>
      <c r="C85" s="59" t="s">
        <v>10</v>
      </c>
      <c r="G85" s="13">
        <v>1.1258337427934872E-2</v>
      </c>
      <c r="H85" s="13">
        <v>1.0122181542388317E-2</v>
      </c>
      <c r="U85" s="34"/>
      <c r="V85" s="13"/>
      <c r="W85" s="13"/>
      <c r="X85" s="13"/>
      <c r="Y85" s="13"/>
      <c r="Z85" s="13"/>
      <c r="AA85" s="13"/>
      <c r="AB85" s="13"/>
      <c r="AC85" s="35"/>
    </row>
    <row r="86" spans="1:29" x14ac:dyDescent="0.2">
      <c r="A86" s="107" t="str">
        <f>[1]!MLPutMatrix("Prezzo",F81)</f>
        <v>#MATLAB?</v>
      </c>
      <c r="B86" s="128" t="str">
        <f>[1]!MLEvalString("[TIR,Accrued] = TIR_BTP(Prezzo,Cedola,Emissione,Scadenza,Spot,Commissione)")</f>
        <v>#MATLAB?</v>
      </c>
      <c r="C86" s="128" t="str">
        <f>[1]!Mlgetmatrix("TIR","G55")</f>
        <v>#MATLAB?</v>
      </c>
      <c r="U86" s="34"/>
      <c r="V86" s="13"/>
      <c r="W86" s="13"/>
      <c r="X86" s="13"/>
      <c r="Y86" s="13"/>
      <c r="Z86" s="13"/>
      <c r="AA86" s="13"/>
      <c r="AB86" s="13"/>
      <c r="AC86" s="35"/>
    </row>
    <row r="87" spans="1:29" x14ac:dyDescent="0.2">
      <c r="A87" s="129" t="str">
        <f>[1]!MLPutMatrix("Cedola",E81)</f>
        <v>#MATLAB?</v>
      </c>
      <c r="B87" s="77"/>
      <c r="C87" s="130" t="str">
        <f>[1]!Mlgetmatrix("Accrued","H54")</f>
        <v>#MATLAB?</v>
      </c>
      <c r="U87" s="34"/>
      <c r="V87" s="13"/>
      <c r="W87" s="13"/>
      <c r="X87" s="13"/>
      <c r="Y87" s="13"/>
      <c r="Z87" s="13"/>
      <c r="AA87" s="13"/>
      <c r="AB87" s="13"/>
      <c r="AC87" s="35"/>
    </row>
    <row r="88" spans="1:29" x14ac:dyDescent="0.2">
      <c r="A88" s="129" t="str">
        <f>[1]!MLPutMatrix("Scadenza",D81)</f>
        <v>#MATLAB?</v>
      </c>
      <c r="B88" s="77"/>
      <c r="C88" s="130"/>
      <c r="U88" s="34"/>
      <c r="V88" s="13"/>
      <c r="W88" s="13"/>
      <c r="X88" s="13"/>
      <c r="Y88" s="13"/>
      <c r="Z88" s="13"/>
      <c r="AA88" s="13"/>
      <c r="AB88" s="13"/>
      <c r="AC88" s="35"/>
    </row>
    <row r="89" spans="1:29" x14ac:dyDescent="0.2">
      <c r="A89" s="129" t="str">
        <f>[1]!MLPutMatrix("Emissione",C81)</f>
        <v>#MATLAB?</v>
      </c>
      <c r="B89" s="77"/>
      <c r="C89" s="130"/>
      <c r="U89" s="34"/>
      <c r="V89" s="13"/>
      <c r="W89" s="13"/>
      <c r="X89" s="13"/>
      <c r="Y89" s="13"/>
      <c r="Z89" s="13"/>
      <c r="AA89" s="13"/>
      <c r="AB89" s="13"/>
      <c r="AC89" s="35"/>
    </row>
    <row r="90" spans="1:29" x14ac:dyDescent="0.2">
      <c r="A90" s="129" t="str">
        <f>[1]!MLPutMatrix("Spot",$B$7)</f>
        <v>#MATLAB?</v>
      </c>
      <c r="B90" s="78"/>
      <c r="U90" s="34"/>
      <c r="V90" s="13"/>
      <c r="W90" s="13"/>
      <c r="X90" s="13"/>
      <c r="Y90" s="13"/>
      <c r="Z90" s="13"/>
      <c r="AA90" s="13"/>
      <c r="AB90" s="13"/>
      <c r="AC90" s="35"/>
    </row>
    <row r="91" spans="1:29" x14ac:dyDescent="0.2">
      <c r="A91" s="131" t="str">
        <f>[1]!MLPutMatrix("Commissione",B6)</f>
        <v>#MATLAB?</v>
      </c>
      <c r="B91" s="45"/>
      <c r="C91" s="45"/>
      <c r="U91" s="34"/>
      <c r="V91" s="13"/>
      <c r="W91" s="13"/>
      <c r="X91" s="13"/>
      <c r="Y91" s="13"/>
      <c r="Z91" s="13"/>
      <c r="AA91" s="13"/>
      <c r="AB91" s="13"/>
      <c r="AC91" s="35"/>
    </row>
    <row r="92" spans="1:29" x14ac:dyDescent="0.2">
      <c r="U92" s="34"/>
      <c r="V92" s="13"/>
      <c r="W92" s="13"/>
      <c r="X92" s="13"/>
      <c r="Y92" s="13"/>
      <c r="Z92" s="13"/>
      <c r="AA92" s="13"/>
      <c r="AB92" s="13"/>
      <c r="AC92" s="35"/>
    </row>
    <row r="93" spans="1:29" x14ac:dyDescent="0.2">
      <c r="U93" s="34"/>
      <c r="V93" s="13"/>
      <c r="W93" s="13"/>
      <c r="X93" s="13"/>
      <c r="Y93" s="13"/>
      <c r="Z93" s="13"/>
      <c r="AA93" s="13"/>
      <c r="AB93" s="13"/>
      <c r="AC93" s="35"/>
    </row>
    <row r="94" spans="1:29" x14ac:dyDescent="0.2">
      <c r="U94" s="34"/>
      <c r="V94" s="13"/>
      <c r="W94" s="13"/>
      <c r="X94" s="13"/>
      <c r="Y94" s="13"/>
      <c r="Z94" s="13"/>
      <c r="AA94" s="13"/>
      <c r="AB94" s="13"/>
      <c r="AC94" s="35"/>
    </row>
    <row r="95" spans="1:29" x14ac:dyDescent="0.2">
      <c r="U95" s="34"/>
      <c r="V95" s="13"/>
      <c r="W95" s="13"/>
      <c r="X95" s="13"/>
      <c r="Y95" s="13"/>
      <c r="Z95" s="13"/>
      <c r="AA95" s="13"/>
      <c r="AB95" s="13"/>
      <c r="AC95" s="35"/>
    </row>
    <row r="96" spans="1:29" x14ac:dyDescent="0.2">
      <c r="U96" s="34"/>
      <c r="V96" s="13"/>
      <c r="W96" s="13"/>
      <c r="X96" s="13"/>
      <c r="Y96" s="13"/>
      <c r="Z96" s="13"/>
      <c r="AA96" s="13"/>
      <c r="AB96" s="13"/>
      <c r="AC96" s="35"/>
    </row>
    <row r="97" spans="21:29" x14ac:dyDescent="0.2">
      <c r="U97" s="34"/>
      <c r="V97" s="13"/>
      <c r="W97" s="13"/>
      <c r="X97" s="13"/>
      <c r="Y97" s="13"/>
      <c r="Z97" s="13"/>
      <c r="AA97" s="13"/>
      <c r="AB97" s="13"/>
      <c r="AC97" s="35"/>
    </row>
    <row r="98" spans="21:29" x14ac:dyDescent="0.2">
      <c r="U98" s="44"/>
      <c r="V98" s="45"/>
      <c r="W98" s="45"/>
      <c r="X98" s="45"/>
      <c r="Y98" s="45"/>
      <c r="Z98" s="45"/>
      <c r="AA98" s="45"/>
      <c r="AB98" s="45"/>
      <c r="AC98" s="46"/>
    </row>
  </sheetData>
  <mergeCells count="9">
    <mergeCell ref="A84:C84"/>
    <mergeCell ref="Q1:S1"/>
    <mergeCell ref="A9:C9"/>
    <mergeCell ref="A24:C24"/>
    <mergeCell ref="A39:C39"/>
    <mergeCell ref="J1:L1"/>
    <mergeCell ref="N1:O1"/>
    <mergeCell ref="A53:C53"/>
    <mergeCell ref="A67:C67"/>
  </mergeCells>
  <phoneticPr fontId="0" type="noConversion"/>
  <pageMargins left="0.75" right="0.75" top="1" bottom="1" header="0.5" footer="0.5"/>
  <pageSetup paperSize="9" orientation="portrait" r:id="rId1"/>
  <headerFooter alignWithMargins="0"/>
  <ignoredErrors>
    <ignoredError sqref="BA6" formulaRange="1"/>
  </ignoredErrors>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7"/>
  <dimension ref="A1:O34"/>
  <sheetViews>
    <sheetView zoomScaleNormal="100" workbookViewId="0">
      <selection activeCell="C14" sqref="C14"/>
    </sheetView>
  </sheetViews>
  <sheetFormatPr defaultColWidth="7" defaultRowHeight="11.25" x14ac:dyDescent="0.2"/>
  <cols>
    <col min="1" max="1" width="9.28515625" style="171" bestFit="1" customWidth="1"/>
    <col min="2" max="2" width="9" style="171" bestFit="1" customWidth="1"/>
    <col min="3" max="4" width="7" style="171" customWidth="1"/>
    <col min="5" max="5" width="9" style="171" bestFit="1" customWidth="1"/>
    <col min="6" max="6" width="5.28515625" style="171" bestFit="1" customWidth="1"/>
    <col min="7" max="7" width="7" style="171" customWidth="1"/>
    <col min="8" max="10" width="9.7109375" style="171" customWidth="1"/>
    <col min="11" max="16384" width="7" style="171"/>
  </cols>
  <sheetData>
    <row r="1" spans="1:15" s="170" customFormat="1" ht="45" x14ac:dyDescent="0.2">
      <c r="A1" s="168" t="s">
        <v>85</v>
      </c>
      <c r="B1" s="169" t="s">
        <v>86</v>
      </c>
      <c r="C1" s="169" t="s">
        <v>120</v>
      </c>
      <c r="D1" s="169" t="s">
        <v>121</v>
      </c>
      <c r="E1" s="169" t="s">
        <v>122</v>
      </c>
      <c r="F1" s="171"/>
      <c r="I1" s="328" t="s">
        <v>115</v>
      </c>
      <c r="J1" s="329"/>
      <c r="K1" s="330"/>
      <c r="L1" s="171"/>
      <c r="M1" s="331" t="s">
        <v>116</v>
      </c>
      <c r="N1" s="332"/>
      <c r="O1" s="333"/>
    </row>
    <row r="2" spans="1:15" x14ac:dyDescent="0.2">
      <c r="A2" s="232" t="s">
        <v>154</v>
      </c>
      <c r="B2" s="172">
        <f>B5</f>
        <v>0</v>
      </c>
      <c r="C2" s="173">
        <v>0</v>
      </c>
      <c r="D2" s="173">
        <v>0</v>
      </c>
      <c r="E2" s="233">
        <v>0</v>
      </c>
      <c r="I2" s="188" t="s">
        <v>21</v>
      </c>
      <c r="J2" s="175" t="s">
        <v>87</v>
      </c>
      <c r="K2" s="174" t="s">
        <v>117</v>
      </c>
      <c r="M2" s="175" t="s">
        <v>87</v>
      </c>
      <c r="N2" s="174" t="s">
        <v>118</v>
      </c>
      <c r="O2" s="188" t="s">
        <v>119</v>
      </c>
    </row>
    <row r="3" spans="1:15" x14ac:dyDescent="0.2">
      <c r="C3" s="231">
        <f>B2-C2</f>
        <v>0</v>
      </c>
      <c r="I3" s="176"/>
      <c r="J3" s="287">
        <v>2</v>
      </c>
      <c r="K3" s="286"/>
      <c r="M3" s="287">
        <v>0</v>
      </c>
      <c r="N3" s="302"/>
      <c r="O3" s="303"/>
    </row>
    <row r="4" spans="1:15" x14ac:dyDescent="0.2">
      <c r="A4" s="337" t="s">
        <v>88</v>
      </c>
      <c r="B4" s="337"/>
      <c r="I4" s="294"/>
      <c r="J4" s="287">
        <v>3</v>
      </c>
      <c r="K4" s="288"/>
      <c r="M4" s="287">
        <v>1</v>
      </c>
      <c r="N4" s="304"/>
      <c r="O4" s="303"/>
    </row>
    <row r="5" spans="1:15" x14ac:dyDescent="0.2">
      <c r="A5" s="178" t="s">
        <v>89</v>
      </c>
      <c r="B5" s="179"/>
      <c r="C5" s="272" t="s">
        <v>158</v>
      </c>
      <c r="D5" s="272" t="s">
        <v>159</v>
      </c>
      <c r="I5" s="177"/>
      <c r="J5" s="287">
        <v>4</v>
      </c>
      <c r="K5" s="288"/>
      <c r="M5" s="287">
        <v>2</v>
      </c>
      <c r="N5" s="304"/>
      <c r="O5" s="303"/>
    </row>
    <row r="6" spans="1:15" x14ac:dyDescent="0.2">
      <c r="A6" s="180" t="s">
        <v>22</v>
      </c>
      <c r="B6" s="277">
        <f>C6+D6/365</f>
        <v>3.419178082191781</v>
      </c>
      <c r="C6" s="271">
        <v>3</v>
      </c>
      <c r="D6" s="271">
        <v>153</v>
      </c>
      <c r="I6" s="177"/>
      <c r="J6" s="287">
        <v>5</v>
      </c>
      <c r="K6" s="288"/>
      <c r="M6" s="287">
        <v>3</v>
      </c>
      <c r="N6" s="304"/>
      <c r="O6" s="303"/>
    </row>
    <row r="7" spans="1:15" x14ac:dyDescent="0.2">
      <c r="A7" s="181" t="s">
        <v>90</v>
      </c>
      <c r="B7" s="181">
        <v>2</v>
      </c>
      <c r="I7" s="177"/>
      <c r="J7" s="287">
        <v>6</v>
      </c>
      <c r="K7" s="288"/>
      <c r="M7" s="287">
        <v>4</v>
      </c>
      <c r="N7" s="304"/>
      <c r="O7" s="303"/>
    </row>
    <row r="8" spans="1:15" x14ac:dyDescent="0.2">
      <c r="A8" s="181" t="s">
        <v>91</v>
      </c>
      <c r="B8" s="182">
        <f>Dati_G!B2</f>
        <v>43542</v>
      </c>
      <c r="C8" s="300"/>
      <c r="D8" s="300"/>
      <c r="E8" s="271"/>
      <c r="I8" s="177"/>
      <c r="J8" s="287">
        <v>7</v>
      </c>
      <c r="K8" s="288"/>
      <c r="M8" s="287">
        <v>5</v>
      </c>
      <c r="N8" s="304"/>
      <c r="O8" s="303"/>
    </row>
    <row r="9" spans="1:15" x14ac:dyDescent="0.2">
      <c r="I9" s="177"/>
      <c r="J9" s="287">
        <v>8</v>
      </c>
      <c r="K9" s="288"/>
      <c r="M9" s="287">
        <v>6</v>
      </c>
      <c r="N9" s="304"/>
      <c r="O9" s="303"/>
    </row>
    <row r="10" spans="1:15" x14ac:dyDescent="0.2">
      <c r="I10" s="177"/>
      <c r="J10" s="287">
        <v>9</v>
      </c>
      <c r="K10" s="288"/>
      <c r="M10" s="287">
        <v>7</v>
      </c>
      <c r="N10" s="304"/>
      <c r="O10" s="303"/>
    </row>
    <row r="11" spans="1:15" x14ac:dyDescent="0.2">
      <c r="A11" s="334" t="s">
        <v>7</v>
      </c>
      <c r="B11" s="335"/>
      <c r="C11" s="336"/>
      <c r="I11" s="177"/>
      <c r="J11" s="287">
        <v>10</v>
      </c>
      <c r="K11" s="288"/>
      <c r="M11" s="287">
        <v>8</v>
      </c>
      <c r="N11" s="304"/>
      <c r="O11" s="303"/>
    </row>
    <row r="12" spans="1:15" x14ac:dyDescent="0.2">
      <c r="A12" s="183" t="s">
        <v>8</v>
      </c>
      <c r="B12" s="184" t="s">
        <v>9</v>
      </c>
      <c r="C12" s="185" t="s">
        <v>10</v>
      </c>
      <c r="I12" s="177"/>
      <c r="J12" s="287">
        <v>15</v>
      </c>
      <c r="K12" s="288"/>
      <c r="M12" s="287">
        <v>9</v>
      </c>
      <c r="N12" s="304"/>
      <c r="O12" s="303"/>
    </row>
    <row r="13" spans="1:15" x14ac:dyDescent="0.2">
      <c r="A13" s="176">
        <f>[1]!MLPutMatrix("Mat",B6)</f>
        <v>0</v>
      </c>
      <c r="B13" s="176">
        <f>[1]!MLEvalString("[Spread] = round(interp1(TESORERIA(:,1),TESORERIA(:,2),Mat))")</f>
        <v>0</v>
      </c>
      <c r="C13" s="176">
        <f>[1]!Mlgetmatrix("Spread","C2")</f>
        <v>0</v>
      </c>
      <c r="I13" s="177"/>
      <c r="J13" s="287">
        <v>20</v>
      </c>
      <c r="K13" s="288"/>
      <c r="M13" s="289">
        <v>10</v>
      </c>
      <c r="N13" s="305"/>
      <c r="O13" s="306"/>
    </row>
    <row r="14" spans="1:15" x14ac:dyDescent="0.2">
      <c r="A14" s="177">
        <f>[1]!MLPutMatrix("TESORERIA",J3:K15)</f>
        <v>0</v>
      </c>
      <c r="B14" s="177">
        <f>[1]!MLEvalString("[Spread1] = round(interp1(BIMI(:,1),BIMI(:,2:end),Mat))")</f>
        <v>0</v>
      </c>
      <c r="C14" s="177">
        <f>[1]!Mlgetmatrix("Spread1","D2")</f>
        <v>0</v>
      </c>
      <c r="I14" s="177"/>
      <c r="J14" s="287">
        <v>25</v>
      </c>
      <c r="K14" s="288"/>
    </row>
    <row r="15" spans="1:15" x14ac:dyDescent="0.2">
      <c r="A15" s="186">
        <f>[1]!MLPutMatrix("BIMI",M3:O13)</f>
        <v>0</v>
      </c>
      <c r="B15" s="186"/>
      <c r="C15" s="186"/>
      <c r="I15" s="186"/>
      <c r="J15" s="289">
        <v>30</v>
      </c>
      <c r="K15" s="290"/>
    </row>
    <row r="19" ht="11.25" customHeight="1" x14ac:dyDescent="0.2"/>
    <row r="20" ht="11.25" customHeight="1" x14ac:dyDescent="0.2"/>
    <row r="21" ht="11.25" customHeight="1" x14ac:dyDescent="0.2"/>
    <row r="22" ht="11.25" customHeight="1" x14ac:dyDescent="0.2"/>
    <row r="23" ht="11.25" customHeight="1" x14ac:dyDescent="0.2"/>
    <row r="24" ht="11.25" customHeight="1" x14ac:dyDescent="0.2"/>
    <row r="25" ht="11.25" customHeight="1" x14ac:dyDescent="0.2"/>
    <row r="26" ht="11.25" customHeight="1" x14ac:dyDescent="0.2"/>
    <row r="34" ht="11.25" customHeight="1" x14ac:dyDescent="0.2"/>
  </sheetData>
  <mergeCells count="4">
    <mergeCell ref="I1:K1"/>
    <mergeCell ref="M1:O1"/>
    <mergeCell ref="A11:C11"/>
    <mergeCell ref="A4:B4"/>
  </mergeCells>
  <phoneticPr fontId="0" type="noConversion"/>
  <pageMargins left="0.75" right="0.75" top="1" bottom="1" header="0.5" footer="0.5"/>
  <pageSetup paperSize="9"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5"/>
  <dimension ref="A1:Y325"/>
  <sheetViews>
    <sheetView tabSelected="1" view="pageBreakPreview" topLeftCell="A255" zoomScaleNormal="100" zoomScaleSheetLayoutView="100" workbookViewId="0">
      <selection activeCell="B277" sqref="B277:G281"/>
    </sheetView>
  </sheetViews>
  <sheetFormatPr defaultRowHeight="12.75" customHeight="1" x14ac:dyDescent="0.2"/>
  <cols>
    <col min="1" max="1" width="3.42578125" style="85" customWidth="1"/>
    <col min="2" max="2" width="13.85546875" style="85" customWidth="1"/>
    <col min="3" max="3" width="9.85546875" style="85" customWidth="1"/>
    <col min="4" max="4" width="9.7109375" style="85" customWidth="1"/>
    <col min="5" max="5" width="14.42578125" style="85" bestFit="1" customWidth="1"/>
    <col min="6" max="9" width="9.85546875" style="85" customWidth="1"/>
    <col min="10" max="10" width="14.28515625" style="85" customWidth="1"/>
    <col min="11" max="11" width="3.42578125" style="85" customWidth="1"/>
    <col min="12" max="12" width="12.140625" style="84" bestFit="1" customWidth="1"/>
    <col min="13" max="14" width="9.28515625" style="84" bestFit="1" customWidth="1"/>
    <col min="15" max="15" width="19.28515625" style="84" bestFit="1" customWidth="1"/>
    <col min="16" max="16" width="9.28515625" style="84" customWidth="1"/>
    <col min="17" max="17" width="11.42578125" style="85" bestFit="1" customWidth="1"/>
    <col min="18" max="18" width="12.140625" style="85" bestFit="1" customWidth="1"/>
    <col min="19" max="19" width="11.42578125" style="85" bestFit="1" customWidth="1"/>
    <col min="20" max="20" width="9.140625" style="85"/>
    <col min="21" max="21" width="23" style="85" bestFit="1" customWidth="1"/>
    <col min="22" max="23" width="9.140625" style="85"/>
    <col min="24" max="24" width="12.140625" style="85" bestFit="1" customWidth="1"/>
    <col min="25" max="25" width="10.7109375" style="85" bestFit="1" customWidth="1"/>
    <col min="26" max="29" width="9.140625" style="85"/>
    <col min="30" max="30" width="12.28515625" style="85" bestFit="1" customWidth="1"/>
    <col min="31" max="38" width="9.140625" style="85"/>
    <col min="39" max="39" width="12.28515625" style="85" bestFit="1" customWidth="1"/>
    <col min="40" max="16384" width="9.140625" style="85"/>
  </cols>
  <sheetData>
    <row r="1" spans="1:15" ht="12.75" customHeight="1" x14ac:dyDescent="0.2">
      <c r="A1" s="83"/>
      <c r="B1" s="83"/>
      <c r="C1" s="83"/>
      <c r="D1" s="83"/>
      <c r="E1" s="83"/>
      <c r="F1" s="83"/>
      <c r="G1" s="83"/>
      <c r="H1" s="83"/>
      <c r="I1" s="83"/>
      <c r="J1" s="83"/>
      <c r="K1" s="83"/>
    </row>
    <row r="2" spans="1:15" ht="12.75" customHeight="1" x14ac:dyDescent="0.2">
      <c r="A2" s="83"/>
      <c r="B2" s="83"/>
      <c r="C2" s="83"/>
      <c r="D2" s="83"/>
      <c r="E2" s="83"/>
      <c r="F2" s="83"/>
      <c r="G2" s="83"/>
      <c r="H2" s="83"/>
      <c r="I2" s="83"/>
      <c r="J2" s="86">
        <f ca="1">TODAY()</f>
        <v>43549</v>
      </c>
      <c r="K2" s="83"/>
    </row>
    <row r="3" spans="1:15" ht="12.75" customHeight="1" x14ac:dyDescent="0.2">
      <c r="A3" s="83"/>
      <c r="B3" s="83"/>
      <c r="C3" s="83"/>
      <c r="D3" s="83"/>
      <c r="E3" s="83"/>
      <c r="F3" s="83"/>
      <c r="G3" s="83"/>
      <c r="H3" s="83"/>
      <c r="I3" s="83"/>
      <c r="J3" s="83"/>
      <c r="K3" s="83"/>
    </row>
    <row r="4" spans="1:15" ht="12.75" customHeight="1" x14ac:dyDescent="0.2">
      <c r="A4" s="87"/>
      <c r="B4" s="339" t="s">
        <v>168</v>
      </c>
      <c r="C4" s="339"/>
      <c r="D4" s="339"/>
      <c r="E4" s="339"/>
      <c r="F4" s="339"/>
      <c r="G4" s="339"/>
      <c r="H4" s="339"/>
      <c r="I4" s="339"/>
      <c r="J4" s="339"/>
      <c r="K4" s="87"/>
    </row>
    <row r="5" spans="1:15" ht="12.75" customHeight="1" x14ac:dyDescent="0.2">
      <c r="A5" s="83"/>
      <c r="B5" s="83"/>
      <c r="C5" s="83"/>
      <c r="D5" s="83"/>
      <c r="E5" s="83"/>
      <c r="F5" s="83"/>
      <c r="G5" s="83"/>
      <c r="H5" s="83"/>
      <c r="I5" s="83"/>
      <c r="J5" s="83"/>
      <c r="K5" s="83"/>
    </row>
    <row r="6" spans="1:15" ht="12.75" customHeight="1" x14ac:dyDescent="0.2">
      <c r="A6" s="83"/>
      <c r="B6" s="83"/>
      <c r="C6" s="83"/>
      <c r="D6" s="83"/>
      <c r="E6" s="83"/>
      <c r="F6" s="83"/>
      <c r="G6" s="83"/>
      <c r="H6" s="83"/>
      <c r="I6" s="83"/>
      <c r="J6" s="83"/>
      <c r="K6" s="83"/>
      <c r="L6" s="89" t="str">
        <f>"AZIONE "&amp;L11</f>
        <v>AZIONE Mediobanca S.p.a.</v>
      </c>
    </row>
    <row r="7" spans="1:15" ht="12.75" customHeight="1" x14ac:dyDescent="0.2">
      <c r="A7" s="83"/>
      <c r="B7" s="366" t="str">
        <f>CONCATENATE("CERTIFICATES BANCA IMI EXPRESS PLUS SU ",L6," ",TEXT(M7,"gg/mm/aaaa")," - ",TEXT(N7,"gg/mm/aaaa"))</f>
        <v>CERTIFICATES BANCA IMI EXPRESS PLUS SU AZIONE Mediobanca S.p.a. 30/04/2019 - 02/05/2022</v>
      </c>
      <c r="C7" s="366"/>
      <c r="D7" s="366"/>
      <c r="E7" s="366"/>
      <c r="F7" s="366"/>
      <c r="G7" s="366"/>
      <c r="H7" s="366"/>
      <c r="I7" s="366"/>
      <c r="J7" s="366"/>
      <c r="K7" s="83"/>
      <c r="L7" s="92">
        <v>0.7</v>
      </c>
      <c r="M7" s="90">
        <v>43585</v>
      </c>
      <c r="N7" s="90">
        <f>IF(WORKDAY(DATE(YEAR($M$7)+O10,MONTH($M$7),DAY($M$7)-1),1) =WORKDAY(DATE(YEAR( $M$7)+O10,MONTH($M$7),DAY($M$7)),0),WORKDAY(DATE(YEAR($M$7)+O10,MONTH($M$7),DAY($M$7)),0),WORKDAY(DATE(YEAR($M$7)+O10,MONTH($M$7),DAY($M$7)),0))+2</f>
        <v>44683</v>
      </c>
    </row>
    <row r="8" spans="1:15" ht="12.75" customHeight="1" x14ac:dyDescent="0.2">
      <c r="A8" s="83"/>
      <c r="B8" s="366"/>
      <c r="C8" s="366"/>
      <c r="D8" s="366"/>
      <c r="E8" s="366"/>
      <c r="F8" s="366"/>
      <c r="G8" s="366"/>
      <c r="H8" s="366"/>
      <c r="I8" s="366"/>
      <c r="J8" s="366"/>
      <c r="K8" s="83"/>
      <c r="L8" s="263"/>
      <c r="M8" s="264"/>
      <c r="N8" s="264"/>
    </row>
    <row r="9" spans="1:15" ht="12.75" customHeight="1" x14ac:dyDescent="0.2">
      <c r="A9" s="83"/>
      <c r="B9" s="366"/>
      <c r="C9" s="366"/>
      <c r="D9" s="366"/>
      <c r="E9" s="366"/>
      <c r="F9" s="366"/>
      <c r="G9" s="366"/>
      <c r="H9" s="366"/>
      <c r="I9" s="366"/>
      <c r="J9" s="366"/>
      <c r="K9" s="83"/>
    </row>
    <row r="10" spans="1:15" ht="12.75" customHeight="1" x14ac:dyDescent="0.2">
      <c r="A10" s="83"/>
      <c r="B10" s="338" t="str">
        <f>CONCATENATE(L10," intende proporre alla propria Clientela dal ",TEXT(M10,"gg mmmm aaaa")," al ",TEXT(N10,"gg mmmm aaaa")," una struttura con emittente ",L17," e durata ",TEXT(O10,"0")," anni, che prevede il pagamento di un premio di rimborso e/o l'estinzione anticipata del prodotto. Il cliente non ha protezione del capitale inziale investito se l'azione ",L11," perde più del ",TEXT(1-L164,"0%")," del proprio valore, alla scadenza finale del prodotto.")</f>
        <v>Divisione Private Banking intende proporre alla propria Clientela dal 12 aprile 2019 al 26 aprile 2019 una struttura con emittente BANCA IMI e durata 3 anni, che prevede il pagamento di un premio di rimborso e/o l'estinzione anticipata del prodotto. Il cliente non ha protezione del capitale inziale investito se l'azione Mediobanca S.p.a. perde più del 30% del proprio valore, alla scadenza finale del prodotto.</v>
      </c>
      <c r="C10" s="338"/>
      <c r="D10" s="338"/>
      <c r="E10" s="338"/>
      <c r="F10" s="338"/>
      <c r="G10" s="338"/>
      <c r="H10" s="338"/>
      <c r="I10" s="338"/>
      <c r="J10" s="338"/>
      <c r="K10" s="83"/>
      <c r="L10" s="89" t="s">
        <v>430</v>
      </c>
      <c r="M10" s="122">
        <v>43567</v>
      </c>
      <c r="N10" s="122">
        <v>43581</v>
      </c>
      <c r="O10" s="91">
        <v>3</v>
      </c>
    </row>
    <row r="11" spans="1:15" ht="12.75" customHeight="1" x14ac:dyDescent="0.2">
      <c r="A11" s="83"/>
      <c r="B11" s="338"/>
      <c r="C11" s="338"/>
      <c r="D11" s="338"/>
      <c r="E11" s="338"/>
      <c r="F11" s="338"/>
      <c r="G11" s="338"/>
      <c r="H11" s="338"/>
      <c r="I11" s="338"/>
      <c r="J11" s="338"/>
      <c r="K11" s="83"/>
      <c r="L11" s="259" t="s">
        <v>504</v>
      </c>
      <c r="M11" s="85"/>
      <c r="N11" s="85"/>
    </row>
    <row r="12" spans="1:15" ht="12.75" customHeight="1" x14ac:dyDescent="0.2">
      <c r="A12" s="83"/>
      <c r="B12" s="338"/>
      <c r="C12" s="338"/>
      <c r="D12" s="338"/>
      <c r="E12" s="338"/>
      <c r="F12" s="338"/>
      <c r="G12" s="338"/>
      <c r="H12" s="338"/>
      <c r="I12" s="338"/>
      <c r="J12" s="338"/>
      <c r="K12" s="83"/>
      <c r="L12" s="89" t="s">
        <v>505</v>
      </c>
      <c r="M12" s="85"/>
      <c r="N12" s="85"/>
    </row>
    <row r="13" spans="1:15" ht="15.6" customHeight="1" x14ac:dyDescent="0.2">
      <c r="A13" s="83"/>
      <c r="B13" s="338"/>
      <c r="C13" s="338"/>
      <c r="D13" s="338"/>
      <c r="E13" s="338"/>
      <c r="F13" s="338"/>
      <c r="G13" s="338"/>
      <c r="H13" s="338"/>
      <c r="I13" s="338"/>
      <c r="J13" s="338"/>
      <c r="K13" s="83"/>
      <c r="L13" s="121"/>
      <c r="M13" s="85"/>
      <c r="N13" s="85"/>
    </row>
    <row r="14" spans="1:15" ht="12.75" customHeight="1" x14ac:dyDescent="0.2">
      <c r="A14" s="83"/>
      <c r="B14" s="83"/>
      <c r="C14" s="83"/>
      <c r="D14" s="83"/>
      <c r="E14" s="83"/>
      <c r="F14" s="83"/>
      <c r="G14" s="83"/>
      <c r="H14" s="83"/>
      <c r="I14" s="83"/>
      <c r="J14" s="83"/>
      <c r="K14" s="83"/>
      <c r="L14" s="85"/>
      <c r="M14" s="85"/>
      <c r="N14" s="85"/>
    </row>
    <row r="15" spans="1:15" ht="12.75" customHeight="1" x14ac:dyDescent="0.2">
      <c r="A15" s="83"/>
      <c r="B15" s="347" t="s">
        <v>42</v>
      </c>
      <c r="C15" s="347"/>
      <c r="D15" s="347"/>
      <c r="E15" s="347"/>
      <c r="F15" s="347"/>
      <c r="G15" s="347"/>
      <c r="H15" s="347"/>
      <c r="I15" s="347"/>
      <c r="J15" s="347"/>
      <c r="K15" s="83"/>
      <c r="L15" s="85"/>
      <c r="M15" s="85"/>
      <c r="N15" s="85"/>
    </row>
    <row r="16" spans="1:15" ht="12.75" customHeight="1" x14ac:dyDescent="0.2">
      <c r="A16" s="83"/>
      <c r="B16" s="83"/>
      <c r="C16" s="83"/>
      <c r="D16" s="83"/>
      <c r="E16" s="83"/>
      <c r="F16" s="83"/>
      <c r="G16" s="83"/>
      <c r="H16" s="83"/>
      <c r="I16" s="83"/>
      <c r="J16" s="83"/>
      <c r="K16" s="83"/>
      <c r="L16" s="85"/>
      <c r="M16" s="85"/>
      <c r="N16" s="85"/>
    </row>
    <row r="17" spans="1:14" ht="12.75" customHeight="1" x14ac:dyDescent="0.2">
      <c r="A17" s="83"/>
      <c r="B17" s="363" t="s">
        <v>27</v>
      </c>
      <c r="C17" s="363"/>
      <c r="D17" s="367" t="str">
        <f>L17</f>
        <v>BANCA IMI</v>
      </c>
      <c r="E17" s="367"/>
      <c r="F17" s="367"/>
      <c r="G17" s="367"/>
      <c r="H17" s="367"/>
      <c r="I17" s="367"/>
      <c r="J17" s="367"/>
      <c r="K17" s="83"/>
      <c r="L17" s="100" t="s">
        <v>51</v>
      </c>
      <c r="M17" s="85"/>
      <c r="N17" s="85"/>
    </row>
    <row r="18" spans="1:14" ht="12.75" customHeight="1" x14ac:dyDescent="0.2">
      <c r="A18" s="83"/>
      <c r="B18" s="363" t="s">
        <v>28</v>
      </c>
      <c r="C18" s="363"/>
      <c r="D18" s="368" t="str">
        <f>CONCATENATE("Issuer Rating: S&amp;P’s ","""",L18,"""",","," Moody’s ","""",M18,"""",","," Fitch ","""",N18,"""")</f>
        <v>Issuer Rating: S&amp;P’s "BBB", Moody’s "Baa1", Fitch "BBB"</v>
      </c>
      <c r="E18" s="368"/>
      <c r="F18" s="368"/>
      <c r="G18" s="368"/>
      <c r="H18" s="368"/>
      <c r="I18" s="368"/>
      <c r="J18" s="368"/>
      <c r="K18" s="83"/>
      <c r="L18" s="89" t="s">
        <v>172</v>
      </c>
      <c r="M18" s="89" t="s">
        <v>160</v>
      </c>
      <c r="N18" s="89" t="s">
        <v>172</v>
      </c>
    </row>
    <row r="19" spans="1:14" ht="12.75" customHeight="1" x14ac:dyDescent="0.2">
      <c r="A19" s="83"/>
      <c r="B19" s="363" t="s">
        <v>29</v>
      </c>
      <c r="C19" s="363"/>
      <c r="D19" s="367" t="str">
        <f>L19</f>
        <v>…</v>
      </c>
      <c r="E19" s="367"/>
      <c r="F19" s="367"/>
      <c r="G19" s="367"/>
      <c r="H19" s="367"/>
      <c r="I19" s="367"/>
      <c r="J19" s="367"/>
      <c r="K19" s="83"/>
      <c r="L19" s="89" t="s">
        <v>429</v>
      </c>
    </row>
    <row r="20" spans="1:14" ht="12.75" customHeight="1" x14ac:dyDescent="0.2">
      <c r="A20" s="83"/>
      <c r="B20" s="363" t="s">
        <v>30</v>
      </c>
      <c r="C20" s="363"/>
      <c r="D20" s="371" t="str">
        <f>CONCATENATE("Fino a ",TEXT(L20,"€ 0.000.000"))</f>
        <v>Fino a € 150.000.000</v>
      </c>
      <c r="E20" s="371"/>
      <c r="F20" s="371"/>
      <c r="G20" s="371"/>
      <c r="H20" s="371"/>
      <c r="I20" s="371"/>
      <c r="J20" s="371"/>
      <c r="K20" s="83"/>
      <c r="L20" s="89">
        <v>150000000</v>
      </c>
    </row>
    <row r="21" spans="1:14" ht="12.75" customHeight="1" x14ac:dyDescent="0.2">
      <c r="A21" s="83"/>
      <c r="B21" s="363" t="s">
        <v>31</v>
      </c>
      <c r="C21" s="363"/>
      <c r="D21" s="367" t="str">
        <f>CONCATENATE("Dal ",TEXT(M10,"gg mmmm aaaa")," al ",TEXT(N10,"gg mmmm aaaa"))</f>
        <v>Dal 12 aprile 2019 al 26 aprile 2019</v>
      </c>
      <c r="E21" s="367"/>
      <c r="F21" s="367"/>
      <c r="G21" s="367"/>
      <c r="H21" s="367"/>
      <c r="I21" s="367"/>
      <c r="J21" s="367"/>
      <c r="K21" s="83"/>
    </row>
    <row r="22" spans="1:14" ht="12.75" customHeight="1" x14ac:dyDescent="0.2">
      <c r="A22" s="83"/>
      <c r="B22" s="363" t="s">
        <v>32</v>
      </c>
      <c r="C22" s="363"/>
      <c r="D22" s="367" t="str">
        <f>CONCATENATE(TEXT(O10,"0")," anni")</f>
        <v>3 anni</v>
      </c>
      <c r="E22" s="367"/>
      <c r="F22" s="367"/>
      <c r="G22" s="367"/>
      <c r="H22" s="367"/>
      <c r="I22" s="367"/>
      <c r="J22" s="367"/>
      <c r="K22" s="83"/>
    </row>
    <row r="23" spans="1:14" ht="12.75" customHeight="1" x14ac:dyDescent="0.2">
      <c r="A23" s="83"/>
      <c r="B23" s="363" t="s">
        <v>33</v>
      </c>
      <c r="C23" s="363"/>
      <c r="D23" s="369">
        <f>M7</f>
        <v>43585</v>
      </c>
      <c r="E23" s="369"/>
      <c r="F23" s="369"/>
      <c r="G23" s="369"/>
      <c r="H23" s="369"/>
      <c r="I23" s="369"/>
      <c r="J23" s="369"/>
      <c r="K23" s="83"/>
    </row>
    <row r="24" spans="1:14" ht="12.75" customHeight="1" x14ac:dyDescent="0.2">
      <c r="A24" s="83"/>
      <c r="B24" s="363" t="s">
        <v>34</v>
      </c>
      <c r="C24" s="363"/>
      <c r="D24" s="369">
        <f>N7</f>
        <v>44683</v>
      </c>
      <c r="E24" s="369"/>
      <c r="F24" s="369"/>
      <c r="G24" s="369"/>
      <c r="H24" s="369"/>
      <c r="I24" s="369"/>
      <c r="J24" s="369"/>
      <c r="K24" s="83"/>
    </row>
    <row r="25" spans="1:14" ht="12.75" customHeight="1" x14ac:dyDescent="0.2">
      <c r="A25" s="83"/>
      <c r="B25" s="363" t="s">
        <v>35</v>
      </c>
      <c r="C25" s="363"/>
      <c r="D25" s="370" t="str">
        <f>CONCATENATE("Alla pari (",TEXT(L25,"0%"),")")</f>
        <v>Alla pari (100%)</v>
      </c>
      <c r="E25" s="370"/>
      <c r="F25" s="370"/>
      <c r="G25" s="370"/>
      <c r="H25" s="370"/>
      <c r="I25" s="370"/>
      <c r="J25" s="370"/>
      <c r="K25" s="83"/>
      <c r="L25" s="92">
        <v>1</v>
      </c>
    </row>
    <row r="26" spans="1:14" ht="12.75" customHeight="1" x14ac:dyDescent="0.2">
      <c r="A26" s="83"/>
      <c r="B26" s="363" t="s">
        <v>43</v>
      </c>
      <c r="C26" s="363"/>
      <c r="D26" s="367" t="str">
        <f>CONCATENATE("Commissioni a favore dei collocatori:"," ",TEXT(L26,"0,00%")," up front")</f>
        <v>Commissioni a favore dei collocatori: 2,00% up front</v>
      </c>
      <c r="E26" s="367"/>
      <c r="F26" s="367"/>
      <c r="G26" s="367"/>
      <c r="H26" s="367"/>
      <c r="I26" s="367"/>
      <c r="J26" s="367"/>
      <c r="K26" s="83"/>
      <c r="L26" s="119">
        <v>0.02</v>
      </c>
    </row>
    <row r="27" spans="1:14" ht="12.75" customHeight="1" x14ac:dyDescent="0.2">
      <c r="A27" s="83"/>
      <c r="B27" s="79"/>
      <c r="C27" s="79"/>
      <c r="D27" s="348" t="str">
        <f>CONCATENATE("Oneri di gestione rischio di invenduto:"," ",IF(L27=0,"[...]",TEXT(L27,"0,000%"))," up front")</f>
        <v>Oneri di gestione rischio di invenduto: 0,813% up front</v>
      </c>
      <c r="E27" s="348"/>
      <c r="F27" s="348"/>
      <c r="G27" s="348"/>
      <c r="H27" s="348"/>
      <c r="I27" s="348"/>
      <c r="J27" s="348"/>
      <c r="K27" s="83"/>
      <c r="L27" s="120">
        <v>8.1300000000000001E-3</v>
      </c>
    </row>
    <row r="28" spans="1:14" ht="12.75" customHeight="1" x14ac:dyDescent="0.2">
      <c r="A28" s="83"/>
      <c r="B28" s="79"/>
      <c r="C28" s="79"/>
      <c r="D28" s="348" t="str">
        <f>CONCATENATE("Altri costi di strutturazione:"," ",IF(L28=0%,"[...]",TEXT(L28,"0,000%"))," up front")</f>
        <v>Altri costi di strutturazione: 0,070% up front</v>
      </c>
      <c r="E28" s="348"/>
      <c r="F28" s="348"/>
      <c r="G28" s="348"/>
      <c r="H28" s="348"/>
      <c r="I28" s="348"/>
      <c r="J28" s="348"/>
      <c r="K28" s="83"/>
      <c r="L28" s="119">
        <v>6.9999999999999999E-4</v>
      </c>
    </row>
    <row r="29" spans="1:14" ht="12.75" customHeight="1" x14ac:dyDescent="0.2">
      <c r="A29" s="83"/>
      <c r="B29" s="363" t="s">
        <v>36</v>
      </c>
      <c r="C29" s="363"/>
      <c r="D29" s="373" t="str">
        <f>TEXT(L29,"0,000%")</f>
        <v>97,117%</v>
      </c>
      <c r="E29" s="373"/>
      <c r="F29" s="373"/>
      <c r="G29" s="373"/>
      <c r="H29" s="373"/>
      <c r="I29" s="373"/>
      <c r="J29" s="373"/>
      <c r="K29" s="83"/>
      <c r="L29" s="120">
        <f>L25-L26-L27-L28</f>
        <v>0.97116999999999998</v>
      </c>
    </row>
    <row r="30" spans="1:14" ht="12.75" customHeight="1" x14ac:dyDescent="0.2">
      <c r="A30" s="83"/>
      <c r="B30" s="363"/>
      <c r="C30" s="363"/>
      <c r="D30" s="373"/>
      <c r="E30" s="373"/>
      <c r="F30" s="373"/>
      <c r="G30" s="373"/>
      <c r="H30" s="373"/>
      <c r="I30" s="373"/>
      <c r="J30" s="373"/>
      <c r="K30" s="83"/>
    </row>
    <row r="31" spans="1:14" ht="12.75" customHeight="1" x14ac:dyDescent="0.2">
      <c r="A31" s="83"/>
      <c r="B31" s="363" t="s">
        <v>37</v>
      </c>
      <c r="C31" s="363"/>
      <c r="D31" s="371" t="str">
        <f xml:space="preserve"> CONCATENATE("1 Certificate (",TEXT(L31,"€ 0.0"),")")</f>
        <v>1 Certificate (€ 100.000)</v>
      </c>
      <c r="E31" s="371"/>
      <c r="F31" s="371"/>
      <c r="G31" s="371"/>
      <c r="H31" s="371"/>
      <c r="I31" s="371"/>
      <c r="J31" s="371"/>
      <c r="K31" s="83"/>
      <c r="L31" s="89">
        <v>100000</v>
      </c>
    </row>
    <row r="32" spans="1:14" ht="12.75" customHeight="1" x14ac:dyDescent="0.2">
      <c r="A32" s="83"/>
      <c r="B32" s="363" t="s">
        <v>38</v>
      </c>
      <c r="C32" s="363"/>
      <c r="D32" s="367" t="s">
        <v>83</v>
      </c>
      <c r="E32" s="367"/>
      <c r="F32" s="367"/>
      <c r="G32" s="367"/>
      <c r="H32" s="367"/>
      <c r="I32" s="367"/>
      <c r="J32" s="367"/>
      <c r="K32" s="83"/>
    </row>
    <row r="33" spans="1:19" ht="12.75" customHeight="1" x14ac:dyDescent="0.2">
      <c r="A33" s="83"/>
      <c r="B33" s="363" t="s">
        <v>164</v>
      </c>
      <c r="C33" s="363"/>
      <c r="D33" s="370" t="str">
        <f>CONCATENATE(L11," (Codice Bloomberg, ",L12,")")</f>
        <v>Mediobanca S.p.a. (Codice Bloomberg, MB IM Equity)</v>
      </c>
      <c r="E33" s="370"/>
      <c r="F33" s="370"/>
      <c r="G33" s="370"/>
      <c r="H33" s="370"/>
      <c r="I33" s="370"/>
      <c r="J33" s="370"/>
      <c r="K33" s="83"/>
      <c r="L33" s="89" t="str">
        <f>L11</f>
        <v>Mediobanca S.p.a.</v>
      </c>
      <c r="S33" s="247"/>
    </row>
    <row r="34" spans="1:19" ht="12.75" customHeight="1" x14ac:dyDescent="0.2">
      <c r="A34" s="83"/>
      <c r="B34" s="363" t="s">
        <v>39</v>
      </c>
      <c r="C34" s="363"/>
      <c r="D34" s="374" t="str">
        <f>CONCATENATE("Certificate della durata di ",O10," anni con protezione del capitale condizionata all'evento di rimborso anticipato o ad una perdita del sottostante inferiore o uguale al ",TEXT(1-L7,"0%")," del Valore di riferimento Iniziale. Il contratto prevede il pagamento di un premio di rimborso di ammontare predeterminato e corrisposto nel caso in cui l'azione abbia un rendimento superiore al livello della barriera.")</f>
        <v>Certificate della durata di 3 anni con protezione del capitale condizionata all'evento di rimborso anticipato o ad una perdita del sottostante inferiore o uguale al 30% del Valore di riferimento Iniziale. Il contratto prevede il pagamento di un premio di rimborso di ammontare predeterminato e corrisposto nel caso in cui l'azione abbia un rendimento superiore al livello della barriera.</v>
      </c>
      <c r="E34" s="374"/>
      <c r="F34" s="374"/>
      <c r="G34" s="374"/>
      <c r="H34" s="374"/>
      <c r="I34" s="374"/>
      <c r="J34" s="374"/>
      <c r="K34" s="83"/>
    </row>
    <row r="35" spans="1:19" ht="12.75" customHeight="1" x14ac:dyDescent="0.2">
      <c r="A35" s="83"/>
      <c r="B35" s="363"/>
      <c r="C35" s="363"/>
      <c r="D35" s="374"/>
      <c r="E35" s="374"/>
      <c r="F35" s="374"/>
      <c r="G35" s="374"/>
      <c r="H35" s="374"/>
      <c r="I35" s="374"/>
      <c r="J35" s="374"/>
      <c r="K35" s="83"/>
    </row>
    <row r="36" spans="1:19" ht="12.75" customHeight="1" x14ac:dyDescent="0.2">
      <c r="A36" s="83"/>
      <c r="B36" s="79"/>
      <c r="C36" s="79"/>
      <c r="D36" s="374"/>
      <c r="E36" s="374"/>
      <c r="F36" s="374"/>
      <c r="G36" s="374"/>
      <c r="H36" s="374"/>
      <c r="I36" s="374"/>
      <c r="J36" s="374"/>
      <c r="K36" s="83"/>
    </row>
    <row r="37" spans="1:19" ht="12.75" customHeight="1" x14ac:dyDescent="0.2">
      <c r="A37" s="83"/>
      <c r="B37" s="79"/>
      <c r="C37" s="79"/>
      <c r="D37" s="374"/>
      <c r="E37" s="374"/>
      <c r="F37" s="374"/>
      <c r="G37" s="374"/>
      <c r="H37" s="374"/>
      <c r="I37" s="374"/>
      <c r="J37" s="374"/>
      <c r="K37" s="83"/>
    </row>
    <row r="38" spans="1:19" ht="12.75" customHeight="1" x14ac:dyDescent="0.2">
      <c r="A38" s="83"/>
      <c r="B38" s="309"/>
      <c r="C38" s="309"/>
      <c r="D38" s="374"/>
      <c r="E38" s="374"/>
      <c r="F38" s="374"/>
      <c r="G38" s="374"/>
      <c r="H38" s="374"/>
      <c r="I38" s="374"/>
      <c r="J38" s="374"/>
      <c r="K38" s="83"/>
    </row>
    <row r="39" spans="1:19" ht="12.75" customHeight="1" x14ac:dyDescent="0.2">
      <c r="A39" s="83"/>
      <c r="B39" s="309"/>
      <c r="C39" s="309"/>
      <c r="D39" s="367" t="str">
        <f>CONCATENATE("Se il livello di chiusura dell'Azione sottostante è uguale o inferiore al ",TEXT(M44,"0%")," del Valore di Riferimento Iniziale in ciascuna delle Date di Pagamento, il Certificato pagherà importi come sotto specificato:")</f>
        <v>Se il livello di chiusura dell'Azione sottostante è uguale o inferiore al 70% del Valore di Riferimento Iniziale in ciascuna delle Date di Pagamento, il Certificato pagherà importi come sotto specificato:</v>
      </c>
      <c r="E39" s="367"/>
      <c r="F39" s="367"/>
      <c r="G39" s="367"/>
      <c r="H39" s="367"/>
      <c r="I39" s="367"/>
      <c r="J39" s="367"/>
      <c r="K39" s="83"/>
    </row>
    <row r="40" spans="1:19" ht="12.75" customHeight="1" x14ac:dyDescent="0.2">
      <c r="A40" s="83"/>
      <c r="B40" s="309"/>
      <c r="C40" s="309"/>
      <c r="D40" s="367"/>
      <c r="E40" s="367"/>
      <c r="F40" s="367"/>
      <c r="G40" s="367"/>
      <c r="H40" s="367"/>
      <c r="I40" s="367"/>
      <c r="J40" s="367"/>
      <c r="K40" s="83"/>
    </row>
    <row r="41" spans="1:19" ht="12.75" customHeight="1" x14ac:dyDescent="0.2">
      <c r="A41" s="83"/>
      <c r="B41" s="309"/>
      <c r="C41" s="309"/>
      <c r="D41" s="367"/>
      <c r="E41" s="367"/>
      <c r="F41" s="367"/>
      <c r="G41" s="367"/>
      <c r="H41" s="367"/>
      <c r="I41" s="367"/>
      <c r="J41" s="367"/>
      <c r="K41" s="83"/>
    </row>
    <row r="42" spans="1:19" ht="12.75" customHeight="1" x14ac:dyDescent="0.2">
      <c r="A42" s="83"/>
      <c r="B42" s="309"/>
      <c r="C42" s="309"/>
      <c r="D42" s="376" t="s">
        <v>432</v>
      </c>
      <c r="E42" s="376"/>
      <c r="F42" s="376" t="s">
        <v>433</v>
      </c>
      <c r="G42" s="376"/>
      <c r="H42" s="376" t="s">
        <v>434</v>
      </c>
      <c r="I42" s="312"/>
      <c r="J42" s="376" t="s">
        <v>58</v>
      </c>
      <c r="K42" s="83"/>
    </row>
    <row r="43" spans="1:19" ht="12.75" customHeight="1" x14ac:dyDescent="0.2">
      <c r="A43" s="83"/>
      <c r="B43" s="309"/>
      <c r="C43" s="309"/>
      <c r="D43" s="377"/>
      <c r="E43" s="377"/>
      <c r="F43" s="377"/>
      <c r="G43" s="377"/>
      <c r="H43" s="377"/>
      <c r="I43" s="313"/>
      <c r="J43" s="377"/>
      <c r="K43" s="83"/>
    </row>
    <row r="44" spans="1:19" ht="12.75" customHeight="1" x14ac:dyDescent="0.2">
      <c r="A44" s="83"/>
      <c r="B44" s="309"/>
      <c r="C44" s="309"/>
      <c r="D44" s="378"/>
      <c r="E44" s="378"/>
      <c r="F44" s="378"/>
      <c r="G44" s="378"/>
      <c r="H44" s="378"/>
      <c r="I44" s="314"/>
      <c r="J44" s="378"/>
      <c r="K44" s="83"/>
      <c r="L44" s="89" t="s">
        <v>82</v>
      </c>
      <c r="M44" s="92">
        <v>0.7</v>
      </c>
    </row>
    <row r="45" spans="1:19" ht="12.75" customHeight="1" x14ac:dyDescent="0.2">
      <c r="A45" s="83"/>
      <c r="B45" s="309"/>
      <c r="C45" s="309"/>
      <c r="D45" s="361" t="str">
        <f t="shared" ref="D45:D79" si="0">CONCATENATE(IF(L45=0,"",TEXT(L45,"gg")),IF(L45=0,"","-"),IF(M45=0,"",TEXT(M45,"gg")),IF(M45=0,"","-"),IF(N45=0,"",TEXT(N45,"gg")),IF(N45=0,"","-"),IF(O45=0,"",TEXT(O45,"gg")),IF(O45=0,"","-"),TEXT(P45,"gg/mm/aa"))</f>
        <v>22-23-24-27-28/05/19</v>
      </c>
      <c r="E45" s="361"/>
      <c r="F45" s="365" t="str">
        <f>CONCATENATE("Index(t) &lt;= ",TEXT($M$44,"0%"),"*VRI")</f>
        <v>Index(t) &lt;= 70%*VRI</v>
      </c>
      <c r="G45" s="365"/>
      <c r="H45" s="311" t="str">
        <f t="shared" ref="H45:H79" si="1">CONCATENATE(TEXT(Q45*$L$31,"€ 0,00"))</f>
        <v>€ 640,00</v>
      </c>
      <c r="I45" s="311"/>
      <c r="J45" s="311" t="str">
        <f t="shared" ref="J45:J79" si="2">TEXT(R45,"gg/mm/aa")</f>
        <v>03/06/19</v>
      </c>
      <c r="K45" s="83"/>
      <c r="L45" s="122">
        <f>M45-1</f>
        <v>43607</v>
      </c>
      <c r="M45" s="122">
        <f>N45-1</f>
        <v>43608</v>
      </c>
      <c r="N45" s="122">
        <f>O45-3</f>
        <v>43609</v>
      </c>
      <c r="O45" s="122">
        <f>P45-1</f>
        <v>43612</v>
      </c>
      <c r="P45" s="122">
        <f>R45-6</f>
        <v>43613</v>
      </c>
      <c r="Q45" s="119">
        <v>6.4000000000000003E-3</v>
      </c>
      <c r="R45" s="122">
        <f>IF(WORKDAY(DATE(YEAR($M$7),MONTH($M$7)+S45,DAY($M$7)-1),1) =WORKDAY(DATE(YEAR( $M$7),MONTH($M$7)+S45,DAY($M$7)),0),WORKDAY(DATE(YEAR($M$7),MONTH($M$7)+S45,DAY($M$7)),0),WORKDAY(DATE(YEAR($M$7),MONTH($M$7)+S45,DAY($M$7)),0))+4</f>
        <v>43619</v>
      </c>
      <c r="S45" s="85">
        <v>1</v>
      </c>
    </row>
    <row r="46" spans="1:19" ht="12.75" customHeight="1" x14ac:dyDescent="0.2">
      <c r="A46" s="83"/>
      <c r="B46" s="309"/>
      <c r="C46" s="309"/>
      <c r="D46" s="361" t="str">
        <f t="shared" si="0"/>
        <v>20-21-24-25-26/06/19</v>
      </c>
      <c r="E46" s="361"/>
      <c r="F46" s="365" t="str">
        <f t="shared" ref="F46:F79" si="3">CONCATENATE("Index(t) &lt;= ",TEXT($M$44,"0%"),"*VRI")</f>
        <v>Index(t) &lt;= 70%*VRI</v>
      </c>
      <c r="G46" s="365"/>
      <c r="H46" s="307" t="str">
        <f t="shared" si="1"/>
        <v>€ 640,00</v>
      </c>
      <c r="I46" s="307"/>
      <c r="J46" s="307" t="str">
        <f t="shared" si="2"/>
        <v>02/07/19</v>
      </c>
      <c r="K46" s="83"/>
      <c r="L46" s="122">
        <f t="shared" ref="L46" si="4">M46-1</f>
        <v>43636</v>
      </c>
      <c r="M46" s="122">
        <f>N46-3</f>
        <v>43637</v>
      </c>
      <c r="N46" s="122">
        <f>O46-1</f>
        <v>43640</v>
      </c>
      <c r="O46" s="122">
        <f t="shared" ref="O46:O79" si="5">P46-1</f>
        <v>43641</v>
      </c>
      <c r="P46" s="122">
        <f t="shared" ref="P46:P51" si="6">R46-6</f>
        <v>43642</v>
      </c>
      <c r="Q46" s="119">
        <f>Q45</f>
        <v>6.4000000000000003E-3</v>
      </c>
      <c r="R46" s="122">
        <f>IF(WORKDAY(DATE(YEAR($M$7),MONTH($M$7)+S46,DAY($M$7)-1),1) =WORKDAY(DATE(YEAR( $M$7),MONTH($M$7)+S46,DAY($M$7)),0),WORKDAY(DATE(YEAR($M$7),MONTH($M$7)+S46,DAY($M$7)),0),WORKDAY(DATE(YEAR($M$7),MONTH($M$7)+S46,DAY($M$7)),0))+2</f>
        <v>43648</v>
      </c>
      <c r="S46" s="85">
        <f>S45+1</f>
        <v>2</v>
      </c>
    </row>
    <row r="47" spans="1:19" ht="12.75" customHeight="1" x14ac:dyDescent="0.2">
      <c r="A47" s="83"/>
      <c r="B47" s="309"/>
      <c r="C47" s="309"/>
      <c r="D47" s="361" t="str">
        <f t="shared" si="0"/>
        <v>23-24-25-26-29/07/19</v>
      </c>
      <c r="E47" s="361"/>
      <c r="F47" s="365" t="str">
        <f t="shared" si="3"/>
        <v>Index(t) &lt;= 70%*VRI</v>
      </c>
      <c r="G47" s="365"/>
      <c r="H47" s="307" t="str">
        <f t="shared" si="1"/>
        <v>€ 640,00</v>
      </c>
      <c r="I47" s="307"/>
      <c r="J47" s="307" t="str">
        <f t="shared" si="2"/>
        <v>02/08/19</v>
      </c>
      <c r="K47" s="83"/>
      <c r="L47" s="122">
        <f t="shared" ref="L47:M47" si="7">M47-1</f>
        <v>43669</v>
      </c>
      <c r="M47" s="122">
        <f t="shared" si="7"/>
        <v>43670</v>
      </c>
      <c r="N47" s="122">
        <f>O47-1</f>
        <v>43671</v>
      </c>
      <c r="O47" s="122">
        <f>P47-3</f>
        <v>43672</v>
      </c>
      <c r="P47" s="122">
        <f>R47-4</f>
        <v>43675</v>
      </c>
      <c r="Q47" s="119">
        <f>Q46</f>
        <v>6.4000000000000003E-3</v>
      </c>
      <c r="R47" s="122">
        <f>IF(WORKDAY(DATE(YEAR($M$7),MONTH($M$7)+S47,DAY($M$7)-1),1) =WORKDAY(DATE(YEAR( $M$7),MONTH($M$7)+S47,DAY($M$7)),0),WORKDAY(DATE(YEAR($M$7),MONTH($M$7)+S47,DAY($M$7)),0),WORKDAY(DATE(YEAR($M$7),MONTH($M$7)+S47,DAY($M$7)),0))+3</f>
        <v>43679</v>
      </c>
      <c r="S47" s="85">
        <f>S46+1</f>
        <v>3</v>
      </c>
    </row>
    <row r="48" spans="1:19" ht="12.75" customHeight="1" x14ac:dyDescent="0.2">
      <c r="A48" s="83"/>
      <c r="B48" s="79"/>
      <c r="C48" s="309"/>
      <c r="D48" s="361" t="str">
        <f t="shared" si="0"/>
        <v>21-22-23-26-27/08/19</v>
      </c>
      <c r="E48" s="361"/>
      <c r="F48" s="365" t="str">
        <f t="shared" si="3"/>
        <v>Index(t) &lt;= 70%*VRI</v>
      </c>
      <c r="G48" s="365"/>
      <c r="H48" s="307" t="str">
        <f t="shared" si="1"/>
        <v>€ 640,00</v>
      </c>
      <c r="I48" s="307"/>
      <c r="J48" s="307" t="str">
        <f t="shared" si="2"/>
        <v>02/09/19</v>
      </c>
      <c r="K48" s="83"/>
      <c r="L48" s="122">
        <f t="shared" ref="L48:M48" si="8">M48-1</f>
        <v>43698</v>
      </c>
      <c r="M48" s="122">
        <f t="shared" si="8"/>
        <v>43699</v>
      </c>
      <c r="N48" s="122">
        <f t="shared" ref="N48:N79" si="9">O48-3</f>
        <v>43700</v>
      </c>
      <c r="O48" s="122">
        <f t="shared" si="5"/>
        <v>43703</v>
      </c>
      <c r="P48" s="122">
        <f t="shared" si="6"/>
        <v>43704</v>
      </c>
      <c r="Q48" s="119">
        <f>Q47</f>
        <v>6.4000000000000003E-3</v>
      </c>
      <c r="R48" s="122">
        <f>IF(WORKDAY(DATE(YEAR($M$7),MONTH($M$7)+S48,DAY($M$7)-1),1) =WORKDAY(DATE(YEAR( $M$7),MONTH($M$7)+S48,DAY($M$7)),0),WORKDAY(DATE(YEAR($M$7),MONTH($M$7)+S48,DAY($M$7)),0),WORKDAY(DATE(YEAR($M$7),MONTH($M$7)+S48,DAY($M$7)),0))+3</f>
        <v>43710</v>
      </c>
      <c r="S48" s="85">
        <f>S47+1</f>
        <v>4</v>
      </c>
    </row>
    <row r="49" spans="1:19" ht="12.75" customHeight="1" x14ac:dyDescent="0.2">
      <c r="A49" s="83"/>
      <c r="B49" s="309"/>
      <c r="C49" s="309"/>
      <c r="D49" s="361" t="str">
        <f t="shared" si="0"/>
        <v>20-23-24-25-26/09/19</v>
      </c>
      <c r="E49" s="361"/>
      <c r="F49" s="365" t="str">
        <f t="shared" si="3"/>
        <v>Index(t) &lt;= 70%*VRI</v>
      </c>
      <c r="G49" s="365"/>
      <c r="H49" s="307" t="str">
        <f t="shared" si="1"/>
        <v>€ 640,00</v>
      </c>
      <c r="I49" s="307"/>
      <c r="J49" s="307" t="str">
        <f t="shared" si="2"/>
        <v>02/10/19</v>
      </c>
      <c r="K49" s="83"/>
      <c r="L49" s="122">
        <f>M49-3</f>
        <v>43728</v>
      </c>
      <c r="M49" s="122">
        <f t="shared" ref="M49" si="10">N49-1</f>
        <v>43731</v>
      </c>
      <c r="N49" s="122">
        <f>O49-1</f>
        <v>43732</v>
      </c>
      <c r="O49" s="122">
        <f t="shared" si="5"/>
        <v>43733</v>
      </c>
      <c r="P49" s="122">
        <f t="shared" si="6"/>
        <v>43734</v>
      </c>
      <c r="Q49" s="119">
        <f t="shared" ref="Q49:Q79" si="11">Q48</f>
        <v>6.4000000000000003E-3</v>
      </c>
      <c r="R49" s="122">
        <f>IF(WORKDAY(DATE(YEAR($M$7),MONTH($M$7)+S49,DAY($M$7)-1),1) =WORKDAY(DATE(YEAR( $M$7),MONTH($M$7)+S49,DAY($M$7)),0),WORKDAY(DATE(YEAR($M$7),MONTH($M$7)+S49,DAY($M$7)),0),WORKDAY(DATE(YEAR($M$7),MONTH($M$7)+S49,DAY($M$7)),0))+2</f>
        <v>43740</v>
      </c>
      <c r="S49" s="85">
        <f t="shared" ref="S49:S78" si="12">S48+1</f>
        <v>5</v>
      </c>
    </row>
    <row r="50" spans="1:19" ht="12.75" customHeight="1" x14ac:dyDescent="0.2">
      <c r="A50" s="83"/>
      <c r="B50" s="309"/>
      <c r="C50" s="309"/>
      <c r="D50" s="361" t="str">
        <f t="shared" si="0"/>
        <v>23-24-25-28-29/10/19</v>
      </c>
      <c r="E50" s="361"/>
      <c r="F50" s="365" t="str">
        <f t="shared" si="3"/>
        <v>Index(t) &lt;= 70%*VRI</v>
      </c>
      <c r="G50" s="365"/>
      <c r="H50" s="307" t="str">
        <f t="shared" si="1"/>
        <v>€ 640,00</v>
      </c>
      <c r="I50" s="307"/>
      <c r="J50" s="307" t="str">
        <f t="shared" si="2"/>
        <v>04/11/19</v>
      </c>
      <c r="K50" s="83"/>
      <c r="L50" s="122">
        <f t="shared" ref="L50:M50" si="13">M50-1</f>
        <v>43761</v>
      </c>
      <c r="M50" s="122">
        <f t="shared" si="13"/>
        <v>43762</v>
      </c>
      <c r="N50" s="122">
        <f t="shared" si="9"/>
        <v>43763</v>
      </c>
      <c r="O50" s="122">
        <f t="shared" si="5"/>
        <v>43766</v>
      </c>
      <c r="P50" s="122">
        <f t="shared" si="6"/>
        <v>43767</v>
      </c>
      <c r="Q50" s="119">
        <f t="shared" si="11"/>
        <v>6.4000000000000003E-3</v>
      </c>
      <c r="R50" s="122">
        <f>IF(WORKDAY(DATE(YEAR($M$7),MONTH($M$7)+S50,DAY($M$7)-1),1) =WORKDAY(DATE(YEAR( $M$7),MONTH($M$7)+S50,DAY($M$7)),0),WORKDAY(DATE(YEAR($M$7),MONTH($M$7)+S50,DAY($M$7)),0),WORKDAY(DATE(YEAR($M$7),MONTH($M$7)+S50,DAY($M$7)),0))+5</f>
        <v>43773</v>
      </c>
      <c r="S50" s="85">
        <f t="shared" si="12"/>
        <v>6</v>
      </c>
    </row>
    <row r="51" spans="1:19" ht="12.75" customHeight="1" x14ac:dyDescent="0.2">
      <c r="A51" s="83"/>
      <c r="B51" s="309"/>
      <c r="C51" s="309"/>
      <c r="D51" s="361" t="str">
        <f t="shared" si="0"/>
        <v>20-21-22-25-26/11/19</v>
      </c>
      <c r="E51" s="361"/>
      <c r="F51" s="365" t="str">
        <f t="shared" si="3"/>
        <v>Index(t) &lt;= 70%*VRI</v>
      </c>
      <c r="G51" s="365"/>
      <c r="H51" s="307" t="str">
        <f t="shared" si="1"/>
        <v>€ 640,00</v>
      </c>
      <c r="I51" s="307"/>
      <c r="J51" s="307" t="str">
        <f t="shared" si="2"/>
        <v>02/12/19</v>
      </c>
      <c r="K51" s="83"/>
      <c r="L51" s="122">
        <f t="shared" ref="L51:M51" si="14">M51-1</f>
        <v>43789</v>
      </c>
      <c r="M51" s="122">
        <f t="shared" si="14"/>
        <v>43790</v>
      </c>
      <c r="N51" s="122">
        <f t="shared" si="9"/>
        <v>43791</v>
      </c>
      <c r="O51" s="122">
        <f t="shared" si="5"/>
        <v>43794</v>
      </c>
      <c r="P51" s="122">
        <f t="shared" si="6"/>
        <v>43795</v>
      </c>
      <c r="Q51" s="119">
        <f t="shared" si="11"/>
        <v>6.4000000000000003E-3</v>
      </c>
      <c r="R51" s="122">
        <f>IF(WORKDAY(DATE(YEAR($M$7),MONTH($M$7)+S51,DAY($M$7)-1),1) =WORKDAY(DATE(YEAR( $M$7),MONTH($M$7)+S51,DAY($M$7)),0),WORKDAY(DATE(YEAR($M$7),MONTH($M$7)+S51,DAY($M$7)),0),WORKDAY(DATE(YEAR($M$7),MONTH($M$7)+S51,DAY($M$7)),0))+2</f>
        <v>43801</v>
      </c>
      <c r="S51" s="85">
        <f t="shared" si="12"/>
        <v>7</v>
      </c>
    </row>
    <row r="52" spans="1:19" ht="12.75" customHeight="1" x14ac:dyDescent="0.2">
      <c r="A52" s="83"/>
      <c r="B52" s="309"/>
      <c r="C52" s="309"/>
      <c r="D52" s="361" t="str">
        <f t="shared" si="0"/>
        <v>27-28-29-01-02/01/20</v>
      </c>
      <c r="E52" s="361"/>
      <c r="F52" s="365" t="str">
        <f t="shared" si="3"/>
        <v>Index(t) &lt;= 70%*VRI</v>
      </c>
      <c r="G52" s="365"/>
      <c r="H52" s="307" t="str">
        <f t="shared" si="1"/>
        <v>€ 640,00</v>
      </c>
      <c r="I52" s="307"/>
      <c r="J52" s="307" t="str">
        <f t="shared" si="2"/>
        <v>02/01/20</v>
      </c>
      <c r="K52" s="83"/>
      <c r="L52" s="122">
        <f t="shared" ref="L52:M52" si="15">M52-1</f>
        <v>43826</v>
      </c>
      <c r="M52" s="122">
        <f t="shared" si="15"/>
        <v>43827</v>
      </c>
      <c r="N52" s="122">
        <f t="shared" si="9"/>
        <v>43828</v>
      </c>
      <c r="O52" s="122">
        <f t="shared" si="5"/>
        <v>43831</v>
      </c>
      <c r="P52" s="122">
        <f>R52</f>
        <v>43832</v>
      </c>
      <c r="Q52" s="119">
        <f t="shared" si="11"/>
        <v>6.4000000000000003E-3</v>
      </c>
      <c r="R52" s="122">
        <f>IF(WORKDAY(DATE(YEAR($M$7),MONTH($M$7)+S52,DAY($M$7)-1),1) =WORKDAY(DATE(YEAR( $M$7),MONTH($M$7)+S52,DAY($M$7)),0),WORKDAY(DATE(YEAR($M$7),MONTH($M$7)+S52,DAY($M$7)),0),WORKDAY(DATE(YEAR($M$7),MONTH($M$7)+S52,DAY($M$7)),0))+3</f>
        <v>43832</v>
      </c>
      <c r="S52" s="85">
        <f t="shared" si="12"/>
        <v>8</v>
      </c>
    </row>
    <row r="53" spans="1:19" ht="12.75" customHeight="1" x14ac:dyDescent="0.2">
      <c r="A53" s="83"/>
      <c r="B53" s="309"/>
      <c r="C53" s="309"/>
      <c r="D53" s="361" t="str">
        <f t="shared" si="0"/>
        <v>27-28-29-01-02/02/20</v>
      </c>
      <c r="E53" s="361"/>
      <c r="F53" s="365" t="str">
        <f t="shared" si="3"/>
        <v>Index(t) &lt;= 70%*VRI</v>
      </c>
      <c r="G53" s="365"/>
      <c r="H53" s="307" t="str">
        <f t="shared" si="1"/>
        <v>€ 640,00</v>
      </c>
      <c r="I53" s="307"/>
      <c r="J53" s="307" t="str">
        <f t="shared" si="2"/>
        <v>02/02/20</v>
      </c>
      <c r="K53" s="83"/>
      <c r="L53" s="122">
        <f t="shared" ref="L53:M53" si="16">M53-1</f>
        <v>43857</v>
      </c>
      <c r="M53" s="122">
        <f t="shared" si="16"/>
        <v>43858</v>
      </c>
      <c r="N53" s="122">
        <f t="shared" si="9"/>
        <v>43859</v>
      </c>
      <c r="O53" s="122">
        <f t="shared" si="5"/>
        <v>43862</v>
      </c>
      <c r="P53" s="122">
        <f t="shared" ref="P53:P79" si="17">R53</f>
        <v>43863</v>
      </c>
      <c r="Q53" s="119">
        <f t="shared" si="11"/>
        <v>6.4000000000000003E-3</v>
      </c>
      <c r="R53" s="122">
        <f>IF(WORKDAY(DATE(YEAR($M$7),MONTH($M$7)+S53,DAY($M$7)-1),1) =WORKDAY(DATE(YEAR( $M$7),MONTH($M$7)+S53,DAY($M$7)),0),WORKDAY(DATE(YEAR($M$7),MONTH($M$7)+S53,DAY($M$7)),0),WORKDAY(DATE(YEAR($M$7),MONTH($M$7)+S53,DAY($M$7)),0))+3</f>
        <v>43863</v>
      </c>
      <c r="S53" s="85">
        <f t="shared" si="12"/>
        <v>9</v>
      </c>
    </row>
    <row r="54" spans="1:19" ht="12.75" customHeight="1" x14ac:dyDescent="0.2">
      <c r="A54" s="83"/>
      <c r="B54" s="309"/>
      <c r="C54" s="309"/>
      <c r="D54" s="361" t="str">
        <f t="shared" si="0"/>
        <v>25-26-27-01-02/03/20</v>
      </c>
      <c r="E54" s="361"/>
      <c r="F54" s="365" t="str">
        <f t="shared" si="3"/>
        <v>Index(t) &lt;= 70%*VRI</v>
      </c>
      <c r="G54" s="365"/>
      <c r="H54" s="307" t="str">
        <f t="shared" si="1"/>
        <v>€ 640,00</v>
      </c>
      <c r="I54" s="307"/>
      <c r="J54" s="307" t="str">
        <f t="shared" si="2"/>
        <v>02/03/20</v>
      </c>
      <c r="K54" s="83"/>
      <c r="L54" s="122">
        <f t="shared" ref="L54:M54" si="18">M54-1</f>
        <v>43886</v>
      </c>
      <c r="M54" s="122">
        <f t="shared" si="18"/>
        <v>43887</v>
      </c>
      <c r="N54" s="122">
        <f t="shared" si="9"/>
        <v>43888</v>
      </c>
      <c r="O54" s="122">
        <f t="shared" si="5"/>
        <v>43891</v>
      </c>
      <c r="P54" s="122">
        <f t="shared" si="17"/>
        <v>43892</v>
      </c>
      <c r="Q54" s="119">
        <f t="shared" si="11"/>
        <v>6.4000000000000003E-3</v>
      </c>
      <c r="R54" s="122">
        <f>IF(WORKDAY(DATE(YEAR($M$7),MONTH($M$7)+S54,DAY($M$7)-1),1) =WORKDAY(DATE(YEAR( $M$7),MONTH($M$7)+S54,DAY($M$7)),0),WORKDAY(DATE(YEAR($M$7),MONTH($M$7)+S54,DAY($M$7)),0),WORKDAY(DATE(YEAR($M$7),MONTH($M$7)+S54,DAY($M$7)),0))+1</f>
        <v>43892</v>
      </c>
      <c r="S54" s="85">
        <f t="shared" si="12"/>
        <v>10</v>
      </c>
    </row>
    <row r="55" spans="1:19" ht="12.75" customHeight="1" x14ac:dyDescent="0.2">
      <c r="A55" s="83"/>
      <c r="B55" s="309"/>
      <c r="C55" s="309"/>
      <c r="D55" s="361" t="str">
        <f t="shared" si="0"/>
        <v>27-28-29-01-02/04/20</v>
      </c>
      <c r="E55" s="361"/>
      <c r="F55" s="365" t="str">
        <f t="shared" si="3"/>
        <v>Index(t) &lt;= 70%*VRI</v>
      </c>
      <c r="G55" s="365"/>
      <c r="H55" s="307" t="str">
        <f t="shared" si="1"/>
        <v>€ 640,00</v>
      </c>
      <c r="I55" s="307"/>
      <c r="J55" s="307" t="str">
        <f t="shared" si="2"/>
        <v>02/04/20</v>
      </c>
      <c r="K55" s="83"/>
      <c r="L55" s="122">
        <f t="shared" ref="L55:M55" si="19">M55-1</f>
        <v>43917</v>
      </c>
      <c r="M55" s="122">
        <f t="shared" si="19"/>
        <v>43918</v>
      </c>
      <c r="N55" s="122">
        <f t="shared" si="9"/>
        <v>43919</v>
      </c>
      <c r="O55" s="122">
        <f t="shared" si="5"/>
        <v>43922</v>
      </c>
      <c r="P55" s="122">
        <f t="shared" si="17"/>
        <v>43923</v>
      </c>
      <c r="Q55" s="119">
        <f t="shared" si="11"/>
        <v>6.4000000000000003E-3</v>
      </c>
      <c r="R55" s="122">
        <f>IF(WORKDAY(DATE(YEAR($M$7),MONTH($M$7)+S55,DAY($M$7)-1),1) =WORKDAY(DATE(YEAR( $M$7),MONTH($M$7)+S55,DAY($M$7)),0),WORKDAY(DATE(YEAR($M$7),MONTH($M$7)+S55,DAY($M$7)),0),WORKDAY(DATE(YEAR($M$7),MONTH($M$7)+S55,DAY($M$7)),0))+3</f>
        <v>43923</v>
      </c>
      <c r="S55" s="85">
        <f t="shared" si="12"/>
        <v>11</v>
      </c>
    </row>
    <row r="56" spans="1:19" ht="12.75" customHeight="1" x14ac:dyDescent="0.2">
      <c r="A56" s="83"/>
      <c r="B56" s="309"/>
      <c r="C56" s="309"/>
      <c r="D56" s="361" t="str">
        <f t="shared" si="0"/>
        <v>26-27-28-01-02/05/20</v>
      </c>
      <c r="E56" s="361"/>
      <c r="F56" s="365" t="str">
        <f t="shared" si="3"/>
        <v>Index(t) &lt;= 70%*VRI</v>
      </c>
      <c r="G56" s="365"/>
      <c r="H56" s="307" t="str">
        <f t="shared" si="1"/>
        <v>€ 640,00</v>
      </c>
      <c r="I56" s="307"/>
      <c r="J56" s="307" t="str">
        <f t="shared" si="2"/>
        <v>02/05/20</v>
      </c>
      <c r="K56" s="83"/>
      <c r="L56" s="122">
        <f t="shared" ref="L56:M56" si="20">M56-1</f>
        <v>43947</v>
      </c>
      <c r="M56" s="122">
        <f t="shared" si="20"/>
        <v>43948</v>
      </c>
      <c r="N56" s="122">
        <f t="shared" si="9"/>
        <v>43949</v>
      </c>
      <c r="O56" s="122">
        <f t="shared" si="5"/>
        <v>43952</v>
      </c>
      <c r="P56" s="122">
        <f t="shared" si="17"/>
        <v>43953</v>
      </c>
      <c r="Q56" s="119">
        <f t="shared" si="11"/>
        <v>6.4000000000000003E-3</v>
      </c>
      <c r="R56" s="122">
        <f t="shared" ref="R56:R75" si="21">IF(WORKDAY(DATE(YEAR($M$7),MONTH($M$7)+S56,DAY($M$7)-1),1) =WORKDAY(DATE(YEAR( $M$7),MONTH($M$7)+S56,DAY($M$7)),0),WORKDAY(DATE(YEAR($M$7),MONTH($M$7)+S56,DAY($M$7)),0),WORKDAY(DATE(YEAR($M$7),MONTH($M$7)+S56,DAY($M$7)),0))+2</f>
        <v>43953</v>
      </c>
      <c r="S56" s="85">
        <f t="shared" si="12"/>
        <v>12</v>
      </c>
    </row>
    <row r="57" spans="1:19" ht="12.75" customHeight="1" x14ac:dyDescent="0.2">
      <c r="A57" s="83"/>
      <c r="B57" s="309"/>
      <c r="C57" s="309"/>
      <c r="D57" s="361" t="str">
        <f t="shared" si="0"/>
        <v>27-28-29-01-02/06/20</v>
      </c>
      <c r="E57" s="361"/>
      <c r="F57" s="365" t="str">
        <f t="shared" si="3"/>
        <v>Index(t) &lt;= 70%*VRI</v>
      </c>
      <c r="G57" s="365"/>
      <c r="H57" s="307" t="str">
        <f t="shared" si="1"/>
        <v>€ 640,00</v>
      </c>
      <c r="I57" s="307"/>
      <c r="J57" s="307" t="str">
        <f t="shared" si="2"/>
        <v>02/06/20</v>
      </c>
      <c r="K57" s="83"/>
      <c r="L57" s="122">
        <f t="shared" ref="L57:M57" si="22">M57-1</f>
        <v>43978</v>
      </c>
      <c r="M57" s="122">
        <f t="shared" si="22"/>
        <v>43979</v>
      </c>
      <c r="N57" s="122">
        <f t="shared" si="9"/>
        <v>43980</v>
      </c>
      <c r="O57" s="122">
        <f t="shared" si="5"/>
        <v>43983</v>
      </c>
      <c r="P57" s="122">
        <f t="shared" si="17"/>
        <v>43984</v>
      </c>
      <c r="Q57" s="119">
        <f t="shared" si="11"/>
        <v>6.4000000000000003E-3</v>
      </c>
      <c r="R57" s="122">
        <f>IF(WORKDAY(DATE(YEAR($M$7),MONTH($M$7)+S57,DAY($M$7)-1),1) =WORKDAY(DATE(YEAR( $M$7),MONTH($M$7)+S57,DAY($M$7)),0),WORKDAY(DATE(YEAR($M$7),MONTH($M$7)+S57,DAY($M$7)),0),WORKDAY(DATE(YEAR($M$7),MONTH($M$7)+S57,DAY($M$7)),0))+3</f>
        <v>43984</v>
      </c>
      <c r="S57" s="85">
        <f t="shared" si="12"/>
        <v>13</v>
      </c>
    </row>
    <row r="58" spans="1:19" ht="12.75" customHeight="1" x14ac:dyDescent="0.2">
      <c r="A58" s="83"/>
      <c r="B58" s="309"/>
      <c r="C58" s="309"/>
      <c r="D58" s="361" t="str">
        <f t="shared" si="0"/>
        <v>26-27-28-01-02/07/20</v>
      </c>
      <c r="E58" s="361"/>
      <c r="F58" s="365" t="str">
        <f t="shared" si="3"/>
        <v>Index(t) &lt;= 70%*VRI</v>
      </c>
      <c r="G58" s="365"/>
      <c r="H58" s="307" t="str">
        <f t="shared" si="1"/>
        <v>€ 640,00</v>
      </c>
      <c r="I58" s="307"/>
      <c r="J58" s="307" t="str">
        <f t="shared" si="2"/>
        <v>02/07/20</v>
      </c>
      <c r="K58" s="83"/>
      <c r="L58" s="122">
        <f t="shared" ref="L58:M58" si="23">M58-1</f>
        <v>44008</v>
      </c>
      <c r="M58" s="122">
        <f t="shared" si="23"/>
        <v>44009</v>
      </c>
      <c r="N58" s="122">
        <f t="shared" si="9"/>
        <v>44010</v>
      </c>
      <c r="O58" s="122">
        <f t="shared" si="5"/>
        <v>44013</v>
      </c>
      <c r="P58" s="122">
        <f t="shared" si="17"/>
        <v>44014</v>
      </c>
      <c r="Q58" s="119">
        <f t="shared" si="11"/>
        <v>6.4000000000000003E-3</v>
      </c>
      <c r="R58" s="122">
        <f t="shared" si="21"/>
        <v>44014</v>
      </c>
      <c r="S58" s="85">
        <f t="shared" si="12"/>
        <v>14</v>
      </c>
    </row>
    <row r="59" spans="1:19" ht="12.75" customHeight="1" x14ac:dyDescent="0.2">
      <c r="A59" s="83"/>
      <c r="B59" s="309"/>
      <c r="C59" s="309"/>
      <c r="D59" s="361" t="str">
        <f t="shared" si="0"/>
        <v>27-28-29-01-02/08/20</v>
      </c>
      <c r="E59" s="361"/>
      <c r="F59" s="365" t="str">
        <f t="shared" si="3"/>
        <v>Index(t) &lt;= 70%*VRI</v>
      </c>
      <c r="G59" s="365"/>
      <c r="H59" s="307" t="str">
        <f t="shared" si="1"/>
        <v>€ 640,00</v>
      </c>
      <c r="I59" s="307"/>
      <c r="J59" s="307" t="str">
        <f t="shared" si="2"/>
        <v>02/08/20</v>
      </c>
      <c r="K59" s="83"/>
      <c r="L59" s="122">
        <f t="shared" ref="L59:M59" si="24">M59-1</f>
        <v>44039</v>
      </c>
      <c r="M59" s="122">
        <f t="shared" si="24"/>
        <v>44040</v>
      </c>
      <c r="N59" s="122">
        <f t="shared" si="9"/>
        <v>44041</v>
      </c>
      <c r="O59" s="122">
        <f t="shared" si="5"/>
        <v>44044</v>
      </c>
      <c r="P59" s="122">
        <f t="shared" si="17"/>
        <v>44045</v>
      </c>
      <c r="Q59" s="119">
        <f t="shared" si="11"/>
        <v>6.4000000000000003E-3</v>
      </c>
      <c r="R59" s="122">
        <f>IF(WORKDAY(DATE(YEAR($M$7),MONTH($M$7)+S59,DAY($M$7)-1),1) =WORKDAY(DATE(YEAR( $M$7),MONTH($M$7)+S59,DAY($M$7)),0),WORKDAY(DATE(YEAR($M$7),MONTH($M$7)+S59,DAY($M$7)),0),WORKDAY(DATE(YEAR($M$7),MONTH($M$7)+S59,DAY($M$7)),0))+3</f>
        <v>44045</v>
      </c>
      <c r="S59" s="85">
        <f t="shared" si="12"/>
        <v>15</v>
      </c>
    </row>
    <row r="60" spans="1:19" ht="12.75" customHeight="1" x14ac:dyDescent="0.2">
      <c r="A60" s="83"/>
      <c r="B60" s="309"/>
      <c r="C60" s="309"/>
      <c r="D60" s="361" t="str">
        <f t="shared" si="0"/>
        <v>27-28-29-01-02/09/20</v>
      </c>
      <c r="E60" s="361"/>
      <c r="F60" s="365" t="str">
        <f t="shared" si="3"/>
        <v>Index(t) &lt;= 70%*VRI</v>
      </c>
      <c r="G60" s="365"/>
      <c r="H60" s="307" t="str">
        <f t="shared" si="1"/>
        <v>€ 640,00</v>
      </c>
      <c r="I60" s="307"/>
      <c r="J60" s="307" t="str">
        <f t="shared" si="2"/>
        <v>02/09/20</v>
      </c>
      <c r="K60" s="83"/>
      <c r="L60" s="122">
        <f t="shared" ref="L60:M60" si="25">M60-1</f>
        <v>44070</v>
      </c>
      <c r="M60" s="122">
        <f t="shared" si="25"/>
        <v>44071</v>
      </c>
      <c r="N60" s="122">
        <f t="shared" si="9"/>
        <v>44072</v>
      </c>
      <c r="O60" s="122">
        <f t="shared" si="5"/>
        <v>44075</v>
      </c>
      <c r="P60" s="122">
        <f t="shared" si="17"/>
        <v>44076</v>
      </c>
      <c r="Q60" s="119">
        <f t="shared" si="11"/>
        <v>6.4000000000000003E-3</v>
      </c>
      <c r="R60" s="122">
        <f>IF(WORKDAY(DATE(YEAR($M$7),MONTH($M$7)+S60,DAY($M$7)-1),1) =WORKDAY(DATE(YEAR( $M$7),MONTH($M$7)+S60,DAY($M$7)),0),WORKDAY(DATE(YEAR($M$7),MONTH($M$7)+S60,DAY($M$7)),0),WORKDAY(DATE(YEAR($M$7),MONTH($M$7)+S60,DAY($M$7)),0))+3</f>
        <v>44076</v>
      </c>
      <c r="S60" s="85">
        <f t="shared" si="12"/>
        <v>16</v>
      </c>
    </row>
    <row r="61" spans="1:19" ht="12.75" customHeight="1" x14ac:dyDescent="0.2">
      <c r="A61" s="83"/>
      <c r="B61" s="309"/>
      <c r="C61" s="309"/>
      <c r="D61" s="361" t="str">
        <f t="shared" si="0"/>
        <v>26-27-28-01-02/10/20</v>
      </c>
      <c r="E61" s="361"/>
      <c r="F61" s="365" t="str">
        <f t="shared" si="3"/>
        <v>Index(t) &lt;= 70%*VRI</v>
      </c>
      <c r="G61" s="365"/>
      <c r="H61" s="307" t="str">
        <f t="shared" si="1"/>
        <v>€ 640,00</v>
      </c>
      <c r="I61" s="307"/>
      <c r="J61" s="307" t="str">
        <f t="shared" si="2"/>
        <v>02/10/20</v>
      </c>
      <c r="K61" s="83"/>
      <c r="L61" s="122">
        <f t="shared" ref="L61:M61" si="26">M61-1</f>
        <v>44100</v>
      </c>
      <c r="M61" s="122">
        <f t="shared" si="26"/>
        <v>44101</v>
      </c>
      <c r="N61" s="122">
        <f t="shared" si="9"/>
        <v>44102</v>
      </c>
      <c r="O61" s="122">
        <f t="shared" si="5"/>
        <v>44105</v>
      </c>
      <c r="P61" s="122">
        <f t="shared" si="17"/>
        <v>44106</v>
      </c>
      <c r="Q61" s="119">
        <f t="shared" si="11"/>
        <v>6.4000000000000003E-3</v>
      </c>
      <c r="R61" s="122">
        <f t="shared" si="21"/>
        <v>44106</v>
      </c>
      <c r="S61" s="85">
        <f t="shared" si="12"/>
        <v>17</v>
      </c>
    </row>
    <row r="62" spans="1:19" ht="12.75" customHeight="1" x14ac:dyDescent="0.2">
      <c r="A62" s="83"/>
      <c r="B62" s="309"/>
      <c r="C62" s="309"/>
      <c r="D62" s="361" t="str">
        <f t="shared" si="0"/>
        <v>27-28-29-01-02/11/20</v>
      </c>
      <c r="E62" s="361"/>
      <c r="F62" s="365" t="str">
        <f t="shared" si="3"/>
        <v>Index(t) &lt;= 70%*VRI</v>
      </c>
      <c r="G62" s="365"/>
      <c r="H62" s="307" t="str">
        <f t="shared" si="1"/>
        <v>€ 640,00</v>
      </c>
      <c r="I62" s="307"/>
      <c r="J62" s="307" t="str">
        <f t="shared" si="2"/>
        <v>02/11/20</v>
      </c>
      <c r="K62" s="83"/>
      <c r="L62" s="122">
        <f t="shared" ref="L62:M62" si="27">M62-1</f>
        <v>44131</v>
      </c>
      <c r="M62" s="122">
        <f t="shared" si="27"/>
        <v>44132</v>
      </c>
      <c r="N62" s="122">
        <f t="shared" si="9"/>
        <v>44133</v>
      </c>
      <c r="O62" s="122">
        <f t="shared" si="5"/>
        <v>44136</v>
      </c>
      <c r="P62" s="122">
        <f t="shared" si="17"/>
        <v>44137</v>
      </c>
      <c r="Q62" s="119">
        <f t="shared" si="11"/>
        <v>6.4000000000000003E-3</v>
      </c>
      <c r="R62" s="122">
        <f>IF(WORKDAY(DATE(YEAR($M$7),MONTH($M$7)+S62,DAY($M$7)-1),1) =WORKDAY(DATE(YEAR( $M$7),MONTH($M$7)+S62,DAY($M$7)),0),WORKDAY(DATE(YEAR($M$7),MONTH($M$7)+S62,DAY($M$7)),0),WORKDAY(DATE(YEAR($M$7),MONTH($M$7)+S62,DAY($M$7)),0))+3</f>
        <v>44137</v>
      </c>
      <c r="S62" s="85">
        <f t="shared" si="12"/>
        <v>18</v>
      </c>
    </row>
    <row r="63" spans="1:19" ht="12.75" customHeight="1" x14ac:dyDescent="0.2">
      <c r="A63" s="83"/>
      <c r="B63" s="309"/>
      <c r="C63" s="309"/>
      <c r="D63" s="361" t="str">
        <f t="shared" si="0"/>
        <v>26-27-28-01-02/12/20</v>
      </c>
      <c r="E63" s="361"/>
      <c r="F63" s="365" t="str">
        <f t="shared" si="3"/>
        <v>Index(t) &lt;= 70%*VRI</v>
      </c>
      <c r="G63" s="365"/>
      <c r="H63" s="307" t="str">
        <f t="shared" si="1"/>
        <v>€ 640,00</v>
      </c>
      <c r="I63" s="307"/>
      <c r="J63" s="307" t="str">
        <f t="shared" si="2"/>
        <v>02/12/20</v>
      </c>
      <c r="K63" s="83"/>
      <c r="L63" s="122">
        <f t="shared" ref="L63:M63" si="28">M63-1</f>
        <v>44161</v>
      </c>
      <c r="M63" s="122">
        <f t="shared" si="28"/>
        <v>44162</v>
      </c>
      <c r="N63" s="122">
        <f t="shared" si="9"/>
        <v>44163</v>
      </c>
      <c r="O63" s="122">
        <f t="shared" si="5"/>
        <v>44166</v>
      </c>
      <c r="P63" s="122">
        <f t="shared" si="17"/>
        <v>44167</v>
      </c>
      <c r="Q63" s="119">
        <f t="shared" si="11"/>
        <v>6.4000000000000003E-3</v>
      </c>
      <c r="R63" s="122">
        <f t="shared" si="21"/>
        <v>44167</v>
      </c>
      <c r="S63" s="85">
        <f t="shared" si="12"/>
        <v>19</v>
      </c>
    </row>
    <row r="64" spans="1:19" ht="12.75" customHeight="1" x14ac:dyDescent="0.2">
      <c r="A64" s="83"/>
      <c r="B64" s="309"/>
      <c r="C64" s="309"/>
      <c r="D64" s="361" t="str">
        <f t="shared" si="0"/>
        <v>27-28-29-01-02/01/21</v>
      </c>
      <c r="E64" s="361"/>
      <c r="F64" s="365" t="str">
        <f t="shared" si="3"/>
        <v>Index(t) &lt;= 70%*VRI</v>
      </c>
      <c r="G64" s="365"/>
      <c r="H64" s="307" t="str">
        <f t="shared" si="1"/>
        <v>€ 640,00</v>
      </c>
      <c r="I64" s="307"/>
      <c r="J64" s="307" t="str">
        <f t="shared" si="2"/>
        <v>02/01/21</v>
      </c>
      <c r="K64" s="83"/>
      <c r="L64" s="122">
        <f t="shared" ref="L64:M64" si="29">M64-1</f>
        <v>44192</v>
      </c>
      <c r="M64" s="122">
        <f t="shared" si="29"/>
        <v>44193</v>
      </c>
      <c r="N64" s="122">
        <f t="shared" si="9"/>
        <v>44194</v>
      </c>
      <c r="O64" s="122">
        <f t="shared" si="5"/>
        <v>44197</v>
      </c>
      <c r="P64" s="122">
        <f t="shared" si="17"/>
        <v>44198</v>
      </c>
      <c r="Q64" s="119">
        <f t="shared" si="11"/>
        <v>6.4000000000000003E-3</v>
      </c>
      <c r="R64" s="122">
        <f>IF(WORKDAY(DATE(YEAR($M$7),MONTH($M$7)+S64,DAY($M$7)-1),1) =WORKDAY(DATE(YEAR( $M$7),MONTH($M$7)+S64,DAY($M$7)),0),WORKDAY(DATE(YEAR($M$7),MONTH($M$7)+S64,DAY($M$7)),0),WORKDAY(DATE(YEAR($M$7),MONTH($M$7)+S64,DAY($M$7)),0))+3</f>
        <v>44198</v>
      </c>
      <c r="S64" s="85">
        <f t="shared" si="12"/>
        <v>20</v>
      </c>
    </row>
    <row r="65" spans="1:19" ht="12.75" customHeight="1" x14ac:dyDescent="0.2">
      <c r="A65" s="83"/>
      <c r="B65" s="309"/>
      <c r="C65" s="309"/>
      <c r="D65" s="361" t="str">
        <f t="shared" si="0"/>
        <v>27-28-29-01-02/02/21</v>
      </c>
      <c r="E65" s="361"/>
      <c r="F65" s="365" t="str">
        <f t="shared" si="3"/>
        <v>Index(t) &lt;= 70%*VRI</v>
      </c>
      <c r="G65" s="365"/>
      <c r="H65" s="307" t="str">
        <f t="shared" si="1"/>
        <v>€ 640,00</v>
      </c>
      <c r="I65" s="307"/>
      <c r="J65" s="307" t="str">
        <f t="shared" si="2"/>
        <v>02/02/21</v>
      </c>
      <c r="K65" s="83"/>
      <c r="L65" s="122">
        <f t="shared" ref="L65:M65" si="30">M65-1</f>
        <v>44223</v>
      </c>
      <c r="M65" s="122">
        <f t="shared" si="30"/>
        <v>44224</v>
      </c>
      <c r="N65" s="122">
        <f t="shared" si="9"/>
        <v>44225</v>
      </c>
      <c r="O65" s="122">
        <f t="shared" si="5"/>
        <v>44228</v>
      </c>
      <c r="P65" s="122">
        <f t="shared" si="17"/>
        <v>44229</v>
      </c>
      <c r="Q65" s="119">
        <f t="shared" si="11"/>
        <v>6.4000000000000003E-3</v>
      </c>
      <c r="R65" s="122">
        <f>IF(WORKDAY(DATE(YEAR($M$7),MONTH($M$7)+S65,DAY($M$7)-1),1) =WORKDAY(DATE(YEAR( $M$7),MONTH($M$7)+S65,DAY($M$7)),0),WORKDAY(DATE(YEAR($M$7),MONTH($M$7)+S65,DAY($M$7)),0),WORKDAY(DATE(YEAR($M$7),MONTH($M$7)+S65,DAY($M$7)),0))+3</f>
        <v>44229</v>
      </c>
      <c r="S65" s="85">
        <f t="shared" si="12"/>
        <v>21</v>
      </c>
    </row>
    <row r="66" spans="1:19" ht="12.75" customHeight="1" x14ac:dyDescent="0.2">
      <c r="A66" s="83"/>
      <c r="B66" s="309"/>
      <c r="C66" s="309"/>
      <c r="D66" s="361" t="str">
        <f t="shared" si="0"/>
        <v>24-25-26-01-02/03/21</v>
      </c>
      <c r="E66" s="361"/>
      <c r="F66" s="365" t="str">
        <f t="shared" si="3"/>
        <v>Index(t) &lt;= 70%*VRI</v>
      </c>
      <c r="G66" s="365"/>
      <c r="H66" s="307" t="str">
        <f t="shared" si="1"/>
        <v>€ 640,00</v>
      </c>
      <c r="I66" s="307"/>
      <c r="J66" s="307" t="str">
        <f t="shared" si="2"/>
        <v>02/03/21</v>
      </c>
      <c r="K66" s="83"/>
      <c r="L66" s="122">
        <f t="shared" ref="L66:M66" si="31">M66-1</f>
        <v>44251</v>
      </c>
      <c r="M66" s="122">
        <f t="shared" si="31"/>
        <v>44252</v>
      </c>
      <c r="N66" s="122">
        <f t="shared" si="9"/>
        <v>44253</v>
      </c>
      <c r="O66" s="122">
        <f t="shared" si="5"/>
        <v>44256</v>
      </c>
      <c r="P66" s="122">
        <f t="shared" si="17"/>
        <v>44257</v>
      </c>
      <c r="Q66" s="119">
        <f t="shared" si="11"/>
        <v>6.4000000000000003E-3</v>
      </c>
      <c r="R66" s="122">
        <f>IF(WORKDAY(DATE(YEAR($M$7),MONTH($M$7)+S66,DAY($M$7)-1),1) =WORKDAY(DATE(YEAR( $M$7),MONTH($M$7)+S66,DAY($M$7)),0),WORKDAY(DATE(YEAR($M$7),MONTH($M$7)+S66,DAY($M$7)),0),WORKDAY(DATE(YEAR($M$7),MONTH($M$7)+S66,DAY($M$7)),0))</f>
        <v>44257</v>
      </c>
      <c r="S66" s="85">
        <f t="shared" si="12"/>
        <v>22</v>
      </c>
    </row>
    <row r="67" spans="1:19" ht="12.75" customHeight="1" x14ac:dyDescent="0.2">
      <c r="A67" s="83"/>
      <c r="B67" s="309"/>
      <c r="C67" s="309"/>
      <c r="D67" s="361" t="str">
        <f t="shared" si="0"/>
        <v>27-28-29-01-02/04/21</v>
      </c>
      <c r="E67" s="361"/>
      <c r="F67" s="365" t="str">
        <f t="shared" si="3"/>
        <v>Index(t) &lt;= 70%*VRI</v>
      </c>
      <c r="G67" s="365"/>
      <c r="H67" s="307" t="str">
        <f t="shared" si="1"/>
        <v>€ 640,00</v>
      </c>
      <c r="I67" s="307"/>
      <c r="J67" s="307" t="str">
        <f t="shared" si="2"/>
        <v>02/04/21</v>
      </c>
      <c r="K67" s="83"/>
      <c r="L67" s="122">
        <f t="shared" ref="L67:M67" si="32">M67-1</f>
        <v>44282</v>
      </c>
      <c r="M67" s="122">
        <f t="shared" si="32"/>
        <v>44283</v>
      </c>
      <c r="N67" s="122">
        <f t="shared" si="9"/>
        <v>44284</v>
      </c>
      <c r="O67" s="122">
        <f t="shared" si="5"/>
        <v>44287</v>
      </c>
      <c r="P67" s="122">
        <f t="shared" si="17"/>
        <v>44288</v>
      </c>
      <c r="Q67" s="119">
        <f t="shared" si="11"/>
        <v>6.4000000000000003E-3</v>
      </c>
      <c r="R67" s="122">
        <f>IF(WORKDAY(DATE(YEAR($M$7),MONTH($M$7)+S67,DAY($M$7)-1),1) =WORKDAY(DATE(YEAR( $M$7),MONTH($M$7)+S67,DAY($M$7)),0),WORKDAY(DATE(YEAR($M$7),MONTH($M$7)+S67,DAY($M$7)),0),WORKDAY(DATE(YEAR($M$7),MONTH($M$7)+S67,DAY($M$7)),0))+3</f>
        <v>44288</v>
      </c>
      <c r="S67" s="85">
        <f t="shared" si="12"/>
        <v>23</v>
      </c>
    </row>
    <row r="68" spans="1:19" ht="12.75" customHeight="1" x14ac:dyDescent="0.2">
      <c r="A68" s="83"/>
      <c r="B68" s="309"/>
      <c r="C68" s="309"/>
      <c r="D68" s="361" t="str">
        <f t="shared" si="0"/>
        <v>26-27-28-01-02/05/21</v>
      </c>
      <c r="E68" s="361"/>
      <c r="F68" s="365" t="str">
        <f t="shared" si="3"/>
        <v>Index(t) &lt;= 70%*VRI</v>
      </c>
      <c r="G68" s="365"/>
      <c r="H68" s="307" t="str">
        <f t="shared" si="1"/>
        <v>€ 640,00</v>
      </c>
      <c r="I68" s="307"/>
      <c r="J68" s="307" t="str">
        <f t="shared" si="2"/>
        <v>02/05/21</v>
      </c>
      <c r="K68" s="83"/>
      <c r="L68" s="122">
        <f t="shared" ref="L68:M68" si="33">M68-1</f>
        <v>44312</v>
      </c>
      <c r="M68" s="122">
        <f t="shared" si="33"/>
        <v>44313</v>
      </c>
      <c r="N68" s="122">
        <f t="shared" si="9"/>
        <v>44314</v>
      </c>
      <c r="O68" s="122">
        <f t="shared" si="5"/>
        <v>44317</v>
      </c>
      <c r="P68" s="122">
        <f t="shared" si="17"/>
        <v>44318</v>
      </c>
      <c r="Q68" s="119">
        <f t="shared" si="11"/>
        <v>6.4000000000000003E-3</v>
      </c>
      <c r="R68" s="122">
        <f t="shared" si="21"/>
        <v>44318</v>
      </c>
      <c r="S68" s="85">
        <f t="shared" si="12"/>
        <v>24</v>
      </c>
    </row>
    <row r="69" spans="1:19" ht="12.75" customHeight="1" x14ac:dyDescent="0.2">
      <c r="A69" s="83"/>
      <c r="B69" s="309"/>
      <c r="C69" s="309"/>
      <c r="D69" s="361" t="str">
        <f t="shared" si="0"/>
        <v>27-28-29-01-02/06/21</v>
      </c>
      <c r="E69" s="361"/>
      <c r="F69" s="365" t="str">
        <f t="shared" si="3"/>
        <v>Index(t) &lt;= 70%*VRI</v>
      </c>
      <c r="G69" s="365"/>
      <c r="H69" s="307" t="str">
        <f t="shared" si="1"/>
        <v>€ 640,00</v>
      </c>
      <c r="I69" s="307"/>
      <c r="J69" s="307" t="str">
        <f t="shared" si="2"/>
        <v>02/06/21</v>
      </c>
      <c r="K69" s="83"/>
      <c r="L69" s="122">
        <f t="shared" ref="L69:M69" si="34">M69-1</f>
        <v>44343</v>
      </c>
      <c r="M69" s="122">
        <f t="shared" si="34"/>
        <v>44344</v>
      </c>
      <c r="N69" s="122">
        <f t="shared" si="9"/>
        <v>44345</v>
      </c>
      <c r="O69" s="122">
        <f t="shared" si="5"/>
        <v>44348</v>
      </c>
      <c r="P69" s="122">
        <f t="shared" si="17"/>
        <v>44349</v>
      </c>
      <c r="Q69" s="119">
        <f t="shared" si="11"/>
        <v>6.4000000000000003E-3</v>
      </c>
      <c r="R69" s="122">
        <f>IF(WORKDAY(DATE(YEAR($M$7),MONTH($M$7)+S69,DAY($M$7)-1),1) =WORKDAY(DATE(YEAR( $M$7),MONTH($M$7)+S69,DAY($M$7)),0),WORKDAY(DATE(YEAR($M$7),MONTH($M$7)+S69,DAY($M$7)),0),WORKDAY(DATE(YEAR($M$7),MONTH($M$7)+S69,DAY($M$7)),0))+3</f>
        <v>44349</v>
      </c>
      <c r="S69" s="85">
        <f t="shared" si="12"/>
        <v>25</v>
      </c>
    </row>
    <row r="70" spans="1:19" ht="12.75" customHeight="1" x14ac:dyDescent="0.2">
      <c r="A70" s="83"/>
      <c r="B70" s="309"/>
      <c r="C70" s="309"/>
      <c r="D70" s="361" t="str">
        <f t="shared" si="0"/>
        <v>26-27-28-01-02/07/21</v>
      </c>
      <c r="E70" s="361"/>
      <c r="F70" s="365" t="str">
        <f t="shared" si="3"/>
        <v>Index(t) &lt;= 70%*VRI</v>
      </c>
      <c r="G70" s="365"/>
      <c r="H70" s="307" t="str">
        <f t="shared" si="1"/>
        <v>€ 640,00</v>
      </c>
      <c r="I70" s="307"/>
      <c r="J70" s="307" t="str">
        <f t="shared" si="2"/>
        <v>02/07/21</v>
      </c>
      <c r="K70" s="83"/>
      <c r="L70" s="122">
        <f t="shared" ref="L70:M70" si="35">M70-1</f>
        <v>44373</v>
      </c>
      <c r="M70" s="122">
        <f t="shared" si="35"/>
        <v>44374</v>
      </c>
      <c r="N70" s="122">
        <f t="shared" si="9"/>
        <v>44375</v>
      </c>
      <c r="O70" s="122">
        <f t="shared" si="5"/>
        <v>44378</v>
      </c>
      <c r="P70" s="122">
        <f t="shared" si="17"/>
        <v>44379</v>
      </c>
      <c r="Q70" s="119">
        <f t="shared" si="11"/>
        <v>6.4000000000000003E-3</v>
      </c>
      <c r="R70" s="122">
        <f t="shared" si="21"/>
        <v>44379</v>
      </c>
      <c r="S70" s="85">
        <f t="shared" si="12"/>
        <v>26</v>
      </c>
    </row>
    <row r="71" spans="1:19" ht="12.75" customHeight="1" x14ac:dyDescent="0.2">
      <c r="A71" s="83"/>
      <c r="B71" s="309"/>
      <c r="C71" s="309"/>
      <c r="D71" s="361" t="str">
        <f t="shared" si="0"/>
        <v>27-28-29-01-02/08/21</v>
      </c>
      <c r="E71" s="361"/>
      <c r="F71" s="365" t="str">
        <f t="shared" si="3"/>
        <v>Index(t) &lt;= 70%*VRI</v>
      </c>
      <c r="G71" s="365"/>
      <c r="H71" s="307" t="str">
        <f t="shared" si="1"/>
        <v>€ 640,00</v>
      </c>
      <c r="I71" s="307"/>
      <c r="J71" s="307" t="str">
        <f t="shared" si="2"/>
        <v>02/08/21</v>
      </c>
      <c r="K71" s="83"/>
      <c r="L71" s="122">
        <f t="shared" ref="L71:M71" si="36">M71-1</f>
        <v>44404</v>
      </c>
      <c r="M71" s="122">
        <f t="shared" si="36"/>
        <v>44405</v>
      </c>
      <c r="N71" s="122">
        <f t="shared" si="9"/>
        <v>44406</v>
      </c>
      <c r="O71" s="122">
        <f t="shared" si="5"/>
        <v>44409</v>
      </c>
      <c r="P71" s="122">
        <f t="shared" si="17"/>
        <v>44410</v>
      </c>
      <c r="Q71" s="119">
        <f t="shared" si="11"/>
        <v>6.4000000000000003E-3</v>
      </c>
      <c r="R71" s="122">
        <f>IF(WORKDAY(DATE(YEAR($M$7),MONTH($M$7)+S71,DAY($M$7)-1),1) =WORKDAY(DATE(YEAR( $M$7),MONTH($M$7)+S71,DAY($M$7)),0),WORKDAY(DATE(YEAR($M$7),MONTH($M$7)+S71,DAY($M$7)),0),WORKDAY(DATE(YEAR($M$7),MONTH($M$7)+S71,DAY($M$7)),0))+3</f>
        <v>44410</v>
      </c>
      <c r="S71" s="85">
        <f t="shared" si="12"/>
        <v>27</v>
      </c>
    </row>
    <row r="72" spans="1:19" ht="12.75" customHeight="1" x14ac:dyDescent="0.2">
      <c r="A72" s="83"/>
      <c r="B72" s="309"/>
      <c r="C72" s="309"/>
      <c r="D72" s="361" t="str">
        <f t="shared" si="0"/>
        <v>27-28-29-01-02/09/21</v>
      </c>
      <c r="E72" s="361"/>
      <c r="F72" s="365" t="str">
        <f t="shared" si="3"/>
        <v>Index(t) &lt;= 70%*VRI</v>
      </c>
      <c r="G72" s="365"/>
      <c r="H72" s="307" t="str">
        <f t="shared" si="1"/>
        <v>€ 640,00</v>
      </c>
      <c r="I72" s="307"/>
      <c r="J72" s="307" t="str">
        <f t="shared" si="2"/>
        <v>02/09/21</v>
      </c>
      <c r="K72" s="83"/>
      <c r="L72" s="122">
        <f t="shared" ref="L72:M72" si="37">M72-1</f>
        <v>44435</v>
      </c>
      <c r="M72" s="122">
        <f t="shared" si="37"/>
        <v>44436</v>
      </c>
      <c r="N72" s="122">
        <f t="shared" si="9"/>
        <v>44437</v>
      </c>
      <c r="O72" s="122">
        <f t="shared" si="5"/>
        <v>44440</v>
      </c>
      <c r="P72" s="122">
        <f t="shared" si="17"/>
        <v>44441</v>
      </c>
      <c r="Q72" s="119">
        <f t="shared" si="11"/>
        <v>6.4000000000000003E-3</v>
      </c>
      <c r="R72" s="122">
        <f>IF(WORKDAY(DATE(YEAR($M$7),MONTH($M$7)+S72,DAY($M$7)-1),1) =WORKDAY(DATE(YEAR( $M$7),MONTH($M$7)+S72,DAY($M$7)),0),WORKDAY(DATE(YEAR($M$7),MONTH($M$7)+S72,DAY($M$7)),0),WORKDAY(DATE(YEAR($M$7),MONTH($M$7)+S72,DAY($M$7)),0))+3</f>
        <v>44441</v>
      </c>
      <c r="S72" s="85">
        <f t="shared" si="12"/>
        <v>28</v>
      </c>
    </row>
    <row r="73" spans="1:19" ht="12.75" customHeight="1" x14ac:dyDescent="0.2">
      <c r="A73" s="83"/>
      <c r="B73" s="309"/>
      <c r="C73" s="309"/>
      <c r="D73" s="361" t="str">
        <f t="shared" si="0"/>
        <v>26-27-28-01-02/10/21</v>
      </c>
      <c r="E73" s="361"/>
      <c r="F73" s="365" t="str">
        <f t="shared" si="3"/>
        <v>Index(t) &lt;= 70%*VRI</v>
      </c>
      <c r="G73" s="365"/>
      <c r="H73" s="307" t="str">
        <f t="shared" si="1"/>
        <v>€ 640,00</v>
      </c>
      <c r="I73" s="307"/>
      <c r="J73" s="307" t="str">
        <f t="shared" si="2"/>
        <v>02/10/21</v>
      </c>
      <c r="K73" s="83"/>
      <c r="L73" s="122">
        <f t="shared" ref="L73:M73" si="38">M73-1</f>
        <v>44465</v>
      </c>
      <c r="M73" s="122">
        <f t="shared" si="38"/>
        <v>44466</v>
      </c>
      <c r="N73" s="122">
        <f t="shared" si="9"/>
        <v>44467</v>
      </c>
      <c r="O73" s="122">
        <f t="shared" si="5"/>
        <v>44470</v>
      </c>
      <c r="P73" s="122">
        <f t="shared" si="17"/>
        <v>44471</v>
      </c>
      <c r="Q73" s="119">
        <f t="shared" si="11"/>
        <v>6.4000000000000003E-3</v>
      </c>
      <c r="R73" s="122">
        <f t="shared" si="21"/>
        <v>44471</v>
      </c>
      <c r="S73" s="85">
        <f t="shared" si="12"/>
        <v>29</v>
      </c>
    </row>
    <row r="74" spans="1:19" ht="12.75" customHeight="1" x14ac:dyDescent="0.2">
      <c r="A74" s="83"/>
      <c r="B74" s="309"/>
      <c r="C74" s="309"/>
      <c r="D74" s="361" t="str">
        <f t="shared" si="0"/>
        <v>27-28-29-01-02/11/21</v>
      </c>
      <c r="E74" s="361"/>
      <c r="F74" s="365" t="str">
        <f t="shared" si="3"/>
        <v>Index(t) &lt;= 70%*VRI</v>
      </c>
      <c r="G74" s="365"/>
      <c r="H74" s="307" t="str">
        <f t="shared" si="1"/>
        <v>€ 640,00</v>
      </c>
      <c r="I74" s="307"/>
      <c r="J74" s="307" t="str">
        <f t="shared" si="2"/>
        <v>02/11/21</v>
      </c>
      <c r="K74" s="83"/>
      <c r="L74" s="122">
        <f t="shared" ref="L74:M74" si="39">M74-1</f>
        <v>44496</v>
      </c>
      <c r="M74" s="122">
        <f t="shared" si="39"/>
        <v>44497</v>
      </c>
      <c r="N74" s="122">
        <f t="shared" si="9"/>
        <v>44498</v>
      </c>
      <c r="O74" s="122">
        <f t="shared" si="5"/>
        <v>44501</v>
      </c>
      <c r="P74" s="122">
        <f t="shared" si="17"/>
        <v>44502</v>
      </c>
      <c r="Q74" s="119">
        <f t="shared" si="11"/>
        <v>6.4000000000000003E-3</v>
      </c>
      <c r="R74" s="122">
        <f>IF(WORKDAY(DATE(YEAR($M$7),MONTH($M$7)+S74,DAY($M$7)-1),1) =WORKDAY(DATE(YEAR( $M$7),MONTH($M$7)+S74,DAY($M$7)),0),WORKDAY(DATE(YEAR($M$7),MONTH($M$7)+S74,DAY($M$7)),0),WORKDAY(DATE(YEAR($M$7),MONTH($M$7)+S74,DAY($M$7)),0))+3</f>
        <v>44502</v>
      </c>
      <c r="S74" s="85">
        <f t="shared" si="12"/>
        <v>30</v>
      </c>
    </row>
    <row r="75" spans="1:19" ht="12.75" customHeight="1" x14ac:dyDescent="0.2">
      <c r="A75" s="83"/>
      <c r="B75" s="309"/>
      <c r="C75" s="309"/>
      <c r="D75" s="361" t="str">
        <f t="shared" si="0"/>
        <v>26-27-28-01-02/12/21</v>
      </c>
      <c r="E75" s="361"/>
      <c r="F75" s="365" t="str">
        <f t="shared" si="3"/>
        <v>Index(t) &lt;= 70%*VRI</v>
      </c>
      <c r="G75" s="365"/>
      <c r="H75" s="307" t="str">
        <f t="shared" si="1"/>
        <v>€ 640,00</v>
      </c>
      <c r="I75" s="307"/>
      <c r="J75" s="307" t="str">
        <f t="shared" si="2"/>
        <v>02/12/21</v>
      </c>
      <c r="K75" s="83"/>
      <c r="L75" s="122">
        <f t="shared" ref="L75:M75" si="40">M75-1</f>
        <v>44526</v>
      </c>
      <c r="M75" s="122">
        <f t="shared" si="40"/>
        <v>44527</v>
      </c>
      <c r="N75" s="122">
        <f t="shared" si="9"/>
        <v>44528</v>
      </c>
      <c r="O75" s="122">
        <f t="shared" si="5"/>
        <v>44531</v>
      </c>
      <c r="P75" s="122">
        <f t="shared" si="17"/>
        <v>44532</v>
      </c>
      <c r="Q75" s="119">
        <f t="shared" si="11"/>
        <v>6.4000000000000003E-3</v>
      </c>
      <c r="R75" s="122">
        <f t="shared" si="21"/>
        <v>44532</v>
      </c>
      <c r="S75" s="85">
        <f>S74+1</f>
        <v>31</v>
      </c>
    </row>
    <row r="76" spans="1:19" ht="12.75" customHeight="1" x14ac:dyDescent="0.2">
      <c r="A76" s="83"/>
      <c r="B76" s="309"/>
      <c r="C76" s="309"/>
      <c r="D76" s="361" t="str">
        <f t="shared" si="0"/>
        <v>27-28-29-01-02/01/22</v>
      </c>
      <c r="E76" s="361"/>
      <c r="F76" s="365" t="str">
        <f t="shared" si="3"/>
        <v>Index(t) &lt;= 70%*VRI</v>
      </c>
      <c r="G76" s="365"/>
      <c r="H76" s="307" t="str">
        <f t="shared" si="1"/>
        <v>€ 640,00</v>
      </c>
      <c r="I76" s="307"/>
      <c r="J76" s="307" t="str">
        <f t="shared" si="2"/>
        <v>02/01/22</v>
      </c>
      <c r="K76" s="83"/>
      <c r="L76" s="122">
        <f t="shared" ref="L76:M76" si="41">M76-1</f>
        <v>44557</v>
      </c>
      <c r="M76" s="122">
        <f t="shared" si="41"/>
        <v>44558</v>
      </c>
      <c r="N76" s="122">
        <f t="shared" si="9"/>
        <v>44559</v>
      </c>
      <c r="O76" s="122">
        <f t="shared" si="5"/>
        <v>44562</v>
      </c>
      <c r="P76" s="122">
        <f t="shared" si="17"/>
        <v>44563</v>
      </c>
      <c r="Q76" s="119">
        <f t="shared" si="11"/>
        <v>6.4000000000000003E-3</v>
      </c>
      <c r="R76" s="122">
        <f>IF(WORKDAY(DATE(YEAR($M$7),MONTH($M$7)+S76,DAY($M$7)-1),1) =WORKDAY(DATE(YEAR( $M$7),MONTH($M$7)+S76,DAY($M$7)),0),WORKDAY(DATE(YEAR($M$7),MONTH($M$7)+S76,DAY($M$7)),0),WORKDAY(DATE(YEAR($M$7),MONTH($M$7)+S76,DAY($M$7)),0))+3</f>
        <v>44563</v>
      </c>
      <c r="S76" s="85">
        <f t="shared" si="12"/>
        <v>32</v>
      </c>
    </row>
    <row r="77" spans="1:19" ht="12.75" customHeight="1" x14ac:dyDescent="0.2">
      <c r="A77" s="83"/>
      <c r="B77" s="309"/>
      <c r="C77" s="309"/>
      <c r="D77" s="361" t="str">
        <f t="shared" si="0"/>
        <v>27-28-29-01-02/02/22</v>
      </c>
      <c r="E77" s="361"/>
      <c r="F77" s="365" t="str">
        <f t="shared" si="3"/>
        <v>Index(t) &lt;= 70%*VRI</v>
      </c>
      <c r="G77" s="365"/>
      <c r="H77" s="307" t="str">
        <f t="shared" si="1"/>
        <v>€ 640,00</v>
      </c>
      <c r="I77" s="307"/>
      <c r="J77" s="307" t="str">
        <f t="shared" si="2"/>
        <v>02/02/22</v>
      </c>
      <c r="K77" s="83"/>
      <c r="L77" s="122">
        <f t="shared" ref="L77:M77" si="42">M77-1</f>
        <v>44588</v>
      </c>
      <c r="M77" s="122">
        <f t="shared" si="42"/>
        <v>44589</v>
      </c>
      <c r="N77" s="122">
        <f t="shared" si="9"/>
        <v>44590</v>
      </c>
      <c r="O77" s="122">
        <f t="shared" si="5"/>
        <v>44593</v>
      </c>
      <c r="P77" s="122">
        <f t="shared" si="17"/>
        <v>44594</v>
      </c>
      <c r="Q77" s="119">
        <f t="shared" si="11"/>
        <v>6.4000000000000003E-3</v>
      </c>
      <c r="R77" s="122">
        <f>IF(WORKDAY(DATE(YEAR($M$7),MONTH($M$7)+S77,DAY($M$7)-1),1) =WORKDAY(DATE(YEAR( $M$7),MONTH($M$7)+S77,DAY($M$7)),0),WORKDAY(DATE(YEAR($M$7),MONTH($M$7)+S77,DAY($M$7)),0),WORKDAY(DATE(YEAR($M$7),MONTH($M$7)+S77,DAY($M$7)),0))+3</f>
        <v>44594</v>
      </c>
      <c r="S77" s="85">
        <f t="shared" si="12"/>
        <v>33</v>
      </c>
    </row>
    <row r="78" spans="1:19" ht="12.75" customHeight="1" x14ac:dyDescent="0.2">
      <c r="A78" s="83"/>
      <c r="B78" s="309"/>
      <c r="C78" s="309"/>
      <c r="D78" s="361" t="str">
        <f t="shared" si="0"/>
        <v>24-25-26-01-02/03/22</v>
      </c>
      <c r="E78" s="361"/>
      <c r="F78" s="365" t="str">
        <f t="shared" si="3"/>
        <v>Index(t) &lt;= 70%*VRI</v>
      </c>
      <c r="G78" s="365"/>
      <c r="H78" s="307" t="str">
        <f t="shared" si="1"/>
        <v>€ 640,00</v>
      </c>
      <c r="I78" s="307"/>
      <c r="J78" s="307" t="str">
        <f t="shared" si="2"/>
        <v>02/03/22</v>
      </c>
      <c r="K78" s="83"/>
      <c r="L78" s="122">
        <f t="shared" ref="L78:M78" si="43">M78-1</f>
        <v>44616</v>
      </c>
      <c r="M78" s="122">
        <f t="shared" si="43"/>
        <v>44617</v>
      </c>
      <c r="N78" s="122">
        <f t="shared" si="9"/>
        <v>44618</v>
      </c>
      <c r="O78" s="122">
        <f t="shared" si="5"/>
        <v>44621</v>
      </c>
      <c r="P78" s="122">
        <f t="shared" si="17"/>
        <v>44622</v>
      </c>
      <c r="Q78" s="119">
        <f t="shared" si="11"/>
        <v>6.4000000000000003E-3</v>
      </c>
      <c r="R78" s="122">
        <f>IF(WORKDAY(DATE(YEAR($M$7),MONTH($M$7)+S78,DAY($M$7)-1),1) =WORKDAY(DATE(YEAR( $M$7),MONTH($M$7)+S78,DAY($M$7)),0),WORKDAY(DATE(YEAR($M$7),MONTH($M$7)+S78,DAY($M$7)),0),WORKDAY(DATE(YEAR($M$7),MONTH($M$7)+S78,DAY($M$7)),0))</f>
        <v>44622</v>
      </c>
      <c r="S78" s="85">
        <f t="shared" si="12"/>
        <v>34</v>
      </c>
    </row>
    <row r="79" spans="1:19" ht="12.75" customHeight="1" x14ac:dyDescent="0.2">
      <c r="A79" s="83"/>
      <c r="B79" s="309"/>
      <c r="C79" s="309"/>
      <c r="D79" s="361" t="str">
        <f t="shared" si="0"/>
        <v>27-28-29-01-02/04/22</v>
      </c>
      <c r="E79" s="361"/>
      <c r="F79" s="365" t="str">
        <f t="shared" si="3"/>
        <v>Index(t) &lt;= 70%*VRI</v>
      </c>
      <c r="G79" s="365"/>
      <c r="H79" s="307" t="str">
        <f t="shared" si="1"/>
        <v>€ 640,00</v>
      </c>
      <c r="I79" s="307"/>
      <c r="J79" s="307" t="str">
        <f t="shared" si="2"/>
        <v>02/04/22</v>
      </c>
      <c r="K79" s="83"/>
      <c r="L79" s="122">
        <f t="shared" ref="L79:M79" si="44">M79-1</f>
        <v>44647</v>
      </c>
      <c r="M79" s="122">
        <f t="shared" si="44"/>
        <v>44648</v>
      </c>
      <c r="N79" s="122">
        <f t="shared" si="9"/>
        <v>44649</v>
      </c>
      <c r="O79" s="122">
        <f t="shared" si="5"/>
        <v>44652</v>
      </c>
      <c r="P79" s="122">
        <f t="shared" si="17"/>
        <v>44653</v>
      </c>
      <c r="Q79" s="119">
        <f t="shared" si="11"/>
        <v>6.4000000000000003E-3</v>
      </c>
      <c r="R79" s="122">
        <f>IF(WORKDAY(DATE(YEAR($M$7),MONTH($M$7)+S79,DAY($M$7)-1),1) =WORKDAY(DATE(YEAR( $M$7),MONTH($M$7)+S79,DAY($M$7)),0),WORKDAY(DATE(YEAR($M$7),MONTH($M$7)+S79,DAY($M$7)),0),WORKDAY(DATE(YEAR($M$7),MONTH($M$7)+S79,DAY($M$7)),0))+3</f>
        <v>44653</v>
      </c>
      <c r="S79" s="85">
        <f>S78+1</f>
        <v>35</v>
      </c>
    </row>
    <row r="80" spans="1:19" x14ac:dyDescent="0.2">
      <c r="A80" s="83"/>
      <c r="B80" s="309"/>
      <c r="C80" s="309"/>
      <c r="D80" s="307"/>
      <c r="E80" s="308"/>
      <c r="F80" s="308"/>
      <c r="G80" s="307"/>
      <c r="H80" s="307"/>
      <c r="I80" s="307"/>
      <c r="J80" s="307"/>
      <c r="K80" s="83"/>
      <c r="L80" s="101"/>
      <c r="M80" s="101"/>
      <c r="N80" s="101"/>
      <c r="O80" s="274"/>
      <c r="P80" s="101"/>
    </row>
    <row r="81" spans="1:19" x14ac:dyDescent="0.2">
      <c r="A81" s="83"/>
      <c r="B81" s="309"/>
      <c r="C81" s="309"/>
      <c r="D81" s="307"/>
      <c r="E81" s="308"/>
      <c r="F81" s="308"/>
      <c r="G81" s="307"/>
      <c r="H81" s="307"/>
      <c r="I81" s="307"/>
      <c r="J81" s="307"/>
      <c r="K81" s="83"/>
      <c r="L81" s="101"/>
      <c r="M81" s="101"/>
      <c r="N81" s="101"/>
      <c r="O81" s="274"/>
      <c r="P81" s="101"/>
    </row>
    <row r="82" spans="1:19" ht="12.75" customHeight="1" x14ac:dyDescent="0.2">
      <c r="A82" s="83"/>
      <c r="B82" s="363" t="s">
        <v>431</v>
      </c>
      <c r="C82" s="363"/>
      <c r="D82" s="372" t="str">
        <f>CONCATENATE("Se il livello di chiusura del titolo sottostante è inferiore al ",TEXT(M86,"0%")," del Valore di Riferimento Iniziale in ciascuna delle Date di Osservazione, e non si è verificato l'evento di estinzione anticipata, è pagato un importo come sotto specificato:")</f>
        <v>Se il livello di chiusura del titolo sottostante è inferiore al 100% del Valore di Riferimento Iniziale in ciascuna delle Date di Osservazione, e non si è verificato l'evento di estinzione anticipata, è pagato un importo come sotto specificato:</v>
      </c>
      <c r="E82" s="372"/>
      <c r="F82" s="372"/>
      <c r="G82" s="372"/>
      <c r="H82" s="372"/>
      <c r="I82" s="372"/>
      <c r="J82" s="372"/>
      <c r="K82" s="83"/>
    </row>
    <row r="83" spans="1:19" ht="12.75" customHeight="1" x14ac:dyDescent="0.2">
      <c r="A83" s="83"/>
      <c r="B83" s="79"/>
      <c r="C83" s="79"/>
      <c r="D83" s="372"/>
      <c r="E83" s="372"/>
      <c r="F83" s="372"/>
      <c r="G83" s="372"/>
      <c r="H83" s="372"/>
      <c r="I83" s="372"/>
      <c r="J83" s="372"/>
      <c r="K83" s="83"/>
    </row>
    <row r="84" spans="1:19" ht="14.45" customHeight="1" x14ac:dyDescent="0.2">
      <c r="A84" s="83"/>
      <c r="B84" s="79"/>
      <c r="C84" s="79"/>
      <c r="D84" s="372"/>
      <c r="E84" s="372"/>
      <c r="F84" s="372"/>
      <c r="G84" s="372"/>
      <c r="H84" s="372"/>
      <c r="I84" s="372"/>
      <c r="J84" s="372"/>
      <c r="K84" s="83"/>
    </row>
    <row r="85" spans="1:19" ht="12.75" customHeight="1" x14ac:dyDescent="0.2">
      <c r="A85" s="83"/>
      <c r="B85" s="79"/>
      <c r="C85" s="79"/>
      <c r="D85" s="349" t="s">
        <v>177</v>
      </c>
      <c r="E85" s="349"/>
      <c r="F85" s="349" t="s">
        <v>166</v>
      </c>
      <c r="G85" s="349"/>
      <c r="H85" s="349" t="s">
        <v>167</v>
      </c>
      <c r="I85" s="349"/>
      <c r="J85" s="349" t="s">
        <v>58</v>
      </c>
      <c r="K85" s="83"/>
      <c r="L85" s="217"/>
    </row>
    <row r="86" spans="1:19" ht="12.75" customHeight="1" x14ac:dyDescent="0.2">
      <c r="A86" s="83"/>
      <c r="B86" s="79"/>
      <c r="C86" s="79"/>
      <c r="D86" s="350"/>
      <c r="E86" s="350"/>
      <c r="F86" s="350"/>
      <c r="G86" s="350"/>
      <c r="H86" s="350"/>
      <c r="I86" s="350"/>
      <c r="J86" s="350"/>
      <c r="K86" s="83"/>
      <c r="L86" s="89" t="s">
        <v>436</v>
      </c>
      <c r="M86" s="92">
        <v>1</v>
      </c>
    </row>
    <row r="87" spans="1:19" x14ac:dyDescent="0.2">
      <c r="A87" s="83"/>
      <c r="B87" s="79"/>
      <c r="C87" s="79"/>
      <c r="D87" s="361" t="str">
        <f>CONCATENATE(IF(L87=0,"",TEXT(L87,"gg")),IF(L87=0,"",", "),IF(M87=0,"",TEXT(M87,"gg")),IF(M87=0,"",", "),IF(N87=0,"",TEXT(N87,"gg")),IF(N87=0,"",", "),IF(O87=0,"",TEXT(O87,"gg")),IF(O87=0,"",", "),IF(P87=0,"",TEXT(P87,"gg/mm/aa")))</f>
        <v>23, 24, 25, 28, 29/10/19</v>
      </c>
      <c r="E87" s="361" t="str">
        <f>CONCATENATE(TEXT(M87,"gg"),"-",TEXT(N87,"gg/mm/aa"))</f>
        <v>24-25/10/19</v>
      </c>
      <c r="F87" s="365" t="str">
        <f>CONCATENATE("Index(t) &lt; ",TEXT($M$86,"0%")," * VRI")</f>
        <v>Index(t) &lt; 100% * VRI</v>
      </c>
      <c r="G87" s="365"/>
      <c r="H87" s="361" t="str">
        <f>TEXT(Q87*$L$31,"€ 0,00")</f>
        <v>€ 0,00</v>
      </c>
      <c r="I87" s="361"/>
      <c r="J87" s="88" t="str">
        <f>TEXT(R87,"gg/mm/aa")</f>
        <v>04/11/19</v>
      </c>
      <c r="K87" s="83"/>
      <c r="L87" s="122">
        <f t="shared" ref="L87:M87" si="45">M87-1</f>
        <v>43761</v>
      </c>
      <c r="M87" s="122">
        <f t="shared" si="45"/>
        <v>43762</v>
      </c>
      <c r="N87" s="122">
        <f t="shared" ref="N87:N116" si="46">O87-3</f>
        <v>43763</v>
      </c>
      <c r="O87" s="122">
        <f t="shared" ref="O87:O116" si="47">P87-1</f>
        <v>43766</v>
      </c>
      <c r="P87" s="122">
        <f t="shared" ref="P87:P88" si="48">R87-6</f>
        <v>43767</v>
      </c>
      <c r="Q87" s="119">
        <f t="shared" ref="Q87:Q116" si="49">Q86</f>
        <v>0</v>
      </c>
      <c r="R87" s="122">
        <f>IF(WORKDAY(DATE(YEAR($M$7),MONTH($M$7)+S87,DAY($M$7)-1),1) =WORKDAY(DATE(YEAR( $M$7),MONTH($M$7)+S87,DAY($M$7)),0),WORKDAY(DATE(YEAR($M$7),MONTH($M$7)+S87,DAY($M$7)),0),WORKDAY(DATE(YEAR($M$7),MONTH($M$7)+S87,DAY($M$7)),0))+5</f>
        <v>43773</v>
      </c>
      <c r="S87" s="85">
        <f>S50</f>
        <v>6</v>
      </c>
    </row>
    <row r="88" spans="1:19" ht="12.75" customHeight="1" x14ac:dyDescent="0.2">
      <c r="A88" s="83"/>
      <c r="B88" s="79"/>
      <c r="C88" s="79"/>
      <c r="D88" s="361" t="str">
        <f>CONCATENATE(IF(L88=0,"",TEXT(L88,"gg")),IF(L88=0,"",", "),IF(M88=0,"",TEXT(M88,"gg")),IF(M88=0,"",", "),IF(N88=0,"",TEXT(N88,"gg")),IF(N88=0,"",", "),IF(O88=0,"",TEXT(O88,"gg")),IF(O88=0,"",", "),IF(P88=0,"",TEXT(P88,"gg/mm/aa")))</f>
        <v>20, 21, 22, 25, 26/11/19</v>
      </c>
      <c r="E88" s="361" t="str">
        <f>CONCATENATE(TEXT(M88,"gg"),"-",TEXT(N88,"gg/mm/aa"))</f>
        <v>21-22/11/19</v>
      </c>
      <c r="F88" s="365" t="str">
        <f t="shared" ref="F88:F116" si="50">CONCATENATE("Index(t) &lt; ",TEXT($M$86,"0%")," * VRI")</f>
        <v>Index(t) &lt; 100% * VRI</v>
      </c>
      <c r="G88" s="365"/>
      <c r="H88" s="361" t="str">
        <f>TEXT(Q88*$L$31,"€ 0,00")</f>
        <v>€ 0,00</v>
      </c>
      <c r="I88" s="361"/>
      <c r="J88" s="88" t="str">
        <f>TEXT(R88,"gg/mm/aa")</f>
        <v>02/12/19</v>
      </c>
      <c r="K88" s="83"/>
      <c r="L88" s="122">
        <f t="shared" ref="L88:M88" si="51">M88-1</f>
        <v>43789</v>
      </c>
      <c r="M88" s="122">
        <f t="shared" si="51"/>
        <v>43790</v>
      </c>
      <c r="N88" s="122">
        <f t="shared" si="46"/>
        <v>43791</v>
      </c>
      <c r="O88" s="122">
        <f t="shared" si="47"/>
        <v>43794</v>
      </c>
      <c r="P88" s="122">
        <f t="shared" si="48"/>
        <v>43795</v>
      </c>
      <c r="Q88" s="119">
        <f t="shared" si="49"/>
        <v>0</v>
      </c>
      <c r="R88" s="122">
        <f>IF(WORKDAY(DATE(YEAR($M$7),MONTH($M$7)+S88,DAY($M$7)-1),1) =WORKDAY(DATE(YEAR( $M$7),MONTH($M$7)+S88,DAY($M$7)),0),WORKDAY(DATE(YEAR($M$7),MONTH($M$7)+S88,DAY($M$7)),0),WORKDAY(DATE(YEAR($M$7),MONTH($M$7)+S88,DAY($M$7)),0))+2</f>
        <v>43801</v>
      </c>
      <c r="S88" s="85">
        <f t="shared" ref="S88:S111" si="52">S87+1</f>
        <v>7</v>
      </c>
    </row>
    <row r="89" spans="1:19" ht="12.75" customHeight="1" x14ac:dyDescent="0.2">
      <c r="A89" s="83"/>
      <c r="B89" s="309"/>
      <c r="C89" s="309"/>
      <c r="D89" s="361" t="str">
        <f t="shared" ref="D89:D116" si="53">CONCATENATE(IF(L89=0,"",TEXT(L89,"gg")),IF(L89=0,"",", "),IF(M89=0,"",TEXT(M89,"gg")),IF(M89=0,"",", "),IF(N89=0,"",TEXT(N89,"gg")),IF(N89=0,"",", "),IF(O89=0,"",TEXT(O89,"gg")),IF(O89=0,"",", "),IF(P89=0,"",TEXT(P89,"gg/mm/aa")))</f>
        <v>27, 28, 29, 01, 02/01/20</v>
      </c>
      <c r="E89" s="361" t="str">
        <f t="shared" ref="E89:E116" si="54">CONCATENATE(TEXT(M89,"gg"),"-",TEXT(N89,"gg/mm/aa"))</f>
        <v>28-29/12/19</v>
      </c>
      <c r="F89" s="365" t="str">
        <f t="shared" si="50"/>
        <v>Index(t) &lt; 100% * VRI</v>
      </c>
      <c r="G89" s="365"/>
      <c r="H89" s="361" t="str">
        <f t="shared" ref="H89:H116" si="55">TEXT(Q89*$L$31,"€ 0,00")</f>
        <v>€ 0,00</v>
      </c>
      <c r="I89" s="361"/>
      <c r="J89" s="307" t="str">
        <f t="shared" ref="J89:J116" si="56">TEXT(R89,"gg/mm/aa")</f>
        <v>02/01/20</v>
      </c>
      <c r="K89" s="83"/>
      <c r="L89" s="122">
        <f t="shared" ref="L89:M89" si="57">M89-1</f>
        <v>43826</v>
      </c>
      <c r="M89" s="122">
        <f t="shared" si="57"/>
        <v>43827</v>
      </c>
      <c r="N89" s="122">
        <f t="shared" si="46"/>
        <v>43828</v>
      </c>
      <c r="O89" s="122">
        <f t="shared" si="47"/>
        <v>43831</v>
      </c>
      <c r="P89" s="122">
        <f>R89</f>
        <v>43832</v>
      </c>
      <c r="Q89" s="119">
        <f t="shared" si="49"/>
        <v>0</v>
      </c>
      <c r="R89" s="122">
        <f>IF(WORKDAY(DATE(YEAR($M$7),MONTH($M$7)+S89,DAY($M$7)-1),1) =WORKDAY(DATE(YEAR( $M$7),MONTH($M$7)+S89,DAY($M$7)),0),WORKDAY(DATE(YEAR($M$7),MONTH($M$7)+S89,DAY($M$7)),0),WORKDAY(DATE(YEAR($M$7),MONTH($M$7)+S89,DAY($M$7)),0))+3</f>
        <v>43832</v>
      </c>
      <c r="S89" s="85">
        <f t="shared" si="52"/>
        <v>8</v>
      </c>
    </row>
    <row r="90" spans="1:19" ht="12.75" customHeight="1" x14ac:dyDescent="0.2">
      <c r="A90" s="83"/>
      <c r="B90" s="309"/>
      <c r="C90" s="309"/>
      <c r="D90" s="361" t="str">
        <f t="shared" si="53"/>
        <v>27, 28, 29, 01, 02/02/20</v>
      </c>
      <c r="E90" s="361" t="str">
        <f t="shared" si="54"/>
        <v>28-29/01/20</v>
      </c>
      <c r="F90" s="365" t="str">
        <f t="shared" si="50"/>
        <v>Index(t) &lt; 100% * VRI</v>
      </c>
      <c r="G90" s="365"/>
      <c r="H90" s="361" t="str">
        <f t="shared" si="55"/>
        <v>€ 0,00</v>
      </c>
      <c r="I90" s="361"/>
      <c r="J90" s="307" t="str">
        <f t="shared" si="56"/>
        <v>02/02/20</v>
      </c>
      <c r="K90" s="83"/>
      <c r="L90" s="122">
        <f t="shared" ref="L90:M90" si="58">M90-1</f>
        <v>43857</v>
      </c>
      <c r="M90" s="122">
        <f t="shared" si="58"/>
        <v>43858</v>
      </c>
      <c r="N90" s="122">
        <f t="shared" si="46"/>
        <v>43859</v>
      </c>
      <c r="O90" s="122">
        <f t="shared" si="47"/>
        <v>43862</v>
      </c>
      <c r="P90" s="122">
        <f t="shared" ref="P90:P116" si="59">R90</f>
        <v>43863</v>
      </c>
      <c r="Q90" s="119">
        <f t="shared" si="49"/>
        <v>0</v>
      </c>
      <c r="R90" s="122">
        <f>IF(WORKDAY(DATE(YEAR($M$7),MONTH($M$7)+S90,DAY($M$7)-1),1) =WORKDAY(DATE(YEAR( $M$7),MONTH($M$7)+S90,DAY($M$7)),0),WORKDAY(DATE(YEAR($M$7),MONTH($M$7)+S90,DAY($M$7)),0),WORKDAY(DATE(YEAR($M$7),MONTH($M$7)+S90,DAY($M$7)),0))+3</f>
        <v>43863</v>
      </c>
      <c r="S90" s="85">
        <f t="shared" si="52"/>
        <v>9</v>
      </c>
    </row>
    <row r="91" spans="1:19" ht="12.75" customHeight="1" x14ac:dyDescent="0.2">
      <c r="A91" s="83"/>
      <c r="B91" s="309"/>
      <c r="C91" s="309"/>
      <c r="D91" s="361" t="str">
        <f t="shared" si="53"/>
        <v>25, 26, 27, 01, 02/03/20</v>
      </c>
      <c r="E91" s="361" t="str">
        <f t="shared" si="54"/>
        <v>26-27/02/20</v>
      </c>
      <c r="F91" s="365" t="str">
        <f t="shared" si="50"/>
        <v>Index(t) &lt; 100% * VRI</v>
      </c>
      <c r="G91" s="365"/>
      <c r="H91" s="361" t="str">
        <f t="shared" si="55"/>
        <v>€ 0,00</v>
      </c>
      <c r="I91" s="361"/>
      <c r="J91" s="307" t="str">
        <f t="shared" si="56"/>
        <v>02/03/20</v>
      </c>
      <c r="K91" s="83"/>
      <c r="L91" s="122">
        <f t="shared" ref="L91:M91" si="60">M91-1</f>
        <v>43886</v>
      </c>
      <c r="M91" s="122">
        <f t="shared" si="60"/>
        <v>43887</v>
      </c>
      <c r="N91" s="122">
        <f t="shared" si="46"/>
        <v>43888</v>
      </c>
      <c r="O91" s="122">
        <f t="shared" si="47"/>
        <v>43891</v>
      </c>
      <c r="P91" s="122">
        <f t="shared" si="59"/>
        <v>43892</v>
      </c>
      <c r="Q91" s="119">
        <f t="shared" si="49"/>
        <v>0</v>
      </c>
      <c r="R91" s="122">
        <f>IF(WORKDAY(DATE(YEAR($M$7),MONTH($M$7)+S91,DAY($M$7)-1),1) =WORKDAY(DATE(YEAR( $M$7),MONTH($M$7)+S91,DAY($M$7)),0),WORKDAY(DATE(YEAR($M$7),MONTH($M$7)+S91,DAY($M$7)),0),WORKDAY(DATE(YEAR($M$7),MONTH($M$7)+S91,DAY($M$7)),0))+1</f>
        <v>43892</v>
      </c>
      <c r="S91" s="85">
        <f t="shared" si="52"/>
        <v>10</v>
      </c>
    </row>
    <row r="92" spans="1:19" ht="12.75" customHeight="1" x14ac:dyDescent="0.2">
      <c r="A92" s="83"/>
      <c r="B92" s="309"/>
      <c r="C92" s="309"/>
      <c r="D92" s="361" t="str">
        <f t="shared" si="53"/>
        <v>27, 28, 29, 01, 02/04/20</v>
      </c>
      <c r="E92" s="361" t="str">
        <f t="shared" si="54"/>
        <v>28-29/03/20</v>
      </c>
      <c r="F92" s="365" t="str">
        <f t="shared" si="50"/>
        <v>Index(t) &lt; 100% * VRI</v>
      </c>
      <c r="G92" s="365"/>
      <c r="H92" s="361" t="str">
        <f t="shared" si="55"/>
        <v>€ 0,00</v>
      </c>
      <c r="I92" s="361"/>
      <c r="J92" s="307" t="str">
        <f t="shared" si="56"/>
        <v>02/04/20</v>
      </c>
      <c r="K92" s="83"/>
      <c r="L92" s="122">
        <f t="shared" ref="L92:M92" si="61">M92-1</f>
        <v>43917</v>
      </c>
      <c r="M92" s="122">
        <f t="shared" si="61"/>
        <v>43918</v>
      </c>
      <c r="N92" s="122">
        <f t="shared" si="46"/>
        <v>43919</v>
      </c>
      <c r="O92" s="122">
        <f t="shared" si="47"/>
        <v>43922</v>
      </c>
      <c r="P92" s="122">
        <f t="shared" si="59"/>
        <v>43923</v>
      </c>
      <c r="Q92" s="119">
        <f t="shared" si="49"/>
        <v>0</v>
      </c>
      <c r="R92" s="122">
        <f>IF(WORKDAY(DATE(YEAR($M$7),MONTH($M$7)+S92,DAY($M$7)-1),1) =WORKDAY(DATE(YEAR( $M$7),MONTH($M$7)+S92,DAY($M$7)),0),WORKDAY(DATE(YEAR($M$7),MONTH($M$7)+S92,DAY($M$7)),0),WORKDAY(DATE(YEAR($M$7),MONTH($M$7)+S92,DAY($M$7)),0))+3</f>
        <v>43923</v>
      </c>
      <c r="S92" s="85">
        <f t="shared" si="52"/>
        <v>11</v>
      </c>
    </row>
    <row r="93" spans="1:19" ht="12.75" customHeight="1" x14ac:dyDescent="0.2">
      <c r="A93" s="83"/>
      <c r="B93" s="309"/>
      <c r="C93" s="309"/>
      <c r="D93" s="361" t="str">
        <f t="shared" si="53"/>
        <v>26, 27, 28, 01, 02/05/20</v>
      </c>
      <c r="E93" s="361" t="str">
        <f t="shared" si="54"/>
        <v>27-28/04/20</v>
      </c>
      <c r="F93" s="365" t="str">
        <f t="shared" si="50"/>
        <v>Index(t) &lt; 100% * VRI</v>
      </c>
      <c r="G93" s="365"/>
      <c r="H93" s="361" t="str">
        <f t="shared" si="55"/>
        <v>€ 0,00</v>
      </c>
      <c r="I93" s="361"/>
      <c r="J93" s="307" t="str">
        <f t="shared" si="56"/>
        <v>02/05/20</v>
      </c>
      <c r="K93" s="83"/>
      <c r="L93" s="122">
        <f t="shared" ref="L93:M93" si="62">M93-1</f>
        <v>43947</v>
      </c>
      <c r="M93" s="122">
        <f t="shared" si="62"/>
        <v>43948</v>
      </c>
      <c r="N93" s="122">
        <f t="shared" si="46"/>
        <v>43949</v>
      </c>
      <c r="O93" s="122">
        <f t="shared" si="47"/>
        <v>43952</v>
      </c>
      <c r="P93" s="122">
        <f t="shared" si="59"/>
        <v>43953</v>
      </c>
      <c r="Q93" s="119">
        <f t="shared" si="49"/>
        <v>0</v>
      </c>
      <c r="R93" s="122">
        <f t="shared" ref="R93:R112" si="63">IF(WORKDAY(DATE(YEAR($M$7),MONTH($M$7)+S93,DAY($M$7)-1),1) =WORKDAY(DATE(YEAR( $M$7),MONTH($M$7)+S93,DAY($M$7)),0),WORKDAY(DATE(YEAR($M$7),MONTH($M$7)+S93,DAY($M$7)),0),WORKDAY(DATE(YEAR($M$7),MONTH($M$7)+S93,DAY($M$7)),0))+2</f>
        <v>43953</v>
      </c>
      <c r="S93" s="85">
        <f t="shared" si="52"/>
        <v>12</v>
      </c>
    </row>
    <row r="94" spans="1:19" ht="12.75" customHeight="1" x14ac:dyDescent="0.2">
      <c r="A94" s="83"/>
      <c r="B94" s="309"/>
      <c r="C94" s="309"/>
      <c r="D94" s="361" t="str">
        <f t="shared" si="53"/>
        <v>27, 28, 29, 01, 02/06/20</v>
      </c>
      <c r="E94" s="361" t="str">
        <f t="shared" si="54"/>
        <v>28-29/05/20</v>
      </c>
      <c r="F94" s="365" t="str">
        <f t="shared" si="50"/>
        <v>Index(t) &lt; 100% * VRI</v>
      </c>
      <c r="G94" s="365"/>
      <c r="H94" s="361" t="str">
        <f t="shared" si="55"/>
        <v>€ 0,00</v>
      </c>
      <c r="I94" s="361"/>
      <c r="J94" s="307" t="str">
        <f t="shared" si="56"/>
        <v>02/06/20</v>
      </c>
      <c r="K94" s="83"/>
      <c r="L94" s="122">
        <f t="shared" ref="L94:M94" si="64">M94-1</f>
        <v>43978</v>
      </c>
      <c r="M94" s="122">
        <f t="shared" si="64"/>
        <v>43979</v>
      </c>
      <c r="N94" s="122">
        <f t="shared" si="46"/>
        <v>43980</v>
      </c>
      <c r="O94" s="122">
        <f t="shared" si="47"/>
        <v>43983</v>
      </c>
      <c r="P94" s="122">
        <f t="shared" si="59"/>
        <v>43984</v>
      </c>
      <c r="Q94" s="119">
        <f t="shared" si="49"/>
        <v>0</v>
      </c>
      <c r="R94" s="122">
        <f>IF(WORKDAY(DATE(YEAR($M$7),MONTH($M$7)+S94,DAY($M$7)-1),1) =WORKDAY(DATE(YEAR( $M$7),MONTH($M$7)+S94,DAY($M$7)),0),WORKDAY(DATE(YEAR($M$7),MONTH($M$7)+S94,DAY($M$7)),0),WORKDAY(DATE(YEAR($M$7),MONTH($M$7)+S94,DAY($M$7)),0))+3</f>
        <v>43984</v>
      </c>
      <c r="S94" s="85">
        <f t="shared" si="52"/>
        <v>13</v>
      </c>
    </row>
    <row r="95" spans="1:19" ht="12.75" customHeight="1" x14ac:dyDescent="0.2">
      <c r="A95" s="83"/>
      <c r="B95" s="309"/>
      <c r="C95" s="309"/>
      <c r="D95" s="361" t="str">
        <f t="shared" si="53"/>
        <v>26, 27, 28, 01, 02/07/20</v>
      </c>
      <c r="E95" s="361" t="str">
        <f t="shared" si="54"/>
        <v>27-28/06/20</v>
      </c>
      <c r="F95" s="365" t="str">
        <f t="shared" si="50"/>
        <v>Index(t) &lt; 100% * VRI</v>
      </c>
      <c r="G95" s="365"/>
      <c r="H95" s="361" t="str">
        <f t="shared" si="55"/>
        <v>€ 0,00</v>
      </c>
      <c r="I95" s="361"/>
      <c r="J95" s="307" t="str">
        <f t="shared" si="56"/>
        <v>02/07/20</v>
      </c>
      <c r="K95" s="83"/>
      <c r="L95" s="122">
        <f t="shared" ref="L95:M95" si="65">M95-1</f>
        <v>44008</v>
      </c>
      <c r="M95" s="122">
        <f t="shared" si="65"/>
        <v>44009</v>
      </c>
      <c r="N95" s="122">
        <f t="shared" si="46"/>
        <v>44010</v>
      </c>
      <c r="O95" s="122">
        <f t="shared" si="47"/>
        <v>44013</v>
      </c>
      <c r="P95" s="122">
        <f t="shared" si="59"/>
        <v>44014</v>
      </c>
      <c r="Q95" s="119">
        <f t="shared" si="49"/>
        <v>0</v>
      </c>
      <c r="R95" s="122">
        <f t="shared" si="63"/>
        <v>44014</v>
      </c>
      <c r="S95" s="85">
        <f t="shared" si="52"/>
        <v>14</v>
      </c>
    </row>
    <row r="96" spans="1:19" ht="12.75" customHeight="1" x14ac:dyDescent="0.2">
      <c r="A96" s="83"/>
      <c r="B96" s="309"/>
      <c r="C96" s="309"/>
      <c r="D96" s="361" t="str">
        <f t="shared" si="53"/>
        <v>27, 28, 29, 01, 02/08/20</v>
      </c>
      <c r="E96" s="361" t="str">
        <f t="shared" si="54"/>
        <v>28-29/07/20</v>
      </c>
      <c r="F96" s="365" t="str">
        <f t="shared" si="50"/>
        <v>Index(t) &lt; 100% * VRI</v>
      </c>
      <c r="G96" s="365"/>
      <c r="H96" s="361" t="str">
        <f t="shared" si="55"/>
        <v>€ 0,00</v>
      </c>
      <c r="I96" s="361"/>
      <c r="J96" s="307" t="str">
        <f t="shared" si="56"/>
        <v>02/08/20</v>
      </c>
      <c r="K96" s="83"/>
      <c r="L96" s="122">
        <f t="shared" ref="L96:M96" si="66">M96-1</f>
        <v>44039</v>
      </c>
      <c r="M96" s="122">
        <f t="shared" si="66"/>
        <v>44040</v>
      </c>
      <c r="N96" s="122">
        <f t="shared" si="46"/>
        <v>44041</v>
      </c>
      <c r="O96" s="122">
        <f t="shared" si="47"/>
        <v>44044</v>
      </c>
      <c r="P96" s="122">
        <f t="shared" si="59"/>
        <v>44045</v>
      </c>
      <c r="Q96" s="119">
        <f t="shared" si="49"/>
        <v>0</v>
      </c>
      <c r="R96" s="122">
        <f>IF(WORKDAY(DATE(YEAR($M$7),MONTH($M$7)+S96,DAY($M$7)-1),1) =WORKDAY(DATE(YEAR( $M$7),MONTH($M$7)+S96,DAY($M$7)),0),WORKDAY(DATE(YEAR($M$7),MONTH($M$7)+S96,DAY($M$7)),0),WORKDAY(DATE(YEAR($M$7),MONTH($M$7)+S96,DAY($M$7)),0))+3</f>
        <v>44045</v>
      </c>
      <c r="S96" s="85">
        <f t="shared" si="52"/>
        <v>15</v>
      </c>
    </row>
    <row r="97" spans="1:19" ht="12.75" customHeight="1" x14ac:dyDescent="0.2">
      <c r="A97" s="83"/>
      <c r="B97" s="309"/>
      <c r="C97" s="309"/>
      <c r="D97" s="361" t="str">
        <f t="shared" si="53"/>
        <v>27, 28, 29, 01, 02/09/20</v>
      </c>
      <c r="E97" s="361" t="str">
        <f t="shared" si="54"/>
        <v>28-29/08/20</v>
      </c>
      <c r="F97" s="365" t="str">
        <f t="shared" si="50"/>
        <v>Index(t) &lt; 100% * VRI</v>
      </c>
      <c r="G97" s="365"/>
      <c r="H97" s="361" t="str">
        <f t="shared" si="55"/>
        <v>€ 0,00</v>
      </c>
      <c r="I97" s="361"/>
      <c r="J97" s="307" t="str">
        <f t="shared" si="56"/>
        <v>02/09/20</v>
      </c>
      <c r="K97" s="83"/>
      <c r="L97" s="122">
        <f t="shared" ref="L97:M97" si="67">M97-1</f>
        <v>44070</v>
      </c>
      <c r="M97" s="122">
        <f t="shared" si="67"/>
        <v>44071</v>
      </c>
      <c r="N97" s="122">
        <f t="shared" si="46"/>
        <v>44072</v>
      </c>
      <c r="O97" s="122">
        <f t="shared" si="47"/>
        <v>44075</v>
      </c>
      <c r="P97" s="122">
        <f t="shared" si="59"/>
        <v>44076</v>
      </c>
      <c r="Q97" s="119">
        <f t="shared" si="49"/>
        <v>0</v>
      </c>
      <c r="R97" s="122">
        <f>IF(WORKDAY(DATE(YEAR($M$7),MONTH($M$7)+S97,DAY($M$7)-1),1) =WORKDAY(DATE(YEAR( $M$7),MONTH($M$7)+S97,DAY($M$7)),0),WORKDAY(DATE(YEAR($M$7),MONTH($M$7)+S97,DAY($M$7)),0),WORKDAY(DATE(YEAR($M$7),MONTH($M$7)+S97,DAY($M$7)),0))+3</f>
        <v>44076</v>
      </c>
      <c r="S97" s="85">
        <f t="shared" si="52"/>
        <v>16</v>
      </c>
    </row>
    <row r="98" spans="1:19" ht="12.75" customHeight="1" x14ac:dyDescent="0.2">
      <c r="A98" s="83"/>
      <c r="B98" s="309"/>
      <c r="C98" s="309"/>
      <c r="D98" s="361" t="str">
        <f t="shared" si="53"/>
        <v>26, 27, 28, 01, 02/10/20</v>
      </c>
      <c r="E98" s="361" t="str">
        <f t="shared" si="54"/>
        <v>27-28/09/20</v>
      </c>
      <c r="F98" s="365" t="str">
        <f t="shared" si="50"/>
        <v>Index(t) &lt; 100% * VRI</v>
      </c>
      <c r="G98" s="365"/>
      <c r="H98" s="361" t="str">
        <f t="shared" si="55"/>
        <v>€ 0,00</v>
      </c>
      <c r="I98" s="361"/>
      <c r="J98" s="307" t="str">
        <f t="shared" si="56"/>
        <v>02/10/20</v>
      </c>
      <c r="K98" s="83"/>
      <c r="L98" s="122">
        <f t="shared" ref="L98:M98" si="68">M98-1</f>
        <v>44100</v>
      </c>
      <c r="M98" s="122">
        <f t="shared" si="68"/>
        <v>44101</v>
      </c>
      <c r="N98" s="122">
        <f t="shared" si="46"/>
        <v>44102</v>
      </c>
      <c r="O98" s="122">
        <f t="shared" si="47"/>
        <v>44105</v>
      </c>
      <c r="P98" s="122">
        <f t="shared" si="59"/>
        <v>44106</v>
      </c>
      <c r="Q98" s="119">
        <f t="shared" si="49"/>
        <v>0</v>
      </c>
      <c r="R98" s="122">
        <f t="shared" si="63"/>
        <v>44106</v>
      </c>
      <c r="S98" s="85">
        <f t="shared" si="52"/>
        <v>17</v>
      </c>
    </row>
    <row r="99" spans="1:19" ht="12.75" customHeight="1" x14ac:dyDescent="0.2">
      <c r="A99" s="83"/>
      <c r="B99" s="309"/>
      <c r="C99" s="309"/>
      <c r="D99" s="361" t="str">
        <f t="shared" si="53"/>
        <v>27, 28, 29, 01, 02/11/20</v>
      </c>
      <c r="E99" s="361" t="str">
        <f t="shared" si="54"/>
        <v>28-29/10/20</v>
      </c>
      <c r="F99" s="365" t="str">
        <f t="shared" si="50"/>
        <v>Index(t) &lt; 100% * VRI</v>
      </c>
      <c r="G99" s="365"/>
      <c r="H99" s="361" t="str">
        <f t="shared" si="55"/>
        <v>€ 0,00</v>
      </c>
      <c r="I99" s="361"/>
      <c r="J99" s="307" t="str">
        <f t="shared" si="56"/>
        <v>02/11/20</v>
      </c>
      <c r="K99" s="83"/>
      <c r="L99" s="122">
        <f t="shared" ref="L99:M99" si="69">M99-1</f>
        <v>44131</v>
      </c>
      <c r="M99" s="122">
        <f t="shared" si="69"/>
        <v>44132</v>
      </c>
      <c r="N99" s="122">
        <f t="shared" si="46"/>
        <v>44133</v>
      </c>
      <c r="O99" s="122">
        <f t="shared" si="47"/>
        <v>44136</v>
      </c>
      <c r="P99" s="122">
        <f t="shared" si="59"/>
        <v>44137</v>
      </c>
      <c r="Q99" s="119">
        <f t="shared" si="49"/>
        <v>0</v>
      </c>
      <c r="R99" s="122">
        <f>IF(WORKDAY(DATE(YEAR($M$7),MONTH($M$7)+S99,DAY($M$7)-1),1) =WORKDAY(DATE(YEAR( $M$7),MONTH($M$7)+S99,DAY($M$7)),0),WORKDAY(DATE(YEAR($M$7),MONTH($M$7)+S99,DAY($M$7)),0),WORKDAY(DATE(YEAR($M$7),MONTH($M$7)+S99,DAY($M$7)),0))+3</f>
        <v>44137</v>
      </c>
      <c r="S99" s="85">
        <f t="shared" si="52"/>
        <v>18</v>
      </c>
    </row>
    <row r="100" spans="1:19" ht="12.75" customHeight="1" x14ac:dyDescent="0.2">
      <c r="A100" s="83"/>
      <c r="B100" s="309"/>
      <c r="C100" s="309"/>
      <c r="D100" s="361" t="str">
        <f t="shared" si="53"/>
        <v>26, 27, 28, 01, 02/12/20</v>
      </c>
      <c r="E100" s="361" t="str">
        <f t="shared" si="54"/>
        <v>27-28/11/20</v>
      </c>
      <c r="F100" s="365" t="str">
        <f t="shared" si="50"/>
        <v>Index(t) &lt; 100% * VRI</v>
      </c>
      <c r="G100" s="365"/>
      <c r="H100" s="361" t="str">
        <f t="shared" si="55"/>
        <v>€ 0,00</v>
      </c>
      <c r="I100" s="361"/>
      <c r="J100" s="307" t="str">
        <f t="shared" si="56"/>
        <v>02/12/20</v>
      </c>
      <c r="K100" s="83"/>
      <c r="L100" s="122">
        <f t="shared" ref="L100:M100" si="70">M100-1</f>
        <v>44161</v>
      </c>
      <c r="M100" s="122">
        <f t="shared" si="70"/>
        <v>44162</v>
      </c>
      <c r="N100" s="122">
        <f t="shared" si="46"/>
        <v>44163</v>
      </c>
      <c r="O100" s="122">
        <f t="shared" si="47"/>
        <v>44166</v>
      </c>
      <c r="P100" s="122">
        <f t="shared" si="59"/>
        <v>44167</v>
      </c>
      <c r="Q100" s="119">
        <f t="shared" si="49"/>
        <v>0</v>
      </c>
      <c r="R100" s="122">
        <f t="shared" si="63"/>
        <v>44167</v>
      </c>
      <c r="S100" s="85">
        <f t="shared" si="52"/>
        <v>19</v>
      </c>
    </row>
    <row r="101" spans="1:19" ht="12.75" customHeight="1" x14ac:dyDescent="0.2">
      <c r="A101" s="83"/>
      <c r="B101" s="309"/>
      <c r="C101" s="309"/>
      <c r="D101" s="361" t="str">
        <f t="shared" si="53"/>
        <v>27, 28, 29, 01, 02/01/21</v>
      </c>
      <c r="E101" s="361" t="str">
        <f t="shared" si="54"/>
        <v>28-29/12/20</v>
      </c>
      <c r="F101" s="365" t="str">
        <f t="shared" si="50"/>
        <v>Index(t) &lt; 100% * VRI</v>
      </c>
      <c r="G101" s="365"/>
      <c r="H101" s="361" t="str">
        <f t="shared" si="55"/>
        <v>€ 0,00</v>
      </c>
      <c r="I101" s="361"/>
      <c r="J101" s="307" t="str">
        <f t="shared" si="56"/>
        <v>02/01/21</v>
      </c>
      <c r="K101" s="83"/>
      <c r="L101" s="122">
        <f t="shared" ref="L101:M101" si="71">M101-1</f>
        <v>44192</v>
      </c>
      <c r="M101" s="122">
        <f t="shared" si="71"/>
        <v>44193</v>
      </c>
      <c r="N101" s="122">
        <f t="shared" si="46"/>
        <v>44194</v>
      </c>
      <c r="O101" s="122">
        <f t="shared" si="47"/>
        <v>44197</v>
      </c>
      <c r="P101" s="122">
        <f t="shared" si="59"/>
        <v>44198</v>
      </c>
      <c r="Q101" s="119">
        <f t="shared" si="49"/>
        <v>0</v>
      </c>
      <c r="R101" s="122">
        <f>IF(WORKDAY(DATE(YEAR($M$7),MONTH($M$7)+S101,DAY($M$7)-1),1) =WORKDAY(DATE(YEAR( $M$7),MONTH($M$7)+S101,DAY($M$7)),0),WORKDAY(DATE(YEAR($M$7),MONTH($M$7)+S101,DAY($M$7)),0),WORKDAY(DATE(YEAR($M$7),MONTH($M$7)+S101,DAY($M$7)),0))+3</f>
        <v>44198</v>
      </c>
      <c r="S101" s="85">
        <f t="shared" si="52"/>
        <v>20</v>
      </c>
    </row>
    <row r="102" spans="1:19" ht="12.75" customHeight="1" x14ac:dyDescent="0.2">
      <c r="A102" s="83"/>
      <c r="B102" s="309"/>
      <c r="C102" s="309"/>
      <c r="D102" s="361" t="str">
        <f t="shared" si="53"/>
        <v>27, 28, 29, 01, 02/02/21</v>
      </c>
      <c r="E102" s="361" t="str">
        <f t="shared" si="54"/>
        <v>28-29/01/21</v>
      </c>
      <c r="F102" s="365" t="str">
        <f t="shared" si="50"/>
        <v>Index(t) &lt; 100% * VRI</v>
      </c>
      <c r="G102" s="365"/>
      <c r="H102" s="361" t="str">
        <f t="shared" si="55"/>
        <v>€ 0,00</v>
      </c>
      <c r="I102" s="361"/>
      <c r="J102" s="307" t="str">
        <f t="shared" si="56"/>
        <v>02/02/21</v>
      </c>
      <c r="K102" s="83"/>
      <c r="L102" s="122">
        <f t="shared" ref="L102:M102" si="72">M102-1</f>
        <v>44223</v>
      </c>
      <c r="M102" s="122">
        <f t="shared" si="72"/>
        <v>44224</v>
      </c>
      <c r="N102" s="122">
        <f t="shared" si="46"/>
        <v>44225</v>
      </c>
      <c r="O102" s="122">
        <f t="shared" si="47"/>
        <v>44228</v>
      </c>
      <c r="P102" s="122">
        <f t="shared" si="59"/>
        <v>44229</v>
      </c>
      <c r="Q102" s="119">
        <f t="shared" si="49"/>
        <v>0</v>
      </c>
      <c r="R102" s="122">
        <f>IF(WORKDAY(DATE(YEAR($M$7),MONTH($M$7)+S102,DAY($M$7)-1),1) =WORKDAY(DATE(YEAR( $M$7),MONTH($M$7)+S102,DAY($M$7)),0),WORKDAY(DATE(YEAR($M$7),MONTH($M$7)+S102,DAY($M$7)),0),WORKDAY(DATE(YEAR($M$7),MONTH($M$7)+S102,DAY($M$7)),0))+3</f>
        <v>44229</v>
      </c>
      <c r="S102" s="85">
        <f t="shared" si="52"/>
        <v>21</v>
      </c>
    </row>
    <row r="103" spans="1:19" ht="12.75" customHeight="1" x14ac:dyDescent="0.2">
      <c r="A103" s="83"/>
      <c r="B103" s="309"/>
      <c r="C103" s="309"/>
      <c r="D103" s="361" t="str">
        <f t="shared" si="53"/>
        <v>24, 25, 26, 01, 02/03/21</v>
      </c>
      <c r="E103" s="361" t="str">
        <f t="shared" si="54"/>
        <v>25-26/02/21</v>
      </c>
      <c r="F103" s="365" t="str">
        <f t="shared" si="50"/>
        <v>Index(t) &lt; 100% * VRI</v>
      </c>
      <c r="G103" s="365"/>
      <c r="H103" s="361" t="str">
        <f t="shared" si="55"/>
        <v>€ 0,00</v>
      </c>
      <c r="I103" s="361"/>
      <c r="J103" s="307" t="str">
        <f t="shared" si="56"/>
        <v>02/03/21</v>
      </c>
      <c r="K103" s="83"/>
      <c r="L103" s="122">
        <f t="shared" ref="L103:M103" si="73">M103-1</f>
        <v>44251</v>
      </c>
      <c r="M103" s="122">
        <f t="shared" si="73"/>
        <v>44252</v>
      </c>
      <c r="N103" s="122">
        <f t="shared" si="46"/>
        <v>44253</v>
      </c>
      <c r="O103" s="122">
        <f t="shared" si="47"/>
        <v>44256</v>
      </c>
      <c r="P103" s="122">
        <f t="shared" si="59"/>
        <v>44257</v>
      </c>
      <c r="Q103" s="119">
        <f t="shared" si="49"/>
        <v>0</v>
      </c>
      <c r="R103" s="122">
        <f>IF(WORKDAY(DATE(YEAR($M$7),MONTH($M$7)+S103,DAY($M$7)-1),1) =WORKDAY(DATE(YEAR( $M$7),MONTH($M$7)+S103,DAY($M$7)),0),WORKDAY(DATE(YEAR($M$7),MONTH($M$7)+S103,DAY($M$7)),0),WORKDAY(DATE(YEAR($M$7),MONTH($M$7)+S103,DAY($M$7)),0))</f>
        <v>44257</v>
      </c>
      <c r="S103" s="85">
        <f t="shared" si="52"/>
        <v>22</v>
      </c>
    </row>
    <row r="104" spans="1:19" ht="12.75" customHeight="1" x14ac:dyDescent="0.2">
      <c r="A104" s="83"/>
      <c r="B104" s="309"/>
      <c r="C104" s="309"/>
      <c r="D104" s="361" t="str">
        <f t="shared" si="53"/>
        <v>27, 28, 29, 01, 02/04/21</v>
      </c>
      <c r="E104" s="361" t="str">
        <f t="shared" si="54"/>
        <v>28-29/03/21</v>
      </c>
      <c r="F104" s="365" t="str">
        <f t="shared" si="50"/>
        <v>Index(t) &lt; 100% * VRI</v>
      </c>
      <c r="G104" s="365"/>
      <c r="H104" s="361" t="str">
        <f t="shared" si="55"/>
        <v>€ 0,00</v>
      </c>
      <c r="I104" s="361"/>
      <c r="J104" s="307" t="str">
        <f t="shared" si="56"/>
        <v>02/04/21</v>
      </c>
      <c r="K104" s="83"/>
      <c r="L104" s="122">
        <f t="shared" ref="L104:M104" si="74">M104-1</f>
        <v>44282</v>
      </c>
      <c r="M104" s="122">
        <f t="shared" si="74"/>
        <v>44283</v>
      </c>
      <c r="N104" s="122">
        <f t="shared" si="46"/>
        <v>44284</v>
      </c>
      <c r="O104" s="122">
        <f t="shared" si="47"/>
        <v>44287</v>
      </c>
      <c r="P104" s="122">
        <f t="shared" si="59"/>
        <v>44288</v>
      </c>
      <c r="Q104" s="119">
        <f t="shared" si="49"/>
        <v>0</v>
      </c>
      <c r="R104" s="122">
        <f>IF(WORKDAY(DATE(YEAR($M$7),MONTH($M$7)+S104,DAY($M$7)-1),1) =WORKDAY(DATE(YEAR( $M$7),MONTH($M$7)+S104,DAY($M$7)),0),WORKDAY(DATE(YEAR($M$7),MONTH($M$7)+S104,DAY($M$7)),0),WORKDAY(DATE(YEAR($M$7),MONTH($M$7)+S104,DAY($M$7)),0))+3</f>
        <v>44288</v>
      </c>
      <c r="S104" s="85">
        <f t="shared" si="52"/>
        <v>23</v>
      </c>
    </row>
    <row r="105" spans="1:19" ht="12.75" customHeight="1" x14ac:dyDescent="0.2">
      <c r="A105" s="83"/>
      <c r="B105" s="309"/>
      <c r="C105" s="309"/>
      <c r="D105" s="361" t="str">
        <f t="shared" si="53"/>
        <v>26, 27, 28, 01, 02/05/21</v>
      </c>
      <c r="E105" s="361" t="str">
        <f t="shared" si="54"/>
        <v>27-28/04/21</v>
      </c>
      <c r="F105" s="365" t="str">
        <f t="shared" si="50"/>
        <v>Index(t) &lt; 100% * VRI</v>
      </c>
      <c r="G105" s="365"/>
      <c r="H105" s="361" t="str">
        <f t="shared" si="55"/>
        <v>€ 0,00</v>
      </c>
      <c r="I105" s="361"/>
      <c r="J105" s="307" t="str">
        <f t="shared" si="56"/>
        <v>02/05/21</v>
      </c>
      <c r="K105" s="83"/>
      <c r="L105" s="122">
        <f t="shared" ref="L105:M105" si="75">M105-1</f>
        <v>44312</v>
      </c>
      <c r="M105" s="122">
        <f t="shared" si="75"/>
        <v>44313</v>
      </c>
      <c r="N105" s="122">
        <f t="shared" si="46"/>
        <v>44314</v>
      </c>
      <c r="O105" s="122">
        <f t="shared" si="47"/>
        <v>44317</v>
      </c>
      <c r="P105" s="122">
        <f t="shared" si="59"/>
        <v>44318</v>
      </c>
      <c r="Q105" s="119">
        <f t="shared" si="49"/>
        <v>0</v>
      </c>
      <c r="R105" s="122">
        <f t="shared" si="63"/>
        <v>44318</v>
      </c>
      <c r="S105" s="85">
        <f t="shared" si="52"/>
        <v>24</v>
      </c>
    </row>
    <row r="106" spans="1:19" ht="12.75" customHeight="1" x14ac:dyDescent="0.2">
      <c r="A106" s="83"/>
      <c r="B106" s="309"/>
      <c r="C106" s="309"/>
      <c r="D106" s="361" t="str">
        <f t="shared" si="53"/>
        <v>27, 28, 29, 01, 02/06/21</v>
      </c>
      <c r="E106" s="361" t="str">
        <f t="shared" si="54"/>
        <v>28-29/05/21</v>
      </c>
      <c r="F106" s="365" t="str">
        <f t="shared" si="50"/>
        <v>Index(t) &lt; 100% * VRI</v>
      </c>
      <c r="G106" s="365"/>
      <c r="H106" s="361" t="str">
        <f t="shared" si="55"/>
        <v>€ 0,00</v>
      </c>
      <c r="I106" s="361"/>
      <c r="J106" s="307" t="str">
        <f t="shared" si="56"/>
        <v>02/06/21</v>
      </c>
      <c r="K106" s="83"/>
      <c r="L106" s="122">
        <f t="shared" ref="L106:M106" si="76">M106-1</f>
        <v>44343</v>
      </c>
      <c r="M106" s="122">
        <f t="shared" si="76"/>
        <v>44344</v>
      </c>
      <c r="N106" s="122">
        <f t="shared" si="46"/>
        <v>44345</v>
      </c>
      <c r="O106" s="122">
        <f t="shared" si="47"/>
        <v>44348</v>
      </c>
      <c r="P106" s="122">
        <f t="shared" si="59"/>
        <v>44349</v>
      </c>
      <c r="Q106" s="119">
        <f t="shared" si="49"/>
        <v>0</v>
      </c>
      <c r="R106" s="122">
        <f>IF(WORKDAY(DATE(YEAR($M$7),MONTH($M$7)+S106,DAY($M$7)-1),1) =WORKDAY(DATE(YEAR( $M$7),MONTH($M$7)+S106,DAY($M$7)),0),WORKDAY(DATE(YEAR($M$7),MONTH($M$7)+S106,DAY($M$7)),0),WORKDAY(DATE(YEAR($M$7),MONTH($M$7)+S106,DAY($M$7)),0))+3</f>
        <v>44349</v>
      </c>
      <c r="S106" s="85">
        <f t="shared" si="52"/>
        <v>25</v>
      </c>
    </row>
    <row r="107" spans="1:19" ht="12.75" customHeight="1" x14ac:dyDescent="0.2">
      <c r="A107" s="83"/>
      <c r="B107" s="309"/>
      <c r="C107" s="309"/>
      <c r="D107" s="361" t="str">
        <f t="shared" si="53"/>
        <v>26, 27, 28, 01, 02/07/21</v>
      </c>
      <c r="E107" s="361" t="str">
        <f t="shared" si="54"/>
        <v>27-28/06/21</v>
      </c>
      <c r="F107" s="365" t="str">
        <f t="shared" si="50"/>
        <v>Index(t) &lt; 100% * VRI</v>
      </c>
      <c r="G107" s="365"/>
      <c r="H107" s="361" t="str">
        <f t="shared" si="55"/>
        <v>€ 0,00</v>
      </c>
      <c r="I107" s="361"/>
      <c r="J107" s="307" t="str">
        <f t="shared" si="56"/>
        <v>02/07/21</v>
      </c>
      <c r="K107" s="83"/>
      <c r="L107" s="122">
        <f t="shared" ref="L107:M107" si="77">M107-1</f>
        <v>44373</v>
      </c>
      <c r="M107" s="122">
        <f t="shared" si="77"/>
        <v>44374</v>
      </c>
      <c r="N107" s="122">
        <f t="shared" si="46"/>
        <v>44375</v>
      </c>
      <c r="O107" s="122">
        <f t="shared" si="47"/>
        <v>44378</v>
      </c>
      <c r="P107" s="122">
        <f t="shared" si="59"/>
        <v>44379</v>
      </c>
      <c r="Q107" s="119">
        <f t="shared" si="49"/>
        <v>0</v>
      </c>
      <c r="R107" s="122">
        <f t="shared" si="63"/>
        <v>44379</v>
      </c>
      <c r="S107" s="85">
        <f t="shared" si="52"/>
        <v>26</v>
      </c>
    </row>
    <row r="108" spans="1:19" ht="12.75" customHeight="1" x14ac:dyDescent="0.2">
      <c r="A108" s="83"/>
      <c r="B108" s="309"/>
      <c r="C108" s="309"/>
      <c r="D108" s="361" t="str">
        <f t="shared" si="53"/>
        <v>27, 28, 29, 01, 02/08/21</v>
      </c>
      <c r="E108" s="361" t="str">
        <f t="shared" si="54"/>
        <v>28-29/07/21</v>
      </c>
      <c r="F108" s="365" t="str">
        <f t="shared" si="50"/>
        <v>Index(t) &lt; 100% * VRI</v>
      </c>
      <c r="G108" s="365"/>
      <c r="H108" s="361" t="str">
        <f t="shared" si="55"/>
        <v>€ 0,00</v>
      </c>
      <c r="I108" s="361"/>
      <c r="J108" s="307" t="str">
        <f t="shared" si="56"/>
        <v>02/08/21</v>
      </c>
      <c r="K108" s="83"/>
      <c r="L108" s="122">
        <f t="shared" ref="L108:M108" si="78">M108-1</f>
        <v>44404</v>
      </c>
      <c r="M108" s="122">
        <f t="shared" si="78"/>
        <v>44405</v>
      </c>
      <c r="N108" s="122">
        <f t="shared" si="46"/>
        <v>44406</v>
      </c>
      <c r="O108" s="122">
        <f t="shared" si="47"/>
        <v>44409</v>
      </c>
      <c r="P108" s="122">
        <f t="shared" si="59"/>
        <v>44410</v>
      </c>
      <c r="Q108" s="119">
        <f t="shared" si="49"/>
        <v>0</v>
      </c>
      <c r="R108" s="122">
        <f>IF(WORKDAY(DATE(YEAR($M$7),MONTH($M$7)+S108,DAY($M$7)-1),1) =WORKDAY(DATE(YEAR( $M$7),MONTH($M$7)+S108,DAY($M$7)),0),WORKDAY(DATE(YEAR($M$7),MONTH($M$7)+S108,DAY($M$7)),0),WORKDAY(DATE(YEAR($M$7),MONTH($M$7)+S108,DAY($M$7)),0))+3</f>
        <v>44410</v>
      </c>
      <c r="S108" s="85">
        <f t="shared" si="52"/>
        <v>27</v>
      </c>
    </row>
    <row r="109" spans="1:19" ht="12.75" customHeight="1" x14ac:dyDescent="0.2">
      <c r="A109" s="83"/>
      <c r="B109" s="309"/>
      <c r="C109" s="309"/>
      <c r="D109" s="361" t="str">
        <f t="shared" si="53"/>
        <v>27, 28, 29, 01, 02/09/21</v>
      </c>
      <c r="E109" s="361" t="str">
        <f t="shared" si="54"/>
        <v>28-29/08/21</v>
      </c>
      <c r="F109" s="365" t="str">
        <f t="shared" si="50"/>
        <v>Index(t) &lt; 100% * VRI</v>
      </c>
      <c r="G109" s="365"/>
      <c r="H109" s="361" t="str">
        <f t="shared" si="55"/>
        <v>€ 0,00</v>
      </c>
      <c r="I109" s="361"/>
      <c r="J109" s="307" t="str">
        <f t="shared" si="56"/>
        <v>02/09/21</v>
      </c>
      <c r="K109" s="83"/>
      <c r="L109" s="122">
        <f t="shared" ref="L109:M109" si="79">M109-1</f>
        <v>44435</v>
      </c>
      <c r="M109" s="122">
        <f t="shared" si="79"/>
        <v>44436</v>
      </c>
      <c r="N109" s="122">
        <f t="shared" si="46"/>
        <v>44437</v>
      </c>
      <c r="O109" s="122">
        <f t="shared" si="47"/>
        <v>44440</v>
      </c>
      <c r="P109" s="122">
        <f t="shared" si="59"/>
        <v>44441</v>
      </c>
      <c r="Q109" s="119">
        <f t="shared" si="49"/>
        <v>0</v>
      </c>
      <c r="R109" s="122">
        <f>IF(WORKDAY(DATE(YEAR($M$7),MONTH($M$7)+S109,DAY($M$7)-1),1) =WORKDAY(DATE(YEAR( $M$7),MONTH($M$7)+S109,DAY($M$7)),0),WORKDAY(DATE(YEAR($M$7),MONTH($M$7)+S109,DAY($M$7)),0),WORKDAY(DATE(YEAR($M$7),MONTH($M$7)+S109,DAY($M$7)),0))+3</f>
        <v>44441</v>
      </c>
      <c r="S109" s="85">
        <f t="shared" si="52"/>
        <v>28</v>
      </c>
    </row>
    <row r="110" spans="1:19" ht="12.75" customHeight="1" x14ac:dyDescent="0.2">
      <c r="A110" s="83"/>
      <c r="B110" s="309"/>
      <c r="C110" s="309"/>
      <c r="D110" s="361" t="str">
        <f t="shared" si="53"/>
        <v>26, 27, 28, 01, 02/10/21</v>
      </c>
      <c r="E110" s="361" t="str">
        <f t="shared" si="54"/>
        <v>27-28/09/21</v>
      </c>
      <c r="F110" s="365" t="str">
        <f t="shared" si="50"/>
        <v>Index(t) &lt; 100% * VRI</v>
      </c>
      <c r="G110" s="365"/>
      <c r="H110" s="361" t="str">
        <f t="shared" si="55"/>
        <v>€ 0,00</v>
      </c>
      <c r="I110" s="361"/>
      <c r="J110" s="307" t="str">
        <f t="shared" si="56"/>
        <v>02/10/21</v>
      </c>
      <c r="K110" s="83"/>
      <c r="L110" s="122">
        <f t="shared" ref="L110:M110" si="80">M110-1</f>
        <v>44465</v>
      </c>
      <c r="M110" s="122">
        <f t="shared" si="80"/>
        <v>44466</v>
      </c>
      <c r="N110" s="122">
        <f t="shared" si="46"/>
        <v>44467</v>
      </c>
      <c r="O110" s="122">
        <f t="shared" si="47"/>
        <v>44470</v>
      </c>
      <c r="P110" s="122">
        <f t="shared" si="59"/>
        <v>44471</v>
      </c>
      <c r="Q110" s="119">
        <f t="shared" si="49"/>
        <v>0</v>
      </c>
      <c r="R110" s="122">
        <f t="shared" si="63"/>
        <v>44471</v>
      </c>
      <c r="S110" s="85">
        <f t="shared" si="52"/>
        <v>29</v>
      </c>
    </row>
    <row r="111" spans="1:19" ht="12.75" customHeight="1" x14ac:dyDescent="0.2">
      <c r="A111" s="83"/>
      <c r="B111" s="309"/>
      <c r="C111" s="309"/>
      <c r="D111" s="361" t="str">
        <f t="shared" si="53"/>
        <v>27, 28, 29, 01, 02/11/21</v>
      </c>
      <c r="E111" s="361" t="str">
        <f t="shared" si="54"/>
        <v>28-29/10/21</v>
      </c>
      <c r="F111" s="365" t="str">
        <f t="shared" si="50"/>
        <v>Index(t) &lt; 100% * VRI</v>
      </c>
      <c r="G111" s="365"/>
      <c r="H111" s="361" t="str">
        <f t="shared" si="55"/>
        <v>€ 0,00</v>
      </c>
      <c r="I111" s="361"/>
      <c r="J111" s="307" t="str">
        <f t="shared" si="56"/>
        <v>02/11/21</v>
      </c>
      <c r="K111" s="83"/>
      <c r="L111" s="122">
        <f t="shared" ref="L111:M111" si="81">M111-1</f>
        <v>44496</v>
      </c>
      <c r="M111" s="122">
        <f t="shared" si="81"/>
        <v>44497</v>
      </c>
      <c r="N111" s="122">
        <f t="shared" si="46"/>
        <v>44498</v>
      </c>
      <c r="O111" s="122">
        <f t="shared" si="47"/>
        <v>44501</v>
      </c>
      <c r="P111" s="122">
        <f t="shared" si="59"/>
        <v>44502</v>
      </c>
      <c r="Q111" s="119">
        <f t="shared" si="49"/>
        <v>0</v>
      </c>
      <c r="R111" s="122">
        <f>IF(WORKDAY(DATE(YEAR($M$7),MONTH($M$7)+S111,DAY($M$7)-1),1) =WORKDAY(DATE(YEAR( $M$7),MONTH($M$7)+S111,DAY($M$7)),0),WORKDAY(DATE(YEAR($M$7),MONTH($M$7)+S111,DAY($M$7)),0),WORKDAY(DATE(YEAR($M$7),MONTH($M$7)+S111,DAY($M$7)),0))+3</f>
        <v>44502</v>
      </c>
      <c r="S111" s="85">
        <f t="shared" si="52"/>
        <v>30</v>
      </c>
    </row>
    <row r="112" spans="1:19" ht="12.75" customHeight="1" x14ac:dyDescent="0.2">
      <c r="A112" s="83"/>
      <c r="B112" s="309"/>
      <c r="C112" s="309"/>
      <c r="D112" s="361" t="str">
        <f t="shared" si="53"/>
        <v>26, 27, 28, 01, 02/12/21</v>
      </c>
      <c r="E112" s="361" t="str">
        <f t="shared" si="54"/>
        <v>27-28/11/21</v>
      </c>
      <c r="F112" s="365" t="str">
        <f t="shared" si="50"/>
        <v>Index(t) &lt; 100% * VRI</v>
      </c>
      <c r="G112" s="365"/>
      <c r="H112" s="361" t="str">
        <f t="shared" si="55"/>
        <v>€ 0,00</v>
      </c>
      <c r="I112" s="361"/>
      <c r="J112" s="307" t="str">
        <f t="shared" si="56"/>
        <v>02/12/21</v>
      </c>
      <c r="K112" s="83"/>
      <c r="L112" s="122">
        <f t="shared" ref="L112:M112" si="82">M112-1</f>
        <v>44526</v>
      </c>
      <c r="M112" s="122">
        <f t="shared" si="82"/>
        <v>44527</v>
      </c>
      <c r="N112" s="122">
        <f t="shared" si="46"/>
        <v>44528</v>
      </c>
      <c r="O112" s="122">
        <f t="shared" si="47"/>
        <v>44531</v>
      </c>
      <c r="P112" s="122">
        <f t="shared" si="59"/>
        <v>44532</v>
      </c>
      <c r="Q112" s="119">
        <f t="shared" si="49"/>
        <v>0</v>
      </c>
      <c r="R112" s="122">
        <f t="shared" si="63"/>
        <v>44532</v>
      </c>
      <c r="S112" s="85">
        <f>S111+1</f>
        <v>31</v>
      </c>
    </row>
    <row r="113" spans="1:19" ht="12.75" customHeight="1" x14ac:dyDescent="0.2">
      <c r="A113" s="83"/>
      <c r="B113" s="309"/>
      <c r="C113" s="309"/>
      <c r="D113" s="361" t="str">
        <f t="shared" si="53"/>
        <v>27, 28, 29, 01, 02/01/22</v>
      </c>
      <c r="E113" s="361" t="str">
        <f t="shared" si="54"/>
        <v>28-29/12/21</v>
      </c>
      <c r="F113" s="365" t="str">
        <f t="shared" si="50"/>
        <v>Index(t) &lt; 100% * VRI</v>
      </c>
      <c r="G113" s="365"/>
      <c r="H113" s="361" t="str">
        <f t="shared" si="55"/>
        <v>€ 0,00</v>
      </c>
      <c r="I113" s="361"/>
      <c r="J113" s="307" t="str">
        <f t="shared" si="56"/>
        <v>02/01/22</v>
      </c>
      <c r="K113" s="83"/>
      <c r="L113" s="122">
        <f t="shared" ref="L113:M113" si="83">M113-1</f>
        <v>44557</v>
      </c>
      <c r="M113" s="122">
        <f t="shared" si="83"/>
        <v>44558</v>
      </c>
      <c r="N113" s="122">
        <f t="shared" si="46"/>
        <v>44559</v>
      </c>
      <c r="O113" s="122">
        <f t="shared" si="47"/>
        <v>44562</v>
      </c>
      <c r="P113" s="122">
        <f t="shared" si="59"/>
        <v>44563</v>
      </c>
      <c r="Q113" s="119">
        <f t="shared" si="49"/>
        <v>0</v>
      </c>
      <c r="R113" s="122">
        <f>IF(WORKDAY(DATE(YEAR($M$7),MONTH($M$7)+S113,DAY($M$7)-1),1) =WORKDAY(DATE(YEAR( $M$7),MONTH($M$7)+S113,DAY($M$7)),0),WORKDAY(DATE(YEAR($M$7),MONTH($M$7)+S113,DAY($M$7)),0),WORKDAY(DATE(YEAR($M$7),MONTH($M$7)+S113,DAY($M$7)),0))+3</f>
        <v>44563</v>
      </c>
      <c r="S113" s="85">
        <f t="shared" ref="S113:S115" si="84">S112+1</f>
        <v>32</v>
      </c>
    </row>
    <row r="114" spans="1:19" ht="12.75" customHeight="1" x14ac:dyDescent="0.2">
      <c r="A114" s="83"/>
      <c r="B114" s="309"/>
      <c r="C114" s="309"/>
      <c r="D114" s="361" t="str">
        <f t="shared" si="53"/>
        <v>27, 28, 29, 01, 02/02/22</v>
      </c>
      <c r="E114" s="361" t="str">
        <f t="shared" si="54"/>
        <v>28-29/01/22</v>
      </c>
      <c r="F114" s="365" t="str">
        <f t="shared" si="50"/>
        <v>Index(t) &lt; 100% * VRI</v>
      </c>
      <c r="G114" s="365"/>
      <c r="H114" s="361" t="str">
        <f t="shared" si="55"/>
        <v>€ 0,00</v>
      </c>
      <c r="I114" s="361"/>
      <c r="J114" s="307" t="str">
        <f t="shared" si="56"/>
        <v>02/02/22</v>
      </c>
      <c r="K114" s="83"/>
      <c r="L114" s="122">
        <f t="shared" ref="L114:M114" si="85">M114-1</f>
        <v>44588</v>
      </c>
      <c r="M114" s="122">
        <f t="shared" si="85"/>
        <v>44589</v>
      </c>
      <c r="N114" s="122">
        <f t="shared" si="46"/>
        <v>44590</v>
      </c>
      <c r="O114" s="122">
        <f t="shared" si="47"/>
        <v>44593</v>
      </c>
      <c r="P114" s="122">
        <f t="shared" si="59"/>
        <v>44594</v>
      </c>
      <c r="Q114" s="119">
        <f t="shared" si="49"/>
        <v>0</v>
      </c>
      <c r="R114" s="122">
        <f>IF(WORKDAY(DATE(YEAR($M$7),MONTH($M$7)+S114,DAY($M$7)-1),1) =WORKDAY(DATE(YEAR( $M$7),MONTH($M$7)+S114,DAY($M$7)),0),WORKDAY(DATE(YEAR($M$7),MONTH($M$7)+S114,DAY($M$7)),0),WORKDAY(DATE(YEAR($M$7),MONTH($M$7)+S114,DAY($M$7)),0))+3</f>
        <v>44594</v>
      </c>
      <c r="S114" s="85">
        <f t="shared" si="84"/>
        <v>33</v>
      </c>
    </row>
    <row r="115" spans="1:19" ht="12.75" customHeight="1" x14ac:dyDescent="0.2">
      <c r="A115" s="83"/>
      <c r="B115" s="309"/>
      <c r="C115" s="309"/>
      <c r="D115" s="361" t="str">
        <f t="shared" si="53"/>
        <v>24, 25, 26, 01, 02/03/22</v>
      </c>
      <c r="E115" s="361" t="str">
        <f t="shared" si="54"/>
        <v>25-26/02/22</v>
      </c>
      <c r="F115" s="365" t="str">
        <f t="shared" si="50"/>
        <v>Index(t) &lt; 100% * VRI</v>
      </c>
      <c r="G115" s="365"/>
      <c r="H115" s="361" t="str">
        <f t="shared" si="55"/>
        <v>€ 0,00</v>
      </c>
      <c r="I115" s="361"/>
      <c r="J115" s="307" t="str">
        <f t="shared" si="56"/>
        <v>02/03/22</v>
      </c>
      <c r="K115" s="83"/>
      <c r="L115" s="122">
        <f t="shared" ref="L115:M115" si="86">M115-1</f>
        <v>44616</v>
      </c>
      <c r="M115" s="122">
        <f t="shared" si="86"/>
        <v>44617</v>
      </c>
      <c r="N115" s="122">
        <f t="shared" si="46"/>
        <v>44618</v>
      </c>
      <c r="O115" s="122">
        <f t="shared" si="47"/>
        <v>44621</v>
      </c>
      <c r="P115" s="122">
        <f t="shared" si="59"/>
        <v>44622</v>
      </c>
      <c r="Q115" s="119">
        <f t="shared" si="49"/>
        <v>0</v>
      </c>
      <c r="R115" s="122">
        <f>IF(WORKDAY(DATE(YEAR($M$7),MONTH($M$7)+S115,DAY($M$7)-1),1) =WORKDAY(DATE(YEAR( $M$7),MONTH($M$7)+S115,DAY($M$7)),0),WORKDAY(DATE(YEAR($M$7),MONTH($M$7)+S115,DAY($M$7)),0),WORKDAY(DATE(YEAR($M$7),MONTH($M$7)+S115,DAY($M$7)),0))</f>
        <v>44622</v>
      </c>
      <c r="S115" s="85">
        <f t="shared" si="84"/>
        <v>34</v>
      </c>
    </row>
    <row r="116" spans="1:19" ht="12.75" customHeight="1" x14ac:dyDescent="0.2">
      <c r="A116" s="83"/>
      <c r="B116" s="309"/>
      <c r="C116" s="309"/>
      <c r="D116" s="361" t="str">
        <f t="shared" si="53"/>
        <v>27, 28, 29, 01, 02/04/22</v>
      </c>
      <c r="E116" s="361" t="str">
        <f t="shared" si="54"/>
        <v>28-29/03/22</v>
      </c>
      <c r="F116" s="365" t="str">
        <f t="shared" si="50"/>
        <v>Index(t) &lt; 100% * VRI</v>
      </c>
      <c r="G116" s="365"/>
      <c r="H116" s="361" t="str">
        <f t="shared" si="55"/>
        <v>€ 0,00</v>
      </c>
      <c r="I116" s="361"/>
      <c r="J116" s="307" t="str">
        <f t="shared" si="56"/>
        <v>02/04/22</v>
      </c>
      <c r="K116" s="83"/>
      <c r="L116" s="122">
        <f t="shared" ref="L116:M116" si="87">M116-1</f>
        <v>44647</v>
      </c>
      <c r="M116" s="122">
        <f t="shared" si="87"/>
        <v>44648</v>
      </c>
      <c r="N116" s="122">
        <f t="shared" si="46"/>
        <v>44649</v>
      </c>
      <c r="O116" s="122">
        <f t="shared" si="47"/>
        <v>44652</v>
      </c>
      <c r="P116" s="122">
        <f t="shared" si="59"/>
        <v>44653</v>
      </c>
      <c r="Q116" s="119">
        <f t="shared" si="49"/>
        <v>0</v>
      </c>
      <c r="R116" s="122">
        <f>IF(WORKDAY(DATE(YEAR($M$7),MONTH($M$7)+S116,DAY($M$7)-1),1) =WORKDAY(DATE(YEAR( $M$7),MONTH($M$7)+S116,DAY($M$7)),0),WORKDAY(DATE(YEAR($M$7),MONTH($M$7)+S116,DAY($M$7)),0),WORKDAY(DATE(YEAR($M$7),MONTH($M$7)+S116,DAY($M$7)),0))+3</f>
        <v>44653</v>
      </c>
      <c r="S116" s="85">
        <f>S115+1</f>
        <v>35</v>
      </c>
    </row>
    <row r="117" spans="1:19" ht="12.75" customHeight="1" x14ac:dyDescent="0.2">
      <c r="A117" s="83"/>
      <c r="B117" s="309"/>
      <c r="C117" s="309"/>
      <c r="D117" s="307"/>
      <c r="E117" s="307"/>
      <c r="F117" s="308"/>
      <c r="G117" s="308"/>
      <c r="H117" s="307"/>
      <c r="I117" s="307"/>
      <c r="J117" s="307"/>
      <c r="K117" s="83"/>
      <c r="L117" s="101"/>
      <c r="M117" s="101"/>
      <c r="N117" s="101"/>
      <c r="O117" s="101"/>
      <c r="P117" s="101"/>
      <c r="Q117" s="274"/>
      <c r="R117" s="101"/>
      <c r="S117" s="84"/>
    </row>
    <row r="118" spans="1:19" ht="12.75" customHeight="1" x14ac:dyDescent="0.2">
      <c r="A118" s="83"/>
      <c r="B118" s="309"/>
      <c r="C118" s="309"/>
      <c r="D118" s="367" t="str">
        <f>CONCATENATE("Se il livello di chiusura del titolo sottostante è uguale o superiore al ",TEXT(M122,"0%")," del Valore di Riferimento Iniziale in ciascuna delle Date di Rimborso Anticipato, il Certificato verrà automaticamente rimborsato e pagato come sotto specificato:")</f>
        <v>Se il livello di chiusura del titolo sottostante è uguale o superiore al 100% del Valore di Riferimento Iniziale in ciascuna delle Date di Rimborso Anticipato, il Certificato verrà automaticamente rimborsato e pagato come sotto specificato:</v>
      </c>
      <c r="E118" s="367"/>
      <c r="F118" s="367"/>
      <c r="G118" s="367"/>
      <c r="H118" s="367"/>
      <c r="I118" s="367"/>
      <c r="J118" s="367"/>
      <c r="K118" s="83"/>
    </row>
    <row r="119" spans="1:19" ht="12.75" customHeight="1" x14ac:dyDescent="0.2">
      <c r="A119" s="83"/>
      <c r="B119" s="79"/>
      <c r="C119" s="79"/>
      <c r="D119" s="367"/>
      <c r="E119" s="367"/>
      <c r="F119" s="367"/>
      <c r="G119" s="367"/>
      <c r="H119" s="367"/>
      <c r="I119" s="367"/>
      <c r="J119" s="367"/>
      <c r="K119" s="83"/>
    </row>
    <row r="120" spans="1:19" ht="14.45" customHeight="1" x14ac:dyDescent="0.2">
      <c r="A120" s="83"/>
      <c r="B120" s="79"/>
      <c r="C120" s="79"/>
      <c r="D120" s="367"/>
      <c r="E120" s="367"/>
      <c r="F120" s="367"/>
      <c r="G120" s="367"/>
      <c r="H120" s="367"/>
      <c r="I120" s="367"/>
      <c r="J120" s="367"/>
      <c r="K120" s="83"/>
    </row>
    <row r="121" spans="1:19" ht="12.75" customHeight="1" x14ac:dyDescent="0.2">
      <c r="A121" s="83"/>
      <c r="B121" s="79"/>
      <c r="C121" s="79"/>
      <c r="D121" s="349" t="s">
        <v>177</v>
      </c>
      <c r="E121" s="349"/>
      <c r="F121" s="349" t="s">
        <v>165</v>
      </c>
      <c r="G121" s="349"/>
      <c r="H121" s="349" t="s">
        <v>57</v>
      </c>
      <c r="I121" s="349"/>
      <c r="J121" s="349" t="s">
        <v>58</v>
      </c>
      <c r="K121" s="83"/>
      <c r="L121" s="217"/>
    </row>
    <row r="122" spans="1:19" ht="12.75" customHeight="1" x14ac:dyDescent="0.2">
      <c r="A122" s="83"/>
      <c r="B122" s="79"/>
      <c r="C122" s="79"/>
      <c r="D122" s="350"/>
      <c r="E122" s="350"/>
      <c r="F122" s="350"/>
      <c r="G122" s="350"/>
      <c r="H122" s="350"/>
      <c r="I122" s="350"/>
      <c r="J122" s="350"/>
      <c r="K122" s="83"/>
      <c r="L122" s="164" t="s">
        <v>435</v>
      </c>
      <c r="M122" s="92">
        <f>M86</f>
        <v>1</v>
      </c>
      <c r="N122" s="276"/>
    </row>
    <row r="123" spans="1:19" x14ac:dyDescent="0.2">
      <c r="A123" s="83"/>
      <c r="B123" s="79"/>
      <c r="C123" s="79"/>
      <c r="D123" s="361" t="str">
        <f t="shared" ref="D123:D152" si="88">D87</f>
        <v>23, 24, 25, 28, 29/10/19</v>
      </c>
      <c r="E123" s="361"/>
      <c r="F123" s="365" t="str">
        <f t="shared" ref="F123:F152" si="89">CONCATENATE("Index(t) &gt;= ",TEXT($M$122,"0%")," * VRI")</f>
        <v>Index(t) &gt;= 100% * VRI</v>
      </c>
      <c r="G123" s="365"/>
      <c r="H123" s="361" t="str">
        <f>CONCATENATE(TEXT($L$31,"€ 0"))</f>
        <v>€ 100000</v>
      </c>
      <c r="I123" s="361"/>
      <c r="J123" s="88" t="str">
        <f t="shared" ref="J123:J152" si="90">TEXT(M123,"gg/mm/aa")</f>
        <v>04/11/19</v>
      </c>
      <c r="K123" s="83"/>
      <c r="L123" s="119">
        <f>M122</f>
        <v>1</v>
      </c>
      <c r="M123" s="122">
        <f t="shared" ref="M123:M152" si="91">R87</f>
        <v>43773</v>
      </c>
    </row>
    <row r="124" spans="1:19" ht="12.75" customHeight="1" x14ac:dyDescent="0.2">
      <c r="A124" s="83"/>
      <c r="B124" s="79"/>
      <c r="C124" s="79"/>
      <c r="D124" s="361" t="str">
        <f t="shared" si="88"/>
        <v>20, 21, 22, 25, 26/11/19</v>
      </c>
      <c r="E124" s="361"/>
      <c r="F124" s="365" t="str">
        <f t="shared" si="89"/>
        <v>Index(t) &gt;= 100% * VRI</v>
      </c>
      <c r="G124" s="365"/>
      <c r="H124" s="361" t="str">
        <f t="shared" ref="H124:H152" si="92">CONCATENATE(TEXT($L$31,"€ 0"))</f>
        <v>€ 100000</v>
      </c>
      <c r="I124" s="361"/>
      <c r="J124" s="88" t="str">
        <f t="shared" si="90"/>
        <v>02/12/19</v>
      </c>
      <c r="K124" s="83"/>
      <c r="L124" s="119">
        <f>L123</f>
        <v>1</v>
      </c>
      <c r="M124" s="122">
        <f t="shared" si="91"/>
        <v>43801</v>
      </c>
    </row>
    <row r="125" spans="1:19" ht="12.75" customHeight="1" x14ac:dyDescent="0.2">
      <c r="A125" s="83"/>
      <c r="B125" s="309"/>
      <c r="C125" s="309"/>
      <c r="D125" s="361" t="str">
        <f t="shared" si="88"/>
        <v>27, 28, 29, 01, 02/01/20</v>
      </c>
      <c r="E125" s="361"/>
      <c r="F125" s="365" t="str">
        <f t="shared" si="89"/>
        <v>Index(t) &gt;= 100% * VRI</v>
      </c>
      <c r="G125" s="365"/>
      <c r="H125" s="361" t="str">
        <f t="shared" si="92"/>
        <v>€ 100000</v>
      </c>
      <c r="I125" s="361"/>
      <c r="J125" s="307" t="str">
        <f t="shared" si="90"/>
        <v>02/01/20</v>
      </c>
      <c r="K125" s="83"/>
      <c r="L125" s="119">
        <f t="shared" ref="L125:L152" si="93">L124</f>
        <v>1</v>
      </c>
      <c r="M125" s="122">
        <f t="shared" si="91"/>
        <v>43832</v>
      </c>
    </row>
    <row r="126" spans="1:19" ht="12.75" customHeight="1" x14ac:dyDescent="0.2">
      <c r="A126" s="83"/>
      <c r="B126" s="309"/>
      <c r="C126" s="309"/>
      <c r="D126" s="361" t="str">
        <f t="shared" si="88"/>
        <v>27, 28, 29, 01, 02/02/20</v>
      </c>
      <c r="E126" s="361"/>
      <c r="F126" s="365" t="str">
        <f t="shared" si="89"/>
        <v>Index(t) &gt;= 100% * VRI</v>
      </c>
      <c r="G126" s="365"/>
      <c r="H126" s="361" t="str">
        <f t="shared" si="92"/>
        <v>€ 100000</v>
      </c>
      <c r="I126" s="361"/>
      <c r="J126" s="307" t="str">
        <f t="shared" si="90"/>
        <v>02/02/20</v>
      </c>
      <c r="K126" s="83"/>
      <c r="L126" s="119">
        <f t="shared" si="93"/>
        <v>1</v>
      </c>
      <c r="M126" s="122">
        <f t="shared" si="91"/>
        <v>43863</v>
      </c>
    </row>
    <row r="127" spans="1:19" ht="12.75" customHeight="1" x14ac:dyDescent="0.2">
      <c r="A127" s="83"/>
      <c r="B127" s="309"/>
      <c r="C127" s="309"/>
      <c r="D127" s="361" t="str">
        <f t="shared" si="88"/>
        <v>25, 26, 27, 01, 02/03/20</v>
      </c>
      <c r="E127" s="361"/>
      <c r="F127" s="365" t="str">
        <f t="shared" si="89"/>
        <v>Index(t) &gt;= 100% * VRI</v>
      </c>
      <c r="G127" s="365"/>
      <c r="H127" s="361" t="str">
        <f t="shared" si="92"/>
        <v>€ 100000</v>
      </c>
      <c r="I127" s="361"/>
      <c r="J127" s="307" t="str">
        <f t="shared" si="90"/>
        <v>02/03/20</v>
      </c>
      <c r="K127" s="83"/>
      <c r="L127" s="119">
        <f t="shared" si="93"/>
        <v>1</v>
      </c>
      <c r="M127" s="122">
        <f t="shared" si="91"/>
        <v>43892</v>
      </c>
    </row>
    <row r="128" spans="1:19" ht="12.75" customHeight="1" x14ac:dyDescent="0.2">
      <c r="A128" s="83"/>
      <c r="B128" s="309"/>
      <c r="C128" s="309"/>
      <c r="D128" s="361" t="str">
        <f t="shared" si="88"/>
        <v>27, 28, 29, 01, 02/04/20</v>
      </c>
      <c r="E128" s="361"/>
      <c r="F128" s="365" t="str">
        <f t="shared" si="89"/>
        <v>Index(t) &gt;= 100% * VRI</v>
      </c>
      <c r="G128" s="365"/>
      <c r="H128" s="361" t="str">
        <f t="shared" si="92"/>
        <v>€ 100000</v>
      </c>
      <c r="I128" s="361"/>
      <c r="J128" s="307" t="str">
        <f t="shared" si="90"/>
        <v>02/04/20</v>
      </c>
      <c r="K128" s="83"/>
      <c r="L128" s="119">
        <f t="shared" si="93"/>
        <v>1</v>
      </c>
      <c r="M128" s="122">
        <f t="shared" si="91"/>
        <v>43923</v>
      </c>
    </row>
    <row r="129" spans="1:13" ht="12.75" customHeight="1" x14ac:dyDescent="0.2">
      <c r="A129" s="83"/>
      <c r="B129" s="309"/>
      <c r="C129" s="309"/>
      <c r="D129" s="361" t="str">
        <f t="shared" si="88"/>
        <v>26, 27, 28, 01, 02/05/20</v>
      </c>
      <c r="E129" s="361"/>
      <c r="F129" s="365" t="str">
        <f t="shared" si="89"/>
        <v>Index(t) &gt;= 100% * VRI</v>
      </c>
      <c r="G129" s="365"/>
      <c r="H129" s="361" t="str">
        <f t="shared" si="92"/>
        <v>€ 100000</v>
      </c>
      <c r="I129" s="361"/>
      <c r="J129" s="307" t="str">
        <f t="shared" si="90"/>
        <v>02/05/20</v>
      </c>
      <c r="K129" s="83"/>
      <c r="L129" s="119">
        <f t="shared" si="93"/>
        <v>1</v>
      </c>
      <c r="M129" s="122">
        <f t="shared" si="91"/>
        <v>43953</v>
      </c>
    </row>
    <row r="130" spans="1:13" ht="12.75" customHeight="1" x14ac:dyDescent="0.2">
      <c r="A130" s="83"/>
      <c r="B130" s="309"/>
      <c r="C130" s="309"/>
      <c r="D130" s="361" t="str">
        <f t="shared" si="88"/>
        <v>27, 28, 29, 01, 02/06/20</v>
      </c>
      <c r="E130" s="361"/>
      <c r="F130" s="365" t="str">
        <f t="shared" si="89"/>
        <v>Index(t) &gt;= 100% * VRI</v>
      </c>
      <c r="G130" s="365"/>
      <c r="H130" s="361" t="str">
        <f t="shared" si="92"/>
        <v>€ 100000</v>
      </c>
      <c r="I130" s="361"/>
      <c r="J130" s="307" t="str">
        <f t="shared" si="90"/>
        <v>02/06/20</v>
      </c>
      <c r="K130" s="83"/>
      <c r="L130" s="119">
        <f t="shared" si="93"/>
        <v>1</v>
      </c>
      <c r="M130" s="122">
        <f t="shared" si="91"/>
        <v>43984</v>
      </c>
    </row>
    <row r="131" spans="1:13" ht="12.75" customHeight="1" x14ac:dyDescent="0.2">
      <c r="A131" s="83"/>
      <c r="B131" s="309"/>
      <c r="C131" s="309"/>
      <c r="D131" s="361" t="str">
        <f t="shared" si="88"/>
        <v>26, 27, 28, 01, 02/07/20</v>
      </c>
      <c r="E131" s="361"/>
      <c r="F131" s="365" t="str">
        <f t="shared" si="89"/>
        <v>Index(t) &gt;= 100% * VRI</v>
      </c>
      <c r="G131" s="365"/>
      <c r="H131" s="361" t="str">
        <f t="shared" si="92"/>
        <v>€ 100000</v>
      </c>
      <c r="I131" s="361"/>
      <c r="J131" s="307" t="str">
        <f t="shared" si="90"/>
        <v>02/07/20</v>
      </c>
      <c r="K131" s="83"/>
      <c r="L131" s="119">
        <f t="shared" si="93"/>
        <v>1</v>
      </c>
      <c r="M131" s="122">
        <f t="shared" si="91"/>
        <v>44014</v>
      </c>
    </row>
    <row r="132" spans="1:13" ht="12.75" customHeight="1" x14ac:dyDescent="0.2">
      <c r="A132" s="83"/>
      <c r="B132" s="309"/>
      <c r="C132" s="309"/>
      <c r="D132" s="361" t="str">
        <f t="shared" si="88"/>
        <v>27, 28, 29, 01, 02/08/20</v>
      </c>
      <c r="E132" s="361"/>
      <c r="F132" s="365" t="str">
        <f t="shared" si="89"/>
        <v>Index(t) &gt;= 100% * VRI</v>
      </c>
      <c r="G132" s="365"/>
      <c r="H132" s="361" t="str">
        <f t="shared" si="92"/>
        <v>€ 100000</v>
      </c>
      <c r="I132" s="361"/>
      <c r="J132" s="307" t="str">
        <f t="shared" si="90"/>
        <v>02/08/20</v>
      </c>
      <c r="K132" s="83"/>
      <c r="L132" s="119">
        <f t="shared" si="93"/>
        <v>1</v>
      </c>
      <c r="M132" s="122">
        <f t="shared" si="91"/>
        <v>44045</v>
      </c>
    </row>
    <row r="133" spans="1:13" ht="12.75" customHeight="1" x14ac:dyDescent="0.2">
      <c r="A133" s="83"/>
      <c r="B133" s="309"/>
      <c r="C133" s="309"/>
      <c r="D133" s="361" t="str">
        <f t="shared" si="88"/>
        <v>27, 28, 29, 01, 02/09/20</v>
      </c>
      <c r="E133" s="361"/>
      <c r="F133" s="365" t="str">
        <f t="shared" si="89"/>
        <v>Index(t) &gt;= 100% * VRI</v>
      </c>
      <c r="G133" s="365"/>
      <c r="H133" s="361" t="str">
        <f t="shared" si="92"/>
        <v>€ 100000</v>
      </c>
      <c r="I133" s="361"/>
      <c r="J133" s="307" t="str">
        <f t="shared" si="90"/>
        <v>02/09/20</v>
      </c>
      <c r="K133" s="83"/>
      <c r="L133" s="119">
        <f t="shared" si="93"/>
        <v>1</v>
      </c>
      <c r="M133" s="122">
        <f t="shared" si="91"/>
        <v>44076</v>
      </c>
    </row>
    <row r="134" spans="1:13" ht="12.75" customHeight="1" x14ac:dyDescent="0.2">
      <c r="A134" s="83"/>
      <c r="B134" s="309"/>
      <c r="C134" s="309"/>
      <c r="D134" s="361" t="str">
        <f t="shared" si="88"/>
        <v>26, 27, 28, 01, 02/10/20</v>
      </c>
      <c r="E134" s="361"/>
      <c r="F134" s="365" t="str">
        <f t="shared" si="89"/>
        <v>Index(t) &gt;= 100% * VRI</v>
      </c>
      <c r="G134" s="365"/>
      <c r="H134" s="361" t="str">
        <f t="shared" si="92"/>
        <v>€ 100000</v>
      </c>
      <c r="I134" s="361"/>
      <c r="J134" s="307" t="str">
        <f t="shared" si="90"/>
        <v>02/10/20</v>
      </c>
      <c r="K134" s="83"/>
      <c r="L134" s="119">
        <f t="shared" si="93"/>
        <v>1</v>
      </c>
      <c r="M134" s="122">
        <f t="shared" si="91"/>
        <v>44106</v>
      </c>
    </row>
    <row r="135" spans="1:13" ht="12.75" customHeight="1" x14ac:dyDescent="0.2">
      <c r="A135" s="83"/>
      <c r="B135" s="309"/>
      <c r="C135" s="309"/>
      <c r="D135" s="361" t="str">
        <f t="shared" si="88"/>
        <v>27, 28, 29, 01, 02/11/20</v>
      </c>
      <c r="E135" s="361"/>
      <c r="F135" s="365" t="str">
        <f t="shared" si="89"/>
        <v>Index(t) &gt;= 100% * VRI</v>
      </c>
      <c r="G135" s="365"/>
      <c r="H135" s="361" t="str">
        <f t="shared" si="92"/>
        <v>€ 100000</v>
      </c>
      <c r="I135" s="361"/>
      <c r="J135" s="307" t="str">
        <f t="shared" si="90"/>
        <v>02/11/20</v>
      </c>
      <c r="K135" s="83"/>
      <c r="L135" s="119">
        <f t="shared" si="93"/>
        <v>1</v>
      </c>
      <c r="M135" s="122">
        <f t="shared" si="91"/>
        <v>44137</v>
      </c>
    </row>
    <row r="136" spans="1:13" ht="12.75" customHeight="1" x14ac:dyDescent="0.2">
      <c r="A136" s="83"/>
      <c r="B136" s="309"/>
      <c r="C136" s="309"/>
      <c r="D136" s="361" t="str">
        <f t="shared" si="88"/>
        <v>26, 27, 28, 01, 02/12/20</v>
      </c>
      <c r="E136" s="361"/>
      <c r="F136" s="365" t="str">
        <f t="shared" si="89"/>
        <v>Index(t) &gt;= 100% * VRI</v>
      </c>
      <c r="G136" s="365"/>
      <c r="H136" s="361" t="str">
        <f t="shared" si="92"/>
        <v>€ 100000</v>
      </c>
      <c r="I136" s="361"/>
      <c r="J136" s="307" t="str">
        <f t="shared" si="90"/>
        <v>02/12/20</v>
      </c>
      <c r="K136" s="83"/>
      <c r="L136" s="119">
        <f t="shared" si="93"/>
        <v>1</v>
      </c>
      <c r="M136" s="122">
        <f t="shared" si="91"/>
        <v>44167</v>
      </c>
    </row>
    <row r="137" spans="1:13" ht="12.75" customHeight="1" x14ac:dyDescent="0.2">
      <c r="A137" s="83"/>
      <c r="B137" s="309"/>
      <c r="C137" s="309"/>
      <c r="D137" s="361" t="str">
        <f t="shared" si="88"/>
        <v>27, 28, 29, 01, 02/01/21</v>
      </c>
      <c r="E137" s="361"/>
      <c r="F137" s="365" t="str">
        <f t="shared" si="89"/>
        <v>Index(t) &gt;= 100% * VRI</v>
      </c>
      <c r="G137" s="365"/>
      <c r="H137" s="361" t="str">
        <f t="shared" si="92"/>
        <v>€ 100000</v>
      </c>
      <c r="I137" s="361"/>
      <c r="J137" s="307" t="str">
        <f t="shared" si="90"/>
        <v>02/01/21</v>
      </c>
      <c r="K137" s="83"/>
      <c r="L137" s="119">
        <f t="shared" si="93"/>
        <v>1</v>
      </c>
      <c r="M137" s="122">
        <f t="shared" si="91"/>
        <v>44198</v>
      </c>
    </row>
    <row r="138" spans="1:13" ht="12.75" customHeight="1" x14ac:dyDescent="0.2">
      <c r="A138" s="83"/>
      <c r="B138" s="309"/>
      <c r="C138" s="309"/>
      <c r="D138" s="361" t="str">
        <f t="shared" si="88"/>
        <v>27, 28, 29, 01, 02/02/21</v>
      </c>
      <c r="E138" s="361"/>
      <c r="F138" s="365" t="str">
        <f t="shared" si="89"/>
        <v>Index(t) &gt;= 100% * VRI</v>
      </c>
      <c r="G138" s="365"/>
      <c r="H138" s="361" t="str">
        <f t="shared" si="92"/>
        <v>€ 100000</v>
      </c>
      <c r="I138" s="361"/>
      <c r="J138" s="307" t="str">
        <f t="shared" si="90"/>
        <v>02/02/21</v>
      </c>
      <c r="K138" s="83"/>
      <c r="L138" s="119">
        <f t="shared" si="93"/>
        <v>1</v>
      </c>
      <c r="M138" s="122">
        <f t="shared" si="91"/>
        <v>44229</v>
      </c>
    </row>
    <row r="139" spans="1:13" ht="12.75" customHeight="1" x14ac:dyDescent="0.2">
      <c r="A139" s="83"/>
      <c r="B139" s="309"/>
      <c r="C139" s="309"/>
      <c r="D139" s="361" t="str">
        <f t="shared" si="88"/>
        <v>24, 25, 26, 01, 02/03/21</v>
      </c>
      <c r="E139" s="361"/>
      <c r="F139" s="365" t="str">
        <f t="shared" si="89"/>
        <v>Index(t) &gt;= 100% * VRI</v>
      </c>
      <c r="G139" s="365"/>
      <c r="H139" s="361" t="str">
        <f t="shared" si="92"/>
        <v>€ 100000</v>
      </c>
      <c r="I139" s="361"/>
      <c r="J139" s="307" t="str">
        <f t="shared" si="90"/>
        <v>02/03/21</v>
      </c>
      <c r="K139" s="83"/>
      <c r="L139" s="119">
        <f t="shared" si="93"/>
        <v>1</v>
      </c>
      <c r="M139" s="122">
        <f t="shared" si="91"/>
        <v>44257</v>
      </c>
    </row>
    <row r="140" spans="1:13" ht="12.75" customHeight="1" x14ac:dyDescent="0.2">
      <c r="A140" s="83"/>
      <c r="B140" s="309"/>
      <c r="C140" s="309"/>
      <c r="D140" s="361" t="str">
        <f t="shared" si="88"/>
        <v>27, 28, 29, 01, 02/04/21</v>
      </c>
      <c r="E140" s="361"/>
      <c r="F140" s="365" t="str">
        <f t="shared" si="89"/>
        <v>Index(t) &gt;= 100% * VRI</v>
      </c>
      <c r="G140" s="365"/>
      <c r="H140" s="361" t="str">
        <f t="shared" si="92"/>
        <v>€ 100000</v>
      </c>
      <c r="I140" s="361"/>
      <c r="J140" s="307" t="str">
        <f t="shared" si="90"/>
        <v>02/04/21</v>
      </c>
      <c r="K140" s="83"/>
      <c r="L140" s="119">
        <f t="shared" si="93"/>
        <v>1</v>
      </c>
      <c r="M140" s="122">
        <f t="shared" si="91"/>
        <v>44288</v>
      </c>
    </row>
    <row r="141" spans="1:13" ht="12.75" customHeight="1" x14ac:dyDescent="0.2">
      <c r="A141" s="83"/>
      <c r="B141" s="309"/>
      <c r="C141" s="309"/>
      <c r="D141" s="361" t="str">
        <f t="shared" si="88"/>
        <v>26, 27, 28, 01, 02/05/21</v>
      </c>
      <c r="E141" s="361"/>
      <c r="F141" s="365" t="str">
        <f t="shared" si="89"/>
        <v>Index(t) &gt;= 100% * VRI</v>
      </c>
      <c r="G141" s="365"/>
      <c r="H141" s="361" t="str">
        <f t="shared" si="92"/>
        <v>€ 100000</v>
      </c>
      <c r="I141" s="361"/>
      <c r="J141" s="307" t="str">
        <f t="shared" si="90"/>
        <v>02/05/21</v>
      </c>
      <c r="K141" s="83"/>
      <c r="L141" s="119">
        <f t="shared" si="93"/>
        <v>1</v>
      </c>
      <c r="M141" s="122">
        <f t="shared" si="91"/>
        <v>44318</v>
      </c>
    </row>
    <row r="142" spans="1:13" ht="12.75" customHeight="1" x14ac:dyDescent="0.2">
      <c r="A142" s="83"/>
      <c r="B142" s="309"/>
      <c r="C142" s="309"/>
      <c r="D142" s="361" t="str">
        <f t="shared" si="88"/>
        <v>27, 28, 29, 01, 02/06/21</v>
      </c>
      <c r="E142" s="361"/>
      <c r="F142" s="365" t="str">
        <f t="shared" si="89"/>
        <v>Index(t) &gt;= 100% * VRI</v>
      </c>
      <c r="G142" s="365"/>
      <c r="H142" s="361" t="str">
        <f t="shared" si="92"/>
        <v>€ 100000</v>
      </c>
      <c r="I142" s="361"/>
      <c r="J142" s="307" t="str">
        <f t="shared" si="90"/>
        <v>02/06/21</v>
      </c>
      <c r="K142" s="83"/>
      <c r="L142" s="119">
        <f t="shared" si="93"/>
        <v>1</v>
      </c>
      <c r="M142" s="122">
        <f t="shared" si="91"/>
        <v>44349</v>
      </c>
    </row>
    <row r="143" spans="1:13" ht="12.75" customHeight="1" x14ac:dyDescent="0.2">
      <c r="A143" s="83"/>
      <c r="B143" s="309"/>
      <c r="C143" s="309"/>
      <c r="D143" s="361" t="str">
        <f t="shared" si="88"/>
        <v>26, 27, 28, 01, 02/07/21</v>
      </c>
      <c r="E143" s="361"/>
      <c r="F143" s="365" t="str">
        <f t="shared" si="89"/>
        <v>Index(t) &gt;= 100% * VRI</v>
      </c>
      <c r="G143" s="365"/>
      <c r="H143" s="361" t="str">
        <f t="shared" si="92"/>
        <v>€ 100000</v>
      </c>
      <c r="I143" s="361"/>
      <c r="J143" s="307" t="str">
        <f t="shared" si="90"/>
        <v>02/07/21</v>
      </c>
      <c r="K143" s="83"/>
      <c r="L143" s="119">
        <f t="shared" si="93"/>
        <v>1</v>
      </c>
      <c r="M143" s="122">
        <f t="shared" si="91"/>
        <v>44379</v>
      </c>
    </row>
    <row r="144" spans="1:13" ht="12.75" customHeight="1" x14ac:dyDescent="0.2">
      <c r="A144" s="83"/>
      <c r="B144" s="309"/>
      <c r="C144" s="309"/>
      <c r="D144" s="361" t="str">
        <f t="shared" si="88"/>
        <v>27, 28, 29, 01, 02/08/21</v>
      </c>
      <c r="E144" s="361"/>
      <c r="F144" s="365" t="str">
        <f t="shared" si="89"/>
        <v>Index(t) &gt;= 100% * VRI</v>
      </c>
      <c r="G144" s="365"/>
      <c r="H144" s="361" t="str">
        <f t="shared" si="92"/>
        <v>€ 100000</v>
      </c>
      <c r="I144" s="361"/>
      <c r="J144" s="307" t="str">
        <f t="shared" si="90"/>
        <v>02/08/21</v>
      </c>
      <c r="K144" s="83"/>
      <c r="L144" s="119">
        <f t="shared" si="93"/>
        <v>1</v>
      </c>
      <c r="M144" s="122">
        <f t="shared" si="91"/>
        <v>44410</v>
      </c>
    </row>
    <row r="145" spans="1:15" ht="12.75" customHeight="1" x14ac:dyDescent="0.2">
      <c r="A145" s="83"/>
      <c r="B145" s="309"/>
      <c r="C145" s="309"/>
      <c r="D145" s="361" t="str">
        <f t="shared" si="88"/>
        <v>27, 28, 29, 01, 02/09/21</v>
      </c>
      <c r="E145" s="361"/>
      <c r="F145" s="365" t="str">
        <f t="shared" si="89"/>
        <v>Index(t) &gt;= 100% * VRI</v>
      </c>
      <c r="G145" s="365"/>
      <c r="H145" s="361" t="str">
        <f t="shared" si="92"/>
        <v>€ 100000</v>
      </c>
      <c r="I145" s="361"/>
      <c r="J145" s="307" t="str">
        <f t="shared" si="90"/>
        <v>02/09/21</v>
      </c>
      <c r="K145" s="83"/>
      <c r="L145" s="119">
        <f t="shared" si="93"/>
        <v>1</v>
      </c>
      <c r="M145" s="122">
        <f t="shared" si="91"/>
        <v>44441</v>
      </c>
    </row>
    <row r="146" spans="1:15" ht="12.75" customHeight="1" x14ac:dyDescent="0.2">
      <c r="A146" s="83"/>
      <c r="B146" s="309"/>
      <c r="C146" s="309"/>
      <c r="D146" s="361" t="str">
        <f t="shared" si="88"/>
        <v>26, 27, 28, 01, 02/10/21</v>
      </c>
      <c r="E146" s="361"/>
      <c r="F146" s="365" t="str">
        <f t="shared" si="89"/>
        <v>Index(t) &gt;= 100% * VRI</v>
      </c>
      <c r="G146" s="365"/>
      <c r="H146" s="361" t="str">
        <f t="shared" si="92"/>
        <v>€ 100000</v>
      </c>
      <c r="I146" s="361"/>
      <c r="J146" s="307" t="str">
        <f t="shared" si="90"/>
        <v>02/10/21</v>
      </c>
      <c r="K146" s="83"/>
      <c r="L146" s="119">
        <f t="shared" si="93"/>
        <v>1</v>
      </c>
      <c r="M146" s="122">
        <f t="shared" si="91"/>
        <v>44471</v>
      </c>
    </row>
    <row r="147" spans="1:15" ht="12.75" customHeight="1" x14ac:dyDescent="0.2">
      <c r="A147" s="83"/>
      <c r="B147" s="309"/>
      <c r="C147" s="309"/>
      <c r="D147" s="361" t="str">
        <f t="shared" si="88"/>
        <v>27, 28, 29, 01, 02/11/21</v>
      </c>
      <c r="E147" s="361"/>
      <c r="F147" s="365" t="str">
        <f t="shared" si="89"/>
        <v>Index(t) &gt;= 100% * VRI</v>
      </c>
      <c r="G147" s="365"/>
      <c r="H147" s="361" t="str">
        <f t="shared" si="92"/>
        <v>€ 100000</v>
      </c>
      <c r="I147" s="361"/>
      <c r="J147" s="307" t="str">
        <f t="shared" si="90"/>
        <v>02/11/21</v>
      </c>
      <c r="K147" s="83"/>
      <c r="L147" s="119">
        <f t="shared" si="93"/>
        <v>1</v>
      </c>
      <c r="M147" s="122">
        <f t="shared" si="91"/>
        <v>44502</v>
      </c>
    </row>
    <row r="148" spans="1:15" ht="12.75" customHeight="1" x14ac:dyDescent="0.2">
      <c r="A148" s="83"/>
      <c r="B148" s="309"/>
      <c r="C148" s="309"/>
      <c r="D148" s="361" t="str">
        <f t="shared" si="88"/>
        <v>26, 27, 28, 01, 02/12/21</v>
      </c>
      <c r="E148" s="361"/>
      <c r="F148" s="365" t="str">
        <f t="shared" si="89"/>
        <v>Index(t) &gt;= 100% * VRI</v>
      </c>
      <c r="G148" s="365"/>
      <c r="H148" s="361" t="str">
        <f t="shared" si="92"/>
        <v>€ 100000</v>
      </c>
      <c r="I148" s="361"/>
      <c r="J148" s="307" t="str">
        <f t="shared" si="90"/>
        <v>02/12/21</v>
      </c>
      <c r="K148" s="83"/>
      <c r="L148" s="119">
        <f t="shared" si="93"/>
        <v>1</v>
      </c>
      <c r="M148" s="122">
        <f t="shared" si="91"/>
        <v>44532</v>
      </c>
    </row>
    <row r="149" spans="1:15" ht="12.75" customHeight="1" x14ac:dyDescent="0.2">
      <c r="A149" s="83"/>
      <c r="B149" s="309"/>
      <c r="C149" s="309"/>
      <c r="D149" s="361" t="str">
        <f t="shared" si="88"/>
        <v>27, 28, 29, 01, 02/01/22</v>
      </c>
      <c r="E149" s="361"/>
      <c r="F149" s="365" t="str">
        <f t="shared" si="89"/>
        <v>Index(t) &gt;= 100% * VRI</v>
      </c>
      <c r="G149" s="365"/>
      <c r="H149" s="361" t="str">
        <f t="shared" si="92"/>
        <v>€ 100000</v>
      </c>
      <c r="I149" s="361"/>
      <c r="J149" s="307" t="str">
        <f t="shared" si="90"/>
        <v>02/01/22</v>
      </c>
      <c r="K149" s="83"/>
      <c r="L149" s="119">
        <f t="shared" si="93"/>
        <v>1</v>
      </c>
      <c r="M149" s="122">
        <f t="shared" si="91"/>
        <v>44563</v>
      </c>
    </row>
    <row r="150" spans="1:15" ht="12.75" customHeight="1" x14ac:dyDescent="0.2">
      <c r="A150" s="83"/>
      <c r="B150" s="309"/>
      <c r="C150" s="309"/>
      <c r="D150" s="361" t="str">
        <f t="shared" si="88"/>
        <v>27, 28, 29, 01, 02/02/22</v>
      </c>
      <c r="E150" s="361"/>
      <c r="F150" s="365" t="str">
        <f t="shared" si="89"/>
        <v>Index(t) &gt;= 100% * VRI</v>
      </c>
      <c r="G150" s="365"/>
      <c r="H150" s="361" t="str">
        <f t="shared" si="92"/>
        <v>€ 100000</v>
      </c>
      <c r="I150" s="361"/>
      <c r="J150" s="307" t="str">
        <f t="shared" si="90"/>
        <v>02/02/22</v>
      </c>
      <c r="K150" s="83"/>
      <c r="L150" s="119">
        <f t="shared" si="93"/>
        <v>1</v>
      </c>
      <c r="M150" s="122">
        <f t="shared" si="91"/>
        <v>44594</v>
      </c>
    </row>
    <row r="151" spans="1:15" ht="12.75" customHeight="1" x14ac:dyDescent="0.2">
      <c r="A151" s="83"/>
      <c r="B151" s="309"/>
      <c r="C151" s="309"/>
      <c r="D151" s="361" t="str">
        <f t="shared" si="88"/>
        <v>24, 25, 26, 01, 02/03/22</v>
      </c>
      <c r="E151" s="361"/>
      <c r="F151" s="365" t="str">
        <f t="shared" si="89"/>
        <v>Index(t) &gt;= 100% * VRI</v>
      </c>
      <c r="G151" s="365"/>
      <c r="H151" s="361" t="str">
        <f t="shared" si="92"/>
        <v>€ 100000</v>
      </c>
      <c r="I151" s="361"/>
      <c r="J151" s="307" t="str">
        <f t="shared" si="90"/>
        <v>02/03/22</v>
      </c>
      <c r="K151" s="83"/>
      <c r="L151" s="119">
        <f t="shared" si="93"/>
        <v>1</v>
      </c>
      <c r="M151" s="122">
        <f t="shared" si="91"/>
        <v>44622</v>
      </c>
    </row>
    <row r="152" spans="1:15" ht="12.75" customHeight="1" x14ac:dyDescent="0.2">
      <c r="A152" s="83"/>
      <c r="B152" s="309"/>
      <c r="C152" s="309"/>
      <c r="D152" s="361" t="str">
        <f t="shared" si="88"/>
        <v>27, 28, 29, 01, 02/04/22</v>
      </c>
      <c r="E152" s="361"/>
      <c r="F152" s="365" t="str">
        <f t="shared" si="89"/>
        <v>Index(t) &gt;= 100% * VRI</v>
      </c>
      <c r="G152" s="365"/>
      <c r="H152" s="361" t="str">
        <f t="shared" si="92"/>
        <v>€ 100000</v>
      </c>
      <c r="I152" s="361"/>
      <c r="J152" s="307" t="str">
        <f t="shared" si="90"/>
        <v>02/04/22</v>
      </c>
      <c r="K152" s="83"/>
      <c r="L152" s="119">
        <f t="shared" si="93"/>
        <v>1</v>
      </c>
      <c r="M152" s="122">
        <f t="shared" si="91"/>
        <v>44653</v>
      </c>
    </row>
    <row r="153" spans="1:15" x14ac:dyDescent="0.2">
      <c r="A153" s="83"/>
      <c r="B153" s="309"/>
      <c r="C153" s="309"/>
      <c r="D153" s="307"/>
      <c r="E153" s="307"/>
      <c r="F153" s="308"/>
      <c r="G153" s="308"/>
      <c r="H153" s="307"/>
      <c r="I153" s="307"/>
      <c r="J153" s="307"/>
      <c r="K153" s="83"/>
      <c r="L153" s="274"/>
      <c r="M153" s="101"/>
    </row>
    <row r="154" spans="1:15" ht="12.75" customHeight="1" x14ac:dyDescent="0.2">
      <c r="A154" s="83"/>
      <c r="B154" s="79"/>
      <c r="C154" s="79"/>
      <c r="D154" s="344" t="s">
        <v>175</v>
      </c>
      <c r="E154" s="344"/>
      <c r="F154" s="344"/>
      <c r="G154" s="344"/>
      <c r="H154" s="344"/>
      <c r="I154" s="344"/>
      <c r="J154" s="344"/>
      <c r="K154" s="83"/>
      <c r="L154" s="121"/>
    </row>
    <row r="155" spans="1:15" ht="12.75" customHeight="1" x14ac:dyDescent="0.2">
      <c r="A155" s="83"/>
      <c r="B155" s="79"/>
      <c r="C155" s="79"/>
      <c r="D155" s="344" t="s">
        <v>176</v>
      </c>
      <c r="E155" s="344"/>
      <c r="F155" s="344"/>
      <c r="G155" s="344"/>
      <c r="H155" s="344"/>
      <c r="I155" s="344"/>
      <c r="J155" s="344"/>
      <c r="K155" s="83"/>
      <c r="L155" s="121"/>
    </row>
    <row r="156" spans="1:15" ht="12.75" customHeight="1" x14ac:dyDescent="0.2">
      <c r="A156" s="83"/>
      <c r="B156" s="79"/>
      <c r="C156" s="79"/>
      <c r="D156" s="344"/>
      <c r="E156" s="344"/>
      <c r="F156" s="344"/>
      <c r="G156" s="344"/>
      <c r="H156" s="344"/>
      <c r="I156" s="344"/>
      <c r="J156" s="344"/>
      <c r="K156" s="83"/>
      <c r="L156" s="121"/>
    </row>
    <row r="157" spans="1:15" ht="12.75" customHeight="1" x14ac:dyDescent="0.2">
      <c r="A157" s="83"/>
      <c r="B157" s="363" t="s">
        <v>105</v>
      </c>
      <c r="C157" s="363"/>
      <c r="D157" s="344" t="s">
        <v>55</v>
      </c>
      <c r="E157" s="344"/>
      <c r="F157" s="344"/>
      <c r="G157" s="344"/>
      <c r="H157" s="344"/>
      <c r="I157" s="344"/>
      <c r="J157" s="344"/>
      <c r="K157" s="83"/>
      <c r="L157" s="101"/>
    </row>
    <row r="158" spans="1:15" ht="12.75" customHeight="1" x14ac:dyDescent="0.2">
      <c r="A158" s="83"/>
      <c r="B158" s="79"/>
      <c r="C158" s="79"/>
      <c r="D158" s="344"/>
      <c r="E158" s="344"/>
      <c r="F158" s="344"/>
      <c r="G158" s="344"/>
      <c r="H158" s="344"/>
      <c r="I158" s="344"/>
      <c r="J158" s="344"/>
      <c r="K158" s="83"/>
      <c r="L158" s="101"/>
    </row>
    <row r="159" spans="1:15" ht="12.75" customHeight="1" x14ac:dyDescent="0.2">
      <c r="A159" s="83"/>
      <c r="B159" s="363"/>
      <c r="C159" s="363"/>
      <c r="D159" s="375" t="s">
        <v>153</v>
      </c>
      <c r="E159" s="375"/>
      <c r="F159" s="375"/>
      <c r="G159" s="375"/>
      <c r="H159" s="375"/>
      <c r="I159" s="375"/>
      <c r="J159" s="375"/>
      <c r="K159" s="83"/>
      <c r="L159" s="101"/>
      <c r="O159" s="112"/>
    </row>
    <row r="160" spans="1:15" ht="12.75" customHeight="1" x14ac:dyDescent="0.2">
      <c r="A160" s="83"/>
      <c r="B160" s="363"/>
      <c r="C160" s="363"/>
      <c r="D160" s="344" t="str">
        <f>CONCATENATE(TEXT($L$31,"€ 0"),IF(L160=0,"",CONCATENATE(" + ",TEXT(L160*$L$31,"€ 0,00"))))</f>
        <v>€ 100000 + € 640,00</v>
      </c>
      <c r="E160" s="344"/>
      <c r="F160" s="344"/>
      <c r="G160" s="344"/>
      <c r="H160" s="344"/>
      <c r="I160" s="344"/>
      <c r="J160" s="344"/>
      <c r="K160" s="83"/>
      <c r="L160" s="119">
        <f>Q79</f>
        <v>6.4000000000000003E-3</v>
      </c>
      <c r="O160" s="111"/>
    </row>
    <row r="161" spans="1:15" ht="12.75" customHeight="1" x14ac:dyDescent="0.2">
      <c r="A161" s="83"/>
      <c r="B161" s="79"/>
      <c r="C161" s="79"/>
      <c r="D161" s="375" t="s">
        <v>104</v>
      </c>
      <c r="E161" s="375"/>
      <c r="F161" s="375"/>
      <c r="G161" s="375"/>
      <c r="H161" s="375"/>
      <c r="I161" s="375"/>
      <c r="J161" s="375"/>
      <c r="K161" s="83"/>
      <c r="O161" s="111"/>
    </row>
    <row r="162" spans="1:15" ht="12.75" customHeight="1" x14ac:dyDescent="0.2">
      <c r="A162" s="83"/>
      <c r="B162" s="79"/>
      <c r="C162" s="79"/>
      <c r="D162" s="344" t="s">
        <v>137</v>
      </c>
      <c r="E162" s="344"/>
      <c r="F162" s="344"/>
      <c r="G162" s="344"/>
      <c r="H162" s="344"/>
      <c r="I162" s="344"/>
      <c r="J162" s="344"/>
      <c r="K162" s="83"/>
      <c r="O162" s="111"/>
    </row>
    <row r="163" spans="1:15" ht="12.75" customHeight="1" x14ac:dyDescent="0.2">
      <c r="A163" s="83"/>
      <c r="B163" s="363"/>
      <c r="C163" s="363"/>
      <c r="D163" s="367" t="s">
        <v>40</v>
      </c>
      <c r="E163" s="367"/>
      <c r="F163" s="367"/>
      <c r="G163" s="367"/>
      <c r="H163" s="367"/>
      <c r="I163" s="367"/>
      <c r="J163" s="367"/>
      <c r="K163" s="83"/>
      <c r="O163" s="111"/>
    </row>
    <row r="164" spans="1:15" ht="12.75" customHeight="1" x14ac:dyDescent="0.2">
      <c r="A164" s="83"/>
      <c r="B164" s="363"/>
      <c r="C164" s="363"/>
      <c r="D164" s="361" t="str">
        <f>CONCATENATE("Livello della Barriera: pari a ",TEXT(L164,"0,00%")," del VRI, osservato il ",TEXT(M164,"gg/mm/aaaaa"))</f>
        <v>Livello della Barriera: pari a 70,00% del VRI, osservato il 28/04/2022</v>
      </c>
      <c r="E164" s="361"/>
      <c r="F164" s="361"/>
      <c r="G164" s="361"/>
      <c r="H164" s="361"/>
      <c r="I164" s="361"/>
      <c r="J164" s="361"/>
      <c r="K164" s="83"/>
      <c r="L164" s="92">
        <f>L7</f>
        <v>0.7</v>
      </c>
      <c r="M164" s="122">
        <f>P187</f>
        <v>44679</v>
      </c>
      <c r="O164" s="113"/>
    </row>
    <row r="165" spans="1:15" ht="12.75" customHeight="1" x14ac:dyDescent="0.2">
      <c r="A165" s="83"/>
      <c r="B165" s="79"/>
      <c r="C165" s="79"/>
      <c r="D165" s="361" t="s">
        <v>56</v>
      </c>
      <c r="E165" s="361"/>
      <c r="F165" s="361"/>
      <c r="G165" s="361"/>
      <c r="H165" s="361"/>
      <c r="I165" s="361"/>
      <c r="J165" s="361"/>
      <c r="K165" s="83"/>
      <c r="O165" s="113"/>
    </row>
    <row r="166" spans="1:15" ht="12.75" customHeight="1" x14ac:dyDescent="0.2">
      <c r="A166" s="83"/>
      <c r="B166" s="79"/>
      <c r="C166" s="79"/>
      <c r="D166" s="344" t="str">
        <f>CONCATENATE("LME: lotto minimo di esercizio, ",D31)</f>
        <v>LME: lotto minimo di esercizio, 1 Certificate (€ 100.000)</v>
      </c>
      <c r="E166" s="344"/>
      <c r="F166" s="344"/>
      <c r="G166" s="344"/>
      <c r="H166" s="344"/>
      <c r="I166" s="344"/>
      <c r="J166" s="344"/>
      <c r="K166" s="83"/>
      <c r="O166" s="113"/>
    </row>
    <row r="167" spans="1:15" ht="12.75" customHeight="1" x14ac:dyDescent="0.2">
      <c r="A167" s="83"/>
      <c r="B167" s="79"/>
      <c r="C167" s="79"/>
      <c r="D167" s="344" t="str">
        <f>CONCATENATE("Multiplo: pari al rapporto tra il prezzo di sottoscrizione (",TEXT(L31,"€ 0.0"),") e il Valore di Riferimento Iniziale dell’azione Sottostante")</f>
        <v>Multiplo: pari al rapporto tra il prezzo di sottoscrizione (€ 100.000) e il Valore di Riferimento Iniziale dell’azione Sottostante</v>
      </c>
      <c r="E167" s="344"/>
      <c r="F167" s="344"/>
      <c r="G167" s="344"/>
      <c r="H167" s="344"/>
      <c r="I167" s="344"/>
      <c r="J167" s="344"/>
      <c r="K167" s="83"/>
      <c r="O167" s="113"/>
    </row>
    <row r="168" spans="1:15" ht="12.75" customHeight="1" x14ac:dyDescent="0.2">
      <c r="A168" s="83"/>
      <c r="B168" s="79"/>
      <c r="C168" s="79"/>
      <c r="D168" s="344"/>
      <c r="E168" s="344"/>
      <c r="F168" s="344"/>
      <c r="G168" s="344"/>
      <c r="H168" s="344"/>
      <c r="I168" s="344"/>
      <c r="J168" s="344"/>
      <c r="K168" s="83"/>
      <c r="O168" s="113"/>
    </row>
    <row r="169" spans="1:15" ht="12.75" customHeight="1" x14ac:dyDescent="0.2">
      <c r="A169" s="83"/>
      <c r="B169" s="309"/>
      <c r="C169" s="309"/>
      <c r="D169" s="310"/>
      <c r="E169" s="310"/>
      <c r="F169" s="310"/>
      <c r="G169" s="310"/>
      <c r="H169" s="310"/>
      <c r="I169" s="310"/>
      <c r="J169" s="310"/>
      <c r="K169" s="83"/>
      <c r="O169" s="113"/>
    </row>
    <row r="170" spans="1:15" ht="12.75" customHeight="1" x14ac:dyDescent="0.2">
      <c r="A170" s="83"/>
      <c r="B170" s="309"/>
      <c r="C170" s="309"/>
      <c r="D170" s="310"/>
      <c r="E170" s="310"/>
      <c r="F170" s="310"/>
      <c r="G170" s="310"/>
      <c r="H170" s="310"/>
      <c r="I170" s="310"/>
      <c r="J170" s="310"/>
      <c r="K170" s="83"/>
      <c r="O170" s="113"/>
    </row>
    <row r="171" spans="1:15" ht="12.75" customHeight="1" x14ac:dyDescent="0.2">
      <c r="A171" s="83"/>
      <c r="B171" s="309"/>
      <c r="C171" s="309"/>
      <c r="D171" s="310"/>
      <c r="E171" s="310"/>
      <c r="F171" s="310"/>
      <c r="G171" s="310"/>
      <c r="H171" s="310"/>
      <c r="I171" s="310"/>
      <c r="J171" s="310"/>
      <c r="K171" s="83"/>
      <c r="O171" s="113"/>
    </row>
    <row r="172" spans="1:15" ht="12.75" customHeight="1" x14ac:dyDescent="0.2">
      <c r="A172" s="83"/>
      <c r="B172" s="309"/>
      <c r="C172" s="309"/>
      <c r="D172" s="310"/>
      <c r="E172" s="310"/>
      <c r="F172" s="310"/>
      <c r="G172" s="310"/>
      <c r="H172" s="310"/>
      <c r="I172" s="310"/>
      <c r="J172" s="310"/>
      <c r="K172" s="83"/>
      <c r="O172" s="113"/>
    </row>
    <row r="173" spans="1:15" ht="12.75" customHeight="1" x14ac:dyDescent="0.2">
      <c r="A173" s="83"/>
      <c r="B173" s="79"/>
      <c r="C173" s="79"/>
      <c r="D173" s="93"/>
      <c r="E173" s="93"/>
      <c r="F173" s="93"/>
      <c r="G173" s="93"/>
      <c r="H173" s="93"/>
      <c r="I173" s="93"/>
      <c r="J173" s="93"/>
      <c r="K173" s="83"/>
      <c r="O173" s="113"/>
    </row>
    <row r="174" spans="1:15" ht="12.75" customHeight="1" x14ac:dyDescent="0.2">
      <c r="A174" s="87"/>
      <c r="B174" s="339"/>
      <c r="C174" s="339"/>
      <c r="D174" s="339"/>
      <c r="E174" s="339"/>
      <c r="F174" s="87"/>
      <c r="G174" s="87"/>
      <c r="H174" s="87"/>
      <c r="I174" s="87"/>
      <c r="J174" s="87"/>
      <c r="K174" s="87"/>
      <c r="O174" s="113"/>
    </row>
    <row r="175" spans="1:15" ht="12.75" customHeight="1" x14ac:dyDescent="0.2">
      <c r="A175" s="83"/>
      <c r="B175" s="83"/>
      <c r="C175" s="83"/>
      <c r="D175" s="83"/>
      <c r="E175" s="83"/>
      <c r="F175" s="83"/>
      <c r="G175" s="83"/>
      <c r="H175" s="83"/>
      <c r="I175" s="83"/>
      <c r="J175" s="83"/>
      <c r="K175" s="83"/>
      <c r="O175" s="113"/>
    </row>
    <row r="176" spans="1:15" ht="12.75" customHeight="1" x14ac:dyDescent="0.2">
      <c r="A176" s="83"/>
      <c r="B176" s="83"/>
      <c r="C176" s="83"/>
      <c r="D176" s="83"/>
      <c r="E176" s="83"/>
      <c r="F176" s="83"/>
      <c r="G176" s="83"/>
      <c r="H176" s="83"/>
      <c r="I176" s="83"/>
      <c r="J176" s="86">
        <f ca="1">TODAY()</f>
        <v>43549</v>
      </c>
      <c r="K176" s="83"/>
      <c r="O176" s="113"/>
    </row>
    <row r="177" spans="1:17" ht="12.75" customHeight="1" x14ac:dyDescent="0.2">
      <c r="A177" s="83"/>
      <c r="B177" s="83"/>
      <c r="C177" s="83"/>
      <c r="D177" s="83"/>
      <c r="E177" s="83"/>
      <c r="F177" s="83"/>
      <c r="G177" s="83"/>
      <c r="H177" s="83"/>
      <c r="I177" s="83"/>
      <c r="J177" s="83"/>
      <c r="K177" s="83"/>
      <c r="O177" s="113"/>
    </row>
    <row r="178" spans="1:17" ht="12.75" customHeight="1" x14ac:dyDescent="0.2">
      <c r="A178" s="87"/>
      <c r="B178" s="339" t="s">
        <v>168</v>
      </c>
      <c r="C178" s="339"/>
      <c r="D178" s="339"/>
      <c r="E178" s="339"/>
      <c r="F178" s="339"/>
      <c r="G178" s="339"/>
      <c r="H178" s="339"/>
      <c r="I178" s="339"/>
      <c r="J178" s="339"/>
      <c r="K178" s="87"/>
      <c r="O178" s="113"/>
    </row>
    <row r="179" spans="1:17" s="226" customFormat="1" ht="12.75" customHeight="1" x14ac:dyDescent="0.2">
      <c r="A179" s="221"/>
      <c r="B179" s="222"/>
      <c r="C179" s="222"/>
      <c r="D179" s="223"/>
      <c r="E179" s="223"/>
      <c r="F179" s="223"/>
      <c r="G179" s="223"/>
      <c r="H179" s="223"/>
      <c r="I179" s="223"/>
      <c r="J179" s="223"/>
      <c r="K179" s="221"/>
      <c r="L179" s="224"/>
      <c r="M179" s="224"/>
      <c r="N179" s="224"/>
      <c r="O179" s="225"/>
      <c r="P179" s="224"/>
    </row>
    <row r="180" spans="1:17" ht="12.75" customHeight="1" x14ac:dyDescent="0.2">
      <c r="A180" s="83"/>
      <c r="B180" s="79"/>
      <c r="C180" s="79"/>
      <c r="D180" s="344" t="s">
        <v>173</v>
      </c>
      <c r="E180" s="344"/>
      <c r="F180" s="344"/>
      <c r="G180" s="344"/>
      <c r="H180" s="344"/>
      <c r="I180" s="344"/>
      <c r="J180" s="344"/>
      <c r="K180" s="83"/>
      <c r="O180" s="115"/>
    </row>
    <row r="181" spans="1:17" ht="12.75" customHeight="1" x14ac:dyDescent="0.2">
      <c r="A181" s="83"/>
      <c r="B181" s="79"/>
      <c r="C181" s="79"/>
      <c r="D181" s="344"/>
      <c r="E181" s="344"/>
      <c r="F181" s="344"/>
      <c r="G181" s="344"/>
      <c r="H181" s="344"/>
      <c r="I181" s="344"/>
      <c r="J181" s="344"/>
      <c r="K181" s="83"/>
      <c r="O181" s="114"/>
    </row>
    <row r="182" spans="1:17" ht="12.75" customHeight="1" x14ac:dyDescent="0.2">
      <c r="A182" s="83"/>
      <c r="B182" s="79"/>
      <c r="C182" s="79"/>
      <c r="D182" s="344" t="s">
        <v>174</v>
      </c>
      <c r="E182" s="344"/>
      <c r="F182" s="344"/>
      <c r="G182" s="344"/>
      <c r="H182" s="344"/>
      <c r="I182" s="344"/>
      <c r="J182" s="344"/>
      <c r="K182" s="83"/>
      <c r="O182" s="114"/>
    </row>
    <row r="183" spans="1:17" ht="12.75" customHeight="1" x14ac:dyDescent="0.2">
      <c r="A183" s="83"/>
      <c r="B183" s="79"/>
      <c r="C183" s="79"/>
      <c r="D183" s="344"/>
      <c r="E183" s="344"/>
      <c r="F183" s="344"/>
      <c r="G183" s="344"/>
      <c r="H183" s="344"/>
      <c r="I183" s="344"/>
      <c r="J183" s="344"/>
      <c r="K183" s="83"/>
      <c r="O183" s="114"/>
      <c r="P183" s="114"/>
    </row>
    <row r="184" spans="1:17" ht="12.75" customHeight="1" x14ac:dyDescent="0.2">
      <c r="A184" s="83"/>
      <c r="B184" s="79"/>
      <c r="C184" s="79"/>
      <c r="D184" s="362" t="str">
        <f>CONCATENATE("Date di Determinazione: ",IF(Q184&gt;1,"media aritmetica dei valori del titolo sottostante rilevati i giorni ","valore di chiusura dell'Indice rilevato il giorno "),IF(L184=0,"",TEXT(L184,"gg mmmm aaaa")),IF(L184=0,"",", "),IF(M184=0,"",TEXT(M184,"gg mmmm aaaa")),IF(M184=0,"",", "),IF(N184=0,"",TEXT(N184,"gg mmmm aaaa")),IF(N184=0,"",", "),IF(O184=0,"",TEXT(O184,"gg mmmm aaaa")),IF(O184=0,"",", "),TEXT(P184,"gg mmmm aaaa"))</f>
        <v>Date di Determinazione: media aritmetica dei valori del titolo sottostante rilevati i giorni 26 aprile 2019, 29 aprile 2019, 30 aprile 2019, 02 maggio 2019, 03 maggio 2019</v>
      </c>
      <c r="E184" s="362"/>
      <c r="F184" s="362"/>
      <c r="G184" s="362"/>
      <c r="H184" s="362"/>
      <c r="I184" s="362"/>
      <c r="J184" s="362"/>
      <c r="K184" s="83"/>
      <c r="L184" s="90">
        <f>M184-3</f>
        <v>43581</v>
      </c>
      <c r="M184" s="90">
        <f>N184-1</f>
        <v>43584</v>
      </c>
      <c r="N184" s="90">
        <f>O184-2</f>
        <v>43585</v>
      </c>
      <c r="O184" s="90">
        <f>P184-1</f>
        <v>43587</v>
      </c>
      <c r="P184" s="90">
        <f>M7+3</f>
        <v>43588</v>
      </c>
      <c r="Q184" s="89">
        <v>3</v>
      </c>
    </row>
    <row r="185" spans="1:17" x14ac:dyDescent="0.2">
      <c r="A185" s="83"/>
      <c r="B185" s="79"/>
      <c r="C185" s="79"/>
      <c r="D185" s="362"/>
      <c r="E185" s="362"/>
      <c r="F185" s="362"/>
      <c r="G185" s="362"/>
      <c r="H185" s="362"/>
      <c r="I185" s="362"/>
      <c r="J185" s="362"/>
      <c r="K185" s="83"/>
      <c r="L185" s="85"/>
      <c r="M185" s="85"/>
      <c r="N185" s="85"/>
      <c r="O185" s="85"/>
      <c r="P185" s="85"/>
      <c r="Q185" s="84"/>
    </row>
    <row r="186" spans="1:17" x14ac:dyDescent="0.2">
      <c r="A186" s="83"/>
      <c r="B186" s="79"/>
      <c r="C186" s="79"/>
      <c r="D186" s="362"/>
      <c r="E186" s="362"/>
      <c r="F186" s="362"/>
      <c r="G186" s="362"/>
      <c r="H186" s="362"/>
      <c r="I186" s="362"/>
      <c r="J186" s="362"/>
      <c r="K186" s="83"/>
      <c r="L186" s="85"/>
      <c r="M186" s="85"/>
      <c r="N186" s="85"/>
      <c r="O186" s="85"/>
      <c r="P186" s="85"/>
      <c r="Q186" s="84"/>
    </row>
    <row r="187" spans="1:17" ht="12.75" customHeight="1" x14ac:dyDescent="0.2">
      <c r="A187" s="83"/>
      <c r="B187" s="79"/>
      <c r="C187" s="79"/>
      <c r="D187" s="362" t="str">
        <f>CONCATENATE("Giorni di Valutazione: ",IF(Q187&gt;1,"media aritmetica dei valori del titolo sottostante rilevati i giorni ","valore di chiusura dell'Indice rilevato il giorno "),IF(L187=0,"",TEXT(L187,"gg mmmm aaaa")),IF(L187=0,"",", "),IF(M187=0,"",TEXT(M187,"gg mmmm aaaa")),IF(M187=0,"",", "),IF(N187=0,"",TEXT(N187,"gg mmmm aaaa")),IF(N187=0,"",", "),IF(O187=0,"",TEXT(O187,"gg mmmm aaaa")),IF(O187=0,"",", "),TEXT(P187,"gg mmmm aaaa"))</f>
        <v>Giorni di Valutazione: media aritmetica dei valori del titolo sottostante rilevati i giorni 21 aprile 2022, 22 aprile 2022, 26 aprile 2022, 27 aprile 2022, 28 aprile 2022</v>
      </c>
      <c r="E187" s="362"/>
      <c r="F187" s="362"/>
      <c r="G187" s="362"/>
      <c r="H187" s="362"/>
      <c r="I187" s="362"/>
      <c r="J187" s="362"/>
      <c r="K187" s="83"/>
      <c r="L187" s="90">
        <f>M187-1</f>
        <v>44672</v>
      </c>
      <c r="M187" s="90">
        <f>N187-4</f>
        <v>44673</v>
      </c>
      <c r="N187" s="90">
        <f>O187-1</f>
        <v>44677</v>
      </c>
      <c r="O187" s="90">
        <f>P187-1</f>
        <v>44678</v>
      </c>
      <c r="P187" s="90">
        <f>N7-4</f>
        <v>44679</v>
      </c>
      <c r="Q187" s="89">
        <v>3</v>
      </c>
    </row>
    <row r="188" spans="1:17" x14ac:dyDescent="0.2">
      <c r="A188" s="83"/>
      <c r="B188" s="79"/>
      <c r="C188" s="79"/>
      <c r="D188" s="362"/>
      <c r="E188" s="362"/>
      <c r="F188" s="362"/>
      <c r="G188" s="362"/>
      <c r="H188" s="362"/>
      <c r="I188" s="362"/>
      <c r="J188" s="362"/>
      <c r="K188" s="83"/>
      <c r="L188" s="121"/>
      <c r="M188" s="264"/>
      <c r="N188" s="264"/>
      <c r="O188" s="264"/>
      <c r="P188" s="264"/>
      <c r="Q188" s="264"/>
    </row>
    <row r="189" spans="1:17" ht="12.75" customHeight="1" x14ac:dyDescent="0.2">
      <c r="A189" s="83"/>
      <c r="B189" s="79"/>
      <c r="C189" s="79"/>
      <c r="D189" s="362"/>
      <c r="E189" s="362"/>
      <c r="F189" s="362"/>
      <c r="G189" s="362"/>
      <c r="H189" s="362"/>
      <c r="I189" s="362"/>
      <c r="J189" s="362"/>
      <c r="K189" s="83"/>
      <c r="O189" s="116"/>
    </row>
    <row r="190" spans="1:17" ht="12.75" customHeight="1" x14ac:dyDescent="0.2">
      <c r="A190" s="83"/>
      <c r="B190" s="83"/>
      <c r="C190" s="83"/>
      <c r="D190" s="83"/>
      <c r="E190" s="83"/>
      <c r="F190" s="83"/>
      <c r="G190" s="83"/>
      <c r="H190" s="83"/>
      <c r="I190" s="83"/>
      <c r="J190" s="83"/>
      <c r="K190" s="83"/>
      <c r="O190" s="116"/>
    </row>
    <row r="191" spans="1:17" ht="12.75" customHeight="1" x14ac:dyDescent="0.2">
      <c r="A191" s="83"/>
      <c r="B191" s="83"/>
      <c r="C191" s="83"/>
      <c r="D191" s="83"/>
      <c r="E191" s="83"/>
      <c r="F191" s="83"/>
      <c r="G191" s="83"/>
      <c r="H191" s="83"/>
      <c r="I191" s="83"/>
      <c r="J191" s="83"/>
      <c r="K191" s="83"/>
      <c r="O191" s="116"/>
    </row>
    <row r="192" spans="1:17" ht="12.75" customHeight="1" x14ac:dyDescent="0.2">
      <c r="A192" s="83"/>
      <c r="B192" s="347" t="s">
        <v>149</v>
      </c>
      <c r="C192" s="347"/>
      <c r="D192" s="347"/>
      <c r="E192" s="347"/>
      <c r="F192" s="347"/>
      <c r="G192" s="347"/>
      <c r="H192" s="347"/>
      <c r="I192" s="347"/>
      <c r="J192" s="347"/>
      <c r="K192" s="83"/>
      <c r="O192" s="117"/>
    </row>
    <row r="193" spans="1:25" ht="12.75" customHeight="1" x14ac:dyDescent="0.2">
      <c r="A193" s="83"/>
      <c r="B193" s="83"/>
      <c r="C193" s="83"/>
      <c r="D193" s="83"/>
      <c r="E193" s="83"/>
      <c r="F193" s="83"/>
      <c r="G193" s="83"/>
      <c r="H193" s="83"/>
      <c r="I193" s="83"/>
      <c r="J193" s="83"/>
      <c r="K193" s="83"/>
    </row>
    <row r="194" spans="1:25" ht="12.75" customHeight="1" x14ac:dyDescent="0.2">
      <c r="A194" s="83"/>
      <c r="B194" s="338" t="str">
        <f>CONCATENATE("Il comportamento del prodotto che si evince dalla distribuzione dei possibili rendimenti è il risultato sia delle caratteristiche finanziarie della struttura, che delle ipotesi storiche formulate sull’andamento del fattore di rischio rilevante, ",L11,".")</f>
        <v>Il comportamento del prodotto che si evince dalla distribuzione dei possibili rendimenti è il risultato sia delle caratteristiche finanziarie della struttura, che delle ipotesi storiche formulate sull’andamento del fattore di rischio rilevante, Mediobanca S.p.a..</v>
      </c>
      <c r="C194" s="338"/>
      <c r="D194" s="338"/>
      <c r="E194" s="338"/>
      <c r="F194" s="338"/>
      <c r="G194" s="338"/>
      <c r="H194" s="338"/>
      <c r="I194" s="338"/>
      <c r="J194" s="338"/>
      <c r="K194" s="83"/>
    </row>
    <row r="195" spans="1:25" ht="12.75" customHeight="1" x14ac:dyDescent="0.2">
      <c r="A195" s="83"/>
      <c r="B195" s="338"/>
      <c r="C195" s="338"/>
      <c r="D195" s="338"/>
      <c r="E195" s="338"/>
      <c r="F195" s="338"/>
      <c r="G195" s="338"/>
      <c r="H195" s="338"/>
      <c r="I195" s="338"/>
      <c r="J195" s="338"/>
      <c r="K195" s="83"/>
    </row>
    <row r="196" spans="1:25" ht="16.899999999999999" customHeight="1" x14ac:dyDescent="0.2">
      <c r="A196" s="83"/>
      <c r="B196" s="338"/>
      <c r="C196" s="338"/>
      <c r="D196" s="338"/>
      <c r="E196" s="338"/>
      <c r="F196" s="338"/>
      <c r="G196" s="338"/>
      <c r="H196" s="338"/>
      <c r="I196" s="338"/>
      <c r="J196" s="338"/>
      <c r="K196" s="83"/>
    </row>
    <row r="197" spans="1:25" ht="12.75" customHeight="1" x14ac:dyDescent="0.2">
      <c r="A197" s="83"/>
      <c r="B197" s="94"/>
      <c r="C197" s="83"/>
      <c r="D197" s="83"/>
      <c r="E197" s="83"/>
      <c r="F197" s="83"/>
      <c r="G197" s="83"/>
      <c r="H197" s="83"/>
      <c r="I197" s="83"/>
      <c r="J197" s="83"/>
      <c r="K197" s="83"/>
    </row>
    <row r="198" spans="1:25" ht="12.75" customHeight="1" x14ac:dyDescent="0.2">
      <c r="A198" s="83"/>
      <c r="B198" s="338" t="s">
        <v>138</v>
      </c>
      <c r="C198" s="338"/>
      <c r="D198" s="338"/>
      <c r="E198" s="338"/>
      <c r="F198" s="338"/>
      <c r="G198" s="338"/>
      <c r="H198" s="338"/>
      <c r="I198" s="338"/>
      <c r="J198" s="338"/>
      <c r="K198" s="83"/>
      <c r="O198" s="280"/>
    </row>
    <row r="199" spans="1:25" ht="12.75" customHeight="1" x14ac:dyDescent="0.2">
      <c r="A199" s="83"/>
      <c r="B199" s="338"/>
      <c r="C199" s="338"/>
      <c r="D199" s="338"/>
      <c r="E199" s="338"/>
      <c r="F199" s="338"/>
      <c r="G199" s="338"/>
      <c r="H199" s="338"/>
      <c r="I199" s="338"/>
      <c r="J199" s="338"/>
      <c r="K199" s="83"/>
    </row>
    <row r="200" spans="1:25" ht="12.75" customHeight="1" x14ac:dyDescent="0.2">
      <c r="A200" s="83"/>
      <c r="B200" s="83"/>
      <c r="C200" s="83"/>
      <c r="D200" s="83"/>
      <c r="E200" s="83"/>
      <c r="F200" s="83"/>
      <c r="G200" s="83"/>
      <c r="H200" s="83"/>
      <c r="I200" s="83"/>
      <c r="J200" s="83"/>
      <c r="K200" s="83"/>
    </row>
    <row r="201" spans="1:25" ht="12.75" customHeight="1" x14ac:dyDescent="0.2">
      <c r="A201" s="83"/>
      <c r="B201" s="83" t="s">
        <v>79</v>
      </c>
      <c r="C201" s="83"/>
      <c r="D201" s="95"/>
      <c r="E201" s="83"/>
      <c r="F201" s="83"/>
      <c r="G201" s="83"/>
      <c r="I201" s="83"/>
      <c r="J201" s="83"/>
      <c r="K201" s="83"/>
      <c r="L201" s="85"/>
      <c r="M201" s="85"/>
      <c r="N201" s="85"/>
      <c r="O201" s="85"/>
      <c r="P201" s="85"/>
    </row>
    <row r="202" spans="1:25" ht="12.75" customHeight="1" x14ac:dyDescent="0.2">
      <c r="A202" s="83"/>
      <c r="B202" s="345" t="s">
        <v>15</v>
      </c>
      <c r="C202" s="228" t="s">
        <v>152</v>
      </c>
      <c r="D202" s="228" t="s">
        <v>67</v>
      </c>
      <c r="E202" s="228" t="s">
        <v>157</v>
      </c>
      <c r="F202" s="162"/>
      <c r="I202" s="83"/>
      <c r="J202" s="83"/>
      <c r="K202" s="83"/>
      <c r="L202" s="85"/>
      <c r="M202" s="85"/>
      <c r="N202" s="85"/>
      <c r="O202" s="85"/>
      <c r="P202" s="85"/>
    </row>
    <row r="203" spans="1:25" ht="12.75" customHeight="1" x14ac:dyDescent="0.2">
      <c r="A203" s="83"/>
      <c r="B203" s="346"/>
      <c r="C203" s="229" t="s">
        <v>114</v>
      </c>
      <c r="D203" s="229" t="s">
        <v>114</v>
      </c>
      <c r="E203" s="229" t="s">
        <v>114</v>
      </c>
      <c r="F203" s="162"/>
      <c r="I203" s="83"/>
      <c r="J203" s="83"/>
      <c r="K203" s="83"/>
      <c r="L203" s="85"/>
      <c r="M203" s="85"/>
      <c r="N203" s="85"/>
      <c r="O203" s="85"/>
      <c r="P203" s="85"/>
    </row>
    <row r="204" spans="1:25" ht="12.75" customHeight="1" x14ac:dyDescent="0.2">
      <c r="A204" s="83"/>
      <c r="B204" s="97" t="s">
        <v>81</v>
      </c>
      <c r="C204" s="266">
        <f>Autocallable!V3/0.74</f>
        <v>7.7142128555351103E-2</v>
      </c>
      <c r="D204" s="266">
        <f>Autocallable!W3/0.74</f>
        <v>7.8356320188477852E-2</v>
      </c>
      <c r="E204" s="153">
        <f>Autocallable!X3/0.74</f>
        <v>7.8313557066109762E-2</v>
      </c>
      <c r="F204" s="162"/>
      <c r="I204" s="83"/>
      <c r="J204" s="83"/>
      <c r="K204" s="83"/>
      <c r="L204" s="379" t="s">
        <v>444</v>
      </c>
      <c r="M204" s="379"/>
      <c r="O204" s="379" t="s">
        <v>445</v>
      </c>
      <c r="P204" s="379"/>
      <c r="R204" s="379" t="s">
        <v>446</v>
      </c>
      <c r="S204" s="379"/>
      <c r="U204" s="379" t="s">
        <v>447</v>
      </c>
      <c r="V204" s="379"/>
      <c r="X204" s="379" t="s">
        <v>448</v>
      </c>
      <c r="Y204" s="379"/>
    </row>
    <row r="205" spans="1:25" ht="12.75" customHeight="1" x14ac:dyDescent="0.2">
      <c r="A205" s="83"/>
      <c r="B205" s="97" t="s">
        <v>16</v>
      </c>
      <c r="C205" s="153">
        <f>Autocallable!V4/0.74</f>
        <v>7.7115732522684763E-2</v>
      </c>
      <c r="D205" s="153">
        <f>Autocallable!W4/0.74</f>
        <v>7.8159625621503831E-2</v>
      </c>
      <c r="E205" s="153">
        <f>Autocallable!X4/0.74</f>
        <v>7.7747760615335323E-2</v>
      </c>
      <c r="F205" s="162"/>
      <c r="I205" s="83"/>
      <c r="J205" s="83"/>
      <c r="K205" s="83"/>
      <c r="L205" s="208" t="s">
        <v>47</v>
      </c>
      <c r="M205" s="218" t="str">
        <f>Autocallable!A3</f>
        <v>IT0005086886</v>
      </c>
      <c r="O205" s="208" t="s">
        <v>47</v>
      </c>
      <c r="P205" s="218" t="str">
        <f>Autocallable!A21</f>
        <v>IT0005216491</v>
      </c>
      <c r="R205" s="208" t="s">
        <v>47</v>
      </c>
      <c r="S205" s="218" t="str">
        <f>Autocallable!A36</f>
        <v>IT0004966401</v>
      </c>
      <c r="U205" s="208" t="s">
        <v>47</v>
      </c>
      <c r="V205" s="218" t="str">
        <f>Autocallable!A50</f>
        <v>IT0005142143</v>
      </c>
      <c r="X205" s="208" t="s">
        <v>47</v>
      </c>
      <c r="Y205" s="218" t="str">
        <f>Autocallable!A64</f>
        <v>IT0005107708</v>
      </c>
    </row>
    <row r="206" spans="1:25" ht="12.75" customHeight="1" x14ac:dyDescent="0.2">
      <c r="A206" s="83"/>
      <c r="B206" s="97" t="s">
        <v>17</v>
      </c>
      <c r="C206" s="153">
        <f>Autocallable!V5/0.74</f>
        <v>5.062952544998367E-2</v>
      </c>
      <c r="D206" s="153">
        <f>Autocallable!W5/0.74</f>
        <v>5.5264016214915189E-2</v>
      </c>
      <c r="E206" s="153">
        <f>Autocallable!X5/0.74</f>
        <v>4.8140082473644909E-2</v>
      </c>
      <c r="F206" s="163"/>
      <c r="I206" s="83"/>
      <c r="J206" s="83"/>
      <c r="K206" s="83"/>
      <c r="L206" s="121" t="s">
        <v>106</v>
      </c>
      <c r="M206" s="219">
        <f>IF(OR(WEEKDAY(Dati_G!B2)=4,WEEKDAY(Dati_G!B2)=5,WEEKDAY(Dati_G!B2)=6),Dati_G!B2+5,Dati_G!B2+3)</f>
        <v>43545</v>
      </c>
      <c r="O206" s="121" t="s">
        <v>106</v>
      </c>
      <c r="P206" s="219">
        <f>IF(OR(WEEKDAY(Dati_G!B2)=4,WEEKDAY(Dati_G!B2)=5,WEEKDAY(Dati_G!B2)=6),Dati_G!B2+5,Dati_G!B2+3)</f>
        <v>43545</v>
      </c>
      <c r="R206" s="121" t="s">
        <v>106</v>
      </c>
      <c r="S206" s="219">
        <f>IF(OR(WEEKDAY(Dati_G!B2)=4,WEEKDAY(Dati_G!B2)=5,WEEKDAY(Dati_G!B2)=6),Dati_G!B2+5,Dati_G!B2+3)</f>
        <v>43545</v>
      </c>
      <c r="U206" s="121" t="s">
        <v>106</v>
      </c>
      <c r="V206" s="219">
        <f>IF(OR(WEEKDAY(Dati_G!B2)=4,WEEKDAY(Dati_G!B2)=5,WEEKDAY(Dati_G!B2)=6),Dati_G!B2+5,Dati_G!B2+3)</f>
        <v>43545</v>
      </c>
      <c r="X206" s="121" t="s">
        <v>106</v>
      </c>
      <c r="Y206" s="219">
        <f>IF(OR(WEEKDAY(Dati_G!B2)=4,WEEKDAY(Dati_G!B2)=5,WEEKDAY(Dati_G!B2)=6),Dati_G!B2+5,Dati_G!B2+3)</f>
        <v>43545</v>
      </c>
    </row>
    <row r="207" spans="1:25" ht="12.75" customHeight="1" x14ac:dyDescent="0.2">
      <c r="A207" s="83"/>
      <c r="B207" s="96" t="s">
        <v>24</v>
      </c>
      <c r="C207" s="154">
        <f>Autocallable!V6</f>
        <v>1</v>
      </c>
      <c r="D207" s="154">
        <f>Autocallable!W6</f>
        <v>1</v>
      </c>
      <c r="E207" s="154">
        <f>Autocallable!X6</f>
        <v>1</v>
      </c>
      <c r="F207" s="152" t="s">
        <v>77</v>
      </c>
      <c r="I207" s="83"/>
      <c r="J207" s="83"/>
      <c r="K207" s="83"/>
      <c r="L207" s="209" t="s">
        <v>107</v>
      </c>
      <c r="M207" s="210">
        <v>101.476</v>
      </c>
      <c r="O207" s="209" t="s">
        <v>107</v>
      </c>
      <c r="P207" s="210">
        <v>99.391999999999996</v>
      </c>
      <c r="Q207" s="84"/>
      <c r="R207" s="209" t="s">
        <v>107</v>
      </c>
      <c r="S207" s="210">
        <v>107.003</v>
      </c>
      <c r="U207" s="209" t="s">
        <v>107</v>
      </c>
      <c r="V207" s="210">
        <v>100.788</v>
      </c>
      <c r="X207" s="209" t="s">
        <v>107</v>
      </c>
      <c r="Y207" s="210">
        <v>100.732</v>
      </c>
    </row>
    <row r="208" spans="1:25" ht="12.75" customHeight="1" x14ac:dyDescent="0.2">
      <c r="A208" s="83"/>
      <c r="B208" s="96" t="s">
        <v>142</v>
      </c>
      <c r="C208" s="154">
        <f>Autocallable!V7</f>
        <v>0.503</v>
      </c>
      <c r="D208" s="154">
        <f>Autocallable!W7</f>
        <v>5.8700000000000002E-2</v>
      </c>
      <c r="E208" s="154">
        <f>Autocallable!X7</f>
        <v>4.2799999999999998E-2</v>
      </c>
      <c r="F208" s="230">
        <f>Autocallable!BA6</f>
        <v>0.86680000000000001</v>
      </c>
      <c r="I208" s="83"/>
      <c r="J208" s="83"/>
      <c r="K208" s="83"/>
      <c r="L208" s="209" t="s">
        <v>108</v>
      </c>
      <c r="M208" s="211">
        <v>8.6E-3</v>
      </c>
      <c r="O208" s="209" t="s">
        <v>108</v>
      </c>
      <c r="P208" s="211">
        <v>5.7999999999999996E-3</v>
      </c>
      <c r="Q208" s="84"/>
      <c r="R208" s="209" t="s">
        <v>108</v>
      </c>
      <c r="S208" s="211">
        <v>4.1999999999999997E-3</v>
      </c>
      <c r="U208" s="209" t="s">
        <v>108</v>
      </c>
      <c r="V208" s="211">
        <v>1.6000000000000001E-3</v>
      </c>
      <c r="X208" s="209" t="s">
        <v>108</v>
      </c>
      <c r="Y208" s="211">
        <v>4.0000000000000002E-4</v>
      </c>
    </row>
    <row r="209" spans="1:25" ht="12.75" customHeight="1" x14ac:dyDescent="0.2">
      <c r="A209" s="83"/>
      <c r="B209" s="187"/>
      <c r="C209" s="187"/>
      <c r="D209" s="187"/>
      <c r="E209" s="187"/>
      <c r="G209" s="251"/>
      <c r="I209" s="83"/>
      <c r="J209" s="83"/>
      <c r="K209" s="83"/>
      <c r="L209" s="212" t="s">
        <v>109</v>
      </c>
      <c r="M209" s="213">
        <v>8.6036499999999991E-3</v>
      </c>
      <c r="O209" s="212" t="s">
        <v>109</v>
      </c>
      <c r="P209" s="213">
        <v>5.8561200000000002E-3</v>
      </c>
      <c r="Q209" s="84"/>
      <c r="R209" s="212" t="s">
        <v>109</v>
      </c>
      <c r="S209" s="213">
        <v>4.1722699999999996E-3</v>
      </c>
      <c r="U209" s="212" t="s">
        <v>109</v>
      </c>
      <c r="V209" s="213">
        <v>1.6049199999999999E-3</v>
      </c>
      <c r="X209" s="212" t="s">
        <v>109</v>
      </c>
      <c r="Y209" s="213">
        <v>4.1938000000000001E-4</v>
      </c>
    </row>
    <row r="210" spans="1:25" ht="12.75" customHeight="1" x14ac:dyDescent="0.2">
      <c r="A210" s="83"/>
      <c r="B210" s="340" t="str">
        <f>CONCATENATE("Dati al ",TEXT(Dati_G!B2,"gg/mm/aaaa")," (Fonte Sole24Ore):")</f>
        <v>Dati al 18/03/2019 (Fonte Sole24Ore):</v>
      </c>
      <c r="C210" s="340"/>
      <c r="D210" s="340"/>
      <c r="E210" s="340"/>
      <c r="F210" s="340"/>
      <c r="G210" s="340"/>
      <c r="I210" s="83"/>
      <c r="J210" s="83"/>
      <c r="K210" s="83"/>
      <c r="L210" s="214" t="s">
        <v>110</v>
      </c>
      <c r="M210" s="215">
        <v>6.9300999999999998E-3</v>
      </c>
      <c r="N210" s="146"/>
      <c r="O210" s="214" t="s">
        <v>110</v>
      </c>
      <c r="P210" s="215">
        <v>5.4158299999999999E-3</v>
      </c>
      <c r="Q210" s="146"/>
      <c r="R210" s="214" t="s">
        <v>110</v>
      </c>
      <c r="S210" s="215">
        <v>-3.1140999999999997E-4</v>
      </c>
      <c r="U210" s="214" t="s">
        <v>110</v>
      </c>
      <c r="V210" s="215">
        <v>7.9757000000000005E-4</v>
      </c>
      <c r="X210" s="214" t="s">
        <v>110</v>
      </c>
      <c r="Y210" s="215">
        <v>-4.4456999999999998E-4</v>
      </c>
    </row>
    <row r="211" spans="1:25" ht="12.75" customHeight="1" x14ac:dyDescent="0.2">
      <c r="A211" s="83"/>
      <c r="B211" s="340" t="str">
        <f>CONCATENATE("(",LEFT(Autocallable!A3,12),") Btp ",TEXT(Autocallable!E3,"0,00%")," ",TEXT(Autocallable!D3,"mm/aa"),", ",M207,", Rend ",TEXT(M208,"0,00%")," (",TEXT(M210,"0,00%")," Tax Free); Rend +50bp UF ",TEXT(M212,"0,00%")," (",TEXT(M213,"0,00%")," Tax Free)")</f>
        <v>(IT0005086886) Btp 1,35% 04/22, 101,476, Rend 0,86% (0,69% Tax Free); Rend +50bp UF 0,70% (0,53% Tax Free)</v>
      </c>
      <c r="C211" s="340"/>
      <c r="D211" s="340"/>
      <c r="E211" s="340"/>
      <c r="F211" s="340"/>
      <c r="G211" s="340"/>
      <c r="H211" s="340"/>
      <c r="J211" s="83"/>
      <c r="K211" s="83"/>
      <c r="L211" s="121" t="s">
        <v>111</v>
      </c>
      <c r="M211" s="216">
        <f>M207+0.5</f>
        <v>101.976</v>
      </c>
      <c r="N211" s="146"/>
      <c r="O211" s="121" t="s">
        <v>111</v>
      </c>
      <c r="P211" s="216">
        <f>P207+0.5</f>
        <v>99.891999999999996</v>
      </c>
      <c r="Q211" s="146"/>
      <c r="R211" s="121" t="s">
        <v>111</v>
      </c>
      <c r="S211" s="216">
        <f>S207+0.5</f>
        <v>107.503</v>
      </c>
      <c r="U211" s="121" t="s">
        <v>111</v>
      </c>
      <c r="V211" s="216">
        <f>V207+0.5</f>
        <v>101.288</v>
      </c>
      <c r="X211" s="121" t="s">
        <v>111</v>
      </c>
      <c r="Y211" s="216">
        <f>Y207+0.5</f>
        <v>101.232</v>
      </c>
    </row>
    <row r="212" spans="1:25" ht="12.75" customHeight="1" x14ac:dyDescent="0.2">
      <c r="A212" s="83"/>
      <c r="B212" s="340" t="str">
        <f>CONCATENATE("(",LEFT(Autocallable!A36,12),") Btp ",TEXT(Autocallable!E36,"0,00%")," ",TEXT(Autocallable!D36,"mm/aa"),", ",P207,", Rend ",TEXT(P208,"0,00%")," (",TEXT(P210,"0,00%")," Tax Free); Rend +50bp UF ",TEXT(P212,"0,00%")," (",TEXT(P213,"0,00%")," Tax Free)")</f>
        <v>(IT0004966401) Btp 3,75% 05/21, 99,392, Rend 0,58% (0,54% Tax Free); Rend +50bp UF 0,39% (0,35% Tax Free)</v>
      </c>
      <c r="C212" s="340"/>
      <c r="D212" s="340"/>
      <c r="E212" s="340"/>
      <c r="F212" s="340"/>
      <c r="G212" s="340"/>
      <c r="H212" s="340"/>
      <c r="I212" s="83"/>
      <c r="J212" s="83"/>
      <c r="K212" s="83"/>
      <c r="L212" s="212" t="s">
        <v>109</v>
      </c>
      <c r="M212" s="213">
        <v>6.9675600000000002E-3</v>
      </c>
      <c r="O212" s="212" t="s">
        <v>109</v>
      </c>
      <c r="P212" s="213">
        <v>3.9194599999999996E-3</v>
      </c>
      <c r="Q212" s="84"/>
      <c r="R212" s="212" t="s">
        <v>109</v>
      </c>
      <c r="S212" s="213">
        <v>1.9023E-3</v>
      </c>
      <c r="U212" s="212" t="s">
        <v>109</v>
      </c>
      <c r="V212" s="213">
        <v>-1.46821E-3</v>
      </c>
      <c r="X212" s="212" t="s">
        <v>109</v>
      </c>
      <c r="Y212" s="213">
        <v>-3.9968699999999996E-3</v>
      </c>
    </row>
    <row r="213" spans="1:25" ht="12.75" customHeight="1" x14ac:dyDescent="0.2">
      <c r="A213" s="83"/>
      <c r="B213" s="340" t="str">
        <f>CONCATENATE("(",LEFT(Autocallable!A21,12),") Btp ",TEXT(Autocallable!E21,"0,00%")," ",TEXT(Autocallable!D21,"mm/aa"),", ",S207,", Rend ",TEXT(S208,"0,00%")," (",TEXT(S210,"0,00%")," Tax Free); Rend +50bp UF ",TEXT(S212,"0,00%")," (",TEXT(S213,"0,00%")," Tax Free)")</f>
        <v>(IT0005216491) Btp 0,35% 11/21, 107,003, Rend 0,42% (-0,03% Tax Free); Rend +50bp UF 0,19% (-0,26% Tax Free)</v>
      </c>
      <c r="C213" s="340"/>
      <c r="D213" s="340"/>
      <c r="E213" s="340"/>
      <c r="F213" s="340"/>
      <c r="G213" s="340"/>
      <c r="H213" s="340"/>
      <c r="I213" s="83"/>
      <c r="J213" s="83"/>
      <c r="K213" s="83"/>
      <c r="L213" s="214" t="s">
        <v>110</v>
      </c>
      <c r="M213" s="215">
        <v>5.3001699999999999E-3</v>
      </c>
      <c r="O213" s="214" t="s">
        <v>110</v>
      </c>
      <c r="P213" s="215">
        <v>3.4809099999999998E-3</v>
      </c>
      <c r="Q213" s="84"/>
      <c r="R213" s="214" t="s">
        <v>110</v>
      </c>
      <c r="S213" s="215">
        <v>-2.56346E-3</v>
      </c>
      <c r="U213" s="214" t="s">
        <v>110</v>
      </c>
      <c r="V213" s="215">
        <v>-2.2717599999999998E-3</v>
      </c>
      <c r="X213" s="214" t="s">
        <v>110</v>
      </c>
      <c r="Y213" s="215">
        <v>-4.8558999999999998E-3</v>
      </c>
    </row>
    <row r="214" spans="1:25" ht="12.75" customHeight="1" x14ac:dyDescent="0.2">
      <c r="A214" s="83"/>
      <c r="C214" s="118"/>
      <c r="D214" s="118"/>
      <c r="E214" s="118"/>
      <c r="F214" s="118"/>
      <c r="G214" s="118"/>
      <c r="H214" s="83" t="s">
        <v>80</v>
      </c>
      <c r="I214" s="83"/>
      <c r="J214" s="83"/>
      <c r="K214" s="83"/>
      <c r="L214" s="85"/>
      <c r="M214" s="85"/>
      <c r="N214" s="85"/>
      <c r="O214" s="85"/>
      <c r="P214" s="85"/>
    </row>
    <row r="215" spans="1:25" ht="12.75" customHeight="1" x14ac:dyDescent="0.2">
      <c r="A215" s="83"/>
      <c r="B215" s="118"/>
      <c r="C215" s="118"/>
      <c r="D215" s="118"/>
      <c r="E215" s="118"/>
      <c r="F215" s="99"/>
      <c r="G215" s="83"/>
      <c r="H215" s="345" t="s">
        <v>139</v>
      </c>
      <c r="I215" s="228" t="s">
        <v>157</v>
      </c>
      <c r="J215" s="83"/>
      <c r="K215" s="83"/>
    </row>
    <row r="216" spans="1:25" ht="12.75" customHeight="1" x14ac:dyDescent="0.2">
      <c r="A216" s="83"/>
      <c r="B216" s="118"/>
      <c r="C216" s="118"/>
      <c r="D216" s="118"/>
      <c r="E216" s="118"/>
      <c r="F216" s="99"/>
      <c r="G216" s="83"/>
      <c r="H216" s="346"/>
      <c r="I216" s="229" t="s">
        <v>114</v>
      </c>
      <c r="J216" s="83"/>
      <c r="K216" s="83"/>
    </row>
    <row r="217" spans="1:25" ht="12.75" customHeight="1" x14ac:dyDescent="0.2">
      <c r="A217" s="83"/>
      <c r="B217" s="118"/>
      <c r="C217" s="118"/>
      <c r="D217" s="118"/>
      <c r="E217" s="118"/>
      <c r="F217" s="99"/>
      <c r="G217" s="83"/>
      <c r="H217" s="159">
        <v>0.01</v>
      </c>
      <c r="I217" s="98">
        <f>Autocallable!X13/0.74</f>
        <v>5.8219385452649819E-2</v>
      </c>
      <c r="J217" s="83"/>
      <c r="K217" s="83"/>
      <c r="L217" s="280"/>
      <c r="M217" s="280"/>
      <c r="N217" s="280"/>
      <c r="O217" s="280"/>
    </row>
    <row r="218" spans="1:25" ht="12.75" customHeight="1" x14ac:dyDescent="0.2">
      <c r="A218" s="83"/>
      <c r="B218" s="118"/>
      <c r="C218" s="118"/>
      <c r="D218" s="118"/>
      <c r="E218" s="118"/>
      <c r="F218" s="99"/>
      <c r="G218" s="83"/>
      <c r="H218" s="159">
        <v>0.05</v>
      </c>
      <c r="I218" s="98">
        <f>Autocallable!X14/0.74</f>
        <v>7.8313557066109762E-2</v>
      </c>
      <c r="J218" s="83"/>
      <c r="K218" s="83"/>
    </row>
    <row r="219" spans="1:25" ht="12.75" customHeight="1" x14ac:dyDescent="0.2">
      <c r="A219" s="83"/>
      <c r="B219" s="118"/>
      <c r="C219" s="118"/>
      <c r="D219" s="118"/>
      <c r="E219" s="118"/>
      <c r="F219" s="99"/>
      <c r="G219" s="83"/>
      <c r="H219" s="159">
        <v>0.25</v>
      </c>
      <c r="I219" s="98">
        <f>Autocallable!X15/0.74</f>
        <v>7.8313557066109762E-2</v>
      </c>
      <c r="J219" s="83"/>
      <c r="K219" s="83"/>
    </row>
    <row r="220" spans="1:25" ht="12.75" customHeight="1" x14ac:dyDescent="0.2">
      <c r="A220" s="83"/>
      <c r="B220" s="118"/>
      <c r="C220" s="118"/>
      <c r="D220" s="118"/>
      <c r="E220" s="118"/>
      <c r="F220" s="99"/>
      <c r="G220" s="83"/>
      <c r="H220" s="159">
        <v>0.5</v>
      </c>
      <c r="I220" s="98">
        <f>Autocallable!X16/0.74</f>
        <v>7.8313557066109762E-2</v>
      </c>
      <c r="J220" s="83"/>
      <c r="K220" s="83"/>
    </row>
    <row r="221" spans="1:25" ht="12.75" customHeight="1" x14ac:dyDescent="0.2">
      <c r="A221" s="83"/>
      <c r="B221" s="118"/>
      <c r="C221" s="118"/>
      <c r="D221" s="118"/>
      <c r="E221" s="118"/>
      <c r="F221" s="99"/>
      <c r="G221" s="83"/>
      <c r="H221" s="159">
        <v>0.75</v>
      </c>
      <c r="I221" s="98">
        <f>Autocallable!X17/0.74</f>
        <v>7.8313557066109762E-2</v>
      </c>
      <c r="J221" s="83"/>
      <c r="K221" s="83"/>
    </row>
    <row r="222" spans="1:25" ht="12.75" customHeight="1" x14ac:dyDescent="0.2">
      <c r="A222" s="83"/>
      <c r="B222" s="118"/>
      <c r="C222" s="118"/>
      <c r="D222" s="118"/>
      <c r="E222" s="118"/>
      <c r="F222" s="99"/>
      <c r="G222" s="83"/>
      <c r="H222" s="159">
        <v>0.95</v>
      </c>
      <c r="I222" s="98">
        <f>Autocallable!X18/0.74</f>
        <v>7.8313557066109762E-2</v>
      </c>
      <c r="J222" s="83"/>
      <c r="K222" s="83"/>
    </row>
    <row r="223" spans="1:25" ht="12.75" customHeight="1" x14ac:dyDescent="0.2">
      <c r="A223" s="83"/>
      <c r="B223" s="118"/>
      <c r="C223" s="118"/>
      <c r="D223" s="118"/>
      <c r="E223" s="118"/>
      <c r="F223" s="99"/>
      <c r="G223" s="83"/>
      <c r="H223" s="160">
        <v>0.99</v>
      </c>
      <c r="I223" s="161">
        <f>Autocallable!X19/0.74</f>
        <v>7.8313557066109762E-2</v>
      </c>
      <c r="J223" s="83"/>
      <c r="K223" s="83"/>
    </row>
    <row r="224" spans="1:25" ht="12.75" customHeight="1" x14ac:dyDescent="0.2">
      <c r="A224" s="83"/>
      <c r="B224" s="118"/>
      <c r="C224" s="118"/>
      <c r="D224" s="118"/>
      <c r="E224" s="118"/>
      <c r="F224" s="99"/>
      <c r="G224" s="83"/>
      <c r="H224" s="80" t="str">
        <f>CONCATENATE("Dati DRM al ",TEXT(Dati_G!B2,"gg/mm/aaaa"),", MID end of day")</f>
        <v>Dati DRM al 18/03/2019, MID end of day</v>
      </c>
      <c r="I224" s="83"/>
      <c r="J224" s="83"/>
      <c r="K224" s="83"/>
    </row>
    <row r="225" spans="1:13" ht="12.75" customHeight="1" x14ac:dyDescent="0.2">
      <c r="A225" s="83"/>
      <c r="B225" s="118"/>
      <c r="C225" s="118"/>
      <c r="D225" s="118"/>
      <c r="E225" s="118"/>
      <c r="F225" s="99"/>
      <c r="G225" s="351" t="str">
        <f>CONCATENATE("Il rendimento al netto della fiscalità stimato sul rendimento mediano a ciascuna data di rimborso anticipato è pari a ",TEXT(Autocallable!V9,"0,00%"),", ",TEXT(Autocallable!W9,"0,00%")," e ",TEXT(Autocallable!X9,"0,00%"),".")</f>
        <v>Il rendimento al netto della fiscalità stimato sul rendimento mediano a ciascuna data di rimborso anticipato è pari a 5,71%, 5,80% e 5,80%.</v>
      </c>
      <c r="H225" s="351"/>
      <c r="I225" s="351"/>
      <c r="J225" s="351"/>
      <c r="K225" s="83"/>
    </row>
    <row r="226" spans="1:13" ht="12.75" customHeight="1" x14ac:dyDescent="0.2">
      <c r="A226" s="83"/>
      <c r="B226" s="118"/>
      <c r="C226" s="118"/>
      <c r="D226" s="118"/>
      <c r="E226" s="118"/>
      <c r="F226" s="99"/>
      <c r="G226" s="351"/>
      <c r="H226" s="351"/>
      <c r="I226" s="351"/>
      <c r="J226" s="351"/>
      <c r="K226" s="83"/>
      <c r="L226" s="145"/>
      <c r="M226" s="146"/>
    </row>
    <row r="227" spans="1:13" ht="12.75" customHeight="1" x14ac:dyDescent="0.2">
      <c r="A227" s="83"/>
      <c r="B227" s="118"/>
      <c r="C227" s="118"/>
      <c r="D227" s="118"/>
      <c r="E227" s="118"/>
      <c r="F227" s="99"/>
      <c r="G227" s="351"/>
      <c r="H227" s="351"/>
      <c r="I227" s="351"/>
      <c r="J227" s="351"/>
      <c r="K227" s="83"/>
      <c r="L227" s="145"/>
      <c r="M227" s="146"/>
    </row>
    <row r="228" spans="1:13" ht="12.75" customHeight="1" x14ac:dyDescent="0.2">
      <c r="A228" s="83"/>
      <c r="B228" s="83"/>
      <c r="C228" s="83"/>
      <c r="D228" s="83"/>
      <c r="E228" s="83"/>
      <c r="F228" s="83"/>
      <c r="G228" s="343" t="str">
        <f>CONCATENATE("Probabilità a scadenza, TIR &lt; 0: ",TEXT(L228,"0,00%"))</f>
        <v>Probabilità a scadenza, TIR &lt; 0: 0,00%</v>
      </c>
      <c r="H228" s="343"/>
      <c r="I228" s="343"/>
      <c r="J228" s="343"/>
      <c r="K228" s="83"/>
      <c r="L228" s="200">
        <f>Autocallable!X8</f>
        <v>0</v>
      </c>
    </row>
    <row r="229" spans="1:13" ht="12.75" customHeight="1" x14ac:dyDescent="0.2">
      <c r="A229" s="83"/>
      <c r="B229" s="83"/>
      <c r="C229" s="83"/>
      <c r="D229" s="83"/>
      <c r="E229" s="83"/>
      <c r="F229" s="83"/>
      <c r="G229" s="343" t="e">
        <f>CONCATENATE("TIR Perdita Minima a scadenza,Yes Barrier*: ",TEXT(L229,"0,00%"))</f>
        <v>#REF!</v>
      </c>
      <c r="H229" s="343"/>
      <c r="I229" s="343"/>
      <c r="J229" s="343"/>
      <c r="K229" s="83"/>
      <c r="L229" s="200" t="e">
        <f>Autocallable!#REF!</f>
        <v>#REF!</v>
      </c>
    </row>
    <row r="230" spans="1:13" ht="12.75" customHeight="1" x14ac:dyDescent="0.2">
      <c r="A230" s="83"/>
      <c r="B230" s="83"/>
      <c r="C230" s="83"/>
      <c r="D230" s="83"/>
      <c r="E230" s="83"/>
      <c r="F230" s="83"/>
      <c r="G230" s="343" t="str">
        <f>CONCATENATE("Probabilità Valore Riferimento Finale &lt; ",TEXT(L7,"0%"),"**: ",TEXT(L230,"0,00%"))</f>
        <v>Probabilità Valore Riferimento Finale &lt; 70%**: 13,31%</v>
      </c>
      <c r="H230" s="343"/>
      <c r="I230" s="343"/>
      <c r="J230" s="343"/>
      <c r="K230" s="83"/>
      <c r="L230" s="200">
        <f>Autocallable!BA7</f>
        <v>0.1331</v>
      </c>
    </row>
    <row r="231" spans="1:13" ht="12.75" customHeight="1" x14ac:dyDescent="0.2">
      <c r="A231" s="83"/>
      <c r="B231" s="343" t="str">
        <f>CONCATENATE("* Ipotesi di TIR annuale relativa al caso in cui si incassa la cedola fissa al primo anno ed una perdita a scadenza dell'Indice del ",TEXT(1-L164,"0%"),".")</f>
        <v>* Ipotesi di TIR annuale relativa al caso in cui si incassa la cedola fissa al primo anno ed una perdita a scadenza dell'Indice del 30%.</v>
      </c>
      <c r="C231" s="343"/>
      <c r="D231" s="343"/>
      <c r="E231" s="343"/>
      <c r="F231" s="343"/>
      <c r="G231" s="343"/>
      <c r="H231" s="343"/>
      <c r="I231" s="343"/>
      <c r="J231" s="343"/>
      <c r="K231" s="83"/>
      <c r="L231" s="206"/>
    </row>
    <row r="232" spans="1:13" ht="12.75" customHeight="1" x14ac:dyDescent="0.2">
      <c r="A232" s="83"/>
      <c r="B232" s="351" t="str">
        <f>CONCATENATE("** E' calcolata sul totale degli scenari simulati. Se si considerano i soli scenari in cui il prodotto non viene rimborsato anticipatamente (",TEXT(E208,"0,00%"),"), la probabilità sale al ",TEXT(L230/E208,"0,00%"),".")</f>
        <v>** E' calcolata sul totale degli scenari simulati. Se si considerano i soli scenari in cui il prodotto non viene rimborsato anticipatamente (4,28%), la probabilità sale al 310,98%.</v>
      </c>
      <c r="C232" s="351"/>
      <c r="D232" s="351"/>
      <c r="E232" s="351"/>
      <c r="F232" s="351"/>
      <c r="G232" s="351"/>
      <c r="H232" s="351"/>
      <c r="I232" s="351"/>
      <c r="J232" s="351"/>
      <c r="K232" s="83"/>
      <c r="L232" s="206"/>
    </row>
    <row r="233" spans="1:13" ht="12.75" customHeight="1" x14ac:dyDescent="0.2">
      <c r="A233" s="83"/>
      <c r="B233" s="351"/>
      <c r="C233" s="351"/>
      <c r="D233" s="351"/>
      <c r="E233" s="351"/>
      <c r="F233" s="351"/>
      <c r="G233" s="351"/>
      <c r="H233" s="351"/>
      <c r="I233" s="351"/>
      <c r="J233" s="351"/>
      <c r="K233" s="83"/>
      <c r="L233" s="206"/>
    </row>
    <row r="234" spans="1:13" ht="12.75" customHeight="1" x14ac:dyDescent="0.2">
      <c r="A234" s="83"/>
      <c r="B234" s="342" t="str">
        <f>CONCATENATE("La tabella 1 indica la probabilità di battere i BTP (uno per ogni data di rimborso anticipato) condizionatamente al fatto che sia avvenuto l'evento di rimborso anticipato.")</f>
        <v>La tabella 1 indica la probabilità di battere i BTP (uno per ogni data di rimborso anticipato) condizionatamente al fatto che sia avvenuto l'evento di rimborso anticipato.</v>
      </c>
      <c r="C234" s="342"/>
      <c r="D234" s="342"/>
      <c r="E234" s="342"/>
      <c r="F234" s="342"/>
      <c r="G234" s="342"/>
      <c r="H234" s="342"/>
      <c r="I234" s="342"/>
      <c r="J234" s="342"/>
      <c r="K234" s="83"/>
    </row>
    <row r="235" spans="1:13" ht="12.75" customHeight="1" x14ac:dyDescent="0.2">
      <c r="A235" s="83"/>
      <c r="B235" s="342"/>
      <c r="C235" s="342"/>
      <c r="D235" s="342"/>
      <c r="E235" s="342"/>
      <c r="F235" s="342"/>
      <c r="G235" s="342"/>
      <c r="H235" s="342"/>
      <c r="I235" s="342"/>
      <c r="J235" s="342"/>
      <c r="K235" s="83"/>
    </row>
    <row r="236" spans="1:13" ht="12.75" customHeight="1" x14ac:dyDescent="0.2">
      <c r="A236" s="83"/>
      <c r="B236" s="341" t="str">
        <f>CONCATENATE("D'altra parte, al fine di avere un’informazione sintetica di probabilità sulla scadenza del prodotto, che si riconduca all'approccio attualmente in vigore, si può considerare in via approssimativa il valore medio di ",TEXT(F208,"0,00%"),", ottenuto ponderando le singole probabilità annuali di battere il corrispondente BTP, per la probabilità dell'evento di rimborso anticipato.")</f>
        <v>D'altra parte, al fine di avere un’informazione sintetica di probabilità sulla scadenza del prodotto, che si riconduca all'approccio attualmente in vigore, si può considerare in via approssimativa il valore medio di 86,68%, ottenuto ponderando le singole probabilità annuali di battere il corrispondente BTP, per la probabilità dell'evento di rimborso anticipato.</v>
      </c>
      <c r="C236" s="341"/>
      <c r="D236" s="341"/>
      <c r="E236" s="341"/>
      <c r="F236" s="341"/>
      <c r="G236" s="341"/>
      <c r="H236" s="341"/>
      <c r="I236" s="341"/>
      <c r="J236" s="341"/>
      <c r="K236" s="83"/>
    </row>
    <row r="237" spans="1:13" ht="12.75" customHeight="1" x14ac:dyDescent="0.2">
      <c r="A237" s="83"/>
      <c r="B237" s="341"/>
      <c r="C237" s="341"/>
      <c r="D237" s="341"/>
      <c r="E237" s="341"/>
      <c r="F237" s="341"/>
      <c r="G237" s="341"/>
      <c r="H237" s="341"/>
      <c r="I237" s="341"/>
      <c r="J237" s="341"/>
      <c r="K237" s="83"/>
    </row>
    <row r="238" spans="1:13" ht="12.75" customHeight="1" x14ac:dyDescent="0.2">
      <c r="A238" s="83"/>
      <c r="B238" s="341"/>
      <c r="C238" s="341"/>
      <c r="D238" s="341"/>
      <c r="E238" s="341"/>
      <c r="F238" s="341"/>
      <c r="G238" s="341"/>
      <c r="H238" s="341"/>
      <c r="I238" s="341"/>
      <c r="J238" s="341"/>
      <c r="K238" s="83"/>
    </row>
    <row r="239" spans="1:13" ht="12.75" customHeight="1" x14ac:dyDescent="0.2">
      <c r="A239" s="83"/>
      <c r="B239" s="341"/>
      <c r="C239" s="341"/>
      <c r="D239" s="341"/>
      <c r="E239" s="341"/>
      <c r="F239" s="341"/>
      <c r="G239" s="341"/>
      <c r="H239" s="341"/>
      <c r="I239" s="341"/>
      <c r="J239" s="341"/>
      <c r="K239" s="83"/>
    </row>
    <row r="240" spans="1:13" ht="12.75" customHeight="1" x14ac:dyDescent="0.2">
      <c r="A240" s="83"/>
      <c r="B240" s="364" t="s">
        <v>69</v>
      </c>
      <c r="C240" s="364"/>
      <c r="D240" s="364"/>
      <c r="E240" s="364"/>
      <c r="F240" s="364"/>
      <c r="G240" s="364"/>
      <c r="H240" s="364"/>
      <c r="I240" s="364"/>
      <c r="J240" s="364"/>
      <c r="K240" s="83"/>
      <c r="L240" s="85"/>
      <c r="M240" s="85"/>
    </row>
    <row r="241" spans="1:15" ht="12.75" customHeight="1" x14ac:dyDescent="0.2">
      <c r="A241" s="83"/>
      <c r="B241" s="364"/>
      <c r="C241" s="364"/>
      <c r="D241" s="364"/>
      <c r="E241" s="364"/>
      <c r="F241" s="364"/>
      <c r="G241" s="364"/>
      <c r="H241" s="364"/>
      <c r="I241" s="364"/>
      <c r="J241" s="364"/>
      <c r="K241" s="83"/>
      <c r="L241" s="85"/>
      <c r="M241" s="85"/>
    </row>
    <row r="242" spans="1:15" ht="12.75" customHeight="1" x14ac:dyDescent="0.2">
      <c r="A242" s="83"/>
      <c r="B242" s="364"/>
      <c r="C242" s="364"/>
      <c r="D242" s="364"/>
      <c r="E242" s="364"/>
      <c r="F242" s="364"/>
      <c r="G242" s="364"/>
      <c r="H242" s="364"/>
      <c r="I242" s="364"/>
      <c r="J242" s="364"/>
      <c r="K242" s="83"/>
      <c r="L242" s="85"/>
      <c r="M242" s="85"/>
    </row>
    <row r="243" spans="1:15" ht="15.6" customHeight="1" x14ac:dyDescent="0.2">
      <c r="A243" s="83"/>
      <c r="B243" s="364"/>
      <c r="C243" s="364"/>
      <c r="D243" s="364"/>
      <c r="E243" s="364"/>
      <c r="F243" s="364"/>
      <c r="G243" s="364"/>
      <c r="H243" s="364"/>
      <c r="I243" s="364"/>
      <c r="J243" s="364"/>
      <c r="K243" s="83"/>
    </row>
    <row r="244" spans="1:15" ht="15.6" customHeight="1" x14ac:dyDescent="0.2">
      <c r="A244" s="83"/>
      <c r="B244" s="275"/>
      <c r="C244" s="275"/>
      <c r="D244" s="275"/>
      <c r="E244" s="275"/>
      <c r="F244" s="275"/>
      <c r="G244" s="275"/>
      <c r="H244" s="275"/>
      <c r="I244" s="275"/>
      <c r="J244" s="275"/>
      <c r="K244" s="83"/>
    </row>
    <row r="245" spans="1:15" ht="15.6" customHeight="1" x14ac:dyDescent="0.2">
      <c r="A245" s="83"/>
      <c r="B245" s="275"/>
      <c r="C245" s="275"/>
      <c r="D245" s="275"/>
      <c r="E245" s="275"/>
      <c r="F245" s="275"/>
      <c r="G245" s="275"/>
      <c r="H245" s="275"/>
      <c r="I245" s="275"/>
      <c r="J245" s="275"/>
      <c r="K245" s="83"/>
      <c r="O245" s="280"/>
    </row>
    <row r="246" spans="1:15" ht="15.6" customHeight="1" x14ac:dyDescent="0.2">
      <c r="A246" s="83"/>
      <c r="B246" s="275"/>
      <c r="C246" s="275"/>
      <c r="D246" s="275"/>
      <c r="E246" s="275"/>
      <c r="F246" s="275"/>
      <c r="G246" s="275"/>
      <c r="H246" s="275"/>
      <c r="I246" s="275"/>
      <c r="J246" s="275"/>
      <c r="K246" s="83"/>
    </row>
    <row r="247" spans="1:15" ht="12.75" customHeight="1" x14ac:dyDescent="0.2">
      <c r="A247" s="83"/>
      <c r="B247" s="275"/>
      <c r="C247" s="275"/>
      <c r="D247" s="275"/>
      <c r="E247" s="275"/>
      <c r="F247" s="275"/>
      <c r="G247" s="275"/>
      <c r="H247" s="275"/>
      <c r="I247" s="275"/>
      <c r="J247" s="275"/>
      <c r="K247" s="83"/>
    </row>
    <row r="248" spans="1:15" ht="12.75" customHeight="1" x14ac:dyDescent="0.2">
      <c r="A248" s="83"/>
      <c r="B248" s="83"/>
      <c r="C248" s="83"/>
      <c r="D248" s="83"/>
      <c r="E248" s="83"/>
      <c r="F248" s="83"/>
      <c r="G248" s="83"/>
      <c r="H248" s="83"/>
      <c r="I248" s="83"/>
      <c r="J248" s="83"/>
      <c r="K248" s="83"/>
      <c r="O248" s="114"/>
    </row>
    <row r="249" spans="1:15" ht="12.75" customHeight="1" x14ac:dyDescent="0.2">
      <c r="A249" s="83"/>
      <c r="B249" s="83"/>
      <c r="C249" s="83"/>
      <c r="D249" s="83"/>
      <c r="E249" s="83"/>
      <c r="F249" s="83"/>
      <c r="G249" s="83"/>
      <c r="H249" s="83"/>
      <c r="I249" s="83"/>
      <c r="J249" s="86">
        <f ca="1">TODAY()</f>
        <v>43549</v>
      </c>
      <c r="K249" s="83"/>
      <c r="O249" s="114"/>
    </row>
    <row r="250" spans="1:15" ht="12" customHeight="1" x14ac:dyDescent="0.2">
      <c r="A250" s="83"/>
      <c r="B250" s="83"/>
      <c r="C250" s="83"/>
      <c r="D250" s="83"/>
      <c r="E250" s="83"/>
      <c r="F250" s="83"/>
      <c r="G250" s="83"/>
      <c r="H250" s="83"/>
      <c r="I250" s="83"/>
      <c r="J250" s="83"/>
      <c r="K250" s="83"/>
      <c r="O250" s="114"/>
    </row>
    <row r="251" spans="1:15" ht="12.75" customHeight="1" x14ac:dyDescent="0.2">
      <c r="A251" s="87"/>
      <c r="B251" s="339" t="s">
        <v>168</v>
      </c>
      <c r="C251" s="339"/>
      <c r="D251" s="339"/>
      <c r="E251" s="339"/>
      <c r="F251" s="339"/>
      <c r="G251" s="339"/>
      <c r="H251" s="339"/>
      <c r="I251" s="339"/>
      <c r="J251" s="339"/>
      <c r="K251" s="87"/>
      <c r="O251" s="114"/>
    </row>
    <row r="252" spans="1:15" ht="12.75" customHeight="1" x14ac:dyDescent="0.2">
      <c r="A252" s="83"/>
      <c r="B252" s="207"/>
      <c r="C252" s="207"/>
      <c r="D252" s="207"/>
      <c r="E252" s="207"/>
      <c r="F252" s="207"/>
      <c r="G252" s="207"/>
      <c r="H252" s="207"/>
      <c r="I252" s="207"/>
      <c r="J252" s="207"/>
      <c r="K252" s="83"/>
    </row>
    <row r="253" spans="1:15" ht="12.75" customHeight="1" x14ac:dyDescent="0.2">
      <c r="A253" s="83"/>
      <c r="B253" s="341" t="str">
        <f>CONCATENATE("Nel ",TEXT(E208,"0,00%")," dei casi il certificate arriva a scadenza. In questi casi, il contratto può rimborsare meno del 100% investito alla partenza (",TEXT(L228,"0,00%")," di probabilità)."," La tabella 2 mostra una probabilità di coda di realizzare una perdita superiore al ",TEXT(-I217,"0,00%"),", nei casi in cui, all'ultima data di rilevazione, e senza aver mai toccato la barriere, l'indice perda più del ",TEXT(1-L7,"0,00%")," del suo Valore di Riferimento Iniziale.")</f>
        <v>Nel 4,28% dei casi il certificate arriva a scadenza. In questi casi, il contratto può rimborsare meno del 100% investito alla partenza (0,00% di probabilità). La tabella 2 mostra una probabilità di coda di realizzare una perdita superiore al -5,82%, nei casi in cui, all'ultima data di rilevazione, e senza aver mai toccato la barriere, l'indice perda più del 30,00% del suo Valore di Riferimento Iniziale.</v>
      </c>
      <c r="C253" s="341"/>
      <c r="D253" s="341"/>
      <c r="E253" s="341"/>
      <c r="F253" s="341"/>
      <c r="G253" s="341"/>
      <c r="H253" s="341"/>
      <c r="I253" s="341"/>
      <c r="J253" s="341"/>
      <c r="K253" s="83"/>
    </row>
    <row r="254" spans="1:15" ht="12.75" customHeight="1" x14ac:dyDescent="0.2">
      <c r="A254" s="83"/>
      <c r="B254" s="341"/>
      <c r="C254" s="341"/>
      <c r="D254" s="341"/>
      <c r="E254" s="341"/>
      <c r="F254" s="341"/>
      <c r="G254" s="341"/>
      <c r="H254" s="341"/>
      <c r="I254" s="341"/>
      <c r="J254" s="341"/>
      <c r="K254" s="83"/>
    </row>
    <row r="255" spans="1:15" ht="12.75" customHeight="1" x14ac:dyDescent="0.2">
      <c r="A255" s="83"/>
      <c r="B255" s="341"/>
      <c r="C255" s="341"/>
      <c r="D255" s="341"/>
      <c r="E255" s="341"/>
      <c r="F255" s="341"/>
      <c r="G255" s="341"/>
      <c r="H255" s="341"/>
      <c r="I255" s="341"/>
      <c r="J255" s="341"/>
      <c r="K255" s="83"/>
    </row>
    <row r="256" spans="1:15" ht="14.45" customHeight="1" x14ac:dyDescent="0.2">
      <c r="A256" s="83"/>
      <c r="B256" s="341"/>
      <c r="C256" s="341"/>
      <c r="D256" s="341"/>
      <c r="E256" s="341"/>
      <c r="F256" s="341"/>
      <c r="G256" s="341"/>
      <c r="H256" s="341"/>
      <c r="I256" s="341"/>
      <c r="J256" s="341"/>
      <c r="K256" s="83"/>
    </row>
    <row r="258" spans="1:21" ht="12.75" customHeight="1" x14ac:dyDescent="0.2">
      <c r="B258" s="352" t="str">
        <f>CONCATENATE("Si sottolinea l'importanza della comunicazione alla Clientela della possibilità di recuperare meno del ",TEXT(L7,"0,00%")," del Capitale investito.")</f>
        <v>Si sottolinea l'importanza della comunicazione alla Clientela della possibilità di recuperare meno del 70,00% del Capitale investito.</v>
      </c>
      <c r="C258" s="352"/>
      <c r="D258" s="352"/>
      <c r="E258" s="352"/>
      <c r="F258" s="352"/>
      <c r="G258" s="352"/>
      <c r="H258" s="352"/>
      <c r="I258" s="352"/>
      <c r="J258" s="352"/>
    </row>
    <row r="259" spans="1:21" ht="12.75" customHeight="1" x14ac:dyDescent="0.2">
      <c r="B259" s="352"/>
      <c r="C259" s="352"/>
      <c r="D259" s="352"/>
      <c r="E259" s="352"/>
      <c r="F259" s="352"/>
      <c r="G259" s="352"/>
      <c r="H259" s="352"/>
      <c r="I259" s="352"/>
      <c r="J259" s="352"/>
    </row>
    <row r="260" spans="1:21" ht="12.75" customHeight="1" x14ac:dyDescent="0.2">
      <c r="M260" s="262"/>
    </row>
    <row r="261" spans="1:21" ht="12.75" customHeight="1" x14ac:dyDescent="0.2">
      <c r="A261" s="83"/>
      <c r="B261" s="109"/>
      <c r="C261" s="109"/>
      <c r="D261" s="109"/>
      <c r="E261" s="110"/>
      <c r="F261" s="83"/>
      <c r="G261" s="83"/>
      <c r="H261" s="83"/>
      <c r="I261" s="83"/>
      <c r="J261" s="83"/>
      <c r="K261" s="83"/>
    </row>
    <row r="262" spans="1:21" ht="12.75" customHeight="1" x14ac:dyDescent="0.2">
      <c r="A262" s="83"/>
      <c r="B262" s="347" t="s">
        <v>41</v>
      </c>
      <c r="C262" s="347"/>
      <c r="D262" s="347"/>
      <c r="E262" s="347"/>
      <c r="F262" s="347"/>
      <c r="G262" s="347"/>
      <c r="H262" s="347"/>
      <c r="I262" s="347"/>
      <c r="J262" s="347"/>
      <c r="K262" s="83"/>
    </row>
    <row r="263" spans="1:21" ht="12.75" customHeight="1" x14ac:dyDescent="0.2">
      <c r="A263" s="83"/>
      <c r="B263" s="83"/>
      <c r="C263" s="83"/>
      <c r="D263" s="83"/>
      <c r="E263" s="83"/>
      <c r="F263" s="83"/>
      <c r="G263" s="83"/>
      <c r="H263" s="83"/>
      <c r="I263" s="83"/>
      <c r="J263" s="83"/>
      <c r="K263" s="83"/>
      <c r="L263" s="122">
        <v>42428</v>
      </c>
      <c r="N263" s="280">
        <v>7.1900000000000006E-2</v>
      </c>
      <c r="O263" s="295" t="str">
        <f>CONCATENATE("IntesaSanpaolo_Scen_",P263)</f>
        <v>IntesaSanpaolo_Scen_3685</v>
      </c>
      <c r="P263" s="296">
        <v>3685</v>
      </c>
    </row>
    <row r="264" spans="1:21" ht="12.75" customHeight="1" x14ac:dyDescent="0.2">
      <c r="A264" s="83"/>
      <c r="B264" s="338" t="str">
        <f>CONCATENATE("Il VaR trimestrale dello strumento è"," ",IF(L264=0,"[...]",TEXT(L264,"0,00%")),". ","Il prezzo atteso dello strumento in corrispondenza di questo VaR è"," ",IF(L264=0,"[...]",TEXT(L29-L264,"0,00%")),".")</f>
        <v>Il VaR trimestrale dello strumento è [...]. Il prezzo atteso dello strumento in corrispondenza di questo VaR è [...].</v>
      </c>
      <c r="C264" s="338"/>
      <c r="D264" s="338"/>
      <c r="E264" s="338"/>
      <c r="F264" s="338"/>
      <c r="G264" s="338"/>
      <c r="H264" s="338"/>
      <c r="I264" s="338"/>
      <c r="J264" s="338"/>
      <c r="K264" s="83"/>
      <c r="L264" s="189"/>
      <c r="M264" s="119">
        <v>-0.36849999999999999</v>
      </c>
      <c r="N264" s="281">
        <v>9.6600000000000005E-2</v>
      </c>
      <c r="O264" s="282" t="e">
        <f>SQRT(L264^2-N263^2)</f>
        <v>#NUM!</v>
      </c>
      <c r="P264" s="283" t="e">
        <f>SQRT(O264^2+N263^2)</f>
        <v>#NUM!</v>
      </c>
      <c r="Q264" s="301" t="str">
        <f>CONCATENATE("IntesaSanpaolo_Scen_",TEXT(CEILING(L264,0.0005)*10000,"0000"))</f>
        <v>IntesaSanpaolo_Scen_0000</v>
      </c>
      <c r="R264" s="297"/>
      <c r="U264" s="299" t="str">
        <f>CONCATENATE("IntesaSanpaolo_Scen_",TEXT(ROUND(L264*10000+1,4),"0000"))</f>
        <v>IntesaSanpaolo_Scen_0001</v>
      </c>
    </row>
    <row r="265" spans="1:21" ht="12.75" customHeight="1" x14ac:dyDescent="0.2">
      <c r="A265" s="83"/>
      <c r="B265" s="338"/>
      <c r="C265" s="338"/>
      <c r="D265" s="338"/>
      <c r="E265" s="338"/>
      <c r="F265" s="338"/>
      <c r="G265" s="338"/>
      <c r="H265" s="338"/>
      <c r="I265" s="338"/>
      <c r="J265" s="338"/>
      <c r="K265" s="83"/>
    </row>
    <row r="266" spans="1:21" ht="12.75" customHeight="1" x14ac:dyDescent="0.2">
      <c r="A266" s="83"/>
      <c r="B266" s="338" t="str">
        <f>CONCATENATE("Il VaR trimestrale del ","(",LEFT(Autocallable!A3,12),") Btp ",TEXT(Autocallable!E3,"0,00%")," ",TEXT(Autocallable!D3,"mm/aa")," è"," ",IF(L266=0,"[...]",TEXT(L266,"0,00%"))," (",TEXT(MAX(L266+N266,L266*1.15),"0,000%"),", con soglia di tolleranza di +15% e min ",N266*10000," bp). ")</f>
        <v xml:space="preserve">Il VaR trimestrale del (IT0005086886) Btp 1,35% 04/22 è [...] (0,500%, con soglia di tolleranza di +15% e min 50 bp). </v>
      </c>
      <c r="C266" s="338"/>
      <c r="D266" s="338"/>
      <c r="E266" s="338"/>
      <c r="F266" s="338"/>
      <c r="G266" s="338"/>
      <c r="H266" s="338"/>
      <c r="I266" s="338"/>
      <c r="J266" s="338"/>
      <c r="K266" s="83"/>
      <c r="L266" s="189"/>
      <c r="M266" s="257">
        <v>-8.2279999999999992E-3</v>
      </c>
      <c r="N266" s="119">
        <v>5.0000000000000001E-3</v>
      </c>
      <c r="O266" s="84">
        <v>4</v>
      </c>
    </row>
    <row r="267" spans="1:21" ht="12.75" customHeight="1" x14ac:dyDescent="0.2">
      <c r="A267" s="83"/>
      <c r="B267" s="338" t="str">
        <f>CONCATENATE("Il VaR trimestrale del ","(",LEFT(Autocallable!A36,12),") Btp ",TEXT(Autocallable!E36,"0,00%")," ",TEXT(Autocallable!D36,"mm/aa")," è"," ",IF(L267=0,"[...]",TEXT(L267,"0,00%"))," (",TEXT(MAX(L267+N267,L267*1.15),"0,000%"),", con soglia di tolleranza di +15% e min ",N267*10000," bp). ")</f>
        <v xml:space="preserve">Il VaR trimestrale del (IT0004966401) Btp 3,75% 05/21 è [...] (0,500%, con soglia di tolleranza di +15% e min 50 bp). </v>
      </c>
      <c r="C267" s="338"/>
      <c r="D267" s="338"/>
      <c r="E267" s="338"/>
      <c r="F267" s="338"/>
      <c r="G267" s="338"/>
      <c r="H267" s="338"/>
      <c r="I267" s="338"/>
      <c r="J267" s="338"/>
      <c r="K267" s="83"/>
      <c r="L267" s="189"/>
      <c r="M267" s="257">
        <v>-3.722E-3</v>
      </c>
      <c r="N267" s="119">
        <v>5.0000000000000001E-3</v>
      </c>
      <c r="O267" s="84">
        <v>3</v>
      </c>
    </row>
    <row r="268" spans="1:21" ht="12.75" customHeight="1" x14ac:dyDescent="0.2">
      <c r="A268" s="83"/>
      <c r="B268" s="338" t="str">
        <f>CONCATENATE("Il VaR trimestrale del ","(",LEFT(Autocallable!A21,12),") Btp ",TEXT(Autocallable!E21,"0,00%")," ",TEXT(Autocallable!D21,"mm/aa")," è"," ",IF(L268=0,"[...]",TEXT(L268,"0,00%"))," (",TEXT(MAX(L268+N268,L268*1.15),"0,000%"),", con soglia di tolleranza di +15% e min ",N268*10000," bp). ")</f>
        <v xml:space="preserve">Il VaR trimestrale del (IT0005216491) Btp 0,35% 11/21 è [...] (0,500%, con soglia di tolleranza di +15% e min 50 bp). </v>
      </c>
      <c r="C268" s="338"/>
      <c r="D268" s="338"/>
      <c r="E268" s="338"/>
      <c r="F268" s="338"/>
      <c r="G268" s="338"/>
      <c r="H268" s="338"/>
      <c r="I268" s="338"/>
      <c r="J268" s="338"/>
      <c r="K268" s="83"/>
      <c r="L268" s="189"/>
      <c r="M268" s="257">
        <v>-4.0769999999999999E-3</v>
      </c>
      <c r="N268" s="119">
        <v>5.0000000000000001E-3</v>
      </c>
      <c r="O268" s="84">
        <v>2</v>
      </c>
    </row>
    <row r="269" spans="1:21" ht="12.75" customHeight="1" x14ac:dyDescent="0.2">
      <c r="A269" s="83"/>
      <c r="B269" s="338"/>
      <c r="C269" s="338"/>
      <c r="D269" s="338"/>
      <c r="E269" s="338"/>
      <c r="F269" s="338"/>
      <c r="G269" s="338"/>
      <c r="H269" s="338"/>
      <c r="I269" s="338"/>
      <c r="J269" s="338"/>
      <c r="K269" s="83"/>
      <c r="L269" s="273"/>
      <c r="M269" s="273"/>
      <c r="N269" s="274"/>
    </row>
    <row r="270" spans="1:21" ht="12.75" customHeight="1" x14ac:dyDescent="0.2">
      <c r="A270" s="83"/>
      <c r="K270" s="83"/>
    </row>
    <row r="271" spans="1:21" ht="12.75" customHeight="1" x14ac:dyDescent="0.2">
      <c r="A271" s="83"/>
      <c r="B271" s="347" t="s">
        <v>94</v>
      </c>
      <c r="C271" s="347"/>
      <c r="D271" s="347"/>
      <c r="E271" s="347"/>
      <c r="F271" s="347"/>
      <c r="G271" s="347"/>
      <c r="H271" s="347"/>
      <c r="I271" s="347"/>
      <c r="J271" s="347"/>
      <c r="K271" s="83"/>
    </row>
    <row r="272" spans="1:21" ht="12.75" customHeight="1" x14ac:dyDescent="0.2">
      <c r="A272" s="83"/>
      <c r="K272" s="83"/>
    </row>
    <row r="273" spans="1:13" ht="12.75" customHeight="1" x14ac:dyDescent="0.2">
      <c r="A273" s="83"/>
      <c r="B273" s="342" t="str">
        <f>CONCATENATE("Il requisito di rischio/Rendimento è soddisfatto in base alla condizione ",IF(L273=1,"""a"" delle Policy di Pricing. Tale requisito prevede che il contratto offra un rendimento atteso, netto fiscalità, superiore al Benchmark, indipendentemente dal livello di rischio.",IF(L273=2,"""b"" delle Policy di Pricing. Tale requisito prevede che il contratto offra un rendimento atteso, netto fiscalità, inferiore al Benchmark solo a fronte di un rischio inferiore.","""c"" delle Policy di Pricing. Tale requisito prevede che il contratto abbia un rendimento atteso, netto fiscalità, non inferiore di 30 bp ed un VaR non superiore di 55 bp a quello del Benchmark di riferimento.")))</f>
        <v>Il requisito di rischio/Rendimento è soddisfatto in base alla condizione "a" delle Policy di Pricing. Tale requisito prevede che il contratto offra un rendimento atteso, netto fiscalità, superiore al Benchmark, indipendentemente dal livello di rischio.</v>
      </c>
      <c r="C273" s="342"/>
      <c r="D273" s="342"/>
      <c r="E273" s="342"/>
      <c r="F273" s="342"/>
      <c r="G273" s="342"/>
      <c r="H273" s="342"/>
      <c r="I273" s="342"/>
      <c r="J273" s="342"/>
      <c r="K273" s="83"/>
      <c r="L273" s="89">
        <f>IF(G278="SI'",1,IF(G279="NO",IF(G280="SI'",IF(G281="SI'",3,0),0),2))</f>
        <v>1</v>
      </c>
      <c r="M273" s="85"/>
    </row>
    <row r="274" spans="1:13" ht="12.75" customHeight="1" x14ac:dyDescent="0.2">
      <c r="A274" s="83"/>
      <c r="B274" s="342"/>
      <c r="C274" s="342"/>
      <c r="D274" s="342"/>
      <c r="E274" s="342"/>
      <c r="F274" s="342"/>
      <c r="G274" s="342"/>
      <c r="H274" s="342"/>
      <c r="I274" s="342"/>
      <c r="J274" s="342"/>
      <c r="K274" s="83"/>
    </row>
    <row r="275" spans="1:13" ht="12.75" customHeight="1" x14ac:dyDescent="0.2">
      <c r="A275" s="83"/>
      <c r="B275" s="342"/>
      <c r="C275" s="342"/>
      <c r="D275" s="342"/>
      <c r="E275" s="342"/>
      <c r="F275" s="342"/>
      <c r="G275" s="342"/>
      <c r="H275" s="342"/>
      <c r="I275" s="342"/>
      <c r="J275" s="342"/>
      <c r="K275" s="83"/>
    </row>
    <row r="276" spans="1:13" ht="12.75" customHeight="1" x14ac:dyDescent="0.2">
      <c r="A276" s="83"/>
    </row>
    <row r="277" spans="1:13" ht="12.75" customHeight="1" x14ac:dyDescent="0.2">
      <c r="A277" s="83"/>
      <c r="B277" s="191" t="s">
        <v>95</v>
      </c>
      <c r="C277" s="192"/>
      <c r="D277" s="227"/>
      <c r="E277" s="191" t="s">
        <v>96</v>
      </c>
      <c r="F277" s="191" t="s">
        <v>102</v>
      </c>
      <c r="G277" s="193" t="s">
        <v>97</v>
      </c>
      <c r="L277" s="252" t="s">
        <v>145</v>
      </c>
    </row>
    <row r="278" spans="1:13" ht="12.75" customHeight="1" x14ac:dyDescent="0.2">
      <c r="A278" s="83"/>
      <c r="B278" s="194" t="s">
        <v>98</v>
      </c>
      <c r="C278" s="358" t="s">
        <v>99</v>
      </c>
      <c r="D278" s="358"/>
      <c r="E278" s="242">
        <f>ROUND(M213,4)</f>
        <v>5.3E-3</v>
      </c>
      <c r="F278" s="243">
        <f>ROUND(L278,4)</f>
        <v>1.8100000000000002E-2</v>
      </c>
      <c r="G278" s="196" t="str">
        <f>IF(E278&gt;F278,"NO","SI'")</f>
        <v>SI'</v>
      </c>
      <c r="L278" s="189">
        <f>Autocallable!BA9</f>
        <v>1.8081732158046135E-2</v>
      </c>
    </row>
    <row r="279" spans="1:13" ht="12.75" customHeight="1" x14ac:dyDescent="0.2">
      <c r="A279" s="83"/>
      <c r="B279" s="191"/>
      <c r="C279" s="359" t="s">
        <v>100</v>
      </c>
      <c r="D279" s="359"/>
      <c r="E279" s="244">
        <f>ROUND(L266,4)</f>
        <v>0</v>
      </c>
      <c r="F279" s="245">
        <f>ROUND(L264,4)</f>
        <v>0</v>
      </c>
      <c r="G279" s="197" t="str">
        <f>IF(E279&lt;F279,"NO","SI'")</f>
        <v>SI'</v>
      </c>
    </row>
    <row r="280" spans="1:13" ht="12.75" customHeight="1" x14ac:dyDescent="0.2">
      <c r="A280" s="83"/>
      <c r="B280" s="198" t="s">
        <v>101</v>
      </c>
      <c r="C280" s="358" t="s">
        <v>112</v>
      </c>
      <c r="D280" s="358"/>
      <c r="E280" s="246">
        <f>ROUND(IF(E278*0.9&lt;E278-0.3%,E278*0.9,E278-0.3%),4)</f>
        <v>2.3E-3</v>
      </c>
      <c r="F280" s="246">
        <f>F278</f>
        <v>1.8100000000000002E-2</v>
      </c>
      <c r="G280" s="199" t="str">
        <f>IF(E280&gt;F280,"NO","SI'")</f>
        <v>SI'</v>
      </c>
    </row>
    <row r="281" spans="1:13" ht="12.75" customHeight="1" x14ac:dyDescent="0.2">
      <c r="A281" s="83"/>
      <c r="B281" s="195"/>
      <c r="C281" s="360" t="s">
        <v>113</v>
      </c>
      <c r="D281" s="360"/>
      <c r="E281" s="243">
        <f>ROUND(IF(E279*1.15&gt;E279+$N$266,E279*1.15,E279+$N$266),4)</f>
        <v>5.0000000000000001E-3</v>
      </c>
      <c r="F281" s="242">
        <f>F279</f>
        <v>0</v>
      </c>
      <c r="G281" s="196" t="str">
        <f>IF(E281&lt;F281,"NO","SI'")</f>
        <v>SI'</v>
      </c>
      <c r="K281" s="83"/>
    </row>
    <row r="282" spans="1:13" ht="12.75" customHeight="1" x14ac:dyDescent="0.2">
      <c r="A282" s="83"/>
      <c r="G282" s="83"/>
      <c r="H282" s="83"/>
      <c r="I282" s="83"/>
      <c r="J282" s="83"/>
      <c r="K282" s="83"/>
    </row>
    <row r="283" spans="1:13" ht="12.75" customHeight="1" x14ac:dyDescent="0.2">
      <c r="A283" s="83"/>
      <c r="B283" s="353" t="s">
        <v>150</v>
      </c>
      <c r="C283" s="353"/>
      <c r="D283" s="353"/>
      <c r="E283" s="353"/>
      <c r="F283" s="353"/>
      <c r="G283" s="353"/>
      <c r="H283" s="353"/>
      <c r="I283" s="353"/>
      <c r="J283" s="353"/>
      <c r="K283" s="83"/>
    </row>
    <row r="284" spans="1:13" ht="12.75" customHeight="1" x14ac:dyDescent="0.2">
      <c r="A284" s="83"/>
      <c r="B284" s="353"/>
      <c r="C284" s="353"/>
      <c r="D284" s="353"/>
      <c r="E284" s="353"/>
      <c r="F284" s="353"/>
      <c r="G284" s="353"/>
      <c r="H284" s="353"/>
      <c r="I284" s="353"/>
      <c r="J284" s="353"/>
      <c r="K284" s="83"/>
    </row>
    <row r="285" spans="1:13" ht="12.75" customHeight="1" x14ac:dyDescent="0.2">
      <c r="A285" s="83"/>
      <c r="B285" s="220"/>
      <c r="C285" s="220"/>
      <c r="D285" s="220"/>
      <c r="E285" s="220"/>
      <c r="F285" s="220"/>
      <c r="G285" s="220"/>
      <c r="H285" s="220"/>
      <c r="I285" s="220"/>
      <c r="J285" s="220"/>
      <c r="K285" s="83"/>
    </row>
    <row r="286" spans="1:13" ht="12.75" customHeight="1" x14ac:dyDescent="0.2">
      <c r="A286" s="83"/>
      <c r="G286" s="83"/>
      <c r="H286" s="83"/>
      <c r="I286" s="83"/>
      <c r="J286" s="83"/>
      <c r="K286" s="83"/>
    </row>
    <row r="287" spans="1:13" ht="12.75" customHeight="1" x14ac:dyDescent="0.2">
      <c r="A287" s="83"/>
      <c r="B287" s="347" t="str">
        <f>CONCATENATE("Controllo dei livelli di Spread",IF('Credit Spread'!B58 = "[...]"," (NON PREVISTO)",""))</f>
        <v>Controllo dei livelli di Spread</v>
      </c>
      <c r="C287" s="347"/>
      <c r="D287" s="347"/>
      <c r="E287" s="347"/>
      <c r="F287" s="347"/>
      <c r="G287" s="347"/>
      <c r="H287" s="347"/>
      <c r="I287" s="347"/>
      <c r="J287" s="347"/>
      <c r="K287" s="83"/>
    </row>
    <row r="288" spans="1:13" ht="12.75" customHeight="1" x14ac:dyDescent="0.2">
      <c r="A288" s="83"/>
      <c r="B288" s="83"/>
      <c r="C288" s="83"/>
      <c r="D288" s="83"/>
      <c r="E288" s="83"/>
      <c r="F288" s="83"/>
      <c r="G288" s="83"/>
      <c r="H288" s="83"/>
      <c r="I288" s="83"/>
      <c r="J288" s="83"/>
      <c r="K288" s="83"/>
    </row>
    <row r="289" spans="1:12" ht="12.75" customHeight="1" x14ac:dyDescent="0.2">
      <c r="A289" s="83"/>
      <c r="B289" s="338" t="str">
        <f>IF('Credit Spread'!B2=0,CONCATENATE("Lo spread di funding del prodotto, pari a ",B294," ","[...] bp ","è allineato alla Curva Benchmark Unica."),IF(L289=0,CONCATENATE("Lo spread di funding del prodotto, pari a ",B294," ",TEXT(C294,"0")," bp ","non è allineato alla Curva Benchmark Unica."),CONCATENATE("Lo spread di funding del prodotto, pari a ",B294," ",TEXT(C294,"0")," bp ","è allineato alla Curva Benchmark Unica.")))</f>
        <v>Lo spread di funding del prodotto, pari a E3M + [...] bp è allineato alla Curva Benchmark Unica.</v>
      </c>
      <c r="C289" s="338"/>
      <c r="D289" s="338"/>
      <c r="E289" s="338"/>
      <c r="F289" s="338"/>
      <c r="G289" s="338"/>
      <c r="H289" s="338"/>
      <c r="I289" s="338"/>
      <c r="J289" s="338"/>
      <c r="K289" s="83"/>
      <c r="L289" s="89" t="e">
        <f>IF(H296="SI'",IF(J296="SI'",1,0),0)</f>
        <v>#VALUE!</v>
      </c>
    </row>
    <row r="290" spans="1:12" ht="12.75" customHeight="1" x14ac:dyDescent="0.2">
      <c r="A290" s="83"/>
      <c r="B290" s="338"/>
      <c r="C290" s="338"/>
      <c r="D290" s="338"/>
      <c r="E290" s="338"/>
      <c r="F290" s="338"/>
      <c r="G290" s="338"/>
      <c r="H290" s="338"/>
      <c r="I290" s="338"/>
      <c r="J290" s="338"/>
      <c r="K290" s="83"/>
    </row>
    <row r="291" spans="1:12" ht="12.75" customHeight="1" x14ac:dyDescent="0.2">
      <c r="A291" s="83"/>
      <c r="B291" s="355" t="s">
        <v>85</v>
      </c>
      <c r="C291" s="355" t="s">
        <v>123</v>
      </c>
      <c r="D291" s="355" t="s">
        <v>124</v>
      </c>
      <c r="E291" s="355" t="s">
        <v>125</v>
      </c>
      <c r="F291" s="355" t="s">
        <v>126</v>
      </c>
      <c r="G291" s="83"/>
      <c r="H291" s="355" t="s">
        <v>127</v>
      </c>
      <c r="I291" s="355" t="s">
        <v>128</v>
      </c>
      <c r="J291" s="355" t="s">
        <v>129</v>
      </c>
      <c r="K291" s="83"/>
    </row>
    <row r="292" spans="1:12" ht="12.75" customHeight="1" x14ac:dyDescent="0.2">
      <c r="A292" s="83"/>
      <c r="B292" s="356"/>
      <c r="C292" s="356"/>
      <c r="D292" s="356"/>
      <c r="E292" s="356"/>
      <c r="F292" s="356"/>
      <c r="H292" s="356"/>
      <c r="I292" s="356"/>
      <c r="J292" s="356"/>
      <c r="K292" s="83"/>
    </row>
    <row r="293" spans="1:12" ht="12.75" customHeight="1" x14ac:dyDescent="0.2">
      <c r="A293" s="83"/>
      <c r="B293" s="357"/>
      <c r="C293" s="357"/>
      <c r="D293" s="357"/>
      <c r="E293" s="357"/>
      <c r="F293" s="357"/>
      <c r="H293" s="357"/>
      <c r="I293" s="357"/>
      <c r="J293" s="357"/>
      <c r="K293" s="83"/>
    </row>
    <row r="294" spans="1:12" ht="12.75" customHeight="1" x14ac:dyDescent="0.2">
      <c r="A294" s="83"/>
      <c r="B294" s="234" t="str">
        <f>'Credit Spread'!A2</f>
        <v>E3M +</v>
      </c>
      <c r="C294" s="235" t="str">
        <f>IF('Credit Spread'!B5=0,"[...]",'Credit Spread'!B5)</f>
        <v>[...]</v>
      </c>
      <c r="D294" s="236" t="str">
        <f>IF('Credit Spread'!B5=0,"[...]",'Credit Spread'!C2)</f>
        <v>[...]</v>
      </c>
      <c r="E294" s="236" t="s">
        <v>130</v>
      </c>
      <c r="F294" s="236" t="str">
        <f>IF('Credit Spread'!B5=0,"[...]",'Credit Spread'!E2)</f>
        <v>[...]</v>
      </c>
      <c r="H294" s="237" t="e">
        <f>CONCATENATE(TEXT(D294*0.9,"0")," bp")</f>
        <v>#VALUE!</v>
      </c>
      <c r="I294" s="238" t="s">
        <v>130</v>
      </c>
      <c r="J294" s="238" t="e">
        <f>CONCATENATE(TEXT(F294-$C$294,"0")," bp")</f>
        <v>#VALUE!</v>
      </c>
      <c r="K294" s="83"/>
    </row>
    <row r="295" spans="1:12" ht="12.75" customHeight="1" x14ac:dyDescent="0.2">
      <c r="A295" s="83"/>
      <c r="B295" s="239" t="str">
        <f>CONCATENATE("*Dati DRM, TESORERIA, BIMI al ",TEXT(Dati_G!B2,"gg/mm/aaaa"),", BID end of day")</f>
        <v>*Dati DRM, TESORERIA, BIMI al 18/03/2019, BID end of day</v>
      </c>
      <c r="H295" s="240" t="e">
        <f>IF(C294&gt;=D294*0.9,CONCATENATE(TEXT(C294,"0")," &gt; ",TEXT(H294,"0")),CONCATENATE(TEXT(C294,"0")," &lt; ",TEXT(H294,"0")))</f>
        <v>#VALUE!</v>
      </c>
      <c r="I295" s="240" t="s">
        <v>130</v>
      </c>
      <c r="J295" s="240" t="e">
        <f>IF((F294-$C$294)&lt;=40,CONCATENATE("40 &gt; ", TEXT($J$294,"0")),CONCATENATE("40 &lt; ", TEXT(J294,"0")))</f>
        <v>#VALUE!</v>
      </c>
      <c r="K295" s="83"/>
    </row>
    <row r="296" spans="1:12" ht="12.75" customHeight="1" x14ac:dyDescent="0.2">
      <c r="A296" s="83"/>
      <c r="G296" s="235" t="s">
        <v>131</v>
      </c>
      <c r="H296" s="241" t="e">
        <f>IF(C294&gt;=D294*0.9,"SI'","N")</f>
        <v>#VALUE!</v>
      </c>
      <c r="I296" s="241" t="s">
        <v>130</v>
      </c>
      <c r="J296" s="241" t="e">
        <f>IF(-40&lt;=($C$294-F294),"SI'","N")</f>
        <v>#VALUE!</v>
      </c>
      <c r="K296" s="83"/>
    </row>
    <row r="297" spans="1:12" ht="12.75" customHeight="1" x14ac:dyDescent="0.2">
      <c r="A297" s="83"/>
      <c r="G297" s="343" t="s">
        <v>143</v>
      </c>
      <c r="H297" s="343"/>
      <c r="I297" s="343"/>
      <c r="J297" s="343"/>
      <c r="K297" s="83"/>
    </row>
    <row r="298" spans="1:12" ht="12.75" customHeight="1" x14ac:dyDescent="0.2">
      <c r="A298" s="83"/>
      <c r="K298" s="83"/>
    </row>
    <row r="299" spans="1:12" ht="12.75" customHeight="1" x14ac:dyDescent="0.2">
      <c r="A299" s="83"/>
      <c r="B299" s="239" t="s">
        <v>140</v>
      </c>
      <c r="K299" s="83"/>
    </row>
    <row r="300" spans="1:12" ht="12.75" customHeight="1" x14ac:dyDescent="0.2">
      <c r="A300" s="83"/>
      <c r="B300" s="354" t="s">
        <v>132</v>
      </c>
      <c r="C300" s="354"/>
      <c r="D300" s="354"/>
      <c r="E300" s="354"/>
      <c r="F300" s="354"/>
      <c r="G300" s="354"/>
      <c r="H300" s="354"/>
      <c r="I300" s="354"/>
      <c r="J300" s="354"/>
      <c r="K300" s="83"/>
    </row>
    <row r="301" spans="1:12" ht="12.75" customHeight="1" x14ac:dyDescent="0.2">
      <c r="A301" s="83"/>
      <c r="B301" s="354"/>
      <c r="C301" s="354"/>
      <c r="D301" s="354"/>
      <c r="E301" s="354"/>
      <c r="F301" s="354"/>
      <c r="G301" s="354"/>
      <c r="H301" s="354"/>
      <c r="I301" s="354"/>
      <c r="J301" s="354"/>
      <c r="K301" s="83"/>
    </row>
    <row r="302" spans="1:12" ht="12.75" customHeight="1" x14ac:dyDescent="0.2">
      <c r="A302" s="83"/>
      <c r="B302" s="354"/>
      <c r="C302" s="354"/>
      <c r="D302" s="354"/>
      <c r="E302" s="354"/>
      <c r="F302" s="354"/>
      <c r="G302" s="354"/>
      <c r="H302" s="354"/>
      <c r="I302" s="354"/>
      <c r="J302" s="354"/>
      <c r="K302" s="83"/>
    </row>
    <row r="303" spans="1:12" ht="12.75" customHeight="1" x14ac:dyDescent="0.2">
      <c r="A303" s="83"/>
      <c r="K303" s="83"/>
    </row>
    <row r="304" spans="1:12" ht="12.75" customHeight="1" x14ac:dyDescent="0.2">
      <c r="A304" s="83"/>
      <c r="K304" s="83"/>
    </row>
    <row r="305" spans="1:11" ht="12.75" customHeight="1" x14ac:dyDescent="0.2">
      <c r="A305" s="83"/>
      <c r="K305" s="83"/>
    </row>
    <row r="306" spans="1:11" ht="12.75" customHeight="1" x14ac:dyDescent="0.2">
      <c r="A306" s="83"/>
      <c r="K306" s="83"/>
    </row>
    <row r="307" spans="1:11" ht="12.75" customHeight="1" x14ac:dyDescent="0.2">
      <c r="A307" s="83"/>
      <c r="K307" s="83"/>
    </row>
    <row r="308" spans="1:11" ht="12.75" customHeight="1" x14ac:dyDescent="0.2">
      <c r="A308" s="83"/>
      <c r="K308" s="83"/>
    </row>
    <row r="309" spans="1:11" ht="12.75" customHeight="1" x14ac:dyDescent="0.2">
      <c r="A309" s="83"/>
      <c r="K309" s="83"/>
    </row>
    <row r="310" spans="1:11" ht="12.75" customHeight="1" x14ac:dyDescent="0.2">
      <c r="A310" s="83"/>
      <c r="K310" s="83"/>
    </row>
    <row r="311" spans="1:11" ht="12.75" customHeight="1" x14ac:dyDescent="0.2">
      <c r="A311" s="83"/>
      <c r="K311" s="83"/>
    </row>
    <row r="312" spans="1:11" ht="12.75" customHeight="1" x14ac:dyDescent="0.2">
      <c r="A312" s="83"/>
      <c r="K312" s="83"/>
    </row>
    <row r="313" spans="1:11" ht="12.75" customHeight="1" x14ac:dyDescent="0.2">
      <c r="A313" s="83"/>
      <c r="K313" s="83"/>
    </row>
    <row r="314" spans="1:11" ht="12.75" customHeight="1" x14ac:dyDescent="0.2">
      <c r="A314" s="83"/>
      <c r="K314" s="83"/>
    </row>
    <row r="315" spans="1:11" ht="12.75" customHeight="1" x14ac:dyDescent="0.2">
      <c r="A315" s="83"/>
      <c r="K315" s="83"/>
    </row>
    <row r="316" spans="1:11" ht="12.75" customHeight="1" x14ac:dyDescent="0.2">
      <c r="A316" s="83"/>
      <c r="K316" s="83"/>
    </row>
    <row r="317" spans="1:11" ht="12.75" customHeight="1" x14ac:dyDescent="0.2">
      <c r="A317" s="83"/>
      <c r="K317" s="83"/>
    </row>
    <row r="318" spans="1:11" ht="12.75" customHeight="1" x14ac:dyDescent="0.2">
      <c r="A318" s="83"/>
      <c r="K318" s="83"/>
    </row>
    <row r="319" spans="1:11" ht="12.75" customHeight="1" x14ac:dyDescent="0.2">
      <c r="A319" s="83"/>
      <c r="K319" s="83"/>
    </row>
    <row r="320" spans="1:11" ht="12.75" customHeight="1" x14ac:dyDescent="0.2">
      <c r="A320" s="87"/>
      <c r="B320" s="339"/>
      <c r="C320" s="339"/>
      <c r="D320" s="339"/>
      <c r="E320" s="339"/>
      <c r="F320" s="87"/>
      <c r="G320" s="87"/>
      <c r="H320" s="87"/>
      <c r="I320" s="87"/>
      <c r="J320" s="87"/>
      <c r="K320" s="87"/>
    </row>
    <row r="321" spans="1:11" ht="12.75" customHeight="1" x14ac:dyDescent="0.2">
      <c r="A321" s="83"/>
      <c r="B321" s="83"/>
      <c r="C321" s="83"/>
      <c r="D321" s="83"/>
      <c r="E321" s="83"/>
      <c r="F321" s="83"/>
      <c r="G321" s="83"/>
      <c r="H321" s="83"/>
      <c r="I321" s="83"/>
      <c r="J321" s="83"/>
      <c r="K321" s="83"/>
    </row>
    <row r="322" spans="1:11" ht="12.75" customHeight="1" x14ac:dyDescent="0.2">
      <c r="G322" s="83"/>
      <c r="H322" s="83"/>
      <c r="I322" s="83"/>
      <c r="J322" s="83"/>
    </row>
    <row r="323" spans="1:11" ht="12.75" customHeight="1" x14ac:dyDescent="0.2">
      <c r="G323" s="83"/>
      <c r="H323" s="83"/>
      <c r="I323" s="83"/>
      <c r="J323" s="83"/>
    </row>
    <row r="324" spans="1:11" ht="12.75" customHeight="1" x14ac:dyDescent="0.2">
      <c r="H324" s="83"/>
      <c r="I324" s="83"/>
      <c r="J324" s="83"/>
    </row>
    <row r="325" spans="1:11" ht="12.75" customHeight="1" x14ac:dyDescent="0.2">
      <c r="H325" s="83"/>
      <c r="I325" s="83"/>
      <c r="J325" s="83"/>
    </row>
  </sheetData>
  <mergeCells count="378">
    <mergeCell ref="X204:Y204"/>
    <mergeCell ref="U204:V204"/>
    <mergeCell ref="R204:S204"/>
    <mergeCell ref="O204:P204"/>
    <mergeCell ref="L204:M204"/>
    <mergeCell ref="D151:E151"/>
    <mergeCell ref="F151:G151"/>
    <mergeCell ref="H151:I151"/>
    <mergeCell ref="D152:E152"/>
    <mergeCell ref="F152:G152"/>
    <mergeCell ref="H152:I152"/>
    <mergeCell ref="D148:E148"/>
    <mergeCell ref="F148:G148"/>
    <mergeCell ref="H148:I148"/>
    <mergeCell ref="D149:E149"/>
    <mergeCell ref="F149:G149"/>
    <mergeCell ref="H149:I149"/>
    <mergeCell ref="D150:E150"/>
    <mergeCell ref="F150:G150"/>
    <mergeCell ref="H150:I150"/>
    <mergeCell ref="D145:E145"/>
    <mergeCell ref="F145:G145"/>
    <mergeCell ref="H145:I145"/>
    <mergeCell ref="D146:E146"/>
    <mergeCell ref="F146:G146"/>
    <mergeCell ref="H146:I146"/>
    <mergeCell ref="D147:E147"/>
    <mergeCell ref="F147:G147"/>
    <mergeCell ref="H147:I147"/>
    <mergeCell ref="D142:E142"/>
    <mergeCell ref="F142:G142"/>
    <mergeCell ref="H142:I142"/>
    <mergeCell ref="D143:E143"/>
    <mergeCell ref="F143:G143"/>
    <mergeCell ref="H143:I143"/>
    <mergeCell ref="D144:E144"/>
    <mergeCell ref="F144:G144"/>
    <mergeCell ref="H144:I144"/>
    <mergeCell ref="D139:E139"/>
    <mergeCell ref="F139:G139"/>
    <mergeCell ref="H139:I139"/>
    <mergeCell ref="D140:E140"/>
    <mergeCell ref="F140:G140"/>
    <mergeCell ref="H140:I140"/>
    <mergeCell ref="D141:E141"/>
    <mergeCell ref="F141:G141"/>
    <mergeCell ref="H141:I141"/>
    <mergeCell ref="D136:E136"/>
    <mergeCell ref="F136:G136"/>
    <mergeCell ref="H136:I136"/>
    <mergeCell ref="D137:E137"/>
    <mergeCell ref="F137:G137"/>
    <mergeCell ref="H137:I137"/>
    <mergeCell ref="D138:E138"/>
    <mergeCell ref="F138:G138"/>
    <mergeCell ref="H138:I138"/>
    <mergeCell ref="D133:E133"/>
    <mergeCell ref="F133:G133"/>
    <mergeCell ref="H133:I133"/>
    <mergeCell ref="D134:E134"/>
    <mergeCell ref="F134:G134"/>
    <mergeCell ref="H134:I134"/>
    <mergeCell ref="D135:E135"/>
    <mergeCell ref="F135:G135"/>
    <mergeCell ref="H135:I135"/>
    <mergeCell ref="H129:I129"/>
    <mergeCell ref="D130:E130"/>
    <mergeCell ref="F130:G130"/>
    <mergeCell ref="H130:I130"/>
    <mergeCell ref="D131:E131"/>
    <mergeCell ref="F131:G131"/>
    <mergeCell ref="H131:I131"/>
    <mergeCell ref="D132:E132"/>
    <mergeCell ref="F132:G132"/>
    <mergeCell ref="H132:I132"/>
    <mergeCell ref="D129:E129"/>
    <mergeCell ref="F129:G129"/>
    <mergeCell ref="D111:E111"/>
    <mergeCell ref="F111:G111"/>
    <mergeCell ref="H111:I111"/>
    <mergeCell ref="D112:E112"/>
    <mergeCell ref="F112:G112"/>
    <mergeCell ref="H112:I112"/>
    <mergeCell ref="D116:E116"/>
    <mergeCell ref="F116:G116"/>
    <mergeCell ref="H116:I116"/>
    <mergeCell ref="D113:E113"/>
    <mergeCell ref="F113:G113"/>
    <mergeCell ref="H113:I113"/>
    <mergeCell ref="D114:E114"/>
    <mergeCell ref="F114:G114"/>
    <mergeCell ref="H114:I114"/>
    <mergeCell ref="D115:E115"/>
    <mergeCell ref="F115:G115"/>
    <mergeCell ref="H115:I115"/>
    <mergeCell ref="D108:E108"/>
    <mergeCell ref="F108:G108"/>
    <mergeCell ref="H108:I108"/>
    <mergeCell ref="D109:E109"/>
    <mergeCell ref="F109:G109"/>
    <mergeCell ref="H109:I109"/>
    <mergeCell ref="D110:E110"/>
    <mergeCell ref="F110:G110"/>
    <mergeCell ref="H110:I110"/>
    <mergeCell ref="D105:E105"/>
    <mergeCell ref="F105:G105"/>
    <mergeCell ref="H105:I105"/>
    <mergeCell ref="D106:E106"/>
    <mergeCell ref="F106:G106"/>
    <mergeCell ref="H106:I106"/>
    <mergeCell ref="D107:E107"/>
    <mergeCell ref="F107:G107"/>
    <mergeCell ref="H107:I107"/>
    <mergeCell ref="D102:E102"/>
    <mergeCell ref="F102:G102"/>
    <mergeCell ref="H102:I102"/>
    <mergeCell ref="D103:E103"/>
    <mergeCell ref="F103:G103"/>
    <mergeCell ref="H103:I103"/>
    <mergeCell ref="D104:E104"/>
    <mergeCell ref="F104:G104"/>
    <mergeCell ref="H104:I104"/>
    <mergeCell ref="D99:E99"/>
    <mergeCell ref="F99:G99"/>
    <mergeCell ref="H99:I99"/>
    <mergeCell ref="D100:E100"/>
    <mergeCell ref="F100:G100"/>
    <mergeCell ref="H100:I100"/>
    <mergeCell ref="D101:E101"/>
    <mergeCell ref="F101:G101"/>
    <mergeCell ref="H101:I101"/>
    <mergeCell ref="D96:E96"/>
    <mergeCell ref="F96:G96"/>
    <mergeCell ref="H96:I96"/>
    <mergeCell ref="D97:E97"/>
    <mergeCell ref="F97:G97"/>
    <mergeCell ref="H97:I97"/>
    <mergeCell ref="D98:E98"/>
    <mergeCell ref="F98:G98"/>
    <mergeCell ref="H98:I98"/>
    <mergeCell ref="D93:E93"/>
    <mergeCell ref="F93:G93"/>
    <mergeCell ref="H93:I93"/>
    <mergeCell ref="D94:E94"/>
    <mergeCell ref="F94:G94"/>
    <mergeCell ref="H94:I94"/>
    <mergeCell ref="D95:E95"/>
    <mergeCell ref="F95:G95"/>
    <mergeCell ref="H95:I95"/>
    <mergeCell ref="F89:G89"/>
    <mergeCell ref="H89:I89"/>
    <mergeCell ref="D90:E90"/>
    <mergeCell ref="F90:G90"/>
    <mergeCell ref="H90:I90"/>
    <mergeCell ref="D91:E91"/>
    <mergeCell ref="F91:G91"/>
    <mergeCell ref="H91:I91"/>
    <mergeCell ref="D92:E92"/>
    <mergeCell ref="F92:G92"/>
    <mergeCell ref="H92:I92"/>
    <mergeCell ref="F51:G51"/>
    <mergeCell ref="F52:G52"/>
    <mergeCell ref="F53:G53"/>
    <mergeCell ref="F65:G65"/>
    <mergeCell ref="F66:G66"/>
    <mergeCell ref="F67:G67"/>
    <mergeCell ref="F68:G68"/>
    <mergeCell ref="F69:G69"/>
    <mergeCell ref="F70:G70"/>
    <mergeCell ref="F55:G55"/>
    <mergeCell ref="F56:G56"/>
    <mergeCell ref="F57:G57"/>
    <mergeCell ref="F58:G58"/>
    <mergeCell ref="F59:G59"/>
    <mergeCell ref="F60:G60"/>
    <mergeCell ref="F61:G61"/>
    <mergeCell ref="F62:G62"/>
    <mergeCell ref="F42:G44"/>
    <mergeCell ref="H42:H44"/>
    <mergeCell ref="J42:J44"/>
    <mergeCell ref="F45:G45"/>
    <mergeCell ref="F46:G46"/>
    <mergeCell ref="F47:G47"/>
    <mergeCell ref="F48:G48"/>
    <mergeCell ref="F49:G49"/>
    <mergeCell ref="F50:G50"/>
    <mergeCell ref="D53:E53"/>
    <mergeCell ref="D54:E54"/>
    <mergeCell ref="D55:E55"/>
    <mergeCell ref="D56:E56"/>
    <mergeCell ref="D57:E57"/>
    <mergeCell ref="D58:E58"/>
    <mergeCell ref="D59:E59"/>
    <mergeCell ref="D60:E60"/>
    <mergeCell ref="D61:E61"/>
    <mergeCell ref="D42:E44"/>
    <mergeCell ref="D45:E45"/>
    <mergeCell ref="D46:E46"/>
    <mergeCell ref="D47:E47"/>
    <mergeCell ref="D48:E48"/>
    <mergeCell ref="D50:E50"/>
    <mergeCell ref="D49:E49"/>
    <mergeCell ref="D51:E51"/>
    <mergeCell ref="D52:E52"/>
    <mergeCell ref="D64:E64"/>
    <mergeCell ref="D65:E65"/>
    <mergeCell ref="D67:E67"/>
    <mergeCell ref="D66:E66"/>
    <mergeCell ref="D68:E68"/>
    <mergeCell ref="D69:E69"/>
    <mergeCell ref="D70:E70"/>
    <mergeCell ref="D71:E71"/>
    <mergeCell ref="D72:E72"/>
    <mergeCell ref="D63:E63"/>
    <mergeCell ref="D62:E62"/>
    <mergeCell ref="H88:I88"/>
    <mergeCell ref="J121:J122"/>
    <mergeCell ref="D118:J120"/>
    <mergeCell ref="F88:G88"/>
    <mergeCell ref="D87:E87"/>
    <mergeCell ref="D88:E88"/>
    <mergeCell ref="B82:C82"/>
    <mergeCell ref="F71:G71"/>
    <mergeCell ref="F72:G72"/>
    <mergeCell ref="F73:G73"/>
    <mergeCell ref="D74:E74"/>
    <mergeCell ref="D73:E73"/>
    <mergeCell ref="D75:E75"/>
    <mergeCell ref="D76:E76"/>
    <mergeCell ref="D78:E78"/>
    <mergeCell ref="D77:E77"/>
    <mergeCell ref="D79:E79"/>
    <mergeCell ref="F74:G74"/>
    <mergeCell ref="F75:G75"/>
    <mergeCell ref="F76:G76"/>
    <mergeCell ref="F77:G77"/>
    <mergeCell ref="F78:G78"/>
    <mergeCell ref="F79:G79"/>
    <mergeCell ref="D89:E89"/>
    <mergeCell ref="D162:J162"/>
    <mergeCell ref="F124:G124"/>
    <mergeCell ref="H124:I124"/>
    <mergeCell ref="F123:G123"/>
    <mergeCell ref="D165:J165"/>
    <mergeCell ref="B174:E174"/>
    <mergeCell ref="H121:I122"/>
    <mergeCell ref="D164:J164"/>
    <mergeCell ref="D161:J161"/>
    <mergeCell ref="D157:J158"/>
    <mergeCell ref="D159:J159"/>
    <mergeCell ref="D160:J160"/>
    <mergeCell ref="B164:C164"/>
    <mergeCell ref="B157:C157"/>
    <mergeCell ref="D163:J163"/>
    <mergeCell ref="H126:I126"/>
    <mergeCell ref="D127:E127"/>
    <mergeCell ref="F127:G127"/>
    <mergeCell ref="H127:I127"/>
    <mergeCell ref="D128:E128"/>
    <mergeCell ref="F128:G128"/>
    <mergeCell ref="H128:I128"/>
    <mergeCell ref="B33:C33"/>
    <mergeCell ref="B26:C26"/>
    <mergeCell ref="B29:C30"/>
    <mergeCell ref="B31:C31"/>
    <mergeCell ref="B32:C32"/>
    <mergeCell ref="B34:C34"/>
    <mergeCell ref="B35:C35"/>
    <mergeCell ref="H87:I87"/>
    <mergeCell ref="D82:J84"/>
    <mergeCell ref="F87:G87"/>
    <mergeCell ref="F85:G86"/>
    <mergeCell ref="H85:I86"/>
    <mergeCell ref="D26:J26"/>
    <mergeCell ref="D31:J31"/>
    <mergeCell ref="D32:J32"/>
    <mergeCell ref="D33:J33"/>
    <mergeCell ref="J85:J86"/>
    <mergeCell ref="D29:J30"/>
    <mergeCell ref="D27:J27"/>
    <mergeCell ref="D34:J38"/>
    <mergeCell ref="D39:J41"/>
    <mergeCell ref="F63:G63"/>
    <mergeCell ref="F64:G64"/>
    <mergeCell ref="F54:G54"/>
    <mergeCell ref="B20:C20"/>
    <mergeCell ref="D24:J24"/>
    <mergeCell ref="B21:C21"/>
    <mergeCell ref="D25:J25"/>
    <mergeCell ref="B22:C22"/>
    <mergeCell ref="B23:C23"/>
    <mergeCell ref="D21:J21"/>
    <mergeCell ref="D22:J22"/>
    <mergeCell ref="B24:C24"/>
    <mergeCell ref="B25:C25"/>
    <mergeCell ref="D20:J20"/>
    <mergeCell ref="D23:J23"/>
    <mergeCell ref="B15:J15"/>
    <mergeCell ref="B7:J9"/>
    <mergeCell ref="B10:J13"/>
    <mergeCell ref="D17:J17"/>
    <mergeCell ref="D19:J19"/>
    <mergeCell ref="B17:C17"/>
    <mergeCell ref="B19:C19"/>
    <mergeCell ref="D18:J18"/>
    <mergeCell ref="B18:C18"/>
    <mergeCell ref="B268:J269"/>
    <mergeCell ref="B262:J262"/>
    <mergeCell ref="B253:J256"/>
    <mergeCell ref="D121:E122"/>
    <mergeCell ref="D123:E123"/>
    <mergeCell ref="D155:J156"/>
    <mergeCell ref="D124:E124"/>
    <mergeCell ref="D154:J154"/>
    <mergeCell ref="D184:J186"/>
    <mergeCell ref="H123:I123"/>
    <mergeCell ref="D166:J166"/>
    <mergeCell ref="F121:G122"/>
    <mergeCell ref="B163:C163"/>
    <mergeCell ref="B159:C159"/>
    <mergeCell ref="B232:J233"/>
    <mergeCell ref="B240:J243"/>
    <mergeCell ref="D187:J189"/>
    <mergeCell ref="D125:E125"/>
    <mergeCell ref="F125:G125"/>
    <mergeCell ref="H125:I125"/>
    <mergeCell ref="D126:E126"/>
    <mergeCell ref="F126:G126"/>
    <mergeCell ref="B160:C160"/>
    <mergeCell ref="D180:J181"/>
    <mergeCell ref="B320:E320"/>
    <mergeCell ref="B258:J259"/>
    <mergeCell ref="B287:J287"/>
    <mergeCell ref="B283:J284"/>
    <mergeCell ref="G297:J297"/>
    <mergeCell ref="B300:J302"/>
    <mergeCell ref="B289:J289"/>
    <mergeCell ref="B266:J266"/>
    <mergeCell ref="D291:D293"/>
    <mergeCell ref="C278:D278"/>
    <mergeCell ref="E291:E293"/>
    <mergeCell ref="B271:J271"/>
    <mergeCell ref="B291:B293"/>
    <mergeCell ref="C291:C293"/>
    <mergeCell ref="F291:F293"/>
    <mergeCell ref="H291:H293"/>
    <mergeCell ref="I291:I293"/>
    <mergeCell ref="J291:J293"/>
    <mergeCell ref="B273:J275"/>
    <mergeCell ref="B267:J267"/>
    <mergeCell ref="C280:D280"/>
    <mergeCell ref="C279:D279"/>
    <mergeCell ref="B264:J265"/>
    <mergeCell ref="C281:D281"/>
    <mergeCell ref="B290:J290"/>
    <mergeCell ref="B4:J4"/>
    <mergeCell ref="B178:J178"/>
    <mergeCell ref="B251:J251"/>
    <mergeCell ref="B211:H211"/>
    <mergeCell ref="B212:H212"/>
    <mergeCell ref="B236:J239"/>
    <mergeCell ref="B234:J235"/>
    <mergeCell ref="G230:J230"/>
    <mergeCell ref="B194:J196"/>
    <mergeCell ref="B213:H213"/>
    <mergeCell ref="D167:J168"/>
    <mergeCell ref="H215:H216"/>
    <mergeCell ref="D182:J183"/>
    <mergeCell ref="B210:G210"/>
    <mergeCell ref="B202:B203"/>
    <mergeCell ref="B231:J231"/>
    <mergeCell ref="G228:J228"/>
    <mergeCell ref="B192:J192"/>
    <mergeCell ref="B198:J199"/>
    <mergeCell ref="D28:J28"/>
    <mergeCell ref="D85:E86"/>
    <mergeCell ref="G225:J227"/>
    <mergeCell ref="G229:J229"/>
  </mergeCells>
  <phoneticPr fontId="0" type="noConversion"/>
  <printOptions horizontalCentered="1" verticalCentered="1"/>
  <pageMargins left="0.23622047244094491" right="0.23622047244094491" top="0.23622047244094491" bottom="0.39370078740157483" header="0.23622047244094491" footer="0.19685039370078741"/>
  <pageSetup paperSize="9" scale="85" orientation="portrait" r:id="rId1"/>
  <headerFooter alignWithMargins="0">
    <oddFooter>&amp;R&amp;P</oddFooter>
  </headerFooter>
  <rowBreaks count="2" manualBreakCount="2">
    <brk id="174" max="10" man="1"/>
    <brk id="247" max="10" man="1"/>
  </rowBreaks>
  <ignoredErrors>
    <ignoredError sqref="G279:G280" formula="1"/>
  </ignoredErrors>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Fogli di lavoro</vt:lpstr>
      </vt:variant>
      <vt:variant>
        <vt:i4>4</vt:i4>
      </vt:variant>
      <vt:variant>
        <vt:lpstr>Intervalli denominati</vt:lpstr>
      </vt:variant>
      <vt:variant>
        <vt:i4>1</vt:i4>
      </vt:variant>
    </vt:vector>
  </HeadingPairs>
  <TitlesOfParts>
    <vt:vector size="5" baseType="lpstr">
      <vt:lpstr>Dati_G</vt:lpstr>
      <vt:lpstr>Autocallable</vt:lpstr>
      <vt:lpstr>Credit Spread</vt:lpstr>
      <vt:lpstr>IdR</vt:lpstr>
      <vt:lpstr>IdR!Area_stampa</vt:lpstr>
    </vt:vector>
  </TitlesOfParts>
  <Company>sanpaoloIMI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u024862</dc:creator>
  <cp:lastModifiedBy>Umberto Merlino</cp:lastModifiedBy>
  <cp:lastPrinted>2018-10-26T15:40:59Z</cp:lastPrinted>
  <dcterms:created xsi:type="dcterms:W3CDTF">2007-09-05T08:06:35Z</dcterms:created>
  <dcterms:modified xsi:type="dcterms:W3CDTF">2019-03-25T13:51:53Z</dcterms:modified>
</cp:coreProperties>
</file>