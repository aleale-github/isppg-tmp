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Questa_cartella_di_lavoro" defaultThemeVersion="124226"/>
  <mc:AlternateContent xmlns:mc="http://schemas.openxmlformats.org/markup-compatibility/2006">
    <mc:Choice Requires="x15">
      <x15ac:absPath xmlns:x15ac="http://schemas.microsoft.com/office/spreadsheetml/2010/11/ac" url="X:\PRODUCT_TESTING\ProdottiFinanziari\Banca IMI\201905\C_Standard_Long_Digital_Autocallable_Barrier\Fideuram\MB_IM_TEST\Pre Analisi\"/>
    </mc:Choice>
  </mc:AlternateContent>
  <bookViews>
    <workbookView xWindow="-210" yWindow="285" windowWidth="20730" windowHeight="11760" tabRatio="783" activeTab="1"/>
  </bookViews>
  <sheets>
    <sheet name="SLABP_MB_IM_3Y" sheetId="16" r:id="rId1"/>
    <sheet name="OUTPUT TESTING" sheetId="22" r:id="rId2"/>
  </sheets>
  <externalReferences>
    <externalReference r:id="rId3"/>
  </externalReferences>
  <calcPr calcId="171027"/>
</workbook>
</file>

<file path=xl/calcChain.xml><?xml version="1.0" encoding="utf-8"?>
<calcChain xmlns="http://schemas.openxmlformats.org/spreadsheetml/2006/main">
  <c r="K11" i="16" l="1"/>
  <c r="BY2" i="22"/>
  <c r="DQ46" i="16"/>
  <c r="DQ45" i="16"/>
  <c r="DQ44" i="16"/>
  <c r="DQ43" i="16"/>
  <c r="DN46" i="16"/>
  <c r="DN45" i="16"/>
  <c r="DN44" i="16"/>
  <c r="DN43" i="16"/>
  <c r="DK46" i="16"/>
  <c r="DK45" i="16"/>
  <c r="DK44" i="16"/>
  <c r="DK43" i="16"/>
  <c r="DH46" i="16"/>
  <c r="DH45" i="16"/>
  <c r="DH44" i="16"/>
  <c r="DH43" i="16"/>
  <c r="DE46" i="16"/>
  <c r="DE45" i="16"/>
  <c r="DE44" i="16"/>
  <c r="DE43" i="16"/>
  <c r="DB46" i="16"/>
  <c r="DB45" i="16"/>
  <c r="DB44" i="16"/>
  <c r="DB43" i="16"/>
  <c r="CY46" i="16"/>
  <c r="CY45" i="16"/>
  <c r="CY44" i="16"/>
  <c r="CY43" i="16"/>
  <c r="CV46" i="16"/>
  <c r="CV45" i="16"/>
  <c r="CV44" i="16"/>
  <c r="CV43" i="16"/>
  <c r="CS46" i="16"/>
  <c r="CS45" i="16"/>
  <c r="CS44" i="16"/>
  <c r="CS43" i="16"/>
  <c r="CP46" i="16"/>
  <c r="CP45" i="16"/>
  <c r="CP44" i="16"/>
  <c r="CP43" i="16"/>
  <c r="CM46" i="16"/>
  <c r="CM45" i="16"/>
  <c r="CM44" i="16"/>
  <c r="CM43" i="16"/>
  <c r="CJ46" i="16"/>
  <c r="CJ45" i="16"/>
  <c r="CJ44" i="16"/>
  <c r="CJ43" i="16"/>
  <c r="CG46" i="16"/>
  <c r="CG45" i="16"/>
  <c r="CG44" i="16"/>
  <c r="CG43" i="16"/>
  <c r="CD46" i="16"/>
  <c r="CD45" i="16"/>
  <c r="CD44" i="16"/>
  <c r="CD43" i="16"/>
  <c r="CA46" i="16"/>
  <c r="CA45" i="16"/>
  <c r="CA44" i="16"/>
  <c r="CA43" i="16"/>
  <c r="BX46" i="16"/>
  <c r="BX45" i="16"/>
  <c r="BX44" i="16"/>
  <c r="BX43" i="16"/>
  <c r="BU46" i="16"/>
  <c r="BU45" i="16"/>
  <c r="BU44" i="16"/>
  <c r="BU43" i="16"/>
  <c r="BR46" i="16"/>
  <c r="BR45" i="16"/>
  <c r="BR44" i="16"/>
  <c r="BR43" i="16"/>
  <c r="BO46" i="16"/>
  <c r="BO45" i="16"/>
  <c r="BO44" i="16"/>
  <c r="BO43" i="16"/>
  <c r="BL46" i="16"/>
  <c r="BL45" i="16"/>
  <c r="BL44" i="16"/>
  <c r="BL43" i="16"/>
  <c r="BI46" i="16"/>
  <c r="BI45" i="16"/>
  <c r="BI44" i="16"/>
  <c r="BI43" i="16"/>
  <c r="BF46" i="16"/>
  <c r="BF45" i="16"/>
  <c r="BF44" i="16"/>
  <c r="BF43" i="16"/>
  <c r="BC46" i="16"/>
  <c r="BC45" i="16"/>
  <c r="BC44" i="16"/>
  <c r="BC43" i="16"/>
  <c r="AZ46" i="16"/>
  <c r="AZ45" i="16"/>
  <c r="AZ44" i="16"/>
  <c r="AZ43" i="16"/>
  <c r="AW46" i="16"/>
  <c r="AW45" i="16"/>
  <c r="AW44" i="16"/>
  <c r="AW43" i="16"/>
  <c r="AT46" i="16"/>
  <c r="AT45" i="16"/>
  <c r="AT44" i="16"/>
  <c r="AT43" i="16"/>
  <c r="AQ46" i="16"/>
  <c r="AQ45" i="16"/>
  <c r="AQ44" i="16"/>
  <c r="AQ43" i="16"/>
  <c r="AN46" i="16"/>
  <c r="AN45" i="16"/>
  <c r="AN44" i="16"/>
  <c r="AN43" i="16"/>
  <c r="AK46" i="16"/>
  <c r="AK45" i="16"/>
  <c r="AK44" i="16"/>
  <c r="AK43" i="16"/>
  <c r="AH46" i="16"/>
  <c r="AH45" i="16"/>
  <c r="AH44" i="16"/>
  <c r="AH43" i="16"/>
  <c r="AE46" i="16"/>
  <c r="AE45" i="16"/>
  <c r="AE44" i="16"/>
  <c r="AE43" i="16"/>
  <c r="AB46" i="16"/>
  <c r="AB45" i="16"/>
  <c r="AB44" i="16"/>
  <c r="AB43" i="16"/>
  <c r="Y46" i="16"/>
  <c r="Y45" i="16"/>
  <c r="Y44" i="16"/>
  <c r="Y43" i="16"/>
  <c r="V46" i="16"/>
  <c r="V45" i="16"/>
  <c r="V44" i="16"/>
  <c r="V43" i="16"/>
  <c r="S46" i="16"/>
  <c r="S45" i="16"/>
  <c r="S44" i="16"/>
  <c r="S43" i="16"/>
  <c r="P46" i="16"/>
  <c r="P45" i="16"/>
  <c r="P44" i="16"/>
  <c r="P43" i="16"/>
  <c r="L29" i="16"/>
  <c r="L28" i="16"/>
  <c r="L27" i="16"/>
  <c r="L26" i="16"/>
  <c r="L25" i="16"/>
  <c r="L24" i="16"/>
  <c r="L23" i="16"/>
  <c r="L22" i="16"/>
  <c r="L21" i="16"/>
  <c r="K22" i="16"/>
  <c r="K21" i="16"/>
  <c r="J26" i="16"/>
  <c r="J25" i="16"/>
  <c r="J24" i="16"/>
  <c r="J23" i="16"/>
  <c r="J22" i="16"/>
  <c r="J21" i="16"/>
  <c r="L51" i="16" l="1"/>
  <c r="F77" i="16" l="1"/>
  <c r="F75" i="16"/>
  <c r="F73" i="16"/>
  <c r="F71" i="16"/>
  <c r="F69" i="16"/>
  <c r="F67" i="16"/>
  <c r="F65" i="16"/>
  <c r="F63" i="16"/>
  <c r="F61" i="16"/>
  <c r="F59" i="16"/>
  <c r="F57" i="16"/>
  <c r="F55" i="16"/>
  <c r="F53" i="16"/>
  <c r="F51" i="16"/>
  <c r="F49" i="16"/>
  <c r="F47" i="16"/>
  <c r="F45" i="16"/>
  <c r="F43" i="16"/>
  <c r="F41" i="16"/>
  <c r="F39" i="16"/>
  <c r="F37" i="16"/>
  <c r="F35" i="16"/>
  <c r="F33" i="16"/>
  <c r="F31" i="16"/>
  <c r="F29" i="16"/>
  <c r="F27" i="16"/>
  <c r="F25" i="16"/>
  <c r="F23" i="16"/>
  <c r="F5" i="16" l="1"/>
  <c r="A58" i="16"/>
  <c r="E56" i="16"/>
  <c r="AI12" i="22" l="1"/>
  <c r="AT34" i="22" l="1"/>
  <c r="AU34" i="22"/>
  <c r="AV34" i="22"/>
  <c r="AW34" i="22"/>
  <c r="AX34" i="22"/>
  <c r="AY34" i="22"/>
  <c r="AZ34" i="22"/>
  <c r="BA34" i="22"/>
  <c r="BB34" i="22"/>
  <c r="BC34" i="22"/>
  <c r="BD34" i="22"/>
  <c r="BE34" i="22"/>
  <c r="BF34" i="22"/>
  <c r="BG34" i="22"/>
  <c r="BH34" i="22"/>
  <c r="BI34" i="22"/>
  <c r="BJ34" i="22"/>
  <c r="BK34" i="22"/>
  <c r="BL34" i="22"/>
  <c r="BM34" i="22"/>
  <c r="BN34" i="22"/>
  <c r="BO34" i="22"/>
  <c r="BP34" i="22"/>
  <c r="BQ34" i="22"/>
  <c r="BR34" i="22"/>
  <c r="BS34" i="22"/>
  <c r="BT34" i="22"/>
  <c r="BU34" i="22"/>
  <c r="BV34" i="22"/>
  <c r="BW34" i="22"/>
  <c r="AT23" i="22"/>
  <c r="AU23" i="22"/>
  <c r="AV23" i="22"/>
  <c r="AW23" i="22"/>
  <c r="AX23" i="22"/>
  <c r="AY23" i="22"/>
  <c r="AZ23" i="22"/>
  <c r="BA23" i="22"/>
  <c r="BB23" i="22"/>
  <c r="BC23" i="22"/>
  <c r="BD23" i="22"/>
  <c r="BE23" i="22"/>
  <c r="BF23" i="22"/>
  <c r="BG23" i="22"/>
  <c r="BH23" i="22"/>
  <c r="BI23" i="22"/>
  <c r="BJ23" i="22"/>
  <c r="BK23" i="22"/>
  <c r="BL23" i="22"/>
  <c r="BM23" i="22"/>
  <c r="BN23" i="22"/>
  <c r="BO23" i="22"/>
  <c r="BP23" i="22"/>
  <c r="BQ23" i="22"/>
  <c r="BR23" i="22"/>
  <c r="BS23" i="22"/>
  <c r="BT23" i="22"/>
  <c r="BU23" i="22"/>
  <c r="BV23" i="22"/>
  <c r="BW23" i="22"/>
  <c r="AT24" i="22"/>
  <c r="AU24" i="22"/>
  <c r="AV24" i="22"/>
  <c r="AW24" i="22"/>
  <c r="AX24" i="22"/>
  <c r="AY24" i="22"/>
  <c r="AZ24" i="22"/>
  <c r="BA24" i="22"/>
  <c r="BB24" i="22"/>
  <c r="BC24" i="22"/>
  <c r="BD24" i="22"/>
  <c r="BE24" i="22"/>
  <c r="BF24" i="22"/>
  <c r="BG24" i="22"/>
  <c r="BH24" i="22"/>
  <c r="BI24" i="22"/>
  <c r="BJ24" i="22"/>
  <c r="BK24" i="22"/>
  <c r="BL24" i="22"/>
  <c r="BM24" i="22"/>
  <c r="BN24" i="22"/>
  <c r="BO24" i="22"/>
  <c r="BP24" i="22"/>
  <c r="BQ24" i="22"/>
  <c r="BR24" i="22"/>
  <c r="BS24" i="22"/>
  <c r="BT24" i="22"/>
  <c r="BU24" i="22"/>
  <c r="BV24" i="22"/>
  <c r="BW24" i="22"/>
  <c r="AT25" i="22"/>
  <c r="AU25" i="22"/>
  <c r="AV25" i="22"/>
  <c r="AW25" i="22"/>
  <c r="AX25" i="22"/>
  <c r="AY25" i="22"/>
  <c r="AZ25" i="22"/>
  <c r="BA25" i="22"/>
  <c r="BB25" i="22"/>
  <c r="BC25" i="22"/>
  <c r="BD25" i="22"/>
  <c r="BE25" i="22"/>
  <c r="BF25" i="22"/>
  <c r="BG25" i="22"/>
  <c r="BH25" i="22"/>
  <c r="BI25" i="22"/>
  <c r="BJ25" i="22"/>
  <c r="BK25" i="22"/>
  <c r="BL25" i="22"/>
  <c r="BM25" i="22"/>
  <c r="BN25" i="22"/>
  <c r="BO25" i="22"/>
  <c r="BP25" i="22"/>
  <c r="BQ25" i="22"/>
  <c r="BR25" i="22"/>
  <c r="BS25" i="22"/>
  <c r="BT25" i="22"/>
  <c r="BU25" i="22"/>
  <c r="BV25" i="22"/>
  <c r="BW25" i="22"/>
  <c r="AT26" i="22"/>
  <c r="AU26" i="22"/>
  <c r="AV26" i="22"/>
  <c r="AW26" i="22"/>
  <c r="AX26" i="22"/>
  <c r="AY26" i="22"/>
  <c r="AZ26" i="22"/>
  <c r="BA26" i="22"/>
  <c r="BB26" i="22"/>
  <c r="BC26" i="22"/>
  <c r="BD26" i="22"/>
  <c r="BE26" i="22"/>
  <c r="BF26" i="22"/>
  <c r="BG26" i="22"/>
  <c r="BH26" i="22"/>
  <c r="BI26" i="22"/>
  <c r="BJ26" i="22"/>
  <c r="BK26" i="22"/>
  <c r="BL26" i="22"/>
  <c r="BM26" i="22"/>
  <c r="BN26" i="22"/>
  <c r="BO26" i="22"/>
  <c r="BP26" i="22"/>
  <c r="BQ26" i="22"/>
  <c r="BR26" i="22"/>
  <c r="BS26" i="22"/>
  <c r="BT26" i="22"/>
  <c r="BU26" i="22"/>
  <c r="BV26" i="22"/>
  <c r="BW26" i="22"/>
  <c r="AT27" i="22"/>
  <c r="AU27" i="22"/>
  <c r="AV27" i="22"/>
  <c r="AW27" i="22"/>
  <c r="AX27" i="22"/>
  <c r="AY27" i="22"/>
  <c r="AZ27" i="22"/>
  <c r="BA27" i="22"/>
  <c r="BB27" i="22"/>
  <c r="BC27" i="22"/>
  <c r="BD27" i="22"/>
  <c r="BE27" i="22"/>
  <c r="BF27" i="22"/>
  <c r="BG27" i="22"/>
  <c r="BH27" i="22"/>
  <c r="BI27" i="22"/>
  <c r="BJ27" i="22"/>
  <c r="BK27" i="22"/>
  <c r="BL27" i="22"/>
  <c r="BM27" i="22"/>
  <c r="BN27" i="22"/>
  <c r="BO27" i="22"/>
  <c r="BP27" i="22"/>
  <c r="BQ27" i="22"/>
  <c r="BR27" i="22"/>
  <c r="BS27" i="22"/>
  <c r="BT27" i="22"/>
  <c r="BU27" i="22"/>
  <c r="BV27" i="22"/>
  <c r="BW27" i="22"/>
  <c r="AT28" i="22"/>
  <c r="AU28" i="22"/>
  <c r="AV28" i="22"/>
  <c r="AW28" i="22"/>
  <c r="AX28" i="22"/>
  <c r="AY28" i="22"/>
  <c r="AZ28" i="22"/>
  <c r="BA28" i="22"/>
  <c r="BB28" i="22"/>
  <c r="BC28" i="22"/>
  <c r="BD28" i="22"/>
  <c r="BE28" i="22"/>
  <c r="BF28" i="22"/>
  <c r="BG28" i="22"/>
  <c r="BH28" i="22"/>
  <c r="BI28" i="22"/>
  <c r="BJ28" i="22"/>
  <c r="BK28" i="22"/>
  <c r="BL28" i="22"/>
  <c r="BM28" i="22"/>
  <c r="BN28" i="22"/>
  <c r="BO28" i="22"/>
  <c r="BP28" i="22"/>
  <c r="BQ28" i="22"/>
  <c r="BR28" i="22"/>
  <c r="BS28" i="22"/>
  <c r="BT28" i="22"/>
  <c r="BU28" i="22"/>
  <c r="BV28" i="22"/>
  <c r="BW28" i="22"/>
  <c r="AT29" i="22"/>
  <c r="AU29" i="22"/>
  <c r="AV29" i="22"/>
  <c r="AW29" i="22"/>
  <c r="AX29" i="22"/>
  <c r="AY29" i="22"/>
  <c r="AZ29" i="22"/>
  <c r="BA29" i="22"/>
  <c r="BB29" i="22"/>
  <c r="BC29" i="22"/>
  <c r="BD29" i="22"/>
  <c r="BE29" i="22"/>
  <c r="BF29" i="22"/>
  <c r="BG29" i="22"/>
  <c r="BH29" i="22"/>
  <c r="BI29" i="22"/>
  <c r="BJ29" i="22"/>
  <c r="BK29" i="22"/>
  <c r="BL29" i="22"/>
  <c r="BM29" i="22"/>
  <c r="BN29" i="22"/>
  <c r="BO29" i="22"/>
  <c r="BP29" i="22"/>
  <c r="BQ29" i="22"/>
  <c r="BR29" i="22"/>
  <c r="BS29" i="22"/>
  <c r="BT29" i="22"/>
  <c r="BU29" i="22"/>
  <c r="BV29" i="22"/>
  <c r="BW29" i="22"/>
  <c r="AT30" i="22"/>
  <c r="AU30" i="22"/>
  <c r="AV30" i="22"/>
  <c r="AW30" i="22"/>
  <c r="AX30" i="22"/>
  <c r="AY30" i="22"/>
  <c r="AZ30" i="22"/>
  <c r="BA30" i="22"/>
  <c r="BB30" i="22"/>
  <c r="BC30" i="22"/>
  <c r="BD30" i="22"/>
  <c r="BE30" i="22"/>
  <c r="BF30" i="22"/>
  <c r="BG30" i="22"/>
  <c r="BH30" i="22"/>
  <c r="BI30" i="22"/>
  <c r="BJ30" i="22"/>
  <c r="BK30" i="22"/>
  <c r="BL30" i="22"/>
  <c r="BM30" i="22"/>
  <c r="BN30" i="22"/>
  <c r="BO30" i="22"/>
  <c r="BP30" i="22"/>
  <c r="BQ30" i="22"/>
  <c r="BR30" i="22"/>
  <c r="BS30" i="22"/>
  <c r="BT30" i="22"/>
  <c r="BU30" i="22"/>
  <c r="BV30" i="22"/>
  <c r="BW30" i="22"/>
  <c r="AT18" i="22"/>
  <c r="AU18" i="22"/>
  <c r="AV18" i="22"/>
  <c r="AW18" i="22"/>
  <c r="AX18" i="22"/>
  <c r="AY18" i="22"/>
  <c r="AZ18" i="22"/>
  <c r="BA18" i="22"/>
  <c r="BB18" i="22"/>
  <c r="BC18" i="22"/>
  <c r="BD18" i="22"/>
  <c r="BE18" i="22"/>
  <c r="BF18" i="22"/>
  <c r="BG18" i="22"/>
  <c r="BH18" i="22"/>
  <c r="BI18" i="22"/>
  <c r="BJ18" i="22"/>
  <c r="BK18" i="22"/>
  <c r="BL18" i="22"/>
  <c r="BM18" i="22"/>
  <c r="BN18" i="22"/>
  <c r="BO18" i="22"/>
  <c r="BP18" i="22"/>
  <c r="BQ18" i="22"/>
  <c r="BR18" i="22"/>
  <c r="BS18" i="22"/>
  <c r="BT18" i="22"/>
  <c r="BU18" i="22"/>
  <c r="BV18" i="22"/>
  <c r="BW18" i="22"/>
  <c r="AT16" i="22"/>
  <c r="AU16" i="22"/>
  <c r="AV16" i="22"/>
  <c r="AW16" i="22"/>
  <c r="AX16" i="22"/>
  <c r="AY16" i="22"/>
  <c r="AZ16" i="22"/>
  <c r="BA16" i="22"/>
  <c r="BB16" i="22"/>
  <c r="BC16" i="22"/>
  <c r="BD16" i="22"/>
  <c r="BE16" i="22"/>
  <c r="BF16" i="22"/>
  <c r="BG16" i="22"/>
  <c r="BH16" i="22"/>
  <c r="BI16" i="22"/>
  <c r="BJ16" i="22"/>
  <c r="BK16" i="22"/>
  <c r="BL16" i="22"/>
  <c r="BM16" i="22"/>
  <c r="BN16" i="22"/>
  <c r="BO16" i="22"/>
  <c r="BP16" i="22"/>
  <c r="BQ16" i="22"/>
  <c r="BR16" i="22"/>
  <c r="BS16" i="22"/>
  <c r="BT16" i="22"/>
  <c r="BU16" i="22"/>
  <c r="BV16" i="22"/>
  <c r="BW16" i="22"/>
  <c r="AT13" i="22"/>
  <c r="AU13" i="22"/>
  <c r="AV13" i="22"/>
  <c r="AW13" i="22"/>
  <c r="AX13" i="22"/>
  <c r="AY13" i="22"/>
  <c r="AZ13" i="22"/>
  <c r="BA13" i="22"/>
  <c r="BB13" i="22"/>
  <c r="BC13" i="22"/>
  <c r="BD13" i="22"/>
  <c r="BE13" i="22"/>
  <c r="BF13" i="22"/>
  <c r="BG13" i="22"/>
  <c r="BH13" i="22"/>
  <c r="BI13" i="22"/>
  <c r="BJ13" i="22"/>
  <c r="BK13" i="22"/>
  <c r="BL13" i="22"/>
  <c r="BM13" i="22"/>
  <c r="BN13" i="22"/>
  <c r="BO13" i="22"/>
  <c r="BP13" i="22"/>
  <c r="BQ13" i="22"/>
  <c r="BR13" i="22"/>
  <c r="BS13" i="22"/>
  <c r="BT13" i="22"/>
  <c r="BU13" i="22"/>
  <c r="BV13" i="22"/>
  <c r="BW13" i="22"/>
  <c r="AT11" i="22"/>
  <c r="AU11" i="22"/>
  <c r="AV11" i="22"/>
  <c r="AW11" i="22"/>
  <c r="AX11" i="22"/>
  <c r="AY11" i="22"/>
  <c r="AZ11" i="22"/>
  <c r="BA11" i="22"/>
  <c r="BB11" i="22"/>
  <c r="BC11" i="22"/>
  <c r="BD11" i="22"/>
  <c r="BE11" i="22"/>
  <c r="BF11" i="22"/>
  <c r="BG11" i="22"/>
  <c r="BH11" i="22"/>
  <c r="BI11" i="22"/>
  <c r="BJ11" i="22"/>
  <c r="BK11" i="22"/>
  <c r="BL11" i="22"/>
  <c r="BM11" i="22"/>
  <c r="BN11" i="22"/>
  <c r="BO11" i="22"/>
  <c r="BP11" i="22"/>
  <c r="BQ11" i="22"/>
  <c r="BR11" i="22"/>
  <c r="BS11" i="22"/>
  <c r="BT11" i="22"/>
  <c r="BU11" i="22"/>
  <c r="BV11" i="22"/>
  <c r="BW11" i="22"/>
  <c r="BW9" i="22"/>
  <c r="AT9" i="22"/>
  <c r="AU9" i="22"/>
  <c r="AV9" i="22"/>
  <c r="AW9" i="22"/>
  <c r="AX9" i="22"/>
  <c r="AY9" i="22"/>
  <c r="AZ9" i="22"/>
  <c r="BA9" i="22"/>
  <c r="BB9" i="22"/>
  <c r="BC9" i="22"/>
  <c r="BD9" i="22"/>
  <c r="BE9" i="22"/>
  <c r="BF9" i="22"/>
  <c r="BG9" i="22"/>
  <c r="BH9" i="22"/>
  <c r="BI9" i="22"/>
  <c r="BJ9" i="22"/>
  <c r="BK9" i="22"/>
  <c r="BL9" i="22"/>
  <c r="BM9" i="22"/>
  <c r="BN9" i="22"/>
  <c r="BO9" i="22"/>
  <c r="BP9" i="22"/>
  <c r="BQ9" i="22"/>
  <c r="BR9" i="22"/>
  <c r="BS9" i="22"/>
  <c r="BT9" i="22"/>
  <c r="BU9" i="22"/>
  <c r="BV9" i="22"/>
  <c r="E17" i="22"/>
  <c r="E8" i="22"/>
  <c r="E10" i="22" s="1"/>
  <c r="AD5" i="16"/>
  <c r="B15" i="16"/>
  <c r="AE12" i="16" s="1"/>
  <c r="B16" i="16" l="1"/>
  <c r="AE7" i="16" s="1"/>
  <c r="AE8" i="16" s="1"/>
  <c r="AE9" i="16" s="1"/>
  <c r="AE10" i="16" s="1"/>
  <c r="AE11" i="16" s="1"/>
  <c r="E15" i="22"/>
  <c r="AS34" i="22"/>
  <c r="AS24" i="22"/>
  <c r="AS25" i="22"/>
  <c r="AS26" i="22"/>
  <c r="AS27" i="22"/>
  <c r="AS28" i="22"/>
  <c r="AS29" i="22"/>
  <c r="AS30" i="22"/>
  <c r="AS23" i="22"/>
  <c r="AS18" i="22"/>
  <c r="AS16" i="22"/>
  <c r="AS13" i="22"/>
  <c r="AS11" i="22"/>
  <c r="AS9" i="22"/>
  <c r="X56" i="16"/>
  <c r="X55" i="16"/>
  <c r="X54" i="16"/>
  <c r="X53" i="16"/>
  <c r="X52" i="16"/>
  <c r="Y84" i="16"/>
  <c r="Y83" i="16"/>
  <c r="Y82" i="16"/>
  <c r="Y81" i="16"/>
  <c r="Y80" i="16"/>
  <c r="Y78" i="16"/>
  <c r="Y77" i="16"/>
  <c r="Y76" i="16"/>
  <c r="Y75" i="16"/>
  <c r="Y74" i="16"/>
  <c r="Y73" i="16"/>
  <c r="Y72" i="16"/>
  <c r="Y71" i="16"/>
  <c r="K7" i="16" l="1"/>
  <c r="AH7" i="16"/>
  <c r="S42" i="16"/>
  <c r="DP5" i="16"/>
  <c r="DM5" i="16"/>
  <c r="DJ5" i="16"/>
  <c r="DG5" i="16"/>
  <c r="DD5" i="16"/>
  <c r="DA5" i="16"/>
  <c r="CX5" i="16"/>
  <c r="CU5" i="16"/>
  <c r="CR5" i="16"/>
  <c r="CO5" i="16"/>
  <c r="CL5" i="16"/>
  <c r="CI5" i="16"/>
  <c r="CF5" i="16"/>
  <c r="CC5" i="16"/>
  <c r="BZ5" i="16"/>
  <c r="BW5" i="16"/>
  <c r="BT5" i="16"/>
  <c r="BQ5" i="16"/>
  <c r="BN5" i="16"/>
  <c r="BK5" i="16"/>
  <c r="BH5" i="16"/>
  <c r="BE5" i="16"/>
  <c r="BB5" i="16"/>
  <c r="AY5" i="16"/>
  <c r="AV5" i="16"/>
  <c r="AS5" i="16"/>
  <c r="AP5" i="16"/>
  <c r="AM5" i="16"/>
  <c r="AJ5" i="16"/>
  <c r="AG5" i="16"/>
  <c r="C12" i="16" l="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11" i="16"/>
  <c r="B2" i="22" l="1"/>
  <c r="AP6" i="22"/>
  <c r="AL6" i="22"/>
  <c r="E32" i="22"/>
  <c r="AD17" i="22"/>
  <c r="AC17" i="22"/>
  <c r="AB17" i="22"/>
  <c r="V17" i="22"/>
  <c r="U17" i="22"/>
  <c r="T17" i="22"/>
  <c r="N17" i="22"/>
  <c r="M17" i="22"/>
  <c r="L17" i="22"/>
  <c r="F17" i="22"/>
  <c r="AH8" i="22"/>
  <c r="AH10" i="22" s="1"/>
  <c r="AH17" i="22" s="1"/>
  <c r="AG8" i="22"/>
  <c r="AG15" i="22" s="1"/>
  <c r="AF8" i="22"/>
  <c r="AF10" i="22" s="1"/>
  <c r="AF17" i="22" s="1"/>
  <c r="AE8" i="22"/>
  <c r="AE15" i="22" s="1"/>
  <c r="AD8" i="22"/>
  <c r="AD10" i="22" s="1"/>
  <c r="AC8" i="22"/>
  <c r="AC10" i="22" s="1"/>
  <c r="AB8" i="22"/>
  <c r="AB10" i="22" s="1"/>
  <c r="AA8" i="22"/>
  <c r="AA15" i="22" s="1"/>
  <c r="Z8" i="22"/>
  <c r="Z10" i="22" s="1"/>
  <c r="Z17" i="22" s="1"/>
  <c r="Y8" i="22"/>
  <c r="Y15" i="22" s="1"/>
  <c r="X8" i="22"/>
  <c r="X10" i="22" s="1"/>
  <c r="X17" i="22" s="1"/>
  <c r="W8" i="22"/>
  <c r="W15" i="22" s="1"/>
  <c r="V8" i="22"/>
  <c r="V10" i="22" s="1"/>
  <c r="U8" i="22"/>
  <c r="U10" i="22" s="1"/>
  <c r="T8" i="22"/>
  <c r="T10" i="22" s="1"/>
  <c r="S8" i="22"/>
  <c r="S15" i="22" s="1"/>
  <c r="R8" i="22"/>
  <c r="R10" i="22" s="1"/>
  <c r="R17" i="22" s="1"/>
  <c r="Q8" i="22"/>
  <c r="Q15" i="22" s="1"/>
  <c r="P8" i="22"/>
  <c r="P10" i="22" s="1"/>
  <c r="P17" i="22" s="1"/>
  <c r="O8" i="22"/>
  <c r="O15" i="22" s="1"/>
  <c r="N8" i="22"/>
  <c r="N10" i="22" s="1"/>
  <c r="M8" i="22"/>
  <c r="M10" i="22" s="1"/>
  <c r="L8" i="22"/>
  <c r="L10" i="22" s="1"/>
  <c r="K8" i="22"/>
  <c r="K15" i="22" s="1"/>
  <c r="J8" i="22"/>
  <c r="J10" i="22" s="1"/>
  <c r="J17" i="22" s="1"/>
  <c r="I8" i="22"/>
  <c r="I15" i="22" s="1"/>
  <c r="H8" i="22"/>
  <c r="H10" i="22" s="1"/>
  <c r="H17" i="22" s="1"/>
  <c r="G8" i="22"/>
  <c r="G15" i="22" s="1"/>
  <c r="F8" i="22"/>
  <c r="F10" i="22" s="1"/>
  <c r="AL32" i="22" l="1"/>
  <c r="C44" i="22"/>
  <c r="AC15" i="22"/>
  <c r="U15" i="22"/>
  <c r="M15" i="22"/>
  <c r="I10" i="22"/>
  <c r="I17" i="22" s="1"/>
  <c r="Y10" i="22"/>
  <c r="Y17" i="22" s="1"/>
  <c r="AG10" i="22"/>
  <c r="AG17" i="22" s="1"/>
  <c r="Q10" i="22"/>
  <c r="Q17" i="22" s="1"/>
  <c r="K10" i="22"/>
  <c r="K17" i="22" s="1"/>
  <c r="S10" i="22"/>
  <c r="S17" i="22" s="1"/>
  <c r="AA10" i="22"/>
  <c r="AA17" i="22" s="1"/>
  <c r="H15" i="22"/>
  <c r="P15" i="22"/>
  <c r="X15" i="22"/>
  <c r="AF15" i="22"/>
  <c r="G10" i="22"/>
  <c r="G17" i="22" s="1"/>
  <c r="O10" i="22"/>
  <c r="O17" i="22" s="1"/>
  <c r="W10" i="22"/>
  <c r="W17" i="22" s="1"/>
  <c r="AE10" i="22"/>
  <c r="AE17" i="22" s="1"/>
  <c r="L15" i="22"/>
  <c r="T15" i="22"/>
  <c r="AB15" i="22"/>
  <c r="F15" i="22"/>
  <c r="J15" i="22"/>
  <c r="N15" i="22"/>
  <c r="R15" i="22"/>
  <c r="V15" i="22"/>
  <c r="Z15" i="22"/>
  <c r="AD15" i="22"/>
  <c r="AH15" i="22"/>
  <c r="AQ16" i="22" l="1"/>
  <c r="AP16" i="22"/>
  <c r="AN16" i="22"/>
  <c r="AM16" i="22"/>
  <c r="AL16" i="22"/>
  <c r="AQ15" i="22"/>
  <c r="AP15" i="22"/>
  <c r="AN15" i="22"/>
  <c r="AM15" i="22"/>
  <c r="AL15" i="22"/>
  <c r="O2" i="16" l="1"/>
  <c r="K5" i="16"/>
  <c r="K6" i="16"/>
  <c r="O6" i="16"/>
  <c r="S6" i="16"/>
  <c r="V6" i="16" s="1"/>
  <c r="Y6" i="16" s="1"/>
  <c r="AB6" i="16" s="1"/>
  <c r="O7" i="16"/>
  <c r="R7" i="16" s="1"/>
  <c r="U7" i="16" s="1"/>
  <c r="X7" i="16" s="1"/>
  <c r="K8" i="16"/>
  <c r="O8" i="16"/>
  <c r="R8" i="16" s="1"/>
  <c r="B11" i="16"/>
  <c r="K9" i="16"/>
  <c r="O9" i="16"/>
  <c r="R9" i="16" s="1"/>
  <c r="U9" i="16" s="1"/>
  <c r="X9" i="16" s="1"/>
  <c r="A10" i="16"/>
  <c r="K10" i="16"/>
  <c r="O10" i="16"/>
  <c r="R10" i="16" s="1"/>
  <c r="U10" i="16" s="1"/>
  <c r="X10" i="16" s="1"/>
  <c r="A11" i="16"/>
  <c r="O11" i="16"/>
  <c r="R11" i="16" s="1"/>
  <c r="U11" i="16" s="1"/>
  <c r="X11" i="16" s="1"/>
  <c r="A12" i="16"/>
  <c r="O12" i="16"/>
  <c r="R12" i="16" s="1"/>
  <c r="U12" i="16" s="1"/>
  <c r="X12" i="16" s="1"/>
  <c r="A13" i="16"/>
  <c r="O13" i="16"/>
  <c r="R13" i="16" s="1"/>
  <c r="U13" i="16" s="1"/>
  <c r="X13" i="16" s="1"/>
  <c r="A14" i="16"/>
  <c r="O14" i="16"/>
  <c r="R14" i="16" s="1"/>
  <c r="U14" i="16" s="1"/>
  <c r="X14" i="16" s="1"/>
  <c r="A15" i="16"/>
  <c r="O15" i="16"/>
  <c r="R15" i="16" s="1"/>
  <c r="U15" i="16" s="1"/>
  <c r="X15" i="16" s="1"/>
  <c r="A16" i="16"/>
  <c r="O16" i="16"/>
  <c r="R16" i="16" s="1"/>
  <c r="U16" i="16" s="1"/>
  <c r="X16" i="16" s="1"/>
  <c r="A17" i="16"/>
  <c r="O17" i="16"/>
  <c r="R17" i="16" s="1"/>
  <c r="U17" i="16" s="1"/>
  <c r="X17" i="16" s="1"/>
  <c r="A18" i="16"/>
  <c r="O18" i="16"/>
  <c r="R18" i="16" s="1"/>
  <c r="U18" i="16" s="1"/>
  <c r="X18" i="16" s="1"/>
  <c r="A19" i="16"/>
  <c r="O19" i="16"/>
  <c r="R19" i="16" s="1"/>
  <c r="U19" i="16" s="1"/>
  <c r="X19" i="16" s="1"/>
  <c r="A20" i="16"/>
  <c r="O20" i="16"/>
  <c r="R20" i="16" s="1"/>
  <c r="U20" i="16" s="1"/>
  <c r="X20" i="16" s="1"/>
  <c r="A21" i="16"/>
  <c r="O21" i="16"/>
  <c r="R21" i="16" s="1"/>
  <c r="U21" i="16" s="1"/>
  <c r="X21" i="16" s="1"/>
  <c r="A22" i="16"/>
  <c r="O22" i="16"/>
  <c r="R22" i="16" s="1"/>
  <c r="U22" i="16" s="1"/>
  <c r="X22" i="16" s="1"/>
  <c r="A23" i="16"/>
  <c r="O23" i="16"/>
  <c r="R23" i="16" s="1"/>
  <c r="U23" i="16" s="1"/>
  <c r="X23" i="16" s="1"/>
  <c r="A24" i="16"/>
  <c r="O24" i="16"/>
  <c r="R24" i="16" s="1"/>
  <c r="U24" i="16" s="1"/>
  <c r="X24" i="16" s="1"/>
  <c r="A25" i="16"/>
  <c r="O25" i="16"/>
  <c r="R25" i="16" s="1"/>
  <c r="U25" i="16" s="1"/>
  <c r="X25" i="16" s="1"/>
  <c r="A26" i="16"/>
  <c r="O26" i="16"/>
  <c r="R26" i="16" s="1"/>
  <c r="U26" i="16" s="1"/>
  <c r="X26" i="16" s="1"/>
  <c r="A27" i="16"/>
  <c r="O27" i="16"/>
  <c r="R27" i="16" s="1"/>
  <c r="U27" i="16" s="1"/>
  <c r="X27" i="16" s="1"/>
  <c r="A28" i="16"/>
  <c r="O28" i="16"/>
  <c r="R28" i="16" s="1"/>
  <c r="U28" i="16" s="1"/>
  <c r="X28" i="16" s="1"/>
  <c r="A29" i="16"/>
  <c r="O29" i="16"/>
  <c r="R29" i="16" s="1"/>
  <c r="U29" i="16" s="1"/>
  <c r="X29" i="16" s="1"/>
  <c r="A30" i="16"/>
  <c r="O30" i="16"/>
  <c r="R30" i="16" s="1"/>
  <c r="U30" i="16" s="1"/>
  <c r="X30" i="16" s="1"/>
  <c r="A31" i="16"/>
  <c r="O31" i="16"/>
  <c r="R31" i="16" s="1"/>
  <c r="U31" i="16" s="1"/>
  <c r="X31" i="16" s="1"/>
  <c r="A32" i="16"/>
  <c r="O32" i="16"/>
  <c r="R32" i="16" s="1"/>
  <c r="U32" i="16" s="1"/>
  <c r="X32" i="16" s="1"/>
  <c r="A33" i="16"/>
  <c r="O33" i="16"/>
  <c r="R33" i="16" s="1"/>
  <c r="U33" i="16" s="1"/>
  <c r="X33" i="16" s="1"/>
  <c r="A34" i="16"/>
  <c r="O34" i="16"/>
  <c r="R34" i="16" s="1"/>
  <c r="U34" i="16" s="1"/>
  <c r="X34" i="16" s="1"/>
  <c r="A35" i="16"/>
  <c r="O35" i="16"/>
  <c r="R35" i="16" s="1"/>
  <c r="U35" i="16" s="1"/>
  <c r="X35" i="16" s="1"/>
  <c r="A36" i="16"/>
  <c r="O36" i="16"/>
  <c r="R36" i="16" s="1"/>
  <c r="U36" i="16" s="1"/>
  <c r="X36" i="16" s="1"/>
  <c r="A37" i="16"/>
  <c r="O37" i="16"/>
  <c r="R37" i="16" s="1"/>
  <c r="U37" i="16" s="1"/>
  <c r="X37" i="16" s="1"/>
  <c r="A38" i="16"/>
  <c r="O38" i="16"/>
  <c r="R38" i="16" s="1"/>
  <c r="U38" i="16" s="1"/>
  <c r="X38" i="16" s="1"/>
  <c r="A39" i="16"/>
  <c r="O39" i="16"/>
  <c r="R39" i="16" s="1"/>
  <c r="U39" i="16" s="1"/>
  <c r="X39" i="16" s="1"/>
  <c r="A40" i="16"/>
  <c r="O40" i="16"/>
  <c r="R40" i="16" s="1"/>
  <c r="U40" i="16" s="1"/>
  <c r="X40" i="16" s="1"/>
  <c r="A41" i="16"/>
  <c r="O41" i="16"/>
  <c r="R41" i="16" s="1"/>
  <c r="U41" i="16" s="1"/>
  <c r="X41" i="16" s="1"/>
  <c r="A42" i="16"/>
  <c r="O42" i="16"/>
  <c r="M54" i="16"/>
  <c r="N54" i="16" s="1"/>
  <c r="A43" i="16"/>
  <c r="A44" i="16"/>
  <c r="A45" i="16"/>
  <c r="C45" i="16"/>
  <c r="C46" i="16"/>
  <c r="C47" i="16"/>
  <c r="P51" i="16"/>
  <c r="B54" i="16"/>
  <c r="C54" i="16"/>
  <c r="A56" i="16"/>
  <c r="P57" i="16"/>
  <c r="Q42" i="16" l="1"/>
  <c r="Q38" i="16"/>
  <c r="Q34" i="16"/>
  <c r="P34" i="16" s="1"/>
  <c r="Q30" i="16"/>
  <c r="P30" i="16" s="1"/>
  <c r="Q26" i="16"/>
  <c r="Q22" i="16"/>
  <c r="P22" i="16" s="1"/>
  <c r="Q18" i="16"/>
  <c r="P18" i="16" s="1"/>
  <c r="Q14" i="16"/>
  <c r="P14" i="16" s="1"/>
  <c r="Q10" i="16"/>
  <c r="Q41" i="16"/>
  <c r="Q37" i="16"/>
  <c r="P37" i="16" s="1"/>
  <c r="Q33" i="16"/>
  <c r="P33" i="16" s="1"/>
  <c r="Q29" i="16"/>
  <c r="Q25" i="16"/>
  <c r="P25" i="16" s="1"/>
  <c r="Q21" i="16"/>
  <c r="Q17" i="16"/>
  <c r="P17" i="16" s="1"/>
  <c r="Q13" i="16"/>
  <c r="Q9" i="16"/>
  <c r="P9" i="16" s="1"/>
  <c r="Q15" i="16"/>
  <c r="Q11" i="16"/>
  <c r="P11" i="16" s="1"/>
  <c r="Q40" i="16"/>
  <c r="Q36" i="16"/>
  <c r="P36" i="16" s="1"/>
  <c r="Q32" i="16"/>
  <c r="Q28" i="16"/>
  <c r="P28" i="16" s="1"/>
  <c r="Q24" i="16"/>
  <c r="Q20" i="16"/>
  <c r="Q16" i="16"/>
  <c r="P16" i="16" s="1"/>
  <c r="Q12" i="16"/>
  <c r="P12" i="16" s="1"/>
  <c r="Q8" i="16"/>
  <c r="Q39" i="16"/>
  <c r="Q35" i="16"/>
  <c r="P35" i="16" s="1"/>
  <c r="Q31" i="16"/>
  <c r="P31" i="16" s="1"/>
  <c r="Q27" i="16"/>
  <c r="Q23" i="16"/>
  <c r="P23" i="16" s="1"/>
  <c r="Q19" i="16"/>
  <c r="P19" i="16" s="1"/>
  <c r="Q7" i="16"/>
  <c r="P7" i="16" s="1"/>
  <c r="AA39" i="16"/>
  <c r="AD39" i="16"/>
  <c r="AA35" i="16"/>
  <c r="AG35" i="16" s="1"/>
  <c r="AJ35" i="16" s="1"/>
  <c r="AM35" i="16" s="1"/>
  <c r="AP35" i="16" s="1"/>
  <c r="AS35" i="16" s="1"/>
  <c r="AV35" i="16" s="1"/>
  <c r="AY35" i="16" s="1"/>
  <c r="BB35" i="16" s="1"/>
  <c r="BE35" i="16" s="1"/>
  <c r="BH35" i="16" s="1"/>
  <c r="BK35" i="16" s="1"/>
  <c r="BN35" i="16" s="1"/>
  <c r="BQ35" i="16" s="1"/>
  <c r="BT35" i="16" s="1"/>
  <c r="BW35" i="16" s="1"/>
  <c r="BZ35" i="16" s="1"/>
  <c r="CC35" i="16" s="1"/>
  <c r="CF35" i="16" s="1"/>
  <c r="CI35" i="16" s="1"/>
  <c r="CL35" i="16" s="1"/>
  <c r="CO35" i="16" s="1"/>
  <c r="CR35" i="16" s="1"/>
  <c r="CU35" i="16" s="1"/>
  <c r="CX35" i="16" s="1"/>
  <c r="AD35" i="16"/>
  <c r="AA31" i="16"/>
  <c r="AG31" i="16" s="1"/>
  <c r="AJ31" i="16" s="1"/>
  <c r="AM31" i="16" s="1"/>
  <c r="AP31" i="16" s="1"/>
  <c r="AS31" i="16" s="1"/>
  <c r="AV31" i="16" s="1"/>
  <c r="AY31" i="16" s="1"/>
  <c r="BB31" i="16" s="1"/>
  <c r="BE31" i="16" s="1"/>
  <c r="BH31" i="16" s="1"/>
  <c r="BK31" i="16" s="1"/>
  <c r="BN31" i="16" s="1"/>
  <c r="BQ31" i="16" s="1"/>
  <c r="BT31" i="16" s="1"/>
  <c r="BW31" i="16" s="1"/>
  <c r="BZ31" i="16" s="1"/>
  <c r="CC31" i="16" s="1"/>
  <c r="CF31" i="16" s="1"/>
  <c r="CI31" i="16" s="1"/>
  <c r="CL31" i="16" s="1"/>
  <c r="AD31" i="16"/>
  <c r="AA27" i="16"/>
  <c r="AG27" i="16" s="1"/>
  <c r="AJ27" i="16" s="1"/>
  <c r="AM27" i="16" s="1"/>
  <c r="AP27" i="16" s="1"/>
  <c r="AS27" i="16" s="1"/>
  <c r="AV27" i="16" s="1"/>
  <c r="AY27" i="16" s="1"/>
  <c r="BB27" i="16" s="1"/>
  <c r="BE27" i="16" s="1"/>
  <c r="BH27" i="16" s="1"/>
  <c r="BK27" i="16" s="1"/>
  <c r="BN27" i="16" s="1"/>
  <c r="BQ27" i="16" s="1"/>
  <c r="BT27" i="16" s="1"/>
  <c r="BW27" i="16" s="1"/>
  <c r="BZ27" i="16" s="1"/>
  <c r="AD27" i="16"/>
  <c r="AA23" i="16"/>
  <c r="AG23" i="16" s="1"/>
  <c r="AJ23" i="16" s="1"/>
  <c r="AM23" i="16" s="1"/>
  <c r="AP23" i="16" s="1"/>
  <c r="AS23" i="16" s="1"/>
  <c r="AV23" i="16" s="1"/>
  <c r="AY23" i="16" s="1"/>
  <c r="BB23" i="16" s="1"/>
  <c r="BE23" i="16" s="1"/>
  <c r="BH23" i="16" s="1"/>
  <c r="BK23" i="16" s="1"/>
  <c r="BN23" i="16" s="1"/>
  <c r="AD23" i="16"/>
  <c r="AA19" i="16"/>
  <c r="AG19" i="16" s="1"/>
  <c r="AJ19" i="16" s="1"/>
  <c r="AM19" i="16" s="1"/>
  <c r="AP19" i="16" s="1"/>
  <c r="AS19" i="16" s="1"/>
  <c r="AV19" i="16" s="1"/>
  <c r="AY19" i="16" s="1"/>
  <c r="BB19" i="16" s="1"/>
  <c r="AD19" i="16"/>
  <c r="AA15" i="16"/>
  <c r="AG15" i="16" s="1"/>
  <c r="AJ15" i="16" s="1"/>
  <c r="AM15" i="16" s="1"/>
  <c r="AP15" i="16" s="1"/>
  <c r="AD15" i="16"/>
  <c r="AA11" i="16"/>
  <c r="AG11" i="16" s="1"/>
  <c r="AD11" i="16"/>
  <c r="AA38" i="16"/>
  <c r="AG38" i="16" s="1"/>
  <c r="AJ38" i="16" s="1"/>
  <c r="AM38" i="16" s="1"/>
  <c r="AP38" i="16" s="1"/>
  <c r="AS38" i="16" s="1"/>
  <c r="AV38" i="16" s="1"/>
  <c r="AY38" i="16" s="1"/>
  <c r="BB38" i="16" s="1"/>
  <c r="BE38" i="16" s="1"/>
  <c r="BH38" i="16" s="1"/>
  <c r="BK38" i="16" s="1"/>
  <c r="BN38" i="16" s="1"/>
  <c r="BQ38" i="16" s="1"/>
  <c r="BT38" i="16" s="1"/>
  <c r="BW38" i="16" s="1"/>
  <c r="BZ38" i="16" s="1"/>
  <c r="CC38" i="16" s="1"/>
  <c r="CF38" i="16" s="1"/>
  <c r="CI38" i="16" s="1"/>
  <c r="CL38" i="16" s="1"/>
  <c r="CO38" i="16" s="1"/>
  <c r="CR38" i="16" s="1"/>
  <c r="CU38" i="16" s="1"/>
  <c r="CX38" i="16" s="1"/>
  <c r="DA38" i="16" s="1"/>
  <c r="DD38" i="16" s="1"/>
  <c r="DG38" i="16" s="1"/>
  <c r="AD38" i="16"/>
  <c r="AA36" i="16"/>
  <c r="AG36" i="16" s="1"/>
  <c r="AJ36" i="16" s="1"/>
  <c r="AM36" i="16" s="1"/>
  <c r="AP36" i="16" s="1"/>
  <c r="AS36" i="16" s="1"/>
  <c r="AV36" i="16" s="1"/>
  <c r="AY36" i="16" s="1"/>
  <c r="BB36" i="16" s="1"/>
  <c r="BE36" i="16" s="1"/>
  <c r="BH36" i="16" s="1"/>
  <c r="BK36" i="16" s="1"/>
  <c r="BN36" i="16" s="1"/>
  <c r="BQ36" i="16" s="1"/>
  <c r="BT36" i="16" s="1"/>
  <c r="BW36" i="16" s="1"/>
  <c r="BZ36" i="16" s="1"/>
  <c r="CC36" i="16" s="1"/>
  <c r="CF36" i="16" s="1"/>
  <c r="CI36" i="16" s="1"/>
  <c r="CL36" i="16" s="1"/>
  <c r="CO36" i="16" s="1"/>
  <c r="CR36" i="16" s="1"/>
  <c r="CU36" i="16" s="1"/>
  <c r="CX36" i="16" s="1"/>
  <c r="DA36" i="16" s="1"/>
  <c r="AD36" i="16"/>
  <c r="AA34" i="16"/>
  <c r="AG34" i="16" s="1"/>
  <c r="AJ34" i="16" s="1"/>
  <c r="AM34" i="16" s="1"/>
  <c r="AP34" i="16" s="1"/>
  <c r="AS34" i="16" s="1"/>
  <c r="AV34" i="16" s="1"/>
  <c r="AY34" i="16" s="1"/>
  <c r="BB34" i="16" s="1"/>
  <c r="BE34" i="16" s="1"/>
  <c r="BH34" i="16" s="1"/>
  <c r="BK34" i="16" s="1"/>
  <c r="BN34" i="16" s="1"/>
  <c r="BQ34" i="16" s="1"/>
  <c r="BT34" i="16" s="1"/>
  <c r="BW34" i="16" s="1"/>
  <c r="BZ34" i="16" s="1"/>
  <c r="CC34" i="16" s="1"/>
  <c r="CF34" i="16" s="1"/>
  <c r="CI34" i="16" s="1"/>
  <c r="CL34" i="16" s="1"/>
  <c r="CO34" i="16" s="1"/>
  <c r="CR34" i="16" s="1"/>
  <c r="CU34" i="16" s="1"/>
  <c r="AD34" i="16"/>
  <c r="AA32" i="16"/>
  <c r="AG32" i="16" s="1"/>
  <c r="AJ32" i="16" s="1"/>
  <c r="AM32" i="16" s="1"/>
  <c r="AP32" i="16" s="1"/>
  <c r="AS32" i="16" s="1"/>
  <c r="AV32" i="16" s="1"/>
  <c r="AY32" i="16" s="1"/>
  <c r="BB32" i="16" s="1"/>
  <c r="BE32" i="16" s="1"/>
  <c r="BH32" i="16" s="1"/>
  <c r="BK32" i="16" s="1"/>
  <c r="BN32" i="16" s="1"/>
  <c r="BQ32" i="16" s="1"/>
  <c r="BT32" i="16" s="1"/>
  <c r="BW32" i="16" s="1"/>
  <c r="BZ32" i="16" s="1"/>
  <c r="CC32" i="16" s="1"/>
  <c r="CF32" i="16" s="1"/>
  <c r="CI32" i="16" s="1"/>
  <c r="CL32" i="16" s="1"/>
  <c r="CO32" i="16" s="1"/>
  <c r="AD32" i="16"/>
  <c r="AA30" i="16"/>
  <c r="AG30" i="16" s="1"/>
  <c r="AJ30" i="16" s="1"/>
  <c r="AM30" i="16" s="1"/>
  <c r="AP30" i="16" s="1"/>
  <c r="AS30" i="16" s="1"/>
  <c r="AV30" i="16" s="1"/>
  <c r="AY30" i="16" s="1"/>
  <c r="BB30" i="16" s="1"/>
  <c r="BE30" i="16" s="1"/>
  <c r="BH30" i="16" s="1"/>
  <c r="BK30" i="16" s="1"/>
  <c r="BN30" i="16" s="1"/>
  <c r="BQ30" i="16" s="1"/>
  <c r="BT30" i="16" s="1"/>
  <c r="BW30" i="16" s="1"/>
  <c r="BZ30" i="16" s="1"/>
  <c r="CC30" i="16" s="1"/>
  <c r="CF30" i="16" s="1"/>
  <c r="CI30" i="16" s="1"/>
  <c r="AD30" i="16"/>
  <c r="AA28" i="16"/>
  <c r="AG28" i="16" s="1"/>
  <c r="AJ28" i="16" s="1"/>
  <c r="AM28" i="16" s="1"/>
  <c r="AP28" i="16" s="1"/>
  <c r="AS28" i="16" s="1"/>
  <c r="AV28" i="16" s="1"/>
  <c r="AY28" i="16" s="1"/>
  <c r="BB28" i="16" s="1"/>
  <c r="BE28" i="16" s="1"/>
  <c r="BH28" i="16" s="1"/>
  <c r="BK28" i="16" s="1"/>
  <c r="BN28" i="16" s="1"/>
  <c r="BQ28" i="16" s="1"/>
  <c r="BT28" i="16" s="1"/>
  <c r="BW28" i="16" s="1"/>
  <c r="BZ28" i="16" s="1"/>
  <c r="CC28" i="16" s="1"/>
  <c r="AD28" i="16"/>
  <c r="AA26" i="16"/>
  <c r="AG26" i="16" s="1"/>
  <c r="AJ26" i="16" s="1"/>
  <c r="AM26" i="16" s="1"/>
  <c r="AP26" i="16" s="1"/>
  <c r="AS26" i="16" s="1"/>
  <c r="AV26" i="16" s="1"/>
  <c r="AY26" i="16" s="1"/>
  <c r="BB26" i="16" s="1"/>
  <c r="BE26" i="16" s="1"/>
  <c r="BH26" i="16" s="1"/>
  <c r="BK26" i="16" s="1"/>
  <c r="BN26" i="16" s="1"/>
  <c r="BQ26" i="16" s="1"/>
  <c r="BT26" i="16" s="1"/>
  <c r="BW26" i="16" s="1"/>
  <c r="AD26" i="16"/>
  <c r="AA24" i="16"/>
  <c r="AG24" i="16" s="1"/>
  <c r="AJ24" i="16" s="1"/>
  <c r="AM24" i="16" s="1"/>
  <c r="AP24" i="16" s="1"/>
  <c r="AS24" i="16" s="1"/>
  <c r="AV24" i="16" s="1"/>
  <c r="AY24" i="16" s="1"/>
  <c r="BB24" i="16" s="1"/>
  <c r="BE24" i="16" s="1"/>
  <c r="BH24" i="16" s="1"/>
  <c r="BK24" i="16" s="1"/>
  <c r="BN24" i="16" s="1"/>
  <c r="BQ24" i="16" s="1"/>
  <c r="AD24" i="16"/>
  <c r="AA22" i="16"/>
  <c r="AG22" i="16" s="1"/>
  <c r="AJ22" i="16" s="1"/>
  <c r="AM22" i="16" s="1"/>
  <c r="AP22" i="16" s="1"/>
  <c r="AS22" i="16" s="1"/>
  <c r="AV22" i="16" s="1"/>
  <c r="AY22" i="16" s="1"/>
  <c r="BB22" i="16" s="1"/>
  <c r="BE22" i="16" s="1"/>
  <c r="BH22" i="16" s="1"/>
  <c r="BK22" i="16" s="1"/>
  <c r="AD22" i="16"/>
  <c r="AA20" i="16"/>
  <c r="AG20" i="16" s="1"/>
  <c r="AJ20" i="16" s="1"/>
  <c r="AM20" i="16" s="1"/>
  <c r="AP20" i="16" s="1"/>
  <c r="AS20" i="16" s="1"/>
  <c r="AV20" i="16" s="1"/>
  <c r="AY20" i="16" s="1"/>
  <c r="BB20" i="16" s="1"/>
  <c r="BE20" i="16" s="1"/>
  <c r="AD20" i="16"/>
  <c r="AA18" i="16"/>
  <c r="AG18" i="16" s="1"/>
  <c r="AJ18" i="16" s="1"/>
  <c r="AM18" i="16" s="1"/>
  <c r="AP18" i="16" s="1"/>
  <c r="AS18" i="16" s="1"/>
  <c r="AV18" i="16" s="1"/>
  <c r="AY18" i="16" s="1"/>
  <c r="AD18" i="16"/>
  <c r="AA16" i="16"/>
  <c r="AG16" i="16" s="1"/>
  <c r="AJ16" i="16" s="1"/>
  <c r="AM16" i="16" s="1"/>
  <c r="AP16" i="16" s="1"/>
  <c r="AS16" i="16" s="1"/>
  <c r="AD16" i="16"/>
  <c r="AA14" i="16"/>
  <c r="AG14" i="16" s="1"/>
  <c r="AJ14" i="16" s="1"/>
  <c r="AM14" i="16" s="1"/>
  <c r="AD14" i="16"/>
  <c r="AA12" i="16"/>
  <c r="AG12" i="16" s="1"/>
  <c r="AD12" i="16"/>
  <c r="AA41" i="16"/>
  <c r="AG41" i="16" s="1"/>
  <c r="AJ41" i="16" s="1"/>
  <c r="AM41" i="16" s="1"/>
  <c r="AP41" i="16" s="1"/>
  <c r="AS41" i="16" s="1"/>
  <c r="AV41" i="16" s="1"/>
  <c r="AY41" i="16" s="1"/>
  <c r="BB41" i="16" s="1"/>
  <c r="BE41" i="16" s="1"/>
  <c r="BH41" i="16" s="1"/>
  <c r="BK41" i="16" s="1"/>
  <c r="BN41" i="16" s="1"/>
  <c r="BQ41" i="16" s="1"/>
  <c r="BT41" i="16" s="1"/>
  <c r="BW41" i="16" s="1"/>
  <c r="BZ41" i="16" s="1"/>
  <c r="CC41" i="16" s="1"/>
  <c r="CF41" i="16" s="1"/>
  <c r="CI41" i="16" s="1"/>
  <c r="CL41" i="16" s="1"/>
  <c r="CO41" i="16" s="1"/>
  <c r="CR41" i="16" s="1"/>
  <c r="CU41" i="16" s="1"/>
  <c r="CX41" i="16" s="1"/>
  <c r="DA41" i="16" s="1"/>
  <c r="DD41" i="16" s="1"/>
  <c r="DG41" i="16" s="1"/>
  <c r="DJ41" i="16" s="1"/>
  <c r="DM41" i="16" s="1"/>
  <c r="DP41" i="16" s="1"/>
  <c r="AD41" i="16"/>
  <c r="AA37" i="16"/>
  <c r="AG37" i="16" s="1"/>
  <c r="AJ37" i="16" s="1"/>
  <c r="AM37" i="16" s="1"/>
  <c r="AP37" i="16" s="1"/>
  <c r="AS37" i="16" s="1"/>
  <c r="AV37" i="16" s="1"/>
  <c r="AY37" i="16" s="1"/>
  <c r="BB37" i="16" s="1"/>
  <c r="BE37" i="16" s="1"/>
  <c r="BH37" i="16" s="1"/>
  <c r="BK37" i="16" s="1"/>
  <c r="BN37" i="16" s="1"/>
  <c r="BQ37" i="16" s="1"/>
  <c r="BT37" i="16" s="1"/>
  <c r="BW37" i="16" s="1"/>
  <c r="BZ37" i="16" s="1"/>
  <c r="CC37" i="16" s="1"/>
  <c r="CF37" i="16" s="1"/>
  <c r="CI37" i="16" s="1"/>
  <c r="CL37" i="16" s="1"/>
  <c r="CO37" i="16" s="1"/>
  <c r="CR37" i="16" s="1"/>
  <c r="CU37" i="16" s="1"/>
  <c r="CX37" i="16" s="1"/>
  <c r="DA37" i="16" s="1"/>
  <c r="DD37" i="16" s="1"/>
  <c r="AD37" i="16"/>
  <c r="AA33" i="16"/>
  <c r="AG33" i="16" s="1"/>
  <c r="AJ33" i="16" s="1"/>
  <c r="AM33" i="16" s="1"/>
  <c r="AP33" i="16" s="1"/>
  <c r="AS33" i="16" s="1"/>
  <c r="AV33" i="16" s="1"/>
  <c r="AY33" i="16" s="1"/>
  <c r="BB33" i="16" s="1"/>
  <c r="BE33" i="16" s="1"/>
  <c r="BH33" i="16" s="1"/>
  <c r="BK33" i="16" s="1"/>
  <c r="BN33" i="16" s="1"/>
  <c r="BQ33" i="16" s="1"/>
  <c r="BT33" i="16" s="1"/>
  <c r="BW33" i="16" s="1"/>
  <c r="BZ33" i="16" s="1"/>
  <c r="CC33" i="16" s="1"/>
  <c r="CF33" i="16" s="1"/>
  <c r="CI33" i="16" s="1"/>
  <c r="CL33" i="16" s="1"/>
  <c r="CO33" i="16" s="1"/>
  <c r="CR33" i="16" s="1"/>
  <c r="AD33" i="16"/>
  <c r="AA29" i="16"/>
  <c r="AG29" i="16" s="1"/>
  <c r="AJ29" i="16" s="1"/>
  <c r="AM29" i="16" s="1"/>
  <c r="AP29" i="16" s="1"/>
  <c r="AS29" i="16" s="1"/>
  <c r="AV29" i="16" s="1"/>
  <c r="AY29" i="16" s="1"/>
  <c r="BB29" i="16" s="1"/>
  <c r="BE29" i="16" s="1"/>
  <c r="BH29" i="16" s="1"/>
  <c r="BK29" i="16" s="1"/>
  <c r="BN29" i="16" s="1"/>
  <c r="BQ29" i="16" s="1"/>
  <c r="BT29" i="16" s="1"/>
  <c r="BW29" i="16" s="1"/>
  <c r="BZ29" i="16" s="1"/>
  <c r="CC29" i="16" s="1"/>
  <c r="CF29" i="16" s="1"/>
  <c r="AD29" i="16"/>
  <c r="AA25" i="16"/>
  <c r="AG25" i="16" s="1"/>
  <c r="AJ25" i="16" s="1"/>
  <c r="AM25" i="16" s="1"/>
  <c r="AP25" i="16" s="1"/>
  <c r="AS25" i="16" s="1"/>
  <c r="AV25" i="16" s="1"/>
  <c r="AY25" i="16" s="1"/>
  <c r="BB25" i="16" s="1"/>
  <c r="BE25" i="16" s="1"/>
  <c r="BH25" i="16" s="1"/>
  <c r="BK25" i="16" s="1"/>
  <c r="BN25" i="16" s="1"/>
  <c r="BQ25" i="16" s="1"/>
  <c r="BT25" i="16" s="1"/>
  <c r="AD25" i="16"/>
  <c r="AA21" i="16"/>
  <c r="AG21" i="16" s="1"/>
  <c r="AJ21" i="16" s="1"/>
  <c r="AM21" i="16" s="1"/>
  <c r="AP21" i="16" s="1"/>
  <c r="AS21" i="16" s="1"/>
  <c r="AV21" i="16" s="1"/>
  <c r="AY21" i="16" s="1"/>
  <c r="BB21" i="16" s="1"/>
  <c r="BE21" i="16" s="1"/>
  <c r="BH21" i="16" s="1"/>
  <c r="AD21" i="16"/>
  <c r="AA17" i="16"/>
  <c r="AG17" i="16" s="1"/>
  <c r="AJ17" i="16" s="1"/>
  <c r="AM17" i="16" s="1"/>
  <c r="AP17" i="16" s="1"/>
  <c r="AS17" i="16" s="1"/>
  <c r="AV17" i="16" s="1"/>
  <c r="AD17" i="16"/>
  <c r="AA13" i="16"/>
  <c r="AG13" i="16" s="1"/>
  <c r="AJ13" i="16" s="1"/>
  <c r="AD13" i="16"/>
  <c r="AA40" i="16"/>
  <c r="AG40" i="16" s="1"/>
  <c r="AJ40" i="16" s="1"/>
  <c r="AM40" i="16" s="1"/>
  <c r="AP40" i="16" s="1"/>
  <c r="AS40" i="16" s="1"/>
  <c r="AV40" i="16" s="1"/>
  <c r="AY40" i="16" s="1"/>
  <c r="BB40" i="16" s="1"/>
  <c r="BE40" i="16" s="1"/>
  <c r="BH40" i="16" s="1"/>
  <c r="BK40" i="16" s="1"/>
  <c r="BN40" i="16" s="1"/>
  <c r="BQ40" i="16" s="1"/>
  <c r="BT40" i="16" s="1"/>
  <c r="BW40" i="16" s="1"/>
  <c r="BZ40" i="16" s="1"/>
  <c r="CC40" i="16" s="1"/>
  <c r="CF40" i="16" s="1"/>
  <c r="CI40" i="16" s="1"/>
  <c r="CL40" i="16" s="1"/>
  <c r="CO40" i="16" s="1"/>
  <c r="CR40" i="16" s="1"/>
  <c r="CU40" i="16" s="1"/>
  <c r="CX40" i="16" s="1"/>
  <c r="DA40" i="16" s="1"/>
  <c r="DD40" i="16" s="1"/>
  <c r="DG40" i="16" s="1"/>
  <c r="DJ40" i="16" s="1"/>
  <c r="DM40" i="16" s="1"/>
  <c r="AD40" i="16"/>
  <c r="AA10" i="16"/>
  <c r="AG10" i="16" s="1"/>
  <c r="AD10" i="16"/>
  <c r="AA9" i="16"/>
  <c r="AG9" i="16" s="1"/>
  <c r="AD9" i="16"/>
  <c r="AA7" i="16"/>
  <c r="AG7" i="16" s="1"/>
  <c r="AD7" i="16"/>
  <c r="U8" i="16"/>
  <c r="AG39" i="16"/>
  <c r="AJ39" i="16" s="1"/>
  <c r="AM39" i="16" s="1"/>
  <c r="AP39" i="16" s="1"/>
  <c r="AS39" i="16" s="1"/>
  <c r="AV39" i="16" s="1"/>
  <c r="AY39" i="16" s="1"/>
  <c r="BB39" i="16" s="1"/>
  <c r="BE39" i="16" s="1"/>
  <c r="BH39" i="16" s="1"/>
  <c r="BK39" i="16" s="1"/>
  <c r="BN39" i="16" s="1"/>
  <c r="BQ39" i="16" s="1"/>
  <c r="BT39" i="16" s="1"/>
  <c r="BW39" i="16" s="1"/>
  <c r="BZ39" i="16" s="1"/>
  <c r="CC39" i="16" s="1"/>
  <c r="CF39" i="16" s="1"/>
  <c r="CI39" i="16" s="1"/>
  <c r="CL39" i="16" s="1"/>
  <c r="CO39" i="16" s="1"/>
  <c r="CR39" i="16" s="1"/>
  <c r="CU39" i="16" s="1"/>
  <c r="CX39" i="16" s="1"/>
  <c r="DA39" i="16" s="1"/>
  <c r="DD39" i="16" s="1"/>
  <c r="DG39" i="16" s="1"/>
  <c r="DJ39" i="16" s="1"/>
  <c r="S34" i="16"/>
  <c r="S26" i="16"/>
  <c r="S18" i="16"/>
  <c r="S10" i="16"/>
  <c r="S32" i="16"/>
  <c r="S16" i="16"/>
  <c r="S39" i="16"/>
  <c r="S23" i="16"/>
  <c r="S7" i="16"/>
  <c r="S41" i="16"/>
  <c r="S33" i="16"/>
  <c r="S25" i="16"/>
  <c r="S17" i="16"/>
  <c r="S9" i="16"/>
  <c r="S40" i="16"/>
  <c r="S24" i="16"/>
  <c r="S8" i="16"/>
  <c r="S31" i="16"/>
  <c r="S15" i="16"/>
  <c r="S38" i="16"/>
  <c r="S30" i="16"/>
  <c r="S22" i="16"/>
  <c r="S14" i="16"/>
  <c r="S37" i="16"/>
  <c r="S29" i="16"/>
  <c r="S21" i="16"/>
  <c r="S13" i="16"/>
  <c r="S36" i="16"/>
  <c r="S28" i="16"/>
  <c r="S20" i="16"/>
  <c r="S12" i="16"/>
  <c r="S35" i="16"/>
  <c r="S27" i="16"/>
  <c r="S19" i="16"/>
  <c r="S11" i="16"/>
  <c r="P42" i="16"/>
  <c r="P15" i="16"/>
  <c r="P39" i="16"/>
  <c r="P8" i="16"/>
  <c r="P24" i="16"/>
  <c r="P32" i="16"/>
  <c r="P40" i="16"/>
  <c r="P41" i="16"/>
  <c r="P10" i="16"/>
  <c r="P26" i="16"/>
  <c r="P27" i="16"/>
  <c r="P20" i="16"/>
  <c r="P13" i="16"/>
  <c r="P21" i="16"/>
  <c r="P29" i="16"/>
  <c r="P38" i="16"/>
  <c r="R42" i="16"/>
  <c r="B47" i="16"/>
  <c r="B12" i="16"/>
  <c r="B13" i="16" s="1"/>
  <c r="B14" i="16" s="1"/>
  <c r="AH13" i="16" s="1"/>
  <c r="M56" i="16"/>
  <c r="N56" i="16" s="1"/>
  <c r="M57" i="16"/>
  <c r="N57" i="16" s="1"/>
  <c r="M55" i="16"/>
  <c r="N55" i="16" s="1"/>
  <c r="M53" i="16"/>
  <c r="N53" i="16" s="1"/>
  <c r="R6" i="16"/>
  <c r="M58" i="16"/>
  <c r="N58" i="16" s="1"/>
  <c r="M52" i="16"/>
  <c r="N52" i="16" s="1"/>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C1180" i="16"/>
  <c r="C1181" i="16"/>
  <c r="C1182" i="16"/>
  <c r="C1183" i="16"/>
  <c r="C1184" i="16"/>
  <c r="C1185" i="16"/>
  <c r="C1186" i="16"/>
  <c r="C1187" i="16"/>
  <c r="C1188" i="16"/>
  <c r="C1189" i="16"/>
  <c r="C1190" i="16"/>
  <c r="C1191" i="16"/>
  <c r="C1192" i="16"/>
  <c r="C1193" i="16"/>
  <c r="C1194" i="16"/>
  <c r="C1195" i="16"/>
  <c r="C1196" i="16"/>
  <c r="C1197" i="16"/>
  <c r="C1198" i="16"/>
  <c r="C1199" i="16"/>
  <c r="C1200" i="16"/>
  <c r="C1201" i="16"/>
  <c r="C1202" i="16"/>
  <c r="C1203" i="16"/>
  <c r="C1204" i="16"/>
  <c r="C1205" i="16"/>
  <c r="C1206" i="16"/>
  <c r="C1207" i="16"/>
  <c r="C1208" i="16"/>
  <c r="C1209" i="16"/>
  <c r="C1210" i="16"/>
  <c r="C1211" i="16"/>
  <c r="C1212" i="16"/>
  <c r="C1213" i="16"/>
  <c r="C1214" i="16"/>
  <c r="C1215" i="16"/>
  <c r="C1216" i="16"/>
  <c r="C1217" i="16"/>
  <c r="C1218" i="16"/>
  <c r="C1219" i="16"/>
  <c r="C1220" i="16"/>
  <c r="C1221" i="16"/>
  <c r="C1222" i="16"/>
  <c r="C1223" i="16"/>
  <c r="C1224" i="16"/>
  <c r="C1225" i="16"/>
  <c r="C1226" i="16"/>
  <c r="C1227" i="16"/>
  <c r="C1228" i="16"/>
  <c r="C1229" i="16"/>
  <c r="C1230" i="16"/>
  <c r="C1231" i="16"/>
  <c r="C1232" i="16"/>
  <c r="C1233" i="16"/>
  <c r="C1234" i="16"/>
  <c r="C1235" i="16"/>
  <c r="C1236" i="16"/>
  <c r="C1237" i="16"/>
  <c r="C1238" i="16"/>
  <c r="C1239" i="16"/>
  <c r="C1240" i="16"/>
  <c r="C1241" i="16"/>
  <c r="C1242" i="16"/>
  <c r="C1243" i="16"/>
  <c r="C1244" i="16"/>
  <c r="C1245" i="16"/>
  <c r="C1246" i="16"/>
  <c r="C1247" i="16"/>
  <c r="C1248" i="16"/>
  <c r="C1249" i="16"/>
  <c r="C1250" i="16"/>
  <c r="C1251" i="16"/>
  <c r="C1252" i="16"/>
  <c r="C1253" i="16"/>
  <c r="C1254" i="16"/>
  <c r="C1255" i="16"/>
  <c r="C1256" i="16"/>
  <c r="C1257" i="16"/>
  <c r="C1258" i="16"/>
  <c r="C1259" i="16"/>
  <c r="C1260" i="16"/>
  <c r="C1261" i="16"/>
  <c r="C1262" i="16"/>
  <c r="C1263" i="16"/>
  <c r="C1264" i="16"/>
  <c r="C1265" i="16"/>
  <c r="C1266" i="16"/>
  <c r="C1267" i="16"/>
  <c r="C1268" i="16"/>
  <c r="C1269" i="16"/>
  <c r="C1270" i="16"/>
  <c r="C1271" i="16"/>
  <c r="C1272" i="16"/>
  <c r="C1273" i="16"/>
  <c r="C1274" i="16"/>
  <c r="C1275" i="16"/>
  <c r="C1276" i="16"/>
  <c r="C1277" i="16"/>
  <c r="C1278" i="16"/>
  <c r="C1279" i="16"/>
  <c r="C1280" i="16"/>
  <c r="C1281" i="16"/>
  <c r="C1282" i="16"/>
  <c r="C1283" i="16"/>
  <c r="C1284" i="16"/>
  <c r="C1285" i="16"/>
  <c r="C1286" i="16"/>
  <c r="C1287" i="16"/>
  <c r="C1288" i="16"/>
  <c r="C1289" i="16"/>
  <c r="C1290" i="16"/>
  <c r="C1291" i="16"/>
  <c r="C1292" i="16"/>
  <c r="C1293" i="16"/>
  <c r="C1294" i="16"/>
  <c r="C1295" i="16"/>
  <c r="C1296" i="16"/>
  <c r="C1297" i="16"/>
  <c r="C1298" i="16"/>
  <c r="C1299" i="16"/>
  <c r="C1300" i="16"/>
  <c r="C1301" i="16"/>
  <c r="C1302" i="16"/>
  <c r="C1303" i="16"/>
  <c r="C1304" i="16"/>
  <c r="C1305" i="16"/>
  <c r="C1306" i="16"/>
  <c r="C1307" i="16"/>
  <c r="C1308" i="16"/>
  <c r="C1309" i="16"/>
  <c r="C1310" i="16"/>
  <c r="C1311" i="16"/>
  <c r="C1312" i="16"/>
  <c r="C1313" i="16"/>
  <c r="C1314" i="16"/>
  <c r="C1315" i="16"/>
  <c r="C1316" i="16"/>
  <c r="C1317" i="16"/>
  <c r="C1318" i="16"/>
  <c r="C1319" i="16"/>
  <c r="C1320" i="16"/>
  <c r="C1321" i="16"/>
  <c r="C1322" i="16"/>
  <c r="C1323" i="16"/>
  <c r="C1324" i="16"/>
  <c r="C1325" i="16"/>
  <c r="C1326" i="16"/>
  <c r="C1327" i="16"/>
  <c r="C1328" i="16"/>
  <c r="C1329" i="16"/>
  <c r="C1330" i="16"/>
  <c r="C1331" i="16"/>
  <c r="C1332" i="16"/>
  <c r="C1333" i="16"/>
  <c r="C1334" i="16"/>
  <c r="C1335" i="16"/>
  <c r="C1336" i="16"/>
  <c r="C1337" i="16"/>
  <c r="C1338" i="16"/>
  <c r="C1339" i="16"/>
  <c r="C1340" i="16"/>
  <c r="C1341" i="16"/>
  <c r="C1342" i="16"/>
  <c r="C1343" i="16"/>
  <c r="N59" i="16"/>
  <c r="Z42" i="16" l="1"/>
  <c r="Z38" i="16"/>
  <c r="Y38" i="16" s="1"/>
  <c r="Z34" i="16"/>
  <c r="Y34" i="16" s="1"/>
  <c r="Z30" i="16"/>
  <c r="Y30" i="16" s="1"/>
  <c r="Z26" i="16"/>
  <c r="Z22" i="16"/>
  <c r="Z18" i="16"/>
  <c r="Y18" i="16" s="1"/>
  <c r="Z14" i="16"/>
  <c r="Y14" i="16" s="1"/>
  <c r="Z10" i="16"/>
  <c r="Z41" i="16"/>
  <c r="Z37" i="16"/>
  <c r="Y37" i="16" s="1"/>
  <c r="Z33" i="16"/>
  <c r="Y33" i="16" s="1"/>
  <c r="Z29" i="16"/>
  <c r="Z25" i="16"/>
  <c r="Y25" i="16" s="1"/>
  <c r="Z21" i="16"/>
  <c r="Y21" i="16" s="1"/>
  <c r="Z17" i="16"/>
  <c r="Y17" i="16" s="1"/>
  <c r="Z13" i="16"/>
  <c r="Z9" i="16"/>
  <c r="Z40" i="16"/>
  <c r="Y40" i="16" s="1"/>
  <c r="Z36" i="16"/>
  <c r="Y36" i="16" s="1"/>
  <c r="Z32" i="16"/>
  <c r="Z28" i="16"/>
  <c r="Y28" i="16" s="1"/>
  <c r="Z24" i="16"/>
  <c r="Y24" i="16" s="1"/>
  <c r="Z20" i="16"/>
  <c r="Y20" i="16" s="1"/>
  <c r="Z16" i="16"/>
  <c r="Z12" i="16"/>
  <c r="Z8" i="16"/>
  <c r="Y8" i="16" s="1"/>
  <c r="Z39" i="16"/>
  <c r="Y39" i="16" s="1"/>
  <c r="Z35" i="16"/>
  <c r="Z31" i="16"/>
  <c r="Z27" i="16"/>
  <c r="Y27" i="16" s="1"/>
  <c r="Z23" i="16"/>
  <c r="Y23" i="16" s="1"/>
  <c r="Z19" i="16"/>
  <c r="Z15" i="16"/>
  <c r="Z11" i="16"/>
  <c r="Z7" i="16"/>
  <c r="Y7" i="16" s="1"/>
  <c r="AC42" i="16"/>
  <c r="AC38" i="16"/>
  <c r="AC34" i="16"/>
  <c r="AB34" i="16" s="1"/>
  <c r="AC30" i="16"/>
  <c r="AB30" i="16" s="1"/>
  <c r="AC26" i="16"/>
  <c r="AC22" i="16"/>
  <c r="AC18" i="16"/>
  <c r="AB18" i="16" s="1"/>
  <c r="AC14" i="16"/>
  <c r="AB14" i="16" s="1"/>
  <c r="AC10" i="16"/>
  <c r="AC37" i="16"/>
  <c r="AC33" i="16"/>
  <c r="AB33" i="16" s="1"/>
  <c r="AC29" i="16"/>
  <c r="AB29" i="16" s="1"/>
  <c r="AC25" i="16"/>
  <c r="AC21" i="16"/>
  <c r="AC17" i="16"/>
  <c r="AB17" i="16" s="1"/>
  <c r="AC13" i="16"/>
  <c r="AB13" i="16" s="1"/>
  <c r="AC9" i="16"/>
  <c r="AC41" i="16"/>
  <c r="AC40" i="16"/>
  <c r="AC36" i="16"/>
  <c r="AB36" i="16" s="1"/>
  <c r="AC32" i="16"/>
  <c r="AC28" i="16"/>
  <c r="AC24" i="16"/>
  <c r="AB24" i="16" s="1"/>
  <c r="AC20" i="16"/>
  <c r="AB20" i="16" s="1"/>
  <c r="AC16" i="16"/>
  <c r="AC12" i="16"/>
  <c r="AB12" i="16" s="1"/>
  <c r="AC8" i="16"/>
  <c r="AB8" i="16" s="1"/>
  <c r="AC39" i="16"/>
  <c r="AB39" i="16" s="1"/>
  <c r="AC35" i="16"/>
  <c r="AC31" i="16"/>
  <c r="AC27" i="16"/>
  <c r="AB27" i="16" s="1"/>
  <c r="AC23" i="16"/>
  <c r="AB23" i="16" s="1"/>
  <c r="AC19" i="16"/>
  <c r="AC15" i="16"/>
  <c r="AB15" i="16" s="1"/>
  <c r="AC11" i="16"/>
  <c r="AC7" i="16"/>
  <c r="AB7" i="16" s="1"/>
  <c r="W42" i="16"/>
  <c r="W38" i="16"/>
  <c r="W34" i="16"/>
  <c r="V34" i="16" s="1"/>
  <c r="W30" i="16"/>
  <c r="V30" i="16" s="1"/>
  <c r="W26" i="16"/>
  <c r="W22" i="16"/>
  <c r="V22" i="16" s="1"/>
  <c r="W18" i="16"/>
  <c r="V18" i="16" s="1"/>
  <c r="W14" i="16"/>
  <c r="V14" i="16" s="1"/>
  <c r="W10" i="16"/>
  <c r="W41" i="16"/>
  <c r="W37" i="16"/>
  <c r="V37" i="16" s="1"/>
  <c r="W33" i="16"/>
  <c r="V33" i="16" s="1"/>
  <c r="W29" i="16"/>
  <c r="W25" i="16"/>
  <c r="W21" i="16"/>
  <c r="V21" i="16" s="1"/>
  <c r="W17" i="16"/>
  <c r="V17" i="16" s="1"/>
  <c r="W13" i="16"/>
  <c r="W9" i="16"/>
  <c r="V9" i="16" s="1"/>
  <c r="W40" i="16"/>
  <c r="V40" i="16" s="1"/>
  <c r="W36" i="16"/>
  <c r="V36" i="16" s="1"/>
  <c r="W32" i="16"/>
  <c r="W28" i="16"/>
  <c r="W24" i="16"/>
  <c r="V24" i="16" s="1"/>
  <c r="W20" i="16"/>
  <c r="V20" i="16" s="1"/>
  <c r="W16" i="16"/>
  <c r="W12" i="16"/>
  <c r="W8" i="16"/>
  <c r="V8" i="16" s="1"/>
  <c r="W39" i="16"/>
  <c r="V39" i="16" s="1"/>
  <c r="W35" i="16"/>
  <c r="W31" i="16"/>
  <c r="W27" i="16"/>
  <c r="V27" i="16" s="1"/>
  <c r="W23" i="16"/>
  <c r="V23" i="16" s="1"/>
  <c r="W19" i="16"/>
  <c r="W15" i="16"/>
  <c r="V15" i="16" s="1"/>
  <c r="W11" i="16"/>
  <c r="W7" i="16"/>
  <c r="V7" i="16" s="1"/>
  <c r="X8" i="16"/>
  <c r="AD8" i="16" s="1"/>
  <c r="DJ38" i="16"/>
  <c r="BK21" i="16"/>
  <c r="U42" i="16"/>
  <c r="DG37" i="16"/>
  <c r="AV16" i="16"/>
  <c r="BB18" i="16"/>
  <c r="AS15" i="16"/>
  <c r="CF28" i="16"/>
  <c r="BH20" i="16"/>
  <c r="BN22" i="16"/>
  <c r="DA35" i="16"/>
  <c r="DP40" i="16"/>
  <c r="BQ23" i="16"/>
  <c r="DD36" i="16"/>
  <c r="CR32" i="16"/>
  <c r="BZ26" i="16"/>
  <c r="AB42" i="16"/>
  <c r="AB40" i="16"/>
  <c r="AB32" i="16"/>
  <c r="AB16" i="16"/>
  <c r="AB38" i="16"/>
  <c r="AB22" i="16"/>
  <c r="AB31" i="16"/>
  <c r="AB37" i="16"/>
  <c r="AB21" i="16"/>
  <c r="AB28" i="16"/>
  <c r="AB35" i="16"/>
  <c r="AB19" i="16"/>
  <c r="AB11" i="16"/>
  <c r="AB26" i="16"/>
  <c r="AB10" i="16"/>
  <c r="AB41" i="16"/>
  <c r="AB25" i="16"/>
  <c r="AB9" i="16"/>
  <c r="BT24" i="16"/>
  <c r="AJ12" i="16"/>
  <c r="AM13" i="16"/>
  <c r="CC27" i="16"/>
  <c r="CI29" i="16"/>
  <c r="AY17" i="16"/>
  <c r="CL30" i="16"/>
  <c r="BW25" i="16"/>
  <c r="DM39" i="16"/>
  <c r="AP14" i="16"/>
  <c r="Y42" i="16"/>
  <c r="Y35" i="16"/>
  <c r="Y19" i="16"/>
  <c r="Y11" i="16"/>
  <c r="Y41" i="16"/>
  <c r="Y9" i="16"/>
  <c r="Y32" i="16"/>
  <c r="Y26" i="16"/>
  <c r="Y10" i="16"/>
  <c r="Y16" i="16"/>
  <c r="Y31" i="16"/>
  <c r="Y15" i="16"/>
  <c r="Y22" i="16"/>
  <c r="Y29" i="16"/>
  <c r="Y13" i="16"/>
  <c r="Y12" i="16"/>
  <c r="V42" i="16"/>
  <c r="V38" i="16"/>
  <c r="V28" i="16"/>
  <c r="V12" i="16"/>
  <c r="V11" i="16"/>
  <c r="V29" i="16"/>
  <c r="V13" i="16"/>
  <c r="V35" i="16"/>
  <c r="V19" i="16"/>
  <c r="V26" i="16"/>
  <c r="V10" i="16"/>
  <c r="V41" i="16"/>
  <c r="V25" i="16"/>
  <c r="V32" i="16"/>
  <c r="V16" i="16"/>
  <c r="V31" i="16"/>
  <c r="BE19" i="16"/>
  <c r="CO31" i="16"/>
  <c r="CU33" i="16"/>
  <c r="CX34" i="16"/>
  <c r="P3" i="16"/>
  <c r="Q4" i="16" s="1"/>
  <c r="B17" i="16"/>
  <c r="B18" i="16" s="1"/>
  <c r="S3" i="16"/>
  <c r="T4" i="16" s="1"/>
  <c r="C59" i="16"/>
  <c r="D144" i="16" s="1"/>
  <c r="U6" i="16"/>
  <c r="AA8" i="16" l="1"/>
  <c r="DA34" i="16"/>
  <c r="BB17" i="16"/>
  <c r="AY16" i="16"/>
  <c r="CX33" i="16"/>
  <c r="CL29" i="16"/>
  <c r="DD35" i="16"/>
  <c r="DJ37" i="16"/>
  <c r="CR31" i="16"/>
  <c r="CF27" i="16"/>
  <c r="BQ22" i="16"/>
  <c r="AJ11" i="16"/>
  <c r="BH19" i="16"/>
  <c r="AP13" i="16"/>
  <c r="CC26" i="16"/>
  <c r="BK20" i="16"/>
  <c r="X42" i="16"/>
  <c r="AD42" i="16" s="1"/>
  <c r="CU32" i="16"/>
  <c r="AV15" i="16"/>
  <c r="BZ25" i="16"/>
  <c r="BW24" i="16"/>
  <c r="BT23" i="16"/>
  <c r="AS14" i="16"/>
  <c r="CI28" i="16"/>
  <c r="BN21" i="16"/>
  <c r="DP39" i="16"/>
  <c r="AM12" i="16"/>
  <c r="DG36" i="16"/>
  <c r="CO30" i="16"/>
  <c r="BE18" i="16"/>
  <c r="DM38" i="16"/>
  <c r="AK14" i="16"/>
  <c r="D1280" i="16"/>
  <c r="D535" i="16"/>
  <c r="D1083" i="16"/>
  <c r="D1112" i="16"/>
  <c r="D307" i="16"/>
  <c r="D1255" i="16"/>
  <c r="D1304" i="16"/>
  <c r="D837" i="16"/>
  <c r="D918" i="16"/>
  <c r="D857" i="16"/>
  <c r="D336" i="16"/>
  <c r="D1092" i="16"/>
  <c r="D87" i="16"/>
  <c r="D843" i="16"/>
  <c r="D1104" i="16"/>
  <c r="D767" i="16"/>
  <c r="D972" i="16"/>
  <c r="D595" i="16"/>
  <c r="D1130" i="16"/>
  <c r="D1081" i="16"/>
  <c r="D434" i="16"/>
  <c r="D900" i="16"/>
  <c r="D67" i="16"/>
  <c r="D591" i="16"/>
  <c r="D1339" i="16"/>
  <c r="D1308" i="16"/>
  <c r="D435" i="16"/>
  <c r="D1088" i="16"/>
  <c r="D471" i="16"/>
  <c r="D773" i="16"/>
  <c r="D740" i="16"/>
  <c r="D546" i="16"/>
  <c r="D587" i="16"/>
  <c r="D1156" i="16"/>
  <c r="D343" i="16"/>
  <c r="D1027" i="16"/>
  <c r="D1262" i="16"/>
  <c r="D1159" i="16"/>
  <c r="D1100" i="16"/>
  <c r="D931" i="16"/>
  <c r="D962" i="16"/>
  <c r="D1025" i="16"/>
  <c r="D94" i="16"/>
  <c r="D833" i="16"/>
  <c r="D1258" i="16"/>
  <c r="D271" i="16"/>
  <c r="D763" i="16"/>
  <c r="D1263" i="16"/>
  <c r="D984" i="16"/>
  <c r="D879" i="16"/>
  <c r="D1257" i="16"/>
  <c r="D63" i="16"/>
  <c r="D1035" i="16"/>
  <c r="D1090" i="16"/>
  <c r="D653" i="16"/>
  <c r="D822" i="16"/>
  <c r="D489" i="16"/>
  <c r="D964" i="16"/>
  <c r="D1204" i="16"/>
  <c r="D1301" i="16"/>
  <c r="D143" i="16"/>
  <c r="D399" i="16"/>
  <c r="D639" i="16"/>
  <c r="D903" i="16"/>
  <c r="D1151" i="16"/>
  <c r="D617" i="16"/>
  <c r="D601" i="16"/>
  <c r="D1213" i="16"/>
  <c r="D563" i="16"/>
  <c r="D975" i="16"/>
  <c r="D187" i="16"/>
  <c r="D1342" i="16"/>
  <c r="D1208" i="16"/>
  <c r="D215" i="16"/>
  <c r="D699" i="16"/>
  <c r="D1143" i="16"/>
  <c r="D1218" i="16"/>
  <c r="D1046" i="16"/>
  <c r="D874" i="16"/>
  <c r="D1173" i="16"/>
  <c r="D969" i="16"/>
  <c r="D738" i="16"/>
  <c r="D326" i="16"/>
  <c r="D241" i="16"/>
  <c r="D721" i="16"/>
  <c r="D1028" i="16"/>
  <c r="D1236" i="16"/>
  <c r="D1322" i="16"/>
  <c r="D207" i="16"/>
  <c r="D463" i="16"/>
  <c r="D683" i="16"/>
  <c r="D971" i="16"/>
  <c r="D1211" i="16"/>
  <c r="D880" i="16"/>
  <c r="D856" i="16"/>
  <c r="D1265" i="16"/>
  <c r="D183" i="16"/>
  <c r="D667" i="16"/>
  <c r="D1067" i="16"/>
  <c r="D828" i="16"/>
  <c r="D844" i="16"/>
  <c r="D1261" i="16"/>
  <c r="D335" i="16"/>
  <c r="D815" i="16"/>
  <c r="D1247" i="16"/>
  <c r="D1174" i="16"/>
  <c r="D1002" i="16"/>
  <c r="D825" i="16"/>
  <c r="D1129" i="16"/>
  <c r="D909" i="16"/>
  <c r="D658" i="16"/>
  <c r="D206" i="16"/>
  <c r="D656" i="16"/>
  <c r="D657" i="16"/>
  <c r="D769" i="16"/>
  <c r="D868" i="16"/>
  <c r="D932" i="16"/>
  <c r="D996" i="16"/>
  <c r="D1060" i="16"/>
  <c r="D1124" i="16"/>
  <c r="D1188" i="16"/>
  <c r="D1220" i="16"/>
  <c r="D1248" i="16"/>
  <c r="D1269" i="16"/>
  <c r="D1290" i="16"/>
  <c r="D1312" i="16"/>
  <c r="D1333" i="16"/>
  <c r="D79" i="16"/>
  <c r="D119" i="16"/>
  <c r="D179" i="16"/>
  <c r="D239" i="16"/>
  <c r="D303" i="16"/>
  <c r="D367" i="16"/>
  <c r="D431" i="16"/>
  <c r="D499" i="16"/>
  <c r="D559" i="16"/>
  <c r="D615" i="16"/>
  <c r="D659" i="16"/>
  <c r="D719" i="16"/>
  <c r="D795" i="16"/>
  <c r="D875" i="16"/>
  <c r="D939" i="16"/>
  <c r="D991" i="16"/>
  <c r="D1059" i="16"/>
  <c r="D1119" i="16"/>
  <c r="D1175" i="16"/>
  <c r="D1239" i="16"/>
  <c r="D1307" i="16"/>
  <c r="D251" i="16"/>
  <c r="D807" i="16"/>
  <c r="D976" i="16"/>
  <c r="D1217" i="16"/>
  <c r="D1305" i="16"/>
  <c r="D729" i="16"/>
  <c r="D920" i="16"/>
  <c r="D1048" i="16"/>
  <c r="D1176" i="16"/>
  <c r="D1244" i="16"/>
  <c r="D1286" i="16"/>
  <c r="D1329" i="16"/>
  <c r="D111" i="16"/>
  <c r="D247" i="16"/>
  <c r="D371" i="16"/>
  <c r="D503" i="16"/>
  <c r="D623" i="16"/>
  <c r="D715" i="16"/>
  <c r="D835" i="16"/>
  <c r="D927" i="16"/>
  <c r="D1019" i="16"/>
  <c r="D1115" i="16"/>
  <c r="D1207" i="16"/>
  <c r="D1299" i="16"/>
  <c r="D649" i="16"/>
  <c r="D960" i="16"/>
  <c r="D1201" i="16"/>
  <c r="D1300" i="16"/>
  <c r="D705" i="16"/>
  <c r="D908" i="16"/>
  <c r="D1036" i="16"/>
  <c r="D1164" i="16"/>
  <c r="D1240" i="16"/>
  <c r="D1282" i="16"/>
  <c r="D1325" i="16"/>
  <c r="D151" i="16"/>
  <c r="D279" i="16"/>
  <c r="D403" i="16"/>
  <c r="D531" i="16"/>
  <c r="D647" i="16"/>
  <c r="D747" i="16"/>
  <c r="D883" i="16"/>
  <c r="D979" i="16"/>
  <c r="D1087" i="16"/>
  <c r="D1191" i="16"/>
  <c r="D1291" i="16"/>
  <c r="D805" i="16"/>
  <c r="D1238" i="16"/>
  <c r="D1194" i="16"/>
  <c r="D1154" i="16"/>
  <c r="D1110" i="16"/>
  <c r="D1066" i="16"/>
  <c r="D1026" i="16"/>
  <c r="D982" i="16"/>
  <c r="D938" i="16"/>
  <c r="D898" i="16"/>
  <c r="D854" i="16"/>
  <c r="D777" i="16"/>
  <c r="D701" i="16"/>
  <c r="D613" i="16"/>
  <c r="D1149" i="16"/>
  <c r="D1109" i="16"/>
  <c r="D1053" i="16"/>
  <c r="D993" i="16"/>
  <c r="D941" i="16"/>
  <c r="D881" i="16"/>
  <c r="D781" i="16"/>
  <c r="D786" i="16"/>
  <c r="D694" i="16"/>
  <c r="D606" i="16"/>
  <c r="D498" i="16"/>
  <c r="D374" i="16"/>
  <c r="D262" i="16"/>
  <c r="D158" i="16"/>
  <c r="D561" i="16"/>
  <c r="D361" i="16"/>
  <c r="D149" i="16"/>
  <c r="D472" i="16"/>
  <c r="D459" i="16"/>
  <c r="D107" i="16"/>
  <c r="D112" i="16"/>
  <c r="D176" i="16"/>
  <c r="D240" i="16"/>
  <c r="D304" i="16"/>
  <c r="D368" i="16"/>
  <c r="D432" i="16"/>
  <c r="D496" i="16"/>
  <c r="D560" i="16"/>
  <c r="D624" i="16"/>
  <c r="D688" i="16"/>
  <c r="D73" i="16"/>
  <c r="D129" i="16"/>
  <c r="D169" i="16"/>
  <c r="D213" i="16"/>
  <c r="D257" i="16"/>
  <c r="D297" i="16"/>
  <c r="D341" i="16"/>
  <c r="D385" i="16"/>
  <c r="D425" i="16"/>
  <c r="D469" i="16"/>
  <c r="D513" i="16"/>
  <c r="D537" i="16"/>
  <c r="D565" i="16"/>
  <c r="D597" i="16"/>
  <c r="D82" i="16"/>
  <c r="D102" i="16"/>
  <c r="D126" i="16"/>
  <c r="D146" i="16"/>
  <c r="D166" i="16"/>
  <c r="D190" i="16"/>
  <c r="D210" i="16"/>
  <c r="D230" i="16"/>
  <c r="D254" i="16"/>
  <c r="D274" i="16"/>
  <c r="D294" i="16"/>
  <c r="D318" i="16"/>
  <c r="D338" i="16"/>
  <c r="D358" i="16"/>
  <c r="D382" i="16"/>
  <c r="D402" i="16"/>
  <c r="D422" i="16"/>
  <c r="D446" i="16"/>
  <c r="D466" i="16"/>
  <c r="D486" i="16"/>
  <c r="D510" i="16"/>
  <c r="D530" i="16"/>
  <c r="D550" i="16"/>
  <c r="D574" i="16"/>
  <c r="D594" i="16"/>
  <c r="D614" i="16"/>
  <c r="D634" i="16"/>
  <c r="D650" i="16"/>
  <c r="D666" i="16"/>
  <c r="D682" i="16"/>
  <c r="D698" i="16"/>
  <c r="D714" i="16"/>
  <c r="D730" i="16"/>
  <c r="D746" i="16"/>
  <c r="D762" i="16"/>
  <c r="D778" i="16"/>
  <c r="D794" i="16"/>
  <c r="D810" i="16"/>
  <c r="D826" i="16"/>
  <c r="D842" i="16"/>
  <c r="D765" i="16"/>
  <c r="D797" i="16"/>
  <c r="D829" i="16"/>
  <c r="D853" i="16"/>
  <c r="D869" i="16"/>
  <c r="D885" i="16"/>
  <c r="D901" i="16"/>
  <c r="D917" i="16"/>
  <c r="D933" i="16"/>
  <c r="D949" i="16"/>
  <c r="D965" i="16"/>
  <c r="D981" i="16"/>
  <c r="D997" i="16"/>
  <c r="D1013" i="16"/>
  <c r="D1029" i="16"/>
  <c r="D1045" i="16"/>
  <c r="D1061" i="16"/>
  <c r="D1077" i="16"/>
  <c r="D1093" i="16"/>
  <c r="D411" i="16"/>
  <c r="D75" i="16"/>
  <c r="D120" i="16"/>
  <c r="D184" i="16"/>
  <c r="D248" i="16"/>
  <c r="D312" i="16"/>
  <c r="D376" i="16"/>
  <c r="D440" i="16"/>
  <c r="D504" i="16"/>
  <c r="D568" i="16"/>
  <c r="D632" i="16"/>
  <c r="D696" i="16"/>
  <c r="D81" i="16"/>
  <c r="D133" i="16"/>
  <c r="D177" i="16"/>
  <c r="D217" i="16"/>
  <c r="D261" i="16"/>
  <c r="D305" i="16"/>
  <c r="D345" i="16"/>
  <c r="D389" i="16"/>
  <c r="D433" i="16"/>
  <c r="D473" i="16"/>
  <c r="D517" i="16"/>
  <c r="D545" i="16"/>
  <c r="D577" i="16"/>
  <c r="D62" i="16"/>
  <c r="D86" i="16"/>
  <c r="D110" i="16"/>
  <c r="D130" i="16"/>
  <c r="D150" i="16"/>
  <c r="D174" i="16"/>
  <c r="D194" i="16"/>
  <c r="D214" i="16"/>
  <c r="D238" i="16"/>
  <c r="D258" i="16"/>
  <c r="D278" i="16"/>
  <c r="D302" i="16"/>
  <c r="D322" i="16"/>
  <c r="D342" i="16"/>
  <c r="D366" i="16"/>
  <c r="D386" i="16"/>
  <c r="D406" i="16"/>
  <c r="D430" i="16"/>
  <c r="D450" i="16"/>
  <c r="D470" i="16"/>
  <c r="D494" i="16"/>
  <c r="D514" i="16"/>
  <c r="D534" i="16"/>
  <c r="D558" i="16"/>
  <c r="D578" i="16"/>
  <c r="D598" i="16"/>
  <c r="D622" i="16"/>
  <c r="D638" i="16"/>
  <c r="D654" i="16"/>
  <c r="D670" i="16"/>
  <c r="D686" i="16"/>
  <c r="D702" i="16"/>
  <c r="D718" i="16"/>
  <c r="D734" i="16"/>
  <c r="D750" i="16"/>
  <c r="D766" i="16"/>
  <c r="D782" i="16"/>
  <c r="D798" i="16"/>
  <c r="D814" i="16"/>
  <c r="D830" i="16"/>
  <c r="D744" i="16"/>
  <c r="D776" i="16"/>
  <c r="D808" i="16"/>
  <c r="D840" i="16"/>
  <c r="D235" i="16"/>
  <c r="D152" i="16"/>
  <c r="D280" i="16"/>
  <c r="D408" i="16"/>
  <c r="D536" i="16"/>
  <c r="D664" i="16"/>
  <c r="D113" i="16"/>
  <c r="D197" i="16"/>
  <c r="D281" i="16"/>
  <c r="D369" i="16"/>
  <c r="D453" i="16"/>
  <c r="D533" i="16"/>
  <c r="D585" i="16"/>
  <c r="D98" i="16"/>
  <c r="D142" i="16"/>
  <c r="D182" i="16"/>
  <c r="D226" i="16"/>
  <c r="D270" i="16"/>
  <c r="D310" i="16"/>
  <c r="D354" i="16"/>
  <c r="D398" i="16"/>
  <c r="D438" i="16"/>
  <c r="D482" i="16"/>
  <c r="D526" i="16"/>
  <c r="D566" i="16"/>
  <c r="D610" i="16"/>
  <c r="D646" i="16"/>
  <c r="D678" i="16"/>
  <c r="D710" i="16"/>
  <c r="D742" i="16"/>
  <c r="D774" i="16"/>
  <c r="D806" i="16"/>
  <c r="D838" i="16"/>
  <c r="D792" i="16"/>
  <c r="D849" i="16"/>
  <c r="D873" i="16"/>
  <c r="D893" i="16"/>
  <c r="D913" i="16"/>
  <c r="D937" i="16"/>
  <c r="D957" i="16"/>
  <c r="D977" i="16"/>
  <c r="D1001" i="16"/>
  <c r="D1021" i="16"/>
  <c r="D1041" i="16"/>
  <c r="D1065" i="16"/>
  <c r="D1085" i="16"/>
  <c r="D1105" i="16"/>
  <c r="D1121" i="16"/>
  <c r="D1137" i="16"/>
  <c r="D1153" i="16"/>
  <c r="D1169" i="16"/>
  <c r="D1185" i="16"/>
  <c r="D629" i="16"/>
  <c r="D661" i="16"/>
  <c r="D693" i="16"/>
  <c r="D725" i="16"/>
  <c r="D756" i="16"/>
  <c r="D788" i="16"/>
  <c r="D820" i="16"/>
  <c r="D846" i="16"/>
  <c r="D862" i="16"/>
  <c r="D878" i="16"/>
  <c r="D894" i="16"/>
  <c r="D910" i="16"/>
  <c r="D926" i="16"/>
  <c r="D942" i="16"/>
  <c r="D958" i="16"/>
  <c r="D974" i="16"/>
  <c r="D990" i="16"/>
  <c r="D1006" i="16"/>
  <c r="D1022" i="16"/>
  <c r="D1038" i="16"/>
  <c r="D1054" i="16"/>
  <c r="D1070" i="16"/>
  <c r="D1086" i="16"/>
  <c r="D1102" i="16"/>
  <c r="D1118" i="16"/>
  <c r="D1134" i="16"/>
  <c r="D1150" i="16"/>
  <c r="D1166" i="16"/>
  <c r="D1182" i="16"/>
  <c r="D1198" i="16"/>
  <c r="D1214" i="16"/>
  <c r="D1230" i="16"/>
  <c r="D752" i="16"/>
  <c r="D283" i="16"/>
  <c r="D208" i="16"/>
  <c r="D344" i="16"/>
  <c r="D528" i="16"/>
  <c r="D720" i="16"/>
  <c r="D153" i="16"/>
  <c r="D277" i="16"/>
  <c r="D405" i="16"/>
  <c r="D497" i="16"/>
  <c r="D581" i="16"/>
  <c r="D114" i="16"/>
  <c r="D162" i="16"/>
  <c r="D222" i="16"/>
  <c r="D286" i="16"/>
  <c r="D334" i="16"/>
  <c r="D390" i="16"/>
  <c r="D454" i="16"/>
  <c r="D502" i="16"/>
  <c r="D562" i="16"/>
  <c r="D626" i="16"/>
  <c r="D662" i="16"/>
  <c r="D706" i="16"/>
  <c r="D754" i="16"/>
  <c r="D790" i="16"/>
  <c r="D834" i="16"/>
  <c r="D813" i="16"/>
  <c r="D861" i="16"/>
  <c r="D889" i="16"/>
  <c r="D921" i="16"/>
  <c r="D945" i="16"/>
  <c r="D973" i="16"/>
  <c r="D1005" i="16"/>
  <c r="D1033" i="16"/>
  <c r="D1057" i="16"/>
  <c r="D1089" i="16"/>
  <c r="D1113" i="16"/>
  <c r="D1133" i="16"/>
  <c r="D1157" i="16"/>
  <c r="D1177" i="16"/>
  <c r="D621" i="16"/>
  <c r="D669" i="16"/>
  <c r="D709" i="16"/>
  <c r="D745" i="16"/>
  <c r="D793" i="16"/>
  <c r="D836" i="16"/>
  <c r="D858" i="16"/>
  <c r="D882" i="16"/>
  <c r="D902" i="16"/>
  <c r="D922" i="16"/>
  <c r="D946" i="16"/>
  <c r="D966" i="16"/>
  <c r="D986" i="16"/>
  <c r="D1010" i="16"/>
  <c r="D1030" i="16"/>
  <c r="D1050" i="16"/>
  <c r="D1074" i="16"/>
  <c r="D1094" i="16"/>
  <c r="D1114" i="16"/>
  <c r="D1138" i="16"/>
  <c r="D1158" i="16"/>
  <c r="D1178" i="16"/>
  <c r="D1202" i="16"/>
  <c r="D1222" i="16"/>
  <c r="D741" i="16"/>
  <c r="D784" i="16"/>
  <c r="D816" i="16"/>
  <c r="D1331" i="16"/>
  <c r="D1283" i="16"/>
  <c r="D1235" i="16"/>
  <c r="D1179" i="16"/>
  <c r="D1127" i="16"/>
  <c r="D1075" i="16"/>
  <c r="D1023" i="16"/>
  <c r="D967" i="16"/>
  <c r="D919" i="16"/>
  <c r="D863" i="16"/>
  <c r="D803" i="16"/>
  <c r="D735" i="16"/>
  <c r="D687" i="16"/>
  <c r="D635" i="16"/>
  <c r="D579" i="16"/>
  <c r="D519" i="16"/>
  <c r="D455" i="16"/>
  <c r="D391" i="16"/>
  <c r="D323" i="16"/>
  <c r="D255" i="16"/>
  <c r="D199" i="16"/>
  <c r="D127" i="16"/>
  <c r="D1341" i="16"/>
  <c r="D1320" i="16"/>
  <c r="D1298" i="16"/>
  <c r="D1277" i="16"/>
  <c r="D1256" i="16"/>
  <c r="D1232" i="16"/>
  <c r="D1200" i="16"/>
  <c r="D1148" i="16"/>
  <c r="D1084" i="16"/>
  <c r="D1020" i="16"/>
  <c r="D956" i="16"/>
  <c r="D892" i="16"/>
  <c r="D801" i="16"/>
  <c r="D673" i="16"/>
  <c r="D1332" i="16"/>
  <c r="D1289" i="16"/>
  <c r="D1241" i="16"/>
  <c r="D1184" i="16"/>
  <c r="D1056" i="16"/>
  <c r="D928" i="16"/>
  <c r="D785" i="16"/>
  <c r="D571" i="16"/>
  <c r="D1335" i="16"/>
  <c r="D1287" i="16"/>
  <c r="D1243" i="16"/>
  <c r="D1195" i="16"/>
  <c r="D1147" i="16"/>
  <c r="D1103" i="16"/>
  <c r="D1055" i="16"/>
  <c r="D1007" i="16"/>
  <c r="D963" i="16"/>
  <c r="D915" i="16"/>
  <c r="D871" i="16"/>
  <c r="D819" i="16"/>
  <c r="D755" i="16"/>
  <c r="D703" i="16"/>
  <c r="D655" i="16"/>
  <c r="D611" i="16"/>
  <c r="D547" i="16"/>
  <c r="D479" i="16"/>
  <c r="D423" i="16"/>
  <c r="D355" i="16"/>
  <c r="D287" i="16"/>
  <c r="D223" i="16"/>
  <c r="D159" i="16"/>
  <c r="D99" i="16"/>
  <c r="D1340" i="16"/>
  <c r="D1318" i="16"/>
  <c r="D1297" i="16"/>
  <c r="D1276" i="16"/>
  <c r="D1254" i="16"/>
  <c r="D1229" i="16"/>
  <c r="D1197" i="16"/>
  <c r="D1144" i="16"/>
  <c r="D1080" i="16"/>
  <c r="D1016" i="16"/>
  <c r="D952" i="16"/>
  <c r="D888" i="16"/>
  <c r="D796" i="16"/>
  <c r="D665" i="16"/>
  <c r="D1326" i="16"/>
  <c r="D1284" i="16"/>
  <c r="D1246" i="16"/>
  <c r="D1168" i="16"/>
  <c r="D1040" i="16"/>
  <c r="D912" i="16"/>
  <c r="D764" i="16"/>
  <c r="D379" i="16"/>
  <c r="D1327" i="16"/>
  <c r="D1279" i="16"/>
  <c r="D1227" i="16"/>
  <c r="D1187" i="16"/>
  <c r="D1139" i="16"/>
  <c r="D1095" i="16"/>
  <c r="D1051" i="16"/>
  <c r="D1003" i="16"/>
  <c r="D959" i="16"/>
  <c r="D911" i="16"/>
  <c r="D867" i="16"/>
  <c r="D811" i="16"/>
  <c r="D751" i="16"/>
  <c r="D695" i="16"/>
  <c r="D80" i="16"/>
  <c r="D216" i="16"/>
  <c r="D400" i="16"/>
  <c r="D592" i="16"/>
  <c r="D728" i="16"/>
  <c r="D193" i="16"/>
  <c r="D321" i="16"/>
  <c r="D409" i="16"/>
  <c r="D521" i="16"/>
  <c r="D70" i="16"/>
  <c r="D118" i="16"/>
  <c r="D178" i="16"/>
  <c r="D242" i="16"/>
  <c r="D290" i="16"/>
  <c r="D350" i="16"/>
  <c r="D414" i="16"/>
  <c r="D462" i="16"/>
  <c r="D518" i="16"/>
  <c r="D582" i="16"/>
  <c r="D630" i="16"/>
  <c r="D674" i="16"/>
  <c r="D722" i="16"/>
  <c r="D758" i="16"/>
  <c r="D802" i="16"/>
  <c r="D749" i="16"/>
  <c r="D824" i="16"/>
  <c r="D865" i="16"/>
  <c r="D897" i="16"/>
  <c r="D925" i="16"/>
  <c r="D953" i="16"/>
  <c r="D985" i="16"/>
  <c r="D1009" i="16"/>
  <c r="D1037" i="16"/>
  <c r="D1069" i="16"/>
  <c r="D1097" i="16"/>
  <c r="D1117" i="16"/>
  <c r="D1141" i="16"/>
  <c r="D1161" i="16"/>
  <c r="D1181" i="16"/>
  <c r="D637" i="16"/>
  <c r="D677" i="16"/>
  <c r="D717" i="16"/>
  <c r="D761" i="16"/>
  <c r="D804" i="16"/>
  <c r="D841" i="16"/>
  <c r="D866" i="16"/>
  <c r="D886" i="16"/>
  <c r="D906" i="16"/>
  <c r="D930" i="16"/>
  <c r="D950" i="16"/>
  <c r="D970" i="16"/>
  <c r="D994" i="16"/>
  <c r="D1014" i="16"/>
  <c r="D1034" i="16"/>
  <c r="D1058" i="16"/>
  <c r="D1078" i="16"/>
  <c r="D1098" i="16"/>
  <c r="D1122" i="16"/>
  <c r="D1142" i="16"/>
  <c r="D1162" i="16"/>
  <c r="D1186" i="16"/>
  <c r="D1206" i="16"/>
  <c r="D1226" i="16"/>
  <c r="D757" i="16"/>
  <c r="D789" i="16"/>
  <c r="D821" i="16"/>
  <c r="D1319" i="16"/>
  <c r="D1271" i="16"/>
  <c r="D1215" i="16"/>
  <c r="D1167" i="16"/>
  <c r="D1111" i="16"/>
  <c r="D1063" i="16"/>
  <c r="D1011" i="16"/>
  <c r="D955" i="16"/>
  <c r="D907" i="16"/>
  <c r="D851" i="16"/>
  <c r="D783" i="16"/>
  <c r="D723" i="16"/>
  <c r="D675" i="16"/>
  <c r="D619" i="16"/>
  <c r="D567" i="16"/>
  <c r="D495" i="16"/>
  <c r="D439" i="16"/>
  <c r="D375" i="16"/>
  <c r="D311" i="16"/>
  <c r="D243" i="16"/>
  <c r="D175" i="16"/>
  <c r="D115" i="16"/>
  <c r="D1336" i="16"/>
  <c r="D1314" i="16"/>
  <c r="D1293" i="16"/>
  <c r="D1272" i="16"/>
  <c r="D1250" i="16"/>
  <c r="D1224" i="16"/>
  <c r="D1192" i="16"/>
  <c r="D1132" i="16"/>
  <c r="D1068" i="16"/>
  <c r="D1004" i="16"/>
  <c r="D940" i="16"/>
  <c r="D876" i="16"/>
  <c r="D780" i="16"/>
  <c r="D641" i="16"/>
  <c r="D1321" i="16"/>
  <c r="D1278" i="16"/>
  <c r="D1225" i="16"/>
  <c r="D1152" i="16"/>
  <c r="D1024" i="16"/>
  <c r="D896" i="16"/>
  <c r="D743" i="16"/>
  <c r="D443" i="16"/>
  <c r="D1323" i="16"/>
  <c r="D1275" i="16"/>
  <c r="D1231" i="16"/>
  <c r="D1183" i="16"/>
  <c r="D1135" i="16"/>
  <c r="D1091" i="16"/>
  <c r="D1043" i="16"/>
  <c r="D995" i="16"/>
  <c r="D947" i="16"/>
  <c r="D899" i="16"/>
  <c r="D859" i="16"/>
  <c r="D799" i="16"/>
  <c r="D739" i="16"/>
  <c r="D691" i="16"/>
  <c r="D643" i="16"/>
  <c r="D599" i="16"/>
  <c r="D527" i="16"/>
  <c r="D467" i="16"/>
  <c r="D407" i="16"/>
  <c r="D339" i="16"/>
  <c r="D275" i="16"/>
  <c r="D211" i="16"/>
  <c r="D147" i="16"/>
  <c r="D1334" i="16"/>
  <c r="D1313" i="16"/>
  <c r="D1292" i="16"/>
  <c r="D1270" i="16"/>
  <c r="D1249" i="16"/>
  <c r="D1221" i="16"/>
  <c r="D1189" i="16"/>
  <c r="D1128" i="16"/>
  <c r="D1064" i="16"/>
  <c r="D1000" i="16"/>
  <c r="D936" i="16"/>
  <c r="D872" i="16"/>
  <c r="D753" i="16"/>
  <c r="D633" i="16"/>
  <c r="D1316" i="16"/>
  <c r="D1273" i="16"/>
  <c r="D1233" i="16"/>
  <c r="D1136" i="16"/>
  <c r="D1008" i="16"/>
  <c r="D625" i="16"/>
  <c r="D748" i="16"/>
  <c r="D852" i="16"/>
  <c r="D916" i="16"/>
  <c r="D980" i="16"/>
  <c r="D1044" i="16"/>
  <c r="D1108" i="16"/>
  <c r="D1172" i="16"/>
  <c r="D1212" i="16"/>
  <c r="D1242" i="16"/>
  <c r="D1264" i="16"/>
  <c r="D1285" i="16"/>
  <c r="D1306" i="16"/>
  <c r="D1328" i="16"/>
  <c r="D71" i="16"/>
  <c r="D95" i="16"/>
  <c r="D167" i="16"/>
  <c r="D227" i="16"/>
  <c r="D291" i="16"/>
  <c r="D351" i="16"/>
  <c r="D419" i="16"/>
  <c r="D487" i="16"/>
  <c r="D551" i="16"/>
  <c r="D603" i="16"/>
  <c r="D651" i="16"/>
  <c r="D707" i="16"/>
  <c r="D787" i="16"/>
  <c r="D855" i="16"/>
  <c r="D923" i="16"/>
  <c r="D983" i="16"/>
  <c r="D1039" i="16"/>
  <c r="D1107" i="16"/>
  <c r="D1163" i="16"/>
  <c r="D1219" i="16"/>
  <c r="D1295" i="16"/>
  <c r="D123" i="16"/>
  <c r="D713" i="16"/>
  <c r="D944" i="16"/>
  <c r="D1193" i="16"/>
  <c r="D1294" i="16"/>
  <c r="D697" i="16"/>
  <c r="D904" i="16"/>
  <c r="D1032" i="16"/>
  <c r="D1160" i="16"/>
  <c r="D1237" i="16"/>
  <c r="D1281" i="16"/>
  <c r="D1324" i="16"/>
  <c r="D191" i="16"/>
  <c r="D327" i="16"/>
  <c r="D451" i="16"/>
  <c r="D583" i="16"/>
  <c r="D679" i="16"/>
  <c r="D779" i="16"/>
  <c r="D891" i="16"/>
  <c r="D987" i="16"/>
  <c r="D1079" i="16"/>
  <c r="D1171" i="16"/>
  <c r="D1267" i="16"/>
  <c r="D315" i="16"/>
  <c r="D864" i="16"/>
  <c r="D1120" i="16"/>
  <c r="D1268" i="16"/>
  <c r="D609" i="16"/>
  <c r="D860" i="16"/>
  <c r="D988" i="16"/>
  <c r="D1116" i="16"/>
  <c r="D1216" i="16"/>
  <c r="D1266" i="16"/>
  <c r="D1309" i="16"/>
  <c r="D103" i="16"/>
  <c r="D231" i="16"/>
  <c r="D359" i="16"/>
  <c r="D483" i="16"/>
  <c r="D607" i="16"/>
  <c r="D711" i="16"/>
  <c r="D827" i="16"/>
  <c r="D943" i="16"/>
  <c r="D1047" i="16"/>
  <c r="D1155" i="16"/>
  <c r="D1259" i="16"/>
  <c r="D832" i="16"/>
  <c r="D768" i="16"/>
  <c r="D1210" i="16"/>
  <c r="D1170" i="16"/>
  <c r="D1126" i="16"/>
  <c r="D1082" i="16"/>
  <c r="D1042" i="16"/>
  <c r="D998" i="16"/>
  <c r="D954" i="16"/>
  <c r="D914" i="16"/>
  <c r="D870" i="16"/>
  <c r="D809" i="16"/>
  <c r="D733" i="16"/>
  <c r="D645" i="16"/>
  <c r="D1165" i="16"/>
  <c r="D1125" i="16"/>
  <c r="D1073" i="16"/>
  <c r="D1017" i="16"/>
  <c r="D961" i="16"/>
  <c r="D905" i="16"/>
  <c r="D845" i="16"/>
  <c r="D818" i="16"/>
  <c r="D726" i="16"/>
  <c r="D642" i="16"/>
  <c r="D542" i="16"/>
  <c r="D418" i="16"/>
  <c r="D306" i="16"/>
  <c r="D198" i="16"/>
  <c r="D78" i="16"/>
  <c r="D449" i="16"/>
  <c r="D233" i="16"/>
  <c r="D600" i="16"/>
  <c r="D272" i="16"/>
  <c r="D775" i="16"/>
  <c r="D689" i="16"/>
  <c r="D812" i="16"/>
  <c r="D884" i="16"/>
  <c r="D948" i="16"/>
  <c r="D1012" i="16"/>
  <c r="D1076" i="16"/>
  <c r="D1140" i="16"/>
  <c r="D1196" i="16"/>
  <c r="D1228" i="16"/>
  <c r="D1253" i="16"/>
  <c r="D1274" i="16"/>
  <c r="D1296" i="16"/>
  <c r="D1317" i="16"/>
  <c r="D1338" i="16"/>
  <c r="D83" i="16"/>
  <c r="D131" i="16"/>
  <c r="D195" i="16"/>
  <c r="D263" i="16"/>
  <c r="D319" i="16"/>
  <c r="D387" i="16"/>
  <c r="D447" i="16"/>
  <c r="D515" i="16"/>
  <c r="D575" i="16"/>
  <c r="D627" i="16"/>
  <c r="D671" i="16"/>
  <c r="D731" i="16"/>
  <c r="D831" i="16"/>
  <c r="D887" i="16"/>
  <c r="D951" i="16"/>
  <c r="D1015" i="16"/>
  <c r="D1071" i="16"/>
  <c r="D1131" i="16"/>
  <c r="D1199" i="16"/>
  <c r="D1251" i="16"/>
  <c r="D1315" i="16"/>
  <c r="D507" i="16"/>
  <c r="D848" i="16"/>
  <c r="D1072" i="16"/>
  <c r="D1252" i="16"/>
  <c r="D1337" i="16"/>
  <c r="D817" i="16"/>
  <c r="D968" i="16"/>
  <c r="D1096" i="16"/>
  <c r="D1205" i="16"/>
  <c r="D1260" i="16"/>
  <c r="D1302" i="16"/>
  <c r="D1343" i="16"/>
  <c r="D135" i="16"/>
  <c r="D259" i="16"/>
  <c r="D383" i="16"/>
  <c r="D511" i="16"/>
  <c r="D631" i="16"/>
  <c r="D727" i="16"/>
  <c r="D847" i="16"/>
  <c r="D935" i="16"/>
  <c r="D1031" i="16"/>
  <c r="D1123" i="16"/>
  <c r="D1223" i="16"/>
  <c r="D1311" i="16"/>
  <c r="D681" i="16"/>
  <c r="D992" i="16"/>
  <c r="D1209" i="16"/>
  <c r="D1310" i="16"/>
  <c r="D737" i="16"/>
  <c r="D924" i="16"/>
  <c r="D1052" i="16"/>
  <c r="D1180" i="16"/>
  <c r="D1245" i="16"/>
  <c r="D1288" i="16"/>
  <c r="D1330" i="16"/>
  <c r="D163" i="16"/>
  <c r="D295" i="16"/>
  <c r="D415" i="16"/>
  <c r="D543" i="16"/>
  <c r="D663" i="16"/>
  <c r="D771" i="16"/>
  <c r="D895" i="16"/>
  <c r="D999" i="16"/>
  <c r="D1099" i="16"/>
  <c r="D1203" i="16"/>
  <c r="D1303" i="16"/>
  <c r="D800" i="16"/>
  <c r="D1234" i="16"/>
  <c r="D1190" i="16"/>
  <c r="D1146" i="16"/>
  <c r="D1106" i="16"/>
  <c r="D1062" i="16"/>
  <c r="D1018" i="16"/>
  <c r="D978" i="16"/>
  <c r="D934" i="16"/>
  <c r="D890" i="16"/>
  <c r="D850" i="16"/>
  <c r="D772" i="16"/>
  <c r="D685" i="16"/>
  <c r="D605" i="16"/>
  <c r="D1145" i="16"/>
  <c r="D1101" i="16"/>
  <c r="D1049" i="16"/>
  <c r="D989" i="16"/>
  <c r="D929" i="16"/>
  <c r="D877" i="16"/>
  <c r="D760" i="16"/>
  <c r="D770" i="16"/>
  <c r="D690" i="16"/>
  <c r="D590" i="16"/>
  <c r="D478" i="16"/>
  <c r="D370" i="16"/>
  <c r="D246" i="16"/>
  <c r="D134" i="16"/>
  <c r="D553" i="16"/>
  <c r="D325" i="16"/>
  <c r="D105" i="16"/>
  <c r="D464" i="16"/>
  <c r="D88" i="16"/>
  <c r="D791" i="16"/>
  <c r="D539" i="16"/>
  <c r="D363" i="16"/>
  <c r="D203" i="16"/>
  <c r="D64" i="16"/>
  <c r="D96" i="16"/>
  <c r="D128" i="16"/>
  <c r="D160" i="16"/>
  <c r="D192" i="16"/>
  <c r="D224" i="16"/>
  <c r="D256" i="16"/>
  <c r="D288" i="16"/>
  <c r="D320" i="16"/>
  <c r="D352" i="16"/>
  <c r="D384" i="16"/>
  <c r="D416" i="16"/>
  <c r="D448" i="16"/>
  <c r="D480" i="16"/>
  <c r="D512" i="16"/>
  <c r="D544" i="16"/>
  <c r="D576" i="16"/>
  <c r="D608" i="16"/>
  <c r="D640" i="16"/>
  <c r="D672" i="16"/>
  <c r="D704" i="16"/>
  <c r="D736" i="16"/>
  <c r="D89" i="16"/>
  <c r="D117" i="16"/>
  <c r="D137" i="16"/>
  <c r="D161" i="16"/>
  <c r="D181" i="16"/>
  <c r="D201" i="16"/>
  <c r="D225" i="16"/>
  <c r="D245" i="16"/>
  <c r="D265" i="16"/>
  <c r="D289" i="16"/>
  <c r="D309" i="16"/>
  <c r="D329" i="16"/>
  <c r="D353" i="16"/>
  <c r="D373" i="16"/>
  <c r="D393" i="16"/>
  <c r="D417" i="16"/>
  <c r="D437" i="16"/>
  <c r="D457" i="16"/>
  <c r="D481" i="16"/>
  <c r="D501" i="16"/>
  <c r="D823" i="16"/>
  <c r="D491" i="16"/>
  <c r="D331" i="16"/>
  <c r="D155" i="16"/>
  <c r="D72" i="16"/>
  <c r="D104" i="16"/>
  <c r="D136" i="16"/>
  <c r="D168" i="16"/>
  <c r="D200" i="16"/>
  <c r="D232" i="16"/>
  <c r="D264" i="16"/>
  <c r="D296" i="16"/>
  <c r="D328" i="16"/>
  <c r="D360" i="16"/>
  <c r="D392" i="16"/>
  <c r="D424" i="16"/>
  <c r="D456" i="16"/>
  <c r="D488" i="16"/>
  <c r="D520" i="16"/>
  <c r="D552" i="16"/>
  <c r="D584" i="16"/>
  <c r="D616" i="16"/>
  <c r="D648" i="16"/>
  <c r="D680" i="16"/>
  <c r="D712" i="16"/>
  <c r="D65" i="16"/>
  <c r="D97" i="16"/>
  <c r="D121" i="16"/>
  <c r="D145" i="16"/>
  <c r="D165" i="16"/>
  <c r="D185" i="16"/>
  <c r="D209" i="16"/>
  <c r="D229" i="16"/>
  <c r="D249" i="16"/>
  <c r="D273" i="16"/>
  <c r="D293" i="16"/>
  <c r="D313" i="16"/>
  <c r="D337" i="16"/>
  <c r="D357" i="16"/>
  <c r="D377" i="16"/>
  <c r="D401" i="16"/>
  <c r="D421" i="16"/>
  <c r="D441" i="16"/>
  <c r="D465" i="16"/>
  <c r="D485" i="16"/>
  <c r="D505" i="16"/>
  <c r="D529" i="16"/>
  <c r="D549" i="16"/>
  <c r="D569" i="16"/>
  <c r="D593" i="16"/>
  <c r="D74" i="16"/>
  <c r="D90" i="16"/>
  <c r="D106" i="16"/>
  <c r="D122" i="16"/>
  <c r="D138" i="16"/>
  <c r="D154" i="16"/>
  <c r="D170" i="16"/>
  <c r="D186" i="16"/>
  <c r="D202" i="16"/>
  <c r="D218" i="16"/>
  <c r="D234" i="16"/>
  <c r="D250" i="16"/>
  <c r="D266" i="16"/>
  <c r="D282" i="16"/>
  <c r="D298" i="16"/>
  <c r="D314" i="16"/>
  <c r="D330" i="16"/>
  <c r="D346" i="16"/>
  <c r="D362" i="16"/>
  <c r="D378" i="16"/>
  <c r="D394" i="16"/>
  <c r="D410" i="16"/>
  <c r="D426" i="16"/>
  <c r="D442" i="16"/>
  <c r="D458" i="16"/>
  <c r="D474" i="16"/>
  <c r="D490" i="16"/>
  <c r="D506" i="16"/>
  <c r="D522" i="16"/>
  <c r="D538" i="16"/>
  <c r="D554" i="16"/>
  <c r="D570" i="16"/>
  <c r="D586" i="16"/>
  <c r="D602" i="16"/>
  <c r="D618" i="16"/>
  <c r="D66" i="16"/>
  <c r="D589" i="16"/>
  <c r="D573" i="16"/>
  <c r="D557" i="16"/>
  <c r="D541" i="16"/>
  <c r="D525" i="16"/>
  <c r="D509" i="16"/>
  <c r="D493" i="16"/>
  <c r="D477" i="16"/>
  <c r="D461" i="16"/>
  <c r="D445" i="16"/>
  <c r="D429" i="16"/>
  <c r="D413" i="16"/>
  <c r="D397" i="16"/>
  <c r="D381" i="16"/>
  <c r="D365" i="16"/>
  <c r="D349" i="16"/>
  <c r="D333" i="16"/>
  <c r="D317" i="16"/>
  <c r="D301" i="16"/>
  <c r="D285" i="16"/>
  <c r="D269" i="16"/>
  <c r="D253" i="16"/>
  <c r="D237" i="16"/>
  <c r="D221" i="16"/>
  <c r="D205" i="16"/>
  <c r="D189" i="16"/>
  <c r="D173" i="16"/>
  <c r="D157" i="16"/>
  <c r="D141" i="16"/>
  <c r="D125" i="16"/>
  <c r="D109" i="16"/>
  <c r="D93" i="16"/>
  <c r="D77" i="16"/>
  <c r="D61" i="16"/>
  <c r="D724" i="16"/>
  <c r="D708" i="16"/>
  <c r="D692" i="16"/>
  <c r="D676" i="16"/>
  <c r="D660" i="16"/>
  <c r="D644" i="16"/>
  <c r="D628" i="16"/>
  <c r="D612" i="16"/>
  <c r="D596" i="16"/>
  <c r="D580" i="16"/>
  <c r="D564" i="16"/>
  <c r="D548" i="16"/>
  <c r="D532" i="16"/>
  <c r="D516" i="16"/>
  <c r="D500" i="16"/>
  <c r="D484" i="16"/>
  <c r="D468" i="16"/>
  <c r="D452" i="16"/>
  <c r="D436" i="16"/>
  <c r="D420" i="16"/>
  <c r="D404" i="16"/>
  <c r="D388" i="16"/>
  <c r="D372" i="16"/>
  <c r="D356" i="16"/>
  <c r="D340" i="16"/>
  <c r="D324" i="16"/>
  <c r="D308" i="16"/>
  <c r="D292" i="16"/>
  <c r="D276" i="16"/>
  <c r="D260" i="16"/>
  <c r="D244" i="16"/>
  <c r="D228" i="16"/>
  <c r="D212" i="16"/>
  <c r="D196" i="16"/>
  <c r="D180" i="16"/>
  <c r="D164" i="16"/>
  <c r="D148" i="16"/>
  <c r="D132" i="16"/>
  <c r="D116" i="16"/>
  <c r="D100" i="16"/>
  <c r="D84" i="16"/>
  <c r="D68" i="16"/>
  <c r="D91" i="16"/>
  <c r="D171" i="16"/>
  <c r="D267" i="16"/>
  <c r="D347" i="16"/>
  <c r="D427" i="16"/>
  <c r="D523" i="16"/>
  <c r="D759" i="16"/>
  <c r="D839" i="16"/>
  <c r="D101" i="16"/>
  <c r="D85" i="16"/>
  <c r="D69" i="16"/>
  <c r="D732" i="16"/>
  <c r="D716" i="16"/>
  <c r="D700" i="16"/>
  <c r="D684" i="16"/>
  <c r="D668" i="16"/>
  <c r="D652" i="16"/>
  <c r="D636" i="16"/>
  <c r="D620" i="16"/>
  <c r="D604" i="16"/>
  <c r="D588" i="16"/>
  <c r="D572" i="16"/>
  <c r="D556" i="16"/>
  <c r="D540" i="16"/>
  <c r="D524" i="16"/>
  <c r="D508" i="16"/>
  <c r="D492" i="16"/>
  <c r="D476" i="16"/>
  <c r="D460" i="16"/>
  <c r="D444" i="16"/>
  <c r="D428" i="16"/>
  <c r="D412" i="16"/>
  <c r="D396" i="16"/>
  <c r="D380" i="16"/>
  <c r="D364" i="16"/>
  <c r="D348" i="16"/>
  <c r="D332" i="16"/>
  <c r="D316" i="16"/>
  <c r="D300" i="16"/>
  <c r="D284" i="16"/>
  <c r="D268" i="16"/>
  <c r="D252" i="16"/>
  <c r="D236" i="16"/>
  <c r="D220" i="16"/>
  <c r="D204" i="16"/>
  <c r="D188" i="16"/>
  <c r="D172" i="16"/>
  <c r="D156" i="16"/>
  <c r="D140" i="16"/>
  <c r="D124" i="16"/>
  <c r="D108" i="16"/>
  <c r="D92" i="16"/>
  <c r="D76" i="16"/>
  <c r="D60" i="16"/>
  <c r="D139" i="16"/>
  <c r="D219" i="16"/>
  <c r="D299" i="16"/>
  <c r="D395" i="16"/>
  <c r="D475" i="16"/>
  <c r="D555" i="16"/>
  <c r="X6" i="16"/>
  <c r="AD6" i="16" s="1"/>
  <c r="AE3" i="16" s="1"/>
  <c r="AF4" i="16" s="1"/>
  <c r="V3" i="16"/>
  <c r="W4" i="16" s="1"/>
  <c r="AN15" i="16"/>
  <c r="B19" i="16"/>
  <c r="AG8" i="16" l="1"/>
  <c r="CR30" i="16"/>
  <c r="AJ10" i="16"/>
  <c r="BN20" i="16"/>
  <c r="DM37" i="16"/>
  <c r="CF26" i="16"/>
  <c r="DG35" i="16"/>
  <c r="DJ36" i="16"/>
  <c r="BW23" i="16"/>
  <c r="AS13" i="16"/>
  <c r="CO29" i="16"/>
  <c r="AP12" i="16"/>
  <c r="BZ24" i="16"/>
  <c r="BK19" i="16"/>
  <c r="DA33" i="16"/>
  <c r="DP38" i="16"/>
  <c r="CL28" i="16"/>
  <c r="CX32" i="16"/>
  <c r="CI27" i="16"/>
  <c r="BE17" i="16"/>
  <c r="CC25" i="16"/>
  <c r="AM11" i="16"/>
  <c r="BB16" i="16"/>
  <c r="BQ21" i="16"/>
  <c r="AY15" i="16"/>
  <c r="BT22" i="16"/>
  <c r="BH18" i="16"/>
  <c r="AV14" i="16"/>
  <c r="AA42" i="16"/>
  <c r="AG42" i="16" s="1"/>
  <c r="CU31" i="16"/>
  <c r="DD34" i="16"/>
  <c r="D59" i="16"/>
  <c r="D58" i="16"/>
  <c r="Y3" i="16"/>
  <c r="Z4" i="16" s="1"/>
  <c r="AA6" i="16"/>
  <c r="AQ16" i="16"/>
  <c r="B20" i="16"/>
  <c r="AJ10" i="22"/>
  <c r="AG6" i="16" l="1"/>
  <c r="BK18" i="16"/>
  <c r="BH17" i="16"/>
  <c r="AS12" i="16"/>
  <c r="CX31" i="16"/>
  <c r="BE16" i="16"/>
  <c r="DD33" i="16"/>
  <c r="DJ35" i="16"/>
  <c r="AJ42" i="16"/>
  <c r="AM42" i="16" s="1"/>
  <c r="AP42" i="16" s="1"/>
  <c r="AS42" i="16" s="1"/>
  <c r="AV42" i="16" s="1"/>
  <c r="AY42" i="16" s="1"/>
  <c r="BB42" i="16" s="1"/>
  <c r="BE42" i="16" s="1"/>
  <c r="BH42" i="16" s="1"/>
  <c r="BK42" i="16" s="1"/>
  <c r="BN42" i="16" s="1"/>
  <c r="BQ42" i="16" s="1"/>
  <c r="BT42" i="16" s="1"/>
  <c r="BW42" i="16" s="1"/>
  <c r="BZ42" i="16" s="1"/>
  <c r="CC42" i="16" s="1"/>
  <c r="CF42" i="16" s="1"/>
  <c r="CI42" i="16" s="1"/>
  <c r="CL42" i="16" s="1"/>
  <c r="CO42" i="16" s="1"/>
  <c r="CR42" i="16" s="1"/>
  <c r="CU42" i="16" s="1"/>
  <c r="CX42" i="16" s="1"/>
  <c r="DA42" i="16" s="1"/>
  <c r="DD42" i="16" s="1"/>
  <c r="DG42" i="16" s="1"/>
  <c r="DJ42" i="16" s="1"/>
  <c r="DM42" i="16" s="1"/>
  <c r="DP42" i="16" s="1"/>
  <c r="AP11" i="16"/>
  <c r="BN19" i="16"/>
  <c r="CI26" i="16"/>
  <c r="AY14" i="16"/>
  <c r="CF25" i="16"/>
  <c r="CC24" i="16"/>
  <c r="AJ9" i="16"/>
  <c r="CL27" i="16"/>
  <c r="CR29" i="16"/>
  <c r="DP37" i="16"/>
  <c r="BW22" i="16"/>
  <c r="DA32" i="16"/>
  <c r="AV13" i="16"/>
  <c r="BQ20" i="16"/>
  <c r="BB15" i="16"/>
  <c r="CO28" i="16"/>
  <c r="BZ23" i="16"/>
  <c r="AM10" i="16"/>
  <c r="DG34" i="16"/>
  <c r="BT21" i="16"/>
  <c r="DM36" i="16"/>
  <c r="CU30" i="16"/>
  <c r="AK7" i="16"/>
  <c r="AH8" i="16"/>
  <c r="AH9" i="16" s="1"/>
  <c r="AH10" i="16" s="1"/>
  <c r="AH11" i="16" s="1"/>
  <c r="AH12" i="16" s="1"/>
  <c r="AB3" i="16"/>
  <c r="AC4" i="16" s="1"/>
  <c r="AT17" i="16"/>
  <c r="B21" i="16"/>
  <c r="AJ17" i="22"/>
  <c r="AJ8" i="22"/>
  <c r="DA31" i="16" l="1"/>
  <c r="DP36" i="16"/>
  <c r="AY13" i="16"/>
  <c r="CF24" i="16"/>
  <c r="DG33" i="16"/>
  <c r="DJ34" i="16"/>
  <c r="BB14" i="16"/>
  <c r="CX30" i="16"/>
  <c r="BT20" i="16"/>
  <c r="AM9" i="16"/>
  <c r="DM35" i="16"/>
  <c r="BW21" i="16"/>
  <c r="DD32" i="16"/>
  <c r="CI25" i="16"/>
  <c r="BH16" i="16"/>
  <c r="AP10" i="16"/>
  <c r="CL26" i="16"/>
  <c r="AJ8" i="16"/>
  <c r="CC23" i="16"/>
  <c r="CU29" i="16"/>
  <c r="BQ19" i="16"/>
  <c r="AV12" i="16"/>
  <c r="CR28" i="16"/>
  <c r="CO27" i="16"/>
  <c r="AS11" i="16"/>
  <c r="BK17" i="16"/>
  <c r="BZ22" i="16"/>
  <c r="BE15" i="16"/>
  <c r="BN18" i="16"/>
  <c r="AN7" i="16"/>
  <c r="AK8" i="16"/>
  <c r="AK9" i="16" s="1"/>
  <c r="AK10" i="16" s="1"/>
  <c r="AK11" i="16" s="1"/>
  <c r="AK12" i="16" s="1"/>
  <c r="AK13" i="16" s="1"/>
  <c r="AW18" i="16"/>
  <c r="B22" i="16"/>
  <c r="AJ12" i="22"/>
  <c r="AJ15" i="22"/>
  <c r="C43" i="22"/>
  <c r="AN38" i="22"/>
  <c r="AN37" i="22"/>
  <c r="AN36" i="22"/>
  <c r="AN35" i="22"/>
  <c r="AN34" i="22"/>
  <c r="AM38" i="22"/>
  <c r="AM37" i="22"/>
  <c r="AM36" i="22"/>
  <c r="AM35" i="22"/>
  <c r="AM34" i="22"/>
  <c r="AL38" i="22"/>
  <c r="AL37" i="22"/>
  <c r="AL36" i="22"/>
  <c r="AL35" i="22"/>
  <c r="AL34" i="22"/>
  <c r="AQ34" i="22"/>
  <c r="AP34" i="22"/>
  <c r="AQ30" i="22"/>
  <c r="AQ29" i="22"/>
  <c r="AQ28" i="22"/>
  <c r="AQ27" i="22"/>
  <c r="AQ26" i="22"/>
  <c r="AQ25" i="22"/>
  <c r="AQ24" i="22"/>
  <c r="AQ23" i="22"/>
  <c r="AP30" i="22"/>
  <c r="AP29" i="22"/>
  <c r="AP28" i="22"/>
  <c r="AP27" i="22"/>
  <c r="AP26" i="22"/>
  <c r="AP25" i="22"/>
  <c r="AP24" i="22"/>
  <c r="AP23" i="22"/>
  <c r="AN30" i="22"/>
  <c r="AN29" i="22"/>
  <c r="AN28" i="22"/>
  <c r="AN27" i="22"/>
  <c r="AN26" i="22"/>
  <c r="AN25" i="22"/>
  <c r="AN24" i="22"/>
  <c r="AN23" i="22"/>
  <c r="AQ18" i="22"/>
  <c r="AQ17" i="22"/>
  <c r="AP18" i="22"/>
  <c r="AP17" i="22"/>
  <c r="AN18" i="22"/>
  <c r="AN17" i="22"/>
  <c r="AM18" i="22"/>
  <c r="AM17" i="22"/>
  <c r="AL18" i="22"/>
  <c r="AQ11" i="22"/>
  <c r="AP11" i="22"/>
  <c r="AQ9" i="22"/>
  <c r="AP9" i="22"/>
  <c r="AN11" i="22"/>
  <c r="AN9" i="22"/>
  <c r="AN13" i="22"/>
  <c r="AL13" i="22"/>
  <c r="AM13" i="22"/>
  <c r="AM11" i="22"/>
  <c r="AL11" i="22"/>
  <c r="AP13" i="22"/>
  <c r="AQ13" i="22"/>
  <c r="AM9" i="22"/>
  <c r="AL9" i="22"/>
  <c r="AM30" i="22"/>
  <c r="AM29" i="22"/>
  <c r="AM28" i="22"/>
  <c r="AM27" i="22"/>
  <c r="AM26" i="22"/>
  <c r="AM25" i="22"/>
  <c r="AM24" i="22"/>
  <c r="AM23" i="22"/>
  <c r="AL30" i="22"/>
  <c r="AL29" i="22"/>
  <c r="AL28" i="22"/>
  <c r="AL27" i="22"/>
  <c r="AL26" i="22"/>
  <c r="AL25" i="22"/>
  <c r="AL24" i="22"/>
  <c r="AL23" i="22"/>
  <c r="BT19" i="16" l="1"/>
  <c r="DJ33" i="16"/>
  <c r="CX29" i="16"/>
  <c r="BZ21" i="16"/>
  <c r="CF23" i="16"/>
  <c r="BB13" i="16"/>
  <c r="CR27" i="16"/>
  <c r="DA30" i="16"/>
  <c r="CU28" i="16"/>
  <c r="BK16" i="16"/>
  <c r="BE14" i="16"/>
  <c r="AJ7" i="16"/>
  <c r="DG32" i="16"/>
  <c r="BH15" i="16"/>
  <c r="CI24" i="16"/>
  <c r="AS10" i="16"/>
  <c r="BQ18" i="16"/>
  <c r="AY12" i="16"/>
  <c r="CL25" i="16"/>
  <c r="DM34" i="16"/>
  <c r="BN17" i="16"/>
  <c r="AM8" i="16"/>
  <c r="AP9" i="16"/>
  <c r="CC22" i="16"/>
  <c r="DP35" i="16"/>
  <c r="AV11" i="16"/>
  <c r="CO26" i="16"/>
  <c r="BW20" i="16"/>
  <c r="DD31" i="16"/>
  <c r="AQ7" i="16"/>
  <c r="AN8" i="16"/>
  <c r="AN9" i="16" s="1"/>
  <c r="AN10" i="16" s="1"/>
  <c r="AN11" i="16" s="1"/>
  <c r="AN12" i="16" s="1"/>
  <c r="AN13" i="16" s="1"/>
  <c r="AN14" i="16" s="1"/>
  <c r="AZ19" i="16"/>
  <c r="B23" i="16"/>
  <c r="B30" i="22"/>
  <c r="E30" i="22"/>
  <c r="F30" i="22"/>
  <c r="G30" i="22"/>
  <c r="AM7" i="16" l="1"/>
  <c r="DD30" i="16"/>
  <c r="AS9" i="16"/>
  <c r="CL24" i="16"/>
  <c r="CU27" i="16"/>
  <c r="DG31" i="16"/>
  <c r="DJ32" i="16"/>
  <c r="BZ20" i="16"/>
  <c r="CC21" i="16"/>
  <c r="CF22" i="16"/>
  <c r="AV10" i="16"/>
  <c r="AP8" i="16"/>
  <c r="BK15" i="16"/>
  <c r="BE13" i="16"/>
  <c r="BQ17" i="16"/>
  <c r="CI23" i="16"/>
  <c r="DP34" i="16"/>
  <c r="CR26" i="16"/>
  <c r="CO25" i="16"/>
  <c r="BH14" i="16"/>
  <c r="DA29" i="16"/>
  <c r="AY11" i="16"/>
  <c r="BB12" i="16"/>
  <c r="BN16" i="16"/>
  <c r="DM33" i="16"/>
  <c r="BT18" i="16"/>
  <c r="CX28" i="16"/>
  <c r="BW19" i="16"/>
  <c r="AQ8" i="16"/>
  <c r="AQ9" i="16" s="1"/>
  <c r="AQ10" i="16" s="1"/>
  <c r="AQ11" i="16" s="1"/>
  <c r="AQ12" i="16" s="1"/>
  <c r="AQ13" i="16" s="1"/>
  <c r="AQ14" i="16" s="1"/>
  <c r="AQ15" i="16" s="1"/>
  <c r="AT7" i="16"/>
  <c r="B24" i="16"/>
  <c r="BC20" i="16"/>
  <c r="C30" i="22"/>
  <c r="BZ19" i="16" l="1"/>
  <c r="AS8" i="16"/>
  <c r="DP33" i="16"/>
  <c r="CF21" i="16"/>
  <c r="BQ16" i="16"/>
  <c r="CL23" i="16"/>
  <c r="BE12" i="16"/>
  <c r="BT17" i="16"/>
  <c r="DM32" i="16"/>
  <c r="CC20" i="16"/>
  <c r="BB11" i="16"/>
  <c r="BH13" i="16"/>
  <c r="DJ31" i="16"/>
  <c r="AP7" i="16"/>
  <c r="DD29" i="16"/>
  <c r="BN15" i="16"/>
  <c r="CX27" i="16"/>
  <c r="BK14" i="16"/>
  <c r="CO24" i="16"/>
  <c r="DA28" i="16"/>
  <c r="CR25" i="16"/>
  <c r="AY10" i="16"/>
  <c r="AV9" i="16"/>
  <c r="BW18" i="16"/>
  <c r="CU26" i="16"/>
  <c r="CI22" i="16"/>
  <c r="DG30" i="16"/>
  <c r="AT8" i="16"/>
  <c r="AT9" i="16" s="1"/>
  <c r="AT10" i="16" s="1"/>
  <c r="AT11" i="16" s="1"/>
  <c r="AT12" i="16" s="1"/>
  <c r="AT13" i="16" s="1"/>
  <c r="AT14" i="16" s="1"/>
  <c r="AT15" i="16" s="1"/>
  <c r="AT16" i="16" s="1"/>
  <c r="AW7" i="16"/>
  <c r="BF21" i="16"/>
  <c r="B25" i="16"/>
  <c r="AN22" i="22"/>
  <c r="AN33" i="22" s="1"/>
  <c r="AM22" i="22"/>
  <c r="AM33" i="22" s="1"/>
  <c r="AL22" i="22"/>
  <c r="AL33" i="22" s="1"/>
  <c r="AQ22" i="22"/>
  <c r="AQ33" i="22" s="1"/>
  <c r="AP22" i="22"/>
  <c r="AP33" i="22" s="1"/>
  <c r="AY9" i="16" l="1"/>
  <c r="DG29" i="16"/>
  <c r="BH12" i="16"/>
  <c r="BT16" i="16"/>
  <c r="BZ18" i="16"/>
  <c r="BQ15" i="16"/>
  <c r="BW17" i="16"/>
  <c r="BB10" i="16"/>
  <c r="AS7" i="16"/>
  <c r="CO23" i="16"/>
  <c r="CU25" i="16"/>
  <c r="DD28" i="16"/>
  <c r="BK13" i="16"/>
  <c r="CI21" i="16"/>
  <c r="CL22" i="16"/>
  <c r="BN14" i="16"/>
  <c r="CF20" i="16"/>
  <c r="AV8" i="16"/>
  <c r="DM31" i="16"/>
  <c r="DJ30" i="16"/>
  <c r="CR24" i="16"/>
  <c r="BE11" i="16"/>
  <c r="CX26" i="16"/>
  <c r="DA27" i="16"/>
  <c r="DP32" i="16"/>
  <c r="CC19" i="16"/>
  <c r="AZ7" i="16"/>
  <c r="AW8" i="16"/>
  <c r="AW9" i="16" s="1"/>
  <c r="AW10" i="16" s="1"/>
  <c r="AW11" i="16" s="1"/>
  <c r="AW12" i="16" s="1"/>
  <c r="AW13" i="16" s="1"/>
  <c r="AW14" i="16" s="1"/>
  <c r="AW15" i="16" s="1"/>
  <c r="AW16" i="16" s="1"/>
  <c r="AW17" i="16" s="1"/>
  <c r="BI22" i="16"/>
  <c r="B26" i="16"/>
  <c r="AP8" i="22"/>
  <c r="AQ8" i="22"/>
  <c r="AP10" i="22"/>
  <c r="AQ10" i="22"/>
  <c r="AP12" i="22"/>
  <c r="AQ12" i="22"/>
  <c r="BH11" i="16" l="1"/>
  <c r="CL21" i="16"/>
  <c r="BT15" i="16"/>
  <c r="DD27" i="16"/>
  <c r="BQ14" i="16"/>
  <c r="DA26" i="16"/>
  <c r="CO22" i="16"/>
  <c r="BZ17" i="16"/>
  <c r="CU24" i="16"/>
  <c r="BN13" i="16"/>
  <c r="CC18" i="16"/>
  <c r="BE10" i="16"/>
  <c r="DM30" i="16"/>
  <c r="DG28" i="16"/>
  <c r="BW16" i="16"/>
  <c r="DP31" i="16"/>
  <c r="BK12" i="16"/>
  <c r="CF19" i="16"/>
  <c r="AY8" i="16"/>
  <c r="CR23" i="16"/>
  <c r="DJ29" i="16"/>
  <c r="CX25" i="16"/>
  <c r="CI20" i="16"/>
  <c r="AV7" i="16"/>
  <c r="BB9" i="16"/>
  <c r="AZ8" i="16"/>
  <c r="AZ9" i="16" s="1"/>
  <c r="AZ10" i="16" s="1"/>
  <c r="AZ11" i="16" s="1"/>
  <c r="AZ12" i="16" s="1"/>
  <c r="AZ13" i="16" s="1"/>
  <c r="AZ14" i="16" s="1"/>
  <c r="AZ15" i="16" s="1"/>
  <c r="AZ16" i="16" s="1"/>
  <c r="AZ17" i="16" s="1"/>
  <c r="AZ18" i="16" s="1"/>
  <c r="BC7" i="16"/>
  <c r="B27" i="16"/>
  <c r="BL23" i="16"/>
  <c r="CL20" i="16" l="1"/>
  <c r="BZ16" i="16"/>
  <c r="CC17" i="16"/>
  <c r="DA25" i="16"/>
  <c r="DM29" i="16"/>
  <c r="DP30" i="16"/>
  <c r="DD26" i="16"/>
  <c r="AY7" i="16"/>
  <c r="DJ28" i="16"/>
  <c r="CR22" i="16"/>
  <c r="CU23" i="16"/>
  <c r="BH10" i="16"/>
  <c r="BT14" i="16"/>
  <c r="BB8" i="16"/>
  <c r="CF18" i="16"/>
  <c r="DG27" i="16"/>
  <c r="CI19" i="16"/>
  <c r="BQ13" i="16"/>
  <c r="BW15" i="16"/>
  <c r="BE9" i="16"/>
  <c r="BN12" i="16"/>
  <c r="CX24" i="16"/>
  <c r="CO21" i="16"/>
  <c r="BK11" i="16"/>
  <c r="BC8" i="16"/>
  <c r="BC9" i="16" s="1"/>
  <c r="BC10" i="16" s="1"/>
  <c r="BC11" i="16" s="1"/>
  <c r="BC12" i="16" s="1"/>
  <c r="BC13" i="16" s="1"/>
  <c r="BC14" i="16" s="1"/>
  <c r="BC15" i="16" s="1"/>
  <c r="BC16" i="16" s="1"/>
  <c r="BC17" i="16" s="1"/>
  <c r="BC18" i="16" s="1"/>
  <c r="BC19" i="16" s="1"/>
  <c r="BF7" i="16"/>
  <c r="AJ6" i="16"/>
  <c r="AH3" i="16"/>
  <c r="AI4" i="16" s="1"/>
  <c r="B28" i="16"/>
  <c r="BO24" i="16"/>
  <c r="BN11" i="16" l="1"/>
  <c r="DJ27" i="16"/>
  <c r="BB7" i="16"/>
  <c r="CR21" i="16"/>
  <c r="CI18" i="16"/>
  <c r="DG26" i="16"/>
  <c r="BQ12" i="16"/>
  <c r="BK10" i="16"/>
  <c r="DA24" i="16"/>
  <c r="BE8" i="16"/>
  <c r="DP29" i="16"/>
  <c r="DD25" i="16"/>
  <c r="BZ15" i="16"/>
  <c r="CX23" i="16"/>
  <c r="CF17" i="16"/>
  <c r="BT13" i="16"/>
  <c r="CU22" i="16"/>
  <c r="CC16" i="16"/>
  <c r="BW14" i="16"/>
  <c r="BH9" i="16"/>
  <c r="CL19" i="16"/>
  <c r="DM28" i="16"/>
  <c r="CO20" i="16"/>
  <c r="BI7" i="16"/>
  <c r="BF8" i="16"/>
  <c r="BF9" i="16" s="1"/>
  <c r="BF10" i="16" s="1"/>
  <c r="BF11" i="16" s="1"/>
  <c r="BF12" i="16" s="1"/>
  <c r="BF13" i="16" s="1"/>
  <c r="BF14" i="16" s="1"/>
  <c r="BF15" i="16" s="1"/>
  <c r="BF16" i="16" s="1"/>
  <c r="BF17" i="16" s="1"/>
  <c r="BF18" i="16" s="1"/>
  <c r="BF19" i="16" s="1"/>
  <c r="BF20" i="16" s="1"/>
  <c r="AM6" i="16"/>
  <c r="AK3" i="16"/>
  <c r="AL4" i="16" s="1"/>
  <c r="BR25" i="16"/>
  <c r="B29" i="16"/>
  <c r="BK9" i="16" l="1"/>
  <c r="CU21" i="16"/>
  <c r="BW13" i="16"/>
  <c r="BN10" i="16"/>
  <c r="CI17" i="16"/>
  <c r="BT12" i="16"/>
  <c r="CR20" i="16"/>
  <c r="DP28" i="16"/>
  <c r="DA23" i="16"/>
  <c r="DJ26" i="16"/>
  <c r="BZ14" i="16"/>
  <c r="BE7" i="16"/>
  <c r="CF16" i="16"/>
  <c r="BH8" i="16"/>
  <c r="DM27" i="16"/>
  <c r="CO19" i="16"/>
  <c r="CC15" i="16"/>
  <c r="CL18" i="16"/>
  <c r="DG25" i="16"/>
  <c r="CX22" i="16"/>
  <c r="DD24" i="16"/>
  <c r="BQ11" i="16"/>
  <c r="BL7" i="16"/>
  <c r="BI8" i="16"/>
  <c r="BI9" i="16" s="1"/>
  <c r="BI10" i="16" s="1"/>
  <c r="BI11" i="16" s="1"/>
  <c r="BI12" i="16" s="1"/>
  <c r="BI13" i="16" s="1"/>
  <c r="BI14" i="16" s="1"/>
  <c r="BI15" i="16" s="1"/>
  <c r="BI16" i="16" s="1"/>
  <c r="BI17" i="16" s="1"/>
  <c r="BI18" i="16" s="1"/>
  <c r="BI19" i="16" s="1"/>
  <c r="BI20" i="16" s="1"/>
  <c r="BI21" i="16" s="1"/>
  <c r="AP6" i="16"/>
  <c r="AN3" i="16"/>
  <c r="AO4" i="16" s="1"/>
  <c r="BU26" i="16"/>
  <c r="B30" i="16"/>
  <c r="AP32" i="22"/>
  <c r="AI17" i="22"/>
  <c r="AI15" i="22"/>
  <c r="AI10" i="22"/>
  <c r="AI8" i="22"/>
  <c r="BT11" i="16" l="1"/>
  <c r="BK8" i="16"/>
  <c r="BW12" i="16"/>
  <c r="DG24" i="16"/>
  <c r="CL17" i="16"/>
  <c r="BH7" i="16"/>
  <c r="BQ10" i="16"/>
  <c r="CR19" i="16"/>
  <c r="DP27" i="16"/>
  <c r="CU20" i="16"/>
  <c r="CI16" i="16"/>
  <c r="DA22" i="16"/>
  <c r="DJ25" i="16"/>
  <c r="CC14" i="16"/>
  <c r="BZ13" i="16"/>
  <c r="CX21" i="16"/>
  <c r="CO18" i="16"/>
  <c r="DM26" i="16"/>
  <c r="CF15" i="16"/>
  <c r="DD23" i="16"/>
  <c r="BN9" i="16"/>
  <c r="BO7" i="16"/>
  <c r="BL8" i="16"/>
  <c r="BL9" i="16" s="1"/>
  <c r="BL10" i="16" s="1"/>
  <c r="BL11" i="16" s="1"/>
  <c r="BL12" i="16" s="1"/>
  <c r="BL13" i="16" s="1"/>
  <c r="BL14" i="16" s="1"/>
  <c r="BL15" i="16" s="1"/>
  <c r="BL16" i="16" s="1"/>
  <c r="BL17" i="16" s="1"/>
  <c r="BL18" i="16" s="1"/>
  <c r="BL19" i="16" s="1"/>
  <c r="BL20" i="16" s="1"/>
  <c r="BL21" i="16" s="1"/>
  <c r="BL22" i="16" s="1"/>
  <c r="AS6" i="16"/>
  <c r="AQ3" i="16"/>
  <c r="AR4" i="16" s="1"/>
  <c r="BX27" i="16"/>
  <c r="B31" i="16"/>
  <c r="AL8" i="22"/>
  <c r="BQ9" i="16" l="1"/>
  <c r="BT10" i="16"/>
  <c r="DG23" i="16"/>
  <c r="BK7" i="16"/>
  <c r="CL16" i="16"/>
  <c r="CR18" i="16"/>
  <c r="BW11" i="16"/>
  <c r="CI15" i="16"/>
  <c r="DP26" i="16"/>
  <c r="DA21" i="16"/>
  <c r="CC13" i="16"/>
  <c r="CF14" i="16"/>
  <c r="DM25" i="16"/>
  <c r="DD22" i="16"/>
  <c r="CX20" i="16"/>
  <c r="CU19" i="16"/>
  <c r="CO17" i="16"/>
  <c r="DJ24" i="16"/>
  <c r="BZ12" i="16"/>
  <c r="BN8" i="16"/>
  <c r="BO8" i="16"/>
  <c r="BO9" i="16" s="1"/>
  <c r="BO10" i="16" s="1"/>
  <c r="BO11" i="16" s="1"/>
  <c r="BO12" i="16" s="1"/>
  <c r="BO13" i="16" s="1"/>
  <c r="BO14" i="16" s="1"/>
  <c r="BO15" i="16" s="1"/>
  <c r="BO16" i="16" s="1"/>
  <c r="BO17" i="16" s="1"/>
  <c r="BO18" i="16" s="1"/>
  <c r="BO19" i="16" s="1"/>
  <c r="BO20" i="16" s="1"/>
  <c r="BO21" i="16" s="1"/>
  <c r="BO22" i="16" s="1"/>
  <c r="BO23" i="16" s="1"/>
  <c r="BR7" i="16"/>
  <c r="AV6" i="16"/>
  <c r="AT3" i="16"/>
  <c r="AU4" i="16" s="1"/>
  <c r="CA28" i="16"/>
  <c r="B32" i="16"/>
  <c r="F23" i="22"/>
  <c r="G23" i="22"/>
  <c r="F24" i="22"/>
  <c r="G24" i="22"/>
  <c r="F25" i="22"/>
  <c r="G25" i="22"/>
  <c r="F26" i="22"/>
  <c r="G26" i="22"/>
  <c r="F27" i="22"/>
  <c r="G27" i="22"/>
  <c r="F28" i="22"/>
  <c r="G28" i="22"/>
  <c r="F29" i="22"/>
  <c r="G29" i="22"/>
  <c r="CX19" i="16" l="1"/>
  <c r="DA20" i="16"/>
  <c r="BZ11" i="16"/>
  <c r="CO16" i="16"/>
  <c r="BN7" i="16"/>
  <c r="CL15" i="16"/>
  <c r="DG22" i="16"/>
  <c r="CU18" i="16"/>
  <c r="DP25" i="16"/>
  <c r="CI14" i="16"/>
  <c r="DM24" i="16"/>
  <c r="DD21" i="16"/>
  <c r="BW10" i="16"/>
  <c r="BQ8" i="16"/>
  <c r="CC12" i="16"/>
  <c r="CF13" i="16"/>
  <c r="DJ23" i="16"/>
  <c r="CR17" i="16"/>
  <c r="BT9" i="16"/>
  <c r="BR8" i="16"/>
  <c r="BR9" i="16" s="1"/>
  <c r="BR10" i="16" s="1"/>
  <c r="BR11" i="16" s="1"/>
  <c r="BR12" i="16" s="1"/>
  <c r="BR13" i="16" s="1"/>
  <c r="BR14" i="16" s="1"/>
  <c r="BR15" i="16" s="1"/>
  <c r="BR16" i="16" s="1"/>
  <c r="BR17" i="16" s="1"/>
  <c r="BR18" i="16" s="1"/>
  <c r="BR19" i="16" s="1"/>
  <c r="BR20" i="16" s="1"/>
  <c r="BR21" i="16" s="1"/>
  <c r="BR22" i="16" s="1"/>
  <c r="BR23" i="16" s="1"/>
  <c r="BR24" i="16" s="1"/>
  <c r="BU7" i="16"/>
  <c r="AY6" i="16"/>
  <c r="AW3" i="16"/>
  <c r="AX4" i="16" s="1"/>
  <c r="CD29" i="16"/>
  <c r="B33" i="16"/>
  <c r="F34" i="22"/>
  <c r="G34" i="22"/>
  <c r="DJ22" i="16" l="1"/>
  <c r="DG21" i="16"/>
  <c r="CR16" i="16"/>
  <c r="CI13" i="16"/>
  <c r="CX18" i="16"/>
  <c r="CF12" i="16"/>
  <c r="BT8" i="16"/>
  <c r="CO15" i="16"/>
  <c r="BZ10" i="16"/>
  <c r="CU17" i="16"/>
  <c r="CL14" i="16"/>
  <c r="DD20" i="16"/>
  <c r="BQ7" i="16"/>
  <c r="BW9" i="16"/>
  <c r="DP24" i="16"/>
  <c r="CC11" i="16"/>
  <c r="DM23" i="16"/>
  <c r="DA19" i="16"/>
  <c r="BU8" i="16"/>
  <c r="BU9" i="16" s="1"/>
  <c r="BU10" i="16" s="1"/>
  <c r="BU11" i="16" s="1"/>
  <c r="BU12" i="16" s="1"/>
  <c r="BU13" i="16" s="1"/>
  <c r="BU14" i="16" s="1"/>
  <c r="BU15" i="16" s="1"/>
  <c r="BU16" i="16" s="1"/>
  <c r="BU17" i="16" s="1"/>
  <c r="BU18" i="16" s="1"/>
  <c r="BU19" i="16" s="1"/>
  <c r="BU20" i="16" s="1"/>
  <c r="BU21" i="16" s="1"/>
  <c r="BU22" i="16" s="1"/>
  <c r="BU23" i="16" s="1"/>
  <c r="BU24" i="16" s="1"/>
  <c r="BU25" i="16" s="1"/>
  <c r="BX7" i="16"/>
  <c r="BB6" i="16"/>
  <c r="AZ3" i="16"/>
  <c r="BA4" i="16" s="1"/>
  <c r="CG30" i="16"/>
  <c r="B34" i="16"/>
  <c r="DP23" i="16" l="1"/>
  <c r="CR15" i="16"/>
  <c r="BW8" i="16"/>
  <c r="BZ9" i="16"/>
  <c r="CI12" i="16"/>
  <c r="CC10" i="16"/>
  <c r="DM22" i="16"/>
  <c r="CF11" i="16"/>
  <c r="BT7" i="16"/>
  <c r="DA18" i="16"/>
  <c r="DG20" i="16"/>
  <c r="CL13" i="16"/>
  <c r="CO14" i="16"/>
  <c r="CU16" i="16"/>
  <c r="DD19" i="16"/>
  <c r="CX17" i="16"/>
  <c r="DJ21" i="16"/>
  <c r="BX8" i="16"/>
  <c r="BX9" i="16" s="1"/>
  <c r="BX10" i="16" s="1"/>
  <c r="BX11" i="16" s="1"/>
  <c r="BX12" i="16" s="1"/>
  <c r="BX13" i="16" s="1"/>
  <c r="BX14" i="16" s="1"/>
  <c r="BX15" i="16" s="1"/>
  <c r="BX16" i="16" s="1"/>
  <c r="BX17" i="16" s="1"/>
  <c r="BX18" i="16" s="1"/>
  <c r="BX19" i="16" s="1"/>
  <c r="BX20" i="16" s="1"/>
  <c r="BX21" i="16" s="1"/>
  <c r="BX22" i="16" s="1"/>
  <c r="BX23" i="16" s="1"/>
  <c r="BX24" i="16" s="1"/>
  <c r="BX25" i="16" s="1"/>
  <c r="BX26" i="16" s="1"/>
  <c r="CA7" i="16"/>
  <c r="BE6" i="16"/>
  <c r="BC3" i="16"/>
  <c r="BD4" i="16" s="1"/>
  <c r="CJ31" i="16"/>
  <c r="B35" i="16"/>
  <c r="AL21" i="22"/>
  <c r="CI11" i="16" l="1"/>
  <c r="DG19" i="16"/>
  <c r="DP22" i="16"/>
  <c r="DA17" i="16"/>
  <c r="CX16" i="16"/>
  <c r="CF10" i="16"/>
  <c r="CU15" i="16"/>
  <c r="CR14" i="16"/>
  <c r="CL12" i="16"/>
  <c r="CO13" i="16"/>
  <c r="CC9" i="16"/>
  <c r="DJ20" i="16"/>
  <c r="BZ8" i="16"/>
  <c r="DD18" i="16"/>
  <c r="DM21" i="16"/>
  <c r="BW7" i="16"/>
  <c r="CA8" i="16"/>
  <c r="CA9" i="16" s="1"/>
  <c r="CA10" i="16" s="1"/>
  <c r="CA11" i="16" s="1"/>
  <c r="CA12" i="16" s="1"/>
  <c r="CA13" i="16" s="1"/>
  <c r="CA14" i="16" s="1"/>
  <c r="CA15" i="16" s="1"/>
  <c r="CA16" i="16" s="1"/>
  <c r="CA17" i="16" s="1"/>
  <c r="CA18" i="16" s="1"/>
  <c r="CA19" i="16" s="1"/>
  <c r="CA20" i="16" s="1"/>
  <c r="CA21" i="16" s="1"/>
  <c r="CA22" i="16" s="1"/>
  <c r="CA23" i="16" s="1"/>
  <c r="CA24" i="16" s="1"/>
  <c r="CA25" i="16" s="1"/>
  <c r="CA26" i="16" s="1"/>
  <c r="CA27" i="16" s="1"/>
  <c r="CD7" i="16"/>
  <c r="BH6" i="16"/>
  <c r="BF3" i="16"/>
  <c r="BG4" i="16" s="1"/>
  <c r="CM32" i="16"/>
  <c r="B36" i="16"/>
  <c r="B29" i="22"/>
  <c r="B28" i="22"/>
  <c r="B27" i="22"/>
  <c r="B26" i="22"/>
  <c r="B25" i="22"/>
  <c r="B24" i="22"/>
  <c r="B23" i="22"/>
  <c r="CU14" i="16" l="1"/>
  <c r="DP21" i="16"/>
  <c r="CX15" i="16"/>
  <c r="DG18" i="16"/>
  <c r="CI10" i="16"/>
  <c r="CC8" i="16"/>
  <c r="DA16" i="16"/>
  <c r="BZ7" i="16"/>
  <c r="CR13" i="16"/>
  <c r="DJ19" i="16"/>
  <c r="DM20" i="16"/>
  <c r="DD17" i="16"/>
  <c r="CF9" i="16"/>
  <c r="CO12" i="16"/>
  <c r="CL11" i="16"/>
  <c r="CG7" i="16"/>
  <c r="CD8" i="16"/>
  <c r="CD9" i="16" s="1"/>
  <c r="CD10" i="16" s="1"/>
  <c r="CD11" i="16" s="1"/>
  <c r="CD12" i="16" s="1"/>
  <c r="CD13" i="16" s="1"/>
  <c r="CD14" i="16" s="1"/>
  <c r="CD15" i="16" s="1"/>
  <c r="CD16" i="16" s="1"/>
  <c r="CD17" i="16" s="1"/>
  <c r="CD18" i="16" s="1"/>
  <c r="CD19" i="16" s="1"/>
  <c r="CD20" i="16" s="1"/>
  <c r="CD21" i="16" s="1"/>
  <c r="CD22" i="16" s="1"/>
  <c r="CD23" i="16" s="1"/>
  <c r="CD24" i="16" s="1"/>
  <c r="CD25" i="16" s="1"/>
  <c r="CD26" i="16" s="1"/>
  <c r="CD27" i="16" s="1"/>
  <c r="CD28" i="16" s="1"/>
  <c r="BK6" i="16"/>
  <c r="BI3" i="16"/>
  <c r="BJ4" i="16" s="1"/>
  <c r="CP33" i="16"/>
  <c r="B37" i="16"/>
  <c r="E29" i="22"/>
  <c r="E28" i="22"/>
  <c r="E27" i="22"/>
  <c r="E26" i="22"/>
  <c r="E25" i="22"/>
  <c r="E24" i="22"/>
  <c r="E23" i="22"/>
  <c r="AL17" i="22"/>
  <c r="AN12" i="22"/>
  <c r="AM12" i="22"/>
  <c r="AL12" i="22"/>
  <c r="AN10" i="22"/>
  <c r="AM10" i="22"/>
  <c r="AL10" i="22"/>
  <c r="AN8" i="22"/>
  <c r="AM8" i="22"/>
  <c r="CL10" i="16" l="1"/>
  <c r="DG17" i="16"/>
  <c r="DJ18" i="16"/>
  <c r="CO11" i="16"/>
  <c r="DD16" i="16"/>
  <c r="CI9" i="16"/>
  <c r="CC7" i="16"/>
  <c r="CR12" i="16"/>
  <c r="CF8" i="16"/>
  <c r="DP20" i="16"/>
  <c r="DM19" i="16"/>
  <c r="DA15" i="16"/>
  <c r="CU13" i="16"/>
  <c r="CX14" i="16"/>
  <c r="CJ7" i="16"/>
  <c r="CG8" i="16"/>
  <c r="CG9" i="16" s="1"/>
  <c r="CG10" i="16" s="1"/>
  <c r="CG11" i="16" s="1"/>
  <c r="CG12" i="16" s="1"/>
  <c r="CG13" i="16" s="1"/>
  <c r="CG14" i="16" s="1"/>
  <c r="CG15" i="16" s="1"/>
  <c r="CG16" i="16" s="1"/>
  <c r="CG17" i="16" s="1"/>
  <c r="CG18" i="16" s="1"/>
  <c r="CG19" i="16" s="1"/>
  <c r="CG20" i="16" s="1"/>
  <c r="CG21" i="16" s="1"/>
  <c r="CG22" i="16" s="1"/>
  <c r="CG23" i="16" s="1"/>
  <c r="CG24" i="16" s="1"/>
  <c r="CG25" i="16" s="1"/>
  <c r="CG26" i="16" s="1"/>
  <c r="CG27" i="16" s="1"/>
  <c r="CG28" i="16" s="1"/>
  <c r="CG29" i="16" s="1"/>
  <c r="BN6" i="16"/>
  <c r="BL3" i="16"/>
  <c r="BM4" i="16" s="1"/>
  <c r="CS34" i="16"/>
  <c r="B38" i="16"/>
  <c r="CF7" i="16" l="1"/>
  <c r="CX13" i="16"/>
  <c r="DD15" i="16"/>
  <c r="CR11" i="16"/>
  <c r="DP19" i="16"/>
  <c r="CU12" i="16"/>
  <c r="DA14" i="16"/>
  <c r="CL9" i="16"/>
  <c r="DJ17" i="16"/>
  <c r="DG16" i="16"/>
  <c r="DM18" i="16"/>
  <c r="CI8" i="16"/>
  <c r="CO10" i="16"/>
  <c r="CM7" i="16"/>
  <c r="CJ8" i="16"/>
  <c r="CJ9" i="16" s="1"/>
  <c r="CJ10" i="16" s="1"/>
  <c r="CJ11" i="16" s="1"/>
  <c r="CJ12" i="16" s="1"/>
  <c r="CJ13" i="16" s="1"/>
  <c r="CJ14" i="16" s="1"/>
  <c r="CJ15" i="16" s="1"/>
  <c r="CJ16" i="16" s="1"/>
  <c r="CJ17" i="16" s="1"/>
  <c r="CJ18" i="16" s="1"/>
  <c r="CJ19" i="16" s="1"/>
  <c r="CJ20" i="16" s="1"/>
  <c r="CJ21" i="16" s="1"/>
  <c r="CJ22" i="16" s="1"/>
  <c r="CJ23" i="16" s="1"/>
  <c r="CJ24" i="16" s="1"/>
  <c r="CJ25" i="16" s="1"/>
  <c r="CJ26" i="16" s="1"/>
  <c r="CJ27" i="16" s="1"/>
  <c r="CJ28" i="16" s="1"/>
  <c r="CJ29" i="16" s="1"/>
  <c r="CJ30" i="16" s="1"/>
  <c r="BQ6" i="16"/>
  <c r="BO3" i="16"/>
  <c r="BP4" i="16" s="1"/>
  <c r="CV35" i="16"/>
  <c r="B39" i="16"/>
  <c r="B32" i="22"/>
  <c r="CR10" i="16" l="1"/>
  <c r="CL8" i="16"/>
  <c r="DP18" i="16"/>
  <c r="DJ16" i="16"/>
  <c r="DM17" i="16"/>
  <c r="CO9" i="16"/>
  <c r="DD14" i="16"/>
  <c r="CX12" i="16"/>
  <c r="CU11" i="16"/>
  <c r="DG15" i="16"/>
  <c r="DA13" i="16"/>
  <c r="CI7" i="16"/>
  <c r="CM8" i="16"/>
  <c r="CM9" i="16" s="1"/>
  <c r="CM10" i="16" s="1"/>
  <c r="CM11" i="16" s="1"/>
  <c r="CM12" i="16" s="1"/>
  <c r="CM13" i="16" s="1"/>
  <c r="CM14" i="16" s="1"/>
  <c r="CM15" i="16" s="1"/>
  <c r="CM16" i="16" s="1"/>
  <c r="CM17" i="16" s="1"/>
  <c r="CM18" i="16" s="1"/>
  <c r="CM19" i="16" s="1"/>
  <c r="CM20" i="16" s="1"/>
  <c r="CM21" i="16" s="1"/>
  <c r="CM22" i="16" s="1"/>
  <c r="CM23" i="16" s="1"/>
  <c r="CM24" i="16" s="1"/>
  <c r="CM25" i="16" s="1"/>
  <c r="CM26" i="16" s="1"/>
  <c r="CM27" i="16" s="1"/>
  <c r="CM28" i="16" s="1"/>
  <c r="CM29" i="16" s="1"/>
  <c r="CM30" i="16" s="1"/>
  <c r="CM31" i="16" s="1"/>
  <c r="CP7" i="16"/>
  <c r="BT6" i="16"/>
  <c r="BR3" i="16"/>
  <c r="BS4" i="16" s="1"/>
  <c r="CY36" i="16"/>
  <c r="B40" i="16"/>
  <c r="C29" i="22"/>
  <c r="C26" i="22"/>
  <c r="C23" i="22"/>
  <c r="C25" i="22"/>
  <c r="C28" i="22"/>
  <c r="C24" i="22"/>
  <c r="C27" i="22"/>
  <c r="DG14" i="16" l="1"/>
  <c r="CR9" i="16"/>
  <c r="DA12" i="16"/>
  <c r="DP17" i="16"/>
  <c r="CL7" i="16"/>
  <c r="DM16" i="16"/>
  <c r="DD13" i="16"/>
  <c r="DJ15" i="16"/>
  <c r="CO8" i="16"/>
  <c r="CX11" i="16"/>
  <c r="CU10" i="16"/>
  <c r="CP8" i="16"/>
  <c r="CP9" i="16" s="1"/>
  <c r="CP10" i="16" s="1"/>
  <c r="CP11" i="16" s="1"/>
  <c r="CP12" i="16" s="1"/>
  <c r="CP13" i="16" s="1"/>
  <c r="CP14" i="16" s="1"/>
  <c r="CP15" i="16" s="1"/>
  <c r="CP16" i="16" s="1"/>
  <c r="CP17" i="16" s="1"/>
  <c r="CP18" i="16" s="1"/>
  <c r="CP19" i="16" s="1"/>
  <c r="CP20" i="16" s="1"/>
  <c r="CP21" i="16" s="1"/>
  <c r="CP22" i="16" s="1"/>
  <c r="CP23" i="16" s="1"/>
  <c r="CP24" i="16" s="1"/>
  <c r="CP25" i="16" s="1"/>
  <c r="CP26" i="16" s="1"/>
  <c r="CP27" i="16" s="1"/>
  <c r="CP28" i="16" s="1"/>
  <c r="CP29" i="16" s="1"/>
  <c r="CP30" i="16" s="1"/>
  <c r="CP31" i="16" s="1"/>
  <c r="CP32" i="16" s="1"/>
  <c r="CS7" i="16"/>
  <c r="BW6" i="16"/>
  <c r="BU3" i="16"/>
  <c r="BV4" i="16" s="1"/>
  <c r="DB37" i="16"/>
  <c r="B41" i="16"/>
  <c r="E34" i="22"/>
  <c r="E35" i="22"/>
  <c r="DM15" i="16" l="1"/>
  <c r="DG13" i="16"/>
  <c r="DP16" i="16"/>
  <c r="CX10" i="16"/>
  <c r="DD12" i="16"/>
  <c r="DA11" i="16"/>
  <c r="CU9" i="16"/>
  <c r="CO7" i="16"/>
  <c r="CR8" i="16"/>
  <c r="DJ14" i="16"/>
  <c r="CV7" i="16"/>
  <c r="CS8" i="16"/>
  <c r="CS9" i="16" s="1"/>
  <c r="CS10" i="16" s="1"/>
  <c r="CS11" i="16" s="1"/>
  <c r="CS12" i="16" s="1"/>
  <c r="CS13" i="16" s="1"/>
  <c r="CS14" i="16" s="1"/>
  <c r="CS15" i="16" s="1"/>
  <c r="CS16" i="16" s="1"/>
  <c r="CS17" i="16" s="1"/>
  <c r="CS18" i="16" s="1"/>
  <c r="CS19" i="16" s="1"/>
  <c r="CS20" i="16" s="1"/>
  <c r="CS21" i="16" s="1"/>
  <c r="CS22" i="16" s="1"/>
  <c r="CS23" i="16" s="1"/>
  <c r="CS24" i="16" s="1"/>
  <c r="CS25" i="16" s="1"/>
  <c r="CS26" i="16" s="1"/>
  <c r="CS27" i="16" s="1"/>
  <c r="CS28" i="16" s="1"/>
  <c r="CS29" i="16" s="1"/>
  <c r="CS30" i="16" s="1"/>
  <c r="CS31" i="16" s="1"/>
  <c r="CS32" i="16" s="1"/>
  <c r="CS33" i="16" s="1"/>
  <c r="BX3" i="16"/>
  <c r="BY4" i="16" s="1"/>
  <c r="BZ6" i="16"/>
  <c r="DE38" i="16"/>
  <c r="B42" i="16"/>
  <c r="E36" i="22"/>
  <c r="E37" i="22"/>
  <c r="E38" i="22"/>
  <c r="CX9" i="16" l="1"/>
  <c r="CR7" i="16"/>
  <c r="DD11" i="16"/>
  <c r="DA10" i="16"/>
  <c r="DM14" i="16"/>
  <c r="DJ13" i="16"/>
  <c r="DG12" i="16"/>
  <c r="CU8" i="16"/>
  <c r="DP15" i="16"/>
  <c r="CY7" i="16"/>
  <c r="CV8" i="16"/>
  <c r="CV9" i="16" s="1"/>
  <c r="CV10" i="16" s="1"/>
  <c r="CV11" i="16" s="1"/>
  <c r="CV12" i="16" s="1"/>
  <c r="CV13" i="16" s="1"/>
  <c r="CV14" i="16" s="1"/>
  <c r="CV15" i="16" s="1"/>
  <c r="CV16" i="16" s="1"/>
  <c r="CV17" i="16" s="1"/>
  <c r="CV18" i="16" s="1"/>
  <c r="CV19" i="16" s="1"/>
  <c r="CV20" i="16" s="1"/>
  <c r="CV21" i="16" s="1"/>
  <c r="CV22" i="16" s="1"/>
  <c r="CV23" i="16" s="1"/>
  <c r="CV24" i="16" s="1"/>
  <c r="CV25" i="16" s="1"/>
  <c r="CV26" i="16" s="1"/>
  <c r="CV27" i="16" s="1"/>
  <c r="CV28" i="16" s="1"/>
  <c r="CV29" i="16" s="1"/>
  <c r="CV30" i="16" s="1"/>
  <c r="CV31" i="16" s="1"/>
  <c r="CV32" i="16" s="1"/>
  <c r="CV33" i="16" s="1"/>
  <c r="CV34" i="16" s="1"/>
  <c r="CC6" i="16"/>
  <c r="CA3" i="16"/>
  <c r="CB4" i="16" s="1"/>
  <c r="DH39" i="16"/>
  <c r="B43" i="16"/>
  <c r="DJ12" i="16" l="1"/>
  <c r="DM13" i="16"/>
  <c r="CX8" i="16"/>
  <c r="CU7" i="16"/>
  <c r="DP14" i="16"/>
  <c r="DD10" i="16"/>
  <c r="DG11" i="16"/>
  <c r="DA9" i="16"/>
  <c r="DB7" i="16"/>
  <c r="CY8" i="16"/>
  <c r="CY9" i="16" s="1"/>
  <c r="CY10" i="16" s="1"/>
  <c r="CY11" i="16" s="1"/>
  <c r="CY12" i="16" s="1"/>
  <c r="CY13" i="16" s="1"/>
  <c r="CY14" i="16" s="1"/>
  <c r="CY15" i="16" s="1"/>
  <c r="CY16" i="16" s="1"/>
  <c r="CY17" i="16" s="1"/>
  <c r="CY18" i="16" s="1"/>
  <c r="CY19" i="16" s="1"/>
  <c r="CY20" i="16" s="1"/>
  <c r="CY21" i="16" s="1"/>
  <c r="CY22" i="16" s="1"/>
  <c r="CY23" i="16" s="1"/>
  <c r="CY24" i="16" s="1"/>
  <c r="CY25" i="16" s="1"/>
  <c r="CY26" i="16" s="1"/>
  <c r="CY27" i="16" s="1"/>
  <c r="CY28" i="16" s="1"/>
  <c r="CY29" i="16" s="1"/>
  <c r="CY30" i="16" s="1"/>
  <c r="CY31" i="16" s="1"/>
  <c r="CY32" i="16" s="1"/>
  <c r="CY33" i="16" s="1"/>
  <c r="CY34" i="16" s="1"/>
  <c r="CY35" i="16" s="1"/>
  <c r="CF6" i="16"/>
  <c r="CD3" i="16"/>
  <c r="CE4" i="16" s="1"/>
  <c r="DK40" i="16"/>
  <c r="B44" i="16"/>
  <c r="DJ11" i="16" l="1"/>
  <c r="DD9" i="16"/>
  <c r="DG10" i="16"/>
  <c r="DP13" i="16"/>
  <c r="CX7" i="16"/>
  <c r="DA8" i="16"/>
  <c r="DM12" i="16"/>
  <c r="DB8" i="16"/>
  <c r="DB9" i="16" s="1"/>
  <c r="DB10" i="16" s="1"/>
  <c r="DB11" i="16" s="1"/>
  <c r="DB12" i="16" s="1"/>
  <c r="DB13" i="16" s="1"/>
  <c r="DB14" i="16" s="1"/>
  <c r="DB15" i="16" s="1"/>
  <c r="DB16" i="16" s="1"/>
  <c r="DB17" i="16" s="1"/>
  <c r="DB18" i="16" s="1"/>
  <c r="DB19" i="16" s="1"/>
  <c r="DB20" i="16" s="1"/>
  <c r="DB21" i="16" s="1"/>
  <c r="DB22" i="16" s="1"/>
  <c r="DB23" i="16" s="1"/>
  <c r="DB24" i="16" s="1"/>
  <c r="DB25" i="16" s="1"/>
  <c r="DB26" i="16" s="1"/>
  <c r="DB27" i="16" s="1"/>
  <c r="DB28" i="16" s="1"/>
  <c r="DB29" i="16" s="1"/>
  <c r="DB30" i="16" s="1"/>
  <c r="DB31" i="16" s="1"/>
  <c r="DB32" i="16" s="1"/>
  <c r="DB33" i="16" s="1"/>
  <c r="DB34" i="16" s="1"/>
  <c r="DB35" i="16" s="1"/>
  <c r="DB36" i="16" s="1"/>
  <c r="DE7" i="16"/>
  <c r="CI6" i="16"/>
  <c r="CG3" i="16"/>
  <c r="CH4" i="16" s="1"/>
  <c r="DN41" i="16"/>
  <c r="B45" i="16"/>
  <c r="DQ42" i="16" s="1"/>
  <c r="DA7" i="16" l="1"/>
  <c r="DP12" i="16"/>
  <c r="DD8" i="16"/>
  <c r="DG9" i="16"/>
  <c r="DJ10" i="16"/>
  <c r="DM11" i="16"/>
  <c r="DE8" i="16"/>
  <c r="DE9" i="16" s="1"/>
  <c r="DE10" i="16" s="1"/>
  <c r="DE11" i="16" s="1"/>
  <c r="DE12" i="16" s="1"/>
  <c r="DE13" i="16" s="1"/>
  <c r="DE14" i="16" s="1"/>
  <c r="DE15" i="16" s="1"/>
  <c r="DE16" i="16" s="1"/>
  <c r="DE17" i="16" s="1"/>
  <c r="DE18" i="16" s="1"/>
  <c r="DE19" i="16" s="1"/>
  <c r="DE20" i="16" s="1"/>
  <c r="DE21" i="16" s="1"/>
  <c r="DE22" i="16" s="1"/>
  <c r="DE23" i="16" s="1"/>
  <c r="DE24" i="16" s="1"/>
  <c r="DE25" i="16" s="1"/>
  <c r="DE26" i="16" s="1"/>
  <c r="DE27" i="16" s="1"/>
  <c r="DE28" i="16" s="1"/>
  <c r="DE29" i="16" s="1"/>
  <c r="DE30" i="16" s="1"/>
  <c r="DE31" i="16" s="1"/>
  <c r="DE32" i="16" s="1"/>
  <c r="DE33" i="16" s="1"/>
  <c r="DE34" i="16" s="1"/>
  <c r="DE35" i="16" s="1"/>
  <c r="DE36" i="16" s="1"/>
  <c r="DE37" i="16" s="1"/>
  <c r="DH7" i="16"/>
  <c r="CL6" i="16"/>
  <c r="CJ3" i="16"/>
  <c r="CK4" i="16" s="1"/>
  <c r="DM10" i="16" l="1"/>
  <c r="DG8" i="16"/>
  <c r="DP11" i="16"/>
  <c r="DJ9" i="16"/>
  <c r="DD7" i="16"/>
  <c r="DK7" i="16"/>
  <c r="DH8" i="16"/>
  <c r="DH9" i="16" s="1"/>
  <c r="DH10" i="16" s="1"/>
  <c r="DH11" i="16" s="1"/>
  <c r="DH12" i="16" s="1"/>
  <c r="DH13" i="16" s="1"/>
  <c r="DH14" i="16" s="1"/>
  <c r="DH15" i="16" s="1"/>
  <c r="DH16" i="16" s="1"/>
  <c r="DH17" i="16" s="1"/>
  <c r="DH18" i="16" s="1"/>
  <c r="DH19" i="16" s="1"/>
  <c r="DH20" i="16" s="1"/>
  <c r="DH21" i="16" s="1"/>
  <c r="DH22" i="16" s="1"/>
  <c r="DH23" i="16" s="1"/>
  <c r="DH24" i="16" s="1"/>
  <c r="DH25" i="16" s="1"/>
  <c r="DH26" i="16" s="1"/>
  <c r="DH27" i="16" s="1"/>
  <c r="DH28" i="16" s="1"/>
  <c r="DH29" i="16" s="1"/>
  <c r="DH30" i="16" s="1"/>
  <c r="DH31" i="16" s="1"/>
  <c r="DH32" i="16" s="1"/>
  <c r="DH33" i="16" s="1"/>
  <c r="DH34" i="16" s="1"/>
  <c r="DH35" i="16" s="1"/>
  <c r="DH36" i="16" s="1"/>
  <c r="DH37" i="16" s="1"/>
  <c r="DH38" i="16" s="1"/>
  <c r="CO6" i="16"/>
  <c r="CM3" i="16"/>
  <c r="CN4" i="16" s="1"/>
  <c r="DG7" i="16" l="1"/>
  <c r="DM9" i="16"/>
  <c r="DJ8" i="16"/>
  <c r="DP10" i="16"/>
  <c r="DK8" i="16"/>
  <c r="DK9" i="16" s="1"/>
  <c r="DK10" i="16" s="1"/>
  <c r="DK11" i="16" s="1"/>
  <c r="DK12" i="16" s="1"/>
  <c r="DK13" i="16" s="1"/>
  <c r="DK14" i="16" s="1"/>
  <c r="DK15" i="16" s="1"/>
  <c r="DK16" i="16" s="1"/>
  <c r="DK17" i="16" s="1"/>
  <c r="DK18" i="16" s="1"/>
  <c r="DK19" i="16" s="1"/>
  <c r="DK20" i="16" s="1"/>
  <c r="DK21" i="16" s="1"/>
  <c r="DK22" i="16" s="1"/>
  <c r="DK23" i="16" s="1"/>
  <c r="DK24" i="16" s="1"/>
  <c r="DK25" i="16" s="1"/>
  <c r="DK26" i="16" s="1"/>
  <c r="DK27" i="16" s="1"/>
  <c r="DK28" i="16" s="1"/>
  <c r="DK29" i="16" s="1"/>
  <c r="DK30" i="16" s="1"/>
  <c r="DK31" i="16" s="1"/>
  <c r="DK32" i="16" s="1"/>
  <c r="DK33" i="16" s="1"/>
  <c r="DK34" i="16" s="1"/>
  <c r="DK35" i="16" s="1"/>
  <c r="DK36" i="16" s="1"/>
  <c r="DK37" i="16" s="1"/>
  <c r="DK38" i="16" s="1"/>
  <c r="DK39" i="16" s="1"/>
  <c r="DN7" i="16"/>
  <c r="CR6" i="16"/>
  <c r="CP3" i="16"/>
  <c r="CQ4" i="16" s="1"/>
  <c r="DM8" i="16" l="1"/>
  <c r="DP9" i="16"/>
  <c r="DJ7" i="16"/>
  <c r="DQ7" i="16"/>
  <c r="DQ8" i="16" s="1"/>
  <c r="DQ9" i="16" s="1"/>
  <c r="DQ10" i="16" s="1"/>
  <c r="DQ11" i="16" s="1"/>
  <c r="DQ12" i="16" s="1"/>
  <c r="DQ13" i="16" s="1"/>
  <c r="DQ14" i="16" s="1"/>
  <c r="DQ15" i="16" s="1"/>
  <c r="DQ16" i="16" s="1"/>
  <c r="DQ17" i="16" s="1"/>
  <c r="DQ18" i="16" s="1"/>
  <c r="DQ19" i="16" s="1"/>
  <c r="DQ20" i="16" s="1"/>
  <c r="DQ21" i="16" s="1"/>
  <c r="DQ22" i="16" s="1"/>
  <c r="DQ23" i="16" s="1"/>
  <c r="DQ24" i="16" s="1"/>
  <c r="DQ25" i="16" s="1"/>
  <c r="DQ26" i="16" s="1"/>
  <c r="DQ27" i="16" s="1"/>
  <c r="DQ28" i="16" s="1"/>
  <c r="DQ29" i="16" s="1"/>
  <c r="DQ30" i="16" s="1"/>
  <c r="DQ31" i="16" s="1"/>
  <c r="DQ32" i="16" s="1"/>
  <c r="DQ33" i="16" s="1"/>
  <c r="DQ34" i="16" s="1"/>
  <c r="DQ35" i="16" s="1"/>
  <c r="DQ36" i="16" s="1"/>
  <c r="DQ37" i="16" s="1"/>
  <c r="DQ38" i="16" s="1"/>
  <c r="DQ39" i="16" s="1"/>
  <c r="DQ40" i="16" s="1"/>
  <c r="DQ41" i="16" s="1"/>
  <c r="DN8" i="16"/>
  <c r="DN9" i="16" s="1"/>
  <c r="DN10" i="16" s="1"/>
  <c r="DN11" i="16" s="1"/>
  <c r="DN12" i="16" s="1"/>
  <c r="DN13" i="16" s="1"/>
  <c r="DN14" i="16" s="1"/>
  <c r="DN15" i="16" s="1"/>
  <c r="DN16" i="16" s="1"/>
  <c r="DN17" i="16" s="1"/>
  <c r="DN18" i="16" s="1"/>
  <c r="DN19" i="16" s="1"/>
  <c r="DN20" i="16" s="1"/>
  <c r="DN21" i="16" s="1"/>
  <c r="DN22" i="16" s="1"/>
  <c r="DN23" i="16" s="1"/>
  <c r="DN24" i="16" s="1"/>
  <c r="DN25" i="16" s="1"/>
  <c r="DN26" i="16" s="1"/>
  <c r="DN27" i="16" s="1"/>
  <c r="DN28" i="16" s="1"/>
  <c r="DN29" i="16" s="1"/>
  <c r="DN30" i="16" s="1"/>
  <c r="DN31" i="16" s="1"/>
  <c r="DN32" i="16" s="1"/>
  <c r="DN33" i="16" s="1"/>
  <c r="DN34" i="16" s="1"/>
  <c r="DN35" i="16" s="1"/>
  <c r="DN36" i="16" s="1"/>
  <c r="DN37" i="16" s="1"/>
  <c r="DN38" i="16" s="1"/>
  <c r="DN39" i="16" s="1"/>
  <c r="DN40" i="16" s="1"/>
  <c r="CU6" i="16"/>
  <c r="CS3" i="16"/>
  <c r="CT4" i="16" s="1"/>
  <c r="DP8" i="16" l="1"/>
  <c r="DM7" i="16"/>
  <c r="CX6" i="16"/>
  <c r="CV3" i="16"/>
  <c r="CW4" i="16" s="1"/>
  <c r="DP7" i="16" l="1"/>
  <c r="DA6" i="16"/>
  <c r="CY3" i="16"/>
  <c r="CZ4" i="16" s="1"/>
  <c r="DD6" i="16" l="1"/>
  <c r="DB3" i="16"/>
  <c r="DC4" i="16" s="1"/>
  <c r="DE3" i="16" l="1"/>
  <c r="DF4" i="16" s="1"/>
  <c r="DG6" i="16"/>
  <c r="DH3" i="16" l="1"/>
  <c r="DI4" i="16" s="1"/>
  <c r="DJ6" i="16"/>
  <c r="DM6" i="16" l="1"/>
  <c r="DK3" i="16"/>
  <c r="DL4" i="16" s="1"/>
  <c r="DP6" i="16" l="1"/>
  <c r="DN3" i="16"/>
  <c r="DO4" i="16" s="1"/>
  <c r="DQ3" i="16" l="1"/>
  <c r="DR4" i="16" s="1"/>
</calcChain>
</file>

<file path=xl/sharedStrings.xml><?xml version="1.0" encoding="utf-8"?>
<sst xmlns="http://schemas.openxmlformats.org/spreadsheetml/2006/main" count="351" uniqueCount="173">
  <si>
    <t>Sottostante</t>
  </si>
  <si>
    <t>Tipo</t>
  </si>
  <si>
    <t>Cedola</t>
  </si>
  <si>
    <t>Variabile</t>
  </si>
  <si>
    <t>Frequenza</t>
  </si>
  <si>
    <t>-</t>
  </si>
  <si>
    <t>Date</t>
  </si>
  <si>
    <t>Px Last</t>
  </si>
  <si>
    <t>Rend</t>
  </si>
  <si>
    <t>Rend-drift</t>
  </si>
  <si>
    <t>Annual</t>
  </si>
  <si>
    <t>Risk Free</t>
  </si>
  <si>
    <t>OT SIM</t>
  </si>
  <si>
    <t>OT</t>
  </si>
  <si>
    <t>BOOT</t>
  </si>
  <si>
    <t>UNDERLINE SIMULATION</t>
  </si>
  <si>
    <t>Centrale - No Return</t>
  </si>
  <si>
    <t>Stress Positivo</t>
  </si>
  <si>
    <t>Stress Negativo</t>
  </si>
  <si>
    <t>Negativo - Poorly (a)</t>
  </si>
  <si>
    <t>Positivo -Well (b)</t>
  </si>
  <si>
    <t>SCENARIOS</t>
  </si>
  <si>
    <t>Durata</t>
  </si>
  <si>
    <t>DET POSITIVE</t>
  </si>
  <si>
    <t>DET NEUTRAL</t>
  </si>
  <si>
    <t>DET NEGATIVE</t>
  </si>
  <si>
    <t>DET STRESS +</t>
  </si>
  <si>
    <t>DET STRESS -</t>
  </si>
  <si>
    <t>TIR DET</t>
  </si>
  <si>
    <t>UND</t>
  </si>
  <si>
    <t>Data Start</t>
  </si>
  <si>
    <t>Data Today</t>
  </si>
  <si>
    <t>Num Year</t>
  </si>
  <si>
    <t>BACKTEST</t>
  </si>
  <si>
    <t>AUTOCALLABILITY (PROB)</t>
  </si>
  <si>
    <t>(Prob &lt;)</t>
  </si>
  <si>
    <t>(Prob =)</t>
  </si>
  <si>
    <t>(Prob &gt;)</t>
  </si>
  <si>
    <t>CEDOLE</t>
  </si>
  <si>
    <t>PAMETRI CONTRATTO</t>
  </si>
  <si>
    <t>DATA</t>
  </si>
  <si>
    <t>DEAL</t>
  </si>
  <si>
    <t>OPZ</t>
  </si>
  <si>
    <t>TIPO</t>
  </si>
  <si>
    <t>VALORE</t>
  </si>
  <si>
    <t>C1</t>
  </si>
  <si>
    <t>C2</t>
  </si>
  <si>
    <t>C3</t>
  </si>
  <si>
    <t>B1</t>
  </si>
  <si>
    <t>B2</t>
  </si>
  <si>
    <t>Num Cedole Fix</t>
  </si>
  <si>
    <t>Scenari</t>
  </si>
  <si>
    <t>Barriera 1</t>
  </si>
  <si>
    <t>Barriera 2</t>
  </si>
  <si>
    <t>Cedole Fix</t>
  </si>
  <si>
    <t>INPUT</t>
  </si>
  <si>
    <t>CODE</t>
  </si>
  <si>
    <t>OUTPUT</t>
  </si>
  <si>
    <t>Scenarios</t>
  </si>
  <si>
    <t>BackTest</t>
  </si>
  <si>
    <t>Drift</t>
  </si>
  <si>
    <t>AUTOCALLABLE EVENT</t>
  </si>
  <si>
    <t>MATLAB</t>
  </si>
  <si>
    <t>SCENARIOS SIMULATION</t>
  </si>
  <si>
    <t>IRR MEAN &amp; PROBABILITY</t>
  </si>
  <si>
    <t>DETERMINISTIC SCENARIOS &amp; PROBABILITY</t>
  </si>
  <si>
    <t>BACKTESTING SIMULATION</t>
  </si>
  <si>
    <t>SIMULATION INPUT</t>
  </si>
  <si>
    <t>DETERMINISTIC SCENARIOS</t>
  </si>
  <si>
    <t>BACKTESTING</t>
  </si>
  <si>
    <t>DETERMINISTIC*</t>
  </si>
  <si>
    <t>SIMULATED**</t>
  </si>
  <si>
    <t>IRR MEAN***</t>
  </si>
  <si>
    <t>*</t>
  </si>
  <si>
    <t>**</t>
  </si>
  <si>
    <t>***</t>
  </si>
  <si>
    <t>IRR xY: tasso interno di rendimento (Internal Rate of Return, IRR) del contratto sull'orizzonte temporale xY</t>
  </si>
  <si>
    <t>Positivo -Well</t>
  </si>
  <si>
    <t>Negativo - Poorly</t>
  </si>
  <si>
    <t>Deterministic Scenario****</t>
  </si>
  <si>
    <t>****</t>
  </si>
  <si>
    <t>Media dei rendimenti calcolati storicamente sulla finestra temporale indicata nella colonna Year</t>
  </si>
  <si>
    <t>TIR DET (Excel)</t>
  </si>
  <si>
    <t>TIR DET (Mat)</t>
  </si>
  <si>
    <t>IRR MIN</t>
  </si>
  <si>
    <t>IRR MAX</t>
  </si>
  <si>
    <t>Yearly</t>
  </si>
  <si>
    <t xml:space="preserve">AUTOCALLABILITY (PROB) </t>
  </si>
  <si>
    <t>Back Testing sui rendimenti per ogni scenario deterministico, relativamente al caso in cui non vi sia rimborso anticipato. Le corrispondenti probabilità (P(x)) di osservare valori &lt;/=/&gt; si riferiscono all'intero periodo di backtesting ed includono anche i casi di rimborso anticipato. Per completezza si riportano anche le probabilità di Autocallability sull'intero periodo di Backtesting</t>
  </si>
  <si>
    <t>Scenario Analysis</t>
  </si>
  <si>
    <t>Stress Analysis</t>
  </si>
  <si>
    <t>ISIN</t>
  </si>
  <si>
    <t>(Prob &gt;=)</t>
  </si>
  <si>
    <t>IRR MEAN = 0</t>
  </si>
  <si>
    <t>(Prob &lt;/=/&gt;): Probabilità di osservare un rendimento &lt;/=/&gt; ad un dato valore</t>
  </si>
  <si>
    <t>PF</t>
  </si>
  <si>
    <t>STANDARD LONG AUTOCALLABLE BARRIER (SLAB)</t>
  </si>
  <si>
    <t>0,5Y</t>
  </si>
  <si>
    <t>1Y</t>
  </si>
  <si>
    <t>1,5Y</t>
  </si>
  <si>
    <t>2Y</t>
  </si>
  <si>
    <t>2,5Y</t>
  </si>
  <si>
    <t>Equity</t>
  </si>
  <si>
    <t>3Y</t>
  </si>
  <si>
    <t>IRR 7M</t>
  </si>
  <si>
    <t>IRR 8M</t>
  </si>
  <si>
    <t>IRR 9M</t>
  </si>
  <si>
    <t>IRR 10M</t>
  </si>
  <si>
    <t>IRR 11M</t>
  </si>
  <si>
    <t>IRR 12M</t>
  </si>
  <si>
    <t>IRR 13M</t>
  </si>
  <si>
    <t>IRR 14M</t>
  </si>
  <si>
    <t>IRR 15M</t>
  </si>
  <si>
    <t>IRR 16M</t>
  </si>
  <si>
    <t>IRR 17M</t>
  </si>
  <si>
    <t>IRR 18M</t>
  </si>
  <si>
    <t>IRR 19M</t>
  </si>
  <si>
    <t>IRR 20M</t>
  </si>
  <si>
    <t>IRR 21M</t>
  </si>
  <si>
    <t>IRR 22M</t>
  </si>
  <si>
    <t>IRR 23M</t>
  </si>
  <si>
    <t>IRR 24M</t>
  </si>
  <si>
    <t>IRR 25M</t>
  </si>
  <si>
    <t>IRR 26M</t>
  </si>
  <si>
    <t>IRR 27M</t>
  </si>
  <si>
    <t>IRR 28M</t>
  </si>
  <si>
    <t>IRR 29M</t>
  </si>
  <si>
    <t>IRR 30M</t>
  </si>
  <si>
    <t>IRR 31M</t>
  </si>
  <si>
    <t>IRR 32M</t>
  </si>
  <si>
    <t>IRR 33M</t>
  </si>
  <si>
    <t>IRR 34M</t>
  </si>
  <si>
    <t>IRR 35M</t>
  </si>
  <si>
    <t>IRR 36M</t>
  </si>
  <si>
    <t>Media</t>
  </si>
  <si>
    <t>7M</t>
  </si>
  <si>
    <t>8M</t>
  </si>
  <si>
    <t>9M</t>
  </si>
  <si>
    <t>10M</t>
  </si>
  <si>
    <t>11M</t>
  </si>
  <si>
    <t>12M</t>
  </si>
  <si>
    <t>13M</t>
  </si>
  <si>
    <t>14M</t>
  </si>
  <si>
    <t>15M</t>
  </si>
  <si>
    <t>16M</t>
  </si>
  <si>
    <t>17M</t>
  </si>
  <si>
    <t>18M</t>
  </si>
  <si>
    <t>19M</t>
  </si>
  <si>
    <t>20M</t>
  </si>
  <si>
    <t>21M</t>
  </si>
  <si>
    <t>22M</t>
  </si>
  <si>
    <t>23M</t>
  </si>
  <si>
    <t>24M</t>
  </si>
  <si>
    <t>25M</t>
  </si>
  <si>
    <t>26M</t>
  </si>
  <si>
    <t>27M</t>
  </si>
  <si>
    <t>28M</t>
  </si>
  <si>
    <t>29M</t>
  </si>
  <si>
    <t>30M</t>
  </si>
  <si>
    <t>31M</t>
  </si>
  <si>
    <t>32M</t>
  </si>
  <si>
    <t>33M</t>
  </si>
  <si>
    <t>34M</t>
  </si>
  <si>
    <t>35M</t>
  </si>
  <si>
    <t>36M</t>
  </si>
  <si>
    <t>IRR 6M</t>
  </si>
  <si>
    <t>YEAR IRR
ENI IM</t>
  </si>
  <si>
    <t>6M</t>
  </si>
  <si>
    <t>Mensile</t>
  </si>
  <si>
    <t>Mediobanca S.p.a.</t>
  </si>
  <si>
    <t>MB IM</t>
  </si>
  <si>
    <t>B3</t>
  </si>
  <si>
    <t>Barriera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</si>
</sst>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_-;\-* #,##0.00_-;_-* &quot;-&quot;??_-;_-@_-"/>
    <numFmt numFmtId="165" formatCode="0.0%"/>
    <numFmt numFmtId="166" formatCode="_(* #,##0_);_(* \(#,##0\);_(* &quot;-&quot;_);_(@_)"/>
    <numFmt numFmtId="167" formatCode="_(* #,##0.00_);_(* \(#,##0.00\);_(* &quot;-&quot;??_);_(@_)"/>
    <numFmt numFmtId="168" formatCode="dd/mm/yy;@"/>
    <numFmt numFmtId="169" formatCode="0.00000"/>
    <numFmt numFmtId="170" formatCode="#,##0_ ;\-#,##0\ "/>
    <numFmt numFmtId="171" formatCode="_-* #,##0_-;\-* #,##0_-;_-* &quot;-&quot;??_-;_-@_-"/>
  </numFmts>
  <fonts count="25" x14ac:knownFonts="1">
    <font>
      <sz val="11"/>
      <color theme="1"/>
      <name val="Calibri"/>
      <family val="2"/>
      <scheme val="minor"/>
    </font>
    <font>
      <sz val="10"/>
      <name val="Arial"/>
      <family val="2"/>
    </font>
    <font>
      <b/>
      <sz val="8"/>
      <color theme="1"/>
      <name val="Calibri"/>
      <family val="2"/>
      <scheme val="minor"/>
    </font>
    <font>
      <sz val="8"/>
      <color theme="1"/>
      <name val="Calibri"/>
      <family val="2"/>
      <scheme val="minor"/>
    </font>
    <font>
      <sz val="11"/>
      <color theme="1"/>
      <name val="Calibri"/>
      <family val="2"/>
      <scheme val="minor"/>
    </font>
    <font>
      <sz val="8"/>
      <name val="Calibri"/>
      <family val="2"/>
      <scheme val="minor"/>
    </font>
    <font>
      <b/>
      <sz val="8"/>
      <name val="Calibri"/>
      <family val="2"/>
      <scheme val="minor"/>
    </font>
    <font>
      <sz val="8"/>
      <color rgb="FFFF0000"/>
      <name val="Calibri"/>
      <family val="2"/>
      <scheme val="minor"/>
    </font>
    <font>
      <b/>
      <sz val="8"/>
      <color theme="6" tint="-0.249977111117893"/>
      <name val="Calibri"/>
      <family val="2"/>
      <scheme val="minor"/>
    </font>
    <font>
      <b/>
      <sz val="8"/>
      <color theme="9" tint="-0.249977111117893"/>
      <name val="Calibri"/>
      <family val="2"/>
      <scheme val="minor"/>
    </font>
    <font>
      <b/>
      <sz val="8"/>
      <color theme="0" tint="-0.249977111117893"/>
      <name val="Calibri"/>
      <family val="2"/>
      <scheme val="minor"/>
    </font>
    <font>
      <sz val="8"/>
      <color theme="0" tint="-4.9989318521683403E-2"/>
      <name val="Calibri"/>
      <family val="2"/>
      <scheme val="minor"/>
    </font>
    <font>
      <i/>
      <sz val="8"/>
      <color theme="1"/>
      <name val="Calibri"/>
      <family val="2"/>
      <scheme val="minor"/>
    </font>
    <font>
      <b/>
      <sz val="8"/>
      <color rgb="FF000000"/>
      <name val="Calibri"/>
      <family val="2"/>
      <scheme val="minor"/>
    </font>
    <font>
      <sz val="8"/>
      <color rgb="FF000000"/>
      <name val="Calibri"/>
      <family val="2"/>
      <scheme val="minor"/>
    </font>
    <font>
      <b/>
      <sz val="8"/>
      <color indexed="8"/>
      <name val="Calibri"/>
      <family val="2"/>
      <scheme val="minor"/>
    </font>
    <font>
      <i/>
      <sz val="8"/>
      <name val="Calibri"/>
      <family val="2"/>
      <scheme val="minor"/>
    </font>
    <font>
      <b/>
      <sz val="8"/>
      <color theme="8" tint="-0.249977111117893"/>
      <name val="Calibri"/>
      <family val="2"/>
      <scheme val="minor"/>
    </font>
    <font>
      <b/>
      <i/>
      <sz val="8"/>
      <color theme="1"/>
      <name val="Calibri"/>
      <family val="2"/>
      <scheme val="minor"/>
    </font>
    <font>
      <b/>
      <i/>
      <sz val="8"/>
      <color theme="5" tint="-0.249977111117893"/>
      <name val="Calibri"/>
      <family val="2"/>
      <scheme val="minor"/>
    </font>
    <font>
      <b/>
      <sz val="8"/>
      <color theme="5" tint="-0.249977111117893"/>
      <name val="Calibri"/>
      <family val="2"/>
      <scheme val="minor"/>
    </font>
    <font>
      <b/>
      <i/>
      <sz val="8"/>
      <color rgb="FF000000"/>
      <name val="Calibri"/>
      <family val="2"/>
      <scheme val="minor"/>
    </font>
    <font>
      <sz val="8"/>
      <color theme="0"/>
      <name val="Calibri"/>
      <family val="2"/>
      <scheme val="minor"/>
    </font>
    <font>
      <sz val="8"/>
      <color rgb="FF92D050"/>
      <name val="Calibri"/>
      <family val="2"/>
      <scheme val="minor"/>
    </font>
    <font>
      <b/>
      <u/>
      <sz val="8"/>
      <color theme="5" tint="-0.249977111117893"/>
      <name val="Calibri"/>
      <family val="2"/>
      <scheme val="minor"/>
    </font>
  </fonts>
  <fills count="10">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theme="9" tint="0.7999816888943144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6" tint="0.39997558519241921"/>
        <bgColor indexed="64"/>
      </patternFill>
    </fill>
  </fills>
  <borders count="16">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thin">
        <color theme="6"/>
      </bottom>
      <diagonal/>
    </border>
    <border>
      <left style="medium">
        <color indexed="64"/>
      </left>
      <right/>
      <top/>
      <bottom/>
      <diagonal/>
    </border>
    <border>
      <left style="medium">
        <color indexed="64"/>
      </left>
      <right/>
      <top/>
      <bottom style="thin">
        <color indexed="64"/>
      </bottom>
      <diagonal/>
    </border>
  </borders>
  <cellStyleXfs count="13">
    <xf numFmtId="0" fontId="0" fillId="0" borderId="0"/>
    <xf numFmtId="0" fontId="1" fillId="0" borderId="0"/>
    <xf numFmtId="164"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cellStyleXfs>
  <cellXfs count="169">
    <xf numFmtId="0" fontId="0" fillId="0" borderId="0" xfId="0"/>
    <xf numFmtId="0" fontId="2" fillId="2" borderId="0" xfId="0" applyFont="1" applyFill="1" applyAlignment="1">
      <alignment horizontal="left" vertical="center"/>
    </xf>
    <xf numFmtId="0" fontId="3" fillId="2" borderId="0" xfId="0" applyFont="1" applyFill="1" applyAlignment="1">
      <alignment horizontal="left" vertical="center"/>
    </xf>
    <xf numFmtId="0" fontId="3" fillId="2" borderId="0" xfId="0" applyFont="1" applyFill="1" applyBorder="1" applyAlignment="1">
      <alignment horizontal="left" vertical="center"/>
    </xf>
    <xf numFmtId="0" fontId="2" fillId="4" borderId="0" xfId="0" applyFont="1" applyFill="1" applyAlignment="1">
      <alignment horizontal="left" vertical="center"/>
    </xf>
    <xf numFmtId="10" fontId="3" fillId="2" borderId="0" xfId="0" applyNumberFormat="1" applyFont="1" applyFill="1" applyAlignment="1">
      <alignment horizontal="left" vertical="center"/>
    </xf>
    <xf numFmtId="168" fontId="5" fillId="2" borderId="0" xfId="0" applyNumberFormat="1" applyFont="1" applyFill="1" applyAlignment="1">
      <alignment horizontal="left" vertical="center"/>
    </xf>
    <xf numFmtId="2" fontId="5" fillId="2" borderId="0" xfId="0" applyNumberFormat="1" applyFont="1" applyFill="1" applyAlignment="1">
      <alignment horizontal="left" vertical="center"/>
    </xf>
    <xf numFmtId="165" fontId="3" fillId="2" borderId="0" xfId="11" applyNumberFormat="1" applyFont="1" applyFill="1" applyAlignment="1">
      <alignment horizontal="left" vertical="center"/>
    </xf>
    <xf numFmtId="169" fontId="3" fillId="2" borderId="0" xfId="0" applyNumberFormat="1" applyFont="1" applyFill="1" applyAlignment="1">
      <alignment horizontal="left" vertical="center"/>
    </xf>
    <xf numFmtId="9" fontId="6" fillId="4" borderId="0" xfId="0" applyNumberFormat="1" applyFont="1" applyFill="1" applyBorder="1" applyAlignment="1">
      <alignment horizontal="left" vertical="center"/>
    </xf>
    <xf numFmtId="0" fontId="6" fillId="4" borderId="0" xfId="0" applyFont="1" applyFill="1" applyAlignment="1">
      <alignment horizontal="left" vertical="center"/>
    </xf>
    <xf numFmtId="0" fontId="3" fillId="4" borderId="0" xfId="0" applyFont="1" applyFill="1" applyAlignment="1">
      <alignment horizontal="left" vertical="center"/>
    </xf>
    <xf numFmtId="10" fontId="3" fillId="4" borderId="0" xfId="0" applyNumberFormat="1" applyFont="1" applyFill="1" applyAlignment="1">
      <alignment horizontal="left" vertical="center"/>
    </xf>
    <xf numFmtId="165" fontId="8" fillId="2" borderId="0" xfId="0" applyNumberFormat="1" applyFont="1" applyFill="1" applyAlignment="1">
      <alignment horizontal="left" vertical="center"/>
    </xf>
    <xf numFmtId="10" fontId="2" fillId="2" borderId="0" xfId="11" applyNumberFormat="1" applyFont="1" applyFill="1" applyAlignment="1">
      <alignment horizontal="left" vertical="center"/>
    </xf>
    <xf numFmtId="0" fontId="3" fillId="2" borderId="0" xfId="0" applyFont="1" applyFill="1" applyAlignment="1">
      <alignment horizontal="right" vertical="center"/>
    </xf>
    <xf numFmtId="9" fontId="2" fillId="2" borderId="0" xfId="0" applyNumberFormat="1" applyFont="1" applyFill="1" applyBorder="1" applyAlignment="1">
      <alignment horizontal="right" vertical="center"/>
    </xf>
    <xf numFmtId="14" fontId="2" fillId="4" borderId="0" xfId="0" applyNumberFormat="1" applyFont="1" applyFill="1" applyAlignment="1">
      <alignment horizontal="right" vertical="center"/>
    </xf>
    <xf numFmtId="0" fontId="9" fillId="2" borderId="0" xfId="0" applyFont="1" applyFill="1" applyAlignment="1">
      <alignment horizontal="right" vertical="center"/>
    </xf>
    <xf numFmtId="10" fontId="9" fillId="2" borderId="0" xfId="11" applyNumberFormat="1" applyFont="1" applyFill="1" applyBorder="1" applyAlignment="1">
      <alignment horizontal="right" vertical="center"/>
    </xf>
    <xf numFmtId="10" fontId="10" fillId="2" borderId="0" xfId="0" applyNumberFormat="1" applyFont="1" applyFill="1" applyBorder="1" applyAlignment="1">
      <alignment horizontal="left" vertical="center"/>
    </xf>
    <xf numFmtId="168" fontId="3" fillId="2" borderId="0" xfId="0" applyNumberFormat="1" applyFont="1" applyFill="1" applyAlignment="1">
      <alignment horizontal="left" vertical="center"/>
    </xf>
    <xf numFmtId="10" fontId="8" fillId="2" borderId="0" xfId="0" applyNumberFormat="1" applyFont="1" applyFill="1" applyAlignment="1">
      <alignment horizontal="left" vertical="center"/>
    </xf>
    <xf numFmtId="10" fontId="3" fillId="2" borderId="0" xfId="0" applyNumberFormat="1" applyFont="1" applyFill="1" applyAlignment="1">
      <alignment horizontal="right" vertical="center"/>
    </xf>
    <xf numFmtId="10" fontId="3" fillId="6" borderId="0" xfId="11" applyNumberFormat="1" applyFont="1" applyFill="1" applyAlignment="1">
      <alignment horizontal="right" vertical="center"/>
    </xf>
    <xf numFmtId="10" fontId="3" fillId="7" borderId="0" xfId="11" applyNumberFormat="1" applyFont="1" applyFill="1" applyAlignment="1">
      <alignment horizontal="right" vertical="center"/>
    </xf>
    <xf numFmtId="10" fontId="3" fillId="6" borderId="0" xfId="11" applyNumberFormat="1" applyFont="1" applyFill="1" applyBorder="1" applyAlignment="1">
      <alignment horizontal="right" vertical="center"/>
    </xf>
    <xf numFmtId="9" fontId="2" fillId="4" borderId="0" xfId="11" applyFont="1" applyFill="1" applyAlignment="1">
      <alignment horizontal="left" vertical="center"/>
    </xf>
    <xf numFmtId="1" fontId="11" fillId="2" borderId="0" xfId="0" applyNumberFormat="1" applyFont="1" applyFill="1" applyAlignment="1">
      <alignment horizontal="left" vertical="center"/>
    </xf>
    <xf numFmtId="0" fontId="2" fillId="4" borderId="0" xfId="0" applyFont="1" applyFill="1" applyAlignment="1">
      <alignment horizontal="right" vertical="center"/>
    </xf>
    <xf numFmtId="14" fontId="2" fillId="4" borderId="0" xfId="0" applyNumberFormat="1" applyFont="1" applyFill="1" applyAlignment="1">
      <alignment horizontal="left" vertical="center"/>
    </xf>
    <xf numFmtId="14" fontId="3" fillId="2" borderId="0" xfId="0" applyNumberFormat="1" applyFont="1" applyFill="1" applyAlignment="1">
      <alignment horizontal="left" vertical="center"/>
    </xf>
    <xf numFmtId="10" fontId="3" fillId="2" borderId="0" xfId="11" applyNumberFormat="1" applyFont="1" applyFill="1" applyAlignment="1">
      <alignment horizontal="right" vertical="center"/>
    </xf>
    <xf numFmtId="0" fontId="3" fillId="2" borderId="0" xfId="0" applyFont="1" applyFill="1" applyBorder="1" applyAlignment="1">
      <alignment horizontal="right" vertical="center"/>
    </xf>
    <xf numFmtId="169" fontId="3" fillId="2" borderId="0" xfId="0" applyNumberFormat="1" applyFont="1" applyFill="1" applyBorder="1" applyAlignment="1">
      <alignment horizontal="right" vertical="center"/>
    </xf>
    <xf numFmtId="168" fontId="5" fillId="3" borderId="0" xfId="0" applyNumberFormat="1" applyFont="1" applyFill="1" applyBorder="1" applyAlignment="1">
      <alignment horizontal="left" vertical="center"/>
    </xf>
    <xf numFmtId="2" fontId="5" fillId="3" borderId="0" xfId="0" applyNumberFormat="1" applyFont="1" applyFill="1" applyBorder="1" applyAlignment="1">
      <alignment horizontal="left" vertical="center"/>
    </xf>
    <xf numFmtId="0" fontId="6" fillId="6" borderId="0" xfId="0" applyFont="1" applyFill="1" applyBorder="1" applyAlignment="1">
      <alignment horizontal="right" vertical="center"/>
    </xf>
    <xf numFmtId="1" fontId="3" fillId="6" borderId="0" xfId="0" applyNumberFormat="1" applyFont="1" applyFill="1" applyAlignment="1">
      <alignment horizontal="right" vertical="center"/>
    </xf>
    <xf numFmtId="9" fontId="3" fillId="2" borderId="0" xfId="11" applyFont="1" applyFill="1" applyAlignment="1">
      <alignment horizontal="right" vertical="center"/>
    </xf>
    <xf numFmtId="9" fontId="2" fillId="2" borderId="0" xfId="0" applyNumberFormat="1" applyFont="1" applyFill="1" applyBorder="1" applyAlignment="1">
      <alignment horizontal="right" vertical="center"/>
    </xf>
    <xf numFmtId="170" fontId="3" fillId="6" borderId="0" xfId="12" applyNumberFormat="1" applyFont="1" applyFill="1" applyBorder="1" applyAlignment="1">
      <alignment vertical="center"/>
    </xf>
    <xf numFmtId="170" fontId="3" fillId="6" borderId="0" xfId="12" applyNumberFormat="1" applyFont="1" applyFill="1" applyAlignment="1">
      <alignment vertical="center"/>
    </xf>
    <xf numFmtId="0" fontId="17" fillId="2" borderId="0" xfId="0" applyFont="1" applyFill="1" applyAlignment="1">
      <alignment horizontal="right" vertical="center"/>
    </xf>
    <xf numFmtId="10" fontId="17" fillId="2" borderId="0" xfId="11" applyNumberFormat="1" applyFont="1" applyFill="1" applyBorder="1" applyAlignment="1">
      <alignment horizontal="right" vertical="center"/>
    </xf>
    <xf numFmtId="9" fontId="3" fillId="2" borderId="0" xfId="0" applyNumberFormat="1" applyFont="1" applyFill="1" applyAlignment="1">
      <alignment horizontal="left" vertical="center"/>
    </xf>
    <xf numFmtId="9" fontId="3" fillId="6" borderId="0" xfId="11" applyFont="1" applyFill="1" applyAlignment="1">
      <alignment horizontal="right" vertical="center"/>
    </xf>
    <xf numFmtId="165" fontId="3" fillId="6" borderId="0" xfId="11" applyNumberFormat="1" applyFont="1" applyFill="1" applyAlignment="1">
      <alignment horizontal="right" vertical="center"/>
    </xf>
    <xf numFmtId="165" fontId="3" fillId="6" borderId="0" xfId="11" applyNumberFormat="1" applyFont="1" applyFill="1" applyAlignment="1">
      <alignment vertical="center"/>
    </xf>
    <xf numFmtId="0" fontId="3" fillId="2" borderId="0" xfId="0" applyFont="1" applyFill="1" applyBorder="1" applyAlignment="1">
      <alignment horizontal="left" vertical="top"/>
    </xf>
    <xf numFmtId="0" fontId="3" fillId="2" borderId="0" xfId="0" applyFont="1" applyFill="1" applyAlignment="1">
      <alignment horizontal="left" vertical="top"/>
    </xf>
    <xf numFmtId="0" fontId="12" fillId="2" borderId="0" xfId="0" applyFont="1" applyFill="1" applyAlignment="1">
      <alignment horizontal="left" vertical="top"/>
    </xf>
    <xf numFmtId="0" fontId="3" fillId="2" borderId="0" xfId="0" applyFont="1" applyFill="1" applyBorder="1" applyAlignment="1">
      <alignment horizontal="justify" vertical="top"/>
    </xf>
    <xf numFmtId="0" fontId="13" fillId="5" borderId="0" xfId="0" applyFont="1" applyFill="1" applyBorder="1" applyAlignment="1">
      <alignment horizontal="justify" vertical="top"/>
    </xf>
    <xf numFmtId="0" fontId="14" fillId="5" borderId="0" xfId="0" applyFont="1" applyFill="1" applyBorder="1" applyAlignment="1">
      <alignment horizontal="justify" vertical="top"/>
    </xf>
    <xf numFmtId="0" fontId="5" fillId="3" borderId="0" xfId="0" applyFont="1" applyFill="1" applyBorder="1" applyAlignment="1">
      <alignment horizontal="justify" vertical="top"/>
    </xf>
    <xf numFmtId="0" fontId="13" fillId="5" borderId="0" xfId="0" applyFont="1" applyFill="1" applyBorder="1" applyAlignment="1">
      <alignment horizontal="justify" vertical="top" wrapText="1"/>
    </xf>
    <xf numFmtId="10" fontId="14" fillId="5" borderId="0" xfId="0" applyNumberFormat="1" applyFont="1" applyFill="1" applyBorder="1" applyAlignment="1">
      <alignment horizontal="justify" vertical="top"/>
    </xf>
    <xf numFmtId="9" fontId="3" fillId="2" borderId="0" xfId="0" applyNumberFormat="1" applyFont="1" applyFill="1" applyAlignment="1">
      <alignment horizontal="justify" vertical="top"/>
    </xf>
    <xf numFmtId="1" fontId="11" fillId="2" borderId="0" xfId="0" applyNumberFormat="1" applyFont="1" applyFill="1" applyAlignment="1">
      <alignment horizontal="justify" vertical="top"/>
    </xf>
    <xf numFmtId="10" fontId="3" fillId="2" borderId="0" xfId="0" applyNumberFormat="1" applyFont="1" applyFill="1" applyAlignment="1">
      <alignment horizontal="justify" vertical="top"/>
    </xf>
    <xf numFmtId="9" fontId="16" fillId="3" borderId="0" xfId="11" applyNumberFormat="1" applyFont="1" applyFill="1" applyBorder="1" applyAlignment="1">
      <alignment horizontal="justify" vertical="top"/>
    </xf>
    <xf numFmtId="14" fontId="2" fillId="8" borderId="1" xfId="0" applyNumberFormat="1" applyFont="1" applyFill="1" applyBorder="1" applyAlignment="1">
      <alignment horizontal="right" vertical="center"/>
    </xf>
    <xf numFmtId="14" fontId="2" fillId="8" borderId="2" xfId="0" applyNumberFormat="1" applyFont="1" applyFill="1" applyBorder="1" applyAlignment="1">
      <alignment horizontal="right" vertical="center"/>
    </xf>
    <xf numFmtId="14" fontId="2" fillId="8" borderId="3" xfId="0" applyNumberFormat="1" applyFont="1" applyFill="1" applyBorder="1" applyAlignment="1">
      <alignment horizontal="right" vertical="center"/>
    </xf>
    <xf numFmtId="168" fontId="2" fillId="8" borderId="11" xfId="0" applyNumberFormat="1" applyFont="1" applyFill="1" applyBorder="1" applyAlignment="1">
      <alignment horizontal="left" vertical="center"/>
    </xf>
    <xf numFmtId="0" fontId="2" fillId="8" borderId="6" xfId="0" applyFont="1" applyFill="1" applyBorder="1" applyAlignment="1">
      <alignment horizontal="left" vertical="center"/>
    </xf>
    <xf numFmtId="0" fontId="2" fillId="8" borderId="7" xfId="0" applyFont="1" applyFill="1" applyBorder="1" applyAlignment="1">
      <alignment horizontal="left" vertical="center"/>
    </xf>
    <xf numFmtId="10" fontId="2" fillId="8" borderId="1" xfId="0" applyNumberFormat="1" applyFont="1" applyFill="1" applyBorder="1" applyAlignment="1">
      <alignment horizontal="left" vertical="center"/>
    </xf>
    <xf numFmtId="10" fontId="2" fillId="8" borderId="3" xfId="0" applyNumberFormat="1" applyFont="1" applyFill="1" applyBorder="1" applyAlignment="1">
      <alignment horizontal="left" vertical="center"/>
    </xf>
    <xf numFmtId="10" fontId="2" fillId="8" borderId="1" xfId="11" applyNumberFormat="1" applyFont="1" applyFill="1" applyBorder="1" applyAlignment="1">
      <alignment horizontal="left" vertical="center"/>
    </xf>
    <xf numFmtId="0" fontId="3" fillId="8" borderId="11" xfId="0" applyFont="1" applyFill="1" applyBorder="1" applyAlignment="1">
      <alignment horizontal="right" vertical="center"/>
    </xf>
    <xf numFmtId="0" fontId="3" fillId="2" borderId="0" xfId="0" applyFont="1" applyFill="1" applyAlignment="1">
      <alignment horizontal="justify" vertical="top"/>
    </xf>
    <xf numFmtId="0" fontId="2" fillId="2" borderId="0" xfId="0" applyFont="1" applyFill="1" applyAlignment="1">
      <alignment horizontal="left" vertical="top"/>
    </xf>
    <xf numFmtId="9" fontId="13" fillId="6" borderId="0" xfId="0" applyNumberFormat="1" applyFont="1" applyFill="1" applyBorder="1" applyAlignment="1">
      <alignment horizontal="justify" vertical="top" wrapText="1"/>
    </xf>
    <xf numFmtId="0" fontId="13" fillId="6" borderId="0" xfId="0" applyFont="1" applyFill="1" applyBorder="1" applyAlignment="1">
      <alignment horizontal="left" vertical="top"/>
    </xf>
    <xf numFmtId="3" fontId="6" fillId="3" borderId="13" xfId="0" applyNumberFormat="1" applyFont="1" applyFill="1" applyBorder="1" applyAlignment="1">
      <alignment horizontal="justify" vertical="top"/>
    </xf>
    <xf numFmtId="10" fontId="6" fillId="3" borderId="13" xfId="0" applyNumberFormat="1" applyFont="1" applyFill="1" applyBorder="1" applyAlignment="1">
      <alignment horizontal="justify" vertical="top"/>
    </xf>
    <xf numFmtId="0" fontId="3" fillId="2" borderId="13" xfId="0" applyFont="1" applyFill="1" applyBorder="1" applyAlignment="1">
      <alignment horizontal="justify" vertical="top"/>
    </xf>
    <xf numFmtId="3" fontId="6" fillId="6" borderId="13" xfId="0" applyNumberFormat="1" applyFont="1" applyFill="1" applyBorder="1" applyAlignment="1">
      <alignment horizontal="justify" vertical="top"/>
    </xf>
    <xf numFmtId="9" fontId="13" fillId="6" borderId="13" xfId="0" applyNumberFormat="1" applyFont="1" applyFill="1" applyBorder="1" applyAlignment="1">
      <alignment horizontal="justify" vertical="top" wrapText="1"/>
    </xf>
    <xf numFmtId="0" fontId="3" fillId="2" borderId="0" xfId="0" applyFont="1" applyFill="1" applyAlignment="1">
      <alignment horizontal="right" vertical="top"/>
    </xf>
    <xf numFmtId="0" fontId="2" fillId="2" borderId="0" xfId="0" applyFont="1" applyFill="1" applyAlignment="1">
      <alignment horizontal="justify" vertical="top"/>
    </xf>
    <xf numFmtId="10" fontId="2" fillId="2" borderId="0" xfId="0" applyNumberFormat="1" applyFont="1" applyFill="1" applyAlignment="1">
      <alignment horizontal="justify" vertical="top"/>
    </xf>
    <xf numFmtId="0" fontId="19" fillId="2" borderId="0" xfId="0" applyFont="1" applyFill="1" applyAlignment="1">
      <alignment horizontal="justify" vertical="top"/>
    </xf>
    <xf numFmtId="0" fontId="20" fillId="2" borderId="0" xfId="0" applyFont="1" applyFill="1" applyAlignment="1">
      <alignment horizontal="justify" vertical="top"/>
    </xf>
    <xf numFmtId="9" fontId="19" fillId="3" borderId="0" xfId="11" applyNumberFormat="1" applyFont="1" applyFill="1" applyBorder="1" applyAlignment="1">
      <alignment horizontal="justify" vertical="top"/>
    </xf>
    <xf numFmtId="0" fontId="20" fillId="2" borderId="0" xfId="0" applyFont="1" applyFill="1" applyAlignment="1">
      <alignment horizontal="left" vertical="top"/>
    </xf>
    <xf numFmtId="0" fontId="21" fillId="5" borderId="0" xfId="0" applyFont="1" applyFill="1" applyBorder="1" applyAlignment="1">
      <alignment horizontal="justify" vertical="top"/>
    </xf>
    <xf numFmtId="0" fontId="18" fillId="2" borderId="0" xfId="0" applyFont="1" applyFill="1" applyAlignment="1">
      <alignment horizontal="left" vertical="top"/>
    </xf>
    <xf numFmtId="10" fontId="6" fillId="3" borderId="0" xfId="11" applyNumberFormat="1" applyFont="1" applyFill="1" applyBorder="1" applyAlignment="1">
      <alignment horizontal="justify" vertical="top"/>
    </xf>
    <xf numFmtId="10" fontId="2" fillId="2" borderId="0" xfId="11" applyNumberFormat="1" applyFont="1" applyFill="1" applyAlignment="1">
      <alignment horizontal="justify" vertical="top"/>
    </xf>
    <xf numFmtId="0" fontId="3" fillId="8" borderId="3" xfId="0" applyFont="1" applyFill="1" applyBorder="1" applyAlignment="1">
      <alignment horizontal="left" vertical="center"/>
    </xf>
    <xf numFmtId="10" fontId="2" fillId="8" borderId="3" xfId="11" applyNumberFormat="1" applyFont="1" applyFill="1" applyBorder="1" applyAlignment="1">
      <alignment horizontal="left" vertical="center"/>
    </xf>
    <xf numFmtId="10" fontId="2" fillId="8" borderId="2" xfId="0" applyNumberFormat="1" applyFont="1" applyFill="1" applyBorder="1" applyAlignment="1">
      <alignment horizontal="left" vertical="center"/>
    </xf>
    <xf numFmtId="0" fontId="3" fillId="2" borderId="0" xfId="0" applyFont="1" applyFill="1" applyAlignment="1">
      <alignment horizontal="justify" vertical="top"/>
    </xf>
    <xf numFmtId="9" fontId="3" fillId="8" borderId="11" xfId="11" applyFont="1" applyFill="1" applyBorder="1" applyAlignment="1">
      <alignment horizontal="left" vertical="center"/>
    </xf>
    <xf numFmtId="0" fontId="2" fillId="8" borderId="14" xfId="0" applyFont="1" applyFill="1" applyBorder="1" applyAlignment="1">
      <alignment horizontal="left" vertical="center"/>
    </xf>
    <xf numFmtId="0" fontId="2" fillId="6" borderId="0" xfId="0" applyFont="1" applyFill="1" applyAlignment="1">
      <alignment horizontal="right" vertical="center"/>
    </xf>
    <xf numFmtId="2" fontId="2" fillId="6" borderId="0" xfId="0" applyNumberFormat="1" applyFont="1" applyFill="1" applyAlignment="1">
      <alignment horizontal="right" vertical="center"/>
    </xf>
    <xf numFmtId="0" fontId="3" fillId="2" borderId="0" xfId="0" applyFont="1" applyFill="1" applyAlignment="1">
      <alignment horizontal="justify" vertical="top"/>
    </xf>
    <xf numFmtId="2" fontId="2" fillId="4" borderId="0" xfId="0" applyNumberFormat="1" applyFont="1" applyFill="1" applyAlignment="1">
      <alignment horizontal="left" vertical="center"/>
    </xf>
    <xf numFmtId="0" fontId="22" fillId="2" borderId="0" xfId="0" applyFont="1" applyFill="1" applyAlignment="1">
      <alignment horizontal="right" vertical="center"/>
    </xf>
    <xf numFmtId="0" fontId="23" fillId="2" borderId="0" xfId="0" applyFont="1" applyFill="1" applyAlignment="1">
      <alignment horizontal="left" vertical="center"/>
    </xf>
    <xf numFmtId="0" fontId="3" fillId="2" borderId="0" xfId="0" applyFont="1" applyFill="1" applyAlignment="1">
      <alignment horizontal="justify" vertical="top"/>
    </xf>
    <xf numFmtId="3" fontId="6" fillId="6" borderId="13" xfId="0" applyNumberFormat="1" applyFont="1" applyFill="1" applyBorder="1" applyAlignment="1">
      <alignment horizontal="justify" vertical="top"/>
    </xf>
    <xf numFmtId="14" fontId="3" fillId="2" borderId="0" xfId="0" applyNumberFormat="1" applyFont="1" applyFill="1" applyAlignment="1">
      <alignment horizontal="left" vertical="top"/>
    </xf>
    <xf numFmtId="10" fontId="3" fillId="2" borderId="0" xfId="11" applyNumberFormat="1" applyFont="1" applyFill="1" applyAlignment="1">
      <alignment horizontal="left" vertical="top"/>
    </xf>
    <xf numFmtId="0" fontId="3" fillId="2" borderId="0" xfId="0" applyFont="1" applyFill="1" applyAlignment="1">
      <alignment horizontal="center" vertical="center"/>
    </xf>
    <xf numFmtId="0" fontId="3" fillId="2" borderId="0"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11" xfId="0" applyFont="1" applyFill="1" applyBorder="1" applyAlignment="1">
      <alignment horizontal="center" vertical="center"/>
    </xf>
    <xf numFmtId="17" fontId="13" fillId="5" borderId="0" xfId="0" applyNumberFormat="1" applyFont="1" applyFill="1" applyBorder="1" applyAlignment="1">
      <alignment horizontal="justify" vertical="top"/>
    </xf>
    <xf numFmtId="171" fontId="13" fillId="5" borderId="0" xfId="12" applyNumberFormat="1" applyFont="1" applyFill="1" applyBorder="1" applyAlignment="1">
      <alignment horizontal="justify" vertical="top"/>
    </xf>
    <xf numFmtId="0" fontId="3" fillId="2" borderId="0" xfId="0" applyFont="1" applyFill="1" applyAlignment="1">
      <alignment horizontal="justify" vertical="top"/>
    </xf>
    <xf numFmtId="1" fontId="13" fillId="6" borderId="13" xfId="0" applyNumberFormat="1" applyFont="1" applyFill="1" applyBorder="1" applyAlignment="1">
      <alignment horizontal="justify" vertical="top" wrapText="1"/>
    </xf>
    <xf numFmtId="9" fontId="2" fillId="6" borderId="4" xfId="0" applyNumberFormat="1" applyFont="1" applyFill="1" applyBorder="1" applyAlignment="1">
      <alignment vertical="center"/>
    </xf>
    <xf numFmtId="0" fontId="3" fillId="2" borderId="0" xfId="0" applyFont="1" applyFill="1" applyAlignment="1">
      <alignment horizontal="justify" vertical="top"/>
    </xf>
    <xf numFmtId="9" fontId="2" fillId="6" borderId="4" xfId="0" applyNumberFormat="1" applyFont="1" applyFill="1" applyBorder="1" applyAlignment="1">
      <alignment horizontal="center" vertical="center"/>
    </xf>
    <xf numFmtId="9" fontId="3" fillId="2" borderId="0" xfId="11" applyFont="1" applyFill="1" applyAlignment="1">
      <alignment horizontal="left" vertical="center"/>
    </xf>
    <xf numFmtId="9" fontId="2" fillId="2" borderId="0" xfId="11" applyFont="1" applyFill="1" applyAlignment="1">
      <alignment horizontal="left" vertical="center"/>
    </xf>
    <xf numFmtId="9" fontId="7" fillId="2" borderId="0" xfId="11" applyFont="1" applyFill="1" applyAlignment="1">
      <alignment horizontal="left" vertical="center"/>
    </xf>
    <xf numFmtId="0" fontId="24" fillId="2" borderId="0" xfId="0" applyFont="1" applyFill="1" applyAlignment="1">
      <alignment horizontal="justify" vertical="top"/>
    </xf>
    <xf numFmtId="9" fontId="2" fillId="4" borderId="0" xfId="0" applyNumberFormat="1" applyFont="1" applyFill="1" applyBorder="1" applyAlignment="1">
      <alignment horizontal="right" vertical="center"/>
    </xf>
    <xf numFmtId="0" fontId="2" fillId="6" borderId="5"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2" fillId="4" borderId="0" xfId="0" applyFont="1" applyFill="1" applyAlignment="1">
      <alignment horizontal="center" vertical="center"/>
    </xf>
    <xf numFmtId="9" fontId="2" fillId="2" borderId="8" xfId="0" applyNumberFormat="1" applyFont="1" applyFill="1" applyBorder="1" applyAlignment="1">
      <alignment horizontal="center" vertical="center"/>
    </xf>
    <xf numFmtId="9" fontId="2" fillId="2" borderId="9" xfId="0" applyNumberFormat="1"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9" fontId="2" fillId="6" borderId="15" xfId="0" applyNumberFormat="1" applyFont="1" applyFill="1" applyBorder="1" applyAlignment="1">
      <alignment horizontal="center" vertical="center"/>
    </xf>
    <xf numFmtId="9" fontId="2" fillId="6" borderId="4" xfId="0" applyNumberFormat="1" applyFont="1" applyFill="1" applyBorder="1" applyAlignment="1">
      <alignment horizontal="center" vertical="center"/>
    </xf>
    <xf numFmtId="0" fontId="2" fillId="2" borderId="1" xfId="0" applyFont="1" applyFill="1" applyBorder="1" applyAlignment="1">
      <alignment horizontal="center" vertical="center" textRotation="90"/>
    </xf>
    <xf numFmtId="0" fontId="2" fillId="2" borderId="2" xfId="0" applyFont="1" applyFill="1" applyBorder="1" applyAlignment="1">
      <alignment horizontal="center" vertical="center" textRotation="90"/>
    </xf>
    <xf numFmtId="0" fontId="2" fillId="2" borderId="3" xfId="0" applyFont="1" applyFill="1" applyBorder="1" applyAlignment="1">
      <alignment horizontal="center" vertical="center" textRotation="90"/>
    </xf>
    <xf numFmtId="0" fontId="2" fillId="2" borderId="0" xfId="0" applyFont="1" applyFill="1" applyBorder="1" applyAlignment="1">
      <alignment horizontal="center" vertical="center"/>
    </xf>
    <xf numFmtId="0" fontId="6" fillId="6" borderId="0"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0" xfId="0" applyFont="1" applyFill="1" applyAlignment="1">
      <alignment horizontal="center" vertical="center"/>
    </xf>
    <xf numFmtId="0" fontId="15" fillId="6" borderId="0" xfId="0" applyFont="1" applyFill="1" applyBorder="1" applyAlignment="1">
      <alignment horizontal="justify" vertical="center" wrapText="1"/>
    </xf>
    <xf numFmtId="0" fontId="15" fillId="6" borderId="13" xfId="0" applyFont="1" applyFill="1" applyBorder="1" applyAlignment="1">
      <alignment horizontal="justify" vertical="center" wrapText="1"/>
    </xf>
    <xf numFmtId="0" fontId="3" fillId="2" borderId="0" xfId="0" applyFont="1" applyFill="1" applyAlignment="1">
      <alignment horizontal="justify" vertical="top" wrapText="1"/>
    </xf>
    <xf numFmtId="0" fontId="3" fillId="2" borderId="0" xfId="0" applyFont="1" applyFill="1" applyAlignment="1">
      <alignment horizontal="justify" vertical="top"/>
    </xf>
    <xf numFmtId="0" fontId="21" fillId="5" borderId="0" xfId="0" applyFont="1" applyFill="1" applyBorder="1" applyAlignment="1">
      <alignment horizontal="left" vertical="top"/>
    </xf>
    <xf numFmtId="3" fontId="6" fillId="6" borderId="0" xfId="0" applyNumberFormat="1" applyFont="1" applyFill="1" applyBorder="1" applyAlignment="1">
      <alignment horizontal="justify" vertical="top"/>
    </xf>
    <xf numFmtId="3" fontId="6" fillId="6" borderId="13" xfId="0" applyNumberFormat="1" applyFont="1" applyFill="1" applyBorder="1" applyAlignment="1">
      <alignment horizontal="justify" vertical="top"/>
    </xf>
    <xf numFmtId="9" fontId="2" fillId="6" borderId="0" xfId="0" applyNumberFormat="1" applyFont="1" applyFill="1" applyBorder="1" applyAlignment="1">
      <alignment horizontal="justify" vertical="top"/>
    </xf>
    <xf numFmtId="9" fontId="2" fillId="6" borderId="13" xfId="0" applyNumberFormat="1" applyFont="1" applyFill="1" applyBorder="1" applyAlignment="1">
      <alignment horizontal="justify" vertical="top"/>
    </xf>
    <xf numFmtId="0" fontId="13" fillId="6" borderId="13" xfId="0" applyFont="1" applyFill="1" applyBorder="1" applyAlignment="1">
      <alignment horizontal="left" vertical="top"/>
    </xf>
    <xf numFmtId="0" fontId="2" fillId="6" borderId="13" xfId="0" applyFont="1" applyFill="1" applyBorder="1" applyAlignment="1">
      <alignment horizontal="left" vertical="top"/>
    </xf>
    <xf numFmtId="0" fontId="2" fillId="6" borderId="0" xfId="0" applyFont="1" applyFill="1" applyBorder="1" applyAlignment="1">
      <alignment horizontal="left" vertical="top"/>
    </xf>
    <xf numFmtId="0" fontId="21" fillId="5" borderId="0" xfId="0" applyFont="1" applyFill="1" applyBorder="1" applyAlignment="1">
      <alignment horizontal="justify" vertical="top"/>
    </xf>
    <xf numFmtId="0" fontId="13" fillId="9" borderId="0" xfId="0" applyFont="1" applyFill="1" applyBorder="1" applyAlignment="1">
      <alignment horizontal="center" vertical="top"/>
    </xf>
    <xf numFmtId="9" fontId="13" fillId="6" borderId="0" xfId="0" applyNumberFormat="1" applyFont="1" applyFill="1" applyBorder="1" applyAlignment="1">
      <alignment horizontal="center" vertical="top" wrapText="1"/>
    </xf>
    <xf numFmtId="0" fontId="15" fillId="6" borderId="0" xfId="0" applyFont="1" applyFill="1" applyBorder="1" applyAlignment="1">
      <alignment horizontal="center" vertical="top" wrapText="1"/>
    </xf>
    <xf numFmtId="0" fontId="15" fillId="6" borderId="13" xfId="0" applyFont="1" applyFill="1" applyBorder="1" applyAlignment="1">
      <alignment horizontal="center" vertical="top" wrapText="1"/>
    </xf>
    <xf numFmtId="0" fontId="13" fillId="6" borderId="8" xfId="0" applyFont="1" applyFill="1" applyBorder="1" applyAlignment="1">
      <alignment horizontal="center" vertical="top"/>
    </xf>
    <xf numFmtId="0" fontId="13" fillId="6" borderId="9" xfId="0" applyFont="1" applyFill="1" applyBorder="1" applyAlignment="1">
      <alignment horizontal="center" vertical="top"/>
    </xf>
    <xf numFmtId="0" fontId="13" fillId="6" borderId="10" xfId="0" applyFont="1" applyFill="1" applyBorder="1" applyAlignment="1">
      <alignment horizontal="center" vertical="top"/>
    </xf>
    <xf numFmtId="17" fontId="13" fillId="9" borderId="0" xfId="0" applyNumberFormat="1" applyFont="1" applyFill="1" applyBorder="1" applyAlignment="1">
      <alignment horizontal="center" vertical="top"/>
    </xf>
    <xf numFmtId="0" fontId="15" fillId="6" borderId="8" xfId="0" applyFont="1" applyFill="1" applyBorder="1" applyAlignment="1">
      <alignment horizontal="center" vertical="top" wrapText="1"/>
    </xf>
    <xf numFmtId="0" fontId="15" fillId="6" borderId="9" xfId="0" applyFont="1" applyFill="1" applyBorder="1" applyAlignment="1">
      <alignment horizontal="center" vertical="top" wrapText="1"/>
    </xf>
    <xf numFmtId="0" fontId="15" fillId="6" borderId="10" xfId="0" applyFont="1" applyFill="1" applyBorder="1" applyAlignment="1">
      <alignment horizontal="center" vertical="top" wrapText="1"/>
    </xf>
    <xf numFmtId="0" fontId="13" fillId="6" borderId="13" xfId="0" applyFont="1" applyFill="1" applyBorder="1" applyAlignment="1">
      <alignment horizontal="justify" vertical="top"/>
    </xf>
    <xf numFmtId="0" fontId="13" fillId="6" borderId="13" xfId="0" applyFont="1" applyFill="1" applyBorder="1" applyAlignment="1">
      <alignment horizontal="justify" vertical="top" wrapText="1"/>
    </xf>
  </cellXfs>
  <cellStyles count="13">
    <cellStyle name="Migliaia" xfId="12" builtinId="3"/>
    <cellStyle name="Migliaia [0] 2" xfId="3"/>
    <cellStyle name="Migliaia 2" xfId="4"/>
    <cellStyle name="Migliaia 3" xfId="5"/>
    <cellStyle name="Migliaia 4" xfId="2"/>
    <cellStyle name="Normal_RETAIL ISPIM CURVENew" xfId="6"/>
    <cellStyle name="Normale" xfId="0" builtinId="0"/>
    <cellStyle name="Normale 2" xfId="7"/>
    <cellStyle name="Normale 3" xfId="8"/>
    <cellStyle name="Normale 4" xfId="1"/>
    <cellStyle name="Percentuale" xfId="11" builtinId="5"/>
    <cellStyle name="Percentuale 2" xfId="10"/>
    <cellStyle name="Percentuale 3" xfId="9"/>
  </cellStyles>
  <dxfs count="39">
    <dxf>
      <fill>
        <patternFill>
          <bgColor rgb="FF92D05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0</xdr:colOff>
      <xdr:row>16</xdr:row>
      <xdr:rowOff>114300</xdr:rowOff>
    </xdr:from>
    <xdr:to>
      <xdr:col>12</xdr:col>
      <xdr:colOff>9525</xdr:colOff>
      <xdr:row>17</xdr:row>
      <xdr:rowOff>133350</xdr:rowOff>
    </xdr:to>
    <xdr:sp macro="[0]!Run_Testing" textlink="">
      <xdr:nvSpPr>
        <xdr:cNvPr id="2" name="CasellaDiTesto 1">
          <a:extLst>
            <a:ext uri="{FF2B5EF4-FFF2-40B4-BE49-F238E27FC236}">
              <a16:creationId xmlns:a16="http://schemas.microsoft.com/office/drawing/2014/main" id="{2E4EC415-8B92-4975-ABE2-688206CE46A5}"/>
            </a:ext>
          </a:extLst>
        </xdr:cNvPr>
        <xdr:cNvSpPr txBox="1"/>
      </xdr:nvSpPr>
      <xdr:spPr>
        <a:xfrm>
          <a:off x="6353175" y="2466975"/>
          <a:ext cx="1838325" cy="1619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800" b="1"/>
            <a:t>RUN</a:t>
          </a:r>
          <a:endParaRPr lang="it-IT"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39</xdr:col>
      <xdr:colOff>0</xdr:colOff>
      <xdr:row>39</xdr:row>
      <xdr:rowOff>0</xdr:rowOff>
    </xdr:from>
    <xdr:to>
      <xdr:col>50</xdr:col>
      <xdr:colOff>304800</xdr:colOff>
      <xdr:row>66</xdr:row>
      <xdr:rowOff>133350</xdr:rowOff>
    </xdr:to>
    <xdr:pic>
      <xdr:nvPicPr>
        <xdr:cNvPr id="4" name="Immagine 1">
          <a:extLst>
            <a:ext uri="{FF2B5EF4-FFF2-40B4-BE49-F238E27FC236}">
              <a16:creationId xmlns:a16="http://schemas.microsoft.com/office/drawing/2014/main" id="{D8B8B59C-3467-4CCD-B938-E553AF1FA0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26125" y="5572125"/>
          <a:ext cx="5324475" cy="399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76</xdr:col>
      <xdr:colOff>0</xdr:colOff>
      <xdr:row>1</xdr:row>
      <xdr:rowOff>0</xdr:rowOff>
    </xdr:from>
    <xdr:to>
      <xdr:col>86</xdr:col>
      <xdr:colOff>428625</xdr:colOff>
      <xdr:row>28</xdr:row>
      <xdr:rowOff>133350</xdr:rowOff>
    </xdr:to>
    <xdr:pic>
      <xdr:nvPicPr>
        <xdr:cNvPr id="2049" name="Immagine 1">
          <a:extLst>
            <a:ext uri="{FF2B5EF4-FFF2-40B4-BE49-F238E27FC236}">
              <a16:creationId xmlns:a16="http://schemas.microsoft.com/office/drawing/2014/main" id="{150CB002-43D3-4CFC-A701-1D1D567942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928300" y="142875"/>
          <a:ext cx="5324475" cy="399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MATLAB\R2017b\toolbox\exlink\excllink.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MLEvalString"/>
      <definedName name="Mlgetfigure"/>
      <definedName name="Mlgetmatrix"/>
      <definedName name="MLPutMatrix"/>
    </definedNames>
    <sheetDataSet>
      <sheetData sheetId="0"/>
      <sheetData sheetId="1"/>
      <sheetData sheetId="2"/>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DS2625"/>
  <sheetViews>
    <sheetView zoomScaleNormal="100" workbookViewId="0">
      <selection sqref="A1:K1"/>
    </sheetView>
  </sheetViews>
  <sheetFormatPr defaultRowHeight="11.25" x14ac:dyDescent="0.25"/>
  <cols>
    <col min="1" max="1" width="9.140625" style="2" customWidth="1"/>
    <col min="2" max="2" width="22.140625" style="2" customWidth="1"/>
    <col min="3" max="3" width="9.140625" style="2"/>
    <col min="4" max="17" width="9.140625" style="2" customWidth="1"/>
    <col min="18" max="18" width="9.140625" style="2"/>
    <col min="19" max="21" width="9.140625" style="2" customWidth="1"/>
    <col min="22" max="25" width="9.140625" style="2"/>
    <col min="26" max="26" width="9.140625" style="2" customWidth="1"/>
    <col min="27" max="33" width="9.140625" style="2"/>
    <col min="34" max="35" width="9.140625" style="2" customWidth="1"/>
    <col min="36" max="36" width="9.140625" style="3" customWidth="1"/>
    <col min="37" max="38" width="9.140625" style="2"/>
    <col min="39" max="39" width="9.28515625" style="2" bestFit="1" customWidth="1"/>
    <col min="40" max="41" width="9.140625" style="2"/>
    <col min="42" max="42" width="9.5703125" style="2" bestFit="1" customWidth="1"/>
    <col min="43" max="43" width="9.140625" style="2"/>
    <col min="44" max="44" width="9.140625" style="2" customWidth="1"/>
    <col min="45" max="46" width="9.140625" style="2"/>
    <col min="47" max="47" width="9.140625" style="2" customWidth="1"/>
    <col min="48" max="49" width="9.140625" style="2"/>
    <col min="50" max="51" width="9.140625" style="2" customWidth="1"/>
    <col min="52" max="52" width="9.140625" style="2"/>
    <col min="53" max="53" width="9.140625" style="2" customWidth="1"/>
    <col min="54" max="55" width="9.140625" style="2"/>
    <col min="56" max="56" width="9.140625" style="2" customWidth="1"/>
    <col min="57" max="58" width="9.140625" style="2"/>
    <col min="59" max="59" width="9.140625" style="2" customWidth="1"/>
    <col min="60" max="16384" width="9.140625" style="2"/>
  </cols>
  <sheetData>
    <row r="1" spans="1:123" ht="12" thickBot="1" x14ac:dyDescent="0.3">
      <c r="A1" s="126" t="s">
        <v>67</v>
      </c>
      <c r="B1" s="127"/>
      <c r="C1" s="127"/>
      <c r="D1" s="127"/>
      <c r="E1" s="127"/>
      <c r="F1" s="127"/>
      <c r="G1" s="127"/>
      <c r="H1" s="127"/>
      <c r="I1" s="127"/>
      <c r="J1" s="127"/>
      <c r="K1" s="128"/>
      <c r="L1" s="16"/>
      <c r="M1" s="16"/>
      <c r="N1" s="16"/>
      <c r="O1" s="134" t="s">
        <v>68</v>
      </c>
      <c r="P1" s="135"/>
      <c r="Q1" s="135"/>
      <c r="R1" s="135"/>
      <c r="S1" s="135"/>
      <c r="T1" s="135"/>
      <c r="U1" s="135"/>
      <c r="V1" s="135"/>
      <c r="W1" s="135"/>
      <c r="X1" s="135"/>
      <c r="Y1" s="135"/>
      <c r="Z1" s="135"/>
      <c r="AA1" s="135"/>
      <c r="AB1" s="135"/>
      <c r="AC1" s="135"/>
      <c r="AD1" s="135"/>
      <c r="AE1" s="120"/>
      <c r="AF1" s="120"/>
      <c r="AG1" s="120"/>
      <c r="AH1" s="118"/>
      <c r="AI1" s="118"/>
      <c r="AJ1" s="118"/>
      <c r="AK1" s="118"/>
      <c r="AL1" s="118"/>
      <c r="AM1" s="118"/>
      <c r="AN1" s="118"/>
      <c r="AO1" s="118"/>
      <c r="AP1" s="118"/>
      <c r="AQ1" s="118"/>
      <c r="AR1" s="118"/>
      <c r="AS1" s="118"/>
      <c r="AT1" s="118"/>
      <c r="AU1" s="118"/>
    </row>
    <row r="2" spans="1:123" ht="12" customHeight="1" x14ac:dyDescent="0.25">
      <c r="D2" s="16"/>
      <c r="E2" s="16"/>
      <c r="F2" s="16"/>
      <c r="G2" s="16"/>
      <c r="H2" s="16"/>
      <c r="I2" s="16"/>
      <c r="J2" s="16"/>
      <c r="K2" s="16"/>
      <c r="L2" s="16"/>
      <c r="M2" s="16"/>
      <c r="O2" s="130" t="str">
        <f>CONCATENATE(B6,"Y - NO AUTOCALLABILITY EVENT BEFORE")</f>
        <v>3Y - NO AUTOCALLABILITY EVENT BEFORE</v>
      </c>
      <c r="P2" s="131"/>
      <c r="Q2" s="131"/>
      <c r="R2" s="131"/>
      <c r="S2" s="131"/>
      <c r="T2" s="131"/>
      <c r="U2" s="131"/>
      <c r="V2" s="131"/>
      <c r="W2" s="131"/>
      <c r="X2" s="131"/>
      <c r="Y2" s="131"/>
      <c r="Z2" s="131"/>
      <c r="AA2" s="131"/>
      <c r="AB2" s="131"/>
      <c r="AC2" s="131"/>
      <c r="AD2" s="132" t="s">
        <v>61</v>
      </c>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3"/>
    </row>
    <row r="3" spans="1:123" ht="12" thickBot="1" x14ac:dyDescent="0.3">
      <c r="A3" s="4" t="s">
        <v>1</v>
      </c>
      <c r="B3" s="1" t="s">
        <v>96</v>
      </c>
      <c r="D3" s="16"/>
      <c r="E3" s="16"/>
      <c r="F3" s="129" t="s">
        <v>38</v>
      </c>
      <c r="G3" s="129"/>
      <c r="H3" s="129"/>
      <c r="I3" s="16"/>
      <c r="J3" s="129" t="s">
        <v>39</v>
      </c>
      <c r="K3" s="129"/>
      <c r="L3" s="16"/>
      <c r="M3" s="16"/>
      <c r="O3" s="19" t="s">
        <v>82</v>
      </c>
      <c r="P3" s="20">
        <f>XIRR(P6:P42,O6:O42)</f>
        <v>7.9430088400840787E-2</v>
      </c>
      <c r="Q3" s="21"/>
      <c r="R3" s="19" t="s">
        <v>28</v>
      </c>
      <c r="S3" s="20">
        <f>XIRR(S6:S42,R6:R42)</f>
        <v>7.9430088400840787E-2</v>
      </c>
      <c r="T3" s="21"/>
      <c r="U3" s="19" t="s">
        <v>28</v>
      </c>
      <c r="V3" s="20">
        <f>XIRR(V6:V42,U6:U42)</f>
        <v>-6.1745521426200864E-2</v>
      </c>
      <c r="W3" s="21"/>
      <c r="X3" s="19" t="s">
        <v>28</v>
      </c>
      <c r="Y3" s="20">
        <f>XIRR(Y6:Y42,X6:X42)</f>
        <v>7.9430088400840787E-2</v>
      </c>
      <c r="Z3" s="21"/>
      <c r="AA3" s="19" t="s">
        <v>28</v>
      </c>
      <c r="AB3" s="20">
        <f>XIRR(AB6:AB42,AA6:AA42)</f>
        <v>-0.37800289765000344</v>
      </c>
      <c r="AC3" s="21"/>
      <c r="AD3" s="19" t="s">
        <v>28</v>
      </c>
      <c r="AE3" s="20">
        <f>XIRR(AE6:AE42,AD6:AD42)</f>
        <v>7.8018829226493849E-2</v>
      </c>
      <c r="AG3" s="19" t="s">
        <v>28</v>
      </c>
      <c r="AH3" s="20">
        <f>XIRR(AH6:AH42,AG6:AG42)</f>
        <v>7.9131379723548889E-2</v>
      </c>
      <c r="AJ3" s="19" t="s">
        <v>28</v>
      </c>
      <c r="AK3" s="20">
        <f>XIRR(AK6:AK42,AJ6:AJ42)</f>
        <v>7.7704182267189045E-2</v>
      </c>
      <c r="AM3" s="19" t="s">
        <v>28</v>
      </c>
      <c r="AN3" s="20">
        <f>XIRR(AN6:AN42,AM6:AM42)</f>
        <v>7.8302875161170959E-2</v>
      </c>
      <c r="AP3" s="19" t="s">
        <v>28</v>
      </c>
      <c r="AQ3" s="20">
        <f>XIRR(AQ6:AQ42,AP6:AP42)</f>
        <v>7.8788486123085033E-2</v>
      </c>
      <c r="AS3" s="19" t="s">
        <v>28</v>
      </c>
      <c r="AT3" s="20">
        <f>XIRR(AT6:AT42,AS6:AS42)</f>
        <v>7.8253558278083821E-2</v>
      </c>
      <c r="AV3" s="19" t="s">
        <v>28</v>
      </c>
      <c r="AW3" s="20">
        <f>XIRR(AW6:AW42,AV6:AV42)</f>
        <v>7.8658697009086606E-2</v>
      </c>
      <c r="AY3" s="19" t="s">
        <v>28</v>
      </c>
      <c r="AZ3" s="20">
        <f>XIRR(AZ6:AZ42,AY6:AY42)</f>
        <v>7.8806969523429873E-2</v>
      </c>
      <c r="BB3" s="19" t="s">
        <v>28</v>
      </c>
      <c r="BC3" s="20">
        <f>XIRR(BC6:BC42,BB6:BB42)</f>
        <v>7.8569754958152771E-2</v>
      </c>
      <c r="BE3" s="19" t="s">
        <v>28</v>
      </c>
      <c r="BF3" s="20">
        <f>XIRR(BF6:BF42,BE6:BE42)</f>
        <v>7.8872600197792075E-2</v>
      </c>
      <c r="BH3" s="19" t="s">
        <v>28</v>
      </c>
      <c r="BI3" s="20">
        <f>XIRR(BI6:BI42,BH6:BH42)</f>
        <v>7.8820559382438676E-2</v>
      </c>
      <c r="BK3" s="19" t="s">
        <v>28</v>
      </c>
      <c r="BL3" s="20">
        <f>XIRR(BL6:BL42,BK6:BK42)</f>
        <v>7.8626170754432678E-2</v>
      </c>
      <c r="BN3" s="19" t="s">
        <v>28</v>
      </c>
      <c r="BO3" s="20">
        <f>XIRR(BO6:BO42,BN6:BN42)</f>
        <v>7.8873297572135945E-2</v>
      </c>
      <c r="BQ3" s="19" t="s">
        <v>28</v>
      </c>
      <c r="BR3" s="20">
        <f>XIRR(BR6:BR42,BQ6:BQ42)</f>
        <v>7.8962561488151575E-2</v>
      </c>
      <c r="BT3" s="19" t="s">
        <v>28</v>
      </c>
      <c r="BU3" s="20">
        <f>XIRR(BU6:BU42,BT6:BT42)</f>
        <v>7.8791615366935741E-2</v>
      </c>
      <c r="BW3" s="19" t="s">
        <v>28</v>
      </c>
      <c r="BX3" s="20">
        <f>XIRR(BX6:BX42,BW6:BW42)</f>
        <v>7.8875330090522791E-2</v>
      </c>
      <c r="BZ3" s="19" t="s">
        <v>28</v>
      </c>
      <c r="CA3" s="20">
        <f>XIRR(CA6:CA42,BZ6:BZ42)</f>
        <v>7.9179528355598452E-2</v>
      </c>
      <c r="CC3" s="19" t="s">
        <v>28</v>
      </c>
      <c r="CD3" s="20">
        <f>XIRR(CD6:CD42,CC6:CC42)</f>
        <v>7.891429960727693E-2</v>
      </c>
      <c r="CF3" s="19" t="s">
        <v>28</v>
      </c>
      <c r="CG3" s="20">
        <f>XIRR(CG6:CG42,CF6:CF42)</f>
        <v>7.9189988970756534E-2</v>
      </c>
      <c r="CI3" s="19" t="s">
        <v>28</v>
      </c>
      <c r="CJ3" s="20">
        <f>XIRR(CJ6:CJ42,CI6:CI42)</f>
        <v>7.9145595431327834E-2</v>
      </c>
      <c r="CL3" s="19" t="s">
        <v>28</v>
      </c>
      <c r="CM3" s="20">
        <f>XIRR(CM6:CM42,CL6:CL42)</f>
        <v>7.9009500145912168E-2</v>
      </c>
      <c r="CO3" s="19" t="s">
        <v>28</v>
      </c>
      <c r="CP3" s="20">
        <f>XIRR(CP6:CP42,CO6:CO42)</f>
        <v>7.9157701134681721E-2</v>
      </c>
      <c r="CR3" s="19" t="s">
        <v>28</v>
      </c>
      <c r="CS3" s="20">
        <f>XIRR(CS6:CS42,CR6:CR42)</f>
        <v>7.8944066166877769E-2</v>
      </c>
      <c r="CU3" s="19" t="s">
        <v>28</v>
      </c>
      <c r="CV3" s="20">
        <f>XIRR(CV6:CV42,CU6:CU42)</f>
        <v>7.9082962870597864E-2</v>
      </c>
      <c r="CX3" s="19" t="s">
        <v>28</v>
      </c>
      <c r="CY3" s="20">
        <f>XIRR(CY6:CY42,CX6:CX42)</f>
        <v>7.9131373763084406E-2</v>
      </c>
      <c r="DA3" s="19" t="s">
        <v>28</v>
      </c>
      <c r="DB3" s="20">
        <f>XIRR(DB6:DB42,DA6:DA42)</f>
        <v>7.9019513726234433E-2</v>
      </c>
      <c r="DD3" s="19" t="s">
        <v>28</v>
      </c>
      <c r="DE3" s="20">
        <f>XIRR(DE6:DE42,DD6:DD42)</f>
        <v>7.9142221808433541E-2</v>
      </c>
      <c r="DG3" s="19" t="s">
        <v>28</v>
      </c>
      <c r="DH3" s="20">
        <f>XIRR(DH6:DH42,DG6:DG42)</f>
        <v>7.9110804200172441E-2</v>
      </c>
      <c r="DJ3" s="19" t="s">
        <v>28</v>
      </c>
      <c r="DK3" s="20">
        <f>XIRR(DK6:DK42,DJ6:DJ42)</f>
        <v>7.9294618964195276E-2</v>
      </c>
      <c r="DM3" s="19" t="s">
        <v>28</v>
      </c>
      <c r="DN3" s="20">
        <f>XIRR(DN6:DN42,DM6:DM42)</f>
        <v>7.9192242026329074E-2</v>
      </c>
      <c r="DP3" s="19" t="s">
        <v>28</v>
      </c>
      <c r="DQ3" s="20">
        <f>XIRR(DQ6:DQ42,DP6:DP42)</f>
        <v>7.9430088400840787E-2</v>
      </c>
    </row>
    <row r="4" spans="1:123" ht="11.25" customHeight="1" thickBot="1" x14ac:dyDescent="0.3">
      <c r="A4" s="4" t="s">
        <v>91</v>
      </c>
      <c r="B4" s="71"/>
      <c r="D4" s="16"/>
      <c r="E4" s="16"/>
      <c r="F4" s="30" t="s">
        <v>40</v>
      </c>
      <c r="G4" s="30" t="s">
        <v>41</v>
      </c>
      <c r="H4" s="30" t="s">
        <v>42</v>
      </c>
      <c r="I4" s="16"/>
      <c r="J4" s="30" t="s">
        <v>43</v>
      </c>
      <c r="K4" s="30" t="s">
        <v>44</v>
      </c>
      <c r="L4" s="16"/>
      <c r="M4" s="16"/>
      <c r="O4" s="44"/>
      <c r="P4" s="45">
        <v>7.9430083968539567E-2</v>
      </c>
      <c r="Q4" s="104">
        <f>IF(ROUND(P4-P3,3)=0,1,0)</f>
        <v>1</v>
      </c>
      <c r="R4" s="44" t="s">
        <v>83</v>
      </c>
      <c r="S4" s="45">
        <v>7.9430083968539567E-2</v>
      </c>
      <c r="T4" s="104">
        <f>IF(ROUND(S4-S3,3)=0,1,0)</f>
        <v>1</v>
      </c>
      <c r="U4" s="44" t="s">
        <v>83</v>
      </c>
      <c r="V4" s="45">
        <v>-6.1745524230238984E-2</v>
      </c>
      <c r="W4" s="104">
        <f>IF(ROUND(V4-V3,3)=0,1,0)</f>
        <v>1</v>
      </c>
      <c r="X4" s="44" t="s">
        <v>83</v>
      </c>
      <c r="Y4" s="45">
        <v>7.9430083968539567E-2</v>
      </c>
      <c r="Z4" s="104">
        <f>IF(ROUND(Y4-Y3,3)=0,1,0)</f>
        <v>1</v>
      </c>
      <c r="AA4" s="44" t="s">
        <v>83</v>
      </c>
      <c r="AB4" s="45">
        <v>-0.3780028999457285</v>
      </c>
      <c r="AC4" s="104">
        <f>IF(ROUND(AB4-AB3,3)=0,1,0)</f>
        <v>1</v>
      </c>
      <c r="AD4" s="44" t="s">
        <v>83</v>
      </c>
      <c r="AE4" s="45">
        <v>7.8016986056597834E-2</v>
      </c>
      <c r="AF4" s="104">
        <f>IF(ROUND(AE4-AE3,3)=0,1,0)</f>
        <v>1</v>
      </c>
      <c r="AG4" s="44" t="s">
        <v>83</v>
      </c>
      <c r="AH4" s="45">
        <v>7.9131378494482707E-2</v>
      </c>
      <c r="AI4" s="104">
        <f>IF(ROUND(AH4-AH3,3)=0,1,0)</f>
        <v>1</v>
      </c>
      <c r="AJ4" s="44" t="s">
        <v>83</v>
      </c>
      <c r="AK4" s="45">
        <v>7.7704181643301423E-2</v>
      </c>
      <c r="AL4" s="104">
        <f>IF(ROUND(AK4-AK3,3)=0,1,0)</f>
        <v>1</v>
      </c>
      <c r="AM4" s="44" t="s">
        <v>83</v>
      </c>
      <c r="AN4" s="45">
        <v>7.8302874596562391E-2</v>
      </c>
      <c r="AO4" s="104">
        <f>IF(ROUND(AN4-AN3,3)=0,1,0)</f>
        <v>1</v>
      </c>
      <c r="AP4" s="44" t="s">
        <v>83</v>
      </c>
      <c r="AQ4" s="45">
        <v>7.8788483446871907E-2</v>
      </c>
      <c r="AR4" s="104">
        <f>IF(ROUND(AQ4-AQ3,3)=0,1,0)</f>
        <v>1</v>
      </c>
      <c r="AS4" s="44" t="s">
        <v>83</v>
      </c>
      <c r="AT4" s="45">
        <v>7.8253557473410437E-2</v>
      </c>
      <c r="AU4" s="104">
        <f>IF(ROUND(AT4-AT3,3)=0,1,0)</f>
        <v>1</v>
      </c>
      <c r="AV4" s="44" t="s">
        <v>83</v>
      </c>
      <c r="AW4" s="45">
        <v>7.8658697720893622E-2</v>
      </c>
      <c r="AX4" s="104">
        <f>IF(ROUND(AW4-AW3,3)=0,1,0)</f>
        <v>1</v>
      </c>
      <c r="AY4" s="44" t="s">
        <v>83</v>
      </c>
      <c r="AZ4" s="45">
        <v>7.880696825759996E-2</v>
      </c>
      <c r="BA4" s="104">
        <f>IF(ROUND(AZ4-AZ3,3)=0,1,0)</f>
        <v>1</v>
      </c>
      <c r="BB4" s="44" t="s">
        <v>83</v>
      </c>
      <c r="BC4" s="45">
        <v>7.8569755092296342E-2</v>
      </c>
      <c r="BD4" s="104">
        <f>IF(ROUND(BC4-BC3,3)=0,1,0)</f>
        <v>1</v>
      </c>
      <c r="BE4" s="44" t="s">
        <v>83</v>
      </c>
      <c r="BF4" s="45">
        <v>7.8872599564190488E-2</v>
      </c>
      <c r="BG4" s="104">
        <f>IF(ROUND(BF4-BF3,3)=0,1,0)</f>
        <v>1</v>
      </c>
      <c r="BH4" s="44" t="s">
        <v>83</v>
      </c>
      <c r="BI4" s="45">
        <v>7.8820561482925891E-2</v>
      </c>
      <c r="BJ4" s="104">
        <f>IF(ROUND(BI4-BI3,3)=0,1,0)</f>
        <v>1</v>
      </c>
      <c r="BK4" s="44" t="s">
        <v>83</v>
      </c>
      <c r="BL4" s="45">
        <v>7.8626170656641889E-2</v>
      </c>
      <c r="BM4" s="104">
        <f>IF(ROUND(BL4-BL3,3)=0,1,0)</f>
        <v>1</v>
      </c>
      <c r="BN4" s="44" t="s">
        <v>83</v>
      </c>
      <c r="BO4" s="45">
        <v>7.8873298438296879E-2</v>
      </c>
      <c r="BP4" s="104">
        <f>IF(ROUND(BO4-BO3,3)=0,1,0)</f>
        <v>1</v>
      </c>
      <c r="BQ4" s="44" t="s">
        <v>83</v>
      </c>
      <c r="BR4" s="45">
        <v>7.8962560763193135E-2</v>
      </c>
      <c r="BS4" s="104">
        <f>IF(ROUND(BR4-BR3,3)=0,1,0)</f>
        <v>1</v>
      </c>
      <c r="BT4" s="44" t="s">
        <v>83</v>
      </c>
      <c r="BU4" s="45">
        <v>7.8791616910366583E-2</v>
      </c>
      <c r="BV4" s="104">
        <f>IF(ROUND(BU4-BU3,3)=0,1,0)</f>
        <v>1</v>
      </c>
      <c r="BW4" s="44" t="s">
        <v>83</v>
      </c>
      <c r="BX4" s="45">
        <v>7.887532809929243E-2</v>
      </c>
      <c r="BY4" s="104">
        <f>IF(ROUND(BX4-BX3,3)=0,1,0)</f>
        <v>1</v>
      </c>
      <c r="BZ4" s="44" t="s">
        <v>83</v>
      </c>
      <c r="CA4" s="45">
        <v>7.9179527802787544E-2</v>
      </c>
      <c r="CB4" s="104">
        <f>IF(ROUND(CA4-CA3,3)=0,1,0)</f>
        <v>1</v>
      </c>
      <c r="CC4" s="44" t="s">
        <v>83</v>
      </c>
      <c r="CD4" s="45">
        <v>7.8914297588922613E-2</v>
      </c>
      <c r="CE4" s="104">
        <f>IF(ROUND(CD4-CD3,3)=0,1,0)</f>
        <v>1</v>
      </c>
      <c r="CF4" s="44" t="s">
        <v>83</v>
      </c>
      <c r="CG4" s="45">
        <v>7.9189990871062085E-2</v>
      </c>
      <c r="CH4" s="104">
        <f>IF(ROUND(CG4-CG3,3)=0,1,0)</f>
        <v>1</v>
      </c>
      <c r="CI4" s="44" t="s">
        <v>83</v>
      </c>
      <c r="CJ4" s="45">
        <v>7.9145595928281645E-2</v>
      </c>
      <c r="CK4" s="104">
        <f>IF(ROUND(CJ4-CJ3,3)=0,1,0)</f>
        <v>1</v>
      </c>
      <c r="CL4" s="44" t="s">
        <v>83</v>
      </c>
      <c r="CM4" s="45">
        <v>7.9009499512070203E-2</v>
      </c>
      <c r="CN4" s="104">
        <f>IF(ROUND(CM4-CM3,3)=0,1,0)</f>
        <v>1</v>
      </c>
      <c r="CO4" s="44" t="s">
        <v>83</v>
      </c>
      <c r="CP4" s="45">
        <v>7.9157700812520382E-2</v>
      </c>
      <c r="CQ4" s="104">
        <f>IF(ROUND(CP4-CP3,3)=0,1,0)</f>
        <v>1</v>
      </c>
      <c r="CR4" s="44" t="s">
        <v>83</v>
      </c>
      <c r="CS4" s="45">
        <v>7.8944064552858642E-2</v>
      </c>
      <c r="CT4" s="104">
        <f>IF(ROUND(CS4-CS3,3)=0,1,0)</f>
        <v>1</v>
      </c>
      <c r="CU4" s="44" t="s">
        <v>83</v>
      </c>
      <c r="CV4" s="45">
        <v>7.9082959970272634E-2</v>
      </c>
      <c r="CW4" s="104">
        <f>IF(ROUND(CV4-CV3,3)=0,1,0)</f>
        <v>1</v>
      </c>
      <c r="CX4" s="44" t="s">
        <v>83</v>
      </c>
      <c r="CY4" s="45">
        <v>7.9131373419489656E-2</v>
      </c>
      <c r="CZ4" s="104">
        <f>IF(ROUND(CY4-CY3,3)=0,1,0)</f>
        <v>1</v>
      </c>
      <c r="DA4" s="44" t="s">
        <v>83</v>
      </c>
      <c r="DB4" s="45">
        <v>7.9019510122603873E-2</v>
      </c>
      <c r="DC4" s="104">
        <f>IF(ROUND(DB4-DB3,3)=0,1,0)</f>
        <v>1</v>
      </c>
      <c r="DD4" s="44" t="s">
        <v>83</v>
      </c>
      <c r="DE4" s="45">
        <v>7.9142222703105308E-2</v>
      </c>
      <c r="DF4" s="104">
        <f>IF(ROUND(DE4-DE3,3)=0,1,0)</f>
        <v>1</v>
      </c>
      <c r="DG4" s="44" t="s">
        <v>83</v>
      </c>
      <c r="DH4" s="45">
        <v>7.9110800885620586E-2</v>
      </c>
      <c r="DI4" s="104">
        <f>IF(ROUND(DH4-DH3,3)=0,1,0)</f>
        <v>1</v>
      </c>
      <c r="DJ4" s="44" t="s">
        <v>83</v>
      </c>
      <c r="DK4" s="45">
        <v>7.9294617415807317E-2</v>
      </c>
      <c r="DL4" s="104">
        <f>IF(ROUND(DK4-DK3,3)=0,1,0)</f>
        <v>1</v>
      </c>
      <c r="DM4" s="44" t="s">
        <v>83</v>
      </c>
      <c r="DN4" s="45">
        <v>7.9192240177374265E-2</v>
      </c>
      <c r="DO4" s="104">
        <f>IF(ROUND(DN4-DN3,3)=0,1,0)</f>
        <v>1</v>
      </c>
      <c r="DP4" s="44" t="s">
        <v>83</v>
      </c>
      <c r="DQ4" s="45">
        <v>7.9430083968539567E-2</v>
      </c>
      <c r="DR4" s="104">
        <f>IF(ROUND(DQ4-DQ3,3)=0,1,0)</f>
        <v>1</v>
      </c>
    </row>
    <row r="5" spans="1:123" ht="12" thickBot="1" x14ac:dyDescent="0.3">
      <c r="A5" s="4" t="s">
        <v>0</v>
      </c>
      <c r="B5" s="98" t="s">
        <v>169</v>
      </c>
      <c r="C5" s="67" t="s">
        <v>170</v>
      </c>
      <c r="D5" s="68" t="s">
        <v>102</v>
      </c>
      <c r="E5" s="16"/>
      <c r="F5" s="18">
        <f>B55</f>
        <v>43542</v>
      </c>
      <c r="G5" s="16">
        <v>0</v>
      </c>
      <c r="H5" s="16">
        <v>2</v>
      </c>
      <c r="I5" s="16"/>
      <c r="J5" s="30" t="s">
        <v>45</v>
      </c>
      <c r="K5" s="24">
        <f>B9</f>
        <v>6.4000000000000003E-3</v>
      </c>
      <c r="L5" s="16"/>
      <c r="M5" s="16"/>
      <c r="N5" s="99" t="s">
        <v>13</v>
      </c>
      <c r="O5" s="125" t="s">
        <v>23</v>
      </c>
      <c r="P5" s="125"/>
      <c r="Q5" s="21" t="s">
        <v>29</v>
      </c>
      <c r="R5" s="125" t="s">
        <v>24</v>
      </c>
      <c r="S5" s="125"/>
      <c r="T5" s="21" t="s">
        <v>29</v>
      </c>
      <c r="U5" s="125" t="s">
        <v>25</v>
      </c>
      <c r="V5" s="125"/>
      <c r="W5" s="21" t="s">
        <v>29</v>
      </c>
      <c r="X5" s="125" t="s">
        <v>26</v>
      </c>
      <c r="Y5" s="125"/>
      <c r="Z5" s="21" t="s">
        <v>29</v>
      </c>
      <c r="AA5" s="125" t="s">
        <v>27</v>
      </c>
      <c r="AB5" s="125"/>
      <c r="AC5" s="21" t="s">
        <v>29</v>
      </c>
      <c r="AD5" s="125" t="str">
        <f>CONCATENATE("AUTOCALLABLE ",AF47,"M")</f>
        <v>AUTOCALLABLE 6M</v>
      </c>
      <c r="AE5" s="125"/>
      <c r="AG5" s="125" t="str">
        <f>CONCATENATE("AUTOCALLABLE ",AI47,"M")</f>
        <v>AUTOCALLABLE 7M</v>
      </c>
      <c r="AH5" s="125"/>
      <c r="AJ5" s="125" t="str">
        <f>CONCATENATE("AUTOCALLABLE ",AL47,"M")</f>
        <v>AUTOCALLABLE 8M</v>
      </c>
      <c r="AK5" s="125"/>
      <c r="AM5" s="125" t="str">
        <f>CONCATENATE("AUTOCALLABLE ",AO47,"M")</f>
        <v>AUTOCALLABLE 9M</v>
      </c>
      <c r="AN5" s="125"/>
      <c r="AP5" s="125" t="str">
        <f>CONCATENATE("AUTOCALLABLE ",AR47,"M")</f>
        <v>AUTOCALLABLE 10M</v>
      </c>
      <c r="AQ5" s="125"/>
      <c r="AS5" s="125" t="str">
        <f>CONCATENATE("AUTOCALLABLE ",AU47,"M")</f>
        <v>AUTOCALLABLE 11M</v>
      </c>
      <c r="AT5" s="125"/>
      <c r="AV5" s="125" t="str">
        <f>CONCATENATE("AUTOCALLABLE ",AX47,"M")</f>
        <v>AUTOCALLABLE 12M</v>
      </c>
      <c r="AW5" s="125"/>
      <c r="AY5" s="125" t="str">
        <f>CONCATENATE("AUTOCALLABLE ",BA47,"M")</f>
        <v>AUTOCALLABLE 13M</v>
      </c>
      <c r="AZ5" s="125"/>
      <c r="BB5" s="125" t="str">
        <f>CONCATENATE("AUTOCALLABLE ",BD47,"M")</f>
        <v>AUTOCALLABLE 14M</v>
      </c>
      <c r="BC5" s="125"/>
      <c r="BE5" s="125" t="str">
        <f>CONCATENATE("AUTOCALLABLE ",BG47,"M")</f>
        <v>AUTOCALLABLE 15M</v>
      </c>
      <c r="BF5" s="125"/>
      <c r="BH5" s="125" t="str">
        <f>CONCATENATE("AUTOCALLABLE ",BJ47,"M")</f>
        <v>AUTOCALLABLE 16M</v>
      </c>
      <c r="BI5" s="125"/>
      <c r="BK5" s="125" t="str">
        <f>CONCATENATE("AUTOCALLABLE ",BM47,"M")</f>
        <v>AUTOCALLABLE 17M</v>
      </c>
      <c r="BL5" s="125"/>
      <c r="BN5" s="125" t="str">
        <f>CONCATENATE("AUTOCALLABLE ",BP47,"M")</f>
        <v>AUTOCALLABLE 18M</v>
      </c>
      <c r="BO5" s="125"/>
      <c r="BQ5" s="125" t="str">
        <f>CONCATENATE("AUTOCALLABLE ",BS47,"M")</f>
        <v>AUTOCALLABLE 19M</v>
      </c>
      <c r="BR5" s="125"/>
      <c r="BT5" s="125" t="str">
        <f>CONCATENATE("AUTOCALLABLE ",BV47,"M")</f>
        <v>AUTOCALLABLE 20M</v>
      </c>
      <c r="BU5" s="125"/>
      <c r="BW5" s="125" t="str">
        <f>CONCATENATE("AUTOCALLABLE ",BY47,"M")</f>
        <v>AUTOCALLABLE 21M</v>
      </c>
      <c r="BX5" s="125"/>
      <c r="BZ5" s="125" t="str">
        <f>CONCATENATE("AUTOCALLABLE ",CB47,"M")</f>
        <v>AUTOCALLABLE 22M</v>
      </c>
      <c r="CA5" s="125"/>
      <c r="CC5" s="125" t="str">
        <f>CONCATENATE("AUTOCALLABLE ",CE47,"M")</f>
        <v>AUTOCALLABLE 23M</v>
      </c>
      <c r="CD5" s="125"/>
      <c r="CF5" s="125" t="str">
        <f>CONCATENATE("AUTOCALLABLE ",CH47,"M")</f>
        <v>AUTOCALLABLE 24M</v>
      </c>
      <c r="CG5" s="125"/>
      <c r="CI5" s="125" t="str">
        <f>CONCATENATE("AUTOCALLABLE ",CK47,"M")</f>
        <v>AUTOCALLABLE 25M</v>
      </c>
      <c r="CJ5" s="125"/>
      <c r="CL5" s="125" t="str">
        <f>CONCATENATE("AUTOCALLABLE ",CN47,"M")</f>
        <v>AUTOCALLABLE 26M</v>
      </c>
      <c r="CM5" s="125"/>
      <c r="CO5" s="125" t="str">
        <f>CONCATENATE("AUTOCALLABLE ",CQ47,"M")</f>
        <v>AUTOCALLABLE 27M</v>
      </c>
      <c r="CP5" s="125"/>
      <c r="CR5" s="125" t="str">
        <f>CONCATENATE("AUTOCALLABLE ",CT47,"M")</f>
        <v>AUTOCALLABLE 28M</v>
      </c>
      <c r="CS5" s="125"/>
      <c r="CU5" s="125" t="str">
        <f>CONCATENATE("AUTOCALLABLE ",CW47,"M")</f>
        <v>AUTOCALLABLE 29M</v>
      </c>
      <c r="CV5" s="125"/>
      <c r="CX5" s="125" t="str">
        <f>CONCATENATE("AUTOCALLABLE ",CZ47,"M")</f>
        <v>AUTOCALLABLE 30M</v>
      </c>
      <c r="CY5" s="125"/>
      <c r="DA5" s="125" t="str">
        <f>CONCATENATE("AUTOCALLABLE ",DC47,"M")</f>
        <v>AUTOCALLABLE 31M</v>
      </c>
      <c r="DB5" s="125"/>
      <c r="DD5" s="125" t="str">
        <f>CONCATENATE("AUTOCALLABLE ",DF47,"M")</f>
        <v>AUTOCALLABLE 32M</v>
      </c>
      <c r="DE5" s="125"/>
      <c r="DG5" s="125" t="str">
        <f>CONCATENATE("AUTOCALLABLE ",DI47,"M")</f>
        <v>AUTOCALLABLE 33M</v>
      </c>
      <c r="DH5" s="125"/>
      <c r="DJ5" s="125" t="str">
        <f>CONCATENATE("AUTOCALLABLE ",DL47,"M")</f>
        <v>AUTOCALLABLE 34M</v>
      </c>
      <c r="DK5" s="125"/>
      <c r="DM5" s="125" t="str">
        <f>CONCATENATE("AUTOCALLABLE ",DO47,"M")</f>
        <v>AUTOCALLABLE 35M</v>
      </c>
      <c r="DN5" s="125"/>
      <c r="DP5" s="125" t="str">
        <f>CONCATENATE("AUTOCALLABLE ",DR47,"M")</f>
        <v>AUTOCALLABLE 36M</v>
      </c>
      <c r="DQ5" s="125"/>
    </row>
    <row r="6" spans="1:123" ht="11.25" customHeight="1" thickBot="1" x14ac:dyDescent="0.3">
      <c r="A6" s="4" t="s">
        <v>22</v>
      </c>
      <c r="B6" s="93">
        <v>3</v>
      </c>
      <c r="E6" s="16"/>
      <c r="F6" s="63">
        <v>43588</v>
      </c>
      <c r="G6" s="16">
        <v>0</v>
      </c>
      <c r="H6" s="16">
        <v>2</v>
      </c>
      <c r="I6" s="16"/>
      <c r="J6" s="30" t="s">
        <v>46</v>
      </c>
      <c r="K6" s="33">
        <f>B46</f>
        <v>0</v>
      </c>
      <c r="L6" s="16"/>
      <c r="M6" s="16"/>
      <c r="N6" s="100">
        <v>0.12328767123287671</v>
      </c>
      <c r="O6" s="18">
        <f>F7</f>
        <v>43587</v>
      </c>
      <c r="P6" s="24">
        <v>-1</v>
      </c>
      <c r="Q6" s="21"/>
      <c r="R6" s="18">
        <f t="shared" ref="R6:S8" si="0">O6</f>
        <v>43587</v>
      </c>
      <c r="S6" s="24">
        <f t="shared" si="0"/>
        <v>-1</v>
      </c>
      <c r="T6" s="21"/>
      <c r="U6" s="18">
        <f t="shared" ref="U6:V8" si="1">R6</f>
        <v>43587</v>
      </c>
      <c r="V6" s="24">
        <f t="shared" si="1"/>
        <v>-1</v>
      </c>
      <c r="W6" s="21"/>
      <c r="X6" s="18">
        <f t="shared" ref="X6:Y8" si="2">U6</f>
        <v>43587</v>
      </c>
      <c r="Y6" s="24">
        <f t="shared" si="2"/>
        <v>-1</v>
      </c>
      <c r="Z6" s="21"/>
      <c r="AA6" s="18">
        <f t="shared" ref="AA6:AB8" si="3">X6</f>
        <v>43587</v>
      </c>
      <c r="AB6" s="24">
        <f t="shared" si="3"/>
        <v>-1</v>
      </c>
      <c r="AC6" s="21"/>
      <c r="AD6" s="18">
        <f t="shared" ref="AD6:AD42" si="4">X6</f>
        <v>43587</v>
      </c>
      <c r="AE6" s="24">
        <v>-1</v>
      </c>
      <c r="AG6" s="18">
        <f t="shared" ref="AG6:AG42" si="5">AA6</f>
        <v>43587</v>
      </c>
      <c r="AH6" s="24">
        <v>-1</v>
      </c>
      <c r="AJ6" s="18">
        <f>AG6</f>
        <v>43587</v>
      </c>
      <c r="AK6" s="24">
        <v>-1</v>
      </c>
      <c r="AM6" s="18">
        <f>AJ6</f>
        <v>43587</v>
      </c>
      <c r="AN6" s="24">
        <v>-1</v>
      </c>
      <c r="AP6" s="18">
        <f>AM6</f>
        <v>43587</v>
      </c>
      <c r="AQ6" s="24">
        <v>-1</v>
      </c>
      <c r="AS6" s="18">
        <f>AP6</f>
        <v>43587</v>
      </c>
      <c r="AT6" s="24">
        <v>-1</v>
      </c>
      <c r="AV6" s="18">
        <f>AS6</f>
        <v>43587</v>
      </c>
      <c r="AW6" s="24">
        <v>-1</v>
      </c>
      <c r="AY6" s="18">
        <f>AV6</f>
        <v>43587</v>
      </c>
      <c r="AZ6" s="24">
        <v>-1</v>
      </c>
      <c r="BB6" s="18">
        <f>AY6</f>
        <v>43587</v>
      </c>
      <c r="BC6" s="24">
        <v>-1</v>
      </c>
      <c r="BE6" s="18">
        <f>BB6</f>
        <v>43587</v>
      </c>
      <c r="BF6" s="24">
        <v>-1</v>
      </c>
      <c r="BH6" s="18">
        <f>BE6</f>
        <v>43587</v>
      </c>
      <c r="BI6" s="24">
        <v>-1</v>
      </c>
      <c r="BK6" s="18">
        <f>BH6</f>
        <v>43587</v>
      </c>
      <c r="BL6" s="24">
        <v>-1</v>
      </c>
      <c r="BN6" s="18">
        <f>BK6</f>
        <v>43587</v>
      </c>
      <c r="BO6" s="24">
        <v>-1</v>
      </c>
      <c r="BQ6" s="18">
        <f>BN6</f>
        <v>43587</v>
      </c>
      <c r="BR6" s="24">
        <v>-1</v>
      </c>
      <c r="BT6" s="18">
        <f>BQ6</f>
        <v>43587</v>
      </c>
      <c r="BU6" s="24">
        <v>-1</v>
      </c>
      <c r="BW6" s="18">
        <f>BT6</f>
        <v>43587</v>
      </c>
      <c r="BX6" s="24">
        <v>-1</v>
      </c>
      <c r="BZ6" s="18">
        <f>BW6</f>
        <v>43587</v>
      </c>
      <c r="CA6" s="24">
        <v>-1</v>
      </c>
      <c r="CC6" s="18">
        <f>BZ6</f>
        <v>43587</v>
      </c>
      <c r="CD6" s="24">
        <v>-1</v>
      </c>
      <c r="CF6" s="18">
        <f>CC6</f>
        <v>43587</v>
      </c>
      <c r="CG6" s="24">
        <v>-1</v>
      </c>
      <c r="CI6" s="18">
        <f>CF6</f>
        <v>43587</v>
      </c>
      <c r="CJ6" s="24">
        <v>-1</v>
      </c>
      <c r="CL6" s="18">
        <f>CI6</f>
        <v>43587</v>
      </c>
      <c r="CM6" s="24">
        <v>-1</v>
      </c>
      <c r="CO6" s="18">
        <f>CL6</f>
        <v>43587</v>
      </c>
      <c r="CP6" s="24">
        <v>-1</v>
      </c>
      <c r="CR6" s="18">
        <f>CO6</f>
        <v>43587</v>
      </c>
      <c r="CS6" s="24">
        <v>-1</v>
      </c>
      <c r="CU6" s="18">
        <f>CR6</f>
        <v>43587</v>
      </c>
      <c r="CV6" s="24">
        <v>-1</v>
      </c>
      <c r="CX6" s="18">
        <f>CU6</f>
        <v>43587</v>
      </c>
      <c r="CY6" s="24">
        <v>-1</v>
      </c>
      <c r="DA6" s="18">
        <f>CX6</f>
        <v>43587</v>
      </c>
      <c r="DB6" s="24">
        <v>-1</v>
      </c>
      <c r="DD6" s="18">
        <f>DA6</f>
        <v>43587</v>
      </c>
      <c r="DE6" s="24">
        <v>-1</v>
      </c>
      <c r="DG6" s="18">
        <f>DD6</f>
        <v>43587</v>
      </c>
      <c r="DH6" s="24">
        <v>-1</v>
      </c>
      <c r="DJ6" s="18">
        <f>DG6</f>
        <v>43587</v>
      </c>
      <c r="DK6" s="24">
        <v>-1</v>
      </c>
      <c r="DM6" s="18">
        <f>DJ6</f>
        <v>43587</v>
      </c>
      <c r="DN6" s="24">
        <v>-1</v>
      </c>
      <c r="DP6" s="18">
        <f>DM6</f>
        <v>43587</v>
      </c>
      <c r="DQ6" s="24">
        <v>-1</v>
      </c>
    </row>
    <row r="7" spans="1:123" x14ac:dyDescent="0.25">
      <c r="A7" s="4" t="s">
        <v>2</v>
      </c>
      <c r="B7" s="2" t="s">
        <v>3</v>
      </c>
      <c r="D7" s="16"/>
      <c r="E7" s="16"/>
      <c r="F7" s="64">
        <v>43587</v>
      </c>
      <c r="G7" s="16">
        <v>1</v>
      </c>
      <c r="H7" s="16">
        <v>0</v>
      </c>
      <c r="I7" s="16"/>
      <c r="J7" s="30" t="s">
        <v>47</v>
      </c>
      <c r="K7" s="33">
        <f>B16</f>
        <v>6.4000000000000003E-3</v>
      </c>
      <c r="L7" s="16"/>
      <c r="M7" s="16"/>
      <c r="N7" s="100">
        <v>0.21095890410958903</v>
      </c>
      <c r="O7" s="18">
        <f>F9</f>
        <v>43619</v>
      </c>
      <c r="P7" s="24">
        <f>IF(Q7&gt;=$K$9,$K$7,0)</f>
        <v>6.4000000000000003E-3</v>
      </c>
      <c r="Q7" s="21">
        <f>(1+$N$54)^($N7-$N$6)</f>
        <v>1.0126513301563971</v>
      </c>
      <c r="R7" s="18">
        <f t="shared" si="0"/>
        <v>43619</v>
      </c>
      <c r="S7" s="24">
        <f t="shared" ref="S7:S41" si="6">IF(T7&gt;=$K$9,$K$7,0)</f>
        <v>6.4000000000000003E-3</v>
      </c>
      <c r="T7" s="21">
        <v>1</v>
      </c>
      <c r="U7" s="18">
        <f t="shared" si="1"/>
        <v>43619</v>
      </c>
      <c r="V7" s="24">
        <f t="shared" ref="V7:V41" si="7">IF(W7&gt;=$K$9,$K$7,0)</f>
        <v>6.4000000000000003E-3</v>
      </c>
      <c r="W7" s="21">
        <f>(1+$N$56)^($N7-$N$6)</f>
        <v>0.98764988781030616</v>
      </c>
      <c r="X7" s="18">
        <f t="shared" si="2"/>
        <v>43619</v>
      </c>
      <c r="Y7" s="24">
        <f t="shared" ref="Y7:Y41" si="8">IF(Z7&gt;=$K$9,$K$7,0)</f>
        <v>6.4000000000000003E-3</v>
      </c>
      <c r="Z7" s="21">
        <f>(1+$N$52)^($N7-$N$6)</f>
        <v>1.0445472754765843</v>
      </c>
      <c r="AA7" s="18">
        <f t="shared" si="3"/>
        <v>43619</v>
      </c>
      <c r="AB7" s="24">
        <f t="shared" ref="AB7:AB41" si="9">IF(AC7&gt;=$K$9,$K$7,0)</f>
        <v>6.4000000000000003E-3</v>
      </c>
      <c r="AC7" s="21">
        <f>(1+$N$58)^($N7-$N$6)</f>
        <v>0.95744785943377864</v>
      </c>
      <c r="AD7" s="18">
        <f t="shared" si="4"/>
        <v>43619</v>
      </c>
      <c r="AE7" s="24">
        <f>B16</f>
        <v>6.4000000000000003E-3</v>
      </c>
      <c r="AG7" s="18">
        <f t="shared" si="5"/>
        <v>43619</v>
      </c>
      <c r="AH7" s="24">
        <f>+AE7</f>
        <v>6.4000000000000003E-3</v>
      </c>
      <c r="AJ7" s="18">
        <f t="shared" ref="AJ7:AJ42" si="10">AG7</f>
        <v>43619</v>
      </c>
      <c r="AK7" s="24">
        <f>AH7</f>
        <v>6.4000000000000003E-3</v>
      </c>
      <c r="AM7" s="18">
        <f t="shared" ref="AM7:AM42" si="11">AJ7</f>
        <v>43619</v>
      </c>
      <c r="AN7" s="24">
        <f>AK7</f>
        <v>6.4000000000000003E-3</v>
      </c>
      <c r="AP7" s="18">
        <f t="shared" ref="AP7:AP42" si="12">AM7</f>
        <v>43619</v>
      </c>
      <c r="AQ7" s="24">
        <f>AN7</f>
        <v>6.4000000000000003E-3</v>
      </c>
      <c r="AS7" s="18">
        <f t="shared" ref="AS7:AS42" si="13">AP7</f>
        <v>43619</v>
      </c>
      <c r="AT7" s="24">
        <f>AQ7</f>
        <v>6.4000000000000003E-3</v>
      </c>
      <c r="AV7" s="18">
        <f t="shared" ref="AV7:AV42" si="14">AS7</f>
        <v>43619</v>
      </c>
      <c r="AW7" s="24">
        <f>AT7</f>
        <v>6.4000000000000003E-3</v>
      </c>
      <c r="AY7" s="18">
        <f t="shared" ref="AY7:AY42" si="15">AV7</f>
        <v>43619</v>
      </c>
      <c r="AZ7" s="24">
        <f>AW7</f>
        <v>6.4000000000000003E-3</v>
      </c>
      <c r="BB7" s="18">
        <f t="shared" ref="BB7:BB42" si="16">AY7</f>
        <v>43619</v>
      </c>
      <c r="BC7" s="24">
        <f>AZ7</f>
        <v>6.4000000000000003E-3</v>
      </c>
      <c r="BE7" s="18">
        <f t="shared" ref="BE7:BE42" si="17">BB7</f>
        <v>43619</v>
      </c>
      <c r="BF7" s="24">
        <f>BC7</f>
        <v>6.4000000000000003E-3</v>
      </c>
      <c r="BH7" s="18">
        <f t="shared" ref="BH7:BH42" si="18">BE7</f>
        <v>43619</v>
      </c>
      <c r="BI7" s="24">
        <f>BF7</f>
        <v>6.4000000000000003E-3</v>
      </c>
      <c r="BK7" s="18">
        <f t="shared" ref="BK7:BK42" si="19">BH7</f>
        <v>43619</v>
      </c>
      <c r="BL7" s="24">
        <f>BI7</f>
        <v>6.4000000000000003E-3</v>
      </c>
      <c r="BN7" s="18">
        <f t="shared" ref="BN7:BN42" si="20">BK7</f>
        <v>43619</v>
      </c>
      <c r="BO7" s="24">
        <f>BL7</f>
        <v>6.4000000000000003E-3</v>
      </c>
      <c r="BQ7" s="18">
        <f t="shared" ref="BQ7:BQ42" si="21">BN7</f>
        <v>43619</v>
      </c>
      <c r="BR7" s="24">
        <f>BO7</f>
        <v>6.4000000000000003E-3</v>
      </c>
      <c r="BT7" s="18">
        <f t="shared" ref="BT7:BT42" si="22">BQ7</f>
        <v>43619</v>
      </c>
      <c r="BU7" s="24">
        <f>BR7</f>
        <v>6.4000000000000003E-3</v>
      </c>
      <c r="BW7" s="18">
        <f t="shared" ref="BW7:BW42" si="23">BT7</f>
        <v>43619</v>
      </c>
      <c r="BX7" s="24">
        <f>BU7</f>
        <v>6.4000000000000003E-3</v>
      </c>
      <c r="BZ7" s="18">
        <f t="shared" ref="BZ7:BZ42" si="24">BW7</f>
        <v>43619</v>
      </c>
      <c r="CA7" s="24">
        <f>BX7</f>
        <v>6.4000000000000003E-3</v>
      </c>
      <c r="CC7" s="18">
        <f t="shared" ref="CC7:CC42" si="25">BZ7</f>
        <v>43619</v>
      </c>
      <c r="CD7" s="24">
        <f>CA7</f>
        <v>6.4000000000000003E-3</v>
      </c>
      <c r="CF7" s="18">
        <f t="shared" ref="CF7:CF42" si="26">CC7</f>
        <v>43619</v>
      </c>
      <c r="CG7" s="24">
        <f>CD7</f>
        <v>6.4000000000000003E-3</v>
      </c>
      <c r="CI7" s="18">
        <f t="shared" ref="CI7:CI42" si="27">CF7</f>
        <v>43619</v>
      </c>
      <c r="CJ7" s="24">
        <f>CG7</f>
        <v>6.4000000000000003E-3</v>
      </c>
      <c r="CL7" s="18">
        <f t="shared" ref="CL7:CL42" si="28">CI7</f>
        <v>43619</v>
      </c>
      <c r="CM7" s="24">
        <f>CJ7</f>
        <v>6.4000000000000003E-3</v>
      </c>
      <c r="CO7" s="18">
        <f t="shared" ref="CO7:CO42" si="29">CL7</f>
        <v>43619</v>
      </c>
      <c r="CP7" s="24">
        <f>CM7</f>
        <v>6.4000000000000003E-3</v>
      </c>
      <c r="CR7" s="18">
        <f t="shared" ref="CR7:CR42" si="30">CO7</f>
        <v>43619</v>
      </c>
      <c r="CS7" s="24">
        <f>CP7</f>
        <v>6.4000000000000003E-3</v>
      </c>
      <c r="CU7" s="18">
        <f t="shared" ref="CU7:CU42" si="31">CR7</f>
        <v>43619</v>
      </c>
      <c r="CV7" s="24">
        <f>CS7</f>
        <v>6.4000000000000003E-3</v>
      </c>
      <c r="CX7" s="18">
        <f t="shared" ref="CX7:CX42" si="32">CU7</f>
        <v>43619</v>
      </c>
      <c r="CY7" s="24">
        <f>CV7</f>
        <v>6.4000000000000003E-3</v>
      </c>
      <c r="DA7" s="18">
        <f t="shared" ref="DA7:DA42" si="33">CX7</f>
        <v>43619</v>
      </c>
      <c r="DB7" s="24">
        <f>CY7</f>
        <v>6.4000000000000003E-3</v>
      </c>
      <c r="DD7" s="18">
        <f t="shared" ref="DD7:DD42" si="34">DA7</f>
        <v>43619</v>
      </c>
      <c r="DE7" s="24">
        <f>DB7</f>
        <v>6.4000000000000003E-3</v>
      </c>
      <c r="DG7" s="18">
        <f t="shared" ref="DG7:DG42" si="35">DD7</f>
        <v>43619</v>
      </c>
      <c r="DH7" s="24">
        <f>DE7</f>
        <v>6.4000000000000003E-3</v>
      </c>
      <c r="DJ7" s="18">
        <f t="shared" ref="DJ7:DJ42" si="36">DG7</f>
        <v>43619</v>
      </c>
      <c r="DK7" s="24">
        <f>DH7</f>
        <v>6.4000000000000003E-3</v>
      </c>
      <c r="DM7" s="18">
        <f t="shared" ref="DM7:DM42" si="37">DJ7</f>
        <v>43619</v>
      </c>
      <c r="DN7" s="24">
        <f>DK7</f>
        <v>6.4000000000000003E-3</v>
      </c>
      <c r="DP7" s="18">
        <f t="shared" ref="DP7:DP42" si="38">DM7</f>
        <v>43619</v>
      </c>
      <c r="DQ7" s="24">
        <f>DN7</f>
        <v>6.4000000000000003E-3</v>
      </c>
    </row>
    <row r="8" spans="1:123" ht="12" thickBot="1" x14ac:dyDescent="0.3">
      <c r="A8" s="4" t="s">
        <v>4</v>
      </c>
      <c r="B8" s="2" t="s">
        <v>168</v>
      </c>
      <c r="D8" s="16"/>
      <c r="E8" s="16"/>
      <c r="F8" s="64">
        <v>43613</v>
      </c>
      <c r="G8" s="16">
        <v>0</v>
      </c>
      <c r="H8" s="16">
        <v>2</v>
      </c>
      <c r="I8" s="16"/>
      <c r="J8" s="30" t="s">
        <v>48</v>
      </c>
      <c r="K8" s="40">
        <f>B48</f>
        <v>1</v>
      </c>
      <c r="L8" s="16"/>
      <c r="M8" s="16"/>
      <c r="N8" s="100">
        <v>0.29041095890410956</v>
      </c>
      <c r="O8" s="18">
        <f>F11</f>
        <v>43648</v>
      </c>
      <c r="P8" s="24">
        <f t="shared" ref="P8:P41" si="39">IF(Q8&gt;=$K$9,$K$7,0)</f>
        <v>6.4000000000000003E-3</v>
      </c>
      <c r="Q8" s="21">
        <f>(1+$N$54)^($N8-$N$6)</f>
        <v>1.0242547952701164</v>
      </c>
      <c r="R8" s="18">
        <f t="shared" si="0"/>
        <v>43648</v>
      </c>
      <c r="S8" s="24">
        <f t="shared" si="6"/>
        <v>6.4000000000000003E-3</v>
      </c>
      <c r="T8" s="21">
        <v>1</v>
      </c>
      <c r="U8" s="18">
        <f t="shared" si="1"/>
        <v>43648</v>
      </c>
      <c r="V8" s="24">
        <f t="shared" si="7"/>
        <v>6.4000000000000003E-3</v>
      </c>
      <c r="W8" s="21">
        <f t="shared" ref="W8:W42" si="40">(1+$N$56)^($N8-$N$6)</f>
        <v>0.97658939633936459</v>
      </c>
      <c r="X8" s="18">
        <f t="shared" si="2"/>
        <v>43648</v>
      </c>
      <c r="Y8" s="24">
        <f t="shared" si="8"/>
        <v>6.4000000000000003E-3</v>
      </c>
      <c r="Z8" s="21">
        <f t="shared" ref="Z8:Z42" si="41">(1+$N$52)^($N8-$N$6)</f>
        <v>1.0866300020588815</v>
      </c>
      <c r="AA8" s="18">
        <f t="shared" si="3"/>
        <v>43648</v>
      </c>
      <c r="AB8" s="24">
        <f t="shared" si="9"/>
        <v>6.4000000000000003E-3</v>
      </c>
      <c r="AC8" s="21">
        <f t="shared" ref="AC8:AC42" si="42">(1+$N$58)^($N8-$N$6)</f>
        <v>0.92045110068587843</v>
      </c>
      <c r="AD8" s="18">
        <f t="shared" si="4"/>
        <v>43648</v>
      </c>
      <c r="AE8" s="24">
        <f>AE7</f>
        <v>6.4000000000000003E-3</v>
      </c>
      <c r="AG8" s="18">
        <f t="shared" si="5"/>
        <v>43648</v>
      </c>
      <c r="AH8" s="24">
        <f>AH7</f>
        <v>6.4000000000000003E-3</v>
      </c>
      <c r="AJ8" s="18">
        <f t="shared" si="10"/>
        <v>43648</v>
      </c>
      <c r="AK8" s="24">
        <f>AK7</f>
        <v>6.4000000000000003E-3</v>
      </c>
      <c r="AM8" s="18">
        <f t="shared" si="11"/>
        <v>43648</v>
      </c>
      <c r="AN8" s="24">
        <f t="shared" ref="AN8:AN14" si="43">AN7</f>
        <v>6.4000000000000003E-3</v>
      </c>
      <c r="AP8" s="18">
        <f t="shared" si="12"/>
        <v>43648</v>
      </c>
      <c r="AQ8" s="24">
        <f t="shared" ref="AQ8:AQ15" si="44">AQ7</f>
        <v>6.4000000000000003E-3</v>
      </c>
      <c r="AS8" s="18">
        <f t="shared" si="13"/>
        <v>43648</v>
      </c>
      <c r="AT8" s="24">
        <f t="shared" ref="AT8:AT16" si="45">AT7</f>
        <v>6.4000000000000003E-3</v>
      </c>
      <c r="AV8" s="18">
        <f t="shared" si="14"/>
        <v>43648</v>
      </c>
      <c r="AW8" s="24">
        <f t="shared" ref="AW8:AW17" si="46">AW7</f>
        <v>6.4000000000000003E-3</v>
      </c>
      <c r="AY8" s="18">
        <f t="shared" si="15"/>
        <v>43648</v>
      </c>
      <c r="AZ8" s="24">
        <f t="shared" ref="AZ8:AZ18" si="47">AZ7</f>
        <v>6.4000000000000003E-3</v>
      </c>
      <c r="BB8" s="18">
        <f t="shared" si="16"/>
        <v>43648</v>
      </c>
      <c r="BC8" s="24">
        <f t="shared" ref="BC8:BC19" si="48">BC7</f>
        <v>6.4000000000000003E-3</v>
      </c>
      <c r="BE8" s="18">
        <f t="shared" si="17"/>
        <v>43648</v>
      </c>
      <c r="BF8" s="24">
        <f t="shared" ref="BF8:BF20" si="49">BF7</f>
        <v>6.4000000000000003E-3</v>
      </c>
      <c r="BH8" s="18">
        <f t="shared" si="18"/>
        <v>43648</v>
      </c>
      <c r="BI8" s="24">
        <f t="shared" ref="BI8:BI21" si="50">BI7</f>
        <v>6.4000000000000003E-3</v>
      </c>
      <c r="BK8" s="18">
        <f t="shared" si="19"/>
        <v>43648</v>
      </c>
      <c r="BL8" s="24">
        <f t="shared" ref="BL8:BL22" si="51">BL7</f>
        <v>6.4000000000000003E-3</v>
      </c>
      <c r="BN8" s="18">
        <f t="shared" si="20"/>
        <v>43648</v>
      </c>
      <c r="BO8" s="24">
        <f t="shared" ref="BO8:BO23" si="52">BO7</f>
        <v>6.4000000000000003E-3</v>
      </c>
      <c r="BQ8" s="18">
        <f t="shared" si="21"/>
        <v>43648</v>
      </c>
      <c r="BR8" s="24">
        <f t="shared" ref="BR8:BR24" si="53">BR7</f>
        <v>6.4000000000000003E-3</v>
      </c>
      <c r="BT8" s="18">
        <f t="shared" si="22"/>
        <v>43648</v>
      </c>
      <c r="BU8" s="24">
        <f t="shared" ref="BU8:BU25" si="54">BU7</f>
        <v>6.4000000000000003E-3</v>
      </c>
      <c r="BW8" s="18">
        <f t="shared" si="23"/>
        <v>43648</v>
      </c>
      <c r="BX8" s="24">
        <f t="shared" ref="BX8:BX26" si="55">BX7</f>
        <v>6.4000000000000003E-3</v>
      </c>
      <c r="BZ8" s="18">
        <f t="shared" si="24"/>
        <v>43648</v>
      </c>
      <c r="CA8" s="24">
        <f t="shared" ref="CA8:CA27" si="56">CA7</f>
        <v>6.4000000000000003E-3</v>
      </c>
      <c r="CC8" s="18">
        <f t="shared" si="25"/>
        <v>43648</v>
      </c>
      <c r="CD8" s="24">
        <f t="shared" ref="CD8:CD28" si="57">CD7</f>
        <v>6.4000000000000003E-3</v>
      </c>
      <c r="CF8" s="18">
        <f t="shared" si="26"/>
        <v>43648</v>
      </c>
      <c r="CG8" s="24">
        <f t="shared" ref="CG8:CG29" si="58">CG7</f>
        <v>6.4000000000000003E-3</v>
      </c>
      <c r="CI8" s="18">
        <f t="shared" si="27"/>
        <v>43648</v>
      </c>
      <c r="CJ8" s="24">
        <f t="shared" ref="CJ8:CJ30" si="59">CJ7</f>
        <v>6.4000000000000003E-3</v>
      </c>
      <c r="CL8" s="18">
        <f t="shared" si="28"/>
        <v>43648</v>
      </c>
      <c r="CM8" s="24">
        <f t="shared" ref="CM8:CM31" si="60">CM7</f>
        <v>6.4000000000000003E-3</v>
      </c>
      <c r="CO8" s="18">
        <f t="shared" si="29"/>
        <v>43648</v>
      </c>
      <c r="CP8" s="24">
        <f t="shared" ref="CP8:CP32" si="61">CP7</f>
        <v>6.4000000000000003E-3</v>
      </c>
      <c r="CR8" s="18">
        <f t="shared" si="30"/>
        <v>43648</v>
      </c>
      <c r="CS8" s="24">
        <f t="shared" ref="CS8:CS33" si="62">CS7</f>
        <v>6.4000000000000003E-3</v>
      </c>
      <c r="CU8" s="18">
        <f t="shared" si="31"/>
        <v>43648</v>
      </c>
      <c r="CV8" s="24">
        <f t="shared" ref="CV8:CV34" si="63">CV7</f>
        <v>6.4000000000000003E-3</v>
      </c>
      <c r="CX8" s="18">
        <f t="shared" si="32"/>
        <v>43648</v>
      </c>
      <c r="CY8" s="24">
        <f t="shared" ref="CY8:CY35" si="64">CY7</f>
        <v>6.4000000000000003E-3</v>
      </c>
      <c r="DA8" s="18">
        <f t="shared" si="33"/>
        <v>43648</v>
      </c>
      <c r="DB8" s="24">
        <f t="shared" ref="DB8:DB36" si="65">DB7</f>
        <v>6.4000000000000003E-3</v>
      </c>
      <c r="DD8" s="18">
        <f t="shared" si="34"/>
        <v>43648</v>
      </c>
      <c r="DE8" s="24">
        <f>DE7</f>
        <v>6.4000000000000003E-3</v>
      </c>
      <c r="DG8" s="18">
        <f t="shared" si="35"/>
        <v>43648</v>
      </c>
      <c r="DH8" s="24">
        <f t="shared" ref="DH8:DH38" si="66">DH7</f>
        <v>6.4000000000000003E-3</v>
      </c>
      <c r="DJ8" s="18">
        <f t="shared" si="36"/>
        <v>43648</v>
      </c>
      <c r="DK8" s="24">
        <f t="shared" ref="DK8:DK39" si="67">DK7</f>
        <v>6.4000000000000003E-3</v>
      </c>
      <c r="DM8" s="18">
        <f t="shared" si="37"/>
        <v>43648</v>
      </c>
      <c r="DN8" s="24">
        <f t="shared" ref="DN8:DN40" si="68">DN7</f>
        <v>6.4000000000000003E-3</v>
      </c>
      <c r="DP8" s="18">
        <f t="shared" si="38"/>
        <v>43648</v>
      </c>
      <c r="DQ8" s="24">
        <f>DQ7</f>
        <v>6.4000000000000003E-3</v>
      </c>
    </row>
    <row r="9" spans="1:123" x14ac:dyDescent="0.25">
      <c r="A9" s="4" t="s">
        <v>54</v>
      </c>
      <c r="B9" s="71">
        <v>6.4000000000000003E-3</v>
      </c>
      <c r="F9" s="64">
        <v>43619</v>
      </c>
      <c r="G9" s="16">
        <v>1</v>
      </c>
      <c r="H9" s="16">
        <v>0</v>
      </c>
      <c r="I9" s="16"/>
      <c r="J9" s="30" t="s">
        <v>49</v>
      </c>
      <c r="K9" s="40">
        <f>B49</f>
        <v>0.7</v>
      </c>
      <c r="L9" s="16"/>
      <c r="M9" s="16"/>
      <c r="N9" s="100">
        <v>0.37534246575342467</v>
      </c>
      <c r="O9" s="18">
        <f>F13</f>
        <v>43679</v>
      </c>
      <c r="P9" s="24">
        <f t="shared" si="39"/>
        <v>6.4000000000000003E-3</v>
      </c>
      <c r="Q9" s="21">
        <f>(1+$N$54)^($N9-$N$6)</f>
        <v>1.0368055667852278</v>
      </c>
      <c r="R9" s="18">
        <f t="shared" ref="R9:R11" si="69">O9</f>
        <v>43679</v>
      </c>
      <c r="S9" s="24">
        <f t="shared" si="6"/>
        <v>6.4000000000000003E-3</v>
      </c>
      <c r="T9" s="21">
        <v>1</v>
      </c>
      <c r="U9" s="18">
        <f t="shared" ref="U9:U11" si="70">R9</f>
        <v>43679</v>
      </c>
      <c r="V9" s="24">
        <f t="shared" si="7"/>
        <v>6.4000000000000003E-3</v>
      </c>
      <c r="W9" s="21">
        <f t="shared" si="40"/>
        <v>0.9649030493095857</v>
      </c>
      <c r="X9" s="18">
        <f t="shared" ref="X9:X11" si="71">U9</f>
        <v>43679</v>
      </c>
      <c r="Y9" s="24">
        <f t="shared" si="8"/>
        <v>6.4000000000000003E-3</v>
      </c>
      <c r="Z9" s="21">
        <f t="shared" si="41"/>
        <v>1.133491556310062</v>
      </c>
      <c r="AA9" s="18">
        <f t="shared" ref="AA9:AA11" si="72">X9</f>
        <v>43679</v>
      </c>
      <c r="AB9" s="24">
        <f t="shared" si="9"/>
        <v>6.4000000000000003E-3</v>
      </c>
      <c r="AC9" s="21">
        <f t="shared" si="42"/>
        <v>0.88248230520065996</v>
      </c>
      <c r="AD9" s="18">
        <f t="shared" si="4"/>
        <v>43679</v>
      </c>
      <c r="AE9" s="24">
        <f t="shared" ref="AE9:AE11" si="73">AE8</f>
        <v>6.4000000000000003E-3</v>
      </c>
      <c r="AG9" s="18">
        <f t="shared" si="5"/>
        <v>43679</v>
      </c>
      <c r="AH9" s="24">
        <f t="shared" ref="AH9:AH12" si="74">AH8</f>
        <v>6.4000000000000003E-3</v>
      </c>
      <c r="AJ9" s="18">
        <f t="shared" si="10"/>
        <v>43679</v>
      </c>
      <c r="AK9" s="24">
        <f t="shared" ref="AK9:AK12" si="75">AK8</f>
        <v>6.4000000000000003E-3</v>
      </c>
      <c r="AM9" s="18">
        <f t="shared" si="11"/>
        <v>43679</v>
      </c>
      <c r="AN9" s="24">
        <f t="shared" si="43"/>
        <v>6.4000000000000003E-3</v>
      </c>
      <c r="AP9" s="18">
        <f t="shared" si="12"/>
        <v>43679</v>
      </c>
      <c r="AQ9" s="24">
        <f t="shared" si="44"/>
        <v>6.4000000000000003E-3</v>
      </c>
      <c r="AS9" s="18">
        <f t="shared" si="13"/>
        <v>43679</v>
      </c>
      <c r="AT9" s="24">
        <f t="shared" si="45"/>
        <v>6.4000000000000003E-3</v>
      </c>
      <c r="AV9" s="18">
        <f t="shared" si="14"/>
        <v>43679</v>
      </c>
      <c r="AW9" s="24">
        <f t="shared" si="46"/>
        <v>6.4000000000000003E-3</v>
      </c>
      <c r="AY9" s="18">
        <f t="shared" si="15"/>
        <v>43679</v>
      </c>
      <c r="AZ9" s="24">
        <f t="shared" si="47"/>
        <v>6.4000000000000003E-3</v>
      </c>
      <c r="BB9" s="18">
        <f t="shared" si="16"/>
        <v>43679</v>
      </c>
      <c r="BC9" s="24">
        <f t="shared" si="48"/>
        <v>6.4000000000000003E-3</v>
      </c>
      <c r="BE9" s="18">
        <f t="shared" si="17"/>
        <v>43679</v>
      </c>
      <c r="BF9" s="24">
        <f t="shared" si="49"/>
        <v>6.4000000000000003E-3</v>
      </c>
      <c r="BH9" s="18">
        <f t="shared" si="18"/>
        <v>43679</v>
      </c>
      <c r="BI9" s="24">
        <f t="shared" si="50"/>
        <v>6.4000000000000003E-3</v>
      </c>
      <c r="BK9" s="18">
        <f t="shared" si="19"/>
        <v>43679</v>
      </c>
      <c r="BL9" s="24">
        <f t="shared" si="51"/>
        <v>6.4000000000000003E-3</v>
      </c>
      <c r="BN9" s="18">
        <f t="shared" si="20"/>
        <v>43679</v>
      </c>
      <c r="BO9" s="24">
        <f t="shared" si="52"/>
        <v>6.4000000000000003E-3</v>
      </c>
      <c r="BQ9" s="18">
        <f t="shared" si="21"/>
        <v>43679</v>
      </c>
      <c r="BR9" s="24">
        <f t="shared" si="53"/>
        <v>6.4000000000000003E-3</v>
      </c>
      <c r="BT9" s="18">
        <f t="shared" si="22"/>
        <v>43679</v>
      </c>
      <c r="BU9" s="24">
        <f t="shared" si="54"/>
        <v>6.4000000000000003E-3</v>
      </c>
      <c r="BW9" s="18">
        <f t="shared" si="23"/>
        <v>43679</v>
      </c>
      <c r="BX9" s="24">
        <f t="shared" si="55"/>
        <v>6.4000000000000003E-3</v>
      </c>
      <c r="BZ9" s="18">
        <f t="shared" si="24"/>
        <v>43679</v>
      </c>
      <c r="CA9" s="24">
        <f t="shared" si="56"/>
        <v>6.4000000000000003E-3</v>
      </c>
      <c r="CC9" s="18">
        <f t="shared" si="25"/>
        <v>43679</v>
      </c>
      <c r="CD9" s="24">
        <f t="shared" si="57"/>
        <v>6.4000000000000003E-3</v>
      </c>
      <c r="CF9" s="18">
        <f t="shared" si="26"/>
        <v>43679</v>
      </c>
      <c r="CG9" s="24">
        <f t="shared" si="58"/>
        <v>6.4000000000000003E-3</v>
      </c>
      <c r="CI9" s="18">
        <f t="shared" si="27"/>
        <v>43679</v>
      </c>
      <c r="CJ9" s="24">
        <f t="shared" si="59"/>
        <v>6.4000000000000003E-3</v>
      </c>
      <c r="CL9" s="18">
        <f t="shared" si="28"/>
        <v>43679</v>
      </c>
      <c r="CM9" s="24">
        <f t="shared" si="60"/>
        <v>6.4000000000000003E-3</v>
      </c>
      <c r="CO9" s="18">
        <f t="shared" si="29"/>
        <v>43679</v>
      </c>
      <c r="CP9" s="24">
        <f t="shared" si="61"/>
        <v>6.4000000000000003E-3</v>
      </c>
      <c r="CR9" s="18">
        <f t="shared" si="30"/>
        <v>43679</v>
      </c>
      <c r="CS9" s="24">
        <f t="shared" si="62"/>
        <v>6.4000000000000003E-3</v>
      </c>
      <c r="CU9" s="18">
        <f t="shared" si="31"/>
        <v>43679</v>
      </c>
      <c r="CV9" s="24">
        <f t="shared" si="63"/>
        <v>6.4000000000000003E-3</v>
      </c>
      <c r="CX9" s="18">
        <f t="shared" si="32"/>
        <v>43679</v>
      </c>
      <c r="CY9" s="24">
        <f t="shared" si="64"/>
        <v>6.4000000000000003E-3</v>
      </c>
      <c r="DA9" s="18">
        <f t="shared" si="33"/>
        <v>43679</v>
      </c>
      <c r="DB9" s="24">
        <f t="shared" si="65"/>
        <v>6.4000000000000003E-3</v>
      </c>
      <c r="DD9" s="18">
        <f t="shared" si="34"/>
        <v>43679</v>
      </c>
      <c r="DE9" s="24">
        <f t="shared" ref="DE9:DE37" si="76">DE8</f>
        <v>6.4000000000000003E-3</v>
      </c>
      <c r="DG9" s="18">
        <f t="shared" si="35"/>
        <v>43679</v>
      </c>
      <c r="DH9" s="24">
        <f t="shared" si="66"/>
        <v>6.4000000000000003E-3</v>
      </c>
      <c r="DJ9" s="18">
        <f t="shared" si="36"/>
        <v>43679</v>
      </c>
      <c r="DK9" s="24">
        <f t="shared" si="67"/>
        <v>6.4000000000000003E-3</v>
      </c>
      <c r="DM9" s="18">
        <f t="shared" si="37"/>
        <v>43679</v>
      </c>
      <c r="DN9" s="24">
        <f t="shared" si="68"/>
        <v>6.4000000000000003E-3</v>
      </c>
      <c r="DP9" s="18">
        <f t="shared" si="38"/>
        <v>43679</v>
      </c>
      <c r="DQ9" s="24">
        <f t="shared" ref="DQ9:DQ41" si="77">DQ8</f>
        <v>6.4000000000000003E-3</v>
      </c>
    </row>
    <row r="10" spans="1:123" ht="12" thickBot="1" x14ac:dyDescent="0.3">
      <c r="A10" s="4" t="str">
        <f>CONCATENATE("Float (",E10,"M)")</f>
        <v>Float (1M)</v>
      </c>
      <c r="B10" s="94">
        <v>6.4000000000000003E-3</v>
      </c>
      <c r="D10" s="16"/>
      <c r="E10" s="103">
        <v>1</v>
      </c>
      <c r="F10" s="64">
        <v>43618</v>
      </c>
      <c r="G10" s="16">
        <v>0</v>
      </c>
      <c r="H10" s="16">
        <v>2</v>
      </c>
      <c r="I10" s="16"/>
      <c r="J10" s="30" t="s">
        <v>95</v>
      </c>
      <c r="K10" s="40">
        <f>B50</f>
        <v>1</v>
      </c>
      <c r="L10" s="16"/>
      <c r="M10" s="16"/>
      <c r="N10" s="100">
        <v>0.46027397260273972</v>
      </c>
      <c r="O10" s="18">
        <f>F15</f>
        <v>43710</v>
      </c>
      <c r="P10" s="24">
        <f t="shared" si="39"/>
        <v>6.4000000000000003E-3</v>
      </c>
      <c r="Q10" s="21">
        <f t="shared" ref="Q10:Q42" si="78">(1+$N$54)^($N10-$N$6)</f>
        <v>1.0495101299802534</v>
      </c>
      <c r="R10" s="18">
        <f t="shared" si="69"/>
        <v>43710</v>
      </c>
      <c r="S10" s="24">
        <f t="shared" si="6"/>
        <v>6.4000000000000003E-3</v>
      </c>
      <c r="T10" s="21">
        <v>1</v>
      </c>
      <c r="U10" s="18">
        <f t="shared" si="70"/>
        <v>43710</v>
      </c>
      <c r="V10" s="24">
        <f t="shared" si="7"/>
        <v>6.4000000000000003E-3</v>
      </c>
      <c r="W10" s="21">
        <f t="shared" si="40"/>
        <v>0.95335654683209492</v>
      </c>
      <c r="X10" s="18">
        <f t="shared" si="71"/>
        <v>43710</v>
      </c>
      <c r="Y10" s="24">
        <f t="shared" si="8"/>
        <v>6.4000000000000003E-3</v>
      </c>
      <c r="Z10" s="21">
        <f t="shared" si="41"/>
        <v>1.1823740424908558</v>
      </c>
      <c r="AA10" s="18">
        <f t="shared" si="72"/>
        <v>43710</v>
      </c>
      <c r="AB10" s="24">
        <f t="shared" si="9"/>
        <v>6.4000000000000003E-3</v>
      </c>
      <c r="AC10" s="21">
        <f t="shared" si="42"/>
        <v>0.84607973026699945</v>
      </c>
      <c r="AD10" s="18">
        <f t="shared" si="4"/>
        <v>43710</v>
      </c>
      <c r="AE10" s="24">
        <f t="shared" si="73"/>
        <v>6.4000000000000003E-3</v>
      </c>
      <c r="AG10" s="18">
        <f t="shared" si="5"/>
        <v>43710</v>
      </c>
      <c r="AH10" s="24">
        <f t="shared" si="74"/>
        <v>6.4000000000000003E-3</v>
      </c>
      <c r="AJ10" s="18">
        <f t="shared" si="10"/>
        <v>43710</v>
      </c>
      <c r="AK10" s="24">
        <f t="shared" si="75"/>
        <v>6.4000000000000003E-3</v>
      </c>
      <c r="AM10" s="18">
        <f t="shared" si="11"/>
        <v>43710</v>
      </c>
      <c r="AN10" s="24">
        <f t="shared" si="43"/>
        <v>6.4000000000000003E-3</v>
      </c>
      <c r="AP10" s="18">
        <f t="shared" si="12"/>
        <v>43710</v>
      </c>
      <c r="AQ10" s="24">
        <f t="shared" si="44"/>
        <v>6.4000000000000003E-3</v>
      </c>
      <c r="AS10" s="18">
        <f t="shared" si="13"/>
        <v>43710</v>
      </c>
      <c r="AT10" s="24">
        <f t="shared" si="45"/>
        <v>6.4000000000000003E-3</v>
      </c>
      <c r="AV10" s="18">
        <f t="shared" si="14"/>
        <v>43710</v>
      </c>
      <c r="AW10" s="24">
        <f t="shared" si="46"/>
        <v>6.4000000000000003E-3</v>
      </c>
      <c r="AY10" s="18">
        <f t="shared" si="15"/>
        <v>43710</v>
      </c>
      <c r="AZ10" s="24">
        <f t="shared" si="47"/>
        <v>6.4000000000000003E-3</v>
      </c>
      <c r="BB10" s="18">
        <f t="shared" si="16"/>
        <v>43710</v>
      </c>
      <c r="BC10" s="24">
        <f t="shared" si="48"/>
        <v>6.4000000000000003E-3</v>
      </c>
      <c r="BE10" s="18">
        <f t="shared" si="17"/>
        <v>43710</v>
      </c>
      <c r="BF10" s="24">
        <f t="shared" si="49"/>
        <v>6.4000000000000003E-3</v>
      </c>
      <c r="BH10" s="18">
        <f t="shared" si="18"/>
        <v>43710</v>
      </c>
      <c r="BI10" s="24">
        <f t="shared" si="50"/>
        <v>6.4000000000000003E-3</v>
      </c>
      <c r="BK10" s="18">
        <f t="shared" si="19"/>
        <v>43710</v>
      </c>
      <c r="BL10" s="24">
        <f t="shared" si="51"/>
        <v>6.4000000000000003E-3</v>
      </c>
      <c r="BN10" s="18">
        <f t="shared" si="20"/>
        <v>43710</v>
      </c>
      <c r="BO10" s="24">
        <f t="shared" si="52"/>
        <v>6.4000000000000003E-3</v>
      </c>
      <c r="BQ10" s="18">
        <f t="shared" si="21"/>
        <v>43710</v>
      </c>
      <c r="BR10" s="24">
        <f t="shared" si="53"/>
        <v>6.4000000000000003E-3</v>
      </c>
      <c r="BT10" s="18">
        <f t="shared" si="22"/>
        <v>43710</v>
      </c>
      <c r="BU10" s="24">
        <f t="shared" si="54"/>
        <v>6.4000000000000003E-3</v>
      </c>
      <c r="BW10" s="18">
        <f t="shared" si="23"/>
        <v>43710</v>
      </c>
      <c r="BX10" s="24">
        <f t="shared" si="55"/>
        <v>6.4000000000000003E-3</v>
      </c>
      <c r="BZ10" s="18">
        <f t="shared" si="24"/>
        <v>43710</v>
      </c>
      <c r="CA10" s="24">
        <f t="shared" si="56"/>
        <v>6.4000000000000003E-3</v>
      </c>
      <c r="CC10" s="18">
        <f t="shared" si="25"/>
        <v>43710</v>
      </c>
      <c r="CD10" s="24">
        <f t="shared" si="57"/>
        <v>6.4000000000000003E-3</v>
      </c>
      <c r="CF10" s="18">
        <f t="shared" si="26"/>
        <v>43710</v>
      </c>
      <c r="CG10" s="24">
        <f t="shared" si="58"/>
        <v>6.4000000000000003E-3</v>
      </c>
      <c r="CI10" s="18">
        <f t="shared" si="27"/>
        <v>43710</v>
      </c>
      <c r="CJ10" s="24">
        <f t="shared" si="59"/>
        <v>6.4000000000000003E-3</v>
      </c>
      <c r="CL10" s="18">
        <f t="shared" si="28"/>
        <v>43710</v>
      </c>
      <c r="CM10" s="24">
        <f t="shared" si="60"/>
        <v>6.4000000000000003E-3</v>
      </c>
      <c r="CO10" s="18">
        <f t="shared" si="29"/>
        <v>43710</v>
      </c>
      <c r="CP10" s="24">
        <f t="shared" si="61"/>
        <v>6.4000000000000003E-3</v>
      </c>
      <c r="CR10" s="18">
        <f t="shared" si="30"/>
        <v>43710</v>
      </c>
      <c r="CS10" s="24">
        <f t="shared" si="62"/>
        <v>6.4000000000000003E-3</v>
      </c>
      <c r="CU10" s="18">
        <f t="shared" si="31"/>
        <v>43710</v>
      </c>
      <c r="CV10" s="24">
        <f t="shared" si="63"/>
        <v>6.4000000000000003E-3</v>
      </c>
      <c r="CX10" s="18">
        <f t="shared" si="32"/>
        <v>43710</v>
      </c>
      <c r="CY10" s="24">
        <f t="shared" si="64"/>
        <v>6.4000000000000003E-3</v>
      </c>
      <c r="DA10" s="18">
        <f t="shared" si="33"/>
        <v>43710</v>
      </c>
      <c r="DB10" s="24">
        <f t="shared" si="65"/>
        <v>6.4000000000000003E-3</v>
      </c>
      <c r="DD10" s="18">
        <f t="shared" si="34"/>
        <v>43710</v>
      </c>
      <c r="DE10" s="24">
        <f t="shared" si="76"/>
        <v>6.4000000000000003E-3</v>
      </c>
      <c r="DG10" s="18">
        <f t="shared" si="35"/>
        <v>43710</v>
      </c>
      <c r="DH10" s="24">
        <f t="shared" si="66"/>
        <v>6.4000000000000003E-3</v>
      </c>
      <c r="DJ10" s="18">
        <f t="shared" si="36"/>
        <v>43710</v>
      </c>
      <c r="DK10" s="24">
        <f t="shared" si="67"/>
        <v>6.4000000000000003E-3</v>
      </c>
      <c r="DM10" s="18">
        <f t="shared" si="37"/>
        <v>43710</v>
      </c>
      <c r="DN10" s="24">
        <f t="shared" si="68"/>
        <v>6.4000000000000003E-3</v>
      </c>
      <c r="DP10" s="18">
        <f t="shared" si="38"/>
        <v>43710</v>
      </c>
      <c r="DQ10" s="24">
        <f t="shared" si="77"/>
        <v>6.4000000000000003E-3</v>
      </c>
    </row>
    <row r="11" spans="1:123" ht="12" thickBot="1" x14ac:dyDescent="0.3">
      <c r="A11" s="4" t="str">
        <f t="shared" ref="A11:A45" si="79">CONCATENATE("Float (",E11,"M)")</f>
        <v>Float (2M)</v>
      </c>
      <c r="B11" s="5">
        <f>+B10</f>
        <v>6.4000000000000003E-3</v>
      </c>
      <c r="C11" s="2" t="str">
        <f>CONCATENATE($C$5," &gt;= ",TEXT($B$49,"0%"))</f>
        <v>MB IM &gt;= 70%</v>
      </c>
      <c r="D11" s="16"/>
      <c r="E11" s="103">
        <v>2</v>
      </c>
      <c r="F11" s="64">
        <v>43648</v>
      </c>
      <c r="G11" s="16">
        <v>1</v>
      </c>
      <c r="H11" s="16">
        <v>0</v>
      </c>
      <c r="I11" s="16"/>
      <c r="J11" s="30" t="s">
        <v>171</v>
      </c>
      <c r="K11" s="40">
        <f>B51</f>
        <v>0.7</v>
      </c>
      <c r="L11" s="16"/>
      <c r="M11" s="16"/>
      <c r="N11" s="100">
        <v>0.54246575342465753</v>
      </c>
      <c r="O11" s="18">
        <f>F17</f>
        <v>43740</v>
      </c>
      <c r="P11" s="24">
        <f t="shared" si="39"/>
        <v>6.4000000000000003E-3</v>
      </c>
      <c r="Q11" s="21">
        <f t="shared" si="78"/>
        <v>1.0619530735425204</v>
      </c>
      <c r="R11" s="18">
        <f t="shared" si="69"/>
        <v>43740</v>
      </c>
      <c r="S11" s="24">
        <f t="shared" si="6"/>
        <v>6.4000000000000003E-3</v>
      </c>
      <c r="T11" s="21">
        <v>1</v>
      </c>
      <c r="U11" s="18">
        <f t="shared" si="70"/>
        <v>43740</v>
      </c>
      <c r="V11" s="24">
        <f t="shared" si="7"/>
        <v>6.4000000000000003E-3</v>
      </c>
      <c r="W11" s="21">
        <f t="shared" si="40"/>
        <v>0.94231408645126047</v>
      </c>
      <c r="X11" s="18">
        <f t="shared" si="71"/>
        <v>43740</v>
      </c>
      <c r="Y11" s="24">
        <f t="shared" si="8"/>
        <v>6.4000000000000003E-3</v>
      </c>
      <c r="Z11" s="21">
        <f t="shared" si="41"/>
        <v>1.2316859321669276</v>
      </c>
      <c r="AA11" s="18">
        <f t="shared" si="72"/>
        <v>43740</v>
      </c>
      <c r="AB11" s="24">
        <f t="shared" si="9"/>
        <v>6.4000000000000003E-3</v>
      </c>
      <c r="AC11" s="21">
        <f t="shared" si="42"/>
        <v>0.81228180915775883</v>
      </c>
      <c r="AD11" s="18">
        <f t="shared" si="4"/>
        <v>43740</v>
      </c>
      <c r="AE11" s="24">
        <f t="shared" si="73"/>
        <v>6.4000000000000003E-3</v>
      </c>
      <c r="AG11" s="18">
        <f t="shared" si="5"/>
        <v>43740</v>
      </c>
      <c r="AH11" s="24">
        <f t="shared" si="74"/>
        <v>6.4000000000000003E-3</v>
      </c>
      <c r="AJ11" s="18">
        <f t="shared" si="10"/>
        <v>43740</v>
      </c>
      <c r="AK11" s="24">
        <f t="shared" si="75"/>
        <v>6.4000000000000003E-3</v>
      </c>
      <c r="AM11" s="18">
        <f t="shared" si="11"/>
        <v>43740</v>
      </c>
      <c r="AN11" s="24">
        <f t="shared" si="43"/>
        <v>6.4000000000000003E-3</v>
      </c>
      <c r="AP11" s="18">
        <f t="shared" si="12"/>
        <v>43740</v>
      </c>
      <c r="AQ11" s="24">
        <f t="shared" si="44"/>
        <v>6.4000000000000003E-3</v>
      </c>
      <c r="AS11" s="18">
        <f t="shared" si="13"/>
        <v>43740</v>
      </c>
      <c r="AT11" s="24">
        <f t="shared" si="45"/>
        <v>6.4000000000000003E-3</v>
      </c>
      <c r="AV11" s="18">
        <f t="shared" si="14"/>
        <v>43740</v>
      </c>
      <c r="AW11" s="24">
        <f t="shared" si="46"/>
        <v>6.4000000000000003E-3</v>
      </c>
      <c r="AY11" s="18">
        <f t="shared" si="15"/>
        <v>43740</v>
      </c>
      <c r="AZ11" s="24">
        <f t="shared" si="47"/>
        <v>6.4000000000000003E-3</v>
      </c>
      <c r="BB11" s="18">
        <f t="shared" si="16"/>
        <v>43740</v>
      </c>
      <c r="BC11" s="24">
        <f t="shared" si="48"/>
        <v>6.4000000000000003E-3</v>
      </c>
      <c r="BE11" s="18">
        <f t="shared" si="17"/>
        <v>43740</v>
      </c>
      <c r="BF11" s="24">
        <f t="shared" si="49"/>
        <v>6.4000000000000003E-3</v>
      </c>
      <c r="BH11" s="18">
        <f t="shared" si="18"/>
        <v>43740</v>
      </c>
      <c r="BI11" s="24">
        <f t="shared" si="50"/>
        <v>6.4000000000000003E-3</v>
      </c>
      <c r="BK11" s="18">
        <f t="shared" si="19"/>
        <v>43740</v>
      </c>
      <c r="BL11" s="24">
        <f t="shared" si="51"/>
        <v>6.4000000000000003E-3</v>
      </c>
      <c r="BN11" s="18">
        <f t="shared" si="20"/>
        <v>43740</v>
      </c>
      <c r="BO11" s="24">
        <f t="shared" si="52"/>
        <v>6.4000000000000003E-3</v>
      </c>
      <c r="BQ11" s="18">
        <f t="shared" si="21"/>
        <v>43740</v>
      </c>
      <c r="BR11" s="24">
        <f t="shared" si="53"/>
        <v>6.4000000000000003E-3</v>
      </c>
      <c r="BT11" s="18">
        <f t="shared" si="22"/>
        <v>43740</v>
      </c>
      <c r="BU11" s="24">
        <f t="shared" si="54"/>
        <v>6.4000000000000003E-3</v>
      </c>
      <c r="BW11" s="18">
        <f t="shared" si="23"/>
        <v>43740</v>
      </c>
      <c r="BX11" s="24">
        <f t="shared" si="55"/>
        <v>6.4000000000000003E-3</v>
      </c>
      <c r="BZ11" s="18">
        <f t="shared" si="24"/>
        <v>43740</v>
      </c>
      <c r="CA11" s="24">
        <f t="shared" si="56"/>
        <v>6.4000000000000003E-3</v>
      </c>
      <c r="CC11" s="18">
        <f t="shared" si="25"/>
        <v>43740</v>
      </c>
      <c r="CD11" s="24">
        <f t="shared" si="57"/>
        <v>6.4000000000000003E-3</v>
      </c>
      <c r="CF11" s="18">
        <f t="shared" si="26"/>
        <v>43740</v>
      </c>
      <c r="CG11" s="24">
        <f t="shared" si="58"/>
        <v>6.4000000000000003E-3</v>
      </c>
      <c r="CI11" s="18">
        <f t="shared" si="27"/>
        <v>43740</v>
      </c>
      <c r="CJ11" s="24">
        <f t="shared" si="59"/>
        <v>6.4000000000000003E-3</v>
      </c>
      <c r="CL11" s="18">
        <f t="shared" si="28"/>
        <v>43740</v>
      </c>
      <c r="CM11" s="24">
        <f t="shared" si="60"/>
        <v>6.4000000000000003E-3</v>
      </c>
      <c r="CO11" s="18">
        <f t="shared" si="29"/>
        <v>43740</v>
      </c>
      <c r="CP11" s="24">
        <f t="shared" si="61"/>
        <v>6.4000000000000003E-3</v>
      </c>
      <c r="CR11" s="18">
        <f t="shared" si="30"/>
        <v>43740</v>
      </c>
      <c r="CS11" s="24">
        <f t="shared" si="62"/>
        <v>6.4000000000000003E-3</v>
      </c>
      <c r="CU11" s="18">
        <f t="shared" si="31"/>
        <v>43740</v>
      </c>
      <c r="CV11" s="24">
        <f t="shared" si="63"/>
        <v>6.4000000000000003E-3</v>
      </c>
      <c r="CX11" s="18">
        <f t="shared" si="32"/>
        <v>43740</v>
      </c>
      <c r="CY11" s="24">
        <f t="shared" si="64"/>
        <v>6.4000000000000003E-3</v>
      </c>
      <c r="DA11" s="18">
        <f t="shared" si="33"/>
        <v>43740</v>
      </c>
      <c r="DB11" s="24">
        <f t="shared" si="65"/>
        <v>6.4000000000000003E-3</v>
      </c>
      <c r="DD11" s="18">
        <f t="shared" si="34"/>
        <v>43740</v>
      </c>
      <c r="DE11" s="24">
        <f t="shared" si="76"/>
        <v>6.4000000000000003E-3</v>
      </c>
      <c r="DG11" s="18">
        <f t="shared" si="35"/>
        <v>43740</v>
      </c>
      <c r="DH11" s="24">
        <f t="shared" si="66"/>
        <v>6.4000000000000003E-3</v>
      </c>
      <c r="DJ11" s="18">
        <f t="shared" si="36"/>
        <v>43740</v>
      </c>
      <c r="DK11" s="24">
        <f t="shared" si="67"/>
        <v>6.4000000000000003E-3</v>
      </c>
      <c r="DM11" s="18">
        <f t="shared" si="37"/>
        <v>43740</v>
      </c>
      <c r="DN11" s="24">
        <f t="shared" si="68"/>
        <v>6.4000000000000003E-3</v>
      </c>
      <c r="DP11" s="18">
        <f t="shared" si="38"/>
        <v>43740</v>
      </c>
      <c r="DQ11" s="24">
        <f t="shared" si="77"/>
        <v>6.4000000000000003E-3</v>
      </c>
    </row>
    <row r="12" spans="1:123" ht="12" thickBot="1" x14ac:dyDescent="0.3">
      <c r="A12" s="4" t="str">
        <f t="shared" si="79"/>
        <v>Float (3M)</v>
      </c>
      <c r="B12" s="5">
        <f>+B11</f>
        <v>6.4000000000000003E-3</v>
      </c>
      <c r="C12" s="2" t="str">
        <f t="shared" ref="C12:C44" si="80">CONCATENATE($C$5," &gt;= ",TEXT($B$49,"0%"))</f>
        <v>MB IM &gt;= 70%</v>
      </c>
      <c r="D12" s="16"/>
      <c r="E12" s="103">
        <v>3</v>
      </c>
      <c r="F12" s="64">
        <v>43675</v>
      </c>
      <c r="G12" s="16">
        <v>0</v>
      </c>
      <c r="H12" s="16">
        <v>2</v>
      </c>
      <c r="I12" s="16"/>
      <c r="J12" s="30" t="s">
        <v>50</v>
      </c>
      <c r="K12" s="72">
        <v>5</v>
      </c>
      <c r="L12" s="16"/>
      <c r="M12" s="16"/>
      <c r="N12" s="100">
        <v>0.63287671232876708</v>
      </c>
      <c r="O12" s="18">
        <f>+F19</f>
        <v>43773</v>
      </c>
      <c r="P12" s="24">
        <f t="shared" si="39"/>
        <v>6.4000000000000003E-3</v>
      </c>
      <c r="Q12" s="21">
        <f t="shared" si="78"/>
        <v>1.0758107676423971</v>
      </c>
      <c r="R12" s="18">
        <f t="shared" ref="R12:R41" si="81">O12</f>
        <v>43773</v>
      </c>
      <c r="S12" s="24">
        <f t="shared" si="6"/>
        <v>6.4000000000000003E-3</v>
      </c>
      <c r="T12" s="21">
        <v>1</v>
      </c>
      <c r="U12" s="18">
        <f t="shared" ref="U12:U41" si="82">R12</f>
        <v>43773</v>
      </c>
      <c r="V12" s="24">
        <f t="shared" si="7"/>
        <v>6.4000000000000003E-3</v>
      </c>
      <c r="W12" s="21">
        <f t="shared" si="40"/>
        <v>0.93031504932069253</v>
      </c>
      <c r="X12" s="18">
        <f t="shared" ref="X12:X41" si="83">U12</f>
        <v>43773</v>
      </c>
      <c r="Y12" s="24">
        <f t="shared" si="8"/>
        <v>6.4000000000000003E-3</v>
      </c>
      <c r="Z12" s="21">
        <f t="shared" si="41"/>
        <v>1.2883076477164541</v>
      </c>
      <c r="AA12" s="18">
        <f t="shared" ref="AA12:AA41" si="84">X12</f>
        <v>43773</v>
      </c>
      <c r="AB12" s="24">
        <f t="shared" si="9"/>
        <v>6.4000000000000003E-3</v>
      </c>
      <c r="AC12" s="21">
        <f t="shared" si="42"/>
        <v>0.77666137596650064</v>
      </c>
      <c r="AD12" s="18">
        <f t="shared" si="4"/>
        <v>43773</v>
      </c>
      <c r="AE12" s="24">
        <f>1+B15</f>
        <v>1.0064</v>
      </c>
      <c r="AG12" s="18">
        <f t="shared" si="5"/>
        <v>43773</v>
      </c>
      <c r="AH12" s="24">
        <f t="shared" si="74"/>
        <v>6.4000000000000003E-3</v>
      </c>
      <c r="AJ12" s="18">
        <f t="shared" si="10"/>
        <v>43773</v>
      </c>
      <c r="AK12" s="24">
        <f t="shared" si="75"/>
        <v>6.4000000000000003E-3</v>
      </c>
      <c r="AM12" s="18">
        <f t="shared" si="11"/>
        <v>43773</v>
      </c>
      <c r="AN12" s="24">
        <f t="shared" si="43"/>
        <v>6.4000000000000003E-3</v>
      </c>
      <c r="AP12" s="18">
        <f t="shared" si="12"/>
        <v>43773</v>
      </c>
      <c r="AQ12" s="24">
        <f t="shared" si="44"/>
        <v>6.4000000000000003E-3</v>
      </c>
      <c r="AS12" s="18">
        <f t="shared" si="13"/>
        <v>43773</v>
      </c>
      <c r="AT12" s="24">
        <f t="shared" si="45"/>
        <v>6.4000000000000003E-3</v>
      </c>
      <c r="AV12" s="18">
        <f t="shared" si="14"/>
        <v>43773</v>
      </c>
      <c r="AW12" s="24">
        <f t="shared" si="46"/>
        <v>6.4000000000000003E-3</v>
      </c>
      <c r="AY12" s="18">
        <f t="shared" si="15"/>
        <v>43773</v>
      </c>
      <c r="AZ12" s="24">
        <f t="shared" si="47"/>
        <v>6.4000000000000003E-3</v>
      </c>
      <c r="BB12" s="18">
        <f t="shared" si="16"/>
        <v>43773</v>
      </c>
      <c r="BC12" s="24">
        <f t="shared" si="48"/>
        <v>6.4000000000000003E-3</v>
      </c>
      <c r="BE12" s="18">
        <f t="shared" si="17"/>
        <v>43773</v>
      </c>
      <c r="BF12" s="24">
        <f t="shared" si="49"/>
        <v>6.4000000000000003E-3</v>
      </c>
      <c r="BH12" s="18">
        <f t="shared" si="18"/>
        <v>43773</v>
      </c>
      <c r="BI12" s="24">
        <f t="shared" si="50"/>
        <v>6.4000000000000003E-3</v>
      </c>
      <c r="BK12" s="18">
        <f t="shared" si="19"/>
        <v>43773</v>
      </c>
      <c r="BL12" s="24">
        <f t="shared" si="51"/>
        <v>6.4000000000000003E-3</v>
      </c>
      <c r="BN12" s="18">
        <f t="shared" si="20"/>
        <v>43773</v>
      </c>
      <c r="BO12" s="24">
        <f t="shared" si="52"/>
        <v>6.4000000000000003E-3</v>
      </c>
      <c r="BQ12" s="18">
        <f t="shared" si="21"/>
        <v>43773</v>
      </c>
      <c r="BR12" s="24">
        <f t="shared" si="53"/>
        <v>6.4000000000000003E-3</v>
      </c>
      <c r="BT12" s="18">
        <f t="shared" si="22"/>
        <v>43773</v>
      </c>
      <c r="BU12" s="24">
        <f t="shared" si="54"/>
        <v>6.4000000000000003E-3</v>
      </c>
      <c r="BW12" s="18">
        <f t="shared" si="23"/>
        <v>43773</v>
      </c>
      <c r="BX12" s="24">
        <f t="shared" si="55"/>
        <v>6.4000000000000003E-3</v>
      </c>
      <c r="BZ12" s="18">
        <f t="shared" si="24"/>
        <v>43773</v>
      </c>
      <c r="CA12" s="24">
        <f t="shared" si="56"/>
        <v>6.4000000000000003E-3</v>
      </c>
      <c r="CC12" s="18">
        <f t="shared" si="25"/>
        <v>43773</v>
      </c>
      <c r="CD12" s="24">
        <f t="shared" si="57"/>
        <v>6.4000000000000003E-3</v>
      </c>
      <c r="CF12" s="18">
        <f t="shared" si="26"/>
        <v>43773</v>
      </c>
      <c r="CG12" s="24">
        <f t="shared" si="58"/>
        <v>6.4000000000000003E-3</v>
      </c>
      <c r="CI12" s="18">
        <f t="shared" si="27"/>
        <v>43773</v>
      </c>
      <c r="CJ12" s="24">
        <f t="shared" si="59"/>
        <v>6.4000000000000003E-3</v>
      </c>
      <c r="CL12" s="18">
        <f t="shared" si="28"/>
        <v>43773</v>
      </c>
      <c r="CM12" s="24">
        <f t="shared" si="60"/>
        <v>6.4000000000000003E-3</v>
      </c>
      <c r="CO12" s="18">
        <f t="shared" si="29"/>
        <v>43773</v>
      </c>
      <c r="CP12" s="24">
        <f t="shared" si="61"/>
        <v>6.4000000000000003E-3</v>
      </c>
      <c r="CR12" s="18">
        <f t="shared" si="30"/>
        <v>43773</v>
      </c>
      <c r="CS12" s="24">
        <f t="shared" si="62"/>
        <v>6.4000000000000003E-3</v>
      </c>
      <c r="CU12" s="18">
        <f t="shared" si="31"/>
        <v>43773</v>
      </c>
      <c r="CV12" s="24">
        <f t="shared" si="63"/>
        <v>6.4000000000000003E-3</v>
      </c>
      <c r="CX12" s="18">
        <f t="shared" si="32"/>
        <v>43773</v>
      </c>
      <c r="CY12" s="24">
        <f t="shared" si="64"/>
        <v>6.4000000000000003E-3</v>
      </c>
      <c r="DA12" s="18">
        <f t="shared" si="33"/>
        <v>43773</v>
      </c>
      <c r="DB12" s="24">
        <f t="shared" si="65"/>
        <v>6.4000000000000003E-3</v>
      </c>
      <c r="DD12" s="18">
        <f t="shared" si="34"/>
        <v>43773</v>
      </c>
      <c r="DE12" s="24">
        <f t="shared" si="76"/>
        <v>6.4000000000000003E-3</v>
      </c>
      <c r="DG12" s="18">
        <f t="shared" si="35"/>
        <v>43773</v>
      </c>
      <c r="DH12" s="24">
        <f t="shared" si="66"/>
        <v>6.4000000000000003E-3</v>
      </c>
      <c r="DJ12" s="18">
        <f t="shared" si="36"/>
        <v>43773</v>
      </c>
      <c r="DK12" s="24">
        <f t="shared" si="67"/>
        <v>6.4000000000000003E-3</v>
      </c>
      <c r="DM12" s="18">
        <f t="shared" si="37"/>
        <v>43773</v>
      </c>
      <c r="DN12" s="24">
        <f t="shared" si="68"/>
        <v>6.4000000000000003E-3</v>
      </c>
      <c r="DP12" s="18">
        <f t="shared" si="38"/>
        <v>43773</v>
      </c>
      <c r="DQ12" s="24">
        <f t="shared" si="77"/>
        <v>6.4000000000000003E-3</v>
      </c>
    </row>
    <row r="13" spans="1:123" x14ac:dyDescent="0.25">
      <c r="A13" s="4" t="str">
        <f t="shared" si="79"/>
        <v>Float (4M)</v>
      </c>
      <c r="B13" s="5">
        <f>+B12</f>
        <v>6.4000000000000003E-3</v>
      </c>
      <c r="C13" s="2" t="str">
        <f t="shared" si="80"/>
        <v>MB IM &gt;= 70%</v>
      </c>
      <c r="D13" s="16"/>
      <c r="E13" s="103">
        <v>4</v>
      </c>
      <c r="F13" s="64">
        <v>43679</v>
      </c>
      <c r="G13" s="16">
        <v>1</v>
      </c>
      <c r="H13" s="16">
        <v>0</v>
      </c>
      <c r="I13" s="16"/>
      <c r="J13" s="30" t="s">
        <v>51</v>
      </c>
      <c r="K13" s="16">
        <v>10000</v>
      </c>
      <c r="L13" s="16"/>
      <c r="M13" s="16"/>
      <c r="N13" s="100">
        <v>0.70958904109589038</v>
      </c>
      <c r="O13" s="18">
        <f>+F21</f>
        <v>43801</v>
      </c>
      <c r="P13" s="24">
        <f t="shared" si="39"/>
        <v>6.4000000000000003E-3</v>
      </c>
      <c r="Q13" s="21">
        <f t="shared" si="78"/>
        <v>1.0877105279277652</v>
      </c>
      <c r="R13" s="18">
        <f t="shared" si="81"/>
        <v>43801</v>
      </c>
      <c r="S13" s="24">
        <f t="shared" si="6"/>
        <v>6.4000000000000003E-3</v>
      </c>
      <c r="T13" s="21">
        <v>1</v>
      </c>
      <c r="U13" s="18">
        <f t="shared" si="82"/>
        <v>43801</v>
      </c>
      <c r="V13" s="24">
        <f t="shared" si="7"/>
        <v>6.4000000000000003E-3</v>
      </c>
      <c r="W13" s="21">
        <f t="shared" si="40"/>
        <v>0.92025394484951628</v>
      </c>
      <c r="X13" s="18">
        <f t="shared" si="83"/>
        <v>43801</v>
      </c>
      <c r="Y13" s="24">
        <f t="shared" si="8"/>
        <v>6.4000000000000003E-3</v>
      </c>
      <c r="Z13" s="21">
        <f t="shared" si="41"/>
        <v>1.3383868870064437</v>
      </c>
      <c r="AA13" s="18">
        <f t="shared" si="84"/>
        <v>43801</v>
      </c>
      <c r="AB13" s="24">
        <f t="shared" si="9"/>
        <v>6.4000000000000003E-3</v>
      </c>
      <c r="AC13" s="21">
        <f t="shared" si="42"/>
        <v>0.74766568530637578</v>
      </c>
      <c r="AD13" s="18">
        <f t="shared" si="4"/>
        <v>43801</v>
      </c>
      <c r="AE13" s="24"/>
      <c r="AG13" s="18">
        <f t="shared" si="5"/>
        <v>43801</v>
      </c>
      <c r="AH13" s="24">
        <f>1+B16</f>
        <v>1.0064</v>
      </c>
      <c r="AJ13" s="18">
        <f t="shared" si="10"/>
        <v>43801</v>
      </c>
      <c r="AK13" s="24">
        <f>AK12</f>
        <v>6.4000000000000003E-3</v>
      </c>
      <c r="AM13" s="18">
        <f t="shared" si="11"/>
        <v>43801</v>
      </c>
      <c r="AN13" s="24">
        <f t="shared" si="43"/>
        <v>6.4000000000000003E-3</v>
      </c>
      <c r="AP13" s="18">
        <f t="shared" si="12"/>
        <v>43801</v>
      </c>
      <c r="AQ13" s="24">
        <f t="shared" si="44"/>
        <v>6.4000000000000003E-3</v>
      </c>
      <c r="AS13" s="18">
        <f t="shared" si="13"/>
        <v>43801</v>
      </c>
      <c r="AT13" s="24">
        <f t="shared" si="45"/>
        <v>6.4000000000000003E-3</v>
      </c>
      <c r="AV13" s="18">
        <f t="shared" si="14"/>
        <v>43801</v>
      </c>
      <c r="AW13" s="24">
        <f t="shared" si="46"/>
        <v>6.4000000000000003E-3</v>
      </c>
      <c r="AY13" s="18">
        <f t="shared" si="15"/>
        <v>43801</v>
      </c>
      <c r="AZ13" s="24">
        <f t="shared" si="47"/>
        <v>6.4000000000000003E-3</v>
      </c>
      <c r="BB13" s="18">
        <f t="shared" si="16"/>
        <v>43801</v>
      </c>
      <c r="BC13" s="24">
        <f t="shared" si="48"/>
        <v>6.4000000000000003E-3</v>
      </c>
      <c r="BE13" s="18">
        <f t="shared" si="17"/>
        <v>43801</v>
      </c>
      <c r="BF13" s="24">
        <f t="shared" si="49"/>
        <v>6.4000000000000003E-3</v>
      </c>
      <c r="BH13" s="18">
        <f t="shared" si="18"/>
        <v>43801</v>
      </c>
      <c r="BI13" s="24">
        <f t="shared" si="50"/>
        <v>6.4000000000000003E-3</v>
      </c>
      <c r="BK13" s="18">
        <f t="shared" si="19"/>
        <v>43801</v>
      </c>
      <c r="BL13" s="24">
        <f t="shared" si="51"/>
        <v>6.4000000000000003E-3</v>
      </c>
      <c r="BN13" s="18">
        <f t="shared" si="20"/>
        <v>43801</v>
      </c>
      <c r="BO13" s="24">
        <f t="shared" si="52"/>
        <v>6.4000000000000003E-3</v>
      </c>
      <c r="BQ13" s="18">
        <f t="shared" si="21"/>
        <v>43801</v>
      </c>
      <c r="BR13" s="24">
        <f t="shared" si="53"/>
        <v>6.4000000000000003E-3</v>
      </c>
      <c r="BT13" s="18">
        <f t="shared" si="22"/>
        <v>43801</v>
      </c>
      <c r="BU13" s="24">
        <f t="shared" si="54"/>
        <v>6.4000000000000003E-3</v>
      </c>
      <c r="BW13" s="18">
        <f t="shared" si="23"/>
        <v>43801</v>
      </c>
      <c r="BX13" s="24">
        <f t="shared" si="55"/>
        <v>6.4000000000000003E-3</v>
      </c>
      <c r="BZ13" s="18">
        <f t="shared" si="24"/>
        <v>43801</v>
      </c>
      <c r="CA13" s="24">
        <f t="shared" si="56"/>
        <v>6.4000000000000003E-3</v>
      </c>
      <c r="CC13" s="18">
        <f t="shared" si="25"/>
        <v>43801</v>
      </c>
      <c r="CD13" s="24">
        <f t="shared" si="57"/>
        <v>6.4000000000000003E-3</v>
      </c>
      <c r="CF13" s="18">
        <f t="shared" si="26"/>
        <v>43801</v>
      </c>
      <c r="CG13" s="24">
        <f t="shared" si="58"/>
        <v>6.4000000000000003E-3</v>
      </c>
      <c r="CI13" s="18">
        <f t="shared" si="27"/>
        <v>43801</v>
      </c>
      <c r="CJ13" s="24">
        <f t="shared" si="59"/>
        <v>6.4000000000000003E-3</v>
      </c>
      <c r="CL13" s="18">
        <f t="shared" si="28"/>
        <v>43801</v>
      </c>
      <c r="CM13" s="24">
        <f t="shared" si="60"/>
        <v>6.4000000000000003E-3</v>
      </c>
      <c r="CO13" s="18">
        <f t="shared" si="29"/>
        <v>43801</v>
      </c>
      <c r="CP13" s="24">
        <f t="shared" si="61"/>
        <v>6.4000000000000003E-3</v>
      </c>
      <c r="CR13" s="18">
        <f t="shared" si="30"/>
        <v>43801</v>
      </c>
      <c r="CS13" s="24">
        <f t="shared" si="62"/>
        <v>6.4000000000000003E-3</v>
      </c>
      <c r="CU13" s="18">
        <f t="shared" si="31"/>
        <v>43801</v>
      </c>
      <c r="CV13" s="24">
        <f t="shared" si="63"/>
        <v>6.4000000000000003E-3</v>
      </c>
      <c r="CX13" s="18">
        <f t="shared" si="32"/>
        <v>43801</v>
      </c>
      <c r="CY13" s="24">
        <f t="shared" si="64"/>
        <v>6.4000000000000003E-3</v>
      </c>
      <c r="DA13" s="18">
        <f t="shared" si="33"/>
        <v>43801</v>
      </c>
      <c r="DB13" s="24">
        <f t="shared" si="65"/>
        <v>6.4000000000000003E-3</v>
      </c>
      <c r="DD13" s="18">
        <f t="shared" si="34"/>
        <v>43801</v>
      </c>
      <c r="DE13" s="24">
        <f t="shared" si="76"/>
        <v>6.4000000000000003E-3</v>
      </c>
      <c r="DG13" s="18">
        <f t="shared" si="35"/>
        <v>43801</v>
      </c>
      <c r="DH13" s="24">
        <f t="shared" si="66"/>
        <v>6.4000000000000003E-3</v>
      </c>
      <c r="DJ13" s="18">
        <f t="shared" si="36"/>
        <v>43801</v>
      </c>
      <c r="DK13" s="24">
        <f t="shared" si="67"/>
        <v>6.4000000000000003E-3</v>
      </c>
      <c r="DM13" s="18">
        <f t="shared" si="37"/>
        <v>43801</v>
      </c>
      <c r="DN13" s="24">
        <f t="shared" si="68"/>
        <v>6.4000000000000003E-3</v>
      </c>
      <c r="DP13" s="18">
        <f t="shared" si="38"/>
        <v>43801</v>
      </c>
      <c r="DQ13" s="24">
        <f t="shared" si="77"/>
        <v>6.4000000000000003E-3</v>
      </c>
    </row>
    <row r="14" spans="1:123" x14ac:dyDescent="0.25">
      <c r="A14" s="4" t="str">
        <f t="shared" si="79"/>
        <v>Float (5M)</v>
      </c>
      <c r="B14" s="5">
        <f>+B13</f>
        <v>6.4000000000000003E-3</v>
      </c>
      <c r="C14" s="2" t="str">
        <f t="shared" si="80"/>
        <v>MB IM &gt;= 70%</v>
      </c>
      <c r="D14" s="16"/>
      <c r="E14" s="103">
        <v>5</v>
      </c>
      <c r="F14" s="64">
        <v>43704</v>
      </c>
      <c r="G14" s="16">
        <v>0</v>
      </c>
      <c r="H14" s="16">
        <v>2</v>
      </c>
      <c r="J14" s="30" t="s">
        <v>60</v>
      </c>
      <c r="K14" s="16">
        <v>9.9999999999999995E-8</v>
      </c>
      <c r="L14" s="16"/>
      <c r="M14" s="16"/>
      <c r="N14" s="100">
        <v>0.80547945205479454</v>
      </c>
      <c r="O14" s="18">
        <f>+F23</f>
        <v>43836</v>
      </c>
      <c r="P14" s="24">
        <f t="shared" si="39"/>
        <v>6.4000000000000003E-3</v>
      </c>
      <c r="Q14" s="21">
        <f t="shared" si="78"/>
        <v>1.1027704971243106</v>
      </c>
      <c r="R14" s="18">
        <f t="shared" si="81"/>
        <v>43836</v>
      </c>
      <c r="S14" s="24">
        <f t="shared" si="6"/>
        <v>6.4000000000000003E-3</v>
      </c>
      <c r="T14" s="21">
        <v>1</v>
      </c>
      <c r="U14" s="18">
        <f t="shared" si="82"/>
        <v>43836</v>
      </c>
      <c r="V14" s="24">
        <f t="shared" si="7"/>
        <v>6.4000000000000003E-3</v>
      </c>
      <c r="W14" s="21">
        <f t="shared" si="40"/>
        <v>0.90783043748792958</v>
      </c>
      <c r="X14" s="18">
        <f t="shared" si="83"/>
        <v>43836</v>
      </c>
      <c r="Y14" s="24">
        <f t="shared" si="8"/>
        <v>6.4000000000000003E-3</v>
      </c>
      <c r="Z14" s="21">
        <f t="shared" si="41"/>
        <v>1.4037322670482586</v>
      </c>
      <c r="AA14" s="18">
        <f t="shared" si="84"/>
        <v>43836</v>
      </c>
      <c r="AB14" s="24">
        <f t="shared" si="9"/>
        <v>6.4000000000000003E-3</v>
      </c>
      <c r="AC14" s="21">
        <f t="shared" si="42"/>
        <v>0.71293859353872446</v>
      </c>
      <c r="AD14" s="18">
        <f t="shared" si="4"/>
        <v>43836</v>
      </c>
      <c r="AE14" s="24"/>
      <c r="AG14" s="18">
        <f t="shared" si="5"/>
        <v>43836</v>
      </c>
      <c r="AH14" s="24"/>
      <c r="AJ14" s="18">
        <f t="shared" si="10"/>
        <v>43836</v>
      </c>
      <c r="AK14" s="24">
        <f>1+B17</f>
        <v>1.0064</v>
      </c>
      <c r="AM14" s="18">
        <f t="shared" si="11"/>
        <v>43836</v>
      </c>
      <c r="AN14" s="24">
        <f t="shared" si="43"/>
        <v>6.4000000000000003E-3</v>
      </c>
      <c r="AP14" s="18">
        <f t="shared" si="12"/>
        <v>43836</v>
      </c>
      <c r="AQ14" s="24">
        <f t="shared" si="44"/>
        <v>6.4000000000000003E-3</v>
      </c>
      <c r="AS14" s="18">
        <f t="shared" si="13"/>
        <v>43836</v>
      </c>
      <c r="AT14" s="24">
        <f t="shared" si="45"/>
        <v>6.4000000000000003E-3</v>
      </c>
      <c r="AV14" s="18">
        <f t="shared" si="14"/>
        <v>43836</v>
      </c>
      <c r="AW14" s="24">
        <f t="shared" si="46"/>
        <v>6.4000000000000003E-3</v>
      </c>
      <c r="AY14" s="18">
        <f t="shared" si="15"/>
        <v>43836</v>
      </c>
      <c r="AZ14" s="24">
        <f t="shared" si="47"/>
        <v>6.4000000000000003E-3</v>
      </c>
      <c r="BB14" s="18">
        <f t="shared" si="16"/>
        <v>43836</v>
      </c>
      <c r="BC14" s="24">
        <f t="shared" si="48"/>
        <v>6.4000000000000003E-3</v>
      </c>
      <c r="BE14" s="18">
        <f t="shared" si="17"/>
        <v>43836</v>
      </c>
      <c r="BF14" s="24">
        <f t="shared" si="49"/>
        <v>6.4000000000000003E-3</v>
      </c>
      <c r="BH14" s="18">
        <f t="shared" si="18"/>
        <v>43836</v>
      </c>
      <c r="BI14" s="24">
        <f t="shared" si="50"/>
        <v>6.4000000000000003E-3</v>
      </c>
      <c r="BK14" s="18">
        <f t="shared" si="19"/>
        <v>43836</v>
      </c>
      <c r="BL14" s="24">
        <f t="shared" si="51"/>
        <v>6.4000000000000003E-3</v>
      </c>
      <c r="BN14" s="18">
        <f t="shared" si="20"/>
        <v>43836</v>
      </c>
      <c r="BO14" s="24">
        <f t="shared" si="52"/>
        <v>6.4000000000000003E-3</v>
      </c>
      <c r="BQ14" s="18">
        <f t="shared" si="21"/>
        <v>43836</v>
      </c>
      <c r="BR14" s="24">
        <f t="shared" si="53"/>
        <v>6.4000000000000003E-3</v>
      </c>
      <c r="BT14" s="18">
        <f t="shared" si="22"/>
        <v>43836</v>
      </c>
      <c r="BU14" s="24">
        <f t="shared" si="54"/>
        <v>6.4000000000000003E-3</v>
      </c>
      <c r="BW14" s="18">
        <f t="shared" si="23"/>
        <v>43836</v>
      </c>
      <c r="BX14" s="24">
        <f t="shared" si="55"/>
        <v>6.4000000000000003E-3</v>
      </c>
      <c r="BZ14" s="18">
        <f t="shared" si="24"/>
        <v>43836</v>
      </c>
      <c r="CA14" s="24">
        <f t="shared" si="56"/>
        <v>6.4000000000000003E-3</v>
      </c>
      <c r="CC14" s="18">
        <f t="shared" si="25"/>
        <v>43836</v>
      </c>
      <c r="CD14" s="24">
        <f t="shared" si="57"/>
        <v>6.4000000000000003E-3</v>
      </c>
      <c r="CF14" s="18">
        <f t="shared" si="26"/>
        <v>43836</v>
      </c>
      <c r="CG14" s="24">
        <f t="shared" si="58"/>
        <v>6.4000000000000003E-3</v>
      </c>
      <c r="CI14" s="18">
        <f t="shared" si="27"/>
        <v>43836</v>
      </c>
      <c r="CJ14" s="24">
        <f t="shared" si="59"/>
        <v>6.4000000000000003E-3</v>
      </c>
      <c r="CL14" s="18">
        <f t="shared" si="28"/>
        <v>43836</v>
      </c>
      <c r="CM14" s="24">
        <f t="shared" si="60"/>
        <v>6.4000000000000003E-3</v>
      </c>
      <c r="CO14" s="18">
        <f t="shared" si="29"/>
        <v>43836</v>
      </c>
      <c r="CP14" s="24">
        <f t="shared" si="61"/>
        <v>6.4000000000000003E-3</v>
      </c>
      <c r="CR14" s="18">
        <f t="shared" si="30"/>
        <v>43836</v>
      </c>
      <c r="CS14" s="24">
        <f t="shared" si="62"/>
        <v>6.4000000000000003E-3</v>
      </c>
      <c r="CU14" s="18">
        <f t="shared" si="31"/>
        <v>43836</v>
      </c>
      <c r="CV14" s="24">
        <f t="shared" si="63"/>
        <v>6.4000000000000003E-3</v>
      </c>
      <c r="CX14" s="18">
        <f t="shared" si="32"/>
        <v>43836</v>
      </c>
      <c r="CY14" s="24">
        <f t="shared" si="64"/>
        <v>6.4000000000000003E-3</v>
      </c>
      <c r="DA14" s="18">
        <f t="shared" si="33"/>
        <v>43836</v>
      </c>
      <c r="DB14" s="24">
        <f t="shared" si="65"/>
        <v>6.4000000000000003E-3</v>
      </c>
      <c r="DD14" s="18">
        <f t="shared" si="34"/>
        <v>43836</v>
      </c>
      <c r="DE14" s="24">
        <f t="shared" si="76"/>
        <v>6.4000000000000003E-3</v>
      </c>
      <c r="DG14" s="18">
        <f t="shared" si="35"/>
        <v>43836</v>
      </c>
      <c r="DH14" s="24">
        <f t="shared" si="66"/>
        <v>6.4000000000000003E-3</v>
      </c>
      <c r="DJ14" s="18">
        <f t="shared" si="36"/>
        <v>43836</v>
      </c>
      <c r="DK14" s="24">
        <f t="shared" si="67"/>
        <v>6.4000000000000003E-3</v>
      </c>
      <c r="DM14" s="18">
        <f t="shared" si="37"/>
        <v>43836</v>
      </c>
      <c r="DN14" s="24">
        <f t="shared" si="68"/>
        <v>6.4000000000000003E-3</v>
      </c>
      <c r="DP14" s="18">
        <f t="shared" si="38"/>
        <v>43836</v>
      </c>
      <c r="DQ14" s="24">
        <f t="shared" si="77"/>
        <v>6.4000000000000003E-3</v>
      </c>
    </row>
    <row r="15" spans="1:123" x14ac:dyDescent="0.25">
      <c r="A15" s="4" t="str">
        <f t="shared" si="79"/>
        <v>Float (6M)</v>
      </c>
      <c r="B15" s="5">
        <f>+B9</f>
        <v>6.4000000000000003E-3</v>
      </c>
      <c r="C15" s="2" t="str">
        <f t="shared" si="80"/>
        <v>MB IM &gt;= 70%</v>
      </c>
      <c r="E15" s="103">
        <v>6</v>
      </c>
      <c r="F15" s="64">
        <v>43710</v>
      </c>
      <c r="G15" s="16">
        <v>1</v>
      </c>
      <c r="H15" s="16">
        <v>0</v>
      </c>
      <c r="L15" s="16"/>
      <c r="M15" s="16"/>
      <c r="N15" s="100">
        <v>0.8849315068493151</v>
      </c>
      <c r="O15" s="18">
        <f>+F25</f>
        <v>43865</v>
      </c>
      <c r="P15" s="24">
        <f t="shared" si="39"/>
        <v>6.4000000000000003E-3</v>
      </c>
      <c r="Q15" s="21">
        <f t="shared" si="78"/>
        <v>1.1154065926991268</v>
      </c>
      <c r="R15" s="18">
        <f t="shared" si="81"/>
        <v>43865</v>
      </c>
      <c r="S15" s="24">
        <f t="shared" si="6"/>
        <v>6.4000000000000003E-3</v>
      </c>
      <c r="T15" s="21">
        <v>1</v>
      </c>
      <c r="U15" s="18">
        <f t="shared" si="82"/>
        <v>43865</v>
      </c>
      <c r="V15" s="24">
        <f t="shared" si="7"/>
        <v>6.4000000000000003E-3</v>
      </c>
      <c r="W15" s="21">
        <f t="shared" si="40"/>
        <v>0.89766382790813393</v>
      </c>
      <c r="X15" s="18">
        <f t="shared" si="83"/>
        <v>43865</v>
      </c>
      <c r="Y15" s="24">
        <f t="shared" si="8"/>
        <v>6.4000000000000003E-3</v>
      </c>
      <c r="Z15" s="21">
        <f t="shared" si="41"/>
        <v>1.4602858406162786</v>
      </c>
      <c r="AA15" s="18">
        <f t="shared" si="84"/>
        <v>43865</v>
      </c>
      <c r="AB15" s="24">
        <f t="shared" si="9"/>
        <v>0</v>
      </c>
      <c r="AC15" s="21">
        <f t="shared" si="42"/>
        <v>0.68538992142323396</v>
      </c>
      <c r="AD15" s="18">
        <f t="shared" si="4"/>
        <v>43865</v>
      </c>
      <c r="AE15" s="24"/>
      <c r="AG15" s="18">
        <f t="shared" si="5"/>
        <v>43865</v>
      </c>
      <c r="AH15" s="24"/>
      <c r="AJ15" s="18">
        <f t="shared" si="10"/>
        <v>43865</v>
      </c>
      <c r="AK15" s="24"/>
      <c r="AM15" s="18">
        <f t="shared" si="11"/>
        <v>43865</v>
      </c>
      <c r="AN15" s="24">
        <f>1+B18</f>
        <v>1.0064</v>
      </c>
      <c r="AP15" s="18">
        <f t="shared" si="12"/>
        <v>43865</v>
      </c>
      <c r="AQ15" s="24">
        <f t="shared" si="44"/>
        <v>6.4000000000000003E-3</v>
      </c>
      <c r="AS15" s="18">
        <f t="shared" si="13"/>
        <v>43865</v>
      </c>
      <c r="AT15" s="24">
        <f t="shared" si="45"/>
        <v>6.4000000000000003E-3</v>
      </c>
      <c r="AV15" s="18">
        <f t="shared" si="14"/>
        <v>43865</v>
      </c>
      <c r="AW15" s="24">
        <f t="shared" si="46"/>
        <v>6.4000000000000003E-3</v>
      </c>
      <c r="AY15" s="18">
        <f t="shared" si="15"/>
        <v>43865</v>
      </c>
      <c r="AZ15" s="24">
        <f t="shared" si="47"/>
        <v>6.4000000000000003E-3</v>
      </c>
      <c r="BB15" s="18">
        <f t="shared" si="16"/>
        <v>43865</v>
      </c>
      <c r="BC15" s="24">
        <f t="shared" si="48"/>
        <v>6.4000000000000003E-3</v>
      </c>
      <c r="BE15" s="18">
        <f t="shared" si="17"/>
        <v>43865</v>
      </c>
      <c r="BF15" s="24">
        <f t="shared" si="49"/>
        <v>6.4000000000000003E-3</v>
      </c>
      <c r="BH15" s="18">
        <f t="shared" si="18"/>
        <v>43865</v>
      </c>
      <c r="BI15" s="24">
        <f t="shared" si="50"/>
        <v>6.4000000000000003E-3</v>
      </c>
      <c r="BK15" s="18">
        <f t="shared" si="19"/>
        <v>43865</v>
      </c>
      <c r="BL15" s="24">
        <f t="shared" si="51"/>
        <v>6.4000000000000003E-3</v>
      </c>
      <c r="BN15" s="18">
        <f t="shared" si="20"/>
        <v>43865</v>
      </c>
      <c r="BO15" s="24">
        <f t="shared" si="52"/>
        <v>6.4000000000000003E-3</v>
      </c>
      <c r="BQ15" s="18">
        <f t="shared" si="21"/>
        <v>43865</v>
      </c>
      <c r="BR15" s="24">
        <f t="shared" si="53"/>
        <v>6.4000000000000003E-3</v>
      </c>
      <c r="BT15" s="18">
        <f t="shared" si="22"/>
        <v>43865</v>
      </c>
      <c r="BU15" s="24">
        <f t="shared" si="54"/>
        <v>6.4000000000000003E-3</v>
      </c>
      <c r="BW15" s="18">
        <f t="shared" si="23"/>
        <v>43865</v>
      </c>
      <c r="BX15" s="24">
        <f t="shared" si="55"/>
        <v>6.4000000000000003E-3</v>
      </c>
      <c r="BZ15" s="18">
        <f t="shared" si="24"/>
        <v>43865</v>
      </c>
      <c r="CA15" s="24">
        <f t="shared" si="56"/>
        <v>6.4000000000000003E-3</v>
      </c>
      <c r="CC15" s="18">
        <f t="shared" si="25"/>
        <v>43865</v>
      </c>
      <c r="CD15" s="24">
        <f t="shared" si="57"/>
        <v>6.4000000000000003E-3</v>
      </c>
      <c r="CF15" s="18">
        <f t="shared" si="26"/>
        <v>43865</v>
      </c>
      <c r="CG15" s="24">
        <f t="shared" si="58"/>
        <v>6.4000000000000003E-3</v>
      </c>
      <c r="CI15" s="18">
        <f t="shared" si="27"/>
        <v>43865</v>
      </c>
      <c r="CJ15" s="24">
        <f t="shared" si="59"/>
        <v>6.4000000000000003E-3</v>
      </c>
      <c r="CL15" s="18">
        <f t="shared" si="28"/>
        <v>43865</v>
      </c>
      <c r="CM15" s="24">
        <f t="shared" si="60"/>
        <v>6.4000000000000003E-3</v>
      </c>
      <c r="CO15" s="18">
        <f t="shared" si="29"/>
        <v>43865</v>
      </c>
      <c r="CP15" s="24">
        <f t="shared" si="61"/>
        <v>6.4000000000000003E-3</v>
      </c>
      <c r="CR15" s="18">
        <f t="shared" si="30"/>
        <v>43865</v>
      </c>
      <c r="CS15" s="24">
        <f t="shared" si="62"/>
        <v>6.4000000000000003E-3</v>
      </c>
      <c r="CU15" s="18">
        <f t="shared" si="31"/>
        <v>43865</v>
      </c>
      <c r="CV15" s="24">
        <f t="shared" si="63"/>
        <v>6.4000000000000003E-3</v>
      </c>
      <c r="CX15" s="18">
        <f t="shared" si="32"/>
        <v>43865</v>
      </c>
      <c r="CY15" s="24">
        <f t="shared" si="64"/>
        <v>6.4000000000000003E-3</v>
      </c>
      <c r="DA15" s="18">
        <f t="shared" si="33"/>
        <v>43865</v>
      </c>
      <c r="DB15" s="24">
        <f t="shared" si="65"/>
        <v>6.4000000000000003E-3</v>
      </c>
      <c r="DD15" s="18">
        <f t="shared" si="34"/>
        <v>43865</v>
      </c>
      <c r="DE15" s="24">
        <f t="shared" si="76"/>
        <v>6.4000000000000003E-3</v>
      </c>
      <c r="DG15" s="18">
        <f t="shared" si="35"/>
        <v>43865</v>
      </c>
      <c r="DH15" s="24">
        <f t="shared" si="66"/>
        <v>6.4000000000000003E-3</v>
      </c>
      <c r="DJ15" s="18">
        <f t="shared" si="36"/>
        <v>43865</v>
      </c>
      <c r="DK15" s="24">
        <f t="shared" si="67"/>
        <v>6.4000000000000003E-3</v>
      </c>
      <c r="DM15" s="18">
        <f t="shared" si="37"/>
        <v>43865</v>
      </c>
      <c r="DN15" s="24">
        <f t="shared" si="68"/>
        <v>6.4000000000000003E-3</v>
      </c>
      <c r="DP15" s="18">
        <f t="shared" si="38"/>
        <v>43865</v>
      </c>
      <c r="DQ15" s="24">
        <f t="shared" si="77"/>
        <v>6.4000000000000003E-3</v>
      </c>
    </row>
    <row r="16" spans="1:123" x14ac:dyDescent="0.25">
      <c r="A16" s="4" t="str">
        <f t="shared" si="79"/>
        <v>Float (7M)</v>
      </c>
      <c r="B16" s="5">
        <f>+B15</f>
        <v>6.4000000000000003E-3</v>
      </c>
      <c r="C16" s="2" t="str">
        <f t="shared" si="80"/>
        <v>MB IM &gt;= 70%</v>
      </c>
      <c r="E16" s="103">
        <v>7</v>
      </c>
      <c r="F16" s="64">
        <v>43734</v>
      </c>
      <c r="G16" s="16">
        <v>0</v>
      </c>
      <c r="H16" s="16">
        <v>2</v>
      </c>
      <c r="K16" s="16"/>
      <c r="L16" s="16"/>
      <c r="M16" s="16"/>
      <c r="N16" s="100">
        <v>0.96438356164383565</v>
      </c>
      <c r="O16" s="18">
        <f>+F27</f>
        <v>43894</v>
      </c>
      <c r="P16" s="24">
        <f t="shared" si="39"/>
        <v>6.4000000000000003E-3</v>
      </c>
      <c r="Q16" s="21">
        <f t="shared" si="78"/>
        <v>1.1281874789731792</v>
      </c>
      <c r="R16" s="18">
        <f t="shared" si="81"/>
        <v>43894</v>
      </c>
      <c r="S16" s="24">
        <f t="shared" si="6"/>
        <v>6.4000000000000003E-3</v>
      </c>
      <c r="T16" s="21">
        <v>1</v>
      </c>
      <c r="U16" s="18">
        <f t="shared" si="82"/>
        <v>43894</v>
      </c>
      <c r="V16" s="24">
        <f t="shared" si="7"/>
        <v>6.4000000000000003E-3</v>
      </c>
      <c r="W16" s="21">
        <f t="shared" si="40"/>
        <v>0.88761107213415902</v>
      </c>
      <c r="X16" s="18">
        <f t="shared" si="83"/>
        <v>43894</v>
      </c>
      <c r="Y16" s="24">
        <f t="shared" si="8"/>
        <v>6.4000000000000003E-3</v>
      </c>
      <c r="Z16" s="21">
        <f t="shared" si="41"/>
        <v>1.5191178448782363</v>
      </c>
      <c r="AA16" s="18">
        <f t="shared" si="84"/>
        <v>43894</v>
      </c>
      <c r="AB16" s="24">
        <f t="shared" si="9"/>
        <v>0</v>
      </c>
      <c r="AC16" s="21">
        <f t="shared" si="42"/>
        <v>0.65890575800765794</v>
      </c>
      <c r="AD16" s="18">
        <f t="shared" si="4"/>
        <v>43894</v>
      </c>
      <c r="AE16" s="24"/>
      <c r="AG16" s="18">
        <f t="shared" si="5"/>
        <v>43894</v>
      </c>
      <c r="AH16" s="24"/>
      <c r="AJ16" s="18">
        <f t="shared" si="10"/>
        <v>43894</v>
      </c>
      <c r="AK16" s="24"/>
      <c r="AM16" s="18">
        <f t="shared" si="11"/>
        <v>43894</v>
      </c>
      <c r="AN16" s="24"/>
      <c r="AP16" s="18">
        <f t="shared" si="12"/>
        <v>43894</v>
      </c>
      <c r="AQ16" s="24">
        <f>1+B19</f>
        <v>1.0064</v>
      </c>
      <c r="AS16" s="18">
        <f t="shared" si="13"/>
        <v>43894</v>
      </c>
      <c r="AT16" s="24">
        <f t="shared" si="45"/>
        <v>6.4000000000000003E-3</v>
      </c>
      <c r="AV16" s="18">
        <f t="shared" si="14"/>
        <v>43894</v>
      </c>
      <c r="AW16" s="24">
        <f t="shared" si="46"/>
        <v>6.4000000000000003E-3</v>
      </c>
      <c r="AY16" s="18">
        <f t="shared" si="15"/>
        <v>43894</v>
      </c>
      <c r="AZ16" s="24">
        <f t="shared" si="47"/>
        <v>6.4000000000000003E-3</v>
      </c>
      <c r="BB16" s="18">
        <f t="shared" si="16"/>
        <v>43894</v>
      </c>
      <c r="BC16" s="24">
        <f t="shared" si="48"/>
        <v>6.4000000000000003E-3</v>
      </c>
      <c r="BE16" s="18">
        <f t="shared" si="17"/>
        <v>43894</v>
      </c>
      <c r="BF16" s="24">
        <f t="shared" si="49"/>
        <v>6.4000000000000003E-3</v>
      </c>
      <c r="BH16" s="18">
        <f t="shared" si="18"/>
        <v>43894</v>
      </c>
      <c r="BI16" s="24">
        <f t="shared" si="50"/>
        <v>6.4000000000000003E-3</v>
      </c>
      <c r="BK16" s="18">
        <f t="shared" si="19"/>
        <v>43894</v>
      </c>
      <c r="BL16" s="24">
        <f t="shared" si="51"/>
        <v>6.4000000000000003E-3</v>
      </c>
      <c r="BN16" s="18">
        <f t="shared" si="20"/>
        <v>43894</v>
      </c>
      <c r="BO16" s="24">
        <f t="shared" si="52"/>
        <v>6.4000000000000003E-3</v>
      </c>
      <c r="BQ16" s="18">
        <f t="shared" si="21"/>
        <v>43894</v>
      </c>
      <c r="BR16" s="24">
        <f t="shared" si="53"/>
        <v>6.4000000000000003E-3</v>
      </c>
      <c r="BT16" s="18">
        <f t="shared" si="22"/>
        <v>43894</v>
      </c>
      <c r="BU16" s="24">
        <f t="shared" si="54"/>
        <v>6.4000000000000003E-3</v>
      </c>
      <c r="BW16" s="18">
        <f t="shared" si="23"/>
        <v>43894</v>
      </c>
      <c r="BX16" s="24">
        <f t="shared" si="55"/>
        <v>6.4000000000000003E-3</v>
      </c>
      <c r="BZ16" s="18">
        <f t="shared" si="24"/>
        <v>43894</v>
      </c>
      <c r="CA16" s="24">
        <f t="shared" si="56"/>
        <v>6.4000000000000003E-3</v>
      </c>
      <c r="CC16" s="18">
        <f t="shared" si="25"/>
        <v>43894</v>
      </c>
      <c r="CD16" s="24">
        <f t="shared" si="57"/>
        <v>6.4000000000000003E-3</v>
      </c>
      <c r="CF16" s="18">
        <f t="shared" si="26"/>
        <v>43894</v>
      </c>
      <c r="CG16" s="24">
        <f t="shared" si="58"/>
        <v>6.4000000000000003E-3</v>
      </c>
      <c r="CI16" s="18">
        <f t="shared" si="27"/>
        <v>43894</v>
      </c>
      <c r="CJ16" s="24">
        <f t="shared" si="59"/>
        <v>6.4000000000000003E-3</v>
      </c>
      <c r="CL16" s="18">
        <f t="shared" si="28"/>
        <v>43894</v>
      </c>
      <c r="CM16" s="24">
        <f t="shared" si="60"/>
        <v>6.4000000000000003E-3</v>
      </c>
      <c r="CO16" s="18">
        <f t="shared" si="29"/>
        <v>43894</v>
      </c>
      <c r="CP16" s="24">
        <f t="shared" si="61"/>
        <v>6.4000000000000003E-3</v>
      </c>
      <c r="CR16" s="18">
        <f t="shared" si="30"/>
        <v>43894</v>
      </c>
      <c r="CS16" s="24">
        <f t="shared" si="62"/>
        <v>6.4000000000000003E-3</v>
      </c>
      <c r="CU16" s="18">
        <f t="shared" si="31"/>
        <v>43894</v>
      </c>
      <c r="CV16" s="24">
        <f t="shared" si="63"/>
        <v>6.4000000000000003E-3</v>
      </c>
      <c r="CX16" s="18">
        <f t="shared" si="32"/>
        <v>43894</v>
      </c>
      <c r="CY16" s="24">
        <f t="shared" si="64"/>
        <v>6.4000000000000003E-3</v>
      </c>
      <c r="DA16" s="18">
        <f t="shared" si="33"/>
        <v>43894</v>
      </c>
      <c r="DB16" s="24">
        <f t="shared" si="65"/>
        <v>6.4000000000000003E-3</v>
      </c>
      <c r="DD16" s="18">
        <f t="shared" si="34"/>
        <v>43894</v>
      </c>
      <c r="DE16" s="24">
        <f t="shared" si="76"/>
        <v>6.4000000000000003E-3</v>
      </c>
      <c r="DG16" s="18">
        <f t="shared" si="35"/>
        <v>43894</v>
      </c>
      <c r="DH16" s="24">
        <f t="shared" si="66"/>
        <v>6.4000000000000003E-3</v>
      </c>
      <c r="DJ16" s="18">
        <f t="shared" si="36"/>
        <v>43894</v>
      </c>
      <c r="DK16" s="24">
        <f t="shared" si="67"/>
        <v>6.4000000000000003E-3</v>
      </c>
      <c r="DM16" s="18">
        <f t="shared" si="37"/>
        <v>43894</v>
      </c>
      <c r="DN16" s="24">
        <f t="shared" si="68"/>
        <v>6.4000000000000003E-3</v>
      </c>
      <c r="DP16" s="18">
        <f t="shared" si="38"/>
        <v>43894</v>
      </c>
      <c r="DQ16" s="24">
        <f t="shared" si="77"/>
        <v>6.4000000000000003E-3</v>
      </c>
    </row>
    <row r="17" spans="1:121" x14ac:dyDescent="0.25">
      <c r="A17" s="4" t="str">
        <f t="shared" si="79"/>
        <v>Float (8M)</v>
      </c>
      <c r="B17" s="5">
        <f t="shared" ref="B17:B45" si="85">+B16</f>
        <v>6.4000000000000003E-3</v>
      </c>
      <c r="C17" s="2" t="str">
        <f t="shared" si="80"/>
        <v>MB IM &gt;= 70%</v>
      </c>
      <c r="E17" s="103">
        <v>8</v>
      </c>
      <c r="F17" s="64">
        <v>43740</v>
      </c>
      <c r="G17" s="16">
        <v>1</v>
      </c>
      <c r="H17" s="16">
        <v>0</v>
      </c>
      <c r="L17" s="16"/>
      <c r="M17" s="16"/>
      <c r="N17" s="100">
        <v>1.0547945205479452</v>
      </c>
      <c r="O17" s="18">
        <f>+F29</f>
        <v>43927</v>
      </c>
      <c r="P17" s="24">
        <f t="shared" si="39"/>
        <v>6.4000000000000003E-3</v>
      </c>
      <c r="Q17" s="21">
        <f t="shared" si="78"/>
        <v>1.1429094825724233</v>
      </c>
      <c r="R17" s="18">
        <f t="shared" si="81"/>
        <v>43927</v>
      </c>
      <c r="S17" s="24">
        <f t="shared" si="6"/>
        <v>6.4000000000000003E-3</v>
      </c>
      <c r="T17" s="21">
        <v>1</v>
      </c>
      <c r="U17" s="18">
        <f t="shared" si="82"/>
        <v>43927</v>
      </c>
      <c r="V17" s="24">
        <f t="shared" si="7"/>
        <v>6.4000000000000003E-3</v>
      </c>
      <c r="W17" s="21">
        <f t="shared" si="40"/>
        <v>0.87630860052180037</v>
      </c>
      <c r="X17" s="18">
        <f t="shared" si="83"/>
        <v>43927</v>
      </c>
      <c r="Y17" s="24">
        <f t="shared" si="8"/>
        <v>6.4000000000000003E-3</v>
      </c>
      <c r="Z17" s="21">
        <f t="shared" si="41"/>
        <v>1.5889530652477484</v>
      </c>
      <c r="AA17" s="18">
        <f t="shared" si="84"/>
        <v>43927</v>
      </c>
      <c r="AB17" s="24">
        <f t="shared" si="9"/>
        <v>0</v>
      </c>
      <c r="AC17" s="21">
        <f t="shared" si="42"/>
        <v>0.6300112188614676</v>
      </c>
      <c r="AD17" s="18">
        <f t="shared" si="4"/>
        <v>43927</v>
      </c>
      <c r="AE17" s="24"/>
      <c r="AG17" s="18">
        <f t="shared" si="5"/>
        <v>43927</v>
      </c>
      <c r="AH17" s="24"/>
      <c r="AJ17" s="18">
        <f t="shared" si="10"/>
        <v>43927</v>
      </c>
      <c r="AK17" s="24"/>
      <c r="AM17" s="18">
        <f t="shared" si="11"/>
        <v>43927</v>
      </c>
      <c r="AN17" s="24"/>
      <c r="AP17" s="18">
        <f t="shared" si="12"/>
        <v>43927</v>
      </c>
      <c r="AQ17" s="24"/>
      <c r="AS17" s="18">
        <f t="shared" si="13"/>
        <v>43927</v>
      </c>
      <c r="AT17" s="24">
        <f>1+B20</f>
        <v>1.0064</v>
      </c>
      <c r="AV17" s="18">
        <f t="shared" si="14"/>
        <v>43927</v>
      </c>
      <c r="AW17" s="24">
        <f t="shared" si="46"/>
        <v>6.4000000000000003E-3</v>
      </c>
      <c r="AY17" s="18">
        <f t="shared" si="15"/>
        <v>43927</v>
      </c>
      <c r="AZ17" s="24">
        <f t="shared" si="47"/>
        <v>6.4000000000000003E-3</v>
      </c>
      <c r="BB17" s="18">
        <f t="shared" si="16"/>
        <v>43927</v>
      </c>
      <c r="BC17" s="24">
        <f t="shared" si="48"/>
        <v>6.4000000000000003E-3</v>
      </c>
      <c r="BE17" s="18">
        <f t="shared" si="17"/>
        <v>43927</v>
      </c>
      <c r="BF17" s="24">
        <f t="shared" si="49"/>
        <v>6.4000000000000003E-3</v>
      </c>
      <c r="BH17" s="18">
        <f t="shared" si="18"/>
        <v>43927</v>
      </c>
      <c r="BI17" s="24">
        <f t="shared" si="50"/>
        <v>6.4000000000000003E-3</v>
      </c>
      <c r="BK17" s="18">
        <f t="shared" si="19"/>
        <v>43927</v>
      </c>
      <c r="BL17" s="24">
        <f t="shared" si="51"/>
        <v>6.4000000000000003E-3</v>
      </c>
      <c r="BN17" s="18">
        <f t="shared" si="20"/>
        <v>43927</v>
      </c>
      <c r="BO17" s="24">
        <f t="shared" si="52"/>
        <v>6.4000000000000003E-3</v>
      </c>
      <c r="BQ17" s="18">
        <f t="shared" si="21"/>
        <v>43927</v>
      </c>
      <c r="BR17" s="24">
        <f t="shared" si="53"/>
        <v>6.4000000000000003E-3</v>
      </c>
      <c r="BT17" s="18">
        <f t="shared" si="22"/>
        <v>43927</v>
      </c>
      <c r="BU17" s="24">
        <f t="shared" si="54"/>
        <v>6.4000000000000003E-3</v>
      </c>
      <c r="BW17" s="18">
        <f t="shared" si="23"/>
        <v>43927</v>
      </c>
      <c r="BX17" s="24">
        <f t="shared" si="55"/>
        <v>6.4000000000000003E-3</v>
      </c>
      <c r="BZ17" s="18">
        <f t="shared" si="24"/>
        <v>43927</v>
      </c>
      <c r="CA17" s="24">
        <f t="shared" si="56"/>
        <v>6.4000000000000003E-3</v>
      </c>
      <c r="CC17" s="18">
        <f t="shared" si="25"/>
        <v>43927</v>
      </c>
      <c r="CD17" s="24">
        <f t="shared" si="57"/>
        <v>6.4000000000000003E-3</v>
      </c>
      <c r="CF17" s="18">
        <f t="shared" si="26"/>
        <v>43927</v>
      </c>
      <c r="CG17" s="24">
        <f t="shared" si="58"/>
        <v>6.4000000000000003E-3</v>
      </c>
      <c r="CI17" s="18">
        <f t="shared" si="27"/>
        <v>43927</v>
      </c>
      <c r="CJ17" s="24">
        <f t="shared" si="59"/>
        <v>6.4000000000000003E-3</v>
      </c>
      <c r="CL17" s="18">
        <f t="shared" si="28"/>
        <v>43927</v>
      </c>
      <c r="CM17" s="24">
        <f t="shared" si="60"/>
        <v>6.4000000000000003E-3</v>
      </c>
      <c r="CO17" s="18">
        <f t="shared" si="29"/>
        <v>43927</v>
      </c>
      <c r="CP17" s="24">
        <f t="shared" si="61"/>
        <v>6.4000000000000003E-3</v>
      </c>
      <c r="CR17" s="18">
        <f t="shared" si="30"/>
        <v>43927</v>
      </c>
      <c r="CS17" s="24">
        <f t="shared" si="62"/>
        <v>6.4000000000000003E-3</v>
      </c>
      <c r="CU17" s="18">
        <f t="shared" si="31"/>
        <v>43927</v>
      </c>
      <c r="CV17" s="24">
        <f t="shared" si="63"/>
        <v>6.4000000000000003E-3</v>
      </c>
      <c r="CX17" s="18">
        <f t="shared" si="32"/>
        <v>43927</v>
      </c>
      <c r="CY17" s="24">
        <f t="shared" si="64"/>
        <v>6.4000000000000003E-3</v>
      </c>
      <c r="DA17" s="18">
        <f t="shared" si="33"/>
        <v>43927</v>
      </c>
      <c r="DB17" s="24">
        <f t="shared" si="65"/>
        <v>6.4000000000000003E-3</v>
      </c>
      <c r="DD17" s="18">
        <f t="shared" si="34"/>
        <v>43927</v>
      </c>
      <c r="DE17" s="24">
        <f t="shared" si="76"/>
        <v>6.4000000000000003E-3</v>
      </c>
      <c r="DG17" s="18">
        <f t="shared" si="35"/>
        <v>43927</v>
      </c>
      <c r="DH17" s="24">
        <f t="shared" si="66"/>
        <v>6.4000000000000003E-3</v>
      </c>
      <c r="DJ17" s="18">
        <f t="shared" si="36"/>
        <v>43927</v>
      </c>
      <c r="DK17" s="24">
        <f t="shared" si="67"/>
        <v>6.4000000000000003E-3</v>
      </c>
      <c r="DM17" s="18">
        <f t="shared" si="37"/>
        <v>43927</v>
      </c>
      <c r="DN17" s="24">
        <f t="shared" si="68"/>
        <v>6.4000000000000003E-3</v>
      </c>
      <c r="DP17" s="18">
        <f t="shared" si="38"/>
        <v>43927</v>
      </c>
      <c r="DQ17" s="24">
        <f t="shared" si="77"/>
        <v>6.4000000000000003E-3</v>
      </c>
    </row>
    <row r="18" spans="1:121" x14ac:dyDescent="0.25">
      <c r="A18" s="4" t="str">
        <f t="shared" si="79"/>
        <v>Float (9M)</v>
      </c>
      <c r="B18" s="5">
        <f t="shared" si="85"/>
        <v>6.4000000000000003E-3</v>
      </c>
      <c r="C18" s="2" t="str">
        <f t="shared" si="80"/>
        <v>MB IM &gt;= 70%</v>
      </c>
      <c r="E18" s="103">
        <v>9</v>
      </c>
      <c r="F18" s="64">
        <v>43767</v>
      </c>
      <c r="G18" s="16">
        <v>0</v>
      </c>
      <c r="H18" s="16">
        <v>2</v>
      </c>
      <c r="M18" s="16"/>
      <c r="N18" s="100">
        <v>1.1342465753424658</v>
      </c>
      <c r="O18" s="18">
        <f>+F31</f>
        <v>43956</v>
      </c>
      <c r="P18" s="24">
        <f t="shared" si="39"/>
        <v>6.4000000000000003E-3</v>
      </c>
      <c r="Q18" s="21">
        <f t="shared" si="78"/>
        <v>1.1560055107059368</v>
      </c>
      <c r="R18" s="18">
        <f t="shared" si="81"/>
        <v>43956</v>
      </c>
      <c r="S18" s="24">
        <f t="shared" si="6"/>
        <v>6.4000000000000003E-3</v>
      </c>
      <c r="T18" s="21">
        <v>1</v>
      </c>
      <c r="U18" s="18">
        <f t="shared" si="82"/>
        <v>43956</v>
      </c>
      <c r="V18" s="24">
        <f t="shared" si="7"/>
        <v>6.4000000000000003E-3</v>
      </c>
      <c r="W18" s="21">
        <f t="shared" si="40"/>
        <v>0.86649499762303139</v>
      </c>
      <c r="X18" s="18">
        <f t="shared" si="83"/>
        <v>43956</v>
      </c>
      <c r="Y18" s="24">
        <f t="shared" si="8"/>
        <v>6.4000000000000003E-3</v>
      </c>
      <c r="Z18" s="21">
        <f t="shared" si="41"/>
        <v>1.65296881538832</v>
      </c>
      <c r="AA18" s="18">
        <f t="shared" si="84"/>
        <v>43956</v>
      </c>
      <c r="AB18" s="24">
        <f t="shared" si="9"/>
        <v>0</v>
      </c>
      <c r="AC18" s="21">
        <f t="shared" si="42"/>
        <v>0.60566694481768579</v>
      </c>
      <c r="AD18" s="18">
        <f t="shared" si="4"/>
        <v>43956</v>
      </c>
      <c r="AE18" s="24"/>
      <c r="AG18" s="18">
        <f t="shared" si="5"/>
        <v>43956</v>
      </c>
      <c r="AH18" s="24"/>
      <c r="AJ18" s="18">
        <f t="shared" si="10"/>
        <v>43956</v>
      </c>
      <c r="AK18" s="24"/>
      <c r="AM18" s="18">
        <f t="shared" si="11"/>
        <v>43956</v>
      </c>
      <c r="AN18" s="24"/>
      <c r="AP18" s="18">
        <f t="shared" si="12"/>
        <v>43956</v>
      </c>
      <c r="AQ18" s="24"/>
      <c r="AS18" s="18">
        <f t="shared" si="13"/>
        <v>43956</v>
      </c>
      <c r="AT18" s="24"/>
      <c r="AV18" s="18">
        <f t="shared" si="14"/>
        <v>43956</v>
      </c>
      <c r="AW18" s="24">
        <f>1+B21</f>
        <v>1.0064</v>
      </c>
      <c r="AY18" s="18">
        <f t="shared" si="15"/>
        <v>43956</v>
      </c>
      <c r="AZ18" s="24">
        <f t="shared" si="47"/>
        <v>6.4000000000000003E-3</v>
      </c>
      <c r="BB18" s="18">
        <f t="shared" si="16"/>
        <v>43956</v>
      </c>
      <c r="BC18" s="24">
        <f t="shared" si="48"/>
        <v>6.4000000000000003E-3</v>
      </c>
      <c r="BE18" s="18">
        <f t="shared" si="17"/>
        <v>43956</v>
      </c>
      <c r="BF18" s="24">
        <f t="shared" si="49"/>
        <v>6.4000000000000003E-3</v>
      </c>
      <c r="BH18" s="18">
        <f t="shared" si="18"/>
        <v>43956</v>
      </c>
      <c r="BI18" s="24">
        <f t="shared" si="50"/>
        <v>6.4000000000000003E-3</v>
      </c>
      <c r="BK18" s="18">
        <f t="shared" si="19"/>
        <v>43956</v>
      </c>
      <c r="BL18" s="24">
        <f t="shared" si="51"/>
        <v>6.4000000000000003E-3</v>
      </c>
      <c r="BN18" s="18">
        <f t="shared" si="20"/>
        <v>43956</v>
      </c>
      <c r="BO18" s="24">
        <f t="shared" si="52"/>
        <v>6.4000000000000003E-3</v>
      </c>
      <c r="BQ18" s="18">
        <f t="shared" si="21"/>
        <v>43956</v>
      </c>
      <c r="BR18" s="24">
        <f t="shared" si="53"/>
        <v>6.4000000000000003E-3</v>
      </c>
      <c r="BT18" s="18">
        <f t="shared" si="22"/>
        <v>43956</v>
      </c>
      <c r="BU18" s="24">
        <f t="shared" si="54"/>
        <v>6.4000000000000003E-3</v>
      </c>
      <c r="BW18" s="18">
        <f t="shared" si="23"/>
        <v>43956</v>
      </c>
      <c r="BX18" s="24">
        <f t="shared" si="55"/>
        <v>6.4000000000000003E-3</v>
      </c>
      <c r="BZ18" s="18">
        <f t="shared" si="24"/>
        <v>43956</v>
      </c>
      <c r="CA18" s="24">
        <f t="shared" si="56"/>
        <v>6.4000000000000003E-3</v>
      </c>
      <c r="CC18" s="18">
        <f t="shared" si="25"/>
        <v>43956</v>
      </c>
      <c r="CD18" s="24">
        <f t="shared" si="57"/>
        <v>6.4000000000000003E-3</v>
      </c>
      <c r="CF18" s="18">
        <f t="shared" si="26"/>
        <v>43956</v>
      </c>
      <c r="CG18" s="24">
        <f t="shared" si="58"/>
        <v>6.4000000000000003E-3</v>
      </c>
      <c r="CI18" s="18">
        <f t="shared" si="27"/>
        <v>43956</v>
      </c>
      <c r="CJ18" s="24">
        <f t="shared" si="59"/>
        <v>6.4000000000000003E-3</v>
      </c>
      <c r="CL18" s="18">
        <f t="shared" si="28"/>
        <v>43956</v>
      </c>
      <c r="CM18" s="24">
        <f t="shared" si="60"/>
        <v>6.4000000000000003E-3</v>
      </c>
      <c r="CO18" s="18">
        <f t="shared" si="29"/>
        <v>43956</v>
      </c>
      <c r="CP18" s="24">
        <f t="shared" si="61"/>
        <v>6.4000000000000003E-3</v>
      </c>
      <c r="CR18" s="18">
        <f t="shared" si="30"/>
        <v>43956</v>
      </c>
      <c r="CS18" s="24">
        <f t="shared" si="62"/>
        <v>6.4000000000000003E-3</v>
      </c>
      <c r="CU18" s="18">
        <f t="shared" si="31"/>
        <v>43956</v>
      </c>
      <c r="CV18" s="24">
        <f t="shared" si="63"/>
        <v>6.4000000000000003E-3</v>
      </c>
      <c r="CX18" s="18">
        <f t="shared" si="32"/>
        <v>43956</v>
      </c>
      <c r="CY18" s="24">
        <f t="shared" si="64"/>
        <v>6.4000000000000003E-3</v>
      </c>
      <c r="DA18" s="18">
        <f t="shared" si="33"/>
        <v>43956</v>
      </c>
      <c r="DB18" s="24">
        <f t="shared" si="65"/>
        <v>6.4000000000000003E-3</v>
      </c>
      <c r="DD18" s="18">
        <f t="shared" si="34"/>
        <v>43956</v>
      </c>
      <c r="DE18" s="24">
        <f t="shared" si="76"/>
        <v>6.4000000000000003E-3</v>
      </c>
      <c r="DG18" s="18">
        <f t="shared" si="35"/>
        <v>43956</v>
      </c>
      <c r="DH18" s="24">
        <f t="shared" si="66"/>
        <v>6.4000000000000003E-3</v>
      </c>
      <c r="DJ18" s="18">
        <f t="shared" si="36"/>
        <v>43956</v>
      </c>
      <c r="DK18" s="24">
        <f t="shared" si="67"/>
        <v>6.4000000000000003E-3</v>
      </c>
      <c r="DM18" s="18">
        <f t="shared" si="37"/>
        <v>43956</v>
      </c>
      <c r="DN18" s="24">
        <f t="shared" si="68"/>
        <v>6.4000000000000003E-3</v>
      </c>
      <c r="DP18" s="18">
        <f t="shared" si="38"/>
        <v>43956</v>
      </c>
      <c r="DQ18" s="24">
        <f t="shared" si="77"/>
        <v>6.4000000000000003E-3</v>
      </c>
    </row>
    <row r="19" spans="1:121" ht="11.25" customHeight="1" x14ac:dyDescent="0.25">
      <c r="A19" s="4" t="str">
        <f t="shared" si="79"/>
        <v>Float (10M)</v>
      </c>
      <c r="B19" s="5">
        <f t="shared" si="85"/>
        <v>6.4000000000000003E-3</v>
      </c>
      <c r="C19" s="2" t="str">
        <f t="shared" si="80"/>
        <v>MB IM &gt;= 70%</v>
      </c>
      <c r="E19" s="103">
        <v>10</v>
      </c>
      <c r="F19" s="64">
        <v>43773</v>
      </c>
      <c r="G19" s="16">
        <v>1</v>
      </c>
      <c r="H19" s="16">
        <v>0</v>
      </c>
      <c r="J19" s="140" t="s">
        <v>62</v>
      </c>
      <c r="K19" s="140"/>
      <c r="L19" s="140"/>
      <c r="M19" s="16"/>
      <c r="N19" s="100">
        <v>1.2164383561643837</v>
      </c>
      <c r="O19" s="18">
        <f>+F33</f>
        <v>43986</v>
      </c>
      <c r="P19" s="24">
        <f t="shared" si="39"/>
        <v>6.4000000000000003E-3</v>
      </c>
      <c r="Q19" s="21">
        <f t="shared" si="78"/>
        <v>1.1697110585767843</v>
      </c>
      <c r="R19" s="18">
        <f t="shared" si="81"/>
        <v>43986</v>
      </c>
      <c r="S19" s="24">
        <f t="shared" si="6"/>
        <v>6.4000000000000003E-3</v>
      </c>
      <c r="T19" s="21">
        <v>1</v>
      </c>
      <c r="U19" s="18">
        <f t="shared" si="82"/>
        <v>43986</v>
      </c>
      <c r="V19" s="24">
        <f t="shared" si="7"/>
        <v>6.4000000000000003E-3</v>
      </c>
      <c r="W19" s="21">
        <f t="shared" si="40"/>
        <v>0.85645863010320067</v>
      </c>
      <c r="X19" s="18">
        <f t="shared" si="83"/>
        <v>43986</v>
      </c>
      <c r="Y19" s="24">
        <f t="shared" si="8"/>
        <v>6.4000000000000003E-3</v>
      </c>
      <c r="Z19" s="21">
        <f t="shared" si="41"/>
        <v>1.7219072502094197</v>
      </c>
      <c r="AA19" s="18">
        <f t="shared" si="84"/>
        <v>43986</v>
      </c>
      <c r="AB19" s="24">
        <f t="shared" si="9"/>
        <v>0</v>
      </c>
      <c r="AC19" s="21">
        <f t="shared" si="42"/>
        <v>0.58147267223658616</v>
      </c>
      <c r="AD19" s="18">
        <f t="shared" si="4"/>
        <v>43986</v>
      </c>
      <c r="AE19" s="24"/>
      <c r="AG19" s="18">
        <f t="shared" si="5"/>
        <v>43986</v>
      </c>
      <c r="AH19" s="24"/>
      <c r="AJ19" s="18">
        <f t="shared" si="10"/>
        <v>43986</v>
      </c>
      <c r="AK19" s="24"/>
      <c r="AM19" s="18">
        <f t="shared" si="11"/>
        <v>43986</v>
      </c>
      <c r="AN19" s="24"/>
      <c r="AP19" s="18">
        <f t="shared" si="12"/>
        <v>43986</v>
      </c>
      <c r="AQ19" s="24"/>
      <c r="AS19" s="18">
        <f t="shared" si="13"/>
        <v>43986</v>
      </c>
      <c r="AT19" s="24"/>
      <c r="AV19" s="18">
        <f t="shared" si="14"/>
        <v>43986</v>
      </c>
      <c r="AW19" s="24"/>
      <c r="AY19" s="18">
        <f t="shared" si="15"/>
        <v>43986</v>
      </c>
      <c r="AZ19" s="24">
        <f>1+B22</f>
        <v>1.0064</v>
      </c>
      <c r="BB19" s="18">
        <f t="shared" si="16"/>
        <v>43986</v>
      </c>
      <c r="BC19" s="24">
        <f t="shared" si="48"/>
        <v>6.4000000000000003E-3</v>
      </c>
      <c r="BE19" s="18">
        <f t="shared" si="17"/>
        <v>43986</v>
      </c>
      <c r="BF19" s="24">
        <f t="shared" si="49"/>
        <v>6.4000000000000003E-3</v>
      </c>
      <c r="BH19" s="18">
        <f t="shared" si="18"/>
        <v>43986</v>
      </c>
      <c r="BI19" s="24">
        <f t="shared" si="50"/>
        <v>6.4000000000000003E-3</v>
      </c>
      <c r="BK19" s="18">
        <f t="shared" si="19"/>
        <v>43986</v>
      </c>
      <c r="BL19" s="24">
        <f t="shared" si="51"/>
        <v>6.4000000000000003E-3</v>
      </c>
      <c r="BN19" s="18">
        <f t="shared" si="20"/>
        <v>43986</v>
      </c>
      <c r="BO19" s="24">
        <f t="shared" si="52"/>
        <v>6.4000000000000003E-3</v>
      </c>
      <c r="BQ19" s="18">
        <f t="shared" si="21"/>
        <v>43986</v>
      </c>
      <c r="BR19" s="24">
        <f t="shared" si="53"/>
        <v>6.4000000000000003E-3</v>
      </c>
      <c r="BT19" s="18">
        <f t="shared" si="22"/>
        <v>43986</v>
      </c>
      <c r="BU19" s="24">
        <f t="shared" si="54"/>
        <v>6.4000000000000003E-3</v>
      </c>
      <c r="BW19" s="18">
        <f t="shared" si="23"/>
        <v>43986</v>
      </c>
      <c r="BX19" s="24">
        <f t="shared" si="55"/>
        <v>6.4000000000000003E-3</v>
      </c>
      <c r="BZ19" s="18">
        <f t="shared" si="24"/>
        <v>43986</v>
      </c>
      <c r="CA19" s="24">
        <f t="shared" si="56"/>
        <v>6.4000000000000003E-3</v>
      </c>
      <c r="CC19" s="18">
        <f t="shared" si="25"/>
        <v>43986</v>
      </c>
      <c r="CD19" s="24">
        <f t="shared" si="57"/>
        <v>6.4000000000000003E-3</v>
      </c>
      <c r="CF19" s="18">
        <f t="shared" si="26"/>
        <v>43986</v>
      </c>
      <c r="CG19" s="24">
        <f t="shared" si="58"/>
        <v>6.4000000000000003E-3</v>
      </c>
      <c r="CI19" s="18">
        <f t="shared" si="27"/>
        <v>43986</v>
      </c>
      <c r="CJ19" s="24">
        <f t="shared" si="59"/>
        <v>6.4000000000000003E-3</v>
      </c>
      <c r="CL19" s="18">
        <f t="shared" si="28"/>
        <v>43986</v>
      </c>
      <c r="CM19" s="24">
        <f t="shared" si="60"/>
        <v>6.4000000000000003E-3</v>
      </c>
      <c r="CO19" s="18">
        <f t="shared" si="29"/>
        <v>43986</v>
      </c>
      <c r="CP19" s="24">
        <f t="shared" si="61"/>
        <v>6.4000000000000003E-3</v>
      </c>
      <c r="CR19" s="18">
        <f t="shared" si="30"/>
        <v>43986</v>
      </c>
      <c r="CS19" s="24">
        <f t="shared" si="62"/>
        <v>6.4000000000000003E-3</v>
      </c>
      <c r="CU19" s="18">
        <f t="shared" si="31"/>
        <v>43986</v>
      </c>
      <c r="CV19" s="24">
        <f t="shared" si="63"/>
        <v>6.4000000000000003E-3</v>
      </c>
      <c r="CX19" s="18">
        <f t="shared" si="32"/>
        <v>43986</v>
      </c>
      <c r="CY19" s="24">
        <f t="shared" si="64"/>
        <v>6.4000000000000003E-3</v>
      </c>
      <c r="DA19" s="18">
        <f t="shared" si="33"/>
        <v>43986</v>
      </c>
      <c r="DB19" s="24">
        <f t="shared" si="65"/>
        <v>6.4000000000000003E-3</v>
      </c>
      <c r="DD19" s="18">
        <f t="shared" si="34"/>
        <v>43986</v>
      </c>
      <c r="DE19" s="24">
        <f t="shared" si="76"/>
        <v>6.4000000000000003E-3</v>
      </c>
      <c r="DG19" s="18">
        <f t="shared" si="35"/>
        <v>43986</v>
      </c>
      <c r="DH19" s="24">
        <f t="shared" si="66"/>
        <v>6.4000000000000003E-3</v>
      </c>
      <c r="DJ19" s="18">
        <f t="shared" si="36"/>
        <v>43986</v>
      </c>
      <c r="DK19" s="24">
        <f t="shared" si="67"/>
        <v>6.4000000000000003E-3</v>
      </c>
      <c r="DM19" s="18">
        <f t="shared" si="37"/>
        <v>43986</v>
      </c>
      <c r="DN19" s="24">
        <f t="shared" si="68"/>
        <v>6.4000000000000003E-3</v>
      </c>
      <c r="DP19" s="18">
        <f t="shared" si="38"/>
        <v>43986</v>
      </c>
      <c r="DQ19" s="24">
        <f t="shared" si="77"/>
        <v>6.4000000000000003E-3</v>
      </c>
    </row>
    <row r="20" spans="1:121" x14ac:dyDescent="0.25">
      <c r="A20" s="4" t="str">
        <f t="shared" si="79"/>
        <v>Float (11M)</v>
      </c>
      <c r="B20" s="5">
        <f t="shared" si="85"/>
        <v>6.4000000000000003E-3</v>
      </c>
      <c r="C20" s="2" t="str">
        <f t="shared" si="80"/>
        <v>MB IM &gt;= 70%</v>
      </c>
      <c r="E20" s="103">
        <v>11</v>
      </c>
      <c r="F20" s="64">
        <v>43795</v>
      </c>
      <c r="G20" s="16">
        <v>0</v>
      </c>
      <c r="H20" s="16">
        <v>2</v>
      </c>
      <c r="J20" s="38" t="s">
        <v>55</v>
      </c>
      <c r="K20" s="38" t="s">
        <v>56</v>
      </c>
      <c r="L20" s="38" t="s">
        <v>57</v>
      </c>
      <c r="M20" s="16"/>
      <c r="N20" s="100">
        <v>1.3041095890410959</v>
      </c>
      <c r="O20" s="18">
        <f>+F35</f>
        <v>44018</v>
      </c>
      <c r="P20" s="24">
        <f t="shared" si="39"/>
        <v>6.4000000000000003E-3</v>
      </c>
      <c r="Q20" s="21">
        <f t="shared" si="78"/>
        <v>1.1845094593664278</v>
      </c>
      <c r="R20" s="18">
        <f t="shared" si="81"/>
        <v>44018</v>
      </c>
      <c r="S20" s="24">
        <f t="shared" si="6"/>
        <v>6.4000000000000003E-3</v>
      </c>
      <c r="T20" s="21">
        <v>1</v>
      </c>
      <c r="U20" s="18">
        <f t="shared" si="82"/>
        <v>44018</v>
      </c>
      <c r="V20" s="24">
        <f t="shared" si="7"/>
        <v>6.4000000000000003E-3</v>
      </c>
      <c r="W20" s="21">
        <f t="shared" si="40"/>
        <v>0.84588126993559465</v>
      </c>
      <c r="X20" s="18">
        <f t="shared" si="83"/>
        <v>44018</v>
      </c>
      <c r="Y20" s="24">
        <f t="shared" si="8"/>
        <v>6.4000000000000003E-3</v>
      </c>
      <c r="Z20" s="21">
        <f t="shared" si="41"/>
        <v>1.7986135268296264</v>
      </c>
      <c r="AA20" s="18">
        <f t="shared" si="84"/>
        <v>44018</v>
      </c>
      <c r="AB20" s="24">
        <f t="shared" si="9"/>
        <v>0</v>
      </c>
      <c r="AC20" s="21">
        <f t="shared" si="42"/>
        <v>0.55672976535215868</v>
      </c>
      <c r="AD20" s="18">
        <f t="shared" si="4"/>
        <v>44018</v>
      </c>
      <c r="AE20" s="24"/>
      <c r="AG20" s="18">
        <f t="shared" si="5"/>
        <v>44018</v>
      </c>
      <c r="AH20" s="24"/>
      <c r="AJ20" s="18">
        <f t="shared" si="10"/>
        <v>44018</v>
      </c>
      <c r="AK20" s="24"/>
      <c r="AM20" s="18">
        <f t="shared" si="11"/>
        <v>44018</v>
      </c>
      <c r="AN20" s="24"/>
      <c r="AP20" s="18">
        <f t="shared" si="12"/>
        <v>44018</v>
      </c>
      <c r="AQ20" s="24"/>
      <c r="AS20" s="18">
        <f t="shared" si="13"/>
        <v>44018</v>
      </c>
      <c r="AT20" s="24"/>
      <c r="AV20" s="18">
        <f t="shared" si="14"/>
        <v>44018</v>
      </c>
      <c r="AW20" s="24"/>
      <c r="AY20" s="18">
        <f t="shared" si="15"/>
        <v>44018</v>
      </c>
      <c r="AZ20" s="24"/>
      <c r="BB20" s="18">
        <f t="shared" si="16"/>
        <v>44018</v>
      </c>
      <c r="BC20" s="24">
        <f>1+B23</f>
        <v>1.0064</v>
      </c>
      <c r="BE20" s="18">
        <f t="shared" si="17"/>
        <v>44018</v>
      </c>
      <c r="BF20" s="24">
        <f t="shared" si="49"/>
        <v>6.4000000000000003E-3</v>
      </c>
      <c r="BH20" s="18">
        <f t="shared" si="18"/>
        <v>44018</v>
      </c>
      <c r="BI20" s="24">
        <f t="shared" si="50"/>
        <v>6.4000000000000003E-3</v>
      </c>
      <c r="BK20" s="18">
        <f t="shared" si="19"/>
        <v>44018</v>
      </c>
      <c r="BL20" s="24">
        <f t="shared" si="51"/>
        <v>6.4000000000000003E-3</v>
      </c>
      <c r="BN20" s="18">
        <f t="shared" si="20"/>
        <v>44018</v>
      </c>
      <c r="BO20" s="24">
        <f t="shared" si="52"/>
        <v>6.4000000000000003E-3</v>
      </c>
      <c r="BQ20" s="18">
        <f t="shared" si="21"/>
        <v>44018</v>
      </c>
      <c r="BR20" s="24">
        <f t="shared" si="53"/>
        <v>6.4000000000000003E-3</v>
      </c>
      <c r="BT20" s="18">
        <f t="shared" si="22"/>
        <v>44018</v>
      </c>
      <c r="BU20" s="24">
        <f t="shared" si="54"/>
        <v>6.4000000000000003E-3</v>
      </c>
      <c r="BW20" s="18">
        <f t="shared" si="23"/>
        <v>44018</v>
      </c>
      <c r="BX20" s="24">
        <f t="shared" si="55"/>
        <v>6.4000000000000003E-3</v>
      </c>
      <c r="BZ20" s="18">
        <f t="shared" si="24"/>
        <v>44018</v>
      </c>
      <c r="CA20" s="24">
        <f t="shared" si="56"/>
        <v>6.4000000000000003E-3</v>
      </c>
      <c r="CC20" s="18">
        <f t="shared" si="25"/>
        <v>44018</v>
      </c>
      <c r="CD20" s="24">
        <f t="shared" si="57"/>
        <v>6.4000000000000003E-3</v>
      </c>
      <c r="CF20" s="18">
        <f t="shared" si="26"/>
        <v>44018</v>
      </c>
      <c r="CG20" s="24">
        <f t="shared" si="58"/>
        <v>6.4000000000000003E-3</v>
      </c>
      <c r="CI20" s="18">
        <f t="shared" si="27"/>
        <v>44018</v>
      </c>
      <c r="CJ20" s="24">
        <f t="shared" si="59"/>
        <v>6.4000000000000003E-3</v>
      </c>
      <c r="CL20" s="18">
        <f t="shared" si="28"/>
        <v>44018</v>
      </c>
      <c r="CM20" s="24">
        <f t="shared" si="60"/>
        <v>6.4000000000000003E-3</v>
      </c>
      <c r="CO20" s="18">
        <f t="shared" si="29"/>
        <v>44018</v>
      </c>
      <c r="CP20" s="24">
        <f t="shared" si="61"/>
        <v>6.4000000000000003E-3</v>
      </c>
      <c r="CR20" s="18">
        <f t="shared" si="30"/>
        <v>44018</v>
      </c>
      <c r="CS20" s="24">
        <f t="shared" si="62"/>
        <v>6.4000000000000003E-3</v>
      </c>
      <c r="CU20" s="18">
        <f t="shared" si="31"/>
        <v>44018</v>
      </c>
      <c r="CV20" s="24">
        <f t="shared" si="63"/>
        <v>6.4000000000000003E-3</v>
      </c>
      <c r="CX20" s="18">
        <f t="shared" si="32"/>
        <v>44018</v>
      </c>
      <c r="CY20" s="24">
        <f t="shared" si="64"/>
        <v>6.4000000000000003E-3</v>
      </c>
      <c r="DA20" s="18">
        <f t="shared" si="33"/>
        <v>44018</v>
      </c>
      <c r="DB20" s="24">
        <f t="shared" si="65"/>
        <v>6.4000000000000003E-3</v>
      </c>
      <c r="DD20" s="18">
        <f t="shared" si="34"/>
        <v>44018</v>
      </c>
      <c r="DE20" s="24">
        <f t="shared" si="76"/>
        <v>6.4000000000000003E-3</v>
      </c>
      <c r="DG20" s="18">
        <f t="shared" si="35"/>
        <v>44018</v>
      </c>
      <c r="DH20" s="24">
        <f t="shared" si="66"/>
        <v>6.4000000000000003E-3</v>
      </c>
      <c r="DJ20" s="18">
        <f t="shared" si="36"/>
        <v>44018</v>
      </c>
      <c r="DK20" s="24">
        <f t="shared" si="67"/>
        <v>6.4000000000000003E-3</v>
      </c>
      <c r="DM20" s="18">
        <f t="shared" si="37"/>
        <v>44018</v>
      </c>
      <c r="DN20" s="24">
        <f t="shared" si="68"/>
        <v>6.4000000000000003E-3</v>
      </c>
      <c r="DP20" s="18">
        <f t="shared" si="38"/>
        <v>44018</v>
      </c>
      <c r="DQ20" s="24">
        <f t="shared" si="77"/>
        <v>6.4000000000000003E-3</v>
      </c>
    </row>
    <row r="21" spans="1:121" x14ac:dyDescent="0.25">
      <c r="A21" s="4" t="str">
        <f t="shared" si="79"/>
        <v>Float (12M)</v>
      </c>
      <c r="B21" s="5">
        <f t="shared" si="85"/>
        <v>6.4000000000000003E-3</v>
      </c>
      <c r="C21" s="2" t="str">
        <f t="shared" si="80"/>
        <v>MB IM &gt;= 70%</v>
      </c>
      <c r="E21" s="103">
        <v>12</v>
      </c>
      <c r="F21" s="64">
        <v>43801</v>
      </c>
      <c r="G21" s="16">
        <v>1</v>
      </c>
      <c r="H21" s="16">
        <v>0</v>
      </c>
      <c r="J21" s="34">
        <f>[1]!MLPutMatrix("Indici",A59:B3038)</f>
        <v>0</v>
      </c>
      <c r="K21" s="34">
        <f>[1]!MLEvalString("[Index] = Nuovo_Indice(Indici)")</f>
        <v>0</v>
      </c>
      <c r="L21" s="34">
        <f>[1]!Mlgetmatrix("RendPercSim","L52")</f>
        <v>0</v>
      </c>
      <c r="M21" s="16"/>
      <c r="N21" s="100">
        <v>1.3835616438356164</v>
      </c>
      <c r="O21" s="18">
        <f>+F37</f>
        <v>44047</v>
      </c>
      <c r="P21" s="24">
        <f t="shared" si="39"/>
        <v>6.4000000000000003E-3</v>
      </c>
      <c r="Q21" s="21">
        <f t="shared" si="78"/>
        <v>1.1980821608277552</v>
      </c>
      <c r="R21" s="18">
        <f t="shared" si="81"/>
        <v>44047</v>
      </c>
      <c r="S21" s="24">
        <f t="shared" si="6"/>
        <v>6.4000000000000003E-3</v>
      </c>
      <c r="T21" s="21">
        <v>1</v>
      </c>
      <c r="U21" s="18">
        <f t="shared" si="82"/>
        <v>44047</v>
      </c>
      <c r="V21" s="24">
        <f t="shared" si="7"/>
        <v>6.4000000000000003E-3</v>
      </c>
      <c r="W21" s="21">
        <f t="shared" si="40"/>
        <v>0.83640841656212395</v>
      </c>
      <c r="X21" s="18">
        <f t="shared" si="83"/>
        <v>44047</v>
      </c>
      <c r="Y21" s="24">
        <f t="shared" si="8"/>
        <v>6.4000000000000003E-3</v>
      </c>
      <c r="Z21" s="21">
        <f t="shared" si="41"/>
        <v>1.8710760788402643</v>
      </c>
      <c r="AA21" s="18">
        <f t="shared" si="84"/>
        <v>44047</v>
      </c>
      <c r="AB21" s="24">
        <f t="shared" si="9"/>
        <v>0</v>
      </c>
      <c r="AC21" s="21">
        <f t="shared" si="42"/>
        <v>0.53521716117892482</v>
      </c>
      <c r="AD21" s="18">
        <f t="shared" si="4"/>
        <v>44047</v>
      </c>
      <c r="AE21" s="24"/>
      <c r="AG21" s="18">
        <f t="shared" si="5"/>
        <v>44047</v>
      </c>
      <c r="AH21" s="24"/>
      <c r="AJ21" s="18">
        <f t="shared" si="10"/>
        <v>44047</v>
      </c>
      <c r="AK21" s="24"/>
      <c r="AM21" s="18">
        <f t="shared" si="11"/>
        <v>44047</v>
      </c>
      <c r="AN21" s="24"/>
      <c r="AP21" s="18">
        <f t="shared" si="12"/>
        <v>44047</v>
      </c>
      <c r="AQ21" s="24"/>
      <c r="AS21" s="18">
        <f t="shared" si="13"/>
        <v>44047</v>
      </c>
      <c r="AT21" s="24"/>
      <c r="AV21" s="18">
        <f t="shared" si="14"/>
        <v>44047</v>
      </c>
      <c r="AW21" s="24"/>
      <c r="AY21" s="18">
        <f t="shared" si="15"/>
        <v>44047</v>
      </c>
      <c r="AZ21" s="24"/>
      <c r="BB21" s="18">
        <f t="shared" si="16"/>
        <v>44047</v>
      </c>
      <c r="BC21" s="24"/>
      <c r="BE21" s="18">
        <f t="shared" si="17"/>
        <v>44047</v>
      </c>
      <c r="BF21" s="24">
        <f>1+B24</f>
        <v>1.0064</v>
      </c>
      <c r="BH21" s="18">
        <f t="shared" si="18"/>
        <v>44047</v>
      </c>
      <c r="BI21" s="24">
        <f t="shared" si="50"/>
        <v>6.4000000000000003E-3</v>
      </c>
      <c r="BK21" s="18">
        <f t="shared" si="19"/>
        <v>44047</v>
      </c>
      <c r="BL21" s="24">
        <f t="shared" si="51"/>
        <v>6.4000000000000003E-3</v>
      </c>
      <c r="BN21" s="18">
        <f t="shared" si="20"/>
        <v>44047</v>
      </c>
      <c r="BO21" s="24">
        <f t="shared" si="52"/>
        <v>6.4000000000000003E-3</v>
      </c>
      <c r="BQ21" s="18">
        <f t="shared" si="21"/>
        <v>44047</v>
      </c>
      <c r="BR21" s="24">
        <f t="shared" si="53"/>
        <v>6.4000000000000003E-3</v>
      </c>
      <c r="BT21" s="18">
        <f t="shared" si="22"/>
        <v>44047</v>
      </c>
      <c r="BU21" s="24">
        <f t="shared" si="54"/>
        <v>6.4000000000000003E-3</v>
      </c>
      <c r="BW21" s="18">
        <f t="shared" si="23"/>
        <v>44047</v>
      </c>
      <c r="BX21" s="24">
        <f t="shared" si="55"/>
        <v>6.4000000000000003E-3</v>
      </c>
      <c r="BZ21" s="18">
        <f t="shared" si="24"/>
        <v>44047</v>
      </c>
      <c r="CA21" s="24">
        <f t="shared" si="56"/>
        <v>6.4000000000000003E-3</v>
      </c>
      <c r="CC21" s="18">
        <f t="shared" si="25"/>
        <v>44047</v>
      </c>
      <c r="CD21" s="24">
        <f t="shared" si="57"/>
        <v>6.4000000000000003E-3</v>
      </c>
      <c r="CF21" s="18">
        <f t="shared" si="26"/>
        <v>44047</v>
      </c>
      <c r="CG21" s="24">
        <f t="shared" si="58"/>
        <v>6.4000000000000003E-3</v>
      </c>
      <c r="CI21" s="18">
        <f t="shared" si="27"/>
        <v>44047</v>
      </c>
      <c r="CJ21" s="24">
        <f t="shared" si="59"/>
        <v>6.4000000000000003E-3</v>
      </c>
      <c r="CL21" s="18">
        <f t="shared" si="28"/>
        <v>44047</v>
      </c>
      <c r="CM21" s="24">
        <f t="shared" si="60"/>
        <v>6.4000000000000003E-3</v>
      </c>
      <c r="CO21" s="18">
        <f t="shared" si="29"/>
        <v>44047</v>
      </c>
      <c r="CP21" s="24">
        <f t="shared" si="61"/>
        <v>6.4000000000000003E-3</v>
      </c>
      <c r="CR21" s="18">
        <f t="shared" si="30"/>
        <v>44047</v>
      </c>
      <c r="CS21" s="24">
        <f t="shared" si="62"/>
        <v>6.4000000000000003E-3</v>
      </c>
      <c r="CU21" s="18">
        <f t="shared" si="31"/>
        <v>44047</v>
      </c>
      <c r="CV21" s="24">
        <f t="shared" si="63"/>
        <v>6.4000000000000003E-3</v>
      </c>
      <c r="CX21" s="18">
        <f t="shared" si="32"/>
        <v>44047</v>
      </c>
      <c r="CY21" s="24">
        <f t="shared" si="64"/>
        <v>6.4000000000000003E-3</v>
      </c>
      <c r="DA21" s="18">
        <f t="shared" si="33"/>
        <v>44047</v>
      </c>
      <c r="DB21" s="24">
        <f t="shared" si="65"/>
        <v>6.4000000000000003E-3</v>
      </c>
      <c r="DD21" s="18">
        <f t="shared" si="34"/>
        <v>44047</v>
      </c>
      <c r="DE21" s="24">
        <f t="shared" si="76"/>
        <v>6.4000000000000003E-3</v>
      </c>
      <c r="DG21" s="18">
        <f t="shared" si="35"/>
        <v>44047</v>
      </c>
      <c r="DH21" s="24">
        <f t="shared" si="66"/>
        <v>6.4000000000000003E-3</v>
      </c>
      <c r="DJ21" s="18">
        <f t="shared" si="36"/>
        <v>44047</v>
      </c>
      <c r="DK21" s="24">
        <f t="shared" si="67"/>
        <v>6.4000000000000003E-3</v>
      </c>
      <c r="DM21" s="18">
        <f t="shared" si="37"/>
        <v>44047</v>
      </c>
      <c r="DN21" s="24">
        <f t="shared" si="68"/>
        <v>6.4000000000000003E-3</v>
      </c>
      <c r="DP21" s="18">
        <f t="shared" si="38"/>
        <v>44047</v>
      </c>
      <c r="DQ21" s="24">
        <f t="shared" si="77"/>
        <v>6.4000000000000003E-3</v>
      </c>
    </row>
    <row r="22" spans="1:121" x14ac:dyDescent="0.25">
      <c r="A22" s="4" t="str">
        <f t="shared" si="79"/>
        <v>Float (13M)</v>
      </c>
      <c r="B22" s="5">
        <f t="shared" si="85"/>
        <v>6.4000000000000003E-3</v>
      </c>
      <c r="C22" s="2" t="str">
        <f t="shared" si="80"/>
        <v>MB IM &gt;= 70%</v>
      </c>
      <c r="E22" s="103">
        <v>13</v>
      </c>
      <c r="F22" s="64">
        <v>43832</v>
      </c>
      <c r="G22" s="16">
        <v>0</v>
      </c>
      <c r="H22" s="16">
        <v>2</v>
      </c>
      <c r="J22" s="34">
        <f>[1]!MLPutMatrix("Info_Cedole",F5:H79)</f>
        <v>0</v>
      </c>
      <c r="K22" s="34">
        <f>[1]!MLEvalString("[ProdTest,ProbTIR,ProbAuto,RendPercSim,MeanYearTIR,BackDetTIR,ProbAutoBack1,ProbAutoBack2,RatioST1,OT] = PT_Standard_Long_Autocallable_Barrier6(Index,Info_Cedole,Para,'B',Drift,Underline,NumScen)")</f>
        <v>0</v>
      </c>
      <c r="L22" s="34">
        <f>[1]!Mlgetmatrix("ProdTest","P52")</f>
        <v>0</v>
      </c>
      <c r="M22" s="16"/>
      <c r="N22" s="100">
        <v>1.4684931506849315</v>
      </c>
      <c r="O22" s="18">
        <f>+F39</f>
        <v>44078</v>
      </c>
      <c r="P22" s="24">
        <f t="shared" si="39"/>
        <v>6.4000000000000003E-3</v>
      </c>
      <c r="Q22" s="21">
        <f t="shared" si="78"/>
        <v>1.2127629370626518</v>
      </c>
      <c r="R22" s="18">
        <f t="shared" si="81"/>
        <v>44078</v>
      </c>
      <c r="S22" s="24">
        <f t="shared" si="6"/>
        <v>6.4000000000000003E-3</v>
      </c>
      <c r="T22" s="21">
        <v>1</v>
      </c>
      <c r="U22" s="18">
        <f t="shared" si="82"/>
        <v>44078</v>
      </c>
      <c r="V22" s="24">
        <f t="shared" si="7"/>
        <v>6.4000000000000003E-3</v>
      </c>
      <c r="W22" s="21">
        <f t="shared" si="40"/>
        <v>0.82639954379408886</v>
      </c>
      <c r="X22" s="18">
        <f t="shared" si="83"/>
        <v>44078</v>
      </c>
      <c r="Y22" s="24">
        <f t="shared" si="8"/>
        <v>6.4000000000000003E-3</v>
      </c>
      <c r="Z22" s="21">
        <f t="shared" si="41"/>
        <v>1.9517673288614545</v>
      </c>
      <c r="AA22" s="18">
        <f t="shared" si="84"/>
        <v>44078</v>
      </c>
      <c r="AB22" s="24">
        <f t="shared" si="9"/>
        <v>0</v>
      </c>
      <c r="AC22" s="21">
        <f t="shared" si="42"/>
        <v>0.51313934420653051</v>
      </c>
      <c r="AD22" s="18">
        <f t="shared" si="4"/>
        <v>44078</v>
      </c>
      <c r="AE22" s="24"/>
      <c r="AG22" s="18">
        <f t="shared" si="5"/>
        <v>44078</v>
      </c>
      <c r="AH22" s="24"/>
      <c r="AJ22" s="18">
        <f t="shared" si="10"/>
        <v>44078</v>
      </c>
      <c r="AK22" s="24"/>
      <c r="AM22" s="18">
        <f t="shared" si="11"/>
        <v>44078</v>
      </c>
      <c r="AN22" s="24"/>
      <c r="AP22" s="18">
        <f t="shared" si="12"/>
        <v>44078</v>
      </c>
      <c r="AQ22" s="24"/>
      <c r="AS22" s="18">
        <f t="shared" si="13"/>
        <v>44078</v>
      </c>
      <c r="AT22" s="24"/>
      <c r="AV22" s="18">
        <f t="shared" si="14"/>
        <v>44078</v>
      </c>
      <c r="AW22" s="24"/>
      <c r="AY22" s="18">
        <f t="shared" si="15"/>
        <v>44078</v>
      </c>
      <c r="AZ22" s="24"/>
      <c r="BB22" s="18">
        <f t="shared" si="16"/>
        <v>44078</v>
      </c>
      <c r="BC22" s="24"/>
      <c r="BE22" s="18">
        <f t="shared" si="17"/>
        <v>44078</v>
      </c>
      <c r="BF22" s="24"/>
      <c r="BH22" s="18">
        <f t="shared" si="18"/>
        <v>44078</v>
      </c>
      <c r="BI22" s="24">
        <f>1+B25</f>
        <v>1.0064</v>
      </c>
      <c r="BK22" s="18">
        <f t="shared" si="19"/>
        <v>44078</v>
      </c>
      <c r="BL22" s="24">
        <f t="shared" si="51"/>
        <v>6.4000000000000003E-3</v>
      </c>
      <c r="BN22" s="18">
        <f t="shared" si="20"/>
        <v>44078</v>
      </c>
      <c r="BO22" s="24">
        <f t="shared" si="52"/>
        <v>6.4000000000000003E-3</v>
      </c>
      <c r="BQ22" s="18">
        <f t="shared" si="21"/>
        <v>44078</v>
      </c>
      <c r="BR22" s="24">
        <f t="shared" si="53"/>
        <v>6.4000000000000003E-3</v>
      </c>
      <c r="BT22" s="18">
        <f t="shared" si="22"/>
        <v>44078</v>
      </c>
      <c r="BU22" s="24">
        <f t="shared" si="54"/>
        <v>6.4000000000000003E-3</v>
      </c>
      <c r="BW22" s="18">
        <f t="shared" si="23"/>
        <v>44078</v>
      </c>
      <c r="BX22" s="24">
        <f t="shared" si="55"/>
        <v>6.4000000000000003E-3</v>
      </c>
      <c r="BZ22" s="18">
        <f t="shared" si="24"/>
        <v>44078</v>
      </c>
      <c r="CA22" s="24">
        <f t="shared" si="56"/>
        <v>6.4000000000000003E-3</v>
      </c>
      <c r="CC22" s="18">
        <f t="shared" si="25"/>
        <v>44078</v>
      </c>
      <c r="CD22" s="24">
        <f t="shared" si="57"/>
        <v>6.4000000000000003E-3</v>
      </c>
      <c r="CF22" s="18">
        <f t="shared" si="26"/>
        <v>44078</v>
      </c>
      <c r="CG22" s="24">
        <f t="shared" si="58"/>
        <v>6.4000000000000003E-3</v>
      </c>
      <c r="CI22" s="18">
        <f t="shared" si="27"/>
        <v>44078</v>
      </c>
      <c r="CJ22" s="24">
        <f t="shared" si="59"/>
        <v>6.4000000000000003E-3</v>
      </c>
      <c r="CL22" s="18">
        <f t="shared" si="28"/>
        <v>44078</v>
      </c>
      <c r="CM22" s="24">
        <f t="shared" si="60"/>
        <v>6.4000000000000003E-3</v>
      </c>
      <c r="CO22" s="18">
        <f t="shared" si="29"/>
        <v>44078</v>
      </c>
      <c r="CP22" s="24">
        <f t="shared" si="61"/>
        <v>6.4000000000000003E-3</v>
      </c>
      <c r="CR22" s="18">
        <f t="shared" si="30"/>
        <v>44078</v>
      </c>
      <c r="CS22" s="24">
        <f t="shared" si="62"/>
        <v>6.4000000000000003E-3</v>
      </c>
      <c r="CU22" s="18">
        <f t="shared" si="31"/>
        <v>44078</v>
      </c>
      <c r="CV22" s="24">
        <f t="shared" si="63"/>
        <v>6.4000000000000003E-3</v>
      </c>
      <c r="CX22" s="18">
        <f t="shared" si="32"/>
        <v>44078</v>
      </c>
      <c r="CY22" s="24">
        <f t="shared" si="64"/>
        <v>6.4000000000000003E-3</v>
      </c>
      <c r="DA22" s="18">
        <f t="shared" si="33"/>
        <v>44078</v>
      </c>
      <c r="DB22" s="24">
        <f t="shared" si="65"/>
        <v>6.4000000000000003E-3</v>
      </c>
      <c r="DD22" s="18">
        <f t="shared" si="34"/>
        <v>44078</v>
      </c>
      <c r="DE22" s="24">
        <f t="shared" si="76"/>
        <v>6.4000000000000003E-3</v>
      </c>
      <c r="DG22" s="18">
        <f t="shared" si="35"/>
        <v>44078</v>
      </c>
      <c r="DH22" s="24">
        <f t="shared" si="66"/>
        <v>6.4000000000000003E-3</v>
      </c>
      <c r="DJ22" s="18">
        <f t="shared" si="36"/>
        <v>44078</v>
      </c>
      <c r="DK22" s="24">
        <f t="shared" si="67"/>
        <v>6.4000000000000003E-3</v>
      </c>
      <c r="DM22" s="18">
        <f t="shared" si="37"/>
        <v>44078</v>
      </c>
      <c r="DN22" s="24">
        <f t="shared" si="68"/>
        <v>6.4000000000000003E-3</v>
      </c>
      <c r="DP22" s="18">
        <f t="shared" si="38"/>
        <v>44078</v>
      </c>
      <c r="DQ22" s="24">
        <f t="shared" si="77"/>
        <v>6.4000000000000003E-3</v>
      </c>
    </row>
    <row r="23" spans="1:121" x14ac:dyDescent="0.25">
      <c r="A23" s="4" t="str">
        <f t="shared" si="79"/>
        <v>Float (14M)</v>
      </c>
      <c r="B23" s="5">
        <f t="shared" si="85"/>
        <v>6.4000000000000003E-3</v>
      </c>
      <c r="C23" s="2" t="str">
        <f t="shared" si="80"/>
        <v>MB IM &gt;= 70%</v>
      </c>
      <c r="E23" s="103">
        <v>14</v>
      </c>
      <c r="F23" s="64">
        <f>WORKDAY(F22,2)</f>
        <v>43836</v>
      </c>
      <c r="G23" s="16">
        <v>1</v>
      </c>
      <c r="H23" s="16">
        <v>0</v>
      </c>
      <c r="J23" s="34">
        <f>[1]!MLPutMatrix("Para",K5:K12)</f>
        <v>0</v>
      </c>
      <c r="K23" s="34"/>
      <c r="L23" s="34">
        <f>[1]!Mlgetmatrix("ProbTIR","P58")</f>
        <v>0</v>
      </c>
      <c r="M23" s="16"/>
      <c r="N23" s="100">
        <v>1.5561643835616439</v>
      </c>
      <c r="O23" s="18">
        <f>+F41</f>
        <v>44110</v>
      </c>
      <c r="P23" s="24">
        <f t="shared" si="39"/>
        <v>6.4000000000000003E-3</v>
      </c>
      <c r="Q23" s="21">
        <f t="shared" si="78"/>
        <v>1.2281060013808731</v>
      </c>
      <c r="R23" s="18">
        <f t="shared" si="81"/>
        <v>44110</v>
      </c>
      <c r="S23" s="24">
        <f t="shared" si="6"/>
        <v>6.4000000000000003E-3</v>
      </c>
      <c r="T23" s="21">
        <v>1</v>
      </c>
      <c r="U23" s="18">
        <f t="shared" si="82"/>
        <v>44110</v>
      </c>
      <c r="V23" s="24">
        <f t="shared" si="7"/>
        <v>6.4000000000000003E-3</v>
      </c>
      <c r="W23" s="21">
        <f t="shared" si="40"/>
        <v>0.81619341671472012</v>
      </c>
      <c r="X23" s="18">
        <f t="shared" si="83"/>
        <v>44110</v>
      </c>
      <c r="Y23" s="24">
        <f t="shared" si="8"/>
        <v>6.4000000000000003E-3</v>
      </c>
      <c r="Z23" s="21">
        <f t="shared" si="41"/>
        <v>2.0387132457264427</v>
      </c>
      <c r="AA23" s="18">
        <f t="shared" si="84"/>
        <v>44110</v>
      </c>
      <c r="AB23" s="24">
        <f t="shared" si="9"/>
        <v>0</v>
      </c>
      <c r="AC23" s="21">
        <f t="shared" si="42"/>
        <v>0.4913041667017955</v>
      </c>
      <c r="AD23" s="18">
        <f t="shared" si="4"/>
        <v>44110</v>
      </c>
      <c r="AE23" s="24"/>
      <c r="AG23" s="18">
        <f t="shared" si="5"/>
        <v>44110</v>
      </c>
      <c r="AH23" s="24"/>
      <c r="AJ23" s="18">
        <f t="shared" si="10"/>
        <v>44110</v>
      </c>
      <c r="AK23" s="24"/>
      <c r="AM23" s="18">
        <f t="shared" si="11"/>
        <v>44110</v>
      </c>
      <c r="AN23" s="24"/>
      <c r="AP23" s="18">
        <f t="shared" si="12"/>
        <v>44110</v>
      </c>
      <c r="AQ23" s="24"/>
      <c r="AS23" s="18">
        <f t="shared" si="13"/>
        <v>44110</v>
      </c>
      <c r="AT23" s="24"/>
      <c r="AV23" s="18">
        <f t="shared" si="14"/>
        <v>44110</v>
      </c>
      <c r="AW23" s="24"/>
      <c r="AY23" s="18">
        <f t="shared" si="15"/>
        <v>44110</v>
      </c>
      <c r="AZ23" s="24"/>
      <c r="BB23" s="18">
        <f t="shared" si="16"/>
        <v>44110</v>
      </c>
      <c r="BC23" s="24"/>
      <c r="BE23" s="18">
        <f t="shared" si="17"/>
        <v>44110</v>
      </c>
      <c r="BF23" s="24"/>
      <c r="BH23" s="18">
        <f t="shared" si="18"/>
        <v>44110</v>
      </c>
      <c r="BI23" s="24"/>
      <c r="BK23" s="18">
        <f t="shared" si="19"/>
        <v>44110</v>
      </c>
      <c r="BL23" s="24">
        <f>1+B26</f>
        <v>1.0064</v>
      </c>
      <c r="BN23" s="18">
        <f t="shared" si="20"/>
        <v>44110</v>
      </c>
      <c r="BO23" s="24">
        <f t="shared" si="52"/>
        <v>6.4000000000000003E-3</v>
      </c>
      <c r="BQ23" s="18">
        <f t="shared" si="21"/>
        <v>44110</v>
      </c>
      <c r="BR23" s="24">
        <f t="shared" si="53"/>
        <v>6.4000000000000003E-3</v>
      </c>
      <c r="BT23" s="18">
        <f t="shared" si="22"/>
        <v>44110</v>
      </c>
      <c r="BU23" s="24">
        <f t="shared" si="54"/>
        <v>6.4000000000000003E-3</v>
      </c>
      <c r="BW23" s="18">
        <f t="shared" si="23"/>
        <v>44110</v>
      </c>
      <c r="BX23" s="24">
        <f t="shared" si="55"/>
        <v>6.4000000000000003E-3</v>
      </c>
      <c r="BZ23" s="18">
        <f t="shared" si="24"/>
        <v>44110</v>
      </c>
      <c r="CA23" s="24">
        <f t="shared" si="56"/>
        <v>6.4000000000000003E-3</v>
      </c>
      <c r="CC23" s="18">
        <f t="shared" si="25"/>
        <v>44110</v>
      </c>
      <c r="CD23" s="24">
        <f t="shared" si="57"/>
        <v>6.4000000000000003E-3</v>
      </c>
      <c r="CF23" s="18">
        <f t="shared" si="26"/>
        <v>44110</v>
      </c>
      <c r="CG23" s="24">
        <f t="shared" si="58"/>
        <v>6.4000000000000003E-3</v>
      </c>
      <c r="CI23" s="18">
        <f t="shared" si="27"/>
        <v>44110</v>
      </c>
      <c r="CJ23" s="24">
        <f t="shared" si="59"/>
        <v>6.4000000000000003E-3</v>
      </c>
      <c r="CL23" s="18">
        <f t="shared" si="28"/>
        <v>44110</v>
      </c>
      <c r="CM23" s="24">
        <f t="shared" si="60"/>
        <v>6.4000000000000003E-3</v>
      </c>
      <c r="CO23" s="18">
        <f t="shared" si="29"/>
        <v>44110</v>
      </c>
      <c r="CP23" s="24">
        <f t="shared" si="61"/>
        <v>6.4000000000000003E-3</v>
      </c>
      <c r="CR23" s="18">
        <f t="shared" si="30"/>
        <v>44110</v>
      </c>
      <c r="CS23" s="24">
        <f t="shared" si="62"/>
        <v>6.4000000000000003E-3</v>
      </c>
      <c r="CU23" s="18">
        <f t="shared" si="31"/>
        <v>44110</v>
      </c>
      <c r="CV23" s="24">
        <f t="shared" si="63"/>
        <v>6.4000000000000003E-3</v>
      </c>
      <c r="CX23" s="18">
        <f t="shared" si="32"/>
        <v>44110</v>
      </c>
      <c r="CY23" s="24">
        <f t="shared" si="64"/>
        <v>6.4000000000000003E-3</v>
      </c>
      <c r="DA23" s="18">
        <f t="shared" si="33"/>
        <v>44110</v>
      </c>
      <c r="DB23" s="24">
        <f t="shared" si="65"/>
        <v>6.4000000000000003E-3</v>
      </c>
      <c r="DD23" s="18">
        <f t="shared" si="34"/>
        <v>44110</v>
      </c>
      <c r="DE23" s="24">
        <f t="shared" si="76"/>
        <v>6.4000000000000003E-3</v>
      </c>
      <c r="DG23" s="18">
        <f t="shared" si="35"/>
        <v>44110</v>
      </c>
      <c r="DH23" s="24">
        <f t="shared" si="66"/>
        <v>6.4000000000000003E-3</v>
      </c>
      <c r="DJ23" s="18">
        <f t="shared" si="36"/>
        <v>44110</v>
      </c>
      <c r="DK23" s="24">
        <f t="shared" si="67"/>
        <v>6.4000000000000003E-3</v>
      </c>
      <c r="DM23" s="18">
        <f t="shared" si="37"/>
        <v>44110</v>
      </c>
      <c r="DN23" s="24">
        <f t="shared" si="68"/>
        <v>6.4000000000000003E-3</v>
      </c>
      <c r="DP23" s="18">
        <f t="shared" si="38"/>
        <v>44110</v>
      </c>
      <c r="DQ23" s="24">
        <f t="shared" si="77"/>
        <v>6.4000000000000003E-3</v>
      </c>
    </row>
    <row r="24" spans="1:121" x14ac:dyDescent="0.25">
      <c r="A24" s="4" t="str">
        <f t="shared" si="79"/>
        <v>Float (15M)</v>
      </c>
      <c r="B24" s="5">
        <f t="shared" si="85"/>
        <v>6.4000000000000003E-3</v>
      </c>
      <c r="C24" s="2" t="str">
        <f t="shared" si="80"/>
        <v>MB IM &gt;= 70%</v>
      </c>
      <c r="E24" s="103">
        <v>15</v>
      </c>
      <c r="F24" s="64">
        <v>43863</v>
      </c>
      <c r="G24" s="16">
        <v>0</v>
      </c>
      <c r="H24" s="16">
        <v>2</v>
      </c>
      <c r="J24" s="34">
        <f>[1]!MLPutMatrix("Underline",B5)</f>
        <v>0</v>
      </c>
      <c r="K24" s="34"/>
      <c r="L24" s="34">
        <f>[1]!Mlgetmatrix("ProbAuto","Y52")</f>
        <v>0</v>
      </c>
      <c r="M24" s="16"/>
      <c r="N24" s="100">
        <v>1.6356164383561644</v>
      </c>
      <c r="O24" s="18">
        <f>+F43</f>
        <v>44139</v>
      </c>
      <c r="P24" s="24">
        <f t="shared" si="39"/>
        <v>6.4000000000000003E-3</v>
      </c>
      <c r="Q24" s="21">
        <f t="shared" si="78"/>
        <v>1.2421782538122914</v>
      </c>
      <c r="R24" s="18">
        <f t="shared" si="81"/>
        <v>44139</v>
      </c>
      <c r="S24" s="24">
        <f t="shared" si="6"/>
        <v>6.4000000000000003E-3</v>
      </c>
      <c r="T24" s="21">
        <v>1</v>
      </c>
      <c r="U24" s="18">
        <f t="shared" si="82"/>
        <v>44139</v>
      </c>
      <c r="V24" s="24">
        <f t="shared" si="7"/>
        <v>6.4000000000000003E-3</v>
      </c>
      <c r="W24" s="21">
        <f t="shared" si="40"/>
        <v>0.80705303160899555</v>
      </c>
      <c r="X24" s="18">
        <f t="shared" si="83"/>
        <v>44139</v>
      </c>
      <c r="Y24" s="24">
        <f t="shared" si="8"/>
        <v>6.4000000000000003E-3</v>
      </c>
      <c r="Z24" s="21">
        <f t="shared" si="41"/>
        <v>2.1208489365791796</v>
      </c>
      <c r="AA24" s="18">
        <f t="shared" si="84"/>
        <v>44139</v>
      </c>
      <c r="AB24" s="24">
        <f t="shared" si="9"/>
        <v>0</v>
      </c>
      <c r="AC24" s="21">
        <f t="shared" si="42"/>
        <v>0.47231967418013077</v>
      </c>
      <c r="AD24" s="18">
        <f t="shared" si="4"/>
        <v>44139</v>
      </c>
      <c r="AE24" s="24"/>
      <c r="AG24" s="18">
        <f t="shared" si="5"/>
        <v>44139</v>
      </c>
      <c r="AH24" s="24"/>
      <c r="AJ24" s="18">
        <f t="shared" si="10"/>
        <v>44139</v>
      </c>
      <c r="AK24" s="24"/>
      <c r="AM24" s="18">
        <f t="shared" si="11"/>
        <v>44139</v>
      </c>
      <c r="AN24" s="24"/>
      <c r="AP24" s="18">
        <f t="shared" si="12"/>
        <v>44139</v>
      </c>
      <c r="AQ24" s="24"/>
      <c r="AS24" s="18">
        <f t="shared" si="13"/>
        <v>44139</v>
      </c>
      <c r="AT24" s="24"/>
      <c r="AV24" s="18">
        <f t="shared" si="14"/>
        <v>44139</v>
      </c>
      <c r="AW24" s="24"/>
      <c r="AY24" s="18">
        <f t="shared" si="15"/>
        <v>44139</v>
      </c>
      <c r="AZ24" s="24"/>
      <c r="BB24" s="18">
        <f t="shared" si="16"/>
        <v>44139</v>
      </c>
      <c r="BC24" s="24"/>
      <c r="BE24" s="18">
        <f t="shared" si="17"/>
        <v>44139</v>
      </c>
      <c r="BF24" s="24"/>
      <c r="BH24" s="18">
        <f t="shared" si="18"/>
        <v>44139</v>
      </c>
      <c r="BI24" s="24"/>
      <c r="BK24" s="18">
        <f t="shared" si="19"/>
        <v>44139</v>
      </c>
      <c r="BL24" s="24"/>
      <c r="BN24" s="18">
        <f t="shared" si="20"/>
        <v>44139</v>
      </c>
      <c r="BO24" s="24">
        <f>1+B27</f>
        <v>1.0064</v>
      </c>
      <c r="BQ24" s="18">
        <f t="shared" si="21"/>
        <v>44139</v>
      </c>
      <c r="BR24" s="24">
        <f t="shared" si="53"/>
        <v>6.4000000000000003E-3</v>
      </c>
      <c r="BT24" s="18">
        <f t="shared" si="22"/>
        <v>44139</v>
      </c>
      <c r="BU24" s="24">
        <f t="shared" si="54"/>
        <v>6.4000000000000003E-3</v>
      </c>
      <c r="BW24" s="18">
        <f t="shared" si="23"/>
        <v>44139</v>
      </c>
      <c r="BX24" s="24">
        <f t="shared" si="55"/>
        <v>6.4000000000000003E-3</v>
      </c>
      <c r="BZ24" s="18">
        <f t="shared" si="24"/>
        <v>44139</v>
      </c>
      <c r="CA24" s="24">
        <f t="shared" si="56"/>
        <v>6.4000000000000003E-3</v>
      </c>
      <c r="CC24" s="18">
        <f t="shared" si="25"/>
        <v>44139</v>
      </c>
      <c r="CD24" s="24">
        <f t="shared" si="57"/>
        <v>6.4000000000000003E-3</v>
      </c>
      <c r="CF24" s="18">
        <f t="shared" si="26"/>
        <v>44139</v>
      </c>
      <c r="CG24" s="24">
        <f t="shared" si="58"/>
        <v>6.4000000000000003E-3</v>
      </c>
      <c r="CI24" s="18">
        <f t="shared" si="27"/>
        <v>44139</v>
      </c>
      <c r="CJ24" s="24">
        <f t="shared" si="59"/>
        <v>6.4000000000000003E-3</v>
      </c>
      <c r="CL24" s="18">
        <f t="shared" si="28"/>
        <v>44139</v>
      </c>
      <c r="CM24" s="24">
        <f t="shared" si="60"/>
        <v>6.4000000000000003E-3</v>
      </c>
      <c r="CO24" s="18">
        <f t="shared" si="29"/>
        <v>44139</v>
      </c>
      <c r="CP24" s="24">
        <f t="shared" si="61"/>
        <v>6.4000000000000003E-3</v>
      </c>
      <c r="CR24" s="18">
        <f t="shared" si="30"/>
        <v>44139</v>
      </c>
      <c r="CS24" s="24">
        <f t="shared" si="62"/>
        <v>6.4000000000000003E-3</v>
      </c>
      <c r="CU24" s="18">
        <f t="shared" si="31"/>
        <v>44139</v>
      </c>
      <c r="CV24" s="24">
        <f t="shared" si="63"/>
        <v>6.4000000000000003E-3</v>
      </c>
      <c r="CX24" s="18">
        <f t="shared" si="32"/>
        <v>44139</v>
      </c>
      <c r="CY24" s="24">
        <f t="shared" si="64"/>
        <v>6.4000000000000003E-3</v>
      </c>
      <c r="DA24" s="18">
        <f t="shared" si="33"/>
        <v>44139</v>
      </c>
      <c r="DB24" s="24">
        <f t="shared" si="65"/>
        <v>6.4000000000000003E-3</v>
      </c>
      <c r="DD24" s="18">
        <f t="shared" si="34"/>
        <v>44139</v>
      </c>
      <c r="DE24" s="24">
        <f t="shared" si="76"/>
        <v>6.4000000000000003E-3</v>
      </c>
      <c r="DG24" s="18">
        <f t="shared" si="35"/>
        <v>44139</v>
      </c>
      <c r="DH24" s="24">
        <f t="shared" si="66"/>
        <v>6.4000000000000003E-3</v>
      </c>
      <c r="DJ24" s="18">
        <f t="shared" si="36"/>
        <v>44139</v>
      </c>
      <c r="DK24" s="24">
        <f t="shared" si="67"/>
        <v>6.4000000000000003E-3</v>
      </c>
      <c r="DM24" s="18">
        <f t="shared" si="37"/>
        <v>44139</v>
      </c>
      <c r="DN24" s="24">
        <f t="shared" si="68"/>
        <v>6.4000000000000003E-3</v>
      </c>
      <c r="DP24" s="18">
        <f t="shared" si="38"/>
        <v>44139</v>
      </c>
      <c r="DQ24" s="24">
        <f t="shared" si="77"/>
        <v>6.4000000000000003E-3</v>
      </c>
    </row>
    <row r="25" spans="1:121" x14ac:dyDescent="0.25">
      <c r="A25" s="4" t="str">
        <f t="shared" si="79"/>
        <v>Float (16M)</v>
      </c>
      <c r="B25" s="5">
        <f t="shared" si="85"/>
        <v>6.4000000000000003E-3</v>
      </c>
      <c r="C25" s="2" t="str">
        <f t="shared" si="80"/>
        <v>MB IM &gt;= 70%</v>
      </c>
      <c r="E25" s="103">
        <v>16</v>
      </c>
      <c r="F25" s="64">
        <f>WORKDAY(F24,2)</f>
        <v>43865</v>
      </c>
      <c r="G25" s="16">
        <v>1</v>
      </c>
      <c r="H25" s="16">
        <v>0</v>
      </c>
      <c r="J25" s="34">
        <f>[1]!MLPutMatrix("Drift",K14)</f>
        <v>0</v>
      </c>
      <c r="K25" s="34"/>
      <c r="L25" s="34">
        <f>[1]!Mlgetmatrix("MeanYearTIR","P71")</f>
        <v>0</v>
      </c>
      <c r="M25" s="16"/>
      <c r="N25" s="100">
        <v>1.7178082191780821</v>
      </c>
      <c r="O25" s="18">
        <f>+F45</f>
        <v>44169</v>
      </c>
      <c r="P25" s="24">
        <f t="shared" si="39"/>
        <v>6.4000000000000003E-3</v>
      </c>
      <c r="Q25" s="21">
        <f t="shared" si="78"/>
        <v>1.2569054617400057</v>
      </c>
      <c r="R25" s="18">
        <f t="shared" si="81"/>
        <v>44169</v>
      </c>
      <c r="S25" s="24">
        <f t="shared" si="6"/>
        <v>6.4000000000000003E-3</v>
      </c>
      <c r="T25" s="21">
        <v>1</v>
      </c>
      <c r="U25" s="18">
        <f t="shared" si="82"/>
        <v>44169</v>
      </c>
      <c r="V25" s="24">
        <f t="shared" si="7"/>
        <v>6.4000000000000003E-3</v>
      </c>
      <c r="W25" s="21">
        <f t="shared" si="40"/>
        <v>0.79770516364040833</v>
      </c>
      <c r="X25" s="18">
        <f t="shared" si="83"/>
        <v>44169</v>
      </c>
      <c r="Y25" s="24">
        <f t="shared" si="8"/>
        <v>6.4000000000000003E-3</v>
      </c>
      <c r="Z25" s="21">
        <f t="shared" si="41"/>
        <v>2.2093006997453313</v>
      </c>
      <c r="AA25" s="18">
        <f t="shared" si="84"/>
        <v>44169</v>
      </c>
      <c r="AB25" s="24">
        <f t="shared" si="9"/>
        <v>0</v>
      </c>
      <c r="AC25" s="21">
        <f t="shared" si="42"/>
        <v>0.4534521578986041</v>
      </c>
      <c r="AD25" s="18">
        <f t="shared" si="4"/>
        <v>44169</v>
      </c>
      <c r="AE25" s="24"/>
      <c r="AG25" s="18">
        <f t="shared" si="5"/>
        <v>44169</v>
      </c>
      <c r="AH25" s="24"/>
      <c r="AJ25" s="18">
        <f t="shared" si="10"/>
        <v>44169</v>
      </c>
      <c r="AK25" s="24"/>
      <c r="AM25" s="18">
        <f t="shared" si="11"/>
        <v>44169</v>
      </c>
      <c r="AN25" s="24"/>
      <c r="AP25" s="18">
        <f t="shared" si="12"/>
        <v>44169</v>
      </c>
      <c r="AQ25" s="24"/>
      <c r="AS25" s="18">
        <f t="shared" si="13"/>
        <v>44169</v>
      </c>
      <c r="AT25" s="24"/>
      <c r="AV25" s="18">
        <f t="shared" si="14"/>
        <v>44169</v>
      </c>
      <c r="AW25" s="24"/>
      <c r="AY25" s="18">
        <f t="shared" si="15"/>
        <v>44169</v>
      </c>
      <c r="AZ25" s="24"/>
      <c r="BB25" s="18">
        <f t="shared" si="16"/>
        <v>44169</v>
      </c>
      <c r="BC25" s="24"/>
      <c r="BE25" s="18">
        <f t="shared" si="17"/>
        <v>44169</v>
      </c>
      <c r="BF25" s="24"/>
      <c r="BH25" s="18">
        <f t="shared" si="18"/>
        <v>44169</v>
      </c>
      <c r="BI25" s="24"/>
      <c r="BK25" s="18">
        <f t="shared" si="19"/>
        <v>44169</v>
      </c>
      <c r="BL25" s="24"/>
      <c r="BN25" s="18">
        <f t="shared" si="20"/>
        <v>44169</v>
      </c>
      <c r="BO25" s="24"/>
      <c r="BQ25" s="18">
        <f t="shared" si="21"/>
        <v>44169</v>
      </c>
      <c r="BR25" s="24">
        <f>1+B28</f>
        <v>1.0064</v>
      </c>
      <c r="BT25" s="18">
        <f t="shared" si="22"/>
        <v>44169</v>
      </c>
      <c r="BU25" s="24">
        <f t="shared" si="54"/>
        <v>6.4000000000000003E-3</v>
      </c>
      <c r="BW25" s="18">
        <f t="shared" si="23"/>
        <v>44169</v>
      </c>
      <c r="BX25" s="24">
        <f t="shared" si="55"/>
        <v>6.4000000000000003E-3</v>
      </c>
      <c r="BZ25" s="18">
        <f t="shared" si="24"/>
        <v>44169</v>
      </c>
      <c r="CA25" s="24">
        <f t="shared" si="56"/>
        <v>6.4000000000000003E-3</v>
      </c>
      <c r="CC25" s="18">
        <f t="shared" si="25"/>
        <v>44169</v>
      </c>
      <c r="CD25" s="24">
        <f t="shared" si="57"/>
        <v>6.4000000000000003E-3</v>
      </c>
      <c r="CF25" s="18">
        <f t="shared" si="26"/>
        <v>44169</v>
      </c>
      <c r="CG25" s="24">
        <f t="shared" si="58"/>
        <v>6.4000000000000003E-3</v>
      </c>
      <c r="CI25" s="18">
        <f t="shared" si="27"/>
        <v>44169</v>
      </c>
      <c r="CJ25" s="24">
        <f t="shared" si="59"/>
        <v>6.4000000000000003E-3</v>
      </c>
      <c r="CL25" s="18">
        <f t="shared" si="28"/>
        <v>44169</v>
      </c>
      <c r="CM25" s="24">
        <f t="shared" si="60"/>
        <v>6.4000000000000003E-3</v>
      </c>
      <c r="CO25" s="18">
        <f t="shared" si="29"/>
        <v>44169</v>
      </c>
      <c r="CP25" s="24">
        <f t="shared" si="61"/>
        <v>6.4000000000000003E-3</v>
      </c>
      <c r="CR25" s="18">
        <f t="shared" si="30"/>
        <v>44169</v>
      </c>
      <c r="CS25" s="24">
        <f t="shared" si="62"/>
        <v>6.4000000000000003E-3</v>
      </c>
      <c r="CU25" s="18">
        <f t="shared" si="31"/>
        <v>44169</v>
      </c>
      <c r="CV25" s="24">
        <f t="shared" si="63"/>
        <v>6.4000000000000003E-3</v>
      </c>
      <c r="CX25" s="18">
        <f t="shared" si="32"/>
        <v>44169</v>
      </c>
      <c r="CY25" s="24">
        <f t="shared" si="64"/>
        <v>6.4000000000000003E-3</v>
      </c>
      <c r="DA25" s="18">
        <f t="shared" si="33"/>
        <v>44169</v>
      </c>
      <c r="DB25" s="24">
        <f t="shared" si="65"/>
        <v>6.4000000000000003E-3</v>
      </c>
      <c r="DD25" s="18">
        <f t="shared" si="34"/>
        <v>44169</v>
      </c>
      <c r="DE25" s="24">
        <f t="shared" si="76"/>
        <v>6.4000000000000003E-3</v>
      </c>
      <c r="DG25" s="18">
        <f t="shared" si="35"/>
        <v>44169</v>
      </c>
      <c r="DH25" s="24">
        <f t="shared" si="66"/>
        <v>6.4000000000000003E-3</v>
      </c>
      <c r="DJ25" s="18">
        <f t="shared" si="36"/>
        <v>44169</v>
      </c>
      <c r="DK25" s="24">
        <f t="shared" si="67"/>
        <v>6.4000000000000003E-3</v>
      </c>
      <c r="DM25" s="18">
        <f t="shared" si="37"/>
        <v>44169</v>
      </c>
      <c r="DN25" s="24">
        <f t="shared" si="68"/>
        <v>6.4000000000000003E-3</v>
      </c>
      <c r="DP25" s="18">
        <f t="shared" si="38"/>
        <v>44169</v>
      </c>
      <c r="DQ25" s="24">
        <f t="shared" si="77"/>
        <v>6.4000000000000003E-3</v>
      </c>
    </row>
    <row r="26" spans="1:121" x14ac:dyDescent="0.25">
      <c r="A26" s="4" t="str">
        <f t="shared" si="79"/>
        <v>Float (17M)</v>
      </c>
      <c r="B26" s="5">
        <f t="shared" si="85"/>
        <v>6.4000000000000003E-3</v>
      </c>
      <c r="C26" s="2" t="str">
        <f t="shared" si="80"/>
        <v>MB IM &gt;= 70%</v>
      </c>
      <c r="E26" s="103">
        <v>17</v>
      </c>
      <c r="F26" s="64">
        <v>43892</v>
      </c>
      <c r="G26" s="16">
        <v>0</v>
      </c>
      <c r="H26" s="16">
        <v>2</v>
      </c>
      <c r="J26" s="34">
        <f>[1]!MLPutMatrix("NumScen",K13)</f>
        <v>0</v>
      </c>
      <c r="K26" s="34"/>
      <c r="L26" s="34">
        <f>[1]!Mlgetmatrix("ProbAutoBack1","Z71")</f>
        <v>0</v>
      </c>
      <c r="M26" s="16"/>
      <c r="N26" s="100">
        <v>1.8054794520547945</v>
      </c>
      <c r="O26" s="18">
        <f>+F47</f>
        <v>44201</v>
      </c>
      <c r="P26" s="24">
        <f t="shared" si="39"/>
        <v>6.4000000000000003E-3</v>
      </c>
      <c r="Q26" s="21">
        <f t="shared" si="78"/>
        <v>1.2728069877118575</v>
      </c>
      <c r="R26" s="18">
        <f t="shared" si="81"/>
        <v>44201</v>
      </c>
      <c r="S26" s="24">
        <f t="shared" si="6"/>
        <v>6.4000000000000003E-3</v>
      </c>
      <c r="T26" s="21">
        <v>1</v>
      </c>
      <c r="U26" s="18">
        <f t="shared" si="82"/>
        <v>44201</v>
      </c>
      <c r="V26" s="24">
        <f t="shared" si="7"/>
        <v>6.4000000000000003E-3</v>
      </c>
      <c r="W26" s="21">
        <f t="shared" si="40"/>
        <v>0.78785341537515119</v>
      </c>
      <c r="X26" s="18">
        <f t="shared" si="83"/>
        <v>44201</v>
      </c>
      <c r="Y26" s="24">
        <f t="shared" si="8"/>
        <v>6.4000000000000003E-3</v>
      </c>
      <c r="Z26" s="21">
        <f t="shared" si="41"/>
        <v>2.3077190266274976</v>
      </c>
      <c r="AA26" s="18">
        <f t="shared" si="84"/>
        <v>44201</v>
      </c>
      <c r="AB26" s="24">
        <f t="shared" si="9"/>
        <v>0</v>
      </c>
      <c r="AC26" s="21">
        <f t="shared" si="42"/>
        <v>0.43415679793564627</v>
      </c>
      <c r="AD26" s="18">
        <f t="shared" si="4"/>
        <v>44201</v>
      </c>
      <c r="AE26" s="24"/>
      <c r="AG26" s="18">
        <f t="shared" si="5"/>
        <v>44201</v>
      </c>
      <c r="AH26" s="24"/>
      <c r="AJ26" s="18">
        <f t="shared" si="10"/>
        <v>44201</v>
      </c>
      <c r="AK26" s="24"/>
      <c r="AM26" s="18">
        <f t="shared" si="11"/>
        <v>44201</v>
      </c>
      <c r="AN26" s="24"/>
      <c r="AP26" s="18">
        <f t="shared" si="12"/>
        <v>44201</v>
      </c>
      <c r="AQ26" s="24"/>
      <c r="AS26" s="18">
        <f t="shared" si="13"/>
        <v>44201</v>
      </c>
      <c r="AT26" s="24"/>
      <c r="AV26" s="18">
        <f t="shared" si="14"/>
        <v>44201</v>
      </c>
      <c r="AW26" s="24"/>
      <c r="AY26" s="18">
        <f t="shared" si="15"/>
        <v>44201</v>
      </c>
      <c r="AZ26" s="24"/>
      <c r="BB26" s="18">
        <f t="shared" si="16"/>
        <v>44201</v>
      </c>
      <c r="BC26" s="24"/>
      <c r="BE26" s="18">
        <f t="shared" si="17"/>
        <v>44201</v>
      </c>
      <c r="BF26" s="24"/>
      <c r="BH26" s="18">
        <f t="shared" si="18"/>
        <v>44201</v>
      </c>
      <c r="BI26" s="24"/>
      <c r="BK26" s="18">
        <f t="shared" si="19"/>
        <v>44201</v>
      </c>
      <c r="BL26" s="24"/>
      <c r="BN26" s="18">
        <f t="shared" si="20"/>
        <v>44201</v>
      </c>
      <c r="BO26" s="24"/>
      <c r="BQ26" s="18">
        <f t="shared" si="21"/>
        <v>44201</v>
      </c>
      <c r="BR26" s="24"/>
      <c r="BT26" s="18">
        <f t="shared" si="22"/>
        <v>44201</v>
      </c>
      <c r="BU26" s="24">
        <f>1+B29</f>
        <v>1.0064</v>
      </c>
      <c r="BW26" s="18">
        <f t="shared" si="23"/>
        <v>44201</v>
      </c>
      <c r="BX26" s="24">
        <f t="shared" si="55"/>
        <v>6.4000000000000003E-3</v>
      </c>
      <c r="BZ26" s="18">
        <f t="shared" si="24"/>
        <v>44201</v>
      </c>
      <c r="CA26" s="24">
        <f t="shared" si="56"/>
        <v>6.4000000000000003E-3</v>
      </c>
      <c r="CC26" s="18">
        <f t="shared" si="25"/>
        <v>44201</v>
      </c>
      <c r="CD26" s="24">
        <f t="shared" si="57"/>
        <v>6.4000000000000003E-3</v>
      </c>
      <c r="CF26" s="18">
        <f t="shared" si="26"/>
        <v>44201</v>
      </c>
      <c r="CG26" s="24">
        <f t="shared" si="58"/>
        <v>6.4000000000000003E-3</v>
      </c>
      <c r="CI26" s="18">
        <f t="shared" si="27"/>
        <v>44201</v>
      </c>
      <c r="CJ26" s="24">
        <f t="shared" si="59"/>
        <v>6.4000000000000003E-3</v>
      </c>
      <c r="CL26" s="18">
        <f t="shared" si="28"/>
        <v>44201</v>
      </c>
      <c r="CM26" s="24">
        <f t="shared" si="60"/>
        <v>6.4000000000000003E-3</v>
      </c>
      <c r="CO26" s="18">
        <f t="shared" si="29"/>
        <v>44201</v>
      </c>
      <c r="CP26" s="24">
        <f t="shared" si="61"/>
        <v>6.4000000000000003E-3</v>
      </c>
      <c r="CR26" s="18">
        <f t="shared" si="30"/>
        <v>44201</v>
      </c>
      <c r="CS26" s="24">
        <f t="shared" si="62"/>
        <v>6.4000000000000003E-3</v>
      </c>
      <c r="CU26" s="18">
        <f t="shared" si="31"/>
        <v>44201</v>
      </c>
      <c r="CV26" s="24">
        <f t="shared" si="63"/>
        <v>6.4000000000000003E-3</v>
      </c>
      <c r="CX26" s="18">
        <f t="shared" si="32"/>
        <v>44201</v>
      </c>
      <c r="CY26" s="24">
        <f t="shared" si="64"/>
        <v>6.4000000000000003E-3</v>
      </c>
      <c r="DA26" s="18">
        <f t="shared" si="33"/>
        <v>44201</v>
      </c>
      <c r="DB26" s="24">
        <f t="shared" si="65"/>
        <v>6.4000000000000003E-3</v>
      </c>
      <c r="DD26" s="18">
        <f t="shared" si="34"/>
        <v>44201</v>
      </c>
      <c r="DE26" s="24">
        <f t="shared" si="76"/>
        <v>6.4000000000000003E-3</v>
      </c>
      <c r="DG26" s="18">
        <f t="shared" si="35"/>
        <v>44201</v>
      </c>
      <c r="DH26" s="24">
        <f t="shared" si="66"/>
        <v>6.4000000000000003E-3</v>
      </c>
      <c r="DJ26" s="18">
        <f t="shared" si="36"/>
        <v>44201</v>
      </c>
      <c r="DK26" s="24">
        <f t="shared" si="67"/>
        <v>6.4000000000000003E-3</v>
      </c>
      <c r="DM26" s="18">
        <f t="shared" si="37"/>
        <v>44201</v>
      </c>
      <c r="DN26" s="24">
        <f t="shared" si="68"/>
        <v>6.4000000000000003E-3</v>
      </c>
      <c r="DP26" s="18">
        <f t="shared" si="38"/>
        <v>44201</v>
      </c>
      <c r="DQ26" s="24">
        <f t="shared" si="77"/>
        <v>6.4000000000000003E-3</v>
      </c>
    </row>
    <row r="27" spans="1:121" x14ac:dyDescent="0.25">
      <c r="A27" s="4" t="str">
        <f t="shared" si="79"/>
        <v>Float (18M)</v>
      </c>
      <c r="B27" s="5">
        <f t="shared" si="85"/>
        <v>6.4000000000000003E-3</v>
      </c>
      <c r="C27" s="2" t="str">
        <f t="shared" si="80"/>
        <v>MB IM &gt;= 70%</v>
      </c>
      <c r="E27" s="103">
        <v>18</v>
      </c>
      <c r="F27" s="64">
        <f>WORKDAY(F26,2)</f>
        <v>43894</v>
      </c>
      <c r="G27" s="16">
        <v>1</v>
      </c>
      <c r="H27" s="16">
        <v>0</v>
      </c>
      <c r="J27" s="35"/>
      <c r="K27" s="35"/>
      <c r="L27" s="34">
        <f>[1]!Mlgetmatrix("ProbAutoBack2","Z80")</f>
        <v>0</v>
      </c>
      <c r="M27" s="16"/>
      <c r="N27" s="100">
        <v>1.8876712328767122</v>
      </c>
      <c r="O27" s="18">
        <f>+F49</f>
        <v>44231</v>
      </c>
      <c r="P27" s="24">
        <f t="shared" si="39"/>
        <v>6.4000000000000003E-3</v>
      </c>
      <c r="Q27" s="21">
        <f t="shared" si="78"/>
        <v>1.2878973284921373</v>
      </c>
      <c r="R27" s="18">
        <f t="shared" si="81"/>
        <v>44231</v>
      </c>
      <c r="S27" s="24">
        <f t="shared" si="6"/>
        <v>6.4000000000000003E-3</v>
      </c>
      <c r="T27" s="21">
        <v>1</v>
      </c>
      <c r="U27" s="18">
        <f t="shared" si="82"/>
        <v>44231</v>
      </c>
      <c r="V27" s="24">
        <f t="shared" si="7"/>
        <v>6.4000000000000003E-3</v>
      </c>
      <c r="W27" s="21">
        <f t="shared" si="40"/>
        <v>0.77872793115406524</v>
      </c>
      <c r="X27" s="18">
        <f t="shared" si="83"/>
        <v>44231</v>
      </c>
      <c r="Y27" s="24">
        <f t="shared" si="8"/>
        <v>6.4000000000000003E-3</v>
      </c>
      <c r="Z27" s="21">
        <f t="shared" si="41"/>
        <v>2.4039643618216746</v>
      </c>
      <c r="AA27" s="18">
        <f t="shared" si="84"/>
        <v>44231</v>
      </c>
      <c r="AB27" s="24">
        <f t="shared" si="9"/>
        <v>0</v>
      </c>
      <c r="AC27" s="21">
        <f t="shared" si="42"/>
        <v>0.41681375486210648</v>
      </c>
      <c r="AD27" s="18">
        <f t="shared" si="4"/>
        <v>44231</v>
      </c>
      <c r="AE27" s="24"/>
      <c r="AG27" s="18">
        <f t="shared" si="5"/>
        <v>44231</v>
      </c>
      <c r="AH27" s="24"/>
      <c r="AJ27" s="18">
        <f t="shared" si="10"/>
        <v>44231</v>
      </c>
      <c r="AK27" s="24"/>
      <c r="AM27" s="18">
        <f t="shared" si="11"/>
        <v>44231</v>
      </c>
      <c r="AN27" s="24"/>
      <c r="AP27" s="18">
        <f t="shared" si="12"/>
        <v>44231</v>
      </c>
      <c r="AQ27" s="24"/>
      <c r="AS27" s="18">
        <f t="shared" si="13"/>
        <v>44231</v>
      </c>
      <c r="AT27" s="24"/>
      <c r="AV27" s="18">
        <f t="shared" si="14"/>
        <v>44231</v>
      </c>
      <c r="AW27" s="24"/>
      <c r="AY27" s="18">
        <f t="shared" si="15"/>
        <v>44231</v>
      </c>
      <c r="AZ27" s="24"/>
      <c r="BB27" s="18">
        <f t="shared" si="16"/>
        <v>44231</v>
      </c>
      <c r="BC27" s="24"/>
      <c r="BE27" s="18">
        <f t="shared" si="17"/>
        <v>44231</v>
      </c>
      <c r="BF27" s="24"/>
      <c r="BH27" s="18">
        <f t="shared" si="18"/>
        <v>44231</v>
      </c>
      <c r="BI27" s="24"/>
      <c r="BK27" s="18">
        <f t="shared" si="19"/>
        <v>44231</v>
      </c>
      <c r="BL27" s="24"/>
      <c r="BN27" s="18">
        <f t="shared" si="20"/>
        <v>44231</v>
      </c>
      <c r="BO27" s="24"/>
      <c r="BQ27" s="18">
        <f t="shared" si="21"/>
        <v>44231</v>
      </c>
      <c r="BR27" s="24"/>
      <c r="BT27" s="18">
        <f t="shared" si="22"/>
        <v>44231</v>
      </c>
      <c r="BU27" s="24"/>
      <c r="BW27" s="18">
        <f t="shared" si="23"/>
        <v>44231</v>
      </c>
      <c r="BX27" s="24">
        <f>1+B30</f>
        <v>1.0064</v>
      </c>
      <c r="BZ27" s="18">
        <f t="shared" si="24"/>
        <v>44231</v>
      </c>
      <c r="CA27" s="24">
        <f t="shared" si="56"/>
        <v>6.4000000000000003E-3</v>
      </c>
      <c r="CC27" s="18">
        <f t="shared" si="25"/>
        <v>44231</v>
      </c>
      <c r="CD27" s="24">
        <f t="shared" si="57"/>
        <v>6.4000000000000003E-3</v>
      </c>
      <c r="CF27" s="18">
        <f t="shared" si="26"/>
        <v>44231</v>
      </c>
      <c r="CG27" s="24">
        <f t="shared" si="58"/>
        <v>6.4000000000000003E-3</v>
      </c>
      <c r="CI27" s="18">
        <f t="shared" si="27"/>
        <v>44231</v>
      </c>
      <c r="CJ27" s="24">
        <f t="shared" si="59"/>
        <v>6.4000000000000003E-3</v>
      </c>
      <c r="CL27" s="18">
        <f t="shared" si="28"/>
        <v>44231</v>
      </c>
      <c r="CM27" s="24">
        <f t="shared" si="60"/>
        <v>6.4000000000000003E-3</v>
      </c>
      <c r="CO27" s="18">
        <f t="shared" si="29"/>
        <v>44231</v>
      </c>
      <c r="CP27" s="24">
        <f t="shared" si="61"/>
        <v>6.4000000000000003E-3</v>
      </c>
      <c r="CR27" s="18">
        <f t="shared" si="30"/>
        <v>44231</v>
      </c>
      <c r="CS27" s="24">
        <f t="shared" si="62"/>
        <v>6.4000000000000003E-3</v>
      </c>
      <c r="CU27" s="18">
        <f t="shared" si="31"/>
        <v>44231</v>
      </c>
      <c r="CV27" s="24">
        <f t="shared" si="63"/>
        <v>6.4000000000000003E-3</v>
      </c>
      <c r="CX27" s="18">
        <f t="shared" si="32"/>
        <v>44231</v>
      </c>
      <c r="CY27" s="24">
        <f t="shared" si="64"/>
        <v>6.4000000000000003E-3</v>
      </c>
      <c r="DA27" s="18">
        <f t="shared" si="33"/>
        <v>44231</v>
      </c>
      <c r="DB27" s="24">
        <f t="shared" si="65"/>
        <v>6.4000000000000003E-3</v>
      </c>
      <c r="DD27" s="18">
        <f t="shared" si="34"/>
        <v>44231</v>
      </c>
      <c r="DE27" s="24">
        <f t="shared" si="76"/>
        <v>6.4000000000000003E-3</v>
      </c>
      <c r="DG27" s="18">
        <f t="shared" si="35"/>
        <v>44231</v>
      </c>
      <c r="DH27" s="24">
        <f t="shared" si="66"/>
        <v>6.4000000000000003E-3</v>
      </c>
      <c r="DJ27" s="18">
        <f t="shared" si="36"/>
        <v>44231</v>
      </c>
      <c r="DK27" s="24">
        <f t="shared" si="67"/>
        <v>6.4000000000000003E-3</v>
      </c>
      <c r="DM27" s="18">
        <f t="shared" si="37"/>
        <v>44231</v>
      </c>
      <c r="DN27" s="24">
        <f t="shared" si="68"/>
        <v>6.4000000000000003E-3</v>
      </c>
      <c r="DP27" s="18">
        <f t="shared" si="38"/>
        <v>44231</v>
      </c>
      <c r="DQ27" s="24">
        <f t="shared" si="77"/>
        <v>6.4000000000000003E-3</v>
      </c>
    </row>
    <row r="28" spans="1:121" x14ac:dyDescent="0.25">
      <c r="A28" s="4" t="str">
        <f t="shared" si="79"/>
        <v>Float (19M)</v>
      </c>
      <c r="B28" s="5">
        <f t="shared" si="85"/>
        <v>6.4000000000000003E-3</v>
      </c>
      <c r="C28" s="2" t="str">
        <f t="shared" si="80"/>
        <v>MB IM &gt;= 70%</v>
      </c>
      <c r="E28" s="103">
        <v>19</v>
      </c>
      <c r="F28" s="64">
        <v>43923</v>
      </c>
      <c r="G28" s="16">
        <v>0</v>
      </c>
      <c r="H28" s="16">
        <v>2</v>
      </c>
      <c r="J28" s="9"/>
      <c r="K28" s="9"/>
      <c r="L28" s="34">
        <f>[1]!Mlgetmatrix("BackDetTIR","P80")</f>
        <v>0</v>
      </c>
      <c r="M28" s="16"/>
      <c r="N28" s="100">
        <v>1.9643835616438357</v>
      </c>
      <c r="O28" s="18">
        <f>+F51</f>
        <v>44259</v>
      </c>
      <c r="P28" s="24">
        <f t="shared" si="39"/>
        <v>6.4000000000000003E-3</v>
      </c>
      <c r="Q28" s="21">
        <f t="shared" si="78"/>
        <v>1.3021430210824874</v>
      </c>
      <c r="R28" s="18">
        <f t="shared" si="81"/>
        <v>44259</v>
      </c>
      <c r="S28" s="24">
        <f t="shared" si="6"/>
        <v>6.4000000000000003E-3</v>
      </c>
      <c r="T28" s="21">
        <v>1</v>
      </c>
      <c r="U28" s="18">
        <f t="shared" si="82"/>
        <v>44259</v>
      </c>
      <c r="V28" s="24">
        <f t="shared" si="7"/>
        <v>6.4000000000000003E-3</v>
      </c>
      <c r="W28" s="21">
        <f t="shared" si="40"/>
        <v>0.77030620017627993</v>
      </c>
      <c r="X28" s="18">
        <f t="shared" si="83"/>
        <v>44259</v>
      </c>
      <c r="Y28" s="24">
        <f t="shared" si="8"/>
        <v>6.4000000000000003E-3</v>
      </c>
      <c r="Z28" s="21">
        <f t="shared" si="41"/>
        <v>2.497411533957667</v>
      </c>
      <c r="AA28" s="18">
        <f t="shared" si="84"/>
        <v>44259</v>
      </c>
      <c r="AB28" s="24">
        <f t="shared" si="9"/>
        <v>0</v>
      </c>
      <c r="AC28" s="21">
        <f t="shared" si="42"/>
        <v>0.4012525295033369</v>
      </c>
      <c r="AD28" s="18">
        <f t="shared" si="4"/>
        <v>44259</v>
      </c>
      <c r="AE28" s="24"/>
      <c r="AG28" s="18">
        <f t="shared" si="5"/>
        <v>44259</v>
      </c>
      <c r="AH28" s="24"/>
      <c r="AJ28" s="18">
        <f t="shared" si="10"/>
        <v>44259</v>
      </c>
      <c r="AK28" s="24"/>
      <c r="AM28" s="18">
        <f t="shared" si="11"/>
        <v>44259</v>
      </c>
      <c r="AN28" s="24"/>
      <c r="AP28" s="18">
        <f t="shared" si="12"/>
        <v>44259</v>
      </c>
      <c r="AQ28" s="24"/>
      <c r="AS28" s="18">
        <f t="shared" si="13"/>
        <v>44259</v>
      </c>
      <c r="AT28" s="24"/>
      <c r="AV28" s="18">
        <f t="shared" si="14"/>
        <v>44259</v>
      </c>
      <c r="AW28" s="24"/>
      <c r="AY28" s="18">
        <f t="shared" si="15"/>
        <v>44259</v>
      </c>
      <c r="AZ28" s="24"/>
      <c r="BB28" s="18">
        <f t="shared" si="16"/>
        <v>44259</v>
      </c>
      <c r="BC28" s="24"/>
      <c r="BE28" s="18">
        <f t="shared" si="17"/>
        <v>44259</v>
      </c>
      <c r="BF28" s="24"/>
      <c r="BH28" s="18">
        <f t="shared" si="18"/>
        <v>44259</v>
      </c>
      <c r="BI28" s="24"/>
      <c r="BK28" s="18">
        <f t="shared" si="19"/>
        <v>44259</v>
      </c>
      <c r="BL28" s="24"/>
      <c r="BN28" s="18">
        <f t="shared" si="20"/>
        <v>44259</v>
      </c>
      <c r="BO28" s="24"/>
      <c r="BQ28" s="18">
        <f t="shared" si="21"/>
        <v>44259</v>
      </c>
      <c r="BR28" s="24"/>
      <c r="BT28" s="18">
        <f t="shared" si="22"/>
        <v>44259</v>
      </c>
      <c r="BU28" s="24"/>
      <c r="BW28" s="18">
        <f t="shared" si="23"/>
        <v>44259</v>
      </c>
      <c r="BX28" s="24"/>
      <c r="BZ28" s="18">
        <f t="shared" si="24"/>
        <v>44259</v>
      </c>
      <c r="CA28" s="24">
        <f>1+B31</f>
        <v>1.0064</v>
      </c>
      <c r="CC28" s="18">
        <f t="shared" si="25"/>
        <v>44259</v>
      </c>
      <c r="CD28" s="24">
        <f t="shared" si="57"/>
        <v>6.4000000000000003E-3</v>
      </c>
      <c r="CF28" s="18">
        <f t="shared" si="26"/>
        <v>44259</v>
      </c>
      <c r="CG28" s="24">
        <f t="shared" si="58"/>
        <v>6.4000000000000003E-3</v>
      </c>
      <c r="CI28" s="18">
        <f t="shared" si="27"/>
        <v>44259</v>
      </c>
      <c r="CJ28" s="24">
        <f t="shared" si="59"/>
        <v>6.4000000000000003E-3</v>
      </c>
      <c r="CL28" s="18">
        <f t="shared" si="28"/>
        <v>44259</v>
      </c>
      <c r="CM28" s="24">
        <f t="shared" si="60"/>
        <v>6.4000000000000003E-3</v>
      </c>
      <c r="CO28" s="18">
        <f t="shared" si="29"/>
        <v>44259</v>
      </c>
      <c r="CP28" s="24">
        <f t="shared" si="61"/>
        <v>6.4000000000000003E-3</v>
      </c>
      <c r="CR28" s="18">
        <f t="shared" si="30"/>
        <v>44259</v>
      </c>
      <c r="CS28" s="24">
        <f t="shared" si="62"/>
        <v>6.4000000000000003E-3</v>
      </c>
      <c r="CU28" s="18">
        <f t="shared" si="31"/>
        <v>44259</v>
      </c>
      <c r="CV28" s="24">
        <f t="shared" si="63"/>
        <v>6.4000000000000003E-3</v>
      </c>
      <c r="CX28" s="18">
        <f t="shared" si="32"/>
        <v>44259</v>
      </c>
      <c r="CY28" s="24">
        <f t="shared" si="64"/>
        <v>6.4000000000000003E-3</v>
      </c>
      <c r="DA28" s="18">
        <f t="shared" si="33"/>
        <v>44259</v>
      </c>
      <c r="DB28" s="24">
        <f t="shared" si="65"/>
        <v>6.4000000000000003E-3</v>
      </c>
      <c r="DD28" s="18">
        <f t="shared" si="34"/>
        <v>44259</v>
      </c>
      <c r="DE28" s="24">
        <f t="shared" si="76"/>
        <v>6.4000000000000003E-3</v>
      </c>
      <c r="DG28" s="18">
        <f t="shared" si="35"/>
        <v>44259</v>
      </c>
      <c r="DH28" s="24">
        <f t="shared" si="66"/>
        <v>6.4000000000000003E-3</v>
      </c>
      <c r="DJ28" s="18">
        <f t="shared" si="36"/>
        <v>44259</v>
      </c>
      <c r="DK28" s="24">
        <f t="shared" si="67"/>
        <v>6.4000000000000003E-3</v>
      </c>
      <c r="DM28" s="18">
        <f t="shared" si="37"/>
        <v>44259</v>
      </c>
      <c r="DN28" s="24">
        <f t="shared" si="68"/>
        <v>6.4000000000000003E-3</v>
      </c>
      <c r="DP28" s="18">
        <f t="shared" si="38"/>
        <v>44259</v>
      </c>
      <c r="DQ28" s="24">
        <f t="shared" si="77"/>
        <v>6.4000000000000003E-3</v>
      </c>
    </row>
    <row r="29" spans="1:121" x14ac:dyDescent="0.25">
      <c r="A29" s="4" t="str">
        <f t="shared" si="79"/>
        <v>Float (20M)</v>
      </c>
      <c r="B29" s="5">
        <f t="shared" si="85"/>
        <v>6.4000000000000003E-3</v>
      </c>
      <c r="C29" s="2" t="str">
        <f t="shared" si="80"/>
        <v>MB IM &gt;= 70%</v>
      </c>
      <c r="E29" s="103">
        <v>20</v>
      </c>
      <c r="F29" s="64">
        <f>WORKDAY(F28,2)</f>
        <v>43927</v>
      </c>
      <c r="G29" s="16">
        <v>1</v>
      </c>
      <c r="H29" s="16">
        <v>0</v>
      </c>
      <c r="J29" s="9"/>
      <c r="K29" s="9"/>
      <c r="L29" s="34">
        <f>[1]!Mlgetmatrix("OT","N6")</f>
        <v>0</v>
      </c>
      <c r="M29" s="16"/>
      <c r="N29" s="100">
        <v>2.0547945205479454</v>
      </c>
      <c r="O29" s="18">
        <f>+F53</f>
        <v>44292</v>
      </c>
      <c r="P29" s="24">
        <f t="shared" si="39"/>
        <v>6.4000000000000003E-3</v>
      </c>
      <c r="Q29" s="21">
        <f t="shared" si="78"/>
        <v>1.319135014523644</v>
      </c>
      <c r="R29" s="18">
        <f t="shared" si="81"/>
        <v>44292</v>
      </c>
      <c r="S29" s="24">
        <f t="shared" si="6"/>
        <v>6.4000000000000003E-3</v>
      </c>
      <c r="T29" s="21">
        <v>1</v>
      </c>
      <c r="U29" s="18">
        <f t="shared" si="82"/>
        <v>44292</v>
      </c>
      <c r="V29" s="24">
        <f t="shared" si="7"/>
        <v>6.4000000000000003E-3</v>
      </c>
      <c r="W29" s="21">
        <f t="shared" si="40"/>
        <v>0.76049744019835086</v>
      </c>
      <c r="X29" s="18">
        <f t="shared" si="83"/>
        <v>44292</v>
      </c>
      <c r="Y29" s="24">
        <f t="shared" si="8"/>
        <v>6.4000000000000003E-3</v>
      </c>
      <c r="Z29" s="21">
        <f t="shared" si="41"/>
        <v>2.6122197994357643</v>
      </c>
      <c r="AA29" s="18">
        <f t="shared" si="84"/>
        <v>44292</v>
      </c>
      <c r="AB29" s="24">
        <f t="shared" si="9"/>
        <v>0</v>
      </c>
      <c r="AC29" s="21">
        <f t="shared" si="42"/>
        <v>0.3836566794438398</v>
      </c>
      <c r="AD29" s="18">
        <f t="shared" si="4"/>
        <v>44292</v>
      </c>
      <c r="AE29" s="24"/>
      <c r="AG29" s="18">
        <f t="shared" si="5"/>
        <v>44292</v>
      </c>
      <c r="AH29" s="24"/>
      <c r="AJ29" s="18">
        <f t="shared" si="10"/>
        <v>44292</v>
      </c>
      <c r="AK29" s="24"/>
      <c r="AM29" s="18">
        <f t="shared" si="11"/>
        <v>44292</v>
      </c>
      <c r="AN29" s="24"/>
      <c r="AP29" s="18">
        <f t="shared" si="12"/>
        <v>44292</v>
      </c>
      <c r="AQ29" s="24"/>
      <c r="AS29" s="18">
        <f t="shared" si="13"/>
        <v>44292</v>
      </c>
      <c r="AT29" s="24"/>
      <c r="AV29" s="18">
        <f t="shared" si="14"/>
        <v>44292</v>
      </c>
      <c r="AW29" s="24"/>
      <c r="AY29" s="18">
        <f t="shared" si="15"/>
        <v>44292</v>
      </c>
      <c r="AZ29" s="24"/>
      <c r="BB29" s="18">
        <f t="shared" si="16"/>
        <v>44292</v>
      </c>
      <c r="BC29" s="24"/>
      <c r="BE29" s="18">
        <f t="shared" si="17"/>
        <v>44292</v>
      </c>
      <c r="BF29" s="24"/>
      <c r="BH29" s="18">
        <f t="shared" si="18"/>
        <v>44292</v>
      </c>
      <c r="BI29" s="24"/>
      <c r="BK29" s="18">
        <f t="shared" si="19"/>
        <v>44292</v>
      </c>
      <c r="BL29" s="24"/>
      <c r="BN29" s="18">
        <f t="shared" si="20"/>
        <v>44292</v>
      </c>
      <c r="BO29" s="24"/>
      <c r="BQ29" s="18">
        <f t="shared" si="21"/>
        <v>44292</v>
      </c>
      <c r="BR29" s="24"/>
      <c r="BT29" s="18">
        <f t="shared" si="22"/>
        <v>44292</v>
      </c>
      <c r="BU29" s="24"/>
      <c r="BW29" s="18">
        <f t="shared" si="23"/>
        <v>44292</v>
      </c>
      <c r="BX29" s="24"/>
      <c r="BZ29" s="18">
        <f t="shared" si="24"/>
        <v>44292</v>
      </c>
      <c r="CA29" s="24"/>
      <c r="CC29" s="18">
        <f t="shared" si="25"/>
        <v>44292</v>
      </c>
      <c r="CD29" s="24">
        <f>1+B32</f>
        <v>1.0064</v>
      </c>
      <c r="CF29" s="18">
        <f t="shared" si="26"/>
        <v>44292</v>
      </c>
      <c r="CG29" s="24">
        <f t="shared" si="58"/>
        <v>6.4000000000000003E-3</v>
      </c>
      <c r="CI29" s="18">
        <f t="shared" si="27"/>
        <v>44292</v>
      </c>
      <c r="CJ29" s="24">
        <f t="shared" si="59"/>
        <v>6.4000000000000003E-3</v>
      </c>
      <c r="CL29" s="18">
        <f t="shared" si="28"/>
        <v>44292</v>
      </c>
      <c r="CM29" s="24">
        <f t="shared" si="60"/>
        <v>6.4000000000000003E-3</v>
      </c>
      <c r="CO29" s="18">
        <f t="shared" si="29"/>
        <v>44292</v>
      </c>
      <c r="CP29" s="24">
        <f t="shared" si="61"/>
        <v>6.4000000000000003E-3</v>
      </c>
      <c r="CR29" s="18">
        <f t="shared" si="30"/>
        <v>44292</v>
      </c>
      <c r="CS29" s="24">
        <f t="shared" si="62"/>
        <v>6.4000000000000003E-3</v>
      </c>
      <c r="CU29" s="18">
        <f t="shared" si="31"/>
        <v>44292</v>
      </c>
      <c r="CV29" s="24">
        <f t="shared" si="63"/>
        <v>6.4000000000000003E-3</v>
      </c>
      <c r="CX29" s="18">
        <f t="shared" si="32"/>
        <v>44292</v>
      </c>
      <c r="CY29" s="24">
        <f t="shared" si="64"/>
        <v>6.4000000000000003E-3</v>
      </c>
      <c r="DA29" s="18">
        <f t="shared" si="33"/>
        <v>44292</v>
      </c>
      <c r="DB29" s="24">
        <f t="shared" si="65"/>
        <v>6.4000000000000003E-3</v>
      </c>
      <c r="DD29" s="18">
        <f t="shared" si="34"/>
        <v>44292</v>
      </c>
      <c r="DE29" s="24">
        <f t="shared" si="76"/>
        <v>6.4000000000000003E-3</v>
      </c>
      <c r="DG29" s="18">
        <f t="shared" si="35"/>
        <v>44292</v>
      </c>
      <c r="DH29" s="24">
        <f t="shared" si="66"/>
        <v>6.4000000000000003E-3</v>
      </c>
      <c r="DJ29" s="18">
        <f t="shared" si="36"/>
        <v>44292</v>
      </c>
      <c r="DK29" s="24">
        <f t="shared" si="67"/>
        <v>6.4000000000000003E-3</v>
      </c>
      <c r="DM29" s="18">
        <f t="shared" si="37"/>
        <v>44292</v>
      </c>
      <c r="DN29" s="24">
        <f t="shared" si="68"/>
        <v>6.4000000000000003E-3</v>
      </c>
      <c r="DP29" s="18">
        <f t="shared" si="38"/>
        <v>44292</v>
      </c>
      <c r="DQ29" s="24">
        <f t="shared" si="77"/>
        <v>6.4000000000000003E-3</v>
      </c>
    </row>
    <row r="30" spans="1:121" x14ac:dyDescent="0.25">
      <c r="A30" s="4" t="str">
        <f t="shared" si="79"/>
        <v>Float (21M)</v>
      </c>
      <c r="B30" s="5">
        <f t="shared" si="85"/>
        <v>6.4000000000000003E-3</v>
      </c>
      <c r="C30" s="2" t="str">
        <f t="shared" si="80"/>
        <v>MB IM &gt;= 70%</v>
      </c>
      <c r="E30" s="103">
        <v>21</v>
      </c>
      <c r="F30" s="64">
        <v>43953</v>
      </c>
      <c r="G30" s="16">
        <v>0</v>
      </c>
      <c r="H30" s="16">
        <v>2</v>
      </c>
      <c r="K30" s="9"/>
      <c r="L30" s="9"/>
      <c r="M30" s="16"/>
      <c r="N30" s="100">
        <v>2.1315068493150684</v>
      </c>
      <c r="O30" s="18">
        <f>+F55</f>
        <v>44320</v>
      </c>
      <c r="P30" s="24">
        <f t="shared" si="39"/>
        <v>6.4000000000000003E-3</v>
      </c>
      <c r="Q30" s="21">
        <f t="shared" si="78"/>
        <v>1.3337262334712541</v>
      </c>
      <c r="R30" s="18">
        <f t="shared" si="81"/>
        <v>44320</v>
      </c>
      <c r="S30" s="24">
        <f t="shared" si="6"/>
        <v>6.4000000000000003E-3</v>
      </c>
      <c r="T30" s="21">
        <v>1</v>
      </c>
      <c r="U30" s="18">
        <f t="shared" si="82"/>
        <v>44320</v>
      </c>
      <c r="V30" s="24">
        <f t="shared" si="7"/>
        <v>6.4000000000000003E-3</v>
      </c>
      <c r="W30" s="21">
        <f t="shared" si="40"/>
        <v>0.75227286702662288</v>
      </c>
      <c r="X30" s="18">
        <f t="shared" si="83"/>
        <v>44320</v>
      </c>
      <c r="Y30" s="24">
        <f t="shared" si="8"/>
        <v>6.4000000000000003E-3</v>
      </c>
      <c r="Z30" s="21">
        <f t="shared" si="41"/>
        <v>2.7137623002862941</v>
      </c>
      <c r="AA30" s="18">
        <f t="shared" si="84"/>
        <v>44320</v>
      </c>
      <c r="AB30" s="24">
        <f t="shared" si="9"/>
        <v>0</v>
      </c>
      <c r="AC30" s="21">
        <f t="shared" si="42"/>
        <v>0.36933333243433941</v>
      </c>
      <c r="AD30" s="18">
        <f t="shared" si="4"/>
        <v>44320</v>
      </c>
      <c r="AE30" s="24"/>
      <c r="AG30" s="18">
        <f t="shared" si="5"/>
        <v>44320</v>
      </c>
      <c r="AH30" s="24"/>
      <c r="AJ30" s="18">
        <f t="shared" si="10"/>
        <v>44320</v>
      </c>
      <c r="AK30" s="24"/>
      <c r="AM30" s="18">
        <f t="shared" si="11"/>
        <v>44320</v>
      </c>
      <c r="AN30" s="24"/>
      <c r="AP30" s="18">
        <f t="shared" si="12"/>
        <v>44320</v>
      </c>
      <c r="AQ30" s="24"/>
      <c r="AS30" s="18">
        <f t="shared" si="13"/>
        <v>44320</v>
      </c>
      <c r="AT30" s="24"/>
      <c r="AV30" s="18">
        <f t="shared" si="14"/>
        <v>44320</v>
      </c>
      <c r="AW30" s="24"/>
      <c r="AY30" s="18">
        <f t="shared" si="15"/>
        <v>44320</v>
      </c>
      <c r="AZ30" s="24"/>
      <c r="BB30" s="18">
        <f t="shared" si="16"/>
        <v>44320</v>
      </c>
      <c r="BC30" s="24"/>
      <c r="BE30" s="18">
        <f t="shared" si="17"/>
        <v>44320</v>
      </c>
      <c r="BF30" s="24"/>
      <c r="BH30" s="18">
        <f t="shared" si="18"/>
        <v>44320</v>
      </c>
      <c r="BI30" s="24"/>
      <c r="BK30" s="18">
        <f t="shared" si="19"/>
        <v>44320</v>
      </c>
      <c r="BL30" s="24"/>
      <c r="BN30" s="18">
        <f t="shared" si="20"/>
        <v>44320</v>
      </c>
      <c r="BO30" s="24"/>
      <c r="BQ30" s="18">
        <f t="shared" si="21"/>
        <v>44320</v>
      </c>
      <c r="BR30" s="24"/>
      <c r="BT30" s="18">
        <f t="shared" si="22"/>
        <v>44320</v>
      </c>
      <c r="BU30" s="24"/>
      <c r="BW30" s="18">
        <f t="shared" si="23"/>
        <v>44320</v>
      </c>
      <c r="BX30" s="24"/>
      <c r="BZ30" s="18">
        <f t="shared" si="24"/>
        <v>44320</v>
      </c>
      <c r="CA30" s="24"/>
      <c r="CC30" s="18">
        <f t="shared" si="25"/>
        <v>44320</v>
      </c>
      <c r="CD30" s="24"/>
      <c r="CF30" s="18">
        <f t="shared" si="26"/>
        <v>44320</v>
      </c>
      <c r="CG30" s="24">
        <f>1+B33</f>
        <v>1.0064</v>
      </c>
      <c r="CI30" s="18">
        <f t="shared" si="27"/>
        <v>44320</v>
      </c>
      <c r="CJ30" s="24">
        <f t="shared" si="59"/>
        <v>6.4000000000000003E-3</v>
      </c>
      <c r="CL30" s="18">
        <f t="shared" si="28"/>
        <v>44320</v>
      </c>
      <c r="CM30" s="24">
        <f t="shared" si="60"/>
        <v>6.4000000000000003E-3</v>
      </c>
      <c r="CO30" s="18">
        <f t="shared" si="29"/>
        <v>44320</v>
      </c>
      <c r="CP30" s="24">
        <f t="shared" si="61"/>
        <v>6.4000000000000003E-3</v>
      </c>
      <c r="CR30" s="18">
        <f t="shared" si="30"/>
        <v>44320</v>
      </c>
      <c r="CS30" s="24">
        <f t="shared" si="62"/>
        <v>6.4000000000000003E-3</v>
      </c>
      <c r="CU30" s="18">
        <f t="shared" si="31"/>
        <v>44320</v>
      </c>
      <c r="CV30" s="24">
        <f t="shared" si="63"/>
        <v>6.4000000000000003E-3</v>
      </c>
      <c r="CX30" s="18">
        <f t="shared" si="32"/>
        <v>44320</v>
      </c>
      <c r="CY30" s="24">
        <f t="shared" si="64"/>
        <v>6.4000000000000003E-3</v>
      </c>
      <c r="DA30" s="18">
        <f t="shared" si="33"/>
        <v>44320</v>
      </c>
      <c r="DB30" s="24">
        <f t="shared" si="65"/>
        <v>6.4000000000000003E-3</v>
      </c>
      <c r="DD30" s="18">
        <f t="shared" si="34"/>
        <v>44320</v>
      </c>
      <c r="DE30" s="24">
        <f t="shared" si="76"/>
        <v>6.4000000000000003E-3</v>
      </c>
      <c r="DG30" s="18">
        <f t="shared" si="35"/>
        <v>44320</v>
      </c>
      <c r="DH30" s="24">
        <f t="shared" si="66"/>
        <v>6.4000000000000003E-3</v>
      </c>
      <c r="DJ30" s="18">
        <f t="shared" si="36"/>
        <v>44320</v>
      </c>
      <c r="DK30" s="24">
        <f t="shared" si="67"/>
        <v>6.4000000000000003E-3</v>
      </c>
      <c r="DM30" s="18">
        <f t="shared" si="37"/>
        <v>44320</v>
      </c>
      <c r="DN30" s="24">
        <f t="shared" si="68"/>
        <v>6.4000000000000003E-3</v>
      </c>
      <c r="DP30" s="18">
        <f t="shared" si="38"/>
        <v>44320</v>
      </c>
      <c r="DQ30" s="24">
        <f t="shared" si="77"/>
        <v>6.4000000000000003E-3</v>
      </c>
    </row>
    <row r="31" spans="1:121" x14ac:dyDescent="0.25">
      <c r="A31" s="4" t="str">
        <f t="shared" si="79"/>
        <v>Float (22M)</v>
      </c>
      <c r="B31" s="5">
        <f t="shared" si="85"/>
        <v>6.4000000000000003E-3</v>
      </c>
      <c r="C31" s="2" t="str">
        <f t="shared" si="80"/>
        <v>MB IM &gt;= 70%</v>
      </c>
      <c r="E31" s="103">
        <v>22</v>
      </c>
      <c r="F31" s="64">
        <f>WORKDAY(F30,2)</f>
        <v>43956</v>
      </c>
      <c r="G31" s="16">
        <v>1</v>
      </c>
      <c r="H31" s="16">
        <v>0</v>
      </c>
      <c r="I31" s="9"/>
      <c r="J31" s="9"/>
      <c r="K31" s="9"/>
      <c r="L31" s="9"/>
      <c r="M31" s="16"/>
      <c r="N31" s="100">
        <v>2.2164383561643834</v>
      </c>
      <c r="O31" s="18">
        <f>+F57</f>
        <v>44351</v>
      </c>
      <c r="P31" s="24">
        <f t="shared" si="39"/>
        <v>6.4000000000000003E-3</v>
      </c>
      <c r="Q31" s="21">
        <f t="shared" si="78"/>
        <v>1.3500691330088572</v>
      </c>
      <c r="R31" s="18">
        <f t="shared" si="81"/>
        <v>44351</v>
      </c>
      <c r="S31" s="24">
        <f t="shared" si="6"/>
        <v>6.4000000000000003E-3</v>
      </c>
      <c r="T31" s="21">
        <v>1</v>
      </c>
      <c r="U31" s="18">
        <f t="shared" si="82"/>
        <v>44351</v>
      </c>
      <c r="V31" s="24">
        <f t="shared" si="7"/>
        <v>6.4000000000000003E-3</v>
      </c>
      <c r="W31" s="21">
        <f t="shared" si="40"/>
        <v>0.74327080145217261</v>
      </c>
      <c r="X31" s="18">
        <f t="shared" si="83"/>
        <v>44351</v>
      </c>
      <c r="Y31" s="24">
        <f t="shared" si="8"/>
        <v>6.4000000000000003E-3</v>
      </c>
      <c r="Z31" s="21">
        <f t="shared" si="41"/>
        <v>2.8307948863723755</v>
      </c>
      <c r="AA31" s="18">
        <f t="shared" si="84"/>
        <v>44351</v>
      </c>
      <c r="AB31" s="24">
        <f t="shared" si="9"/>
        <v>0</v>
      </c>
      <c r="AC31" s="21">
        <f t="shared" si="42"/>
        <v>0.35409825720370064</v>
      </c>
      <c r="AD31" s="18">
        <f t="shared" si="4"/>
        <v>44351</v>
      </c>
      <c r="AE31" s="24"/>
      <c r="AG31" s="18">
        <f t="shared" si="5"/>
        <v>44351</v>
      </c>
      <c r="AH31" s="24"/>
      <c r="AJ31" s="18">
        <f t="shared" si="10"/>
        <v>44351</v>
      </c>
      <c r="AK31" s="24"/>
      <c r="AM31" s="18">
        <f t="shared" si="11"/>
        <v>44351</v>
      </c>
      <c r="AN31" s="24"/>
      <c r="AP31" s="18">
        <f t="shared" si="12"/>
        <v>44351</v>
      </c>
      <c r="AQ31" s="24"/>
      <c r="AS31" s="18">
        <f t="shared" si="13"/>
        <v>44351</v>
      </c>
      <c r="AT31" s="24"/>
      <c r="AV31" s="18">
        <f t="shared" si="14"/>
        <v>44351</v>
      </c>
      <c r="AW31" s="24"/>
      <c r="AY31" s="18">
        <f t="shared" si="15"/>
        <v>44351</v>
      </c>
      <c r="AZ31" s="24"/>
      <c r="BB31" s="18">
        <f t="shared" si="16"/>
        <v>44351</v>
      </c>
      <c r="BC31" s="24"/>
      <c r="BE31" s="18">
        <f t="shared" si="17"/>
        <v>44351</v>
      </c>
      <c r="BF31" s="24"/>
      <c r="BH31" s="18">
        <f t="shared" si="18"/>
        <v>44351</v>
      </c>
      <c r="BI31" s="24"/>
      <c r="BK31" s="18">
        <f t="shared" si="19"/>
        <v>44351</v>
      </c>
      <c r="BL31" s="24"/>
      <c r="BN31" s="18">
        <f t="shared" si="20"/>
        <v>44351</v>
      </c>
      <c r="BO31" s="24"/>
      <c r="BQ31" s="18">
        <f t="shared" si="21"/>
        <v>44351</v>
      </c>
      <c r="BR31" s="24"/>
      <c r="BT31" s="18">
        <f t="shared" si="22"/>
        <v>44351</v>
      </c>
      <c r="BU31" s="24"/>
      <c r="BW31" s="18">
        <f t="shared" si="23"/>
        <v>44351</v>
      </c>
      <c r="BX31" s="24"/>
      <c r="BZ31" s="18">
        <f t="shared" si="24"/>
        <v>44351</v>
      </c>
      <c r="CA31" s="24"/>
      <c r="CC31" s="18">
        <f t="shared" si="25"/>
        <v>44351</v>
      </c>
      <c r="CD31" s="24"/>
      <c r="CF31" s="18">
        <f t="shared" si="26"/>
        <v>44351</v>
      </c>
      <c r="CG31" s="24"/>
      <c r="CI31" s="18">
        <f t="shared" si="27"/>
        <v>44351</v>
      </c>
      <c r="CJ31" s="24">
        <f>1+B34</f>
        <v>1.0064</v>
      </c>
      <c r="CL31" s="18">
        <f t="shared" si="28"/>
        <v>44351</v>
      </c>
      <c r="CM31" s="24">
        <f t="shared" si="60"/>
        <v>6.4000000000000003E-3</v>
      </c>
      <c r="CO31" s="18">
        <f t="shared" si="29"/>
        <v>44351</v>
      </c>
      <c r="CP31" s="24">
        <f t="shared" si="61"/>
        <v>6.4000000000000003E-3</v>
      </c>
      <c r="CR31" s="18">
        <f t="shared" si="30"/>
        <v>44351</v>
      </c>
      <c r="CS31" s="24">
        <f t="shared" si="62"/>
        <v>6.4000000000000003E-3</v>
      </c>
      <c r="CU31" s="18">
        <f t="shared" si="31"/>
        <v>44351</v>
      </c>
      <c r="CV31" s="24">
        <f t="shared" si="63"/>
        <v>6.4000000000000003E-3</v>
      </c>
      <c r="CX31" s="18">
        <f t="shared" si="32"/>
        <v>44351</v>
      </c>
      <c r="CY31" s="24">
        <f t="shared" si="64"/>
        <v>6.4000000000000003E-3</v>
      </c>
      <c r="DA31" s="18">
        <f t="shared" si="33"/>
        <v>44351</v>
      </c>
      <c r="DB31" s="24">
        <f t="shared" si="65"/>
        <v>6.4000000000000003E-3</v>
      </c>
      <c r="DD31" s="18">
        <f t="shared" si="34"/>
        <v>44351</v>
      </c>
      <c r="DE31" s="24">
        <f t="shared" si="76"/>
        <v>6.4000000000000003E-3</v>
      </c>
      <c r="DG31" s="18">
        <f t="shared" si="35"/>
        <v>44351</v>
      </c>
      <c r="DH31" s="24">
        <f t="shared" si="66"/>
        <v>6.4000000000000003E-3</v>
      </c>
      <c r="DJ31" s="18">
        <f t="shared" si="36"/>
        <v>44351</v>
      </c>
      <c r="DK31" s="24">
        <f t="shared" si="67"/>
        <v>6.4000000000000003E-3</v>
      </c>
      <c r="DM31" s="18">
        <f t="shared" si="37"/>
        <v>44351</v>
      </c>
      <c r="DN31" s="24">
        <f t="shared" si="68"/>
        <v>6.4000000000000003E-3</v>
      </c>
      <c r="DP31" s="18">
        <f t="shared" si="38"/>
        <v>44351</v>
      </c>
      <c r="DQ31" s="24">
        <f t="shared" si="77"/>
        <v>6.4000000000000003E-3</v>
      </c>
    </row>
    <row r="32" spans="1:121" x14ac:dyDescent="0.25">
      <c r="A32" s="4" t="str">
        <f t="shared" si="79"/>
        <v>Float (23M)</v>
      </c>
      <c r="B32" s="5">
        <f t="shared" si="85"/>
        <v>6.4000000000000003E-3</v>
      </c>
      <c r="C32" s="2" t="str">
        <f t="shared" si="80"/>
        <v>MB IM &gt;= 70%</v>
      </c>
      <c r="E32" s="103">
        <v>23</v>
      </c>
      <c r="F32" s="64">
        <v>43984</v>
      </c>
      <c r="G32" s="16">
        <v>0</v>
      </c>
      <c r="H32" s="16">
        <v>2</v>
      </c>
      <c r="K32" s="9"/>
      <c r="L32" s="9"/>
      <c r="M32" s="16"/>
      <c r="N32" s="100">
        <v>2.3041095890410959</v>
      </c>
      <c r="O32" s="18">
        <f>+F59</f>
        <v>44383</v>
      </c>
      <c r="P32" s="24">
        <f t="shared" si="39"/>
        <v>6.4000000000000003E-3</v>
      </c>
      <c r="Q32" s="21">
        <f t="shared" si="78"/>
        <v>1.3671493033445132</v>
      </c>
      <c r="R32" s="18">
        <f t="shared" si="81"/>
        <v>44383</v>
      </c>
      <c r="S32" s="24">
        <f t="shared" si="6"/>
        <v>6.4000000000000003E-3</v>
      </c>
      <c r="T32" s="21">
        <v>1</v>
      </c>
      <c r="U32" s="18">
        <f t="shared" si="82"/>
        <v>44383</v>
      </c>
      <c r="V32" s="24">
        <f t="shared" si="7"/>
        <v>6.4000000000000003E-3</v>
      </c>
      <c r="W32" s="21">
        <f t="shared" si="40"/>
        <v>0.73409132366691465</v>
      </c>
      <c r="X32" s="18">
        <f t="shared" si="83"/>
        <v>44383</v>
      </c>
      <c r="Y32" s="24">
        <f t="shared" si="8"/>
        <v>6.4000000000000003E-3</v>
      </c>
      <c r="Z32" s="21">
        <f t="shared" si="41"/>
        <v>2.956899085993312</v>
      </c>
      <c r="AA32" s="18">
        <f t="shared" si="84"/>
        <v>44383</v>
      </c>
      <c r="AB32" s="24">
        <f t="shared" si="9"/>
        <v>0</v>
      </c>
      <c r="AC32" s="21">
        <f t="shared" si="42"/>
        <v>0.3390306183889148</v>
      </c>
      <c r="AD32" s="18">
        <f t="shared" si="4"/>
        <v>44383</v>
      </c>
      <c r="AE32" s="24"/>
      <c r="AG32" s="18">
        <f t="shared" si="5"/>
        <v>44383</v>
      </c>
      <c r="AH32" s="24"/>
      <c r="AJ32" s="18">
        <f t="shared" si="10"/>
        <v>44383</v>
      </c>
      <c r="AK32" s="24"/>
      <c r="AM32" s="18">
        <f t="shared" si="11"/>
        <v>44383</v>
      </c>
      <c r="AN32" s="24"/>
      <c r="AP32" s="18">
        <f t="shared" si="12"/>
        <v>44383</v>
      </c>
      <c r="AQ32" s="24"/>
      <c r="AS32" s="18">
        <f t="shared" si="13"/>
        <v>44383</v>
      </c>
      <c r="AT32" s="24"/>
      <c r="AV32" s="18">
        <f t="shared" si="14"/>
        <v>44383</v>
      </c>
      <c r="AW32" s="24"/>
      <c r="AY32" s="18">
        <f t="shared" si="15"/>
        <v>44383</v>
      </c>
      <c r="AZ32" s="24"/>
      <c r="BB32" s="18">
        <f t="shared" si="16"/>
        <v>44383</v>
      </c>
      <c r="BC32" s="24"/>
      <c r="BE32" s="18">
        <f t="shared" si="17"/>
        <v>44383</v>
      </c>
      <c r="BF32" s="24"/>
      <c r="BH32" s="18">
        <f t="shared" si="18"/>
        <v>44383</v>
      </c>
      <c r="BI32" s="24"/>
      <c r="BK32" s="18">
        <f t="shared" si="19"/>
        <v>44383</v>
      </c>
      <c r="BL32" s="24"/>
      <c r="BN32" s="18">
        <f t="shared" si="20"/>
        <v>44383</v>
      </c>
      <c r="BO32" s="24"/>
      <c r="BQ32" s="18">
        <f t="shared" si="21"/>
        <v>44383</v>
      </c>
      <c r="BR32" s="24"/>
      <c r="BT32" s="18">
        <f t="shared" si="22"/>
        <v>44383</v>
      </c>
      <c r="BU32" s="24"/>
      <c r="BW32" s="18">
        <f t="shared" si="23"/>
        <v>44383</v>
      </c>
      <c r="BX32" s="24"/>
      <c r="BZ32" s="18">
        <f t="shared" si="24"/>
        <v>44383</v>
      </c>
      <c r="CA32" s="24"/>
      <c r="CC32" s="18">
        <f t="shared" si="25"/>
        <v>44383</v>
      </c>
      <c r="CD32" s="24"/>
      <c r="CF32" s="18">
        <f t="shared" si="26"/>
        <v>44383</v>
      </c>
      <c r="CG32" s="24"/>
      <c r="CI32" s="18">
        <f t="shared" si="27"/>
        <v>44383</v>
      </c>
      <c r="CJ32" s="24"/>
      <c r="CL32" s="18">
        <f t="shared" si="28"/>
        <v>44383</v>
      </c>
      <c r="CM32" s="24">
        <f>1+B35</f>
        <v>1.0064</v>
      </c>
      <c r="CO32" s="18">
        <f t="shared" si="29"/>
        <v>44383</v>
      </c>
      <c r="CP32" s="24">
        <f t="shared" si="61"/>
        <v>6.4000000000000003E-3</v>
      </c>
      <c r="CR32" s="18">
        <f t="shared" si="30"/>
        <v>44383</v>
      </c>
      <c r="CS32" s="24">
        <f t="shared" si="62"/>
        <v>6.4000000000000003E-3</v>
      </c>
      <c r="CU32" s="18">
        <f t="shared" si="31"/>
        <v>44383</v>
      </c>
      <c r="CV32" s="24">
        <f t="shared" si="63"/>
        <v>6.4000000000000003E-3</v>
      </c>
      <c r="CX32" s="18">
        <f t="shared" si="32"/>
        <v>44383</v>
      </c>
      <c r="CY32" s="24">
        <f t="shared" si="64"/>
        <v>6.4000000000000003E-3</v>
      </c>
      <c r="DA32" s="18">
        <f t="shared" si="33"/>
        <v>44383</v>
      </c>
      <c r="DB32" s="24">
        <f t="shared" si="65"/>
        <v>6.4000000000000003E-3</v>
      </c>
      <c r="DD32" s="18">
        <f t="shared" si="34"/>
        <v>44383</v>
      </c>
      <c r="DE32" s="24">
        <f t="shared" si="76"/>
        <v>6.4000000000000003E-3</v>
      </c>
      <c r="DG32" s="18">
        <f t="shared" si="35"/>
        <v>44383</v>
      </c>
      <c r="DH32" s="24">
        <f t="shared" si="66"/>
        <v>6.4000000000000003E-3</v>
      </c>
      <c r="DJ32" s="18">
        <f t="shared" si="36"/>
        <v>44383</v>
      </c>
      <c r="DK32" s="24">
        <f t="shared" si="67"/>
        <v>6.4000000000000003E-3</v>
      </c>
      <c r="DM32" s="18">
        <f t="shared" si="37"/>
        <v>44383</v>
      </c>
      <c r="DN32" s="24">
        <f t="shared" si="68"/>
        <v>6.4000000000000003E-3</v>
      </c>
      <c r="DP32" s="18">
        <f t="shared" si="38"/>
        <v>44383</v>
      </c>
      <c r="DQ32" s="24">
        <f t="shared" si="77"/>
        <v>6.4000000000000003E-3</v>
      </c>
    </row>
    <row r="33" spans="1:122" x14ac:dyDescent="0.25">
      <c r="A33" s="4" t="str">
        <f t="shared" si="79"/>
        <v>Float (24M)</v>
      </c>
      <c r="B33" s="5">
        <f t="shared" si="85"/>
        <v>6.4000000000000003E-3</v>
      </c>
      <c r="C33" s="2" t="str">
        <f t="shared" si="80"/>
        <v>MB IM &gt;= 70%</v>
      </c>
      <c r="E33" s="103">
        <v>24</v>
      </c>
      <c r="F33" s="64">
        <f>WORKDAY(F32,2)</f>
        <v>43986</v>
      </c>
      <c r="G33" s="16">
        <v>1</v>
      </c>
      <c r="H33" s="16">
        <v>0</v>
      </c>
      <c r="K33" s="9"/>
      <c r="L33" s="9"/>
      <c r="M33" s="9"/>
      <c r="N33" s="100">
        <v>2.3835616438356166</v>
      </c>
      <c r="O33" s="18">
        <f>+F61</f>
        <v>44412</v>
      </c>
      <c r="P33" s="24">
        <f t="shared" si="39"/>
        <v>6.4000000000000003E-3</v>
      </c>
      <c r="Q33" s="21">
        <f t="shared" si="78"/>
        <v>1.3828147834304907</v>
      </c>
      <c r="R33" s="18">
        <f t="shared" si="81"/>
        <v>44412</v>
      </c>
      <c r="S33" s="24">
        <f t="shared" si="6"/>
        <v>6.4000000000000003E-3</v>
      </c>
      <c r="T33" s="21">
        <v>1</v>
      </c>
      <c r="U33" s="18">
        <f t="shared" si="82"/>
        <v>44412</v>
      </c>
      <c r="V33" s="24">
        <f t="shared" si="7"/>
        <v>6.4000000000000003E-3</v>
      </c>
      <c r="W33" s="21">
        <f t="shared" si="40"/>
        <v>0.72587038330685294</v>
      </c>
      <c r="X33" s="18">
        <f t="shared" si="83"/>
        <v>44412</v>
      </c>
      <c r="Y33" s="24">
        <f t="shared" si="8"/>
        <v>6.4000000000000003E-3</v>
      </c>
      <c r="Z33" s="21">
        <f t="shared" si="41"/>
        <v>3.0760266532070859</v>
      </c>
      <c r="AA33" s="18">
        <f t="shared" si="84"/>
        <v>44412</v>
      </c>
      <c r="AB33" s="24">
        <f t="shared" si="9"/>
        <v>0</v>
      </c>
      <c r="AC33" s="21">
        <f t="shared" si="42"/>
        <v>0.32593013059409753</v>
      </c>
      <c r="AD33" s="18">
        <f t="shared" si="4"/>
        <v>44412</v>
      </c>
      <c r="AE33" s="24"/>
      <c r="AG33" s="18">
        <f t="shared" si="5"/>
        <v>44412</v>
      </c>
      <c r="AH33" s="24"/>
      <c r="AJ33" s="18">
        <f t="shared" si="10"/>
        <v>44412</v>
      </c>
      <c r="AK33" s="24"/>
      <c r="AM33" s="18">
        <f t="shared" si="11"/>
        <v>44412</v>
      </c>
      <c r="AN33" s="24"/>
      <c r="AP33" s="18">
        <f t="shared" si="12"/>
        <v>44412</v>
      </c>
      <c r="AQ33" s="24"/>
      <c r="AS33" s="18">
        <f t="shared" si="13"/>
        <v>44412</v>
      </c>
      <c r="AT33" s="24"/>
      <c r="AV33" s="18">
        <f t="shared" si="14"/>
        <v>44412</v>
      </c>
      <c r="AW33" s="24"/>
      <c r="AY33" s="18">
        <f t="shared" si="15"/>
        <v>44412</v>
      </c>
      <c r="AZ33" s="24"/>
      <c r="BB33" s="18">
        <f t="shared" si="16"/>
        <v>44412</v>
      </c>
      <c r="BC33" s="24"/>
      <c r="BE33" s="18">
        <f t="shared" si="17"/>
        <v>44412</v>
      </c>
      <c r="BF33" s="24"/>
      <c r="BH33" s="18">
        <f t="shared" si="18"/>
        <v>44412</v>
      </c>
      <c r="BI33" s="24"/>
      <c r="BK33" s="18">
        <f t="shared" si="19"/>
        <v>44412</v>
      </c>
      <c r="BL33" s="24"/>
      <c r="BN33" s="18">
        <f t="shared" si="20"/>
        <v>44412</v>
      </c>
      <c r="BO33" s="24"/>
      <c r="BQ33" s="18">
        <f t="shared" si="21"/>
        <v>44412</v>
      </c>
      <c r="BR33" s="24"/>
      <c r="BT33" s="18">
        <f t="shared" si="22"/>
        <v>44412</v>
      </c>
      <c r="BU33" s="24"/>
      <c r="BW33" s="18">
        <f t="shared" si="23"/>
        <v>44412</v>
      </c>
      <c r="BX33" s="24"/>
      <c r="BZ33" s="18">
        <f t="shared" si="24"/>
        <v>44412</v>
      </c>
      <c r="CA33" s="24"/>
      <c r="CC33" s="18">
        <f t="shared" si="25"/>
        <v>44412</v>
      </c>
      <c r="CD33" s="24"/>
      <c r="CF33" s="18">
        <f t="shared" si="26"/>
        <v>44412</v>
      </c>
      <c r="CG33" s="24"/>
      <c r="CI33" s="18">
        <f t="shared" si="27"/>
        <v>44412</v>
      </c>
      <c r="CJ33" s="24"/>
      <c r="CL33" s="18">
        <f t="shared" si="28"/>
        <v>44412</v>
      </c>
      <c r="CM33" s="24"/>
      <c r="CO33" s="18">
        <f t="shared" si="29"/>
        <v>44412</v>
      </c>
      <c r="CP33" s="24">
        <f>1+B36</f>
        <v>1.0064</v>
      </c>
      <c r="CR33" s="18">
        <f t="shared" si="30"/>
        <v>44412</v>
      </c>
      <c r="CS33" s="24">
        <f t="shared" si="62"/>
        <v>6.4000000000000003E-3</v>
      </c>
      <c r="CU33" s="18">
        <f t="shared" si="31"/>
        <v>44412</v>
      </c>
      <c r="CV33" s="24">
        <f t="shared" si="63"/>
        <v>6.4000000000000003E-3</v>
      </c>
      <c r="CX33" s="18">
        <f t="shared" si="32"/>
        <v>44412</v>
      </c>
      <c r="CY33" s="24">
        <f t="shared" si="64"/>
        <v>6.4000000000000003E-3</v>
      </c>
      <c r="DA33" s="18">
        <f t="shared" si="33"/>
        <v>44412</v>
      </c>
      <c r="DB33" s="24">
        <f t="shared" si="65"/>
        <v>6.4000000000000003E-3</v>
      </c>
      <c r="DD33" s="18">
        <f t="shared" si="34"/>
        <v>44412</v>
      </c>
      <c r="DE33" s="24">
        <f t="shared" si="76"/>
        <v>6.4000000000000003E-3</v>
      </c>
      <c r="DG33" s="18">
        <f t="shared" si="35"/>
        <v>44412</v>
      </c>
      <c r="DH33" s="24">
        <f t="shared" si="66"/>
        <v>6.4000000000000003E-3</v>
      </c>
      <c r="DJ33" s="18">
        <f t="shared" si="36"/>
        <v>44412</v>
      </c>
      <c r="DK33" s="24">
        <f t="shared" si="67"/>
        <v>6.4000000000000003E-3</v>
      </c>
      <c r="DM33" s="18">
        <f t="shared" si="37"/>
        <v>44412</v>
      </c>
      <c r="DN33" s="24">
        <f t="shared" si="68"/>
        <v>6.4000000000000003E-3</v>
      </c>
      <c r="DP33" s="18">
        <f t="shared" si="38"/>
        <v>44412</v>
      </c>
      <c r="DQ33" s="24">
        <f t="shared" si="77"/>
        <v>6.4000000000000003E-3</v>
      </c>
    </row>
    <row r="34" spans="1:122" x14ac:dyDescent="0.25">
      <c r="A34" s="4" t="str">
        <f t="shared" si="79"/>
        <v>Float (25M)</v>
      </c>
      <c r="B34" s="5">
        <f t="shared" si="85"/>
        <v>6.4000000000000003E-3</v>
      </c>
      <c r="C34" s="2" t="str">
        <f t="shared" si="80"/>
        <v>MB IM &gt;= 70%</v>
      </c>
      <c r="E34" s="103">
        <v>25</v>
      </c>
      <c r="F34" s="64">
        <v>44014</v>
      </c>
      <c r="G34" s="16">
        <v>0</v>
      </c>
      <c r="H34" s="16">
        <v>2</v>
      </c>
      <c r="K34" s="9"/>
      <c r="L34" s="9"/>
      <c r="M34" s="9"/>
      <c r="N34" s="100">
        <v>2.473972602739726</v>
      </c>
      <c r="O34" s="18">
        <f>+F63</f>
        <v>44445</v>
      </c>
      <c r="P34" s="24">
        <f t="shared" si="39"/>
        <v>6.4000000000000003E-3</v>
      </c>
      <c r="Q34" s="21">
        <f t="shared" si="78"/>
        <v>1.4008594830909411</v>
      </c>
      <c r="R34" s="18">
        <f t="shared" si="81"/>
        <v>44445</v>
      </c>
      <c r="S34" s="24">
        <f t="shared" si="6"/>
        <v>6.4000000000000003E-3</v>
      </c>
      <c r="T34" s="21">
        <v>1</v>
      </c>
      <c r="U34" s="18">
        <f t="shared" si="82"/>
        <v>44445</v>
      </c>
      <c r="V34" s="24">
        <f t="shared" si="7"/>
        <v>6.4000000000000003E-3</v>
      </c>
      <c r="W34" s="21">
        <f t="shared" si="40"/>
        <v>0.7166274506090311</v>
      </c>
      <c r="X34" s="18">
        <f t="shared" si="83"/>
        <v>44445</v>
      </c>
      <c r="Y34" s="24">
        <f t="shared" si="8"/>
        <v>6.4000000000000003E-3</v>
      </c>
      <c r="Z34" s="21">
        <f t="shared" si="41"/>
        <v>3.2174343786929431</v>
      </c>
      <c r="AA34" s="18">
        <f t="shared" si="84"/>
        <v>44445</v>
      </c>
      <c r="AB34" s="24">
        <f t="shared" si="9"/>
        <v>0</v>
      </c>
      <c r="AC34" s="21">
        <f t="shared" si="42"/>
        <v>0.31163734167410057</v>
      </c>
      <c r="AD34" s="18">
        <f t="shared" si="4"/>
        <v>44445</v>
      </c>
      <c r="AE34" s="24"/>
      <c r="AG34" s="18">
        <f t="shared" si="5"/>
        <v>44445</v>
      </c>
      <c r="AH34" s="24"/>
      <c r="AJ34" s="18">
        <f t="shared" si="10"/>
        <v>44445</v>
      </c>
      <c r="AK34" s="24"/>
      <c r="AM34" s="18">
        <f t="shared" si="11"/>
        <v>44445</v>
      </c>
      <c r="AN34" s="24"/>
      <c r="AP34" s="18">
        <f t="shared" si="12"/>
        <v>44445</v>
      </c>
      <c r="AQ34" s="24"/>
      <c r="AS34" s="18">
        <f t="shared" si="13"/>
        <v>44445</v>
      </c>
      <c r="AT34" s="24"/>
      <c r="AV34" s="18">
        <f t="shared" si="14"/>
        <v>44445</v>
      </c>
      <c r="AW34" s="24"/>
      <c r="AY34" s="18">
        <f t="shared" si="15"/>
        <v>44445</v>
      </c>
      <c r="AZ34" s="24"/>
      <c r="BB34" s="18">
        <f t="shared" si="16"/>
        <v>44445</v>
      </c>
      <c r="BC34" s="24"/>
      <c r="BE34" s="18">
        <f t="shared" si="17"/>
        <v>44445</v>
      </c>
      <c r="BF34" s="24"/>
      <c r="BH34" s="18">
        <f t="shared" si="18"/>
        <v>44445</v>
      </c>
      <c r="BI34" s="24"/>
      <c r="BK34" s="18">
        <f t="shared" si="19"/>
        <v>44445</v>
      </c>
      <c r="BL34" s="24"/>
      <c r="BN34" s="18">
        <f t="shared" si="20"/>
        <v>44445</v>
      </c>
      <c r="BO34" s="24"/>
      <c r="BQ34" s="18">
        <f t="shared" si="21"/>
        <v>44445</v>
      </c>
      <c r="BR34" s="24"/>
      <c r="BT34" s="18">
        <f t="shared" si="22"/>
        <v>44445</v>
      </c>
      <c r="BU34" s="24"/>
      <c r="BW34" s="18">
        <f t="shared" si="23"/>
        <v>44445</v>
      </c>
      <c r="BX34" s="24"/>
      <c r="BZ34" s="18">
        <f t="shared" si="24"/>
        <v>44445</v>
      </c>
      <c r="CA34" s="24"/>
      <c r="CC34" s="18">
        <f t="shared" si="25"/>
        <v>44445</v>
      </c>
      <c r="CD34" s="24"/>
      <c r="CF34" s="18">
        <f t="shared" si="26"/>
        <v>44445</v>
      </c>
      <c r="CG34" s="24"/>
      <c r="CI34" s="18">
        <f t="shared" si="27"/>
        <v>44445</v>
      </c>
      <c r="CJ34" s="24"/>
      <c r="CL34" s="18">
        <f t="shared" si="28"/>
        <v>44445</v>
      </c>
      <c r="CM34" s="24"/>
      <c r="CO34" s="18">
        <f t="shared" si="29"/>
        <v>44445</v>
      </c>
      <c r="CP34" s="24"/>
      <c r="CR34" s="18">
        <f t="shared" si="30"/>
        <v>44445</v>
      </c>
      <c r="CS34" s="24">
        <f>1+B37</f>
        <v>1.0064</v>
      </c>
      <c r="CU34" s="18">
        <f t="shared" si="31"/>
        <v>44445</v>
      </c>
      <c r="CV34" s="24">
        <f t="shared" si="63"/>
        <v>6.4000000000000003E-3</v>
      </c>
      <c r="CX34" s="18">
        <f t="shared" si="32"/>
        <v>44445</v>
      </c>
      <c r="CY34" s="24">
        <f t="shared" si="64"/>
        <v>6.4000000000000003E-3</v>
      </c>
      <c r="DA34" s="18">
        <f t="shared" si="33"/>
        <v>44445</v>
      </c>
      <c r="DB34" s="24">
        <f t="shared" si="65"/>
        <v>6.4000000000000003E-3</v>
      </c>
      <c r="DD34" s="18">
        <f t="shared" si="34"/>
        <v>44445</v>
      </c>
      <c r="DE34" s="24">
        <f t="shared" si="76"/>
        <v>6.4000000000000003E-3</v>
      </c>
      <c r="DG34" s="18">
        <f t="shared" si="35"/>
        <v>44445</v>
      </c>
      <c r="DH34" s="24">
        <f t="shared" si="66"/>
        <v>6.4000000000000003E-3</v>
      </c>
      <c r="DJ34" s="18">
        <f t="shared" si="36"/>
        <v>44445</v>
      </c>
      <c r="DK34" s="24">
        <f t="shared" si="67"/>
        <v>6.4000000000000003E-3</v>
      </c>
      <c r="DM34" s="18">
        <f t="shared" si="37"/>
        <v>44445</v>
      </c>
      <c r="DN34" s="24">
        <f t="shared" si="68"/>
        <v>6.4000000000000003E-3</v>
      </c>
      <c r="DP34" s="18">
        <f t="shared" si="38"/>
        <v>44445</v>
      </c>
      <c r="DQ34" s="24">
        <f t="shared" si="77"/>
        <v>6.4000000000000003E-3</v>
      </c>
    </row>
    <row r="35" spans="1:122" ht="11.25" customHeight="1" x14ac:dyDescent="0.25">
      <c r="A35" s="4" t="str">
        <f t="shared" si="79"/>
        <v>Float (26M)</v>
      </c>
      <c r="B35" s="5">
        <f t="shared" si="85"/>
        <v>6.4000000000000003E-3</v>
      </c>
      <c r="C35" s="2" t="str">
        <f t="shared" si="80"/>
        <v>MB IM &gt;= 70%</v>
      </c>
      <c r="E35" s="103">
        <v>26</v>
      </c>
      <c r="F35" s="64">
        <f>WORKDAY(F34,2)</f>
        <v>44018</v>
      </c>
      <c r="G35" s="16">
        <v>1</v>
      </c>
      <c r="H35" s="16">
        <v>0</v>
      </c>
      <c r="K35" s="9"/>
      <c r="L35" s="9"/>
      <c r="M35" s="9"/>
      <c r="N35" s="100">
        <v>2.5534246575342467</v>
      </c>
      <c r="O35" s="18">
        <f>+F65</f>
        <v>44474</v>
      </c>
      <c r="P35" s="24">
        <f t="shared" si="39"/>
        <v>6.4000000000000003E-3</v>
      </c>
      <c r="Q35" s="21">
        <f t="shared" si="78"/>
        <v>1.4169112312664538</v>
      </c>
      <c r="R35" s="18">
        <f t="shared" si="81"/>
        <v>44474</v>
      </c>
      <c r="S35" s="24">
        <f t="shared" si="6"/>
        <v>6.4000000000000003E-3</v>
      </c>
      <c r="T35" s="21">
        <v>1</v>
      </c>
      <c r="U35" s="18">
        <f t="shared" si="82"/>
        <v>44474</v>
      </c>
      <c r="V35" s="24">
        <f t="shared" si="7"/>
        <v>6.4000000000000003E-3</v>
      </c>
      <c r="W35" s="21">
        <f t="shared" si="40"/>
        <v>0.708602084633567</v>
      </c>
      <c r="X35" s="18">
        <f t="shared" si="83"/>
        <v>44474</v>
      </c>
      <c r="Y35" s="24">
        <f t="shared" si="8"/>
        <v>6.4000000000000003E-3</v>
      </c>
      <c r="Z35" s="21">
        <f t="shared" si="41"/>
        <v>3.3470583932625488</v>
      </c>
      <c r="AA35" s="18">
        <f t="shared" si="84"/>
        <v>44474</v>
      </c>
      <c r="AB35" s="24">
        <f t="shared" si="9"/>
        <v>0</v>
      </c>
      <c r="AC35" s="21">
        <f t="shared" si="42"/>
        <v>0.29959535794292158</v>
      </c>
      <c r="AD35" s="18">
        <f t="shared" si="4"/>
        <v>44474</v>
      </c>
      <c r="AE35" s="24"/>
      <c r="AG35" s="18">
        <f t="shared" si="5"/>
        <v>44474</v>
      </c>
      <c r="AH35" s="24"/>
      <c r="AJ35" s="18">
        <f t="shared" si="10"/>
        <v>44474</v>
      </c>
      <c r="AK35" s="24"/>
      <c r="AM35" s="18">
        <f t="shared" si="11"/>
        <v>44474</v>
      </c>
      <c r="AN35" s="24"/>
      <c r="AP35" s="18">
        <f t="shared" si="12"/>
        <v>44474</v>
      </c>
      <c r="AQ35" s="24"/>
      <c r="AS35" s="18">
        <f t="shared" si="13"/>
        <v>44474</v>
      </c>
      <c r="AT35" s="24"/>
      <c r="AV35" s="18">
        <f t="shared" si="14"/>
        <v>44474</v>
      </c>
      <c r="AW35" s="24"/>
      <c r="AY35" s="18">
        <f t="shared" si="15"/>
        <v>44474</v>
      </c>
      <c r="AZ35" s="24"/>
      <c r="BB35" s="18">
        <f t="shared" si="16"/>
        <v>44474</v>
      </c>
      <c r="BC35" s="24"/>
      <c r="BE35" s="18">
        <f t="shared" si="17"/>
        <v>44474</v>
      </c>
      <c r="BF35" s="24"/>
      <c r="BH35" s="18">
        <f t="shared" si="18"/>
        <v>44474</v>
      </c>
      <c r="BI35" s="24"/>
      <c r="BK35" s="18">
        <f t="shared" si="19"/>
        <v>44474</v>
      </c>
      <c r="BL35" s="24"/>
      <c r="BN35" s="18">
        <f t="shared" si="20"/>
        <v>44474</v>
      </c>
      <c r="BO35" s="24"/>
      <c r="BQ35" s="18">
        <f t="shared" si="21"/>
        <v>44474</v>
      </c>
      <c r="BR35" s="24"/>
      <c r="BT35" s="18">
        <f t="shared" si="22"/>
        <v>44474</v>
      </c>
      <c r="BU35" s="24"/>
      <c r="BW35" s="18">
        <f t="shared" si="23"/>
        <v>44474</v>
      </c>
      <c r="BX35" s="24"/>
      <c r="BZ35" s="18">
        <f t="shared" si="24"/>
        <v>44474</v>
      </c>
      <c r="CA35" s="24"/>
      <c r="CC35" s="18">
        <f t="shared" si="25"/>
        <v>44474</v>
      </c>
      <c r="CD35" s="24"/>
      <c r="CF35" s="18">
        <f t="shared" si="26"/>
        <v>44474</v>
      </c>
      <c r="CG35" s="24"/>
      <c r="CI35" s="18">
        <f t="shared" si="27"/>
        <v>44474</v>
      </c>
      <c r="CJ35" s="24"/>
      <c r="CL35" s="18">
        <f t="shared" si="28"/>
        <v>44474</v>
      </c>
      <c r="CM35" s="24"/>
      <c r="CO35" s="18">
        <f t="shared" si="29"/>
        <v>44474</v>
      </c>
      <c r="CP35" s="24"/>
      <c r="CR35" s="18">
        <f t="shared" si="30"/>
        <v>44474</v>
      </c>
      <c r="CS35" s="24"/>
      <c r="CU35" s="18">
        <f t="shared" si="31"/>
        <v>44474</v>
      </c>
      <c r="CV35" s="24">
        <f>1+B38</f>
        <v>1.0064</v>
      </c>
      <c r="CX35" s="18">
        <f t="shared" si="32"/>
        <v>44474</v>
      </c>
      <c r="CY35" s="24">
        <f t="shared" si="64"/>
        <v>6.4000000000000003E-3</v>
      </c>
      <c r="DA35" s="18">
        <f t="shared" si="33"/>
        <v>44474</v>
      </c>
      <c r="DB35" s="24">
        <f t="shared" si="65"/>
        <v>6.4000000000000003E-3</v>
      </c>
      <c r="DD35" s="18">
        <f t="shared" si="34"/>
        <v>44474</v>
      </c>
      <c r="DE35" s="24">
        <f t="shared" si="76"/>
        <v>6.4000000000000003E-3</v>
      </c>
      <c r="DG35" s="18">
        <f t="shared" si="35"/>
        <v>44474</v>
      </c>
      <c r="DH35" s="24">
        <f t="shared" si="66"/>
        <v>6.4000000000000003E-3</v>
      </c>
      <c r="DJ35" s="18">
        <f t="shared" si="36"/>
        <v>44474</v>
      </c>
      <c r="DK35" s="24">
        <f t="shared" si="67"/>
        <v>6.4000000000000003E-3</v>
      </c>
      <c r="DM35" s="18">
        <f t="shared" si="37"/>
        <v>44474</v>
      </c>
      <c r="DN35" s="24">
        <f t="shared" si="68"/>
        <v>6.4000000000000003E-3</v>
      </c>
      <c r="DP35" s="18">
        <f t="shared" si="38"/>
        <v>44474</v>
      </c>
      <c r="DQ35" s="24">
        <f t="shared" si="77"/>
        <v>6.4000000000000003E-3</v>
      </c>
    </row>
    <row r="36" spans="1:122" ht="11.25" customHeight="1" x14ac:dyDescent="0.25">
      <c r="A36" s="4" t="str">
        <f t="shared" si="79"/>
        <v>Float (27M)</v>
      </c>
      <c r="B36" s="5">
        <f t="shared" si="85"/>
        <v>6.4000000000000003E-3</v>
      </c>
      <c r="C36" s="2" t="str">
        <f t="shared" si="80"/>
        <v>MB IM &gt;= 70%</v>
      </c>
      <c r="E36" s="103">
        <v>27</v>
      </c>
      <c r="F36" s="64">
        <v>44045</v>
      </c>
      <c r="G36" s="16">
        <v>0</v>
      </c>
      <c r="H36" s="16">
        <v>2</v>
      </c>
      <c r="K36" s="9"/>
      <c r="L36" s="9"/>
      <c r="M36" s="9"/>
      <c r="N36" s="100">
        <v>2.6356164383561644</v>
      </c>
      <c r="O36" s="18">
        <f>+F67</f>
        <v>44504</v>
      </c>
      <c r="P36" s="24">
        <f t="shared" si="39"/>
        <v>6.4000000000000003E-3</v>
      </c>
      <c r="Q36" s="21">
        <f t="shared" si="78"/>
        <v>1.4337100652936419</v>
      </c>
      <c r="R36" s="18">
        <f t="shared" si="81"/>
        <v>44504</v>
      </c>
      <c r="S36" s="24">
        <f t="shared" si="6"/>
        <v>6.4000000000000003E-3</v>
      </c>
      <c r="T36" s="21">
        <v>1</v>
      </c>
      <c r="U36" s="18">
        <f t="shared" si="82"/>
        <v>44504</v>
      </c>
      <c r="V36" s="24">
        <f t="shared" si="7"/>
        <v>6.4000000000000003E-3</v>
      </c>
      <c r="W36" s="21">
        <f t="shared" si="40"/>
        <v>0.70039454625630027</v>
      </c>
      <c r="X36" s="18">
        <f t="shared" si="83"/>
        <v>44504</v>
      </c>
      <c r="Y36" s="24">
        <f t="shared" si="8"/>
        <v>6.4000000000000003E-3</v>
      </c>
      <c r="Z36" s="21">
        <f t="shared" si="41"/>
        <v>3.4866502383949309</v>
      </c>
      <c r="AA36" s="18">
        <f t="shared" si="84"/>
        <v>44504</v>
      </c>
      <c r="AB36" s="24">
        <f t="shared" si="9"/>
        <v>0</v>
      </c>
      <c r="AC36" s="21">
        <f t="shared" si="42"/>
        <v>0.28762757298103131</v>
      </c>
      <c r="AD36" s="18">
        <f t="shared" si="4"/>
        <v>44504</v>
      </c>
      <c r="AE36" s="24"/>
      <c r="AG36" s="18">
        <f t="shared" si="5"/>
        <v>44504</v>
      </c>
      <c r="AH36" s="24"/>
      <c r="AJ36" s="18">
        <f t="shared" si="10"/>
        <v>44504</v>
      </c>
      <c r="AK36" s="24"/>
      <c r="AM36" s="18">
        <f t="shared" si="11"/>
        <v>44504</v>
      </c>
      <c r="AN36" s="24"/>
      <c r="AP36" s="18">
        <f t="shared" si="12"/>
        <v>44504</v>
      </c>
      <c r="AQ36" s="24"/>
      <c r="AS36" s="18">
        <f t="shared" si="13"/>
        <v>44504</v>
      </c>
      <c r="AT36" s="24"/>
      <c r="AV36" s="18">
        <f t="shared" si="14"/>
        <v>44504</v>
      </c>
      <c r="AW36" s="24"/>
      <c r="AY36" s="18">
        <f t="shared" si="15"/>
        <v>44504</v>
      </c>
      <c r="AZ36" s="24"/>
      <c r="BB36" s="18">
        <f t="shared" si="16"/>
        <v>44504</v>
      </c>
      <c r="BC36" s="24"/>
      <c r="BE36" s="18">
        <f t="shared" si="17"/>
        <v>44504</v>
      </c>
      <c r="BF36" s="24"/>
      <c r="BH36" s="18">
        <f t="shared" si="18"/>
        <v>44504</v>
      </c>
      <c r="BI36" s="24"/>
      <c r="BK36" s="18">
        <f t="shared" si="19"/>
        <v>44504</v>
      </c>
      <c r="BL36" s="24"/>
      <c r="BN36" s="18">
        <f t="shared" si="20"/>
        <v>44504</v>
      </c>
      <c r="BO36" s="24"/>
      <c r="BQ36" s="18">
        <f t="shared" si="21"/>
        <v>44504</v>
      </c>
      <c r="BR36" s="24"/>
      <c r="BT36" s="18">
        <f t="shared" si="22"/>
        <v>44504</v>
      </c>
      <c r="BU36" s="24"/>
      <c r="BW36" s="18">
        <f t="shared" si="23"/>
        <v>44504</v>
      </c>
      <c r="BX36" s="24"/>
      <c r="BZ36" s="18">
        <f t="shared" si="24"/>
        <v>44504</v>
      </c>
      <c r="CA36" s="24"/>
      <c r="CC36" s="18">
        <f t="shared" si="25"/>
        <v>44504</v>
      </c>
      <c r="CD36" s="24"/>
      <c r="CF36" s="18">
        <f t="shared" si="26"/>
        <v>44504</v>
      </c>
      <c r="CG36" s="24"/>
      <c r="CI36" s="18">
        <f t="shared" si="27"/>
        <v>44504</v>
      </c>
      <c r="CJ36" s="24"/>
      <c r="CL36" s="18">
        <f t="shared" si="28"/>
        <v>44504</v>
      </c>
      <c r="CM36" s="24"/>
      <c r="CO36" s="18">
        <f t="shared" si="29"/>
        <v>44504</v>
      </c>
      <c r="CP36" s="24"/>
      <c r="CR36" s="18">
        <f t="shared" si="30"/>
        <v>44504</v>
      </c>
      <c r="CS36" s="24"/>
      <c r="CU36" s="18">
        <f t="shared" si="31"/>
        <v>44504</v>
      </c>
      <c r="CV36" s="24"/>
      <c r="CX36" s="18">
        <f t="shared" si="32"/>
        <v>44504</v>
      </c>
      <c r="CY36" s="24">
        <f>1+B39</f>
        <v>1.0064</v>
      </c>
      <c r="DA36" s="18">
        <f t="shared" si="33"/>
        <v>44504</v>
      </c>
      <c r="DB36" s="24">
        <f t="shared" si="65"/>
        <v>6.4000000000000003E-3</v>
      </c>
      <c r="DD36" s="18">
        <f t="shared" si="34"/>
        <v>44504</v>
      </c>
      <c r="DE36" s="24">
        <f t="shared" si="76"/>
        <v>6.4000000000000003E-3</v>
      </c>
      <c r="DG36" s="18">
        <f t="shared" si="35"/>
        <v>44504</v>
      </c>
      <c r="DH36" s="24">
        <f t="shared" si="66"/>
        <v>6.4000000000000003E-3</v>
      </c>
      <c r="DJ36" s="18">
        <f t="shared" si="36"/>
        <v>44504</v>
      </c>
      <c r="DK36" s="24">
        <f t="shared" si="67"/>
        <v>6.4000000000000003E-3</v>
      </c>
      <c r="DM36" s="18">
        <f t="shared" si="37"/>
        <v>44504</v>
      </c>
      <c r="DN36" s="24">
        <f t="shared" si="68"/>
        <v>6.4000000000000003E-3</v>
      </c>
      <c r="DP36" s="18">
        <f t="shared" si="38"/>
        <v>44504</v>
      </c>
      <c r="DQ36" s="24">
        <f t="shared" si="77"/>
        <v>6.4000000000000003E-3</v>
      </c>
    </row>
    <row r="37" spans="1:122" ht="11.25" customHeight="1" x14ac:dyDescent="0.25">
      <c r="A37" s="4" t="str">
        <f t="shared" si="79"/>
        <v>Float (28M)</v>
      </c>
      <c r="B37" s="5">
        <f t="shared" si="85"/>
        <v>6.4000000000000003E-3</v>
      </c>
      <c r="C37" s="2" t="str">
        <f t="shared" si="80"/>
        <v>MB IM &gt;= 70%</v>
      </c>
      <c r="E37" s="103">
        <v>28</v>
      </c>
      <c r="F37" s="64">
        <f>WORKDAY(F36,2)</f>
        <v>44047</v>
      </c>
      <c r="G37" s="16">
        <v>1</v>
      </c>
      <c r="H37" s="16">
        <v>0</v>
      </c>
      <c r="K37" s="9"/>
      <c r="L37" s="9"/>
      <c r="M37" s="9"/>
      <c r="N37" s="100">
        <v>2.7232876712328768</v>
      </c>
      <c r="O37" s="18">
        <f>+F69</f>
        <v>44536</v>
      </c>
      <c r="P37" s="24">
        <f t="shared" si="39"/>
        <v>6.4000000000000003E-3</v>
      </c>
      <c r="Q37" s="21">
        <f t="shared" si="78"/>
        <v>1.4518484046782216</v>
      </c>
      <c r="R37" s="18">
        <f t="shared" si="81"/>
        <v>44536</v>
      </c>
      <c r="S37" s="24">
        <f t="shared" si="6"/>
        <v>6.4000000000000003E-3</v>
      </c>
      <c r="T37" s="21">
        <v>1</v>
      </c>
      <c r="U37" s="18">
        <f t="shared" si="82"/>
        <v>44536</v>
      </c>
      <c r="V37" s="24">
        <f t="shared" si="7"/>
        <v>0</v>
      </c>
      <c r="W37" s="21">
        <f t="shared" si="40"/>
        <v>0.69174459503298524</v>
      </c>
      <c r="X37" s="18">
        <f t="shared" si="83"/>
        <v>44536</v>
      </c>
      <c r="Y37" s="24">
        <f t="shared" si="8"/>
        <v>6.4000000000000003E-3</v>
      </c>
      <c r="Z37" s="21">
        <f t="shared" si="41"/>
        <v>3.6419710070552087</v>
      </c>
      <c r="AA37" s="18">
        <f t="shared" si="84"/>
        <v>44536</v>
      </c>
      <c r="AB37" s="24">
        <f t="shared" si="9"/>
        <v>0</v>
      </c>
      <c r="AC37" s="21">
        <f t="shared" si="42"/>
        <v>0.27538840406482135</v>
      </c>
      <c r="AD37" s="18">
        <f t="shared" si="4"/>
        <v>44536</v>
      </c>
      <c r="AE37" s="24"/>
      <c r="AG37" s="18">
        <f t="shared" si="5"/>
        <v>44536</v>
      </c>
      <c r="AH37" s="24"/>
      <c r="AJ37" s="18">
        <f t="shared" si="10"/>
        <v>44536</v>
      </c>
      <c r="AK37" s="24"/>
      <c r="AM37" s="18">
        <f t="shared" si="11"/>
        <v>44536</v>
      </c>
      <c r="AN37" s="24"/>
      <c r="AP37" s="18">
        <f t="shared" si="12"/>
        <v>44536</v>
      </c>
      <c r="AQ37" s="24"/>
      <c r="AS37" s="18">
        <f t="shared" si="13"/>
        <v>44536</v>
      </c>
      <c r="AT37" s="24"/>
      <c r="AV37" s="18">
        <f t="shared" si="14"/>
        <v>44536</v>
      </c>
      <c r="AW37" s="24"/>
      <c r="AY37" s="18">
        <f t="shared" si="15"/>
        <v>44536</v>
      </c>
      <c r="AZ37" s="24"/>
      <c r="BB37" s="18">
        <f t="shared" si="16"/>
        <v>44536</v>
      </c>
      <c r="BC37" s="24"/>
      <c r="BE37" s="18">
        <f t="shared" si="17"/>
        <v>44536</v>
      </c>
      <c r="BF37" s="24"/>
      <c r="BH37" s="18">
        <f t="shared" si="18"/>
        <v>44536</v>
      </c>
      <c r="BI37" s="24"/>
      <c r="BK37" s="18">
        <f t="shared" si="19"/>
        <v>44536</v>
      </c>
      <c r="BL37" s="24"/>
      <c r="BN37" s="18">
        <f t="shared" si="20"/>
        <v>44536</v>
      </c>
      <c r="BO37" s="24"/>
      <c r="BQ37" s="18">
        <f t="shared" si="21"/>
        <v>44536</v>
      </c>
      <c r="BR37" s="24"/>
      <c r="BT37" s="18">
        <f t="shared" si="22"/>
        <v>44536</v>
      </c>
      <c r="BU37" s="24"/>
      <c r="BW37" s="18">
        <f t="shared" si="23"/>
        <v>44536</v>
      </c>
      <c r="BX37" s="24"/>
      <c r="BZ37" s="18">
        <f t="shared" si="24"/>
        <v>44536</v>
      </c>
      <c r="CA37" s="24"/>
      <c r="CC37" s="18">
        <f t="shared" si="25"/>
        <v>44536</v>
      </c>
      <c r="CD37" s="24"/>
      <c r="CF37" s="18">
        <f t="shared" si="26"/>
        <v>44536</v>
      </c>
      <c r="CG37" s="24"/>
      <c r="CI37" s="18">
        <f t="shared" si="27"/>
        <v>44536</v>
      </c>
      <c r="CJ37" s="24"/>
      <c r="CL37" s="18">
        <f t="shared" si="28"/>
        <v>44536</v>
      </c>
      <c r="CM37" s="24"/>
      <c r="CO37" s="18">
        <f t="shared" si="29"/>
        <v>44536</v>
      </c>
      <c r="CP37" s="24"/>
      <c r="CR37" s="18">
        <f t="shared" si="30"/>
        <v>44536</v>
      </c>
      <c r="CS37" s="24"/>
      <c r="CU37" s="18">
        <f t="shared" si="31"/>
        <v>44536</v>
      </c>
      <c r="CV37" s="24"/>
      <c r="CX37" s="18">
        <f t="shared" si="32"/>
        <v>44536</v>
      </c>
      <c r="CY37" s="24"/>
      <c r="DA37" s="18">
        <f t="shared" si="33"/>
        <v>44536</v>
      </c>
      <c r="DB37" s="24">
        <f>1+B40</f>
        <v>1.0064</v>
      </c>
      <c r="DD37" s="18">
        <f t="shared" si="34"/>
        <v>44536</v>
      </c>
      <c r="DE37" s="24">
        <f t="shared" si="76"/>
        <v>6.4000000000000003E-3</v>
      </c>
      <c r="DG37" s="18">
        <f t="shared" si="35"/>
        <v>44536</v>
      </c>
      <c r="DH37" s="24">
        <f t="shared" si="66"/>
        <v>6.4000000000000003E-3</v>
      </c>
      <c r="DJ37" s="18">
        <f t="shared" si="36"/>
        <v>44536</v>
      </c>
      <c r="DK37" s="24">
        <f t="shared" si="67"/>
        <v>6.4000000000000003E-3</v>
      </c>
      <c r="DM37" s="18">
        <f t="shared" si="37"/>
        <v>44536</v>
      </c>
      <c r="DN37" s="24">
        <f t="shared" si="68"/>
        <v>6.4000000000000003E-3</v>
      </c>
      <c r="DP37" s="18">
        <f t="shared" si="38"/>
        <v>44536</v>
      </c>
      <c r="DQ37" s="24">
        <f t="shared" si="77"/>
        <v>6.4000000000000003E-3</v>
      </c>
    </row>
    <row r="38" spans="1:122" ht="11.25" customHeight="1" x14ac:dyDescent="0.25">
      <c r="A38" s="4" t="str">
        <f t="shared" si="79"/>
        <v>Float (29M)</v>
      </c>
      <c r="B38" s="5">
        <f t="shared" si="85"/>
        <v>6.4000000000000003E-3</v>
      </c>
      <c r="C38" s="2" t="str">
        <f t="shared" si="80"/>
        <v>MB IM &gt;= 70%</v>
      </c>
      <c r="E38" s="103">
        <v>29</v>
      </c>
      <c r="F38" s="64">
        <v>44076</v>
      </c>
      <c r="G38" s="16">
        <v>0</v>
      </c>
      <c r="H38" s="16">
        <v>2</v>
      </c>
      <c r="K38" s="9"/>
      <c r="L38" s="9"/>
      <c r="M38" s="9"/>
      <c r="N38" s="100">
        <v>2.8027397260273972</v>
      </c>
      <c r="O38" s="18">
        <f>+F71</f>
        <v>44565</v>
      </c>
      <c r="P38" s="24">
        <f t="shared" si="39"/>
        <v>6.4000000000000003E-3</v>
      </c>
      <c r="Q38" s="21">
        <f t="shared" si="78"/>
        <v>1.4684844094040443</v>
      </c>
      <c r="R38" s="18">
        <f t="shared" si="81"/>
        <v>44565</v>
      </c>
      <c r="S38" s="24">
        <f t="shared" si="6"/>
        <v>6.4000000000000003E-3</v>
      </c>
      <c r="T38" s="21">
        <v>1</v>
      </c>
      <c r="U38" s="18">
        <f t="shared" si="82"/>
        <v>44565</v>
      </c>
      <c r="V38" s="24">
        <f t="shared" si="7"/>
        <v>0</v>
      </c>
      <c r="W38" s="21">
        <f t="shared" si="40"/>
        <v>0.68399788712782339</v>
      </c>
      <c r="X38" s="18">
        <f t="shared" si="83"/>
        <v>44565</v>
      </c>
      <c r="Y38" s="24">
        <f t="shared" si="8"/>
        <v>6.4000000000000003E-3</v>
      </c>
      <c r="Z38" s="21">
        <f t="shared" si="41"/>
        <v>3.7886987557256835</v>
      </c>
      <c r="AA38" s="18">
        <f t="shared" si="84"/>
        <v>44565</v>
      </c>
      <c r="AB38" s="24">
        <f t="shared" si="9"/>
        <v>0</v>
      </c>
      <c r="AC38" s="21">
        <f t="shared" si="42"/>
        <v>0.26474711613799812</v>
      </c>
      <c r="AD38" s="18">
        <f t="shared" si="4"/>
        <v>44565</v>
      </c>
      <c r="AE38" s="24"/>
      <c r="AG38" s="18">
        <f t="shared" si="5"/>
        <v>44565</v>
      </c>
      <c r="AH38" s="24"/>
      <c r="AJ38" s="18">
        <f t="shared" si="10"/>
        <v>44565</v>
      </c>
      <c r="AK38" s="24"/>
      <c r="AM38" s="18">
        <f t="shared" si="11"/>
        <v>44565</v>
      </c>
      <c r="AN38" s="24"/>
      <c r="AP38" s="18">
        <f t="shared" si="12"/>
        <v>44565</v>
      </c>
      <c r="AQ38" s="24"/>
      <c r="AS38" s="18">
        <f t="shared" si="13"/>
        <v>44565</v>
      </c>
      <c r="AT38" s="24"/>
      <c r="AV38" s="18">
        <f t="shared" si="14"/>
        <v>44565</v>
      </c>
      <c r="AW38" s="24"/>
      <c r="AY38" s="18">
        <f t="shared" si="15"/>
        <v>44565</v>
      </c>
      <c r="AZ38" s="24"/>
      <c r="BB38" s="18">
        <f t="shared" si="16"/>
        <v>44565</v>
      </c>
      <c r="BC38" s="24"/>
      <c r="BE38" s="18">
        <f t="shared" si="17"/>
        <v>44565</v>
      </c>
      <c r="BF38" s="24"/>
      <c r="BH38" s="18">
        <f t="shared" si="18"/>
        <v>44565</v>
      </c>
      <c r="BI38" s="24"/>
      <c r="BK38" s="18">
        <f t="shared" si="19"/>
        <v>44565</v>
      </c>
      <c r="BL38" s="24"/>
      <c r="BN38" s="18">
        <f t="shared" si="20"/>
        <v>44565</v>
      </c>
      <c r="BO38" s="24"/>
      <c r="BQ38" s="18">
        <f t="shared" si="21"/>
        <v>44565</v>
      </c>
      <c r="BR38" s="24"/>
      <c r="BT38" s="18">
        <f t="shared" si="22"/>
        <v>44565</v>
      </c>
      <c r="BU38" s="24"/>
      <c r="BW38" s="18">
        <f t="shared" si="23"/>
        <v>44565</v>
      </c>
      <c r="BX38" s="24"/>
      <c r="BZ38" s="18">
        <f t="shared" si="24"/>
        <v>44565</v>
      </c>
      <c r="CA38" s="24"/>
      <c r="CC38" s="18">
        <f t="shared" si="25"/>
        <v>44565</v>
      </c>
      <c r="CD38" s="24"/>
      <c r="CF38" s="18">
        <f t="shared" si="26"/>
        <v>44565</v>
      </c>
      <c r="CG38" s="24"/>
      <c r="CI38" s="18">
        <f t="shared" si="27"/>
        <v>44565</v>
      </c>
      <c r="CJ38" s="24"/>
      <c r="CL38" s="18">
        <f t="shared" si="28"/>
        <v>44565</v>
      </c>
      <c r="CM38" s="24"/>
      <c r="CO38" s="18">
        <f t="shared" si="29"/>
        <v>44565</v>
      </c>
      <c r="CP38" s="24"/>
      <c r="CR38" s="18">
        <f t="shared" si="30"/>
        <v>44565</v>
      </c>
      <c r="CS38" s="24"/>
      <c r="CU38" s="18">
        <f t="shared" si="31"/>
        <v>44565</v>
      </c>
      <c r="CV38" s="24"/>
      <c r="CX38" s="18">
        <f t="shared" si="32"/>
        <v>44565</v>
      </c>
      <c r="CY38" s="24"/>
      <c r="DA38" s="18">
        <f t="shared" si="33"/>
        <v>44565</v>
      </c>
      <c r="DB38" s="24"/>
      <c r="DD38" s="18">
        <f t="shared" si="34"/>
        <v>44565</v>
      </c>
      <c r="DE38" s="24">
        <f>1+B41</f>
        <v>1.0064</v>
      </c>
      <c r="DG38" s="18">
        <f t="shared" si="35"/>
        <v>44565</v>
      </c>
      <c r="DH38" s="24">
        <f t="shared" si="66"/>
        <v>6.4000000000000003E-3</v>
      </c>
      <c r="DJ38" s="18">
        <f t="shared" si="36"/>
        <v>44565</v>
      </c>
      <c r="DK38" s="24">
        <f t="shared" si="67"/>
        <v>6.4000000000000003E-3</v>
      </c>
      <c r="DM38" s="18">
        <f t="shared" si="37"/>
        <v>44565</v>
      </c>
      <c r="DN38" s="24">
        <f t="shared" si="68"/>
        <v>6.4000000000000003E-3</v>
      </c>
      <c r="DP38" s="18">
        <f t="shared" si="38"/>
        <v>44565</v>
      </c>
      <c r="DQ38" s="24">
        <f t="shared" si="77"/>
        <v>6.4000000000000003E-3</v>
      </c>
    </row>
    <row r="39" spans="1:122" x14ac:dyDescent="0.25">
      <c r="A39" s="4" t="str">
        <f t="shared" si="79"/>
        <v>Float (30M)</v>
      </c>
      <c r="B39" s="5">
        <f t="shared" si="85"/>
        <v>6.4000000000000003E-3</v>
      </c>
      <c r="C39" s="2" t="str">
        <f t="shared" si="80"/>
        <v>MB IM &gt;= 70%</v>
      </c>
      <c r="E39" s="103">
        <v>30</v>
      </c>
      <c r="F39" s="64">
        <f>WORKDAY(F38,2)</f>
        <v>44078</v>
      </c>
      <c r="G39" s="16">
        <v>1</v>
      </c>
      <c r="H39" s="16">
        <v>0</v>
      </c>
      <c r="K39" s="9"/>
      <c r="L39" s="9"/>
      <c r="M39" s="9"/>
      <c r="N39" s="100">
        <v>2.8876712328767122</v>
      </c>
      <c r="O39" s="18">
        <f>+F73</f>
        <v>44596</v>
      </c>
      <c r="P39" s="24">
        <f t="shared" si="39"/>
        <v>6.4000000000000003E-3</v>
      </c>
      <c r="Q39" s="21">
        <f t="shared" si="78"/>
        <v>1.4864785768524604</v>
      </c>
      <c r="R39" s="18">
        <f t="shared" si="81"/>
        <v>44596</v>
      </c>
      <c r="S39" s="24">
        <f t="shared" si="6"/>
        <v>6.4000000000000003E-3</v>
      </c>
      <c r="T39" s="21">
        <v>1</v>
      </c>
      <c r="U39" s="18">
        <f t="shared" si="82"/>
        <v>44596</v>
      </c>
      <c r="V39" s="24">
        <f t="shared" si="7"/>
        <v>0</v>
      </c>
      <c r="W39" s="21">
        <f t="shared" si="40"/>
        <v>0.67581283340250775</v>
      </c>
      <c r="X39" s="18">
        <f t="shared" si="83"/>
        <v>44596</v>
      </c>
      <c r="Y39" s="24">
        <f t="shared" si="8"/>
        <v>6.4000000000000003E-3</v>
      </c>
      <c r="Z39" s="21">
        <f t="shared" si="41"/>
        <v>3.9520886050271193</v>
      </c>
      <c r="AA39" s="18">
        <f t="shared" si="84"/>
        <v>44596</v>
      </c>
      <c r="AB39" s="24">
        <f t="shared" si="9"/>
        <v>0</v>
      </c>
      <c r="AC39" s="21">
        <f t="shared" si="42"/>
        <v>0.25382624364357165</v>
      </c>
      <c r="AD39" s="18">
        <f t="shared" si="4"/>
        <v>44596</v>
      </c>
      <c r="AE39" s="24"/>
      <c r="AG39" s="18">
        <f t="shared" si="5"/>
        <v>44596</v>
      </c>
      <c r="AH39" s="24"/>
      <c r="AJ39" s="18">
        <f t="shared" si="10"/>
        <v>44596</v>
      </c>
      <c r="AK39" s="24"/>
      <c r="AM39" s="18">
        <f t="shared" si="11"/>
        <v>44596</v>
      </c>
      <c r="AN39" s="24"/>
      <c r="AP39" s="18">
        <f t="shared" si="12"/>
        <v>44596</v>
      </c>
      <c r="AQ39" s="24"/>
      <c r="AS39" s="18">
        <f t="shared" si="13"/>
        <v>44596</v>
      </c>
      <c r="AT39" s="24"/>
      <c r="AV39" s="18">
        <f t="shared" si="14"/>
        <v>44596</v>
      </c>
      <c r="AW39" s="24"/>
      <c r="AY39" s="18">
        <f t="shared" si="15"/>
        <v>44596</v>
      </c>
      <c r="AZ39" s="24"/>
      <c r="BB39" s="18">
        <f t="shared" si="16"/>
        <v>44596</v>
      </c>
      <c r="BC39" s="24"/>
      <c r="BE39" s="18">
        <f t="shared" si="17"/>
        <v>44596</v>
      </c>
      <c r="BF39" s="24"/>
      <c r="BH39" s="18">
        <f t="shared" si="18"/>
        <v>44596</v>
      </c>
      <c r="BI39" s="24"/>
      <c r="BK39" s="18">
        <f t="shared" si="19"/>
        <v>44596</v>
      </c>
      <c r="BL39" s="24"/>
      <c r="BN39" s="18">
        <f t="shared" si="20"/>
        <v>44596</v>
      </c>
      <c r="BO39" s="24"/>
      <c r="BQ39" s="18">
        <f t="shared" si="21"/>
        <v>44596</v>
      </c>
      <c r="BR39" s="24"/>
      <c r="BT39" s="18">
        <f t="shared" si="22"/>
        <v>44596</v>
      </c>
      <c r="BU39" s="24"/>
      <c r="BW39" s="18">
        <f t="shared" si="23"/>
        <v>44596</v>
      </c>
      <c r="BX39" s="24"/>
      <c r="BZ39" s="18">
        <f t="shared" si="24"/>
        <v>44596</v>
      </c>
      <c r="CA39" s="24"/>
      <c r="CC39" s="18">
        <f t="shared" si="25"/>
        <v>44596</v>
      </c>
      <c r="CD39" s="24"/>
      <c r="CF39" s="18">
        <f t="shared" si="26"/>
        <v>44596</v>
      </c>
      <c r="CG39" s="24"/>
      <c r="CI39" s="18">
        <f t="shared" si="27"/>
        <v>44596</v>
      </c>
      <c r="CJ39" s="24"/>
      <c r="CL39" s="18">
        <f t="shared" si="28"/>
        <v>44596</v>
      </c>
      <c r="CM39" s="24"/>
      <c r="CO39" s="18">
        <f t="shared" si="29"/>
        <v>44596</v>
      </c>
      <c r="CP39" s="24"/>
      <c r="CR39" s="18">
        <f t="shared" si="30"/>
        <v>44596</v>
      </c>
      <c r="CS39" s="24"/>
      <c r="CU39" s="18">
        <f t="shared" si="31"/>
        <v>44596</v>
      </c>
      <c r="CV39" s="24"/>
      <c r="CX39" s="18">
        <f t="shared" si="32"/>
        <v>44596</v>
      </c>
      <c r="CY39" s="24"/>
      <c r="DA39" s="18">
        <f t="shared" si="33"/>
        <v>44596</v>
      </c>
      <c r="DB39" s="24"/>
      <c r="DD39" s="18">
        <f t="shared" si="34"/>
        <v>44596</v>
      </c>
      <c r="DE39" s="24"/>
      <c r="DG39" s="18">
        <f t="shared" si="35"/>
        <v>44596</v>
      </c>
      <c r="DH39" s="24">
        <f>1+B42</f>
        <v>1.0064</v>
      </c>
      <c r="DJ39" s="18">
        <f t="shared" si="36"/>
        <v>44596</v>
      </c>
      <c r="DK39" s="24">
        <f t="shared" si="67"/>
        <v>6.4000000000000003E-3</v>
      </c>
      <c r="DM39" s="18">
        <f t="shared" si="37"/>
        <v>44596</v>
      </c>
      <c r="DN39" s="24">
        <f t="shared" si="68"/>
        <v>6.4000000000000003E-3</v>
      </c>
      <c r="DP39" s="18">
        <f t="shared" si="38"/>
        <v>44596</v>
      </c>
      <c r="DQ39" s="24">
        <f t="shared" si="77"/>
        <v>6.4000000000000003E-3</v>
      </c>
    </row>
    <row r="40" spans="1:122" x14ac:dyDescent="0.25">
      <c r="A40" s="4" t="str">
        <f t="shared" si="79"/>
        <v>Float (31M)</v>
      </c>
      <c r="B40" s="5">
        <f t="shared" si="85"/>
        <v>6.4000000000000003E-3</v>
      </c>
      <c r="C40" s="2" t="str">
        <f t="shared" si="80"/>
        <v>MB IM &gt;= 70%</v>
      </c>
      <c r="E40" s="103">
        <v>31</v>
      </c>
      <c r="F40" s="64">
        <v>44106</v>
      </c>
      <c r="G40" s="16">
        <v>0</v>
      </c>
      <c r="H40" s="16">
        <v>2</v>
      </c>
      <c r="K40" s="9"/>
      <c r="L40" s="9"/>
      <c r="M40" s="9"/>
      <c r="N40" s="100">
        <v>2.9643835616438357</v>
      </c>
      <c r="O40" s="18">
        <f>+F75</f>
        <v>44624</v>
      </c>
      <c r="P40" s="24">
        <f t="shared" si="39"/>
        <v>6.4000000000000003E-3</v>
      </c>
      <c r="Q40" s="21">
        <f t="shared" si="78"/>
        <v>1.5029208167573866</v>
      </c>
      <c r="R40" s="18">
        <f t="shared" si="81"/>
        <v>44624</v>
      </c>
      <c r="S40" s="24">
        <f t="shared" si="6"/>
        <v>6.4000000000000003E-3</v>
      </c>
      <c r="T40" s="21">
        <v>1</v>
      </c>
      <c r="U40" s="18">
        <f t="shared" si="82"/>
        <v>44624</v>
      </c>
      <c r="V40" s="24">
        <f t="shared" si="7"/>
        <v>0</v>
      </c>
      <c r="W40" s="21">
        <f t="shared" si="40"/>
        <v>0.66850410124259152</v>
      </c>
      <c r="X40" s="18">
        <f t="shared" si="83"/>
        <v>44624</v>
      </c>
      <c r="Y40" s="24">
        <f t="shared" si="8"/>
        <v>6.4000000000000003E-3</v>
      </c>
      <c r="Z40" s="21">
        <f t="shared" si="41"/>
        <v>4.1057146362761046</v>
      </c>
      <c r="AA40" s="18">
        <f t="shared" si="84"/>
        <v>44624</v>
      </c>
      <c r="AB40" s="24">
        <f t="shared" si="9"/>
        <v>0</v>
      </c>
      <c r="AC40" s="21">
        <f t="shared" si="42"/>
        <v>0.24434995517364269</v>
      </c>
      <c r="AD40" s="18">
        <f t="shared" si="4"/>
        <v>44624</v>
      </c>
      <c r="AE40" s="24"/>
      <c r="AG40" s="18">
        <f t="shared" si="5"/>
        <v>44624</v>
      </c>
      <c r="AH40" s="24"/>
      <c r="AJ40" s="18">
        <f t="shared" si="10"/>
        <v>44624</v>
      </c>
      <c r="AK40" s="24"/>
      <c r="AM40" s="18">
        <f t="shared" si="11"/>
        <v>44624</v>
      </c>
      <c r="AN40" s="24"/>
      <c r="AP40" s="18">
        <f t="shared" si="12"/>
        <v>44624</v>
      </c>
      <c r="AQ40" s="24"/>
      <c r="AS40" s="18">
        <f t="shared" si="13"/>
        <v>44624</v>
      </c>
      <c r="AT40" s="24"/>
      <c r="AV40" s="18">
        <f t="shared" si="14"/>
        <v>44624</v>
      </c>
      <c r="AW40" s="24"/>
      <c r="AY40" s="18">
        <f t="shared" si="15"/>
        <v>44624</v>
      </c>
      <c r="AZ40" s="24"/>
      <c r="BB40" s="18">
        <f t="shared" si="16"/>
        <v>44624</v>
      </c>
      <c r="BC40" s="24"/>
      <c r="BE40" s="18">
        <f t="shared" si="17"/>
        <v>44624</v>
      </c>
      <c r="BF40" s="24"/>
      <c r="BH40" s="18">
        <f t="shared" si="18"/>
        <v>44624</v>
      </c>
      <c r="BI40" s="24"/>
      <c r="BK40" s="18">
        <f t="shared" si="19"/>
        <v>44624</v>
      </c>
      <c r="BL40" s="24"/>
      <c r="BN40" s="18">
        <f t="shared" si="20"/>
        <v>44624</v>
      </c>
      <c r="BO40" s="24"/>
      <c r="BQ40" s="18">
        <f t="shared" si="21"/>
        <v>44624</v>
      </c>
      <c r="BR40" s="24"/>
      <c r="BT40" s="18">
        <f t="shared" si="22"/>
        <v>44624</v>
      </c>
      <c r="BU40" s="24"/>
      <c r="BW40" s="18">
        <f t="shared" si="23"/>
        <v>44624</v>
      </c>
      <c r="BX40" s="24"/>
      <c r="BZ40" s="18">
        <f t="shared" si="24"/>
        <v>44624</v>
      </c>
      <c r="CA40" s="24"/>
      <c r="CC40" s="18">
        <f t="shared" si="25"/>
        <v>44624</v>
      </c>
      <c r="CD40" s="24"/>
      <c r="CF40" s="18">
        <f t="shared" si="26"/>
        <v>44624</v>
      </c>
      <c r="CG40" s="24"/>
      <c r="CI40" s="18">
        <f t="shared" si="27"/>
        <v>44624</v>
      </c>
      <c r="CJ40" s="24"/>
      <c r="CL40" s="18">
        <f t="shared" si="28"/>
        <v>44624</v>
      </c>
      <c r="CM40" s="24"/>
      <c r="CO40" s="18">
        <f t="shared" si="29"/>
        <v>44624</v>
      </c>
      <c r="CP40" s="24"/>
      <c r="CR40" s="18">
        <f t="shared" si="30"/>
        <v>44624</v>
      </c>
      <c r="CS40" s="24"/>
      <c r="CU40" s="18">
        <f t="shared" si="31"/>
        <v>44624</v>
      </c>
      <c r="CV40" s="24"/>
      <c r="CX40" s="18">
        <f t="shared" si="32"/>
        <v>44624</v>
      </c>
      <c r="CY40" s="24"/>
      <c r="DA40" s="18">
        <f t="shared" si="33"/>
        <v>44624</v>
      </c>
      <c r="DB40" s="24"/>
      <c r="DD40" s="18">
        <f t="shared" si="34"/>
        <v>44624</v>
      </c>
      <c r="DE40" s="24"/>
      <c r="DG40" s="18">
        <f t="shared" si="35"/>
        <v>44624</v>
      </c>
      <c r="DH40" s="24"/>
      <c r="DJ40" s="18">
        <f t="shared" si="36"/>
        <v>44624</v>
      </c>
      <c r="DK40" s="24">
        <f>1+B43</f>
        <v>1.0064</v>
      </c>
      <c r="DM40" s="18">
        <f t="shared" si="37"/>
        <v>44624</v>
      </c>
      <c r="DN40" s="24">
        <f t="shared" si="68"/>
        <v>6.4000000000000003E-3</v>
      </c>
      <c r="DP40" s="18">
        <f t="shared" si="38"/>
        <v>44624</v>
      </c>
      <c r="DQ40" s="24">
        <f t="shared" si="77"/>
        <v>6.4000000000000003E-3</v>
      </c>
    </row>
    <row r="41" spans="1:122" x14ac:dyDescent="0.25">
      <c r="A41" s="4" t="str">
        <f t="shared" si="79"/>
        <v>Float (32M)</v>
      </c>
      <c r="B41" s="5">
        <f t="shared" si="85"/>
        <v>6.4000000000000003E-3</v>
      </c>
      <c r="C41" s="2" t="str">
        <f t="shared" si="80"/>
        <v>MB IM &gt;= 70%</v>
      </c>
      <c r="E41" s="103">
        <v>32</v>
      </c>
      <c r="F41" s="64">
        <f>WORKDAY(F40,2)</f>
        <v>44110</v>
      </c>
      <c r="G41" s="16">
        <v>1</v>
      </c>
      <c r="H41" s="16">
        <v>0</v>
      </c>
      <c r="K41" s="9"/>
      <c r="L41" s="9"/>
      <c r="M41" s="9"/>
      <c r="N41" s="100">
        <v>3.0520547945205481</v>
      </c>
      <c r="O41" s="18">
        <f>+F77</f>
        <v>44656</v>
      </c>
      <c r="P41" s="24">
        <f t="shared" si="39"/>
        <v>6.4000000000000003E-3</v>
      </c>
      <c r="Q41" s="21">
        <f t="shared" si="78"/>
        <v>1.5219347642091066</v>
      </c>
      <c r="R41" s="18">
        <f t="shared" si="81"/>
        <v>44656</v>
      </c>
      <c r="S41" s="24">
        <f t="shared" si="6"/>
        <v>6.4000000000000003E-3</v>
      </c>
      <c r="T41" s="21">
        <v>1</v>
      </c>
      <c r="U41" s="18">
        <f t="shared" si="82"/>
        <v>44656</v>
      </c>
      <c r="V41" s="24">
        <f t="shared" si="7"/>
        <v>0</v>
      </c>
      <c r="W41" s="21">
        <f t="shared" si="40"/>
        <v>0.66024800059297506</v>
      </c>
      <c r="X41" s="18">
        <f t="shared" si="83"/>
        <v>44656</v>
      </c>
      <c r="Y41" s="24">
        <f t="shared" si="8"/>
        <v>6.4000000000000003E-3</v>
      </c>
      <c r="Z41" s="21">
        <f t="shared" si="41"/>
        <v>4.2886130372065407</v>
      </c>
      <c r="AA41" s="18">
        <f t="shared" si="84"/>
        <v>44656</v>
      </c>
      <c r="AB41" s="24">
        <f t="shared" si="9"/>
        <v>0</v>
      </c>
      <c r="AC41" s="21">
        <f t="shared" si="42"/>
        <v>0.23395234153374395</v>
      </c>
      <c r="AD41" s="18">
        <f t="shared" si="4"/>
        <v>44656</v>
      </c>
      <c r="AE41" s="24"/>
      <c r="AG41" s="18">
        <f t="shared" si="5"/>
        <v>44656</v>
      </c>
      <c r="AH41" s="24"/>
      <c r="AJ41" s="18">
        <f t="shared" si="10"/>
        <v>44656</v>
      </c>
      <c r="AK41" s="24"/>
      <c r="AM41" s="18">
        <f t="shared" si="11"/>
        <v>44656</v>
      </c>
      <c r="AN41" s="24"/>
      <c r="AP41" s="18">
        <f t="shared" si="12"/>
        <v>44656</v>
      </c>
      <c r="AQ41" s="24"/>
      <c r="AS41" s="18">
        <f t="shared" si="13"/>
        <v>44656</v>
      </c>
      <c r="AT41" s="24"/>
      <c r="AV41" s="18">
        <f t="shared" si="14"/>
        <v>44656</v>
      </c>
      <c r="AW41" s="24"/>
      <c r="AY41" s="18">
        <f t="shared" si="15"/>
        <v>44656</v>
      </c>
      <c r="AZ41" s="24"/>
      <c r="BB41" s="18">
        <f t="shared" si="16"/>
        <v>44656</v>
      </c>
      <c r="BC41" s="24"/>
      <c r="BE41" s="18">
        <f t="shared" si="17"/>
        <v>44656</v>
      </c>
      <c r="BF41" s="24"/>
      <c r="BH41" s="18">
        <f t="shared" si="18"/>
        <v>44656</v>
      </c>
      <c r="BI41" s="24"/>
      <c r="BK41" s="18">
        <f t="shared" si="19"/>
        <v>44656</v>
      </c>
      <c r="BL41" s="24"/>
      <c r="BN41" s="18">
        <f t="shared" si="20"/>
        <v>44656</v>
      </c>
      <c r="BO41" s="24"/>
      <c r="BQ41" s="18">
        <f t="shared" si="21"/>
        <v>44656</v>
      </c>
      <c r="BR41" s="24"/>
      <c r="BT41" s="18">
        <f t="shared" si="22"/>
        <v>44656</v>
      </c>
      <c r="BU41" s="24"/>
      <c r="BW41" s="18">
        <f t="shared" si="23"/>
        <v>44656</v>
      </c>
      <c r="BX41" s="24"/>
      <c r="BZ41" s="18">
        <f t="shared" si="24"/>
        <v>44656</v>
      </c>
      <c r="CA41" s="24"/>
      <c r="CC41" s="18">
        <f t="shared" si="25"/>
        <v>44656</v>
      </c>
      <c r="CD41" s="24"/>
      <c r="CF41" s="18">
        <f t="shared" si="26"/>
        <v>44656</v>
      </c>
      <c r="CG41" s="24"/>
      <c r="CI41" s="18">
        <f t="shared" si="27"/>
        <v>44656</v>
      </c>
      <c r="CJ41" s="24"/>
      <c r="CL41" s="18">
        <f t="shared" si="28"/>
        <v>44656</v>
      </c>
      <c r="CM41" s="24"/>
      <c r="CO41" s="18">
        <f t="shared" si="29"/>
        <v>44656</v>
      </c>
      <c r="CP41" s="24"/>
      <c r="CR41" s="18">
        <f t="shared" si="30"/>
        <v>44656</v>
      </c>
      <c r="CS41" s="24"/>
      <c r="CU41" s="18">
        <f t="shared" si="31"/>
        <v>44656</v>
      </c>
      <c r="CV41" s="24"/>
      <c r="CX41" s="18">
        <f t="shared" si="32"/>
        <v>44656</v>
      </c>
      <c r="CY41" s="24"/>
      <c r="DA41" s="18">
        <f t="shared" si="33"/>
        <v>44656</v>
      </c>
      <c r="DB41" s="24"/>
      <c r="DD41" s="18">
        <f t="shared" si="34"/>
        <v>44656</v>
      </c>
      <c r="DE41" s="24"/>
      <c r="DG41" s="18">
        <f t="shared" si="35"/>
        <v>44656</v>
      </c>
      <c r="DH41" s="24"/>
      <c r="DJ41" s="18">
        <f t="shared" si="36"/>
        <v>44656</v>
      </c>
      <c r="DK41" s="24"/>
      <c r="DM41" s="18">
        <f t="shared" si="37"/>
        <v>44656</v>
      </c>
      <c r="DN41" s="24">
        <f>1+B44</f>
        <v>1.0064</v>
      </c>
      <c r="DP41" s="18">
        <f t="shared" si="38"/>
        <v>44656</v>
      </c>
      <c r="DQ41" s="24">
        <f t="shared" si="77"/>
        <v>6.4000000000000003E-3</v>
      </c>
    </row>
    <row r="42" spans="1:122" x14ac:dyDescent="0.25">
      <c r="A42" s="4" t="str">
        <f t="shared" si="79"/>
        <v>Float (33M)</v>
      </c>
      <c r="B42" s="5">
        <f t="shared" si="85"/>
        <v>6.4000000000000003E-3</v>
      </c>
      <c r="C42" s="2" t="str">
        <f t="shared" si="80"/>
        <v>MB IM &gt;= 70%</v>
      </c>
      <c r="E42" s="103">
        <v>33</v>
      </c>
      <c r="F42" s="64">
        <v>44137</v>
      </c>
      <c r="G42" s="16">
        <v>0</v>
      </c>
      <c r="H42" s="16">
        <v>2</v>
      </c>
      <c r="K42" s="9"/>
      <c r="L42" s="9"/>
      <c r="M42" s="9"/>
      <c r="N42" s="100">
        <v>3.1260273972602741</v>
      </c>
      <c r="O42" s="18">
        <f>+F79</f>
        <v>44683</v>
      </c>
      <c r="P42" s="24">
        <f>IF(Q42&gt;=$B$49,1+$K$7,Q42)</f>
        <v>1.0064</v>
      </c>
      <c r="Q42" s="21">
        <f t="shared" si="78"/>
        <v>1.5381647683677953</v>
      </c>
      <c r="R42" s="18">
        <f>O42</f>
        <v>44683</v>
      </c>
      <c r="S42" s="24">
        <f>IF(T42&gt;=$B$49,1+$K$7,T42)</f>
        <v>1.0064</v>
      </c>
      <c r="T42" s="21">
        <v>1</v>
      </c>
      <c r="U42" s="18">
        <f>R42</f>
        <v>44683</v>
      </c>
      <c r="V42" s="24">
        <f>IF(W42&gt;=$B$49,1+$K$7,W42)</f>
        <v>0.65336127755413675</v>
      </c>
      <c r="W42" s="21">
        <f t="shared" si="40"/>
        <v>0.65336127755413675</v>
      </c>
      <c r="X42" s="18">
        <f>U42</f>
        <v>44683</v>
      </c>
      <c r="Y42" s="24">
        <f>IF(Z42&gt;=$B$49,1+$K$7,Z42)</f>
        <v>1.0064</v>
      </c>
      <c r="Z42" s="21">
        <f t="shared" si="41"/>
        <v>4.4492565287902055</v>
      </c>
      <c r="AA42" s="18">
        <f>X42</f>
        <v>44683</v>
      </c>
      <c r="AB42" s="24">
        <f>IF(AC42&gt;=$B$49,1+$K$7,AC42)</f>
        <v>0.22552427185737225</v>
      </c>
      <c r="AC42" s="21">
        <f t="shared" si="42"/>
        <v>0.22552427185737225</v>
      </c>
      <c r="AD42" s="18">
        <f t="shared" si="4"/>
        <v>44683</v>
      </c>
      <c r="AE42" s="24"/>
      <c r="AG42" s="18">
        <f t="shared" si="5"/>
        <v>44683</v>
      </c>
      <c r="AH42" s="24"/>
      <c r="AJ42" s="18">
        <f t="shared" si="10"/>
        <v>44683</v>
      </c>
      <c r="AK42" s="24"/>
      <c r="AM42" s="18">
        <f t="shared" si="11"/>
        <v>44683</v>
      </c>
      <c r="AN42" s="24"/>
      <c r="AP42" s="18">
        <f t="shared" si="12"/>
        <v>44683</v>
      </c>
      <c r="AQ42" s="24"/>
      <c r="AS42" s="18">
        <f t="shared" si="13"/>
        <v>44683</v>
      </c>
      <c r="AT42" s="24"/>
      <c r="AV42" s="18">
        <f t="shared" si="14"/>
        <v>44683</v>
      </c>
      <c r="AW42" s="24"/>
      <c r="AY42" s="18">
        <f t="shared" si="15"/>
        <v>44683</v>
      </c>
      <c r="AZ42" s="24"/>
      <c r="BB42" s="18">
        <f t="shared" si="16"/>
        <v>44683</v>
      </c>
      <c r="BC42" s="24"/>
      <c r="BE42" s="18">
        <f t="shared" si="17"/>
        <v>44683</v>
      </c>
      <c r="BF42" s="24"/>
      <c r="BH42" s="18">
        <f t="shared" si="18"/>
        <v>44683</v>
      </c>
      <c r="BI42" s="24"/>
      <c r="BK42" s="18">
        <f t="shared" si="19"/>
        <v>44683</v>
      </c>
      <c r="BL42" s="24"/>
      <c r="BN42" s="18">
        <f t="shared" si="20"/>
        <v>44683</v>
      </c>
      <c r="BO42" s="24"/>
      <c r="BQ42" s="18">
        <f t="shared" si="21"/>
        <v>44683</v>
      </c>
      <c r="BR42" s="24"/>
      <c r="BT42" s="18">
        <f t="shared" si="22"/>
        <v>44683</v>
      </c>
      <c r="BU42" s="24"/>
      <c r="BW42" s="18">
        <f t="shared" si="23"/>
        <v>44683</v>
      </c>
      <c r="BX42" s="24"/>
      <c r="BZ42" s="18">
        <f t="shared" si="24"/>
        <v>44683</v>
      </c>
      <c r="CA42" s="24"/>
      <c r="CC42" s="18">
        <f t="shared" si="25"/>
        <v>44683</v>
      </c>
      <c r="CD42" s="24"/>
      <c r="CF42" s="18">
        <f t="shared" si="26"/>
        <v>44683</v>
      </c>
      <c r="CG42" s="24"/>
      <c r="CI42" s="18">
        <f t="shared" si="27"/>
        <v>44683</v>
      </c>
      <c r="CJ42" s="24"/>
      <c r="CL42" s="18">
        <f t="shared" si="28"/>
        <v>44683</v>
      </c>
      <c r="CM42" s="24"/>
      <c r="CO42" s="18">
        <f t="shared" si="29"/>
        <v>44683</v>
      </c>
      <c r="CP42" s="24"/>
      <c r="CR42" s="18">
        <f t="shared" si="30"/>
        <v>44683</v>
      </c>
      <c r="CS42" s="24"/>
      <c r="CU42" s="18">
        <f t="shared" si="31"/>
        <v>44683</v>
      </c>
      <c r="CV42" s="24"/>
      <c r="CX42" s="18">
        <f t="shared" si="32"/>
        <v>44683</v>
      </c>
      <c r="CY42" s="24"/>
      <c r="DA42" s="18">
        <f t="shared" si="33"/>
        <v>44683</v>
      </c>
      <c r="DB42" s="24"/>
      <c r="DD42" s="18">
        <f t="shared" si="34"/>
        <v>44683</v>
      </c>
      <c r="DE42" s="24"/>
      <c r="DG42" s="18">
        <f t="shared" si="35"/>
        <v>44683</v>
      </c>
      <c r="DH42" s="24"/>
      <c r="DJ42" s="18">
        <f t="shared" si="36"/>
        <v>44683</v>
      </c>
      <c r="DK42" s="24"/>
      <c r="DM42" s="18">
        <f t="shared" si="37"/>
        <v>44683</v>
      </c>
      <c r="DN42" s="24"/>
      <c r="DP42" s="18">
        <f t="shared" si="38"/>
        <v>44683</v>
      </c>
      <c r="DQ42" s="24">
        <f>1+B45</f>
        <v>1.0064</v>
      </c>
    </row>
    <row r="43" spans="1:122" x14ac:dyDescent="0.25">
      <c r="A43" s="4" t="str">
        <f t="shared" si="79"/>
        <v>Float (34M)</v>
      </c>
      <c r="B43" s="5">
        <f t="shared" si="85"/>
        <v>6.4000000000000003E-3</v>
      </c>
      <c r="C43" s="2" t="str">
        <f t="shared" si="80"/>
        <v>MB IM &gt;= 70%</v>
      </c>
      <c r="E43" s="103">
        <v>34</v>
      </c>
      <c r="F43" s="64">
        <f>WORKDAY(F42,2)</f>
        <v>44139</v>
      </c>
      <c r="G43" s="16">
        <v>1</v>
      </c>
      <c r="H43" s="16">
        <v>0</v>
      </c>
      <c r="I43" s="9"/>
      <c r="J43" s="9"/>
      <c r="K43" s="9"/>
      <c r="L43" s="9"/>
      <c r="M43" s="9"/>
      <c r="N43" s="16"/>
      <c r="O43" s="17"/>
      <c r="P43" s="42">
        <f>[1]!MLPutMatrix("Cedole",P6:P42)</f>
        <v>0</v>
      </c>
      <c r="Q43" s="21"/>
      <c r="R43" s="41"/>
      <c r="S43" s="42">
        <f>[1]!MLPutMatrix("Cedole",S6:S42)</f>
        <v>0</v>
      </c>
      <c r="T43" s="21"/>
      <c r="U43" s="41"/>
      <c r="V43" s="42">
        <f>[1]!MLPutMatrix("Cedole",V6:V42)</f>
        <v>0</v>
      </c>
      <c r="W43" s="21"/>
      <c r="X43" s="41"/>
      <c r="Y43" s="42">
        <f>[1]!MLPutMatrix("Cedole",Y6:Y42)</f>
        <v>0</v>
      </c>
      <c r="Z43" s="21"/>
      <c r="AA43" s="41"/>
      <c r="AB43" s="42">
        <f>[1]!MLPutMatrix("Cedole",AB6:AB42)</f>
        <v>0</v>
      </c>
      <c r="AC43" s="21"/>
      <c r="AE43" s="42">
        <f>[1]!MLPutMatrix("Cedole",AE6:AE12)</f>
        <v>0</v>
      </c>
      <c r="AH43" s="42">
        <f>[1]!MLPutMatrix("Cedole",AH6:AH13)</f>
        <v>0</v>
      </c>
      <c r="AJ43" s="2"/>
      <c r="AK43" s="42">
        <f>[1]!MLPutMatrix("Cedole",AK6:AK14)</f>
        <v>0</v>
      </c>
      <c r="AN43" s="42">
        <f>[1]!MLPutMatrix("Cedole",AN6:AN15)</f>
        <v>0</v>
      </c>
      <c r="AQ43" s="42">
        <f>[1]!MLPutMatrix("Cedole",AQ6:AQ16)</f>
        <v>0</v>
      </c>
      <c r="AT43" s="42">
        <f>[1]!MLPutMatrix("Cedole",AT6:AT17)</f>
        <v>0</v>
      </c>
      <c r="AW43" s="42">
        <f>[1]!MLPutMatrix("Cedole",AW6:AW18)</f>
        <v>0</v>
      </c>
      <c r="AZ43" s="42">
        <f>[1]!MLPutMatrix("Cedole",AZ6:AZ19)</f>
        <v>0</v>
      </c>
      <c r="BC43" s="42">
        <f>[1]!MLPutMatrix("Cedole",BC6:BC20)</f>
        <v>0</v>
      </c>
      <c r="BF43" s="42">
        <f>[1]!MLPutMatrix("Cedole",BF6:BF21)</f>
        <v>0</v>
      </c>
      <c r="BI43" s="42">
        <f>[1]!MLPutMatrix("Cedole",BI6:BI22)</f>
        <v>0</v>
      </c>
      <c r="BL43" s="42">
        <f>[1]!MLPutMatrix("Cedole",BL6:BL23)</f>
        <v>0</v>
      </c>
      <c r="BO43" s="42">
        <f>[1]!MLPutMatrix("Cedole",BO6:BO24)</f>
        <v>0</v>
      </c>
      <c r="BR43" s="42">
        <f>[1]!MLPutMatrix("Cedole",BR6:BR25)</f>
        <v>0</v>
      </c>
      <c r="BU43" s="42">
        <f>[1]!MLPutMatrix("Cedole",BU6:BU26)</f>
        <v>0</v>
      </c>
      <c r="BX43" s="42">
        <f>[1]!MLPutMatrix("Cedole",BX6:BX27)</f>
        <v>0</v>
      </c>
      <c r="CA43" s="42">
        <f>[1]!MLPutMatrix("Cedole",CA6:CA28)</f>
        <v>0</v>
      </c>
      <c r="CD43" s="42">
        <f>[1]!MLPutMatrix("Cedole",CD6:CD29)</f>
        <v>0</v>
      </c>
      <c r="CG43" s="42">
        <f>[1]!MLPutMatrix("Cedole",CG6:CG30)</f>
        <v>0</v>
      </c>
      <c r="CJ43" s="42">
        <f>[1]!MLPutMatrix("Cedole",CJ6:CJ31)</f>
        <v>0</v>
      </c>
      <c r="CM43" s="42">
        <f>[1]!MLPutMatrix("Cedole",CM6:CM32)</f>
        <v>0</v>
      </c>
      <c r="CP43" s="42">
        <f>[1]!MLPutMatrix("Cedole",CP6:CP33)</f>
        <v>0</v>
      </c>
      <c r="CS43" s="42">
        <f>[1]!MLPutMatrix("Cedole",CS6:CS34)</f>
        <v>0</v>
      </c>
      <c r="CV43" s="42">
        <f>[1]!MLPutMatrix("Cedole",CV6:CV35)</f>
        <v>0</v>
      </c>
      <c r="CY43" s="42">
        <f>[1]!MLPutMatrix("Cedole",CY6:CY36)</f>
        <v>0</v>
      </c>
      <c r="DB43" s="42">
        <f>[1]!MLPutMatrix("Cedole",DB6:DB37)</f>
        <v>0</v>
      </c>
      <c r="DE43" s="42">
        <f>[1]!MLPutMatrix("Cedole",DE6:DE38)</f>
        <v>0</v>
      </c>
      <c r="DH43" s="42">
        <f>[1]!MLPutMatrix("Cedole",DH6:DH39)</f>
        <v>0</v>
      </c>
      <c r="DK43" s="42">
        <f>[1]!MLPutMatrix("Cedole",DK6:DK40)</f>
        <v>0</v>
      </c>
      <c r="DN43" s="42">
        <f>[1]!MLPutMatrix("Cedole",DN6:DN41)</f>
        <v>0</v>
      </c>
      <c r="DQ43" s="42">
        <f>[1]!MLPutMatrix("Cedole",DQ6:DQ42)</f>
        <v>0</v>
      </c>
    </row>
    <row r="44" spans="1:122" x14ac:dyDescent="0.25">
      <c r="A44" s="4" t="str">
        <f t="shared" si="79"/>
        <v>Float (35M)</v>
      </c>
      <c r="B44" s="5">
        <f t="shared" si="85"/>
        <v>6.4000000000000003E-3</v>
      </c>
      <c r="C44" s="2" t="str">
        <f t="shared" si="80"/>
        <v>MB IM &gt;= 70%</v>
      </c>
      <c r="E44" s="103">
        <v>35</v>
      </c>
      <c r="F44" s="64">
        <v>44167</v>
      </c>
      <c r="G44" s="16">
        <v>0</v>
      </c>
      <c r="H44" s="16">
        <v>2</v>
      </c>
      <c r="I44" s="9"/>
      <c r="J44" s="9"/>
      <c r="K44" s="9"/>
      <c r="L44" s="9"/>
      <c r="M44" s="9"/>
      <c r="P44" s="42">
        <f>[1]!MLPutMatrix("Date",O6:O42)</f>
        <v>0</v>
      </c>
      <c r="S44" s="42">
        <f>[1]!MLPutMatrix("Date",R6:R42)</f>
        <v>0</v>
      </c>
      <c r="V44" s="42">
        <f>[1]!MLPutMatrix("Date",U6:U42)</f>
        <v>0</v>
      </c>
      <c r="Y44" s="42">
        <f>[1]!MLPutMatrix("Date",X6:X42)</f>
        <v>0</v>
      </c>
      <c r="AB44" s="42">
        <f>[1]!MLPutMatrix("Date",AA6:AA42)</f>
        <v>0</v>
      </c>
      <c r="AE44" s="42">
        <f>[1]!MLPutMatrix("Date",AD6:AD12)</f>
        <v>0</v>
      </c>
      <c r="AH44" s="42">
        <f>[1]!MLPutMatrix("Date",AG6:AG13)</f>
        <v>0</v>
      </c>
      <c r="AJ44" s="2"/>
      <c r="AK44" s="42">
        <f>[1]!MLPutMatrix("Date",AJ6:AJ14)</f>
        <v>0</v>
      </c>
      <c r="AN44" s="42">
        <f>[1]!MLPutMatrix("Date",AM6:AM15)</f>
        <v>0</v>
      </c>
      <c r="AQ44" s="42">
        <f>[1]!MLPutMatrix("Date",AP6:AP16)</f>
        <v>0</v>
      </c>
      <c r="AT44" s="42">
        <f>[1]!MLPutMatrix("Date",AS6:AS17)</f>
        <v>0</v>
      </c>
      <c r="AW44" s="42">
        <f>[1]!MLPutMatrix("Date",AV6:AV18)</f>
        <v>0</v>
      </c>
      <c r="AZ44" s="42">
        <f>[1]!MLPutMatrix("Date",AY6:AY19)</f>
        <v>0</v>
      </c>
      <c r="BC44" s="42">
        <f>[1]!MLPutMatrix("Date",BB6:BB20)</f>
        <v>0</v>
      </c>
      <c r="BF44" s="42">
        <f>[1]!MLPutMatrix("Date",BE6:BE21)</f>
        <v>0</v>
      </c>
      <c r="BI44" s="42">
        <f>[1]!MLPutMatrix("Date",BH6:BH22)</f>
        <v>0</v>
      </c>
      <c r="BL44" s="42">
        <f>[1]!MLPutMatrix("Date",BK6:BK23)</f>
        <v>0</v>
      </c>
      <c r="BO44" s="42">
        <f>[1]!MLPutMatrix("Date",BN6:BN24)</f>
        <v>0</v>
      </c>
      <c r="BR44" s="42">
        <f>[1]!MLPutMatrix("Date",BQ6:BQ25)</f>
        <v>0</v>
      </c>
      <c r="BU44" s="42">
        <f>[1]!MLPutMatrix("Date",BT6:BT26)</f>
        <v>0</v>
      </c>
      <c r="BX44" s="42">
        <f>[1]!MLPutMatrix("Date",BW6:BW27)</f>
        <v>0</v>
      </c>
      <c r="CA44" s="42">
        <f>[1]!MLPutMatrix("Date",BZ6:BZ28)</f>
        <v>0</v>
      </c>
      <c r="CD44" s="42">
        <f>[1]!MLPutMatrix("Date",CC6:CC29)</f>
        <v>0</v>
      </c>
      <c r="CG44" s="42">
        <f>[1]!MLPutMatrix("Date",CF6:CF30)</f>
        <v>0</v>
      </c>
      <c r="CJ44" s="42">
        <f>[1]!MLPutMatrix("Date",CI6:CI31)</f>
        <v>0</v>
      </c>
      <c r="CM44" s="42">
        <f>[1]!MLPutMatrix("Date",CL6:CL32)</f>
        <v>0</v>
      </c>
      <c r="CP44" s="42">
        <f>[1]!MLPutMatrix("Date",CO6:CO33)</f>
        <v>0</v>
      </c>
      <c r="CS44" s="42">
        <f>[1]!MLPutMatrix("Date",CR6:CR34)</f>
        <v>0</v>
      </c>
      <c r="CV44" s="42">
        <f>[1]!MLPutMatrix("Date",CU6:CU35)</f>
        <v>0</v>
      </c>
      <c r="CY44" s="42">
        <f>[1]!MLPutMatrix("Date",CX6:CX36)</f>
        <v>0</v>
      </c>
      <c r="DB44" s="42">
        <f>[1]!MLPutMatrix("Date",DA6:DA37)</f>
        <v>0</v>
      </c>
      <c r="DE44" s="42">
        <f>[1]!MLPutMatrix("Date",DD6:DD38)</f>
        <v>0</v>
      </c>
      <c r="DH44" s="42">
        <f>[1]!MLPutMatrix("Date",DG6:DG39)</f>
        <v>0</v>
      </c>
      <c r="DK44" s="42">
        <f>[1]!MLPutMatrix("Date",DJ6:DJ40)</f>
        <v>0</v>
      </c>
      <c r="DN44" s="42">
        <f>[1]!MLPutMatrix("Date",DM6:DM41)</f>
        <v>0</v>
      </c>
      <c r="DQ44" s="42">
        <f>[1]!MLPutMatrix("Date",DP6:DP42)</f>
        <v>0</v>
      </c>
    </row>
    <row r="45" spans="1:122" ht="12" thickBot="1" x14ac:dyDescent="0.3">
      <c r="A45" s="4" t="str">
        <f t="shared" si="79"/>
        <v>Float (36M)</v>
      </c>
      <c r="B45" s="5">
        <f t="shared" si="85"/>
        <v>6.4000000000000003E-3</v>
      </c>
      <c r="C45" s="2" t="str">
        <f>CONCATENATE(C5," &gt;= ",TEXT(B48,"0%"))</f>
        <v>MB IM &gt;= 100%</v>
      </c>
      <c r="E45" s="103">
        <v>36</v>
      </c>
      <c r="F45" s="64">
        <f>WORKDAY(F44,2)</f>
        <v>44169</v>
      </c>
      <c r="G45" s="16">
        <v>1</v>
      </c>
      <c r="H45" s="16">
        <v>0</v>
      </c>
      <c r="I45" s="9"/>
      <c r="J45" s="9"/>
      <c r="K45" s="9"/>
      <c r="L45" s="9"/>
      <c r="M45" s="9"/>
      <c r="N45" s="16"/>
      <c r="P45" s="43">
        <f>[1]!MLEvalString("TIR_DET = xirr(Cedole,x2mdate(Date),0.03,1000,3)")</f>
        <v>0</v>
      </c>
      <c r="S45" s="43">
        <f>[1]!MLEvalString("TIR_DET = xirr(Cedole,x2mdate(Date),0.03,1000,3)")</f>
        <v>0</v>
      </c>
      <c r="V45" s="43">
        <f>[1]!MLEvalString("TIR_DET = xirr(Cedole,x2mdate(Date),0.03,1000,3)")</f>
        <v>0</v>
      </c>
      <c r="Y45" s="43">
        <f>[1]!MLEvalString("TIR_DET = xirr(Cedole,x2mdate(Date),0.03,1000,3)")</f>
        <v>0</v>
      </c>
      <c r="AB45" s="43">
        <f>[1]!MLEvalString("TIR_DET = xirr(Cedole,x2mdate(Date),0.03,1000,3)")</f>
        <v>0</v>
      </c>
      <c r="AE45" s="43">
        <f>[1]!MLEvalString("TIR_DET = xirr(Cedole,x2mdate(Date),0.03,1000,3)")</f>
        <v>0</v>
      </c>
      <c r="AH45" s="43">
        <f>[1]!MLEvalString("TIR_DET = xirr(Cedole,x2mdate(Date),0.03,1000,3)")</f>
        <v>0</v>
      </c>
      <c r="AJ45" s="2"/>
      <c r="AK45" s="43">
        <f>[1]!MLEvalString("TIR_DET = xirr(Cedole,x2mdate(Date),0.03,1000,3)")</f>
        <v>0</v>
      </c>
      <c r="AN45" s="43">
        <f>[1]!MLEvalString("TIR_DET = xirr(Cedole,x2mdate(Date),0.03,1000,3)")</f>
        <v>0</v>
      </c>
      <c r="AQ45" s="43">
        <f>[1]!MLEvalString("TIR_DET = xirr(Cedole,x2mdate(Date),0.03,1000,3)")</f>
        <v>0</v>
      </c>
      <c r="AT45" s="43">
        <f>[1]!MLEvalString("TIR_DET = xirr(Cedole,x2mdate(Date),0.03,1000,3)")</f>
        <v>0</v>
      </c>
      <c r="AW45" s="43">
        <f>[1]!MLEvalString("TIR_DET = xirr(Cedole,x2mdate(Date),0.03,1000,3)")</f>
        <v>0</v>
      </c>
      <c r="AZ45" s="43">
        <f>[1]!MLEvalString("TIR_DET = xirr(Cedole,x2mdate(Date),0.03,1000,3)")</f>
        <v>0</v>
      </c>
      <c r="BC45" s="43">
        <f>[1]!MLEvalString("TIR_DET = xirr(Cedole,x2mdate(Date),0.03,1000,3)")</f>
        <v>0</v>
      </c>
      <c r="BF45" s="43">
        <f>[1]!MLEvalString("TIR_DET = xirr(Cedole,x2mdate(Date),0.03,1000,3)")</f>
        <v>0</v>
      </c>
      <c r="BI45" s="43">
        <f>[1]!MLEvalString("TIR_DET = xirr(Cedole,x2mdate(Date),0.03,1000,3)")</f>
        <v>0</v>
      </c>
      <c r="BL45" s="43">
        <f>[1]!MLEvalString("TIR_DET = xirr(Cedole,x2mdate(Date),0.03,1000,3)")</f>
        <v>0</v>
      </c>
      <c r="BO45" s="43">
        <f>[1]!MLEvalString("TIR_DET = xirr(Cedole,x2mdate(Date),0.03,1000,3)")</f>
        <v>0</v>
      </c>
      <c r="BR45" s="43">
        <f>[1]!MLEvalString("TIR_DET = xirr(Cedole,x2mdate(Date),0.03,1000,3)")</f>
        <v>0</v>
      </c>
      <c r="BU45" s="43">
        <f>[1]!MLEvalString("TIR_DET = xirr(Cedole,x2mdate(Date),0.03,1000,3)")</f>
        <v>0</v>
      </c>
      <c r="BX45" s="43">
        <f>[1]!MLEvalString("TIR_DET = xirr(Cedole,x2mdate(Date),0.03,1000,3)")</f>
        <v>0</v>
      </c>
      <c r="CA45" s="43">
        <f>[1]!MLEvalString("TIR_DET = xirr(Cedole,x2mdate(Date),0.03,1000,3)")</f>
        <v>0</v>
      </c>
      <c r="CD45" s="43">
        <f>[1]!MLEvalString("TIR_DET = xirr(Cedole,x2mdate(Date),0.03,1000,3)")</f>
        <v>0</v>
      </c>
      <c r="CG45" s="43">
        <f>[1]!MLEvalString("TIR_DET = xirr(Cedole,x2mdate(Date),0.03,1000,3)")</f>
        <v>0</v>
      </c>
      <c r="CJ45" s="43">
        <f>[1]!MLEvalString("TIR_DET = xirr(Cedole,x2mdate(Date),0.03,1000,3)")</f>
        <v>0</v>
      </c>
      <c r="CM45" s="43">
        <f>[1]!MLEvalString("TIR_DET = xirr(Cedole,x2mdate(Date),0.03,1000,3)")</f>
        <v>0</v>
      </c>
      <c r="CP45" s="43">
        <f>[1]!MLEvalString("TIR_DET = xirr(Cedole,x2mdate(Date),0.03,1000,3)")</f>
        <v>0</v>
      </c>
      <c r="CS45" s="43">
        <f>[1]!MLEvalString("TIR_DET = xirr(Cedole,x2mdate(Date),0.03,1000,3)")</f>
        <v>0</v>
      </c>
      <c r="CV45" s="43">
        <f>[1]!MLEvalString("TIR_DET = xirr(Cedole,x2mdate(Date),0.03,1000,3)")</f>
        <v>0</v>
      </c>
      <c r="CY45" s="43">
        <f>[1]!MLEvalString("TIR_DET = xirr(Cedole,x2mdate(Date),0.03,1000,3)")</f>
        <v>0</v>
      </c>
      <c r="DB45" s="43">
        <f>[1]!MLEvalString("TIR_DET = xirr(Cedole,x2mdate(Date),0.03,1000,3)")</f>
        <v>0</v>
      </c>
      <c r="DE45" s="43">
        <f>[1]!MLEvalString("TIR_DET = xirr(Cedole,x2mdate(Date),0.03,1000,3)")</f>
        <v>0</v>
      </c>
      <c r="DH45" s="43">
        <f>[1]!MLEvalString("TIR_DET = xirr(Cedole,x2mdate(Date),0.03,1000,3)")</f>
        <v>0</v>
      </c>
      <c r="DK45" s="43">
        <f>[1]!MLEvalString("TIR_DET = xirr(Cedole,x2mdate(Date),0.03,1000,3)")</f>
        <v>0</v>
      </c>
      <c r="DN45" s="43">
        <f>[1]!MLEvalString("TIR_DET = xirr(Cedole,x2mdate(Date),0.03,1000,3)")</f>
        <v>0</v>
      </c>
      <c r="DQ45" s="43">
        <f>[1]!MLEvalString("TIR_DET = xirr(Cedole,x2mdate(Date),0.03,1000,3)")</f>
        <v>0</v>
      </c>
    </row>
    <row r="46" spans="1:122" ht="12" thickBot="1" x14ac:dyDescent="0.3">
      <c r="A46" s="4"/>
      <c r="B46" s="97">
        <v>0</v>
      </c>
      <c r="C46" s="2" t="str">
        <f>CONCATENATE(TEXT(B49,"0%")," &lt;= ",B46," &lt; ",TEXT(B48,"0%"))</f>
        <v>70% &lt;= 0 &lt; 100%</v>
      </c>
      <c r="E46" s="16"/>
      <c r="F46" s="64">
        <v>44198</v>
      </c>
      <c r="G46" s="16">
        <v>0</v>
      </c>
      <c r="H46" s="16">
        <v>2</v>
      </c>
      <c r="I46" s="9"/>
      <c r="J46" s="9"/>
      <c r="K46" s="9"/>
      <c r="L46" s="9"/>
      <c r="M46" s="9"/>
      <c r="N46" s="16"/>
      <c r="P46" s="43">
        <f>[1]!Mlgetmatrix("TIR_DET","P4")</f>
        <v>0</v>
      </c>
      <c r="S46" s="43">
        <f>[1]!Mlgetmatrix("TIR_DET","S4")</f>
        <v>0</v>
      </c>
      <c r="V46" s="43">
        <f>[1]!Mlgetmatrix("TIR_DET","v4")</f>
        <v>0</v>
      </c>
      <c r="Y46" s="43">
        <f>[1]!Mlgetmatrix("TIR_DET","y4")</f>
        <v>0</v>
      </c>
      <c r="AB46" s="43">
        <f>[1]!Mlgetmatrix("TIR_DET","Ab4")</f>
        <v>0</v>
      </c>
      <c r="AE46" s="43">
        <f>[1]!Mlgetmatrix("TIR_DET","AE4")</f>
        <v>0</v>
      </c>
      <c r="AH46" s="43">
        <f>[1]!Mlgetmatrix("TIR_DET","AH4")</f>
        <v>0</v>
      </c>
      <c r="AJ46" s="2"/>
      <c r="AK46" s="43">
        <f>[1]!Mlgetmatrix("TIR_DET","AK4")</f>
        <v>0</v>
      </c>
      <c r="AN46" s="43">
        <f>[1]!Mlgetmatrix("TIR_DET","AN4")</f>
        <v>0</v>
      </c>
      <c r="AQ46" s="43">
        <f>[1]!Mlgetmatrix("TIR_DET","AQ4")</f>
        <v>0</v>
      </c>
      <c r="AT46" s="43">
        <f>[1]!Mlgetmatrix("TIR_DET","AT4")</f>
        <v>0</v>
      </c>
      <c r="AW46" s="43">
        <f>[1]!Mlgetmatrix("TIR_DET","AW4")</f>
        <v>0</v>
      </c>
      <c r="AZ46" s="43">
        <f>[1]!Mlgetmatrix("TIR_DET","AZ4")</f>
        <v>0</v>
      </c>
      <c r="BC46" s="43">
        <f>[1]!Mlgetmatrix("TIR_DET","BC4")</f>
        <v>0</v>
      </c>
      <c r="BF46" s="43">
        <f>[1]!Mlgetmatrix("TIR_DET","BF4")</f>
        <v>0</v>
      </c>
      <c r="BI46" s="43">
        <f>[1]!Mlgetmatrix("TIR_DET","BI4")</f>
        <v>0</v>
      </c>
      <c r="BL46" s="43">
        <f>[1]!Mlgetmatrix("TIR_DET","BL4")</f>
        <v>0</v>
      </c>
      <c r="BO46" s="43">
        <f>[1]!Mlgetmatrix("TIR_DET","BO4")</f>
        <v>0</v>
      </c>
      <c r="BR46" s="43">
        <f>[1]!Mlgetmatrix("TIR_DET","BR4")</f>
        <v>0</v>
      </c>
      <c r="BU46" s="43">
        <f>[1]!Mlgetmatrix("TIR_DET","BU4")</f>
        <v>0</v>
      </c>
      <c r="BX46" s="43">
        <f>[1]!Mlgetmatrix("TIR_DET","BX4")</f>
        <v>0</v>
      </c>
      <c r="CA46" s="43">
        <f>[1]!Mlgetmatrix("TIR_DET","CA4")</f>
        <v>0</v>
      </c>
      <c r="CD46" s="43">
        <f>[1]!Mlgetmatrix("TIR_DET","CD4")</f>
        <v>0</v>
      </c>
      <c r="CG46" s="43">
        <f>[1]!Mlgetmatrix("TIR_DET","CG4")</f>
        <v>0</v>
      </c>
      <c r="CJ46" s="43">
        <f>[1]!Mlgetmatrix("TIR_DET","CJ4")</f>
        <v>0</v>
      </c>
      <c r="CM46" s="43">
        <f>[1]!Mlgetmatrix("TIR_DET","CM4")</f>
        <v>0</v>
      </c>
      <c r="CP46" s="43">
        <f>[1]!Mlgetmatrix("TIR_DET","CP4")</f>
        <v>0</v>
      </c>
      <c r="CS46" s="43">
        <f>[1]!Mlgetmatrix("TIR_DET","CS4")</f>
        <v>0</v>
      </c>
      <c r="CV46" s="43">
        <f>[1]!Mlgetmatrix("TIR_DET","CV4")</f>
        <v>0</v>
      </c>
      <c r="CY46" s="43">
        <f>[1]!Mlgetmatrix("TIR_DET","CY4")</f>
        <v>0</v>
      </c>
      <c r="DB46" s="43">
        <f>[1]!Mlgetmatrix("TIR_DET","DB4")</f>
        <v>0</v>
      </c>
      <c r="DE46" s="43">
        <f>[1]!Mlgetmatrix("TIR_DET","DE4")</f>
        <v>0</v>
      </c>
      <c r="DH46" s="43">
        <f>[1]!Mlgetmatrix("TIR_DET","DH4")</f>
        <v>0</v>
      </c>
      <c r="DK46" s="43">
        <f>[1]!Mlgetmatrix("TIR_DET","DK4")</f>
        <v>0</v>
      </c>
      <c r="DN46" s="43">
        <f>[1]!Mlgetmatrix("TIR_DET","DN4")</f>
        <v>0</v>
      </c>
      <c r="DQ46" s="43">
        <f>[1]!Mlgetmatrix("TIR_DET","DQ4")</f>
        <v>0</v>
      </c>
    </row>
    <row r="47" spans="1:122" ht="12" thickBot="1" x14ac:dyDescent="0.3">
      <c r="A47" s="4"/>
      <c r="B47" s="5" t="str">
        <f>CONCATENATE(TEXT(K10,"0%"),"* Rend_",C5)</f>
        <v>100%* Rend_MB IM</v>
      </c>
      <c r="C47" s="2" t="str">
        <f>CONCATENATE(C5," &lt; ",TEXT(B49,"0%"))</f>
        <v>MB IM &lt; 70%</v>
      </c>
      <c r="D47" s="16"/>
      <c r="E47" s="16"/>
      <c r="F47" s="64">
        <f>WORKDAY(F46,2)</f>
        <v>44201</v>
      </c>
      <c r="G47" s="16">
        <v>1</v>
      </c>
      <c r="H47" s="16">
        <v>0</v>
      </c>
      <c r="I47" s="9"/>
      <c r="J47" s="9"/>
      <c r="K47" s="9"/>
      <c r="L47" s="9"/>
      <c r="AF47" s="2">
        <v>6</v>
      </c>
      <c r="AI47" s="2">
        <v>7</v>
      </c>
      <c r="AJ47" s="2"/>
      <c r="AL47" s="2">
        <v>8</v>
      </c>
      <c r="AO47" s="2">
        <v>9</v>
      </c>
      <c r="AR47" s="2">
        <v>10</v>
      </c>
      <c r="AU47" s="2">
        <v>11</v>
      </c>
      <c r="AX47" s="2">
        <v>12</v>
      </c>
      <c r="BA47" s="2">
        <v>13</v>
      </c>
      <c r="BD47" s="2">
        <v>14</v>
      </c>
      <c r="BG47" s="2">
        <v>15</v>
      </c>
      <c r="BJ47" s="2">
        <v>16</v>
      </c>
      <c r="BM47" s="2">
        <v>17</v>
      </c>
      <c r="BP47" s="2">
        <v>18</v>
      </c>
      <c r="BS47" s="2">
        <v>19</v>
      </c>
      <c r="BV47" s="2">
        <v>20</v>
      </c>
      <c r="BY47" s="2">
        <v>21</v>
      </c>
      <c r="CB47" s="2">
        <v>22</v>
      </c>
      <c r="CE47" s="2">
        <v>23</v>
      </c>
      <c r="CH47" s="2">
        <v>24</v>
      </c>
      <c r="CK47" s="2">
        <v>25</v>
      </c>
      <c r="CN47" s="2">
        <v>26</v>
      </c>
      <c r="CQ47" s="2">
        <v>27</v>
      </c>
      <c r="CT47" s="2">
        <v>28</v>
      </c>
      <c r="CW47" s="2">
        <v>29</v>
      </c>
      <c r="CZ47" s="2">
        <v>30</v>
      </c>
      <c r="DC47" s="2">
        <v>31</v>
      </c>
      <c r="DF47" s="2">
        <v>32</v>
      </c>
      <c r="DI47" s="2">
        <v>33</v>
      </c>
      <c r="DL47" s="2">
        <v>34</v>
      </c>
      <c r="DO47" s="2">
        <v>35</v>
      </c>
      <c r="DR47" s="2">
        <v>36</v>
      </c>
    </row>
    <row r="48" spans="1:122" x14ac:dyDescent="0.25">
      <c r="A48" s="4" t="s">
        <v>52</v>
      </c>
      <c r="B48" s="69">
        <v>1</v>
      </c>
      <c r="D48" s="16"/>
      <c r="E48" s="16"/>
      <c r="F48" s="64">
        <v>44229</v>
      </c>
      <c r="G48" s="16">
        <v>0</v>
      </c>
      <c r="H48" s="16">
        <v>2</v>
      </c>
      <c r="I48" s="9"/>
      <c r="J48" s="9"/>
      <c r="K48" s="9"/>
      <c r="L48" s="9"/>
      <c r="M48" s="9"/>
      <c r="N48" s="9"/>
      <c r="AJ48" s="2"/>
      <c r="AL48" s="3"/>
    </row>
    <row r="49" spans="1:63" ht="12" thickBot="1" x14ac:dyDescent="0.3">
      <c r="A49" s="4" t="s">
        <v>53</v>
      </c>
      <c r="B49" s="95">
        <v>0.7</v>
      </c>
      <c r="D49" s="16"/>
      <c r="E49" s="16"/>
      <c r="F49" s="64">
        <f>WORKDAY(F48,2)</f>
        <v>44231</v>
      </c>
      <c r="G49" s="16">
        <v>1</v>
      </c>
      <c r="H49" s="16">
        <v>0</v>
      </c>
      <c r="I49" s="9"/>
      <c r="J49" s="9"/>
      <c r="K49" s="9"/>
      <c r="L49" s="9"/>
      <c r="M49" s="9"/>
      <c r="N49" s="9"/>
      <c r="AJ49" s="2"/>
      <c r="AM49" s="3"/>
    </row>
    <row r="50" spans="1:63" ht="12" customHeight="1" thickBot="1" x14ac:dyDescent="0.3">
      <c r="A50" s="4" t="s">
        <v>95</v>
      </c>
      <c r="B50" s="95">
        <v>1</v>
      </c>
      <c r="E50" s="16"/>
      <c r="F50" s="64">
        <v>44257</v>
      </c>
      <c r="G50" s="16">
        <v>0</v>
      </c>
      <c r="H50" s="16">
        <v>2</v>
      </c>
      <c r="J50" s="136" t="s">
        <v>15</v>
      </c>
      <c r="K50" s="1" t="s">
        <v>14</v>
      </c>
      <c r="L50" s="4"/>
      <c r="M50" s="4" t="s">
        <v>10</v>
      </c>
      <c r="N50" s="4" t="s">
        <v>11</v>
      </c>
      <c r="P50" s="126" t="s">
        <v>63</v>
      </c>
      <c r="Q50" s="127"/>
      <c r="R50" s="127"/>
      <c r="S50" s="127"/>
      <c r="T50" s="127"/>
      <c r="U50" s="127"/>
      <c r="V50" s="127"/>
      <c r="W50" s="127"/>
      <c r="X50" s="127"/>
      <c r="Y50" s="127"/>
      <c r="Z50" s="127"/>
      <c r="AA50" s="128"/>
      <c r="AJ50" s="2"/>
      <c r="AL50" s="3"/>
    </row>
    <row r="51" spans="1:63" ht="12" thickBot="1" x14ac:dyDescent="0.3">
      <c r="A51" s="4" t="s">
        <v>172</v>
      </c>
      <c r="B51" s="70">
        <v>0.7</v>
      </c>
      <c r="D51" s="16"/>
      <c r="E51" s="16"/>
      <c r="F51" s="64">
        <f>WORKDAY(F50,2)</f>
        <v>44259</v>
      </c>
      <c r="G51" s="16">
        <v>1</v>
      </c>
      <c r="H51" s="16">
        <v>0</v>
      </c>
      <c r="J51" s="137"/>
      <c r="K51" s="4" t="s">
        <v>12</v>
      </c>
      <c r="L51" s="102">
        <f>N42-N6</f>
        <v>3.0027397260273974</v>
      </c>
      <c r="M51" s="12"/>
      <c r="N51" s="13">
        <v>0</v>
      </c>
      <c r="P51" s="141" t="str">
        <f>CONCATENATE("E[IRR ",B6,"Y]")</f>
        <v>E[IRR 3Y]</v>
      </c>
      <c r="Q51" s="141"/>
      <c r="R51" s="141"/>
      <c r="S51" s="141"/>
      <c r="T51" s="141"/>
      <c r="U51" s="141"/>
      <c r="V51" s="141"/>
      <c r="W51" s="141"/>
      <c r="Y51" s="139" t="s">
        <v>34</v>
      </c>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c r="BB51" s="139"/>
      <c r="BC51" s="139"/>
      <c r="BD51" s="139"/>
      <c r="BE51" s="139"/>
      <c r="BF51" s="139"/>
      <c r="BG51" s="139"/>
      <c r="BH51" s="139"/>
      <c r="BI51" s="139"/>
      <c r="BJ51" s="139"/>
      <c r="BK51" s="139"/>
    </row>
    <row r="52" spans="1:63" x14ac:dyDescent="0.25">
      <c r="B52" s="1" t="s">
        <v>59</v>
      </c>
      <c r="C52" s="1" t="s">
        <v>58</v>
      </c>
      <c r="D52" s="16"/>
      <c r="E52" s="16"/>
      <c r="F52" s="64">
        <v>44288</v>
      </c>
      <c r="G52" s="16">
        <v>0</v>
      </c>
      <c r="H52" s="16">
        <v>2</v>
      </c>
      <c r="J52" s="137"/>
      <c r="K52" s="10">
        <v>0.99</v>
      </c>
      <c r="L52" s="121">
        <v>4.4492565287902064</v>
      </c>
      <c r="M52" s="8">
        <f t="shared" ref="M52:M58" si="86">L52^(1/$L$51)-1</f>
        <v>0.64398801737323086</v>
      </c>
      <c r="N52" s="23">
        <f t="shared" ref="N52:N59" si="87">$N$51+M52-$M$59</f>
        <v>0.64398801737323086</v>
      </c>
      <c r="P52" s="25">
        <v>-0.16309999999999999</v>
      </c>
      <c r="Q52" s="25">
        <v>1.5894104389499009E-2</v>
      </c>
      <c r="R52" s="26">
        <v>-0.1926803047520661</v>
      </c>
      <c r="S52" s="27">
        <v>-0.14928712686567169</v>
      </c>
      <c r="T52" s="25">
        <v>7.9400000000000012E-2</v>
      </c>
      <c r="U52" s="25">
        <v>0</v>
      </c>
      <c r="V52" s="25">
        <v>-0.21171479046836494</v>
      </c>
      <c r="W52" s="25">
        <v>4.6127227722772224E-2</v>
      </c>
      <c r="X52" s="46">
        <f>SUM(Y52:BK52)</f>
        <v>0.67530000000000001</v>
      </c>
      <c r="Y52" s="25">
        <v>0.51319999999999999</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0</v>
      </c>
      <c r="AZ52" s="25">
        <v>0</v>
      </c>
      <c r="BA52" s="25">
        <v>0</v>
      </c>
      <c r="BB52" s="25">
        <v>0</v>
      </c>
      <c r="BC52" s="25">
        <v>0.16209999999999999</v>
      </c>
      <c r="BD52" s="25"/>
      <c r="BE52" s="25"/>
      <c r="BF52" s="25"/>
      <c r="BG52" s="25"/>
      <c r="BH52" s="25"/>
      <c r="BI52" s="25"/>
      <c r="BJ52" s="25"/>
      <c r="BK52" s="25"/>
    </row>
    <row r="53" spans="1:63" x14ac:dyDescent="0.25">
      <c r="A53" s="1" t="s">
        <v>32</v>
      </c>
      <c r="B53" s="2">
        <v>10</v>
      </c>
      <c r="C53" s="2">
        <v>5</v>
      </c>
      <c r="F53" s="64">
        <f>WORKDAY(F52,2)</f>
        <v>44292</v>
      </c>
      <c r="G53" s="16">
        <v>1</v>
      </c>
      <c r="H53" s="16">
        <v>0</v>
      </c>
      <c r="J53" s="137"/>
      <c r="K53" s="10">
        <v>0.95</v>
      </c>
      <c r="L53" s="121">
        <v>2.7992963533592192</v>
      </c>
      <c r="M53" s="8">
        <f t="shared" si="86"/>
        <v>0.40890051872933753</v>
      </c>
      <c r="N53" s="23">
        <f t="shared" si="87"/>
        <v>0.40890051872933753</v>
      </c>
      <c r="P53" s="25">
        <v>-0.16719999999999999</v>
      </c>
      <c r="Q53" s="25">
        <v>3.4838332063249489E-3</v>
      </c>
      <c r="R53" s="26">
        <v>-0.1979078266264182</v>
      </c>
      <c r="S53" s="27">
        <v>-0.154131111111111</v>
      </c>
      <c r="T53" s="25">
        <v>7.9400000000000012E-2</v>
      </c>
      <c r="U53" s="25">
        <v>0</v>
      </c>
      <c r="V53" s="25">
        <v>-0.21501641221374063</v>
      </c>
      <c r="W53" s="25">
        <v>4.6181751824817513E-2</v>
      </c>
      <c r="X53" s="46">
        <f>SUM(Y53:BK53)</f>
        <v>0.67770000000000008</v>
      </c>
      <c r="Y53" s="25">
        <v>0.50560000000000005</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0.1721</v>
      </c>
      <c r="BD53" s="25"/>
      <c r="BE53" s="25"/>
      <c r="BF53" s="25"/>
      <c r="BG53" s="25"/>
      <c r="BH53" s="25"/>
      <c r="BI53" s="25"/>
      <c r="BJ53" s="25"/>
      <c r="BK53" s="25"/>
    </row>
    <row r="54" spans="1:63" ht="12" thickBot="1" x14ac:dyDescent="0.3">
      <c r="A54" s="4" t="s">
        <v>30</v>
      </c>
      <c r="B54" s="22">
        <f>DATE(YEAR(B55)-$B$53,MONTH(B55),DAY(B55)-1)</f>
        <v>39889</v>
      </c>
      <c r="C54" s="22">
        <f>DATE(YEAR(B55)-$C$53,MONTH(B55),DAY(B55)-1)</f>
        <v>41715</v>
      </c>
      <c r="F54" s="64">
        <v>44318</v>
      </c>
      <c r="G54" s="16">
        <v>0</v>
      </c>
      <c r="H54" s="16">
        <v>2</v>
      </c>
      <c r="J54" s="137"/>
      <c r="K54" s="10">
        <v>0.75</v>
      </c>
      <c r="L54" s="121">
        <v>1.5381647683677957</v>
      </c>
      <c r="M54" s="8">
        <f t="shared" si="86"/>
        <v>0.15419027896643045</v>
      </c>
      <c r="N54" s="23">
        <f t="shared" si="87"/>
        <v>0.15419027896643045</v>
      </c>
      <c r="P54" s="25">
        <v>-0.1701</v>
      </c>
      <c r="Q54" s="25">
        <v>-8.6343578586435821E-3</v>
      </c>
      <c r="R54" s="26">
        <v>-0.20204343177418238</v>
      </c>
      <c r="S54" s="27">
        <v>-0.21856865248226934</v>
      </c>
      <c r="T54" s="25">
        <v>0</v>
      </c>
      <c r="U54" s="25">
        <v>4.1338515081206506E-2</v>
      </c>
      <c r="V54" s="25">
        <v>-0.21610440251572308</v>
      </c>
      <c r="W54" s="25">
        <v>4.6050000000000035E-2</v>
      </c>
      <c r="X54" s="46">
        <f>SUM(Y54:BK54)</f>
        <v>0.68010000000000004</v>
      </c>
      <c r="Y54" s="25">
        <v>0.496</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0.18410000000000001</v>
      </c>
      <c r="BD54" s="25"/>
      <c r="BE54" s="25"/>
      <c r="BF54" s="25"/>
      <c r="BG54" s="25"/>
      <c r="BH54" s="25"/>
      <c r="BI54" s="25"/>
      <c r="BJ54" s="25"/>
      <c r="BK54" s="25"/>
    </row>
    <row r="55" spans="1:63" ht="12" thickBot="1" x14ac:dyDescent="0.3">
      <c r="A55" s="4" t="s">
        <v>31</v>
      </c>
      <c r="B55" s="66">
        <v>43542</v>
      </c>
      <c r="F55" s="64">
        <f>WORKDAY(F54,2)</f>
        <v>44320</v>
      </c>
      <c r="G55" s="16">
        <v>1</v>
      </c>
      <c r="H55" s="16">
        <v>0</v>
      </c>
      <c r="J55" s="137"/>
      <c r="K55" s="10">
        <v>0.5</v>
      </c>
      <c r="L55" s="122">
        <v>1.0016237793379501</v>
      </c>
      <c r="M55" s="8">
        <f t="shared" si="86"/>
        <v>5.4047336469986718E-4</v>
      </c>
      <c r="N55" s="23">
        <f t="shared" si="87"/>
        <v>5.4047336469986718E-4</v>
      </c>
      <c r="P55" s="25">
        <v>-0.1535</v>
      </c>
      <c r="Q55" s="25">
        <v>4.7167061292322732E-2</v>
      </c>
      <c r="R55" s="26">
        <v>-0.18454588068614375</v>
      </c>
      <c r="S55" s="27">
        <v>-0.14039384272997057</v>
      </c>
      <c r="T55" s="25">
        <v>7.9399999999999998E-2</v>
      </c>
      <c r="U55" s="25">
        <v>0</v>
      </c>
      <c r="V55" s="25">
        <v>-0.20562362362362399</v>
      </c>
      <c r="W55" s="25">
        <v>4.660596590909092E-2</v>
      </c>
      <c r="X55" s="46">
        <f>SUM(Y55:BK55)</f>
        <v>0.67369999999999997</v>
      </c>
      <c r="Y55" s="25">
        <v>0.53859999999999997</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0</v>
      </c>
      <c r="AZ55" s="25">
        <v>0</v>
      </c>
      <c r="BA55" s="25">
        <v>0</v>
      </c>
      <c r="BB55" s="25">
        <v>0</v>
      </c>
      <c r="BC55" s="25">
        <v>0.1351</v>
      </c>
      <c r="BD55" s="25"/>
      <c r="BE55" s="25"/>
      <c r="BF55" s="25"/>
      <c r="BG55" s="25"/>
      <c r="BH55" s="25"/>
      <c r="BI55" s="25"/>
      <c r="BJ55" s="25"/>
      <c r="BK55" s="25"/>
    </row>
    <row r="56" spans="1:63" ht="12" thickBot="1" x14ac:dyDescent="0.3">
      <c r="A56" s="4" t="str">
        <f>CONCATENATE(C5," ",D5)</f>
        <v>MB IM Equity</v>
      </c>
      <c r="B56" s="4"/>
      <c r="C56" s="12"/>
      <c r="D56" s="12"/>
      <c r="E56" s="12" t="str">
        <f>[1]!Mlgetmatrix("Backtest","E21")</f>
        <v>#MATLAB?</v>
      </c>
      <c r="F56" s="64">
        <v>44349</v>
      </c>
      <c r="G56" s="16">
        <v>0</v>
      </c>
      <c r="H56" s="16">
        <v>2</v>
      </c>
      <c r="J56" s="137"/>
      <c r="K56" s="10">
        <v>0.25</v>
      </c>
      <c r="L56" s="121">
        <v>0.65336127755413687</v>
      </c>
      <c r="M56" s="8">
        <f t="shared" si="86"/>
        <v>-0.13215796382061007</v>
      </c>
      <c r="N56" s="23">
        <f t="shared" si="87"/>
        <v>-0.13215796382061007</v>
      </c>
      <c r="P56" s="25">
        <v>-0.1832</v>
      </c>
      <c r="Q56" s="25">
        <v>-3.8283546951862923E-2</v>
      </c>
      <c r="R56" s="26">
        <v>-0.21434861947449055</v>
      </c>
      <c r="S56" s="27">
        <v>-0.42452241379310368</v>
      </c>
      <c r="T56" s="25">
        <v>0</v>
      </c>
      <c r="U56" s="25">
        <v>-0.15853890801770759</v>
      </c>
      <c r="V56" s="25">
        <v>-0.22200552077404689</v>
      </c>
      <c r="W56" s="25">
        <v>4.721811224489797E-2</v>
      </c>
      <c r="X56" s="46">
        <f>SUM(Y56:BK56)</f>
        <v>0.68779999999999997</v>
      </c>
      <c r="Y56" s="25">
        <v>0.47289999999999999</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0.21490000000000001</v>
      </c>
      <c r="BD56" s="25"/>
      <c r="BE56" s="25"/>
      <c r="BF56" s="25"/>
      <c r="BG56" s="25"/>
      <c r="BH56" s="25"/>
      <c r="BI56" s="25"/>
      <c r="BJ56" s="25"/>
      <c r="BK56" s="25"/>
    </row>
    <row r="57" spans="1:63" x14ac:dyDescent="0.25">
      <c r="A57" s="4" t="s">
        <v>6</v>
      </c>
      <c r="B57" s="4" t="s">
        <v>7</v>
      </c>
      <c r="C57" s="4" t="s">
        <v>8</v>
      </c>
      <c r="D57" s="4" t="s">
        <v>9</v>
      </c>
      <c r="E57" s="4" t="s">
        <v>33</v>
      </c>
      <c r="F57" s="64">
        <f>WORKDAY(F56,2)</f>
        <v>44351</v>
      </c>
      <c r="G57" s="16">
        <v>1</v>
      </c>
      <c r="H57" s="16">
        <v>0</v>
      </c>
      <c r="J57" s="137"/>
      <c r="K57" s="10">
        <v>0.05</v>
      </c>
      <c r="L57" s="121">
        <v>0.34263033292804701</v>
      </c>
      <c r="M57" s="8">
        <f t="shared" si="86"/>
        <v>-0.30002357650063283</v>
      </c>
      <c r="N57" s="23">
        <f t="shared" si="87"/>
        <v>-0.30002357650063283</v>
      </c>
      <c r="P57" s="142" t="str">
        <f>CONCATENATE("PROBABILITY E[IRR ",B6,"Y]")</f>
        <v>PROBABILITY E[IRR 3Y]</v>
      </c>
      <c r="Q57" s="142"/>
      <c r="R57" s="142"/>
      <c r="S57" s="142"/>
      <c r="T57" s="142"/>
      <c r="U57" s="142"/>
      <c r="V57" s="142"/>
      <c r="W57" s="142"/>
      <c r="Y57" s="111">
        <v>6</v>
      </c>
      <c r="Z57" s="109">
        <v>7</v>
      </c>
      <c r="AA57" s="109">
        <v>8</v>
      </c>
      <c r="AB57" s="109">
        <v>9</v>
      </c>
      <c r="AC57" s="109">
        <v>10</v>
      </c>
      <c r="AD57" s="109">
        <v>11</v>
      </c>
      <c r="AE57" s="111">
        <v>12</v>
      </c>
      <c r="AF57" s="109">
        <v>13</v>
      </c>
      <c r="AG57" s="109">
        <v>14</v>
      </c>
      <c r="AH57" s="109">
        <v>15</v>
      </c>
      <c r="AI57" s="109">
        <v>16</v>
      </c>
      <c r="AJ57" s="109">
        <v>17</v>
      </c>
      <c r="AK57" s="111">
        <v>18</v>
      </c>
      <c r="AL57" s="109">
        <v>19</v>
      </c>
      <c r="AM57" s="109">
        <v>20</v>
      </c>
      <c r="AN57" s="109">
        <v>21</v>
      </c>
      <c r="AO57" s="109">
        <v>22</v>
      </c>
      <c r="AP57" s="109">
        <v>23</v>
      </c>
      <c r="AQ57" s="111">
        <v>24</v>
      </c>
      <c r="AR57" s="109">
        <v>25</v>
      </c>
      <c r="AS57" s="109">
        <v>26</v>
      </c>
      <c r="AT57" s="109">
        <v>27</v>
      </c>
      <c r="AU57" s="109">
        <v>28</v>
      </c>
      <c r="AV57" s="109">
        <v>29</v>
      </c>
      <c r="AW57" s="111">
        <v>30</v>
      </c>
      <c r="AX57" s="109">
        <v>31</v>
      </c>
      <c r="AY57" s="109">
        <v>32</v>
      </c>
      <c r="AZ57" s="109">
        <v>33</v>
      </c>
      <c r="BA57" s="109">
        <v>34</v>
      </c>
      <c r="BB57" s="109">
        <v>35</v>
      </c>
      <c r="BC57" s="111">
        <v>36</v>
      </c>
    </row>
    <row r="58" spans="1:63" ht="11.25" customHeight="1" thickBot="1" x14ac:dyDescent="0.3">
      <c r="A58" s="31" t="e">
        <f ca="1">_xll.BDH(A56,B57,$B$54,$B$55,"cols=2;rows=2541")</f>
        <v>#NAME?</v>
      </c>
      <c r="B58" s="4">
        <v>4.9381000000000004</v>
      </c>
      <c r="C58" s="28"/>
      <c r="D58" s="28">
        <f>_xlfn.STDEV.P(D60:D1343)*SQRT(252)</f>
        <v>0.38871162325672992</v>
      </c>
      <c r="E58" s="4"/>
      <c r="F58" s="64">
        <v>44379</v>
      </c>
      <c r="G58" s="16">
        <v>0</v>
      </c>
      <c r="H58" s="16">
        <v>2</v>
      </c>
      <c r="J58" s="137"/>
      <c r="K58" s="10">
        <v>0.01</v>
      </c>
      <c r="L58" s="121">
        <v>0.2255242718573722</v>
      </c>
      <c r="M58" s="8">
        <f t="shared" si="86"/>
        <v>-0.39103198806972106</v>
      </c>
      <c r="N58" s="23">
        <f t="shared" si="87"/>
        <v>-0.39103198806972106</v>
      </c>
      <c r="P58" s="25">
        <v>0</v>
      </c>
      <c r="Q58" s="25">
        <v>0</v>
      </c>
      <c r="R58" s="26">
        <v>0</v>
      </c>
      <c r="S58" s="27">
        <v>0.99198025909932142</v>
      </c>
      <c r="T58" s="25">
        <v>8.0197409006785934E-3</v>
      </c>
      <c r="U58" s="25">
        <v>0</v>
      </c>
      <c r="V58" s="47">
        <v>0.75077112893275755</v>
      </c>
      <c r="W58" s="47">
        <v>0.24922887106724245</v>
      </c>
      <c r="Y58" s="112">
        <v>0.5</v>
      </c>
      <c r="Z58" s="109"/>
      <c r="AA58" s="109"/>
      <c r="AB58" s="109"/>
      <c r="AC58" s="109"/>
      <c r="AD58" s="110"/>
      <c r="AE58" s="112" t="s">
        <v>98</v>
      </c>
      <c r="AF58" s="109"/>
      <c r="AG58" s="109"/>
      <c r="AH58" s="109"/>
      <c r="AI58" s="109"/>
      <c r="AJ58" s="109"/>
      <c r="AK58" s="112" t="s">
        <v>99</v>
      </c>
      <c r="AL58" s="109"/>
      <c r="AM58" s="109"/>
      <c r="AN58" s="109"/>
      <c r="AO58" s="109"/>
      <c r="AP58" s="109"/>
      <c r="AQ58" s="112" t="s">
        <v>100</v>
      </c>
      <c r="AR58" s="109"/>
      <c r="AS58" s="109"/>
      <c r="AT58" s="109"/>
      <c r="AU58" s="109"/>
      <c r="AV58" s="109"/>
      <c r="AW58" s="112" t="s">
        <v>101</v>
      </c>
      <c r="AX58" s="109"/>
      <c r="AY58" s="109"/>
      <c r="AZ58" s="109"/>
      <c r="BA58" s="109"/>
      <c r="BB58" s="109"/>
      <c r="BC58" s="112" t="s">
        <v>103</v>
      </c>
    </row>
    <row r="59" spans="1:63" ht="11.25" customHeight="1" thickBot="1" x14ac:dyDescent="0.3">
      <c r="A59" s="6">
        <v>39890</v>
      </c>
      <c r="B59" s="7">
        <v>5.2476000000000003</v>
      </c>
      <c r="C59" s="15">
        <f>AVERAGE(C60:C1342)*252</f>
        <v>8.9579251029970774E-2</v>
      </c>
      <c r="D59" s="15">
        <f>AVERAGE(D60:D1342)</f>
        <v>2.0551673292944246E-19</v>
      </c>
      <c r="E59" s="15"/>
      <c r="F59" s="64">
        <f>WORKDAY(F58,2)</f>
        <v>44383</v>
      </c>
      <c r="G59" s="16">
        <v>1</v>
      </c>
      <c r="H59" s="16">
        <v>0</v>
      </c>
      <c r="J59" s="138"/>
      <c r="K59" s="11" t="s">
        <v>134</v>
      </c>
      <c r="L59" s="123">
        <v>1.2233487322603542</v>
      </c>
      <c r="M59" s="8">
        <v>0</v>
      </c>
      <c r="N59" s="14">
        <f t="shared" si="87"/>
        <v>0</v>
      </c>
      <c r="P59" s="25">
        <v>0</v>
      </c>
      <c r="Q59" s="25">
        <v>0</v>
      </c>
      <c r="R59" s="26">
        <v>0</v>
      </c>
      <c r="S59" s="27">
        <v>0.99360836722835566</v>
      </c>
      <c r="T59" s="25">
        <v>6.3916327716443929E-3</v>
      </c>
      <c r="U59" s="25">
        <v>0</v>
      </c>
      <c r="V59" s="47">
        <v>0.76118535735037773</v>
      </c>
      <c r="W59" s="47">
        <v>0.23881464264962232</v>
      </c>
      <c r="AJ59" s="2"/>
      <c r="AL59" s="3"/>
    </row>
    <row r="60" spans="1:63" ht="11.25" customHeight="1" x14ac:dyDescent="0.25">
      <c r="A60" s="6">
        <v>39891</v>
      </c>
      <c r="B60" s="7">
        <v>5.5190000000000001</v>
      </c>
      <c r="C60" s="9">
        <f>LN(B60/B59)</f>
        <v>5.0425855232625966E-2</v>
      </c>
      <c r="D60" s="9">
        <f t="shared" ref="D60:D84" si="88">C60-$C$59/252</f>
        <v>5.0070382014253068E-2</v>
      </c>
      <c r="E60" s="9"/>
      <c r="F60" s="64">
        <v>44410</v>
      </c>
      <c r="G60" s="16">
        <v>0</v>
      </c>
      <c r="H60" s="16">
        <v>2</v>
      </c>
      <c r="I60" s="9"/>
      <c r="J60" s="9"/>
      <c r="K60" s="9"/>
      <c r="L60" s="9"/>
      <c r="M60" s="9"/>
      <c r="N60" s="9"/>
      <c r="P60" s="25">
        <v>0</v>
      </c>
      <c r="Q60" s="25">
        <v>0</v>
      </c>
      <c r="R60" s="26">
        <v>0</v>
      </c>
      <c r="S60" s="27">
        <v>0.76588810429114607</v>
      </c>
      <c r="T60" s="25">
        <v>0</v>
      </c>
      <c r="U60" s="25">
        <v>0.23411189570885388</v>
      </c>
      <c r="V60" s="47">
        <v>0.77729494839761004</v>
      </c>
      <c r="W60" s="47">
        <v>0.22270505160239001</v>
      </c>
      <c r="AJ60" s="2"/>
      <c r="AL60" s="3"/>
    </row>
    <row r="61" spans="1:63" ht="11.25" customHeight="1" x14ac:dyDescent="0.25">
      <c r="A61" s="6">
        <v>39892</v>
      </c>
      <c r="B61" s="7">
        <v>5.4951999999999996</v>
      </c>
      <c r="C61" s="9">
        <f t="shared" ref="C61:C124" si="89">LN(B61/B60)</f>
        <v>-4.3217005398295434E-3</v>
      </c>
      <c r="D61" s="9">
        <f t="shared" si="88"/>
        <v>-4.6771737582024433E-3</v>
      </c>
      <c r="E61" s="9"/>
      <c r="F61" s="64">
        <f>WORKDAY(F60,2)</f>
        <v>44412</v>
      </c>
      <c r="G61" s="16">
        <v>1</v>
      </c>
      <c r="H61" s="16">
        <v>0</v>
      </c>
      <c r="I61" s="9"/>
      <c r="J61" s="9"/>
      <c r="K61" s="9"/>
      <c r="L61" s="9"/>
      <c r="M61" s="9"/>
      <c r="N61" s="9"/>
      <c r="P61" s="25">
        <v>0</v>
      </c>
      <c r="Q61" s="25">
        <v>0</v>
      </c>
      <c r="R61" s="26">
        <v>0</v>
      </c>
      <c r="S61" s="27">
        <v>0.99777942264988895</v>
      </c>
      <c r="T61" s="25">
        <v>2.2205773501110288E-3</v>
      </c>
      <c r="U61" s="25">
        <v>0</v>
      </c>
      <c r="V61" s="47">
        <v>0.73945225758697264</v>
      </c>
      <c r="W61" s="47">
        <v>0.26054774241302736</v>
      </c>
      <c r="AJ61" s="2"/>
      <c r="AL61" s="3"/>
    </row>
    <row r="62" spans="1:63" ht="11.25" customHeight="1" x14ac:dyDescent="0.25">
      <c r="A62" s="6">
        <v>39895</v>
      </c>
      <c r="B62" s="7">
        <v>5.9381000000000004</v>
      </c>
      <c r="C62" s="9">
        <f t="shared" si="89"/>
        <v>7.7514232969330549E-2</v>
      </c>
      <c r="D62" s="9">
        <f t="shared" si="88"/>
        <v>7.7158759750957651E-2</v>
      </c>
      <c r="E62" s="9"/>
      <c r="F62" s="64">
        <v>44441</v>
      </c>
      <c r="G62" s="16">
        <v>0</v>
      </c>
      <c r="H62" s="16">
        <v>2</v>
      </c>
      <c r="I62" s="9"/>
      <c r="J62" s="9"/>
      <c r="K62" s="9"/>
      <c r="L62" s="9"/>
      <c r="M62" s="9"/>
      <c r="N62" s="9"/>
      <c r="P62" s="25">
        <v>0</v>
      </c>
      <c r="Q62" s="25">
        <v>0</v>
      </c>
      <c r="R62" s="26">
        <v>0</v>
      </c>
      <c r="S62" s="27">
        <v>5.397859469520707E-2</v>
      </c>
      <c r="T62" s="25">
        <v>0</v>
      </c>
      <c r="U62" s="25">
        <v>0.94602140530479295</v>
      </c>
      <c r="V62" s="47">
        <v>0.8175895765472313</v>
      </c>
      <c r="W62" s="47">
        <v>0.18241042345276873</v>
      </c>
      <c r="AJ62" s="2"/>
      <c r="AM62" s="3"/>
    </row>
    <row r="63" spans="1:63" ht="11.25" customHeight="1" x14ac:dyDescent="0.25">
      <c r="A63" s="6">
        <v>39896</v>
      </c>
      <c r="B63" s="7">
        <v>6.0762</v>
      </c>
      <c r="C63" s="9">
        <f t="shared" si="89"/>
        <v>2.2990283697291974E-2</v>
      </c>
      <c r="D63" s="9">
        <f t="shared" si="88"/>
        <v>2.2634810478919073E-2</v>
      </c>
      <c r="E63" s="9"/>
      <c r="F63" s="64">
        <f>WORKDAY(F62,2)</f>
        <v>44445</v>
      </c>
      <c r="G63" s="16">
        <v>1</v>
      </c>
      <c r="H63" s="16">
        <v>0</v>
      </c>
      <c r="I63" s="9"/>
      <c r="J63" s="9"/>
      <c r="K63" s="9"/>
      <c r="L63" s="9"/>
      <c r="M63" s="9"/>
      <c r="N63" s="9"/>
      <c r="AJ63" s="2"/>
      <c r="AM63" s="3"/>
    </row>
    <row r="64" spans="1:63" ht="11.25" customHeight="1" x14ac:dyDescent="0.25">
      <c r="A64" s="6">
        <v>39897</v>
      </c>
      <c r="B64" s="7">
        <v>6.3333000000000004</v>
      </c>
      <c r="C64" s="9">
        <f t="shared" si="89"/>
        <v>4.1441926742428289E-2</v>
      </c>
      <c r="D64" s="9">
        <f t="shared" si="88"/>
        <v>4.1086453524055391E-2</v>
      </c>
      <c r="E64" s="9"/>
      <c r="F64" s="64">
        <v>44471</v>
      </c>
      <c r="G64" s="16">
        <v>0</v>
      </c>
      <c r="H64" s="16">
        <v>2</v>
      </c>
      <c r="I64" s="9"/>
      <c r="J64" s="9"/>
      <c r="K64" s="9"/>
      <c r="L64" s="9"/>
      <c r="M64" s="9"/>
      <c r="N64" s="9"/>
      <c r="AJ64" s="2"/>
      <c r="AM64" s="3"/>
    </row>
    <row r="65" spans="1:64" ht="11.25" customHeight="1" x14ac:dyDescent="0.25">
      <c r="A65" s="6">
        <v>39898</v>
      </c>
      <c r="B65" s="7">
        <v>6.2809999999999997</v>
      </c>
      <c r="C65" s="9">
        <f t="shared" si="89"/>
        <v>-8.2922238543419215E-3</v>
      </c>
      <c r="D65" s="9">
        <f t="shared" si="88"/>
        <v>-8.6476970727148213E-3</v>
      </c>
      <c r="E65" s="9"/>
      <c r="F65" s="64">
        <f>WORKDAY(F64,2)</f>
        <v>44474</v>
      </c>
      <c r="G65" s="16">
        <v>1</v>
      </c>
      <c r="H65" s="16">
        <v>0</v>
      </c>
      <c r="I65" s="9"/>
      <c r="J65" s="9"/>
      <c r="K65" s="9"/>
      <c r="L65" s="9"/>
      <c r="M65" s="9"/>
      <c r="N65" s="9"/>
      <c r="AJ65" s="2"/>
      <c r="AM65" s="3"/>
    </row>
    <row r="66" spans="1:64" ht="11.25" customHeight="1" x14ac:dyDescent="0.25">
      <c r="A66" s="6">
        <v>39899</v>
      </c>
      <c r="B66" s="7">
        <v>6.2952000000000004</v>
      </c>
      <c r="C66" s="9">
        <f t="shared" si="89"/>
        <v>2.2582347663929309E-3</v>
      </c>
      <c r="D66" s="9">
        <f t="shared" si="88"/>
        <v>1.902761548020031E-3</v>
      </c>
      <c r="E66" s="9"/>
      <c r="F66" s="64">
        <v>44502</v>
      </c>
      <c r="G66" s="16">
        <v>0</v>
      </c>
      <c r="H66" s="16">
        <v>2</v>
      </c>
      <c r="I66" s="9"/>
      <c r="J66" s="9"/>
      <c r="K66" s="9"/>
      <c r="L66" s="9"/>
      <c r="M66" s="9"/>
      <c r="N66" s="9"/>
      <c r="AJ66" s="2"/>
      <c r="AM66" s="3"/>
    </row>
    <row r="67" spans="1:64" x14ac:dyDescent="0.25">
      <c r="A67" s="6">
        <v>39902</v>
      </c>
      <c r="B67" s="7">
        <v>5.9428999999999998</v>
      </c>
      <c r="C67" s="9">
        <f t="shared" si="89"/>
        <v>-5.7590208514273815E-2</v>
      </c>
      <c r="D67" s="9">
        <f t="shared" si="88"/>
        <v>-5.7945681732646713E-2</v>
      </c>
      <c r="E67" s="9"/>
      <c r="F67" s="64">
        <f>WORKDAY(F66,2)</f>
        <v>44504</v>
      </c>
      <c r="G67" s="16">
        <v>1</v>
      </c>
      <c r="H67" s="16">
        <v>0</v>
      </c>
      <c r="I67" s="9"/>
      <c r="J67" s="9"/>
      <c r="K67" s="9"/>
      <c r="L67" s="9"/>
      <c r="M67" s="9"/>
      <c r="N67" s="9"/>
      <c r="AJ67" s="2"/>
      <c r="AM67" s="3"/>
    </row>
    <row r="68" spans="1:64" ht="12" thickBot="1" x14ac:dyDescent="0.3">
      <c r="A68" s="6">
        <v>39903</v>
      </c>
      <c r="B68" s="7">
        <v>6.0857000000000001</v>
      </c>
      <c r="C68" s="9">
        <f t="shared" si="89"/>
        <v>2.3744527075053021E-2</v>
      </c>
      <c r="D68" s="9">
        <f t="shared" si="88"/>
        <v>2.3389053856680119E-2</v>
      </c>
      <c r="E68" s="9"/>
      <c r="F68" s="64">
        <v>44532</v>
      </c>
      <c r="G68" s="16">
        <v>0</v>
      </c>
      <c r="H68" s="16">
        <v>2</v>
      </c>
      <c r="I68" s="9"/>
      <c r="J68" s="9"/>
      <c r="K68" s="9"/>
      <c r="L68" s="9"/>
      <c r="M68" s="9"/>
      <c r="N68" s="9"/>
      <c r="AJ68" s="2"/>
      <c r="AM68" s="3"/>
    </row>
    <row r="69" spans="1:64" ht="12" thickBot="1" x14ac:dyDescent="0.3">
      <c r="A69" s="6">
        <v>39904</v>
      </c>
      <c r="B69" s="7">
        <v>6.1714000000000002</v>
      </c>
      <c r="C69" s="9">
        <f t="shared" si="89"/>
        <v>1.3983959754989166E-2</v>
      </c>
      <c r="D69" s="9">
        <f t="shared" si="88"/>
        <v>1.3628486536616266E-2</v>
      </c>
      <c r="E69" s="9"/>
      <c r="F69" s="64">
        <f>WORKDAY(F68,2)</f>
        <v>44536</v>
      </c>
      <c r="G69" s="16">
        <v>1</v>
      </c>
      <c r="H69" s="16">
        <v>0</v>
      </c>
      <c r="I69" s="9"/>
      <c r="J69" s="9"/>
      <c r="K69" s="9"/>
      <c r="L69" s="9"/>
      <c r="M69" s="9"/>
      <c r="N69" s="9"/>
      <c r="P69" s="126" t="s">
        <v>66</v>
      </c>
      <c r="Q69" s="127"/>
      <c r="R69" s="127"/>
      <c r="S69" s="127"/>
      <c r="T69" s="127"/>
      <c r="U69" s="127"/>
      <c r="V69" s="127"/>
      <c r="W69" s="127"/>
      <c r="X69" s="127"/>
      <c r="Y69" s="127"/>
      <c r="Z69" s="127"/>
      <c r="AA69" s="127"/>
      <c r="AB69" s="127"/>
      <c r="AC69" s="127"/>
      <c r="AD69" s="127"/>
      <c r="AE69" s="127"/>
      <c r="AF69" s="127"/>
      <c r="AG69" s="127"/>
      <c r="AH69" s="127"/>
      <c r="AI69" s="127"/>
      <c r="AJ69" s="127"/>
      <c r="AK69" s="127"/>
      <c r="AL69" s="128"/>
    </row>
    <row r="70" spans="1:64" x14ac:dyDescent="0.25">
      <c r="A70" s="6">
        <v>39905</v>
      </c>
      <c r="B70" s="7">
        <v>6.3714000000000004</v>
      </c>
      <c r="C70" s="9">
        <f t="shared" si="89"/>
        <v>3.1893509101312972E-2</v>
      </c>
      <c r="D70" s="9">
        <f t="shared" si="88"/>
        <v>3.1538035882940074E-2</v>
      </c>
      <c r="E70" s="9"/>
      <c r="F70" s="64">
        <v>44563</v>
      </c>
      <c r="G70" s="16">
        <v>0</v>
      </c>
      <c r="H70" s="16">
        <v>2</v>
      </c>
      <c r="I70" s="9"/>
      <c r="J70" s="9"/>
      <c r="K70" s="9"/>
      <c r="L70" s="9"/>
      <c r="M70" s="9"/>
      <c r="N70" s="9"/>
      <c r="O70" s="5"/>
      <c r="P70" s="139" t="s">
        <v>64</v>
      </c>
      <c r="Q70" s="139"/>
      <c r="R70" s="139"/>
      <c r="S70" s="139"/>
      <c r="T70" s="139"/>
      <c r="U70" s="139"/>
      <c r="V70" s="139"/>
      <c r="W70" s="139"/>
      <c r="X70" s="139"/>
      <c r="Z70" s="142" t="s">
        <v>34</v>
      </c>
      <c r="AA70" s="142"/>
      <c r="AB70" s="142"/>
    </row>
    <row r="71" spans="1:64" x14ac:dyDescent="0.25">
      <c r="A71" s="6">
        <v>39906</v>
      </c>
      <c r="B71" s="7">
        <v>6.4475999999999996</v>
      </c>
      <c r="C71" s="9">
        <f t="shared" si="89"/>
        <v>1.1888742884921004E-2</v>
      </c>
      <c r="D71" s="9">
        <f t="shared" si="88"/>
        <v>1.1533269666548104E-2</v>
      </c>
      <c r="E71" s="9"/>
      <c r="F71" s="64">
        <f>WORKDAY(F70,2)</f>
        <v>44565</v>
      </c>
      <c r="G71" s="16">
        <v>1</v>
      </c>
      <c r="H71" s="16">
        <v>0</v>
      </c>
      <c r="I71" s="9"/>
      <c r="J71" s="9"/>
      <c r="K71" s="9"/>
      <c r="L71" s="9"/>
      <c r="M71" s="9"/>
      <c r="N71" s="9"/>
      <c r="O71" s="5"/>
      <c r="P71" s="27">
        <v>-8.1900000000000001E-2</v>
      </c>
      <c r="Q71" s="27">
        <v>-0.2954</v>
      </c>
      <c r="R71" s="27">
        <v>7.9100000000000004E-2</v>
      </c>
      <c r="S71" s="25">
        <v>0.59203980099502485</v>
      </c>
      <c r="T71" s="25">
        <v>0</v>
      </c>
      <c r="U71" s="25">
        <v>0.4079601990049751</v>
      </c>
      <c r="V71" s="25">
        <v>0.59203980099502485</v>
      </c>
      <c r="W71" s="25">
        <v>0.4079601990049751</v>
      </c>
      <c r="X71" s="39">
        <v>201</v>
      </c>
      <c r="Y71" s="46">
        <f t="shared" ref="Y71:Y78" si="90">SUM(Z71:BL71)</f>
        <v>1</v>
      </c>
      <c r="Z71" s="48">
        <v>0.35323383084577115</v>
      </c>
      <c r="AA71" s="48">
        <v>4.975124378109453E-2</v>
      </c>
      <c r="AB71" s="48">
        <v>0</v>
      </c>
      <c r="AC71" s="48">
        <v>0</v>
      </c>
      <c r="AD71" s="48">
        <v>0</v>
      </c>
      <c r="AE71" s="48">
        <v>0</v>
      </c>
      <c r="AF71" s="48">
        <v>0</v>
      </c>
      <c r="AG71" s="48">
        <v>0</v>
      </c>
      <c r="AH71" s="48">
        <v>4.9751243781094526E-3</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0.59203980099502485</v>
      </c>
      <c r="BE71" s="48"/>
      <c r="BF71" s="48"/>
      <c r="BG71" s="48"/>
      <c r="BH71" s="48"/>
      <c r="BI71" s="48"/>
      <c r="BJ71" s="48"/>
      <c r="BK71" s="48"/>
      <c r="BL71" s="48"/>
    </row>
    <row r="72" spans="1:64" x14ac:dyDescent="0.25">
      <c r="A72" s="6">
        <v>39909</v>
      </c>
      <c r="B72" s="7">
        <v>6.2523999999999997</v>
      </c>
      <c r="C72" s="9">
        <f t="shared" si="89"/>
        <v>-3.0742578501459901E-2</v>
      </c>
      <c r="D72" s="9">
        <f t="shared" si="88"/>
        <v>-3.1098051719832803E-2</v>
      </c>
      <c r="E72" s="9"/>
      <c r="F72" s="64">
        <v>44594</v>
      </c>
      <c r="G72" s="16">
        <v>0</v>
      </c>
      <c r="H72" s="16">
        <v>2</v>
      </c>
      <c r="I72" s="9"/>
      <c r="J72" s="9"/>
      <c r="K72" s="9"/>
      <c r="L72" s="9"/>
      <c r="M72" s="9"/>
      <c r="N72" s="9"/>
      <c r="P72" s="27">
        <v>3.4299999999999997E-2</v>
      </c>
      <c r="Q72" s="27">
        <v>-0.17910000000000001</v>
      </c>
      <c r="R72" s="27">
        <v>7.9100000000000004E-2</v>
      </c>
      <c r="S72" s="25">
        <v>0.21484375</v>
      </c>
      <c r="T72" s="25">
        <v>0</v>
      </c>
      <c r="U72" s="25">
        <v>0.78515625</v>
      </c>
      <c r="V72" s="25">
        <v>0.20703125</v>
      </c>
      <c r="W72" s="25">
        <v>0.79296875</v>
      </c>
      <c r="X72" s="39">
        <v>256</v>
      </c>
      <c r="Y72" s="46">
        <f t="shared" si="90"/>
        <v>1</v>
      </c>
      <c r="Z72" s="48">
        <v>0.65610237696518292</v>
      </c>
      <c r="AA72" s="48">
        <v>1.1716113874378266E-2</v>
      </c>
      <c r="AB72" s="48">
        <v>0</v>
      </c>
      <c r="AC72" s="48">
        <v>3.9053712914594221E-3</v>
      </c>
      <c r="AD72" s="48">
        <v>7.8107425829188441E-3</v>
      </c>
      <c r="AE72" s="48">
        <v>1.5621485165837688E-2</v>
      </c>
      <c r="AF72" s="48">
        <v>5.4675198080431905E-2</v>
      </c>
      <c r="AG72" s="48">
        <v>0</v>
      </c>
      <c r="AH72" s="48">
        <v>3.9053712914594221E-3</v>
      </c>
      <c r="AI72" s="48">
        <v>3.9053712914594221E-3</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0.24235796945687219</v>
      </c>
      <c r="BE72" s="48"/>
      <c r="BF72" s="48"/>
      <c r="BG72" s="48"/>
      <c r="BH72" s="48"/>
      <c r="BI72" s="48"/>
      <c r="BJ72" s="48"/>
      <c r="BK72" s="48"/>
      <c r="BL72" s="48"/>
    </row>
    <row r="73" spans="1:64" x14ac:dyDescent="0.25">
      <c r="A73" s="6">
        <v>39910</v>
      </c>
      <c r="B73" s="7">
        <v>6.2</v>
      </c>
      <c r="C73" s="9">
        <f t="shared" si="89"/>
        <v>-8.4160979881331439E-3</v>
      </c>
      <c r="D73" s="9">
        <f t="shared" si="88"/>
        <v>-8.7715712065060437E-3</v>
      </c>
      <c r="E73" s="9"/>
      <c r="F73" s="64">
        <f>WORKDAY(F72,2)</f>
        <v>44596</v>
      </c>
      <c r="G73" s="16">
        <v>1</v>
      </c>
      <c r="H73" s="16">
        <v>0</v>
      </c>
      <c r="I73" s="9"/>
      <c r="J73" s="9"/>
      <c r="K73" s="9"/>
      <c r="L73" s="9"/>
      <c r="M73" s="9"/>
      <c r="N73" s="9"/>
      <c r="P73" s="27">
        <v>4.4400000000000002E-2</v>
      </c>
      <c r="Q73" s="27">
        <v>2.5000000000000001E-2</v>
      </c>
      <c r="R73" s="27">
        <v>7.2499999999999995E-2</v>
      </c>
      <c r="S73" s="25">
        <v>0.53125</v>
      </c>
      <c r="T73" s="25">
        <v>0</v>
      </c>
      <c r="U73" s="25">
        <v>0.46875</v>
      </c>
      <c r="V73" s="25">
        <v>0</v>
      </c>
      <c r="W73" s="25">
        <v>1</v>
      </c>
      <c r="X73" s="39">
        <v>256</v>
      </c>
      <c r="Y73" s="46">
        <f t="shared" si="90"/>
        <v>0.99999999999999989</v>
      </c>
      <c r="Z73" s="48">
        <v>0</v>
      </c>
      <c r="AA73" s="48">
        <v>0</v>
      </c>
      <c r="AB73" s="48">
        <v>0</v>
      </c>
      <c r="AC73" s="48">
        <v>3.9001073309537482E-3</v>
      </c>
      <c r="AD73" s="48">
        <v>2.3400643985722488E-2</v>
      </c>
      <c r="AE73" s="48">
        <v>1.5600429323814993E-2</v>
      </c>
      <c r="AF73" s="48">
        <v>3.9001073309537482E-3</v>
      </c>
      <c r="AG73" s="48">
        <v>5.4601502633352478E-2</v>
      </c>
      <c r="AH73" s="48">
        <v>1.9500536654768742E-2</v>
      </c>
      <c r="AI73" s="48">
        <v>0</v>
      </c>
      <c r="AJ73" s="48">
        <v>3.9001073309537482E-3</v>
      </c>
      <c r="AK73" s="48">
        <v>3.9001073309537482E-3</v>
      </c>
      <c r="AL73" s="48">
        <v>0</v>
      </c>
      <c r="AM73" s="48">
        <v>0</v>
      </c>
      <c r="AN73" s="48">
        <v>0</v>
      </c>
      <c r="AO73" s="48">
        <v>0</v>
      </c>
      <c r="AP73" s="48">
        <v>0</v>
      </c>
      <c r="AQ73" s="48">
        <v>5.0701395302398727E-2</v>
      </c>
      <c r="AR73" s="48">
        <v>7.4102039288121216E-2</v>
      </c>
      <c r="AS73" s="48">
        <v>6.2401717295259972E-2</v>
      </c>
      <c r="AT73" s="48">
        <v>9.3602575942889954E-2</v>
      </c>
      <c r="AU73" s="48">
        <v>4.6801287971444977E-2</v>
      </c>
      <c r="AV73" s="48">
        <v>1.5600429323814993E-2</v>
      </c>
      <c r="AW73" s="48">
        <v>3.9001073309537482E-3</v>
      </c>
      <c r="AX73" s="48">
        <v>1.9500536654768742E-2</v>
      </c>
      <c r="AY73" s="48">
        <v>1.5600429323814993E-2</v>
      </c>
      <c r="AZ73" s="48">
        <v>5.0701395302398727E-2</v>
      </c>
      <c r="BA73" s="48">
        <v>2.7300751316676239E-2</v>
      </c>
      <c r="BB73" s="48">
        <v>6.6301824626213715E-2</v>
      </c>
      <c r="BC73" s="48">
        <v>9.7502683273843704E-2</v>
      </c>
      <c r="BD73" s="48">
        <v>0.24727928512592656</v>
      </c>
      <c r="BE73" s="48"/>
      <c r="BF73" s="48"/>
      <c r="BG73" s="48"/>
      <c r="BH73" s="48"/>
      <c r="BI73" s="48"/>
      <c r="BJ73" s="48"/>
      <c r="BK73" s="48"/>
      <c r="BL73" s="48"/>
    </row>
    <row r="74" spans="1:64" x14ac:dyDescent="0.25">
      <c r="A74" s="6">
        <v>39911</v>
      </c>
      <c r="B74" s="7">
        <v>6.2667000000000002</v>
      </c>
      <c r="C74" s="9">
        <f t="shared" si="89"/>
        <v>1.0700608251537404E-2</v>
      </c>
      <c r="D74" s="9">
        <f t="shared" si="88"/>
        <v>1.0345135033164504E-2</v>
      </c>
      <c r="E74" s="9"/>
      <c r="F74" s="64">
        <v>44622</v>
      </c>
      <c r="G74" s="16">
        <v>0</v>
      </c>
      <c r="H74" s="16">
        <v>2</v>
      </c>
      <c r="I74" s="9"/>
      <c r="J74" s="9"/>
      <c r="K74" s="9"/>
      <c r="L74" s="9"/>
      <c r="M74" s="9"/>
      <c r="N74" s="9"/>
      <c r="P74" s="27">
        <v>7.2099999999999997E-2</v>
      </c>
      <c r="Q74" s="27">
        <v>4.2900000000000001E-2</v>
      </c>
      <c r="R74" s="27">
        <v>7.9100000000000004E-2</v>
      </c>
      <c r="S74" s="25">
        <v>0.2648221343873518</v>
      </c>
      <c r="T74" s="25">
        <v>0</v>
      </c>
      <c r="U74" s="25">
        <v>0.7351778656126482</v>
      </c>
      <c r="V74" s="25">
        <v>0</v>
      </c>
      <c r="W74" s="25">
        <v>1</v>
      </c>
      <c r="X74" s="39">
        <v>253</v>
      </c>
      <c r="Y74" s="46">
        <f t="shared" si="90"/>
        <v>1</v>
      </c>
      <c r="Z74" s="48">
        <v>0.66007905138339917</v>
      </c>
      <c r="AA74" s="48">
        <v>6.7193675889328064E-2</v>
      </c>
      <c r="AB74" s="48">
        <v>4.3478260869565216E-2</v>
      </c>
      <c r="AC74" s="48">
        <v>3.9525691699604744E-2</v>
      </c>
      <c r="AD74" s="48">
        <v>7.1146245059288543E-2</v>
      </c>
      <c r="AE74" s="48">
        <v>9.0909090909090912E-2</v>
      </c>
      <c r="AF74" s="48">
        <v>2.766798418972332E-2</v>
      </c>
      <c r="AG74" s="48">
        <v>0</v>
      </c>
      <c r="AH74" s="48">
        <v>0</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c r="BF74" s="48"/>
      <c r="BG74" s="48"/>
      <c r="BH74" s="48"/>
      <c r="BI74" s="48"/>
      <c r="BJ74" s="48"/>
      <c r="BK74" s="48"/>
      <c r="BL74" s="48"/>
    </row>
    <row r="75" spans="1:64" x14ac:dyDescent="0.25">
      <c r="A75" s="6">
        <v>39912</v>
      </c>
      <c r="B75" s="7">
        <v>6.5286</v>
      </c>
      <c r="C75" s="9">
        <f t="shared" si="89"/>
        <v>4.0942624900300845E-2</v>
      </c>
      <c r="D75" s="9">
        <f t="shared" si="88"/>
        <v>4.0587151681927947E-2</v>
      </c>
      <c r="E75" s="9"/>
      <c r="F75" s="64">
        <f>WORKDAY(F74,2)</f>
        <v>44624</v>
      </c>
      <c r="G75" s="16">
        <v>1</v>
      </c>
      <c r="H75" s="16">
        <v>0</v>
      </c>
      <c r="I75" s="9"/>
      <c r="J75" s="9"/>
      <c r="K75" s="9"/>
      <c r="L75" s="9"/>
      <c r="M75" s="9"/>
      <c r="N75" s="9"/>
      <c r="P75" s="27">
        <v>7.7899999999999997E-2</v>
      </c>
      <c r="Q75" s="27">
        <v>6.7599999999999993E-2</v>
      </c>
      <c r="R75" s="27">
        <v>7.9100000000000004E-2</v>
      </c>
      <c r="S75" s="25">
        <v>6.3492063492063489E-2</v>
      </c>
      <c r="T75" s="25">
        <v>0</v>
      </c>
      <c r="U75" s="25">
        <v>0.93650793650793651</v>
      </c>
      <c r="V75" s="25">
        <v>0</v>
      </c>
      <c r="W75" s="25">
        <v>1</v>
      </c>
      <c r="X75" s="39">
        <v>252</v>
      </c>
      <c r="Y75" s="46">
        <f t="shared" si="90"/>
        <v>1</v>
      </c>
      <c r="Z75" s="48">
        <v>0.86507936507936511</v>
      </c>
      <c r="AA75" s="48">
        <v>2.3809523809523808E-2</v>
      </c>
      <c r="AB75" s="48">
        <v>6.3492063492063489E-2</v>
      </c>
      <c r="AC75" s="48">
        <v>4.7619047619047616E-2</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c r="BF75" s="48"/>
      <c r="BG75" s="48"/>
      <c r="BH75" s="48"/>
      <c r="BI75" s="48"/>
      <c r="BJ75" s="48"/>
      <c r="BK75" s="48"/>
      <c r="BL75" s="48"/>
    </row>
    <row r="76" spans="1:64" x14ac:dyDescent="0.25">
      <c r="A76" s="6">
        <v>39917</v>
      </c>
      <c r="B76" s="7">
        <v>6.7095000000000002</v>
      </c>
      <c r="C76" s="9">
        <f t="shared" si="89"/>
        <v>2.7331907355991211E-2</v>
      </c>
      <c r="D76" s="9">
        <f t="shared" si="88"/>
        <v>2.697643413761831E-2</v>
      </c>
      <c r="E76" s="9"/>
      <c r="F76" s="64">
        <v>44653</v>
      </c>
      <c r="G76" s="16">
        <v>0</v>
      </c>
      <c r="H76" s="16">
        <v>2</v>
      </c>
      <c r="I76" s="9"/>
      <c r="J76" s="9"/>
      <c r="K76" s="9"/>
      <c r="L76" s="9"/>
      <c r="M76" s="9"/>
      <c r="N76" s="9"/>
      <c r="P76" s="27">
        <v>7.8200000000000006E-2</v>
      </c>
      <c r="Q76" s="27">
        <v>7.7700000000000005E-2</v>
      </c>
      <c r="R76" s="27">
        <v>7.9100000000000004E-2</v>
      </c>
      <c r="S76" s="25">
        <v>0.63492063492063489</v>
      </c>
      <c r="T76" s="25">
        <v>0</v>
      </c>
      <c r="U76" s="25">
        <v>0.36507936507936506</v>
      </c>
      <c r="V76" s="25">
        <v>0</v>
      </c>
      <c r="W76" s="25">
        <v>1</v>
      </c>
      <c r="X76" s="39">
        <v>252</v>
      </c>
      <c r="Y76" s="46">
        <f t="shared" si="90"/>
        <v>0.99999999999999989</v>
      </c>
      <c r="Z76" s="48">
        <v>0.55952380952380953</v>
      </c>
      <c r="AA76" s="48">
        <v>8.7301587301587297E-2</v>
      </c>
      <c r="AB76" s="48">
        <v>7.5396825396825393E-2</v>
      </c>
      <c r="AC76" s="48">
        <v>4.7619047619047616E-2</v>
      </c>
      <c r="AD76" s="48">
        <v>6.7460317460317457E-2</v>
      </c>
      <c r="AE76" s="48">
        <v>0.11904761904761904</v>
      </c>
      <c r="AF76" s="48">
        <v>3.968253968253968E-2</v>
      </c>
      <c r="AG76" s="48">
        <v>3.968253968253968E-3</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c r="BF76" s="48"/>
      <c r="BG76" s="48"/>
      <c r="BH76" s="48"/>
      <c r="BI76" s="48"/>
      <c r="BJ76" s="48"/>
      <c r="BK76" s="48"/>
      <c r="BL76" s="48"/>
    </row>
    <row r="77" spans="1:64" x14ac:dyDescent="0.25">
      <c r="A77" s="6">
        <v>39918</v>
      </c>
      <c r="B77" s="7">
        <v>6.6619000000000002</v>
      </c>
      <c r="C77" s="9">
        <f t="shared" si="89"/>
        <v>-7.1197034074014318E-3</v>
      </c>
      <c r="D77" s="9">
        <f t="shared" si="88"/>
        <v>-7.4751766257743317E-3</v>
      </c>
      <c r="E77" s="9"/>
      <c r="F77" s="64">
        <f>WORKDAY(F76,2)</f>
        <v>44656</v>
      </c>
      <c r="G77" s="16">
        <v>1</v>
      </c>
      <c r="H77" s="16">
        <v>0</v>
      </c>
      <c r="I77" s="9"/>
      <c r="J77" s="9"/>
      <c r="K77" s="9"/>
      <c r="L77" s="9"/>
      <c r="M77" s="9"/>
      <c r="N77" s="9"/>
      <c r="P77" s="27">
        <v>6.8400000000000002E-2</v>
      </c>
      <c r="Q77" s="27">
        <v>4.9000000000000002E-2</v>
      </c>
      <c r="R77" s="27">
        <v>7.9100000000000004E-2</v>
      </c>
      <c r="S77" s="25">
        <v>0.50787401574803148</v>
      </c>
      <c r="T77" s="25">
        <v>0</v>
      </c>
      <c r="U77" s="25">
        <v>0.49212598425196852</v>
      </c>
      <c r="V77" s="25">
        <v>0</v>
      </c>
      <c r="W77" s="25">
        <v>1</v>
      </c>
      <c r="X77" s="39">
        <v>254</v>
      </c>
      <c r="Y77" s="46">
        <f t="shared" si="90"/>
        <v>0.99999999999999989</v>
      </c>
      <c r="Z77" s="49">
        <v>0.34251105483956307</v>
      </c>
      <c r="AA77" s="49">
        <v>3.9369086763168172E-2</v>
      </c>
      <c r="AB77" s="49">
        <v>0</v>
      </c>
      <c r="AC77" s="49">
        <v>0</v>
      </c>
      <c r="AD77" s="49">
        <v>0</v>
      </c>
      <c r="AE77" s="49">
        <v>0</v>
      </c>
      <c r="AF77" s="49">
        <v>0</v>
      </c>
      <c r="AG77" s="49">
        <v>0</v>
      </c>
      <c r="AH77" s="49">
        <v>0</v>
      </c>
      <c r="AI77" s="49">
        <v>3.936908676316817E-3</v>
      </c>
      <c r="AJ77" s="49">
        <v>1.181072602895045E-2</v>
      </c>
      <c r="AK77" s="49">
        <v>5.5116721468435437E-2</v>
      </c>
      <c r="AL77" s="49">
        <v>7.8738173526336341E-3</v>
      </c>
      <c r="AM77" s="49">
        <v>6.6927447497385884E-2</v>
      </c>
      <c r="AN77" s="49">
        <v>7.4801264850019519E-2</v>
      </c>
      <c r="AO77" s="49">
        <v>7.8738173526336341E-3</v>
      </c>
      <c r="AP77" s="49">
        <v>4.7242904115801801E-2</v>
      </c>
      <c r="AQ77" s="49">
        <v>3.9369086763168172E-2</v>
      </c>
      <c r="AR77" s="49">
        <v>6.6927447497385884E-2</v>
      </c>
      <c r="AS77" s="49">
        <v>3.9369086763168172E-2</v>
      </c>
      <c r="AT77" s="49">
        <v>1.181072602895045E-2</v>
      </c>
      <c r="AU77" s="49">
        <v>3.9369086763168172E-2</v>
      </c>
      <c r="AV77" s="49">
        <v>3.1495269410534536E-2</v>
      </c>
      <c r="AW77" s="49">
        <v>6.2990538821069073E-2</v>
      </c>
      <c r="AX77" s="49">
        <v>2.36214520579009E-2</v>
      </c>
      <c r="AY77" s="49">
        <v>1.5747634705267268E-2</v>
      </c>
      <c r="AZ77" s="49">
        <v>3.936908676316817E-3</v>
      </c>
      <c r="BA77" s="49">
        <v>3.936908676316817E-3</v>
      </c>
      <c r="BB77" s="49">
        <v>0</v>
      </c>
      <c r="BC77" s="49">
        <v>0</v>
      </c>
      <c r="BD77" s="49">
        <v>3.9621048918452445E-3</v>
      </c>
      <c r="BE77" s="49"/>
      <c r="BF77" s="49"/>
      <c r="BG77" s="49"/>
      <c r="BH77" s="49"/>
      <c r="BI77" s="49"/>
      <c r="BJ77" s="49"/>
      <c r="BK77" s="49"/>
      <c r="BL77" s="49"/>
    </row>
    <row r="78" spans="1:64" ht="12" thickBot="1" x14ac:dyDescent="0.3">
      <c r="A78" s="6">
        <v>39919</v>
      </c>
      <c r="B78" s="7">
        <v>7.0286</v>
      </c>
      <c r="C78" s="9">
        <f t="shared" si="89"/>
        <v>5.3582810323863195E-2</v>
      </c>
      <c r="D78" s="9">
        <f t="shared" si="88"/>
        <v>5.3227337105490297E-2</v>
      </c>
      <c r="E78" s="9"/>
      <c r="F78" s="64">
        <v>44679</v>
      </c>
      <c r="G78" s="16">
        <v>0</v>
      </c>
      <c r="H78" s="16">
        <v>2</v>
      </c>
      <c r="I78" s="9"/>
      <c r="J78" s="9"/>
      <c r="K78" s="9"/>
      <c r="L78" s="9"/>
      <c r="M78" s="9"/>
      <c r="N78" s="9"/>
      <c r="P78" s="27">
        <v>7.6799999999999993E-2</v>
      </c>
      <c r="Q78" s="27">
        <v>6.7500000000000004E-2</v>
      </c>
      <c r="R78" s="27">
        <v>7.9100000000000004E-2</v>
      </c>
      <c r="S78" s="25">
        <v>0.20370370370370369</v>
      </c>
      <c r="T78" s="25">
        <v>0</v>
      </c>
      <c r="U78" s="25">
        <v>0.79629629629629628</v>
      </c>
      <c r="V78" s="25">
        <v>0</v>
      </c>
      <c r="W78" s="25">
        <v>1</v>
      </c>
      <c r="X78" s="39">
        <v>54</v>
      </c>
      <c r="Y78" s="46">
        <f t="shared" si="90"/>
        <v>0.99999999999999989</v>
      </c>
      <c r="Z78" s="49">
        <v>0.42592592592592593</v>
      </c>
      <c r="AA78" s="49">
        <v>7.407407407407407E-2</v>
      </c>
      <c r="AB78" s="49">
        <v>0</v>
      </c>
      <c r="AC78" s="49">
        <v>9.2592592592592587E-2</v>
      </c>
      <c r="AD78" s="49">
        <v>0</v>
      </c>
      <c r="AE78" s="49">
        <v>0.24074074074074073</v>
      </c>
      <c r="AF78" s="49">
        <v>1.8518518518518517E-2</v>
      </c>
      <c r="AG78" s="49">
        <v>1.8518518518518517E-2</v>
      </c>
      <c r="AH78" s="49">
        <v>7.407407407407407E-2</v>
      </c>
      <c r="AI78" s="49">
        <v>0</v>
      </c>
      <c r="AJ78" s="49">
        <v>5.5555555555555552E-2</v>
      </c>
      <c r="AK78" s="49">
        <v>0</v>
      </c>
      <c r="AL78" s="49">
        <v>0</v>
      </c>
      <c r="AM78" s="49">
        <v>0</v>
      </c>
      <c r="AN78" s="49">
        <v>0</v>
      </c>
      <c r="AO78" s="49">
        <v>0</v>
      </c>
      <c r="AP78" s="49">
        <v>0</v>
      </c>
      <c r="AQ78" s="49">
        <v>0</v>
      </c>
      <c r="AR78" s="49">
        <v>0</v>
      </c>
      <c r="AS78" s="49">
        <v>0</v>
      </c>
      <c r="AT78" s="49">
        <v>0</v>
      </c>
      <c r="AU78" s="49">
        <v>0</v>
      </c>
      <c r="AV78" s="49">
        <v>0</v>
      </c>
      <c r="AW78" s="49">
        <v>0</v>
      </c>
      <c r="AX78" s="49">
        <v>0</v>
      </c>
      <c r="AY78" s="49">
        <v>0</v>
      </c>
      <c r="AZ78" s="49">
        <v>0</v>
      </c>
      <c r="BA78" s="49">
        <v>0</v>
      </c>
      <c r="BB78" s="49">
        <v>0</v>
      </c>
      <c r="BC78" s="49">
        <v>0</v>
      </c>
      <c r="BD78" s="49">
        <v>0</v>
      </c>
      <c r="BE78" s="49"/>
      <c r="BF78" s="49"/>
      <c r="BG78" s="49"/>
      <c r="BH78" s="49"/>
      <c r="BI78" s="49"/>
      <c r="BJ78" s="49"/>
      <c r="BK78" s="49"/>
      <c r="BL78" s="49"/>
    </row>
    <row r="79" spans="1:64" ht="12" thickBot="1" x14ac:dyDescent="0.3">
      <c r="A79" s="6">
        <v>39920</v>
      </c>
      <c r="B79" s="7">
        <v>7.5286</v>
      </c>
      <c r="C79" s="9">
        <f t="shared" si="89"/>
        <v>6.8721562075878387E-2</v>
      </c>
      <c r="D79" s="9">
        <f t="shared" si="88"/>
        <v>6.8366088857505489E-2</v>
      </c>
      <c r="E79" s="9"/>
      <c r="F79" s="65">
        <v>44683</v>
      </c>
      <c r="G79" s="16">
        <v>1</v>
      </c>
      <c r="H79" s="16">
        <v>0</v>
      </c>
      <c r="I79" s="9"/>
      <c r="J79" s="9"/>
      <c r="K79" s="9"/>
      <c r="L79" s="9"/>
      <c r="M79" s="9"/>
      <c r="N79" s="9"/>
      <c r="O79" s="5"/>
      <c r="P79" s="142" t="s">
        <v>65</v>
      </c>
      <c r="Q79" s="142"/>
      <c r="R79" s="142"/>
      <c r="S79" s="142"/>
      <c r="T79" s="142"/>
      <c r="U79" s="142"/>
      <c r="Z79" s="113" t="s">
        <v>97</v>
      </c>
      <c r="AA79" s="109"/>
      <c r="AB79" s="109"/>
      <c r="AC79" s="109"/>
      <c r="AD79" s="109"/>
      <c r="AE79" s="109"/>
      <c r="AF79" s="113" t="s">
        <v>98</v>
      </c>
      <c r="AG79" s="109"/>
      <c r="AH79" s="109"/>
      <c r="AI79" s="109"/>
      <c r="AJ79" s="109"/>
      <c r="AK79" s="109"/>
      <c r="AL79" s="113" t="s">
        <v>99</v>
      </c>
      <c r="AM79" s="109"/>
      <c r="AN79" s="109"/>
      <c r="AO79" s="109"/>
      <c r="AP79" s="109"/>
      <c r="AQ79" s="109"/>
      <c r="AR79" s="113" t="s">
        <v>100</v>
      </c>
      <c r="AS79" s="109"/>
      <c r="AT79" s="109"/>
      <c r="AU79" s="109"/>
      <c r="AV79" s="109"/>
      <c r="AW79" s="109"/>
      <c r="AX79" s="113" t="s">
        <v>101</v>
      </c>
      <c r="AY79" s="109"/>
      <c r="AZ79" s="109"/>
      <c r="BA79" s="109"/>
      <c r="BB79" s="109"/>
      <c r="BC79" s="109"/>
      <c r="BD79" s="113" t="s">
        <v>103</v>
      </c>
    </row>
    <row r="80" spans="1:64" x14ac:dyDescent="0.25">
      <c r="A80" s="6">
        <v>39923</v>
      </c>
      <c r="B80" s="7">
        <v>7.1570999999999998</v>
      </c>
      <c r="C80" s="9">
        <f t="shared" si="89"/>
        <v>-5.0604230557590391E-2</v>
      </c>
      <c r="D80" s="9">
        <f t="shared" si="88"/>
        <v>-5.0959703775963289E-2</v>
      </c>
      <c r="E80" s="9"/>
      <c r="F80" s="32"/>
      <c r="G80" s="9"/>
      <c r="H80" s="9"/>
      <c r="I80" s="9"/>
      <c r="J80" s="9"/>
      <c r="K80" s="9"/>
      <c r="L80" s="9"/>
      <c r="M80" s="9"/>
      <c r="N80" s="9"/>
      <c r="O80" s="5"/>
      <c r="P80" s="27">
        <v>7.9399999999999998E-2</v>
      </c>
      <c r="Q80" s="25">
        <v>1</v>
      </c>
      <c r="R80" s="25">
        <v>0</v>
      </c>
      <c r="S80" s="25">
        <v>0</v>
      </c>
      <c r="T80" s="25">
        <v>9.6737907761529809E-2</v>
      </c>
      <c r="U80" s="25">
        <v>0.9032620922384702</v>
      </c>
      <c r="Y80" s="46">
        <f>SUM(Z80:BL80)</f>
        <v>0.99999999999999989</v>
      </c>
      <c r="Z80" s="47">
        <v>0.49199670367831327</v>
      </c>
      <c r="AA80" s="47">
        <v>4.0484300188386925E-2</v>
      </c>
      <c r="AB80" s="47">
        <v>2.5864969564802755E-2</v>
      </c>
      <c r="AC80" s="47">
        <v>2.3053559829498107E-2</v>
      </c>
      <c r="AD80" s="47">
        <v>2.4178123723619969E-2</v>
      </c>
      <c r="AE80" s="47">
        <v>4.160886408250878E-2</v>
      </c>
      <c r="AF80" s="47">
        <v>1.8555304253010673E-2</v>
      </c>
      <c r="AG80" s="47">
        <v>8.9965111529748711E-3</v>
      </c>
      <c r="AH80" s="47">
        <v>6.1851014176702241E-3</v>
      </c>
      <c r="AI80" s="47">
        <v>1.1245638941218589E-3</v>
      </c>
      <c r="AJ80" s="47">
        <v>3.9359736294265063E-3</v>
      </c>
      <c r="AK80" s="47">
        <v>8.4342292059139418E-3</v>
      </c>
      <c r="AL80" s="47">
        <v>1.1245638941218589E-3</v>
      </c>
      <c r="AM80" s="47">
        <v>9.5587931000358003E-3</v>
      </c>
      <c r="AN80" s="47">
        <v>1.068335699415766E-2</v>
      </c>
      <c r="AO80" s="47">
        <v>1.1245638941218589E-3</v>
      </c>
      <c r="AP80" s="47">
        <v>6.7473833647311533E-3</v>
      </c>
      <c r="AQ80" s="47">
        <v>1.2932484782401377E-2</v>
      </c>
      <c r="AR80" s="47">
        <v>2.0242150094193462E-2</v>
      </c>
      <c r="AS80" s="47">
        <v>1.4619330623584167E-2</v>
      </c>
      <c r="AT80" s="47">
        <v>1.5181612570645096E-2</v>
      </c>
      <c r="AU80" s="47">
        <v>1.2370202835340448E-2</v>
      </c>
      <c r="AV80" s="47">
        <v>6.7473833647311533E-3</v>
      </c>
      <c r="AW80" s="47">
        <v>9.5587931000358003E-3</v>
      </c>
      <c r="AX80" s="47">
        <v>6.1851014176702241E-3</v>
      </c>
      <c r="AY80" s="47">
        <v>4.4982555764874355E-3</v>
      </c>
      <c r="AZ80" s="47">
        <v>7.8719472588530126E-3</v>
      </c>
      <c r="BA80" s="47">
        <v>4.4982555764874355E-3</v>
      </c>
      <c r="BB80" s="47">
        <v>9.5587931000358003E-3</v>
      </c>
      <c r="BC80" s="47">
        <v>1.4057048676523238E-2</v>
      </c>
      <c r="BD80" s="47">
        <v>0.13802177515559513</v>
      </c>
      <c r="BE80" s="47"/>
      <c r="BF80" s="47"/>
      <c r="BG80" s="47"/>
      <c r="BH80" s="47"/>
      <c r="BI80" s="47"/>
      <c r="BJ80" s="47"/>
      <c r="BK80" s="47"/>
      <c r="BL80" s="47"/>
    </row>
    <row r="81" spans="1:64" x14ac:dyDescent="0.25">
      <c r="A81" s="6">
        <v>39924</v>
      </c>
      <c r="B81" s="7">
        <v>6.9475999999999996</v>
      </c>
      <c r="C81" s="9">
        <f t="shared" si="89"/>
        <v>-2.9708594795904986E-2</v>
      </c>
      <c r="D81" s="9">
        <f t="shared" si="88"/>
        <v>-3.0064068014277887E-2</v>
      </c>
      <c r="E81" s="9"/>
      <c r="F81" s="32"/>
      <c r="G81" s="9"/>
      <c r="H81" s="9"/>
      <c r="I81" s="9"/>
      <c r="J81" s="9"/>
      <c r="K81" s="9"/>
      <c r="L81" s="9"/>
      <c r="M81" s="9"/>
      <c r="N81" s="9"/>
      <c r="O81" s="29"/>
      <c r="P81" s="27">
        <v>7.9399999999999998E-2</v>
      </c>
      <c r="Q81" s="25">
        <v>1</v>
      </c>
      <c r="R81" s="25">
        <v>0</v>
      </c>
      <c r="S81" s="25">
        <v>0</v>
      </c>
      <c r="T81" s="25">
        <v>9.6737907761529809E-2</v>
      </c>
      <c r="U81" s="25">
        <v>0.9032620922384702</v>
      </c>
      <c r="Y81" s="46">
        <f>SUM(Z81:BL81)</f>
        <v>0.99999999999999989</v>
      </c>
      <c r="Z81" s="47">
        <v>0.49199670367831327</v>
      </c>
      <c r="AA81" s="47">
        <v>4.0484300188386925E-2</v>
      </c>
      <c r="AB81" s="47">
        <v>2.5864969564802755E-2</v>
      </c>
      <c r="AC81" s="47">
        <v>2.3053559829498107E-2</v>
      </c>
      <c r="AD81" s="47">
        <v>2.4178123723619969E-2</v>
      </c>
      <c r="AE81" s="47">
        <v>4.160886408250878E-2</v>
      </c>
      <c r="AF81" s="47">
        <v>1.8555304253010673E-2</v>
      </c>
      <c r="AG81" s="47">
        <v>8.9965111529748711E-3</v>
      </c>
      <c r="AH81" s="47">
        <v>6.1851014176702241E-3</v>
      </c>
      <c r="AI81" s="47">
        <v>1.1245638941218589E-3</v>
      </c>
      <c r="AJ81" s="47">
        <v>3.9359736294265063E-3</v>
      </c>
      <c r="AK81" s="47">
        <v>8.4342292059139418E-3</v>
      </c>
      <c r="AL81" s="47">
        <v>1.1245638941218589E-3</v>
      </c>
      <c r="AM81" s="47">
        <v>9.5587931000358003E-3</v>
      </c>
      <c r="AN81" s="47">
        <v>1.068335699415766E-2</v>
      </c>
      <c r="AO81" s="47">
        <v>1.1245638941218589E-3</v>
      </c>
      <c r="AP81" s="47">
        <v>6.7473833647311533E-3</v>
      </c>
      <c r="AQ81" s="47">
        <v>1.2932484782401377E-2</v>
      </c>
      <c r="AR81" s="47">
        <v>2.0242150094193462E-2</v>
      </c>
      <c r="AS81" s="47">
        <v>1.4619330623584167E-2</v>
      </c>
      <c r="AT81" s="47">
        <v>1.5181612570645096E-2</v>
      </c>
      <c r="AU81" s="47">
        <v>1.2370202835340448E-2</v>
      </c>
      <c r="AV81" s="47">
        <v>6.7473833647311533E-3</v>
      </c>
      <c r="AW81" s="47">
        <v>9.5587931000358003E-3</v>
      </c>
      <c r="AX81" s="47">
        <v>6.1851014176702241E-3</v>
      </c>
      <c r="AY81" s="47">
        <v>4.4982555764874355E-3</v>
      </c>
      <c r="AZ81" s="47">
        <v>7.8719472588530126E-3</v>
      </c>
      <c r="BA81" s="47">
        <v>4.4982555764874355E-3</v>
      </c>
      <c r="BB81" s="47">
        <v>9.5587931000358003E-3</v>
      </c>
      <c r="BC81" s="47">
        <v>1.4057048676523238E-2</v>
      </c>
      <c r="BD81" s="47">
        <v>0.13802177515559513</v>
      </c>
      <c r="BE81" s="47"/>
      <c r="BF81" s="47"/>
      <c r="BG81" s="47"/>
      <c r="BH81" s="47"/>
      <c r="BI81" s="47"/>
      <c r="BJ81" s="47"/>
      <c r="BK81" s="47"/>
      <c r="BL81" s="47"/>
    </row>
    <row r="82" spans="1:64" x14ac:dyDescent="0.25">
      <c r="A82" s="6">
        <v>39925</v>
      </c>
      <c r="B82" s="7">
        <v>7.2381000000000002</v>
      </c>
      <c r="C82" s="9">
        <f t="shared" si="89"/>
        <v>4.0962464819653495E-2</v>
      </c>
      <c r="D82" s="9">
        <f t="shared" si="88"/>
        <v>4.0606991601280597E-2</v>
      </c>
      <c r="E82" s="9"/>
      <c r="F82" s="32"/>
      <c r="G82" s="9"/>
      <c r="H82" s="9"/>
      <c r="I82" s="9"/>
      <c r="J82" s="9"/>
      <c r="K82" s="9"/>
      <c r="L82" s="9"/>
      <c r="M82" s="9"/>
      <c r="N82" s="9"/>
      <c r="P82" s="27">
        <v>-6.1699999999999998E-2</v>
      </c>
      <c r="Q82" s="25">
        <v>9.6737907761529809E-2</v>
      </c>
      <c r="R82" s="25">
        <v>0</v>
      </c>
      <c r="S82" s="25">
        <v>0.9032620922384702</v>
      </c>
      <c r="T82" s="25">
        <v>9.6737907761529809E-2</v>
      </c>
      <c r="U82" s="25">
        <v>0.9032620922384702</v>
      </c>
      <c r="Y82" s="46">
        <f>SUM(Z82:BL82)</f>
        <v>0.99999999999999989</v>
      </c>
      <c r="Z82" s="47">
        <v>0.49199670367831327</v>
      </c>
      <c r="AA82" s="47">
        <v>4.0484300188386925E-2</v>
      </c>
      <c r="AB82" s="47">
        <v>2.5864969564802755E-2</v>
      </c>
      <c r="AC82" s="47">
        <v>2.3053559829498107E-2</v>
      </c>
      <c r="AD82" s="47">
        <v>2.4178123723619969E-2</v>
      </c>
      <c r="AE82" s="47">
        <v>4.160886408250878E-2</v>
      </c>
      <c r="AF82" s="47">
        <v>1.8555304253010673E-2</v>
      </c>
      <c r="AG82" s="47">
        <v>8.9965111529748711E-3</v>
      </c>
      <c r="AH82" s="47">
        <v>6.1851014176702241E-3</v>
      </c>
      <c r="AI82" s="47">
        <v>1.1245638941218589E-3</v>
      </c>
      <c r="AJ82" s="47">
        <v>3.9359736294265063E-3</v>
      </c>
      <c r="AK82" s="47">
        <v>8.4342292059139418E-3</v>
      </c>
      <c r="AL82" s="47">
        <v>1.1245638941218589E-3</v>
      </c>
      <c r="AM82" s="47">
        <v>9.5587931000358003E-3</v>
      </c>
      <c r="AN82" s="47">
        <v>1.068335699415766E-2</v>
      </c>
      <c r="AO82" s="47">
        <v>1.1245638941218589E-3</v>
      </c>
      <c r="AP82" s="47">
        <v>6.7473833647311533E-3</v>
      </c>
      <c r="AQ82" s="47">
        <v>1.2932484782401377E-2</v>
      </c>
      <c r="AR82" s="47">
        <v>2.0242150094193462E-2</v>
      </c>
      <c r="AS82" s="47">
        <v>1.4619330623584167E-2</v>
      </c>
      <c r="AT82" s="47">
        <v>1.5181612570645096E-2</v>
      </c>
      <c r="AU82" s="47">
        <v>1.2370202835340448E-2</v>
      </c>
      <c r="AV82" s="47">
        <v>6.7473833647311533E-3</v>
      </c>
      <c r="AW82" s="47">
        <v>9.5587931000358003E-3</v>
      </c>
      <c r="AX82" s="47">
        <v>6.1851014176702241E-3</v>
      </c>
      <c r="AY82" s="47">
        <v>4.4982555764874355E-3</v>
      </c>
      <c r="AZ82" s="47">
        <v>7.8719472588530126E-3</v>
      </c>
      <c r="BA82" s="47">
        <v>4.4982555764874355E-3</v>
      </c>
      <c r="BB82" s="47">
        <v>9.5587931000358003E-3</v>
      </c>
      <c r="BC82" s="47">
        <v>1.4057048676523238E-2</v>
      </c>
      <c r="BD82" s="47">
        <v>0.13802177515559513</v>
      </c>
      <c r="BE82" s="47"/>
      <c r="BF82" s="47"/>
      <c r="BG82" s="47"/>
      <c r="BH82" s="47"/>
      <c r="BI82" s="47"/>
      <c r="BJ82" s="47"/>
      <c r="BK82" s="47"/>
      <c r="BL82" s="47"/>
    </row>
    <row r="83" spans="1:64" x14ac:dyDescent="0.25">
      <c r="A83" s="6">
        <v>39926</v>
      </c>
      <c r="B83" s="7">
        <v>7.3571</v>
      </c>
      <c r="C83" s="9">
        <f t="shared" si="89"/>
        <v>1.6307092337317995E-2</v>
      </c>
      <c r="D83" s="9">
        <f t="shared" si="88"/>
        <v>1.5951619118945094E-2</v>
      </c>
      <c r="E83" s="9"/>
      <c r="F83" s="9"/>
      <c r="G83" s="9"/>
      <c r="H83" s="9"/>
      <c r="I83" s="9"/>
      <c r="J83" s="9"/>
      <c r="K83" s="9"/>
      <c r="L83" s="9"/>
      <c r="M83" s="9"/>
      <c r="N83" s="9"/>
      <c r="P83" s="27">
        <v>7.9399999999999998E-2</v>
      </c>
      <c r="Q83" s="25">
        <v>1</v>
      </c>
      <c r="R83" s="25">
        <v>0</v>
      </c>
      <c r="S83" s="25">
        <v>0</v>
      </c>
      <c r="T83" s="25">
        <v>9.6737907761529809E-2</v>
      </c>
      <c r="U83" s="25">
        <v>0.9032620922384702</v>
      </c>
      <c r="Y83" s="46">
        <f>SUM(Z83:BL83)</f>
        <v>0.99999999999999989</v>
      </c>
      <c r="Z83" s="47">
        <v>0.49199670367831327</v>
      </c>
      <c r="AA83" s="47">
        <v>4.0484300188386925E-2</v>
      </c>
      <c r="AB83" s="47">
        <v>2.5864969564802755E-2</v>
      </c>
      <c r="AC83" s="47">
        <v>2.3053559829498107E-2</v>
      </c>
      <c r="AD83" s="47">
        <v>2.4178123723619969E-2</v>
      </c>
      <c r="AE83" s="47">
        <v>4.160886408250878E-2</v>
      </c>
      <c r="AF83" s="47">
        <v>1.8555304253010673E-2</v>
      </c>
      <c r="AG83" s="47">
        <v>8.9965111529748711E-3</v>
      </c>
      <c r="AH83" s="47">
        <v>6.1851014176702241E-3</v>
      </c>
      <c r="AI83" s="47">
        <v>1.1245638941218589E-3</v>
      </c>
      <c r="AJ83" s="47">
        <v>3.9359736294265063E-3</v>
      </c>
      <c r="AK83" s="47">
        <v>8.4342292059139418E-3</v>
      </c>
      <c r="AL83" s="47">
        <v>1.1245638941218589E-3</v>
      </c>
      <c r="AM83" s="47">
        <v>9.5587931000358003E-3</v>
      </c>
      <c r="AN83" s="47">
        <v>1.068335699415766E-2</v>
      </c>
      <c r="AO83" s="47">
        <v>1.1245638941218589E-3</v>
      </c>
      <c r="AP83" s="47">
        <v>6.7473833647311533E-3</v>
      </c>
      <c r="AQ83" s="47">
        <v>1.2932484782401377E-2</v>
      </c>
      <c r="AR83" s="47">
        <v>2.0242150094193462E-2</v>
      </c>
      <c r="AS83" s="47">
        <v>1.4619330623584167E-2</v>
      </c>
      <c r="AT83" s="47">
        <v>1.5181612570645096E-2</v>
      </c>
      <c r="AU83" s="47">
        <v>1.2370202835340448E-2</v>
      </c>
      <c r="AV83" s="47">
        <v>6.7473833647311533E-3</v>
      </c>
      <c r="AW83" s="47">
        <v>9.5587931000358003E-3</v>
      </c>
      <c r="AX83" s="47">
        <v>6.1851014176702241E-3</v>
      </c>
      <c r="AY83" s="47">
        <v>4.4982555764874355E-3</v>
      </c>
      <c r="AZ83" s="47">
        <v>7.8719472588530126E-3</v>
      </c>
      <c r="BA83" s="47">
        <v>4.4982555764874355E-3</v>
      </c>
      <c r="BB83" s="47">
        <v>9.5587931000358003E-3</v>
      </c>
      <c r="BC83" s="47">
        <v>1.4057048676523238E-2</v>
      </c>
      <c r="BD83" s="47">
        <v>0.13802177515559513</v>
      </c>
      <c r="BE83" s="47"/>
      <c r="BF83" s="47"/>
      <c r="BG83" s="47"/>
      <c r="BH83" s="47"/>
      <c r="BI83" s="47"/>
      <c r="BJ83" s="47"/>
      <c r="BK83" s="47"/>
      <c r="BL83" s="47"/>
    </row>
    <row r="84" spans="1:64" x14ac:dyDescent="0.25">
      <c r="A84" s="6">
        <v>39927</v>
      </c>
      <c r="B84" s="7">
        <v>7.5857000000000001</v>
      </c>
      <c r="C84" s="9">
        <f t="shared" si="89"/>
        <v>3.0599062596943241E-2</v>
      </c>
      <c r="D84" s="9">
        <f t="shared" si="88"/>
        <v>3.024358937857034E-2</v>
      </c>
      <c r="E84" s="9"/>
      <c r="F84" s="9"/>
      <c r="G84" s="9"/>
      <c r="H84" s="9"/>
      <c r="I84" s="9"/>
      <c r="J84" s="9"/>
      <c r="K84" s="9"/>
      <c r="L84" s="9"/>
      <c r="M84" s="9"/>
      <c r="N84" s="9"/>
      <c r="P84" s="27">
        <v>-0.378</v>
      </c>
      <c r="Q84" s="25">
        <v>0</v>
      </c>
      <c r="R84" s="25">
        <v>0</v>
      </c>
      <c r="S84" s="25">
        <v>1</v>
      </c>
      <c r="T84" s="25">
        <v>9.6737907761529809E-2</v>
      </c>
      <c r="U84" s="25">
        <v>0.9032620922384702</v>
      </c>
      <c r="Y84" s="46">
        <f>SUM(Z84:BL84)</f>
        <v>0.99999999999999989</v>
      </c>
      <c r="Z84" s="47">
        <v>0.49199670367831327</v>
      </c>
      <c r="AA84" s="47">
        <v>4.0484300188386925E-2</v>
      </c>
      <c r="AB84" s="47">
        <v>2.5864969564802755E-2</v>
      </c>
      <c r="AC84" s="47">
        <v>2.3053559829498107E-2</v>
      </c>
      <c r="AD84" s="47">
        <v>2.4178123723619969E-2</v>
      </c>
      <c r="AE84" s="47">
        <v>4.160886408250878E-2</v>
      </c>
      <c r="AF84" s="47">
        <v>1.8555304253010673E-2</v>
      </c>
      <c r="AG84" s="47">
        <v>8.9965111529748711E-3</v>
      </c>
      <c r="AH84" s="47">
        <v>6.1851014176702241E-3</v>
      </c>
      <c r="AI84" s="47">
        <v>1.1245638941218589E-3</v>
      </c>
      <c r="AJ84" s="47">
        <v>3.9359736294265063E-3</v>
      </c>
      <c r="AK84" s="47">
        <v>8.4342292059139418E-3</v>
      </c>
      <c r="AL84" s="47">
        <v>1.1245638941218589E-3</v>
      </c>
      <c r="AM84" s="47">
        <v>9.5587931000358003E-3</v>
      </c>
      <c r="AN84" s="47">
        <v>1.068335699415766E-2</v>
      </c>
      <c r="AO84" s="47">
        <v>1.1245638941218589E-3</v>
      </c>
      <c r="AP84" s="47">
        <v>6.7473833647311533E-3</v>
      </c>
      <c r="AQ84" s="47">
        <v>1.2932484782401377E-2</v>
      </c>
      <c r="AR84" s="47">
        <v>2.0242150094193462E-2</v>
      </c>
      <c r="AS84" s="47">
        <v>1.4619330623584167E-2</v>
      </c>
      <c r="AT84" s="47">
        <v>1.5181612570645096E-2</v>
      </c>
      <c r="AU84" s="47">
        <v>1.2370202835340448E-2</v>
      </c>
      <c r="AV84" s="47">
        <v>6.7473833647311533E-3</v>
      </c>
      <c r="AW84" s="47">
        <v>9.5587931000358003E-3</v>
      </c>
      <c r="AX84" s="47">
        <v>6.1851014176702241E-3</v>
      </c>
      <c r="AY84" s="47">
        <v>4.4982555764874355E-3</v>
      </c>
      <c r="AZ84" s="47">
        <v>7.8719472588530126E-3</v>
      </c>
      <c r="BA84" s="47">
        <v>4.4982555764874355E-3</v>
      </c>
      <c r="BB84" s="47">
        <v>9.5587931000358003E-3</v>
      </c>
      <c r="BC84" s="47">
        <v>1.4057048676523238E-2</v>
      </c>
      <c r="BD84" s="47">
        <v>0.13802177515559513</v>
      </c>
      <c r="BE84" s="47"/>
      <c r="BF84" s="47"/>
      <c r="BG84" s="47"/>
      <c r="BH84" s="47"/>
      <c r="BI84" s="47"/>
      <c r="BJ84" s="47"/>
      <c r="BK84" s="47"/>
      <c r="BL84" s="47"/>
    </row>
    <row r="85" spans="1:64" x14ac:dyDescent="0.25">
      <c r="A85" s="6">
        <v>39930</v>
      </c>
      <c r="B85" s="7">
        <v>7.8285999999999998</v>
      </c>
      <c r="C85" s="9">
        <f>LN(B85/B84)</f>
        <v>3.1518798575397904E-2</v>
      </c>
      <c r="D85" s="9">
        <f t="shared" ref="D85:D148" si="91">C85-$C$59/252</f>
        <v>3.1163325357025002E-2</v>
      </c>
      <c r="E85" s="9"/>
      <c r="F85" s="9"/>
      <c r="G85" s="9"/>
      <c r="H85" s="9"/>
      <c r="I85" s="9"/>
      <c r="J85" s="9"/>
      <c r="K85" s="9"/>
      <c r="L85" s="9"/>
      <c r="M85" s="9"/>
      <c r="N85" s="9"/>
      <c r="AJ85" s="2"/>
    </row>
    <row r="86" spans="1:64" x14ac:dyDescent="0.25">
      <c r="A86" s="6">
        <v>39931</v>
      </c>
      <c r="B86" s="7">
        <v>7.7713999999999999</v>
      </c>
      <c r="C86" s="9">
        <f t="shared" si="89"/>
        <v>-7.3333661977959177E-3</v>
      </c>
      <c r="D86" s="9">
        <f t="shared" si="91"/>
        <v>-7.6888394161688176E-3</v>
      </c>
      <c r="E86" s="9"/>
      <c r="F86" s="9"/>
      <c r="G86" s="9"/>
      <c r="H86" s="9"/>
      <c r="I86" s="9"/>
      <c r="J86" s="9"/>
      <c r="K86" s="9"/>
      <c r="L86" s="9"/>
      <c r="M86" s="9"/>
      <c r="N86" s="9"/>
      <c r="AJ86" s="2"/>
    </row>
    <row r="87" spans="1:64" x14ac:dyDescent="0.25">
      <c r="A87" s="6">
        <v>39932</v>
      </c>
      <c r="B87" s="7">
        <v>8.0094999999999992</v>
      </c>
      <c r="C87" s="9">
        <f t="shared" si="89"/>
        <v>3.0178008830163788E-2</v>
      </c>
      <c r="D87" s="9">
        <f t="shared" si="91"/>
        <v>2.9822535611790886E-2</v>
      </c>
      <c r="E87" s="9"/>
      <c r="F87" s="9"/>
      <c r="G87" s="9"/>
      <c r="H87" s="9"/>
      <c r="I87" s="9"/>
      <c r="J87" s="9"/>
      <c r="K87" s="9"/>
      <c r="L87" s="9"/>
      <c r="M87" s="9"/>
      <c r="N87" s="9"/>
      <c r="AJ87" s="2"/>
    </row>
    <row r="88" spans="1:64" x14ac:dyDescent="0.25">
      <c r="A88" s="6">
        <v>39933</v>
      </c>
      <c r="B88" s="7">
        <v>8.3619000000000003</v>
      </c>
      <c r="C88" s="9">
        <f t="shared" si="89"/>
        <v>4.3057336841948193E-2</v>
      </c>
      <c r="D88" s="9">
        <f t="shared" si="91"/>
        <v>4.2701863623575295E-2</v>
      </c>
      <c r="E88" s="9"/>
      <c r="F88" s="9"/>
      <c r="G88" s="9"/>
      <c r="H88" s="9"/>
      <c r="I88" s="9"/>
      <c r="J88" s="9"/>
      <c r="K88" s="9"/>
      <c r="L88" s="9"/>
      <c r="M88" s="9"/>
      <c r="N88" s="9"/>
      <c r="AJ88" s="2"/>
    </row>
    <row r="89" spans="1:64" x14ac:dyDescent="0.25">
      <c r="A89" s="6">
        <v>39937</v>
      </c>
      <c r="B89" s="7">
        <v>8.5714000000000006</v>
      </c>
      <c r="C89" s="9">
        <f t="shared" si="89"/>
        <v>2.4745405826549379E-2</v>
      </c>
      <c r="D89" s="9">
        <f t="shared" si="91"/>
        <v>2.4389932608176478E-2</v>
      </c>
      <c r="E89" s="9"/>
      <c r="F89" s="9"/>
      <c r="G89" s="9"/>
      <c r="H89" s="9"/>
      <c r="I89" s="9"/>
      <c r="J89" s="9"/>
      <c r="K89" s="9"/>
      <c r="L89" s="9"/>
      <c r="M89" s="9"/>
      <c r="N89" s="9"/>
      <c r="AJ89" s="2"/>
    </row>
    <row r="90" spans="1:64" x14ac:dyDescent="0.25">
      <c r="A90" s="6">
        <v>39938</v>
      </c>
      <c r="B90" s="7">
        <v>8.1999999999999993</v>
      </c>
      <c r="C90" s="9">
        <f t="shared" si="89"/>
        <v>-4.4296925557691165E-2</v>
      </c>
      <c r="D90" s="9">
        <f t="shared" si="91"/>
        <v>-4.4652398776064063E-2</v>
      </c>
      <c r="E90" s="9"/>
      <c r="F90" s="9"/>
      <c r="G90" s="9"/>
      <c r="H90" s="9"/>
      <c r="I90" s="9"/>
      <c r="J90" s="9"/>
      <c r="K90" s="9"/>
      <c r="L90" s="9"/>
      <c r="M90" s="9"/>
      <c r="N90" s="9"/>
      <c r="AJ90" s="2"/>
    </row>
    <row r="91" spans="1:64" x14ac:dyDescent="0.25">
      <c r="A91" s="6">
        <v>39939</v>
      </c>
      <c r="B91" s="7">
        <v>8.1333000000000002</v>
      </c>
      <c r="C91" s="9">
        <f t="shared" si="89"/>
        <v>-8.1674090082148165E-3</v>
      </c>
      <c r="D91" s="9">
        <f t="shared" si="91"/>
        <v>-8.5228822265877163E-3</v>
      </c>
      <c r="E91" s="9"/>
      <c r="F91" s="9"/>
      <c r="G91" s="9"/>
      <c r="H91" s="9"/>
      <c r="I91" s="9"/>
      <c r="J91" s="9"/>
      <c r="K91" s="9"/>
      <c r="L91" s="9"/>
      <c r="M91" s="5"/>
      <c r="N91" s="5"/>
      <c r="AJ91" s="2"/>
    </row>
    <row r="92" spans="1:64" x14ac:dyDescent="0.25">
      <c r="A92" s="6">
        <v>39940</v>
      </c>
      <c r="B92" s="7">
        <v>7.9381000000000004</v>
      </c>
      <c r="C92" s="9">
        <f t="shared" si="89"/>
        <v>-2.4292793348823082E-2</v>
      </c>
      <c r="D92" s="9">
        <f t="shared" si="91"/>
        <v>-2.4648266567195983E-2</v>
      </c>
      <c r="E92" s="9"/>
      <c r="F92" s="9"/>
      <c r="G92" s="9"/>
      <c r="H92" s="9"/>
      <c r="I92" s="9"/>
      <c r="J92" s="9"/>
      <c r="K92" s="9"/>
      <c r="L92" s="9"/>
      <c r="M92" s="5"/>
      <c r="N92" s="5"/>
      <c r="AJ92" s="2"/>
    </row>
    <row r="93" spans="1:64" x14ac:dyDescent="0.25">
      <c r="A93" s="36">
        <v>39941</v>
      </c>
      <c r="B93" s="37">
        <v>8.2429000000000006</v>
      </c>
      <c r="C93" s="9">
        <f t="shared" si="89"/>
        <v>3.7678271838813879E-2</v>
      </c>
      <c r="D93" s="9">
        <f t="shared" si="91"/>
        <v>3.7322798620440981E-2</v>
      </c>
      <c r="E93" s="9"/>
      <c r="F93" s="9"/>
      <c r="G93" s="9"/>
      <c r="H93" s="9"/>
      <c r="I93" s="9"/>
      <c r="J93" s="9"/>
      <c r="K93" s="9"/>
      <c r="L93" s="9"/>
      <c r="M93" s="5"/>
      <c r="N93" s="5"/>
      <c r="AJ93" s="2"/>
    </row>
    <row r="94" spans="1:64" x14ac:dyDescent="0.25">
      <c r="A94" s="36">
        <v>39944</v>
      </c>
      <c r="B94" s="37">
        <v>8.0475999999999992</v>
      </c>
      <c r="C94" s="9">
        <f t="shared" si="89"/>
        <v>-2.3978313419039408E-2</v>
      </c>
      <c r="D94" s="9">
        <f t="shared" si="91"/>
        <v>-2.433378663741231E-2</v>
      </c>
      <c r="E94" s="9"/>
      <c r="F94" s="9"/>
      <c r="G94" s="9"/>
      <c r="H94" s="9"/>
      <c r="I94" s="9"/>
      <c r="J94" s="9"/>
      <c r="K94" s="9"/>
      <c r="L94" s="9"/>
      <c r="M94" s="5"/>
      <c r="N94" s="5"/>
      <c r="AJ94" s="2"/>
    </row>
    <row r="95" spans="1:64" x14ac:dyDescent="0.25">
      <c r="A95" s="36">
        <v>39945</v>
      </c>
      <c r="B95" s="37">
        <v>8.1</v>
      </c>
      <c r="C95" s="9">
        <f t="shared" si="89"/>
        <v>6.4901513454489823E-3</v>
      </c>
      <c r="D95" s="9">
        <f t="shared" si="91"/>
        <v>6.1346781270760825E-3</v>
      </c>
      <c r="E95" s="9"/>
      <c r="F95" s="9"/>
      <c r="G95" s="9"/>
      <c r="H95" s="9"/>
      <c r="I95" s="9"/>
      <c r="J95" s="9"/>
      <c r="K95" s="9"/>
      <c r="L95" s="9"/>
      <c r="M95" s="5"/>
      <c r="N95" s="5"/>
      <c r="AJ95" s="2"/>
    </row>
    <row r="96" spans="1:64" x14ac:dyDescent="0.25">
      <c r="A96" s="36">
        <v>39946</v>
      </c>
      <c r="B96" s="37">
        <v>7.6570999999999998</v>
      </c>
      <c r="C96" s="9">
        <f t="shared" si="89"/>
        <v>-5.6230739687538743E-2</v>
      </c>
      <c r="D96" s="9">
        <f t="shared" si="91"/>
        <v>-5.6586212905911641E-2</v>
      </c>
      <c r="E96" s="9"/>
      <c r="F96" s="9"/>
      <c r="G96" s="9"/>
      <c r="H96" s="9"/>
      <c r="I96" s="9"/>
      <c r="J96" s="9"/>
      <c r="K96" s="9"/>
      <c r="L96" s="9"/>
      <c r="M96" s="5"/>
      <c r="N96" s="5"/>
      <c r="AJ96" s="2"/>
    </row>
    <row r="97" spans="1:37" x14ac:dyDescent="0.25">
      <c r="A97" s="36">
        <v>39947</v>
      </c>
      <c r="B97" s="37">
        <v>7.6189999999999998</v>
      </c>
      <c r="C97" s="9">
        <f t="shared" si="89"/>
        <v>-4.9881944999817292E-3</v>
      </c>
      <c r="D97" s="9">
        <f t="shared" si="91"/>
        <v>-5.3436677183546291E-3</v>
      </c>
      <c r="E97" s="9"/>
      <c r="F97" s="9"/>
      <c r="G97" s="9"/>
      <c r="H97" s="9"/>
      <c r="I97" s="9"/>
      <c r="J97" s="9"/>
      <c r="K97" s="9"/>
      <c r="L97" s="9"/>
      <c r="M97" s="5"/>
      <c r="N97" s="5"/>
      <c r="AJ97" s="2"/>
      <c r="AK97" s="3"/>
    </row>
    <row r="98" spans="1:37" x14ac:dyDescent="0.25">
      <c r="A98" s="36">
        <v>39948</v>
      </c>
      <c r="B98" s="37">
        <v>7.6951999999999998</v>
      </c>
      <c r="C98" s="9">
        <f t="shared" si="89"/>
        <v>9.9516303653962336E-3</v>
      </c>
      <c r="D98" s="9">
        <f t="shared" si="91"/>
        <v>9.5961571470233337E-3</v>
      </c>
      <c r="E98" s="9"/>
      <c r="F98" s="9"/>
      <c r="G98" s="9"/>
      <c r="H98" s="9"/>
      <c r="I98" s="9"/>
      <c r="J98" s="9"/>
      <c r="K98" s="9"/>
      <c r="L98" s="9"/>
      <c r="M98" s="5"/>
      <c r="N98" s="5"/>
      <c r="AJ98" s="2"/>
    </row>
    <row r="99" spans="1:37" x14ac:dyDescent="0.25">
      <c r="A99" s="36">
        <v>39951</v>
      </c>
      <c r="B99" s="37">
        <v>7.7332999999999998</v>
      </c>
      <c r="C99" s="9">
        <f t="shared" si="89"/>
        <v>4.9389217937687822E-3</v>
      </c>
      <c r="D99" s="9">
        <f t="shared" si="91"/>
        <v>4.5834485753958824E-3</v>
      </c>
      <c r="E99" s="9"/>
      <c r="F99" s="9"/>
      <c r="G99" s="9"/>
      <c r="H99" s="9"/>
      <c r="I99" s="9"/>
      <c r="J99" s="9"/>
      <c r="K99" s="9"/>
      <c r="L99" s="9"/>
      <c r="M99" s="5"/>
      <c r="N99" s="5"/>
      <c r="AJ99" s="2"/>
    </row>
    <row r="100" spans="1:37" x14ac:dyDescent="0.25">
      <c r="A100" s="36">
        <v>39952</v>
      </c>
      <c r="B100" s="37">
        <v>7.9238</v>
      </c>
      <c r="C100" s="9">
        <f t="shared" si="89"/>
        <v>2.433520908984867E-2</v>
      </c>
      <c r="D100" s="9">
        <f t="shared" si="91"/>
        <v>2.3979735871475769E-2</v>
      </c>
      <c r="E100" s="9"/>
      <c r="F100" s="9"/>
      <c r="G100" s="9"/>
      <c r="H100" s="9"/>
      <c r="I100" s="9"/>
      <c r="J100" s="9"/>
      <c r="K100" s="9"/>
      <c r="L100" s="9"/>
      <c r="M100" s="5"/>
      <c r="N100" s="5"/>
      <c r="AJ100" s="2"/>
    </row>
    <row r="101" spans="1:37" x14ac:dyDescent="0.25">
      <c r="A101" s="36">
        <v>39953</v>
      </c>
      <c r="B101" s="37">
        <v>8.3000000000000007</v>
      </c>
      <c r="C101" s="9">
        <f t="shared" si="89"/>
        <v>4.6384626062666426E-2</v>
      </c>
      <c r="D101" s="9">
        <f t="shared" si="91"/>
        <v>4.6029152844293528E-2</v>
      </c>
      <c r="E101" s="9"/>
      <c r="F101" s="9"/>
      <c r="G101" s="9"/>
      <c r="H101" s="9"/>
      <c r="I101" s="9"/>
      <c r="J101" s="9"/>
      <c r="K101" s="9"/>
      <c r="L101" s="9"/>
      <c r="M101" s="5"/>
      <c r="N101" s="5"/>
      <c r="AJ101" s="2"/>
    </row>
    <row r="102" spans="1:37" x14ac:dyDescent="0.25">
      <c r="A102" s="36">
        <v>39954</v>
      </c>
      <c r="B102" s="37">
        <v>8.1</v>
      </c>
      <c r="C102" s="9">
        <f t="shared" si="89"/>
        <v>-2.4391453124159239E-2</v>
      </c>
      <c r="D102" s="9">
        <f t="shared" si="91"/>
        <v>-2.474692634253214E-2</v>
      </c>
      <c r="E102" s="9"/>
      <c r="F102" s="9"/>
      <c r="G102" s="9"/>
      <c r="H102" s="9"/>
      <c r="I102" s="9"/>
      <c r="J102" s="9"/>
      <c r="K102" s="9"/>
      <c r="L102" s="9"/>
      <c r="M102" s="5"/>
      <c r="N102" s="5"/>
      <c r="AJ102" s="2"/>
    </row>
    <row r="103" spans="1:37" x14ac:dyDescent="0.25">
      <c r="A103" s="36">
        <v>39955</v>
      </c>
      <c r="B103" s="37">
        <v>8.1237999999999992</v>
      </c>
      <c r="C103" s="9">
        <f t="shared" si="89"/>
        <v>2.9339633221328585E-3</v>
      </c>
      <c r="D103" s="9">
        <f t="shared" si="91"/>
        <v>2.5784901037599586E-3</v>
      </c>
      <c r="E103" s="9"/>
      <c r="F103" s="9"/>
      <c r="G103" s="9"/>
      <c r="H103" s="9"/>
      <c r="I103" s="9"/>
      <c r="J103" s="9"/>
      <c r="K103" s="9"/>
      <c r="L103" s="9"/>
      <c r="M103" s="5"/>
      <c r="N103" s="5"/>
      <c r="AJ103" s="2"/>
    </row>
    <row r="104" spans="1:37" x14ac:dyDescent="0.25">
      <c r="A104" s="36">
        <v>39958</v>
      </c>
      <c r="B104" s="37">
        <v>8.0952000000000002</v>
      </c>
      <c r="C104" s="9">
        <f t="shared" si="89"/>
        <v>-3.5267315671128007E-3</v>
      </c>
      <c r="D104" s="9">
        <f t="shared" si="91"/>
        <v>-3.8822047854857006E-3</v>
      </c>
      <c r="E104" s="9"/>
      <c r="F104" s="9"/>
      <c r="G104" s="9"/>
      <c r="H104" s="9"/>
      <c r="I104" s="9"/>
      <c r="J104" s="9"/>
      <c r="K104" s="9"/>
      <c r="L104" s="9"/>
      <c r="M104" s="5"/>
      <c r="N104" s="5"/>
      <c r="AJ104" s="2"/>
    </row>
    <row r="105" spans="1:37" x14ac:dyDescent="0.25">
      <c r="A105" s="36">
        <v>39959</v>
      </c>
      <c r="B105" s="37">
        <v>8.1428999999999991</v>
      </c>
      <c r="C105" s="9">
        <f t="shared" si="89"/>
        <v>5.8750884898680269E-3</v>
      </c>
      <c r="D105" s="9">
        <f t="shared" si="91"/>
        <v>5.519615271495127E-3</v>
      </c>
      <c r="E105" s="9"/>
      <c r="F105" s="9"/>
      <c r="G105" s="9"/>
      <c r="H105" s="9"/>
      <c r="I105" s="9"/>
      <c r="J105" s="9"/>
      <c r="K105" s="9"/>
      <c r="L105" s="9"/>
      <c r="M105" s="5"/>
      <c r="N105" s="5"/>
      <c r="AJ105" s="2"/>
    </row>
    <row r="106" spans="1:37" x14ac:dyDescent="0.25">
      <c r="A106" s="36">
        <v>39960</v>
      </c>
      <c r="B106" s="37">
        <v>8.2095000000000002</v>
      </c>
      <c r="C106" s="9">
        <f t="shared" si="89"/>
        <v>8.1456383466643884E-3</v>
      </c>
      <c r="D106" s="9">
        <f t="shared" si="91"/>
        <v>7.7901651282914885E-3</v>
      </c>
      <c r="E106" s="9"/>
      <c r="F106" s="9"/>
      <c r="G106" s="9"/>
      <c r="H106" s="9"/>
      <c r="I106" s="9"/>
      <c r="J106" s="9"/>
      <c r="K106" s="9"/>
      <c r="L106" s="9"/>
      <c r="M106" s="5"/>
      <c r="N106" s="5"/>
      <c r="AJ106" s="2"/>
    </row>
    <row r="107" spans="1:37" x14ac:dyDescent="0.25">
      <c r="A107" s="36">
        <v>39961</v>
      </c>
      <c r="B107" s="37">
        <v>8.0618999999999996</v>
      </c>
      <c r="C107" s="9">
        <f t="shared" si="89"/>
        <v>-1.814275952190756E-2</v>
      </c>
      <c r="D107" s="9">
        <f t="shared" si="91"/>
        <v>-1.8498232740280462E-2</v>
      </c>
      <c r="E107" s="9"/>
      <c r="F107" s="9"/>
      <c r="G107" s="9"/>
      <c r="H107" s="9"/>
      <c r="I107" s="9"/>
      <c r="J107" s="9"/>
      <c r="K107" s="9"/>
      <c r="L107" s="9"/>
      <c r="M107" s="5"/>
      <c r="N107" s="5"/>
      <c r="AJ107" s="2"/>
    </row>
    <row r="108" spans="1:37" x14ac:dyDescent="0.25">
      <c r="A108" s="36">
        <v>39962</v>
      </c>
      <c r="B108" s="37">
        <v>8.0667000000000009</v>
      </c>
      <c r="C108" s="9">
        <f t="shared" si="89"/>
        <v>5.9521596936042782E-4</v>
      </c>
      <c r="D108" s="9">
        <f t="shared" si="91"/>
        <v>2.397427509875279E-4</v>
      </c>
      <c r="E108" s="9"/>
      <c r="F108" s="9"/>
      <c r="G108" s="9"/>
      <c r="H108" s="9"/>
      <c r="I108" s="9"/>
      <c r="J108" s="9"/>
      <c r="K108" s="9"/>
      <c r="L108" s="9"/>
      <c r="M108" s="5"/>
      <c r="N108" s="5"/>
      <c r="AJ108" s="2"/>
    </row>
    <row r="109" spans="1:37" x14ac:dyDescent="0.25">
      <c r="A109" s="36">
        <v>39965</v>
      </c>
      <c r="B109" s="37">
        <v>8.1999999999999993</v>
      </c>
      <c r="C109" s="9">
        <f t="shared" si="89"/>
        <v>1.6389677552808964E-2</v>
      </c>
      <c r="D109" s="9">
        <f t="shared" si="91"/>
        <v>1.6034204334436062E-2</v>
      </c>
      <c r="E109" s="9"/>
      <c r="F109" s="9"/>
      <c r="G109" s="9"/>
      <c r="H109" s="9"/>
      <c r="I109" s="9"/>
      <c r="J109" s="9"/>
      <c r="K109" s="9"/>
      <c r="L109" s="9"/>
      <c r="M109" s="5"/>
      <c r="N109" s="5"/>
      <c r="AJ109" s="2"/>
    </row>
    <row r="110" spans="1:37" x14ac:dyDescent="0.25">
      <c r="A110" s="36">
        <v>39966</v>
      </c>
      <c r="B110" s="37">
        <v>8.3666999999999998</v>
      </c>
      <c r="C110" s="9">
        <f t="shared" si="89"/>
        <v>2.0125387255229811E-2</v>
      </c>
      <c r="D110" s="9">
        <f t="shared" si="91"/>
        <v>1.9769914036856909E-2</v>
      </c>
      <c r="E110" s="9"/>
      <c r="F110" s="9"/>
      <c r="G110" s="9"/>
      <c r="H110" s="9"/>
      <c r="I110" s="9"/>
      <c r="J110" s="9"/>
      <c r="K110" s="9"/>
      <c r="L110" s="9"/>
      <c r="M110" s="5"/>
      <c r="N110" s="5"/>
      <c r="AJ110" s="2"/>
    </row>
    <row r="111" spans="1:37" x14ac:dyDescent="0.25">
      <c r="A111" s="36">
        <v>39967</v>
      </c>
      <c r="B111" s="37">
        <v>8.2048000000000005</v>
      </c>
      <c r="C111" s="9">
        <f t="shared" si="89"/>
        <v>-1.9540192661332577E-2</v>
      </c>
      <c r="D111" s="9">
        <f t="shared" si="91"/>
        <v>-1.9895665879705478E-2</v>
      </c>
      <c r="E111" s="9"/>
      <c r="F111" s="9"/>
      <c r="G111" s="9"/>
      <c r="H111" s="9"/>
      <c r="I111" s="9"/>
      <c r="J111" s="9"/>
      <c r="K111" s="9"/>
      <c r="L111" s="9"/>
      <c r="M111" s="5"/>
      <c r="N111" s="5"/>
      <c r="AJ111" s="2"/>
    </row>
    <row r="112" spans="1:37" x14ac:dyDescent="0.25">
      <c r="A112" s="36">
        <v>39968</v>
      </c>
      <c r="B112" s="37">
        <v>8.1333000000000002</v>
      </c>
      <c r="C112" s="9">
        <f t="shared" si="89"/>
        <v>-8.752603602112068E-3</v>
      </c>
      <c r="D112" s="9">
        <f t="shared" si="91"/>
        <v>-9.1080768204849678E-3</v>
      </c>
      <c r="E112" s="9"/>
      <c r="F112" s="9"/>
      <c r="G112" s="9"/>
      <c r="H112" s="9"/>
      <c r="I112" s="9"/>
      <c r="J112" s="9"/>
      <c r="K112" s="9"/>
      <c r="L112" s="9"/>
      <c r="M112" s="5"/>
      <c r="N112" s="5"/>
      <c r="AJ112" s="2"/>
    </row>
    <row r="113" spans="1:36" x14ac:dyDescent="0.25">
      <c r="A113" s="36">
        <v>39969</v>
      </c>
      <c r="B113" s="37">
        <v>8.3285999999999998</v>
      </c>
      <c r="C113" s="9">
        <f t="shared" si="89"/>
        <v>2.3728629564989133E-2</v>
      </c>
      <c r="D113" s="9">
        <f t="shared" si="91"/>
        <v>2.3373156346616231E-2</v>
      </c>
      <c r="E113" s="9"/>
      <c r="F113" s="9"/>
      <c r="G113" s="9"/>
      <c r="H113" s="9"/>
      <c r="I113" s="9"/>
      <c r="J113" s="9"/>
      <c r="K113" s="9"/>
      <c r="L113" s="9"/>
      <c r="M113" s="5"/>
      <c r="N113" s="5"/>
      <c r="AJ113" s="2"/>
    </row>
    <row r="114" spans="1:36" x14ac:dyDescent="0.25">
      <c r="A114" s="36">
        <v>39972</v>
      </c>
      <c r="B114" s="37">
        <v>8.4856999999999996</v>
      </c>
      <c r="C114" s="9">
        <f t="shared" si="89"/>
        <v>1.8687018983203803E-2</v>
      </c>
      <c r="D114" s="9">
        <f t="shared" si="91"/>
        <v>1.8331545764830901E-2</v>
      </c>
      <c r="E114" s="9"/>
      <c r="F114" s="9"/>
      <c r="G114" s="9"/>
      <c r="H114" s="9"/>
      <c r="I114" s="9"/>
      <c r="J114" s="9"/>
      <c r="K114" s="9"/>
      <c r="L114" s="9"/>
      <c r="M114" s="5"/>
      <c r="N114" s="5"/>
      <c r="AJ114" s="2"/>
    </row>
    <row r="115" spans="1:36" x14ac:dyDescent="0.25">
      <c r="A115" s="36">
        <v>39973</v>
      </c>
      <c r="B115" s="37">
        <v>8.7380999999999993</v>
      </c>
      <c r="C115" s="9">
        <f t="shared" si="89"/>
        <v>2.9310380919996104E-2</v>
      </c>
      <c r="D115" s="9">
        <f t="shared" si="91"/>
        <v>2.8954907701623202E-2</v>
      </c>
      <c r="E115" s="9"/>
      <c r="F115" s="9"/>
      <c r="G115" s="9"/>
      <c r="H115" s="9"/>
      <c r="I115" s="9"/>
      <c r="J115" s="9"/>
      <c r="K115" s="9"/>
      <c r="L115" s="9"/>
      <c r="M115" s="5"/>
      <c r="N115" s="5"/>
      <c r="AJ115" s="2"/>
    </row>
    <row r="116" spans="1:36" x14ac:dyDescent="0.25">
      <c r="A116" s="36">
        <v>39974</v>
      </c>
      <c r="B116" s="37">
        <v>8.8762000000000008</v>
      </c>
      <c r="C116" s="9">
        <f t="shared" si="89"/>
        <v>1.5680762758684311E-2</v>
      </c>
      <c r="D116" s="9">
        <f t="shared" si="91"/>
        <v>1.5325289540311411E-2</v>
      </c>
      <c r="E116" s="9"/>
      <c r="F116" s="9"/>
      <c r="G116" s="9"/>
      <c r="H116" s="9"/>
      <c r="I116" s="9"/>
      <c r="J116" s="9"/>
      <c r="K116" s="9"/>
      <c r="L116" s="9"/>
      <c r="M116" s="5"/>
      <c r="N116" s="5"/>
      <c r="AJ116" s="2"/>
    </row>
    <row r="117" spans="1:36" x14ac:dyDescent="0.25">
      <c r="A117" s="36">
        <v>39975</v>
      </c>
      <c r="B117" s="37">
        <v>8.9238</v>
      </c>
      <c r="C117" s="9">
        <f t="shared" si="89"/>
        <v>5.3483273556045995E-3</v>
      </c>
      <c r="D117" s="9">
        <f t="shared" si="91"/>
        <v>4.9928541372316997E-3</v>
      </c>
      <c r="E117" s="9"/>
      <c r="F117" s="9"/>
      <c r="G117" s="9"/>
      <c r="H117" s="9"/>
      <c r="I117" s="9"/>
      <c r="J117" s="9"/>
      <c r="K117" s="9"/>
      <c r="L117" s="9"/>
      <c r="M117" s="5"/>
      <c r="AJ117" s="2"/>
    </row>
    <row r="118" spans="1:36" x14ac:dyDescent="0.25">
      <c r="A118" s="36">
        <v>39976</v>
      </c>
      <c r="B118" s="37">
        <v>8.9238</v>
      </c>
      <c r="C118" s="9">
        <f t="shared" si="89"/>
        <v>0</v>
      </c>
      <c r="D118" s="9">
        <f t="shared" si="91"/>
        <v>-3.5547321837289993E-4</v>
      </c>
      <c r="E118" s="9"/>
      <c r="F118" s="9"/>
      <c r="G118" s="9"/>
      <c r="H118" s="9"/>
      <c r="I118" s="9"/>
      <c r="J118" s="9"/>
      <c r="K118" s="9"/>
      <c r="L118" s="9"/>
      <c r="M118" s="5"/>
      <c r="AJ118" s="2"/>
    </row>
    <row r="119" spans="1:36" x14ac:dyDescent="0.25">
      <c r="A119" s="36">
        <v>39979</v>
      </c>
      <c r="B119" s="37">
        <v>8.6237999999999992</v>
      </c>
      <c r="C119" s="9">
        <f t="shared" si="89"/>
        <v>-3.4196042041366177E-2</v>
      </c>
      <c r="D119" s="9">
        <f t="shared" si="91"/>
        <v>-3.4551515259739075E-2</v>
      </c>
      <c r="E119" s="9"/>
      <c r="F119" s="9"/>
      <c r="G119" s="9"/>
      <c r="H119" s="9"/>
      <c r="I119" s="9"/>
      <c r="J119" s="9"/>
      <c r="K119" s="9"/>
      <c r="L119" s="9"/>
      <c r="M119" s="5"/>
      <c r="AJ119" s="2"/>
    </row>
    <row r="120" spans="1:36" x14ac:dyDescent="0.25">
      <c r="A120" s="36">
        <v>39980</v>
      </c>
      <c r="B120" s="37">
        <v>8.5524000000000004</v>
      </c>
      <c r="C120" s="9">
        <f t="shared" si="89"/>
        <v>-8.3138774894156858E-3</v>
      </c>
      <c r="D120" s="9">
        <f t="shared" si="91"/>
        <v>-8.6693507077885857E-3</v>
      </c>
      <c r="E120" s="9"/>
      <c r="F120" s="9"/>
      <c r="G120" s="9"/>
      <c r="H120" s="9"/>
      <c r="I120" s="9"/>
      <c r="J120" s="9"/>
      <c r="K120" s="9"/>
      <c r="L120" s="9"/>
      <c r="M120" s="5"/>
      <c r="AJ120" s="2"/>
    </row>
    <row r="121" spans="1:36" x14ac:dyDescent="0.25">
      <c r="A121" s="36">
        <v>39981</v>
      </c>
      <c r="B121" s="37">
        <v>8.1380999999999997</v>
      </c>
      <c r="C121" s="9">
        <f t="shared" si="89"/>
        <v>-4.9655207778230084E-2</v>
      </c>
      <c r="D121" s="9">
        <f t="shared" si="91"/>
        <v>-5.0010680996602982E-2</v>
      </c>
      <c r="E121" s="9"/>
      <c r="F121" s="9"/>
      <c r="G121" s="9"/>
      <c r="H121" s="9"/>
      <c r="I121" s="9"/>
      <c r="J121" s="9"/>
      <c r="K121" s="9"/>
      <c r="L121" s="9"/>
      <c r="M121" s="5"/>
      <c r="AJ121" s="2"/>
    </row>
    <row r="122" spans="1:36" x14ac:dyDescent="0.25">
      <c r="A122" s="36">
        <v>39982</v>
      </c>
      <c r="B122" s="37">
        <v>8.0381</v>
      </c>
      <c r="C122" s="9">
        <f t="shared" si="89"/>
        <v>-1.2364000680138426E-2</v>
      </c>
      <c r="D122" s="9">
        <f t="shared" si="91"/>
        <v>-1.2719473898511326E-2</v>
      </c>
      <c r="E122" s="9"/>
      <c r="F122" s="9"/>
      <c r="G122" s="9"/>
      <c r="H122" s="9"/>
      <c r="I122" s="9"/>
      <c r="J122" s="9"/>
      <c r="K122" s="9"/>
      <c r="L122" s="9"/>
      <c r="M122" s="5"/>
      <c r="AJ122" s="2"/>
    </row>
    <row r="123" spans="1:36" x14ac:dyDescent="0.25">
      <c r="A123" s="36">
        <v>39983</v>
      </c>
      <c r="B123" s="37">
        <v>8.0286000000000008</v>
      </c>
      <c r="C123" s="9">
        <f t="shared" si="89"/>
        <v>-1.1825702984586844E-3</v>
      </c>
      <c r="D123" s="9">
        <f t="shared" si="91"/>
        <v>-1.5380435168315843E-3</v>
      </c>
      <c r="E123" s="9"/>
      <c r="F123" s="9"/>
      <c r="G123" s="9"/>
      <c r="H123" s="9"/>
      <c r="I123" s="9"/>
      <c r="J123" s="9"/>
      <c r="K123" s="9"/>
      <c r="L123" s="9"/>
      <c r="M123" s="5"/>
      <c r="AJ123" s="2"/>
    </row>
    <row r="124" spans="1:36" x14ac:dyDescent="0.25">
      <c r="A124" s="36">
        <v>39986</v>
      </c>
      <c r="B124" s="37">
        <v>7.8905000000000003</v>
      </c>
      <c r="C124" s="9">
        <f t="shared" si="89"/>
        <v>-1.7350662350810817E-2</v>
      </c>
      <c r="D124" s="9">
        <f t="shared" si="91"/>
        <v>-1.7706135569183719E-2</v>
      </c>
      <c r="E124" s="9"/>
      <c r="F124" s="9"/>
      <c r="G124" s="9"/>
      <c r="H124" s="9"/>
      <c r="I124" s="9"/>
      <c r="J124" s="9"/>
      <c r="K124" s="9"/>
      <c r="L124" s="9"/>
      <c r="M124" s="5"/>
      <c r="AJ124" s="2"/>
    </row>
    <row r="125" spans="1:36" x14ac:dyDescent="0.25">
      <c r="A125" s="36">
        <v>39987</v>
      </c>
      <c r="B125" s="37">
        <v>7.7762000000000002</v>
      </c>
      <c r="C125" s="9">
        <f t="shared" ref="C125:C188" si="92">LN(B125/B124)</f>
        <v>-1.4591717214061075E-2</v>
      </c>
      <c r="D125" s="9">
        <f t="shared" si="91"/>
        <v>-1.4947190432433975E-2</v>
      </c>
      <c r="E125" s="9"/>
      <c r="F125" s="9"/>
      <c r="G125" s="9"/>
      <c r="H125" s="9"/>
      <c r="I125" s="9"/>
      <c r="J125" s="9"/>
      <c r="K125" s="9"/>
      <c r="L125" s="9"/>
      <c r="M125" s="5"/>
      <c r="AJ125" s="2"/>
    </row>
    <row r="126" spans="1:36" x14ac:dyDescent="0.25">
      <c r="A126" s="36">
        <v>39988</v>
      </c>
      <c r="B126" s="37">
        <v>8.0047999999999995</v>
      </c>
      <c r="C126" s="9">
        <f t="shared" si="92"/>
        <v>2.8973574759814127E-2</v>
      </c>
      <c r="D126" s="9">
        <f t="shared" si="91"/>
        <v>2.8618101541441225E-2</v>
      </c>
      <c r="E126" s="9"/>
      <c r="F126" s="9"/>
      <c r="G126" s="9"/>
      <c r="H126" s="9"/>
      <c r="I126" s="9"/>
      <c r="J126" s="9"/>
      <c r="K126" s="9"/>
      <c r="L126" s="9"/>
      <c r="M126" s="5"/>
      <c r="AJ126" s="2"/>
    </row>
    <row r="127" spans="1:36" x14ac:dyDescent="0.25">
      <c r="A127" s="36">
        <v>39989</v>
      </c>
      <c r="B127" s="37">
        <v>7.8856999999999999</v>
      </c>
      <c r="C127" s="9">
        <f t="shared" si="92"/>
        <v>-1.4990369119910961E-2</v>
      </c>
      <c r="D127" s="9">
        <f t="shared" si="91"/>
        <v>-1.5345842338283861E-2</v>
      </c>
      <c r="E127" s="9"/>
      <c r="F127" s="9"/>
      <c r="G127" s="9"/>
      <c r="H127" s="9"/>
      <c r="I127" s="9"/>
      <c r="J127" s="9"/>
      <c r="K127" s="9"/>
      <c r="L127" s="9"/>
      <c r="M127" s="5"/>
      <c r="AJ127" s="2"/>
    </row>
    <row r="128" spans="1:36" x14ac:dyDescent="0.25">
      <c r="A128" s="36">
        <v>39990</v>
      </c>
      <c r="B128" s="37">
        <v>7.8619000000000003</v>
      </c>
      <c r="C128" s="9">
        <f t="shared" si="92"/>
        <v>-3.0226851229356276E-3</v>
      </c>
      <c r="D128" s="9">
        <f t="shared" si="91"/>
        <v>-3.3781583413085275E-3</v>
      </c>
      <c r="E128" s="9"/>
      <c r="F128" s="9"/>
      <c r="G128" s="9"/>
      <c r="H128" s="9"/>
      <c r="I128" s="9"/>
      <c r="J128" s="9"/>
      <c r="K128" s="9"/>
      <c r="L128" s="9"/>
      <c r="M128" s="5"/>
      <c r="AJ128" s="2"/>
    </row>
    <row r="129" spans="1:36" x14ac:dyDescent="0.25">
      <c r="A129" s="36">
        <v>39993</v>
      </c>
      <c r="B129" s="37">
        <v>8.0047999999999995</v>
      </c>
      <c r="C129" s="9">
        <f t="shared" si="92"/>
        <v>1.8013054242846528E-2</v>
      </c>
      <c r="D129" s="9">
        <f t="shared" si="91"/>
        <v>1.7657581024473627E-2</v>
      </c>
      <c r="E129" s="9"/>
      <c r="F129" s="9"/>
      <c r="G129" s="9"/>
      <c r="H129" s="9"/>
      <c r="I129" s="9"/>
      <c r="J129" s="9"/>
      <c r="K129" s="9"/>
      <c r="L129" s="9"/>
      <c r="M129" s="5"/>
      <c r="AJ129" s="2"/>
    </row>
    <row r="130" spans="1:36" x14ac:dyDescent="0.25">
      <c r="A130" s="36">
        <v>39994</v>
      </c>
      <c r="B130" s="37">
        <v>8.0809999999999995</v>
      </c>
      <c r="C130" s="9">
        <f t="shared" si="92"/>
        <v>9.4742654995071448E-3</v>
      </c>
      <c r="D130" s="9">
        <f t="shared" si="91"/>
        <v>9.1187922811342449E-3</v>
      </c>
      <c r="E130" s="9"/>
      <c r="F130" s="9"/>
      <c r="G130" s="9"/>
      <c r="H130" s="9"/>
      <c r="I130" s="9"/>
      <c r="J130" s="9"/>
      <c r="K130" s="9"/>
      <c r="L130" s="9"/>
      <c r="M130" s="5"/>
      <c r="AJ130" s="2"/>
    </row>
    <row r="131" spans="1:36" x14ac:dyDescent="0.25">
      <c r="A131" s="36">
        <v>39995</v>
      </c>
      <c r="B131" s="37">
        <v>8.2189999999999994</v>
      </c>
      <c r="C131" s="9">
        <f t="shared" si="92"/>
        <v>1.6932919915052337E-2</v>
      </c>
      <c r="D131" s="9">
        <f t="shared" si="91"/>
        <v>1.6577446696679436E-2</v>
      </c>
      <c r="E131" s="9"/>
      <c r="F131" s="9"/>
      <c r="G131" s="9"/>
      <c r="H131" s="9"/>
      <c r="I131" s="9"/>
      <c r="J131" s="9"/>
      <c r="K131" s="9"/>
      <c r="L131" s="9"/>
      <c r="M131" s="5"/>
      <c r="AJ131" s="2"/>
    </row>
    <row r="132" spans="1:36" x14ac:dyDescent="0.25">
      <c r="A132" s="36">
        <v>39996</v>
      </c>
      <c r="B132" s="37">
        <v>8.0428999999999995</v>
      </c>
      <c r="C132" s="9">
        <f t="shared" si="92"/>
        <v>-2.1658832493425616E-2</v>
      </c>
      <c r="D132" s="9">
        <f t="shared" si="91"/>
        <v>-2.2014305711798517E-2</v>
      </c>
      <c r="E132" s="9"/>
      <c r="F132" s="9"/>
      <c r="G132" s="9"/>
      <c r="H132" s="9"/>
      <c r="I132" s="9"/>
      <c r="J132" s="9"/>
      <c r="K132" s="9"/>
      <c r="L132" s="9"/>
      <c r="M132" s="5"/>
      <c r="AJ132" s="2"/>
    </row>
    <row r="133" spans="1:36" x14ac:dyDescent="0.25">
      <c r="A133" s="36">
        <v>39997</v>
      </c>
      <c r="B133" s="37">
        <v>7.9570999999999996</v>
      </c>
      <c r="C133" s="9">
        <f t="shared" si="92"/>
        <v>-1.0725102805926182E-2</v>
      </c>
      <c r="D133" s="9">
        <f t="shared" si="91"/>
        <v>-1.1080576024299082E-2</v>
      </c>
      <c r="E133" s="9"/>
      <c r="F133" s="9"/>
      <c r="G133" s="9"/>
      <c r="H133" s="9"/>
      <c r="I133" s="9"/>
      <c r="J133" s="9"/>
      <c r="K133" s="9"/>
      <c r="L133" s="9"/>
      <c r="M133" s="5"/>
      <c r="AJ133" s="2"/>
    </row>
    <row r="134" spans="1:36" x14ac:dyDescent="0.25">
      <c r="A134" s="36">
        <v>40000</v>
      </c>
      <c r="B134" s="37">
        <v>7.7857000000000003</v>
      </c>
      <c r="C134" s="9">
        <f t="shared" si="92"/>
        <v>-2.1775894117194734E-2</v>
      </c>
      <c r="D134" s="9">
        <f t="shared" si="91"/>
        <v>-2.2131367335567635E-2</v>
      </c>
      <c r="E134" s="9"/>
      <c r="F134" s="9"/>
      <c r="G134" s="9"/>
      <c r="H134" s="9"/>
      <c r="I134" s="9"/>
      <c r="J134" s="9"/>
      <c r="K134" s="9"/>
      <c r="L134" s="9"/>
      <c r="M134" s="5"/>
      <c r="AJ134" s="2"/>
    </row>
    <row r="135" spans="1:36" x14ac:dyDescent="0.25">
      <c r="A135" s="36">
        <v>40001</v>
      </c>
      <c r="B135" s="37">
        <v>7.8094999999999999</v>
      </c>
      <c r="C135" s="9">
        <f t="shared" si="92"/>
        <v>3.0522235658235271E-3</v>
      </c>
      <c r="D135" s="9">
        <f t="shared" si="91"/>
        <v>2.6967503474506272E-3</v>
      </c>
      <c r="E135" s="9"/>
      <c r="F135" s="9"/>
      <c r="G135" s="9"/>
      <c r="H135" s="9"/>
      <c r="I135" s="9"/>
      <c r="J135" s="9"/>
      <c r="K135" s="9"/>
      <c r="L135" s="9"/>
      <c r="M135" s="5"/>
      <c r="AJ135" s="2"/>
    </row>
    <row r="136" spans="1:36" x14ac:dyDescent="0.25">
      <c r="A136" s="36">
        <v>40002</v>
      </c>
      <c r="B136" s="37">
        <v>7.7618999999999998</v>
      </c>
      <c r="C136" s="9">
        <f t="shared" si="92"/>
        <v>-6.1137917294214984E-3</v>
      </c>
      <c r="D136" s="9">
        <f t="shared" si="91"/>
        <v>-6.4692649477943983E-3</v>
      </c>
      <c r="E136" s="9"/>
      <c r="F136" s="9"/>
      <c r="G136" s="9"/>
      <c r="H136" s="9"/>
      <c r="I136" s="9"/>
      <c r="J136" s="9"/>
      <c r="K136" s="9"/>
      <c r="L136" s="9"/>
      <c r="M136" s="5"/>
      <c r="AJ136" s="2"/>
    </row>
    <row r="137" spans="1:36" x14ac:dyDescent="0.25">
      <c r="A137" s="36">
        <v>40003</v>
      </c>
      <c r="B137" s="37">
        <v>7.8475999999999999</v>
      </c>
      <c r="C137" s="9">
        <f t="shared" si="92"/>
        <v>1.0980602978318058E-2</v>
      </c>
      <c r="D137" s="9">
        <f t="shared" si="91"/>
        <v>1.0625129759945158E-2</v>
      </c>
      <c r="E137" s="9"/>
      <c r="F137" s="9"/>
      <c r="G137" s="9"/>
      <c r="H137" s="9"/>
      <c r="I137" s="9"/>
      <c r="J137" s="9"/>
      <c r="K137" s="9"/>
      <c r="L137" s="9"/>
      <c r="M137" s="5"/>
      <c r="AJ137" s="2"/>
    </row>
    <row r="138" spans="1:36" x14ac:dyDescent="0.25">
      <c r="A138" s="36">
        <v>40004</v>
      </c>
      <c r="B138" s="37">
        <v>7.7</v>
      </c>
      <c r="C138" s="9">
        <f t="shared" si="92"/>
        <v>-1.898742370489848E-2</v>
      </c>
      <c r="D138" s="9">
        <f t="shared" si="91"/>
        <v>-1.9342896923271381E-2</v>
      </c>
      <c r="E138" s="9"/>
      <c r="F138" s="9"/>
      <c r="G138" s="9"/>
      <c r="H138" s="9"/>
      <c r="I138" s="9"/>
      <c r="J138" s="9"/>
      <c r="K138" s="9"/>
      <c r="L138" s="9"/>
      <c r="M138" s="5"/>
      <c r="AJ138" s="2"/>
    </row>
    <row r="139" spans="1:36" x14ac:dyDescent="0.25">
      <c r="A139" s="36">
        <v>40007</v>
      </c>
      <c r="B139" s="37">
        <v>7.9094999999999995</v>
      </c>
      <c r="C139" s="9">
        <f t="shared" si="92"/>
        <v>2.6844239796858758E-2</v>
      </c>
      <c r="D139" s="9">
        <f t="shared" si="91"/>
        <v>2.6488766578485857E-2</v>
      </c>
      <c r="E139" s="9"/>
      <c r="F139" s="9"/>
      <c r="G139" s="9"/>
      <c r="H139" s="9"/>
      <c r="I139" s="9"/>
      <c r="J139" s="9"/>
      <c r="K139" s="9"/>
      <c r="L139" s="9"/>
      <c r="M139" s="5"/>
      <c r="AJ139" s="2"/>
    </row>
    <row r="140" spans="1:36" x14ac:dyDescent="0.25">
      <c r="A140" s="36">
        <v>40008</v>
      </c>
      <c r="B140" s="37">
        <v>8.2189999999999994</v>
      </c>
      <c r="C140" s="9">
        <f t="shared" si="92"/>
        <v>3.8383978509865746E-2</v>
      </c>
      <c r="D140" s="9">
        <f t="shared" si="91"/>
        <v>3.8028505291492848E-2</v>
      </c>
      <c r="E140" s="9"/>
      <c r="F140" s="9"/>
      <c r="G140" s="9"/>
      <c r="H140" s="9"/>
      <c r="I140" s="9"/>
      <c r="J140" s="9"/>
      <c r="K140" s="9"/>
      <c r="L140" s="9"/>
      <c r="M140" s="5"/>
      <c r="AJ140" s="2"/>
    </row>
    <row r="141" spans="1:36" x14ac:dyDescent="0.25">
      <c r="A141" s="36">
        <v>40009</v>
      </c>
      <c r="B141" s="37">
        <v>8.4094999999999995</v>
      </c>
      <c r="C141" s="9">
        <f t="shared" si="92"/>
        <v>2.2913472018987472E-2</v>
      </c>
      <c r="D141" s="9">
        <f t="shared" si="91"/>
        <v>2.255799880061457E-2</v>
      </c>
      <c r="E141" s="9"/>
      <c r="F141" s="9"/>
      <c r="G141" s="9"/>
      <c r="H141" s="9"/>
      <c r="I141" s="9"/>
      <c r="J141" s="9"/>
      <c r="K141" s="9"/>
      <c r="L141" s="9"/>
      <c r="M141" s="5"/>
      <c r="AJ141" s="2"/>
    </row>
    <row r="142" spans="1:36" x14ac:dyDescent="0.25">
      <c r="A142" s="36">
        <v>40010</v>
      </c>
      <c r="B142" s="37">
        <v>8.4381000000000004</v>
      </c>
      <c r="C142" s="9">
        <f t="shared" si="92"/>
        <v>3.3951455961338272E-3</v>
      </c>
      <c r="D142" s="9">
        <f t="shared" si="91"/>
        <v>3.0396723777609273E-3</v>
      </c>
      <c r="E142" s="9"/>
      <c r="F142" s="9"/>
      <c r="G142" s="9"/>
      <c r="H142" s="9"/>
      <c r="I142" s="9"/>
      <c r="J142" s="9"/>
      <c r="K142" s="9"/>
      <c r="L142" s="9"/>
      <c r="M142" s="5"/>
      <c r="AJ142" s="2"/>
    </row>
    <row r="143" spans="1:36" x14ac:dyDescent="0.25">
      <c r="A143" s="36">
        <v>40011</v>
      </c>
      <c r="B143" s="37">
        <v>8.4285999999999994</v>
      </c>
      <c r="C143" s="9">
        <f t="shared" si="92"/>
        <v>-1.126480106315067E-3</v>
      </c>
      <c r="D143" s="9">
        <f t="shared" si="91"/>
        <v>-1.4819533246879669E-3</v>
      </c>
      <c r="E143" s="9"/>
      <c r="F143" s="9"/>
      <c r="G143" s="9"/>
      <c r="H143" s="9"/>
      <c r="I143" s="9"/>
      <c r="J143" s="9"/>
      <c r="K143" s="9"/>
      <c r="L143" s="9"/>
      <c r="M143" s="5"/>
      <c r="AJ143" s="2"/>
    </row>
    <row r="144" spans="1:36" x14ac:dyDescent="0.25">
      <c r="A144" s="36">
        <v>40014</v>
      </c>
      <c r="B144" s="37">
        <v>8.5571000000000002</v>
      </c>
      <c r="C144" s="9">
        <f t="shared" si="92"/>
        <v>1.5130663031134035E-2</v>
      </c>
      <c r="D144" s="9">
        <f t="shared" si="91"/>
        <v>1.4775189812761136E-2</v>
      </c>
      <c r="E144" s="9"/>
      <c r="F144" s="9"/>
      <c r="G144" s="9"/>
      <c r="H144" s="9"/>
      <c r="I144" s="9"/>
      <c r="J144" s="9"/>
      <c r="K144" s="9"/>
      <c r="L144" s="9"/>
      <c r="M144" s="5"/>
      <c r="AJ144" s="2"/>
    </row>
    <row r="145" spans="1:36" x14ac:dyDescent="0.25">
      <c r="A145" s="36">
        <v>40015</v>
      </c>
      <c r="B145" s="37">
        <v>8.5667000000000009</v>
      </c>
      <c r="C145" s="9">
        <f t="shared" si="92"/>
        <v>1.1212465697748959E-3</v>
      </c>
      <c r="D145" s="9">
        <f t="shared" si="91"/>
        <v>7.6577335140199602E-4</v>
      </c>
      <c r="E145" s="9"/>
      <c r="F145" s="9"/>
      <c r="G145" s="9"/>
      <c r="H145" s="9"/>
      <c r="I145" s="9"/>
      <c r="J145" s="9"/>
      <c r="K145" s="9"/>
      <c r="L145" s="9"/>
      <c r="M145" s="5"/>
      <c r="AJ145" s="2"/>
    </row>
    <row r="146" spans="1:36" x14ac:dyDescent="0.25">
      <c r="A146" s="36">
        <v>40016</v>
      </c>
      <c r="B146" s="37">
        <v>8.6761999999999997</v>
      </c>
      <c r="C146" s="9">
        <f t="shared" si="92"/>
        <v>1.2701050520595164E-2</v>
      </c>
      <c r="D146" s="9">
        <f t="shared" si="91"/>
        <v>1.2345577302222265E-2</v>
      </c>
      <c r="E146" s="9"/>
      <c r="F146" s="9"/>
      <c r="G146" s="9"/>
      <c r="H146" s="9"/>
      <c r="I146" s="9"/>
      <c r="J146" s="9"/>
      <c r="K146" s="9"/>
      <c r="L146" s="9"/>
      <c r="M146" s="5"/>
      <c r="AJ146" s="2"/>
    </row>
    <row r="147" spans="1:36" x14ac:dyDescent="0.25">
      <c r="A147" s="36">
        <v>40017</v>
      </c>
      <c r="B147" s="37">
        <v>8.7761999999999993</v>
      </c>
      <c r="C147" s="9">
        <f t="shared" si="92"/>
        <v>1.1459867342287227E-2</v>
      </c>
      <c r="D147" s="9">
        <f t="shared" si="91"/>
        <v>1.1104394123914327E-2</v>
      </c>
      <c r="E147" s="9"/>
      <c r="F147" s="9"/>
      <c r="G147" s="9"/>
      <c r="H147" s="9"/>
      <c r="I147" s="9"/>
      <c r="J147" s="9"/>
      <c r="K147" s="9"/>
      <c r="L147" s="9"/>
      <c r="M147" s="5"/>
      <c r="AJ147" s="2"/>
    </row>
    <row r="148" spans="1:36" x14ac:dyDescent="0.25">
      <c r="A148" s="36">
        <v>40018</v>
      </c>
      <c r="B148" s="37">
        <v>8.7904999999999998</v>
      </c>
      <c r="C148" s="9">
        <f t="shared" si="92"/>
        <v>1.6280807617467476E-3</v>
      </c>
      <c r="D148" s="9">
        <f t="shared" si="91"/>
        <v>1.2726075433738477E-3</v>
      </c>
      <c r="E148" s="9"/>
      <c r="F148" s="9"/>
      <c r="G148" s="9"/>
      <c r="H148" s="9"/>
      <c r="I148" s="9"/>
      <c r="J148" s="9"/>
      <c r="K148" s="9"/>
      <c r="L148" s="9"/>
      <c r="M148" s="5"/>
      <c r="AJ148" s="2"/>
    </row>
    <row r="149" spans="1:36" x14ac:dyDescent="0.25">
      <c r="A149" s="36">
        <v>40021</v>
      </c>
      <c r="B149" s="37">
        <v>8.9238</v>
      </c>
      <c r="C149" s="9">
        <f t="shared" si="92"/>
        <v>1.5050271943763047E-2</v>
      </c>
      <c r="D149" s="9">
        <f t="shared" ref="D149:D212" si="93">C149-$C$59/252</f>
        <v>1.4694798725390147E-2</v>
      </c>
      <c r="E149" s="9"/>
      <c r="F149" s="9"/>
      <c r="G149" s="9"/>
      <c r="H149" s="9"/>
      <c r="I149" s="9"/>
      <c r="J149" s="9"/>
      <c r="K149" s="9"/>
      <c r="L149" s="9"/>
      <c r="M149" s="5"/>
      <c r="AJ149" s="2"/>
    </row>
    <row r="150" spans="1:36" x14ac:dyDescent="0.25">
      <c r="A150" s="36">
        <v>40022</v>
      </c>
      <c r="B150" s="37">
        <v>8.8951999999999991</v>
      </c>
      <c r="C150" s="9">
        <f t="shared" si="92"/>
        <v>-3.210059437567892E-3</v>
      </c>
      <c r="D150" s="9">
        <f t="shared" si="93"/>
        <v>-3.5655326559407919E-3</v>
      </c>
      <c r="E150" s="9"/>
      <c r="F150" s="9"/>
      <c r="G150" s="9"/>
      <c r="H150" s="9"/>
      <c r="I150" s="9"/>
      <c r="J150" s="9"/>
      <c r="K150" s="9"/>
      <c r="L150" s="9"/>
      <c r="M150" s="5"/>
      <c r="AJ150" s="2"/>
    </row>
    <row r="151" spans="1:36" x14ac:dyDescent="0.25">
      <c r="A151" s="36">
        <v>40023</v>
      </c>
      <c r="B151" s="37">
        <v>8.9952000000000005</v>
      </c>
      <c r="C151" s="9">
        <f t="shared" si="92"/>
        <v>1.1179296323173502E-2</v>
      </c>
      <c r="D151" s="9">
        <f t="shared" si="93"/>
        <v>1.0823823104800602E-2</v>
      </c>
      <c r="E151" s="9"/>
      <c r="F151" s="9"/>
      <c r="G151" s="9"/>
      <c r="H151" s="9"/>
      <c r="I151" s="9"/>
      <c r="J151" s="9"/>
      <c r="K151" s="9"/>
      <c r="L151" s="9"/>
      <c r="M151" s="5"/>
      <c r="AJ151" s="2"/>
    </row>
    <row r="152" spans="1:36" x14ac:dyDescent="0.25">
      <c r="A152" s="36">
        <v>40024</v>
      </c>
      <c r="B152" s="37">
        <v>9.1428999999999991</v>
      </c>
      <c r="C152" s="9">
        <f t="shared" si="92"/>
        <v>1.6286520063296336E-2</v>
      </c>
      <c r="D152" s="9">
        <f t="shared" si="93"/>
        <v>1.5931046844923434E-2</v>
      </c>
      <c r="E152" s="9"/>
      <c r="F152" s="9"/>
      <c r="G152" s="9"/>
      <c r="H152" s="9"/>
      <c r="I152" s="9"/>
      <c r="J152" s="9"/>
      <c r="K152" s="9"/>
      <c r="L152" s="9"/>
      <c r="M152" s="5"/>
      <c r="AJ152" s="2"/>
    </row>
    <row r="153" spans="1:36" x14ac:dyDescent="0.25">
      <c r="A153" s="36">
        <v>40025</v>
      </c>
      <c r="B153" s="37">
        <v>9.3810000000000002</v>
      </c>
      <c r="C153" s="9">
        <f t="shared" si="92"/>
        <v>2.5708745350441754E-2</v>
      </c>
      <c r="D153" s="9">
        <f t="shared" si="93"/>
        <v>2.5353272132068852E-2</v>
      </c>
      <c r="E153" s="9"/>
      <c r="F153" s="9"/>
      <c r="G153" s="9"/>
      <c r="H153" s="9"/>
      <c r="I153" s="9"/>
      <c r="J153" s="9"/>
      <c r="K153" s="9"/>
      <c r="L153" s="9"/>
      <c r="M153" s="5"/>
      <c r="AJ153" s="2"/>
    </row>
    <row r="154" spans="1:36" x14ac:dyDescent="0.25">
      <c r="A154" s="36">
        <v>40028</v>
      </c>
      <c r="B154" s="37">
        <v>9.4475999999999996</v>
      </c>
      <c r="C154" s="9">
        <f t="shared" si="92"/>
        <v>7.0743738524707131E-3</v>
      </c>
      <c r="D154" s="9">
        <f t="shared" si="93"/>
        <v>6.7189006340978132E-3</v>
      </c>
      <c r="E154" s="9"/>
      <c r="F154" s="9"/>
      <c r="G154" s="9"/>
      <c r="H154" s="9"/>
      <c r="I154" s="9"/>
      <c r="J154" s="9"/>
      <c r="K154" s="9"/>
      <c r="L154" s="9"/>
      <c r="M154" s="5"/>
      <c r="AJ154" s="2"/>
    </row>
    <row r="155" spans="1:36" x14ac:dyDescent="0.25">
      <c r="A155" s="36">
        <v>40029</v>
      </c>
      <c r="B155" s="37">
        <v>9.2761999999999993</v>
      </c>
      <c r="C155" s="9">
        <f t="shared" si="92"/>
        <v>-1.8308760817754947E-2</v>
      </c>
      <c r="D155" s="9">
        <f t="shared" si="93"/>
        <v>-1.8664234036127849E-2</v>
      </c>
      <c r="E155" s="9"/>
      <c r="F155" s="9"/>
      <c r="G155" s="9"/>
      <c r="H155" s="9"/>
      <c r="I155" s="9"/>
      <c r="J155" s="9"/>
      <c r="K155" s="9"/>
      <c r="L155" s="9"/>
      <c r="M155" s="5"/>
      <c r="AJ155" s="2"/>
    </row>
    <row r="156" spans="1:36" x14ac:dyDescent="0.25">
      <c r="A156" s="36">
        <v>40030</v>
      </c>
      <c r="B156" s="37">
        <v>9.2380999999999993</v>
      </c>
      <c r="C156" s="9">
        <f t="shared" si="92"/>
        <v>-4.1157433748400815E-3</v>
      </c>
      <c r="D156" s="9">
        <f t="shared" si="93"/>
        <v>-4.4712165932129814E-3</v>
      </c>
      <c r="E156" s="9"/>
      <c r="F156" s="9"/>
      <c r="G156" s="9"/>
      <c r="H156" s="9"/>
      <c r="I156" s="9"/>
      <c r="J156" s="9"/>
      <c r="K156" s="9"/>
      <c r="L156" s="9"/>
      <c r="M156" s="5"/>
      <c r="AJ156" s="2"/>
    </row>
    <row r="157" spans="1:36" x14ac:dyDescent="0.25">
      <c r="A157" s="36">
        <v>40031</v>
      </c>
      <c r="B157" s="37">
        <v>9.2380999999999993</v>
      </c>
      <c r="C157" s="9">
        <f t="shared" si="92"/>
        <v>0</v>
      </c>
      <c r="D157" s="9">
        <f t="shared" si="93"/>
        <v>-3.5547321837289993E-4</v>
      </c>
      <c r="E157" s="9"/>
      <c r="F157" s="9"/>
      <c r="G157" s="9"/>
      <c r="H157" s="9"/>
      <c r="I157" s="9"/>
      <c r="J157" s="9"/>
      <c r="K157" s="9"/>
      <c r="L157" s="9"/>
      <c r="M157" s="5"/>
      <c r="AJ157" s="2"/>
    </row>
    <row r="158" spans="1:36" x14ac:dyDescent="0.25">
      <c r="A158" s="36">
        <v>40032</v>
      </c>
      <c r="B158" s="37">
        <v>9.2095000000000002</v>
      </c>
      <c r="C158" s="9">
        <f t="shared" si="92"/>
        <v>-3.1006768266691712E-3</v>
      </c>
      <c r="D158" s="9">
        <f t="shared" si="93"/>
        <v>-3.456150045042071E-3</v>
      </c>
      <c r="E158" s="9"/>
      <c r="F158" s="9"/>
      <c r="G158" s="9"/>
      <c r="H158" s="9"/>
      <c r="I158" s="9"/>
      <c r="J158" s="9"/>
      <c r="K158" s="9"/>
      <c r="L158" s="9"/>
      <c r="M158" s="5"/>
      <c r="AJ158" s="2"/>
    </row>
    <row r="159" spans="1:36" x14ac:dyDescent="0.25">
      <c r="A159" s="36">
        <v>40035</v>
      </c>
      <c r="B159" s="37">
        <v>9.1143000000000001</v>
      </c>
      <c r="C159" s="9">
        <f t="shared" si="92"/>
        <v>-1.0390951284698965E-2</v>
      </c>
      <c r="D159" s="9">
        <f t="shared" si="93"/>
        <v>-1.0746424503071865E-2</v>
      </c>
      <c r="E159" s="9"/>
      <c r="F159" s="9"/>
      <c r="G159" s="9"/>
      <c r="H159" s="9"/>
      <c r="I159" s="9"/>
      <c r="J159" s="9"/>
      <c r="K159" s="9"/>
      <c r="L159" s="9"/>
      <c r="M159" s="5"/>
      <c r="AJ159" s="2"/>
    </row>
    <row r="160" spans="1:36" x14ac:dyDescent="0.25">
      <c r="A160" s="36">
        <v>40036</v>
      </c>
      <c r="B160" s="37">
        <v>9.1761999999999997</v>
      </c>
      <c r="C160" s="9">
        <f t="shared" si="92"/>
        <v>6.7685668867566266E-3</v>
      </c>
      <c r="D160" s="9">
        <f t="shared" si="93"/>
        <v>6.4130936683837268E-3</v>
      </c>
      <c r="E160" s="9"/>
      <c r="F160" s="9"/>
      <c r="G160" s="9"/>
      <c r="H160" s="9"/>
      <c r="I160" s="9"/>
      <c r="J160" s="9"/>
      <c r="K160" s="9"/>
      <c r="L160" s="9"/>
      <c r="M160" s="5"/>
      <c r="AJ160" s="2"/>
    </row>
    <row r="161" spans="1:36" x14ac:dyDescent="0.25">
      <c r="A161" s="36">
        <v>40037</v>
      </c>
      <c r="B161" s="37">
        <v>9.0952000000000002</v>
      </c>
      <c r="C161" s="9">
        <f t="shared" si="92"/>
        <v>-8.8663737463185958E-3</v>
      </c>
      <c r="D161" s="9">
        <f t="shared" si="93"/>
        <v>-9.2218469646914956E-3</v>
      </c>
      <c r="E161" s="9"/>
      <c r="F161" s="9"/>
      <c r="G161" s="9"/>
      <c r="H161" s="9"/>
      <c r="I161" s="9"/>
      <c r="J161" s="9"/>
      <c r="K161" s="9"/>
      <c r="L161" s="9"/>
      <c r="M161" s="5"/>
      <c r="AJ161" s="2"/>
    </row>
    <row r="162" spans="1:36" x14ac:dyDescent="0.25">
      <c r="A162" s="36">
        <v>40038</v>
      </c>
      <c r="B162" s="37">
        <v>9.2667000000000002</v>
      </c>
      <c r="C162" s="9">
        <f t="shared" si="92"/>
        <v>1.8680527311554451E-2</v>
      </c>
      <c r="D162" s="9">
        <f t="shared" si="93"/>
        <v>1.832505409318155E-2</v>
      </c>
      <c r="E162" s="9"/>
      <c r="F162" s="9"/>
      <c r="G162" s="9"/>
      <c r="H162" s="9"/>
      <c r="I162" s="9"/>
      <c r="J162" s="9"/>
      <c r="K162" s="9"/>
      <c r="L162" s="9"/>
      <c r="M162" s="5"/>
      <c r="AJ162" s="2"/>
    </row>
    <row r="163" spans="1:36" x14ac:dyDescent="0.25">
      <c r="A163" s="36">
        <v>40039</v>
      </c>
      <c r="B163" s="37">
        <v>9.2904999999999998</v>
      </c>
      <c r="C163" s="9">
        <f t="shared" si="92"/>
        <v>2.5650435463579215E-3</v>
      </c>
      <c r="D163" s="9">
        <f t="shared" si="93"/>
        <v>2.2095703279850216E-3</v>
      </c>
      <c r="E163" s="9"/>
      <c r="F163" s="9"/>
      <c r="G163" s="9"/>
      <c r="H163" s="9"/>
      <c r="I163" s="9"/>
      <c r="J163" s="9"/>
      <c r="K163" s="9"/>
      <c r="L163" s="9"/>
      <c r="M163" s="5"/>
      <c r="AJ163" s="2"/>
    </row>
    <row r="164" spans="1:36" x14ac:dyDescent="0.25">
      <c r="A164" s="36">
        <v>40042</v>
      </c>
      <c r="B164" s="37">
        <v>8.9762000000000004</v>
      </c>
      <c r="C164" s="9">
        <f t="shared" si="92"/>
        <v>-3.4415742518635078E-2</v>
      </c>
      <c r="D164" s="9">
        <f t="shared" si="93"/>
        <v>-3.4771215737007977E-2</v>
      </c>
      <c r="E164" s="9"/>
      <c r="F164" s="9"/>
      <c r="G164" s="9"/>
      <c r="H164" s="9"/>
      <c r="I164" s="9"/>
      <c r="J164" s="9"/>
      <c r="K164" s="9"/>
      <c r="L164" s="9"/>
      <c r="M164" s="5"/>
      <c r="AJ164" s="2"/>
    </row>
    <row r="165" spans="1:36" x14ac:dyDescent="0.25">
      <c r="A165" s="36">
        <v>40043</v>
      </c>
      <c r="B165" s="37">
        <v>8.9856999999999996</v>
      </c>
      <c r="C165" s="9">
        <f t="shared" si="92"/>
        <v>1.0577946526612704E-3</v>
      </c>
      <c r="D165" s="9">
        <f t="shared" si="93"/>
        <v>7.0232143428837056E-4</v>
      </c>
      <c r="E165" s="9"/>
      <c r="F165" s="9"/>
      <c r="G165" s="9"/>
      <c r="H165" s="9"/>
      <c r="I165" s="9"/>
      <c r="J165" s="9"/>
      <c r="K165" s="9"/>
      <c r="L165" s="9"/>
      <c r="M165" s="5"/>
      <c r="AJ165" s="2"/>
    </row>
    <row r="166" spans="1:36" x14ac:dyDescent="0.25">
      <c r="A166" s="36">
        <v>40044</v>
      </c>
      <c r="B166" s="37">
        <v>8.9047999999999998</v>
      </c>
      <c r="C166" s="9">
        <f t="shared" si="92"/>
        <v>-9.0439676278195168E-3</v>
      </c>
      <c r="D166" s="9">
        <f t="shared" si="93"/>
        <v>-9.3994408461924167E-3</v>
      </c>
      <c r="E166" s="9"/>
      <c r="F166" s="9"/>
      <c r="G166" s="9"/>
      <c r="H166" s="9"/>
      <c r="I166" s="9"/>
      <c r="J166" s="9"/>
      <c r="K166" s="9"/>
      <c r="L166" s="9"/>
      <c r="M166" s="5"/>
      <c r="AJ166" s="2"/>
    </row>
    <row r="167" spans="1:36" x14ac:dyDescent="0.25">
      <c r="A167" s="36">
        <v>40045</v>
      </c>
      <c r="B167" s="37">
        <v>8.8856999999999999</v>
      </c>
      <c r="C167" s="9">
        <f t="shared" si="92"/>
        <v>-2.1472142253927402E-3</v>
      </c>
      <c r="D167" s="9">
        <f t="shared" si="93"/>
        <v>-2.5026874437656401E-3</v>
      </c>
      <c r="E167" s="9"/>
      <c r="F167" s="9"/>
      <c r="G167" s="9"/>
      <c r="H167" s="9"/>
      <c r="I167" s="9"/>
      <c r="J167" s="9"/>
      <c r="K167" s="9"/>
      <c r="L167" s="9"/>
      <c r="M167" s="5"/>
      <c r="AJ167" s="2"/>
    </row>
    <row r="168" spans="1:36" x14ac:dyDescent="0.25">
      <c r="A168" s="36">
        <v>40046</v>
      </c>
      <c r="B168" s="37">
        <v>8.9475999999999996</v>
      </c>
      <c r="C168" s="9">
        <f t="shared" si="92"/>
        <v>6.9420969303338378E-3</v>
      </c>
      <c r="D168" s="9">
        <f t="shared" si="93"/>
        <v>6.5866237119609379E-3</v>
      </c>
      <c r="E168" s="9"/>
      <c r="F168" s="9"/>
      <c r="G168" s="9"/>
      <c r="H168" s="9"/>
      <c r="I168" s="9"/>
      <c r="J168" s="9"/>
      <c r="K168" s="9"/>
      <c r="L168" s="9"/>
      <c r="M168" s="5"/>
      <c r="AJ168" s="2"/>
    </row>
    <row r="169" spans="1:36" x14ac:dyDescent="0.25">
      <c r="A169" s="36">
        <v>40049</v>
      </c>
      <c r="B169" s="37">
        <v>9.1809999999999992</v>
      </c>
      <c r="C169" s="9">
        <f t="shared" si="92"/>
        <v>2.5750791259742795E-2</v>
      </c>
      <c r="D169" s="9">
        <f t="shared" si="93"/>
        <v>2.5395318041369894E-2</v>
      </c>
      <c r="E169" s="9"/>
      <c r="F169" s="9"/>
      <c r="G169" s="9"/>
      <c r="H169" s="9"/>
      <c r="I169" s="9"/>
      <c r="J169" s="9"/>
      <c r="K169" s="9"/>
      <c r="L169" s="9"/>
      <c r="M169" s="5"/>
      <c r="AJ169" s="2"/>
    </row>
    <row r="170" spans="1:36" x14ac:dyDescent="0.25">
      <c r="A170" s="36">
        <v>40050</v>
      </c>
      <c r="B170" s="37">
        <v>9.3856999999999999</v>
      </c>
      <c r="C170" s="9">
        <f t="shared" si="92"/>
        <v>2.2051123202515087E-2</v>
      </c>
      <c r="D170" s="9">
        <f t="shared" si="93"/>
        <v>2.1695649984142185E-2</v>
      </c>
      <c r="E170" s="9"/>
      <c r="F170" s="9"/>
      <c r="G170" s="9"/>
      <c r="H170" s="9"/>
      <c r="I170" s="9"/>
      <c r="J170" s="9"/>
      <c r="K170" s="9"/>
      <c r="L170" s="9"/>
      <c r="M170" s="5"/>
      <c r="AJ170" s="2"/>
    </row>
    <row r="171" spans="1:36" x14ac:dyDescent="0.25">
      <c r="A171" s="36">
        <v>40051</v>
      </c>
      <c r="B171" s="37">
        <v>9.2857000000000003</v>
      </c>
      <c r="C171" s="9">
        <f t="shared" si="92"/>
        <v>-1.071167198647598E-2</v>
      </c>
      <c r="D171" s="9">
        <f t="shared" si="93"/>
        <v>-1.106714520484888E-2</v>
      </c>
      <c r="E171" s="9"/>
      <c r="F171" s="9"/>
      <c r="G171" s="9"/>
      <c r="H171" s="9"/>
      <c r="I171" s="9"/>
      <c r="J171" s="9"/>
      <c r="K171" s="9"/>
      <c r="L171" s="9"/>
      <c r="M171" s="5"/>
      <c r="AJ171" s="2"/>
    </row>
    <row r="172" spans="1:36" x14ac:dyDescent="0.25">
      <c r="A172" s="36">
        <v>40052</v>
      </c>
      <c r="B172" s="37">
        <v>9.2189999999999994</v>
      </c>
      <c r="C172" s="9">
        <f t="shared" si="92"/>
        <v>-7.2090105611447132E-3</v>
      </c>
      <c r="D172" s="9">
        <f t="shared" si="93"/>
        <v>-7.5644837795176131E-3</v>
      </c>
      <c r="E172" s="9"/>
      <c r="F172" s="9"/>
      <c r="G172" s="9"/>
      <c r="H172" s="9"/>
      <c r="I172" s="9"/>
      <c r="J172" s="9"/>
      <c r="K172" s="9"/>
      <c r="L172" s="9"/>
      <c r="M172" s="5"/>
      <c r="AJ172" s="2"/>
    </row>
    <row r="173" spans="1:36" x14ac:dyDescent="0.25">
      <c r="A173" s="36">
        <v>40053</v>
      </c>
      <c r="B173" s="37">
        <v>9.2713999999999999</v>
      </c>
      <c r="C173" s="9">
        <f t="shared" si="92"/>
        <v>5.6678211694268987E-3</v>
      </c>
      <c r="D173" s="9">
        <f t="shared" si="93"/>
        <v>5.3123479510539988E-3</v>
      </c>
      <c r="E173" s="9"/>
      <c r="F173" s="9"/>
      <c r="G173" s="9"/>
      <c r="H173" s="9"/>
      <c r="I173" s="9"/>
      <c r="J173" s="9"/>
      <c r="K173" s="9"/>
      <c r="L173" s="9"/>
      <c r="M173" s="5"/>
      <c r="AJ173" s="2"/>
    </row>
    <row r="174" spans="1:36" x14ac:dyDescent="0.25">
      <c r="A174" s="36">
        <v>40056</v>
      </c>
      <c r="B174" s="37">
        <v>9.1143000000000001</v>
      </c>
      <c r="C174" s="9">
        <f t="shared" si="92"/>
        <v>-1.7089784293562359E-2</v>
      </c>
      <c r="D174" s="9">
        <f t="shared" si="93"/>
        <v>-1.744525751193526E-2</v>
      </c>
      <c r="E174" s="9"/>
      <c r="F174" s="9"/>
      <c r="G174" s="9"/>
      <c r="H174" s="9"/>
      <c r="I174" s="9"/>
      <c r="J174" s="9"/>
      <c r="K174" s="9"/>
      <c r="L174" s="9"/>
      <c r="M174" s="5"/>
      <c r="AJ174" s="2"/>
    </row>
    <row r="175" spans="1:36" x14ac:dyDescent="0.25">
      <c r="A175" s="36">
        <v>40057</v>
      </c>
      <c r="B175" s="37">
        <v>8.9</v>
      </c>
      <c r="C175" s="9">
        <f t="shared" si="92"/>
        <v>-2.3793331954227483E-2</v>
      </c>
      <c r="D175" s="9">
        <f t="shared" si="93"/>
        <v>-2.4148805172600384E-2</v>
      </c>
      <c r="E175" s="9"/>
      <c r="F175" s="9"/>
      <c r="G175" s="9"/>
      <c r="H175" s="9"/>
      <c r="I175" s="9"/>
      <c r="J175" s="9"/>
      <c r="K175" s="9"/>
      <c r="L175" s="9"/>
      <c r="M175" s="5"/>
      <c r="AJ175" s="2"/>
    </row>
    <row r="176" spans="1:36" x14ac:dyDescent="0.25">
      <c r="A176" s="36">
        <v>40058</v>
      </c>
      <c r="B176" s="37">
        <v>9.0143000000000004</v>
      </c>
      <c r="C176" s="9">
        <f t="shared" si="92"/>
        <v>1.2760928538558088E-2</v>
      </c>
      <c r="D176" s="9">
        <f t="shared" si="93"/>
        <v>1.2405455320185188E-2</v>
      </c>
      <c r="E176" s="9"/>
      <c r="F176" s="9"/>
      <c r="G176" s="9"/>
      <c r="H176" s="9"/>
      <c r="I176" s="9"/>
      <c r="J176" s="9"/>
      <c r="K176" s="9"/>
      <c r="L176" s="9"/>
      <c r="M176" s="5"/>
      <c r="AJ176" s="2"/>
    </row>
    <row r="177" spans="1:36" x14ac:dyDescent="0.25">
      <c r="A177" s="36">
        <v>40059</v>
      </c>
      <c r="B177" s="37">
        <v>9.0333000000000006</v>
      </c>
      <c r="C177" s="9">
        <f t="shared" si="92"/>
        <v>2.1055438971847866E-3</v>
      </c>
      <c r="D177" s="9">
        <f t="shared" si="93"/>
        <v>1.7500706788118867E-3</v>
      </c>
      <c r="E177" s="9"/>
      <c r="F177" s="9"/>
      <c r="G177" s="9"/>
      <c r="H177" s="9"/>
      <c r="I177" s="9"/>
      <c r="J177" s="9"/>
      <c r="K177" s="9"/>
      <c r="L177" s="9"/>
      <c r="M177" s="5"/>
      <c r="AJ177" s="2"/>
    </row>
    <row r="178" spans="1:36" x14ac:dyDescent="0.25">
      <c r="A178" s="36">
        <v>40060</v>
      </c>
      <c r="B178" s="37">
        <v>9.1714000000000002</v>
      </c>
      <c r="C178" s="9">
        <f t="shared" si="92"/>
        <v>1.5172197197115345E-2</v>
      </c>
      <c r="D178" s="9">
        <f t="shared" si="93"/>
        <v>1.4816723978742445E-2</v>
      </c>
      <c r="E178" s="9"/>
      <c r="F178" s="9"/>
      <c r="G178" s="9"/>
      <c r="H178" s="9"/>
      <c r="I178" s="9"/>
      <c r="J178" s="9"/>
      <c r="K178" s="9"/>
      <c r="L178" s="9"/>
      <c r="M178" s="5"/>
      <c r="AJ178" s="2"/>
    </row>
    <row r="179" spans="1:36" x14ac:dyDescent="0.25">
      <c r="A179" s="36">
        <v>40063</v>
      </c>
      <c r="B179" s="37">
        <v>9.1189999999999998</v>
      </c>
      <c r="C179" s="9">
        <f t="shared" si="92"/>
        <v>-5.7297974194237657E-3</v>
      </c>
      <c r="D179" s="9">
        <f t="shared" si="93"/>
        <v>-6.0852706377966656E-3</v>
      </c>
      <c r="E179" s="9"/>
      <c r="F179" s="9"/>
      <c r="G179" s="9"/>
      <c r="H179" s="9"/>
      <c r="I179" s="9"/>
      <c r="J179" s="9"/>
      <c r="K179" s="9"/>
      <c r="L179" s="9"/>
      <c r="M179" s="5"/>
      <c r="AJ179" s="2"/>
    </row>
    <row r="180" spans="1:36" x14ac:dyDescent="0.25">
      <c r="A180" s="36">
        <v>40064</v>
      </c>
      <c r="B180" s="37">
        <v>9.1905000000000001</v>
      </c>
      <c r="C180" s="9">
        <f t="shared" si="92"/>
        <v>7.8101929001534636E-3</v>
      </c>
      <c r="D180" s="9">
        <f t="shared" si="93"/>
        <v>7.4547196817805637E-3</v>
      </c>
      <c r="E180" s="9"/>
      <c r="F180" s="9"/>
      <c r="G180" s="9"/>
      <c r="H180" s="9"/>
      <c r="I180" s="9"/>
      <c r="J180" s="9"/>
      <c r="K180" s="9"/>
      <c r="L180" s="9"/>
      <c r="M180" s="5"/>
      <c r="AJ180" s="2"/>
    </row>
    <row r="181" spans="1:36" x14ac:dyDescent="0.25">
      <c r="A181" s="36">
        <v>40065</v>
      </c>
      <c r="B181" s="37">
        <v>9.1618999999999993</v>
      </c>
      <c r="C181" s="9">
        <f t="shared" si="92"/>
        <v>-3.1167610941536675E-3</v>
      </c>
      <c r="D181" s="9">
        <f t="shared" si="93"/>
        <v>-3.4722343125265674E-3</v>
      </c>
      <c r="E181" s="9"/>
      <c r="F181" s="9"/>
      <c r="G181" s="9"/>
      <c r="H181" s="9"/>
      <c r="I181" s="9"/>
      <c r="J181" s="9"/>
      <c r="K181" s="9"/>
      <c r="L181" s="9"/>
      <c r="M181" s="5"/>
      <c r="AJ181" s="2"/>
    </row>
    <row r="182" spans="1:36" x14ac:dyDescent="0.25">
      <c r="A182" s="36">
        <v>40066</v>
      </c>
      <c r="B182" s="37">
        <v>9.1618999999999993</v>
      </c>
      <c r="C182" s="9">
        <f t="shared" si="92"/>
        <v>0</v>
      </c>
      <c r="D182" s="9">
        <f t="shared" si="93"/>
        <v>-3.5547321837289993E-4</v>
      </c>
      <c r="E182" s="9"/>
      <c r="F182" s="9"/>
      <c r="G182" s="9"/>
      <c r="H182" s="9"/>
      <c r="I182" s="9"/>
      <c r="J182" s="9"/>
      <c r="K182" s="9"/>
      <c r="L182" s="9"/>
      <c r="M182" s="5"/>
      <c r="AJ182" s="2"/>
    </row>
    <row r="183" spans="1:36" x14ac:dyDescent="0.25">
      <c r="A183" s="36">
        <v>40067</v>
      </c>
      <c r="B183" s="37">
        <v>9.1143000000000001</v>
      </c>
      <c r="C183" s="9">
        <f t="shared" si="92"/>
        <v>-5.2089720652065599E-3</v>
      </c>
      <c r="D183" s="9">
        <f t="shared" si="93"/>
        <v>-5.5644452835794597E-3</v>
      </c>
      <c r="E183" s="9"/>
      <c r="F183" s="9"/>
      <c r="G183" s="9"/>
      <c r="H183" s="9"/>
      <c r="I183" s="9"/>
      <c r="J183" s="9"/>
      <c r="K183" s="9"/>
      <c r="L183" s="9"/>
      <c r="M183" s="5"/>
      <c r="AJ183" s="2"/>
    </row>
    <row r="184" spans="1:36" x14ac:dyDescent="0.25">
      <c r="A184" s="36">
        <v>40070</v>
      </c>
      <c r="B184" s="37">
        <v>9.0856999999999992</v>
      </c>
      <c r="C184" s="9">
        <f t="shared" si="92"/>
        <v>-3.1428597298386648E-3</v>
      </c>
      <c r="D184" s="9">
        <f t="shared" si="93"/>
        <v>-3.4983329482115647E-3</v>
      </c>
      <c r="E184" s="9"/>
      <c r="F184" s="9"/>
      <c r="G184" s="9"/>
      <c r="H184" s="9"/>
      <c r="I184" s="9"/>
      <c r="J184" s="9"/>
      <c r="K184" s="9"/>
      <c r="L184" s="9"/>
      <c r="M184" s="5"/>
      <c r="AJ184" s="2"/>
    </row>
    <row r="185" spans="1:36" x14ac:dyDescent="0.25">
      <c r="A185" s="36">
        <v>40071</v>
      </c>
      <c r="B185" s="37">
        <v>9.0524000000000004</v>
      </c>
      <c r="C185" s="9">
        <f t="shared" si="92"/>
        <v>-3.6718330380286429E-3</v>
      </c>
      <c r="D185" s="9">
        <f t="shared" si="93"/>
        <v>-4.0273062564015428E-3</v>
      </c>
      <c r="E185" s="9"/>
      <c r="F185" s="9"/>
      <c r="G185" s="9"/>
      <c r="H185" s="9"/>
      <c r="I185" s="9"/>
      <c r="J185" s="9"/>
      <c r="K185" s="9"/>
      <c r="L185" s="9"/>
      <c r="M185" s="5"/>
      <c r="AJ185" s="2"/>
    </row>
    <row r="186" spans="1:36" x14ac:dyDescent="0.25">
      <c r="A186" s="36">
        <v>40072</v>
      </c>
      <c r="B186" s="37">
        <v>9.4332999999999991</v>
      </c>
      <c r="C186" s="9">
        <f t="shared" si="92"/>
        <v>4.1216066481480108E-2</v>
      </c>
      <c r="D186" s="9">
        <f t="shared" si="93"/>
        <v>4.086059326310721E-2</v>
      </c>
      <c r="E186" s="9"/>
      <c r="F186" s="9"/>
      <c r="G186" s="9"/>
      <c r="H186" s="9"/>
      <c r="I186" s="9"/>
      <c r="J186" s="9"/>
      <c r="K186" s="9"/>
      <c r="L186" s="9"/>
      <c r="M186" s="5"/>
      <c r="AJ186" s="2"/>
    </row>
    <row r="187" spans="1:36" x14ac:dyDescent="0.25">
      <c r="A187" s="36">
        <v>40073</v>
      </c>
      <c r="B187" s="37">
        <v>9.3048000000000002</v>
      </c>
      <c r="C187" s="9">
        <f t="shared" si="92"/>
        <v>-1.3715586363242478E-2</v>
      </c>
      <c r="D187" s="9">
        <f t="shared" si="93"/>
        <v>-1.4071059581615378E-2</v>
      </c>
      <c r="E187" s="9"/>
      <c r="F187" s="9"/>
      <c r="G187" s="9"/>
      <c r="H187" s="9"/>
      <c r="I187" s="9"/>
      <c r="J187" s="9"/>
      <c r="K187" s="9"/>
      <c r="L187" s="9"/>
      <c r="M187" s="5"/>
      <c r="AJ187" s="2"/>
    </row>
    <row r="188" spans="1:36" x14ac:dyDescent="0.25">
      <c r="A188" s="36">
        <v>40074</v>
      </c>
      <c r="B188" s="37">
        <v>9.5714000000000006</v>
      </c>
      <c r="C188" s="9">
        <f t="shared" si="92"/>
        <v>2.8249089213878493E-2</v>
      </c>
      <c r="D188" s="9">
        <f t="shared" si="93"/>
        <v>2.7893615995505591E-2</v>
      </c>
      <c r="E188" s="9"/>
      <c r="F188" s="9"/>
      <c r="G188" s="9"/>
      <c r="H188" s="9"/>
      <c r="I188" s="9"/>
      <c r="J188" s="9"/>
      <c r="K188" s="9"/>
      <c r="L188" s="9"/>
      <c r="M188" s="5"/>
      <c r="AJ188" s="2"/>
    </row>
    <row r="189" spans="1:36" x14ac:dyDescent="0.25">
      <c r="A189" s="36">
        <v>40077</v>
      </c>
      <c r="B189" s="37">
        <v>9.3619000000000003</v>
      </c>
      <c r="C189" s="9">
        <f t="shared" ref="C189:C252" si="94">LN(B189/B188)</f>
        <v>-2.2131223914055739E-2</v>
      </c>
      <c r="D189" s="9">
        <f t="shared" si="93"/>
        <v>-2.2486697132428641E-2</v>
      </c>
      <c r="E189" s="9"/>
      <c r="F189" s="9"/>
      <c r="G189" s="9"/>
      <c r="H189" s="9"/>
      <c r="I189" s="9"/>
      <c r="J189" s="9"/>
      <c r="K189" s="9"/>
      <c r="L189" s="9"/>
      <c r="M189" s="5"/>
      <c r="AJ189" s="2"/>
    </row>
    <row r="190" spans="1:36" x14ac:dyDescent="0.25">
      <c r="A190" s="36">
        <v>40078</v>
      </c>
      <c r="B190" s="37">
        <v>9.3332999999999995</v>
      </c>
      <c r="C190" s="9">
        <f t="shared" si="94"/>
        <v>-3.0596112703697043E-3</v>
      </c>
      <c r="D190" s="9">
        <f t="shared" si="93"/>
        <v>-3.4150844887426042E-3</v>
      </c>
      <c r="E190" s="9"/>
      <c r="F190" s="9"/>
      <c r="G190" s="9"/>
      <c r="H190" s="9"/>
      <c r="I190" s="9"/>
      <c r="J190" s="9"/>
      <c r="K190" s="9"/>
      <c r="L190" s="9"/>
      <c r="M190" s="5"/>
      <c r="AJ190" s="2"/>
    </row>
    <row r="191" spans="1:36" x14ac:dyDescent="0.25">
      <c r="A191" s="36">
        <v>40079</v>
      </c>
      <c r="B191" s="37">
        <v>9.3570999999999991</v>
      </c>
      <c r="C191" s="9">
        <f t="shared" si="94"/>
        <v>2.5467633505869107E-3</v>
      </c>
      <c r="D191" s="9">
        <f t="shared" si="93"/>
        <v>2.1912901322140108E-3</v>
      </c>
      <c r="E191" s="9"/>
      <c r="F191" s="9"/>
      <c r="G191" s="9"/>
      <c r="H191" s="9"/>
      <c r="I191" s="9"/>
      <c r="J191" s="9"/>
      <c r="K191" s="9"/>
      <c r="L191" s="9"/>
      <c r="M191" s="5"/>
      <c r="AJ191" s="2"/>
    </row>
    <row r="192" spans="1:36" x14ac:dyDescent="0.25">
      <c r="A192" s="36">
        <v>40080</v>
      </c>
      <c r="B192" s="37">
        <v>9.5237999999999996</v>
      </c>
      <c r="C192" s="9">
        <f t="shared" si="94"/>
        <v>1.7658515401381473E-2</v>
      </c>
      <c r="D192" s="9">
        <f t="shared" si="93"/>
        <v>1.7303042183008571E-2</v>
      </c>
      <c r="E192" s="9"/>
      <c r="F192" s="9"/>
      <c r="G192" s="9"/>
      <c r="H192" s="9"/>
      <c r="I192" s="9"/>
      <c r="J192" s="9"/>
      <c r="K192" s="9"/>
      <c r="L192" s="9"/>
      <c r="M192" s="5"/>
      <c r="AJ192" s="2"/>
    </row>
    <row r="193" spans="1:36" x14ac:dyDescent="0.25">
      <c r="A193" s="36">
        <v>40081</v>
      </c>
      <c r="B193" s="37">
        <v>9.4713999999999992</v>
      </c>
      <c r="C193" s="9">
        <f t="shared" si="94"/>
        <v>-5.5171972834119907E-3</v>
      </c>
      <c r="D193" s="9">
        <f t="shared" si="93"/>
        <v>-5.8726705017848905E-3</v>
      </c>
      <c r="E193" s="9"/>
      <c r="F193" s="9"/>
      <c r="G193" s="9"/>
      <c r="H193" s="9"/>
      <c r="I193" s="9"/>
      <c r="J193" s="9"/>
      <c r="K193" s="9"/>
      <c r="L193" s="9"/>
      <c r="M193" s="5"/>
      <c r="AJ193" s="2"/>
    </row>
    <row r="194" spans="1:36" x14ac:dyDescent="0.25">
      <c r="A194" s="36">
        <v>40084</v>
      </c>
      <c r="B194" s="37">
        <v>9.35</v>
      </c>
      <c r="C194" s="9">
        <f t="shared" si="94"/>
        <v>-1.2900388240106041E-2</v>
      </c>
      <c r="D194" s="9">
        <f t="shared" si="93"/>
        <v>-1.3255861458478941E-2</v>
      </c>
      <c r="E194" s="9"/>
      <c r="F194" s="9"/>
      <c r="G194" s="9"/>
      <c r="H194" s="9"/>
      <c r="I194" s="9"/>
      <c r="J194" s="9"/>
      <c r="K194" s="9"/>
      <c r="L194" s="9"/>
      <c r="M194" s="5"/>
      <c r="AJ194" s="2"/>
    </row>
    <row r="195" spans="1:36" x14ac:dyDescent="0.25">
      <c r="A195" s="36">
        <v>40085</v>
      </c>
      <c r="B195" s="37">
        <v>9.3849999999999998</v>
      </c>
      <c r="C195" s="9">
        <f t="shared" si="94"/>
        <v>3.7363267378764369E-3</v>
      </c>
      <c r="D195" s="9">
        <f t="shared" si="93"/>
        <v>3.380853519503537E-3</v>
      </c>
      <c r="E195" s="9"/>
      <c r="F195" s="9"/>
      <c r="G195" s="9"/>
      <c r="H195" s="9"/>
      <c r="I195" s="9"/>
      <c r="J195" s="9"/>
      <c r="K195" s="9"/>
      <c r="L195" s="9"/>
      <c r="M195" s="5"/>
      <c r="AJ195" s="2"/>
    </row>
    <row r="196" spans="1:36" x14ac:dyDescent="0.25">
      <c r="A196" s="36">
        <v>40086</v>
      </c>
      <c r="B196" s="37">
        <v>9.34</v>
      </c>
      <c r="C196" s="9">
        <f t="shared" si="94"/>
        <v>-4.8064177977208671E-3</v>
      </c>
      <c r="D196" s="9">
        <f t="shared" si="93"/>
        <v>-5.161891016093767E-3</v>
      </c>
      <c r="E196" s="9"/>
      <c r="F196" s="9"/>
      <c r="G196" s="9"/>
      <c r="H196" s="9"/>
      <c r="I196" s="9"/>
      <c r="J196" s="9"/>
      <c r="K196" s="9"/>
      <c r="L196" s="9"/>
      <c r="M196" s="5"/>
      <c r="AJ196" s="2"/>
    </row>
    <row r="197" spans="1:36" x14ac:dyDescent="0.25">
      <c r="A197" s="36">
        <v>40087</v>
      </c>
      <c r="B197" s="37">
        <v>9.2200000000000006</v>
      </c>
      <c r="C197" s="9">
        <f t="shared" si="94"/>
        <v>-1.2931214672248666E-2</v>
      </c>
      <c r="D197" s="9">
        <f t="shared" si="93"/>
        <v>-1.3286687890621566E-2</v>
      </c>
      <c r="E197" s="9"/>
      <c r="F197" s="9"/>
      <c r="G197" s="9"/>
      <c r="H197" s="9"/>
      <c r="I197" s="9"/>
      <c r="J197" s="9"/>
      <c r="K197" s="9"/>
      <c r="L197" s="9"/>
      <c r="M197" s="5"/>
      <c r="AJ197" s="2"/>
    </row>
    <row r="198" spans="1:36" x14ac:dyDescent="0.25">
      <c r="A198" s="36">
        <v>40088</v>
      </c>
      <c r="B198" s="37">
        <v>9.26</v>
      </c>
      <c r="C198" s="9">
        <f t="shared" si="94"/>
        <v>4.3290110895854786E-3</v>
      </c>
      <c r="D198" s="9">
        <f t="shared" si="93"/>
        <v>3.9735378712125787E-3</v>
      </c>
      <c r="E198" s="9"/>
      <c r="F198" s="9"/>
      <c r="G198" s="9"/>
      <c r="H198" s="9"/>
      <c r="I198" s="9"/>
      <c r="J198" s="9"/>
      <c r="K198" s="9"/>
      <c r="L198" s="9"/>
      <c r="M198" s="5"/>
      <c r="AJ198" s="2"/>
    </row>
    <row r="199" spans="1:36" x14ac:dyDescent="0.25">
      <c r="A199" s="36">
        <v>40091</v>
      </c>
      <c r="B199" s="37">
        <v>9.1349999999999998</v>
      </c>
      <c r="C199" s="9">
        <f t="shared" si="94"/>
        <v>-1.3590858828117974E-2</v>
      </c>
      <c r="D199" s="9">
        <f t="shared" si="93"/>
        <v>-1.3946332046490874E-2</v>
      </c>
      <c r="E199" s="9"/>
      <c r="F199" s="9"/>
      <c r="G199" s="9"/>
      <c r="H199" s="9"/>
      <c r="I199" s="9"/>
      <c r="J199" s="9"/>
      <c r="K199" s="9"/>
      <c r="L199" s="9"/>
      <c r="M199" s="5"/>
      <c r="AJ199" s="2"/>
    </row>
    <row r="200" spans="1:36" x14ac:dyDescent="0.25">
      <c r="A200" s="36">
        <v>40092</v>
      </c>
      <c r="B200" s="37">
        <v>9.4649999999999999</v>
      </c>
      <c r="C200" s="9">
        <f t="shared" si="94"/>
        <v>3.548759483131609E-2</v>
      </c>
      <c r="D200" s="9">
        <f t="shared" si="93"/>
        <v>3.5132121612943192E-2</v>
      </c>
      <c r="E200" s="9"/>
      <c r="F200" s="9"/>
      <c r="G200" s="9"/>
      <c r="H200" s="9"/>
      <c r="I200" s="9"/>
      <c r="J200" s="9"/>
      <c r="K200" s="9"/>
      <c r="L200" s="9"/>
      <c r="M200" s="5"/>
      <c r="AJ200" s="2"/>
    </row>
    <row r="201" spans="1:36" x14ac:dyDescent="0.25">
      <c r="A201" s="36">
        <v>40093</v>
      </c>
      <c r="B201" s="37">
        <v>9.3650000000000002</v>
      </c>
      <c r="C201" s="9">
        <f t="shared" si="94"/>
        <v>-1.0621448765234293E-2</v>
      </c>
      <c r="D201" s="9">
        <f t="shared" si="93"/>
        <v>-1.0976921983607193E-2</v>
      </c>
      <c r="E201" s="9"/>
      <c r="F201" s="9"/>
      <c r="G201" s="9"/>
      <c r="H201" s="9"/>
      <c r="I201" s="9"/>
      <c r="J201" s="9"/>
      <c r="K201" s="9"/>
      <c r="L201" s="9"/>
      <c r="M201" s="5"/>
      <c r="AJ201" s="2"/>
    </row>
    <row r="202" spans="1:36" x14ac:dyDescent="0.25">
      <c r="A202" s="36">
        <v>40094</v>
      </c>
      <c r="B202" s="37">
        <v>9.44</v>
      </c>
      <c r="C202" s="9">
        <f t="shared" si="94"/>
        <v>7.9766442613574597E-3</v>
      </c>
      <c r="D202" s="9">
        <f t="shared" si="93"/>
        <v>7.6211710429845599E-3</v>
      </c>
      <c r="E202" s="9"/>
      <c r="F202" s="9"/>
      <c r="G202" s="9"/>
      <c r="H202" s="9"/>
      <c r="I202" s="9"/>
      <c r="J202" s="9"/>
      <c r="K202" s="9"/>
      <c r="L202" s="9"/>
      <c r="M202" s="5"/>
      <c r="AJ202" s="2"/>
    </row>
    <row r="203" spans="1:36" x14ac:dyDescent="0.25">
      <c r="A203" s="36">
        <v>40095</v>
      </c>
      <c r="B203" s="37">
        <v>9.3550000000000004</v>
      </c>
      <c r="C203" s="9">
        <f t="shared" si="94"/>
        <v>-9.0450204313562745E-3</v>
      </c>
      <c r="D203" s="9">
        <f t="shared" si="93"/>
        <v>-9.4004936497291743E-3</v>
      </c>
      <c r="E203" s="9"/>
      <c r="F203" s="9"/>
      <c r="G203" s="9"/>
      <c r="H203" s="9"/>
      <c r="I203" s="9"/>
      <c r="J203" s="9"/>
      <c r="K203" s="9"/>
      <c r="L203" s="9"/>
      <c r="M203" s="5"/>
      <c r="AJ203" s="2"/>
    </row>
    <row r="204" spans="1:36" x14ac:dyDescent="0.25">
      <c r="A204" s="36">
        <v>40098</v>
      </c>
      <c r="B204" s="37">
        <v>9.5150000000000006</v>
      </c>
      <c r="C204" s="9">
        <f t="shared" si="94"/>
        <v>1.6958541022059875E-2</v>
      </c>
      <c r="D204" s="9">
        <f t="shared" si="93"/>
        <v>1.6603067803686974E-2</v>
      </c>
      <c r="E204" s="9"/>
      <c r="F204" s="9"/>
      <c r="G204" s="9"/>
      <c r="H204" s="9"/>
      <c r="I204" s="9"/>
      <c r="J204" s="9"/>
      <c r="K204" s="9"/>
      <c r="L204" s="9"/>
      <c r="M204" s="5"/>
      <c r="AJ204" s="2"/>
    </row>
    <row r="205" spans="1:36" x14ac:dyDescent="0.25">
      <c r="A205" s="36">
        <v>40099</v>
      </c>
      <c r="B205" s="37">
        <v>9.4499999999999993</v>
      </c>
      <c r="C205" s="9">
        <f t="shared" si="94"/>
        <v>-6.8547592424615415E-3</v>
      </c>
      <c r="D205" s="9">
        <f t="shared" si="93"/>
        <v>-7.2102324608344414E-3</v>
      </c>
      <c r="E205" s="9"/>
      <c r="F205" s="9"/>
      <c r="G205" s="9"/>
      <c r="H205" s="9"/>
      <c r="I205" s="9"/>
      <c r="J205" s="9"/>
      <c r="K205" s="9"/>
      <c r="L205" s="9"/>
      <c r="M205" s="5"/>
      <c r="AJ205" s="2"/>
    </row>
    <row r="206" spans="1:36" x14ac:dyDescent="0.25">
      <c r="A206" s="36">
        <v>40100</v>
      </c>
      <c r="B206" s="37">
        <v>9.69</v>
      </c>
      <c r="C206" s="9">
        <f t="shared" si="94"/>
        <v>2.5079684397023606E-2</v>
      </c>
      <c r="D206" s="9">
        <f t="shared" si="93"/>
        <v>2.4724211178650705E-2</v>
      </c>
      <c r="E206" s="9"/>
      <c r="F206" s="9"/>
      <c r="G206" s="9"/>
      <c r="H206" s="9"/>
      <c r="I206" s="9"/>
      <c r="J206" s="9"/>
      <c r="K206" s="9"/>
      <c r="L206" s="9"/>
      <c r="M206" s="5"/>
      <c r="AJ206" s="2"/>
    </row>
    <row r="207" spans="1:36" x14ac:dyDescent="0.25">
      <c r="A207" s="36">
        <v>40101</v>
      </c>
      <c r="B207" s="37">
        <v>9.67</v>
      </c>
      <c r="C207" s="9">
        <f t="shared" si="94"/>
        <v>-2.0661164374718927E-3</v>
      </c>
      <c r="D207" s="9">
        <f t="shared" si="93"/>
        <v>-2.4215896558447926E-3</v>
      </c>
      <c r="E207" s="9"/>
      <c r="F207" s="9"/>
      <c r="G207" s="9"/>
      <c r="H207" s="9"/>
      <c r="I207" s="9"/>
      <c r="J207" s="9"/>
      <c r="K207" s="9"/>
      <c r="L207" s="9"/>
      <c r="M207" s="5"/>
      <c r="AJ207" s="2"/>
    </row>
    <row r="208" spans="1:36" x14ac:dyDescent="0.25">
      <c r="A208" s="36">
        <v>40102</v>
      </c>
      <c r="B208" s="37">
        <v>9.5649999999999995</v>
      </c>
      <c r="C208" s="9">
        <f t="shared" si="94"/>
        <v>-1.0917706572986774E-2</v>
      </c>
      <c r="D208" s="9">
        <f t="shared" si="93"/>
        <v>-1.1273179791359673E-2</v>
      </c>
      <c r="E208" s="9"/>
      <c r="F208" s="9"/>
      <c r="G208" s="9"/>
      <c r="H208" s="9"/>
      <c r="I208" s="9"/>
      <c r="J208" s="9"/>
      <c r="K208" s="9"/>
      <c r="L208" s="9"/>
      <c r="M208" s="5"/>
      <c r="AJ208" s="2"/>
    </row>
    <row r="209" spans="1:36" x14ac:dyDescent="0.25">
      <c r="A209" s="36">
        <v>40105</v>
      </c>
      <c r="B209" s="37">
        <v>9.5299999999999994</v>
      </c>
      <c r="C209" s="9">
        <f t="shared" si="94"/>
        <v>-3.6658852261054558E-3</v>
      </c>
      <c r="D209" s="9">
        <f t="shared" si="93"/>
        <v>-4.0213584444783561E-3</v>
      </c>
      <c r="E209" s="9"/>
      <c r="F209" s="9"/>
      <c r="G209" s="9"/>
      <c r="H209" s="9"/>
      <c r="I209" s="9"/>
      <c r="J209" s="9"/>
      <c r="K209" s="9"/>
      <c r="L209" s="9"/>
      <c r="M209" s="5"/>
      <c r="AJ209" s="2"/>
    </row>
    <row r="210" spans="1:36" x14ac:dyDescent="0.25">
      <c r="A210" s="36">
        <v>40106</v>
      </c>
      <c r="B210" s="37">
        <v>9.4049999999999994</v>
      </c>
      <c r="C210" s="9">
        <f t="shared" si="94"/>
        <v>-1.3203254913117014E-2</v>
      </c>
      <c r="D210" s="9">
        <f t="shared" si="93"/>
        <v>-1.3558728131489914E-2</v>
      </c>
      <c r="E210" s="9"/>
      <c r="F210" s="9"/>
      <c r="G210" s="9"/>
      <c r="H210" s="9"/>
      <c r="I210" s="9"/>
      <c r="J210" s="9"/>
      <c r="K210" s="9"/>
      <c r="L210" s="9"/>
      <c r="M210" s="5"/>
      <c r="AJ210" s="2"/>
    </row>
    <row r="211" spans="1:36" x14ac:dyDescent="0.25">
      <c r="A211" s="36">
        <v>40107</v>
      </c>
      <c r="B211" s="37">
        <v>9.3800000000000008</v>
      </c>
      <c r="C211" s="9">
        <f t="shared" si="94"/>
        <v>-2.6616997348602564E-3</v>
      </c>
      <c r="D211" s="9">
        <f t="shared" si="93"/>
        <v>-3.0171729532331563E-3</v>
      </c>
      <c r="E211" s="9"/>
      <c r="F211" s="9"/>
      <c r="G211" s="9"/>
      <c r="H211" s="9"/>
      <c r="I211" s="9"/>
      <c r="J211" s="9"/>
      <c r="K211" s="9"/>
      <c r="L211" s="9"/>
      <c r="M211" s="5"/>
      <c r="AJ211" s="2"/>
    </row>
    <row r="212" spans="1:36" x14ac:dyDescent="0.25">
      <c r="A212" s="36">
        <v>40108</v>
      </c>
      <c r="B212" s="37">
        <v>9.2149999999999999</v>
      </c>
      <c r="C212" s="9">
        <f t="shared" si="94"/>
        <v>-1.7747171896346843E-2</v>
      </c>
      <c r="D212" s="9">
        <f t="shared" si="93"/>
        <v>-1.8102645114719745E-2</v>
      </c>
      <c r="E212" s="9"/>
      <c r="F212" s="9"/>
      <c r="G212" s="9"/>
      <c r="H212" s="9"/>
      <c r="I212" s="9"/>
      <c r="J212" s="9"/>
      <c r="K212" s="9"/>
      <c r="L212" s="9"/>
      <c r="M212" s="5"/>
      <c r="AJ212" s="2"/>
    </row>
    <row r="213" spans="1:36" x14ac:dyDescent="0.25">
      <c r="A213" s="36">
        <v>40109</v>
      </c>
      <c r="B213" s="37">
        <v>9.01</v>
      </c>
      <c r="C213" s="9">
        <f t="shared" si="94"/>
        <v>-2.249751950154006E-2</v>
      </c>
      <c r="D213" s="9">
        <f t="shared" ref="D213:D276" si="95">C213-$C$59/252</f>
        <v>-2.2852992719912962E-2</v>
      </c>
      <c r="E213" s="9"/>
      <c r="F213" s="9"/>
      <c r="G213" s="9"/>
      <c r="H213" s="9"/>
      <c r="I213" s="9"/>
      <c r="J213" s="9"/>
      <c r="K213" s="9"/>
      <c r="L213" s="9"/>
      <c r="M213" s="5"/>
      <c r="AJ213" s="2"/>
    </row>
    <row r="214" spans="1:36" x14ac:dyDescent="0.25">
      <c r="A214" s="36">
        <v>40112</v>
      </c>
      <c r="B214" s="37">
        <v>8.76</v>
      </c>
      <c r="C214" s="9">
        <f t="shared" si="94"/>
        <v>-2.813916667194646E-2</v>
      </c>
      <c r="D214" s="9">
        <f t="shared" si="95"/>
        <v>-2.8494639890319362E-2</v>
      </c>
      <c r="E214" s="9"/>
      <c r="F214" s="9"/>
      <c r="G214" s="9"/>
      <c r="H214" s="9"/>
      <c r="I214" s="9"/>
      <c r="J214" s="9"/>
      <c r="K214" s="9"/>
      <c r="L214" s="9"/>
      <c r="M214" s="5"/>
      <c r="AJ214" s="2"/>
    </row>
    <row r="215" spans="1:36" x14ac:dyDescent="0.25">
      <c r="A215" s="36">
        <v>40113</v>
      </c>
      <c r="B215" s="37">
        <v>8.92</v>
      </c>
      <c r="C215" s="9">
        <f t="shared" si="94"/>
        <v>1.8100041643617937E-2</v>
      </c>
      <c r="D215" s="9">
        <f t="shared" si="95"/>
        <v>1.7744568425245036E-2</v>
      </c>
      <c r="E215" s="9"/>
      <c r="F215" s="9"/>
      <c r="G215" s="9"/>
      <c r="H215" s="9"/>
      <c r="I215" s="9"/>
      <c r="J215" s="9"/>
      <c r="K215" s="9"/>
      <c r="L215" s="9"/>
      <c r="M215" s="5"/>
      <c r="AJ215" s="2"/>
    </row>
    <row r="216" spans="1:36" x14ac:dyDescent="0.25">
      <c r="A216" s="36">
        <v>40114</v>
      </c>
      <c r="B216" s="37">
        <v>8.75</v>
      </c>
      <c r="C216" s="9">
        <f t="shared" si="94"/>
        <v>-1.9242246222394947E-2</v>
      </c>
      <c r="D216" s="9">
        <f t="shared" si="95"/>
        <v>-1.9597719440767849E-2</v>
      </c>
      <c r="E216" s="9"/>
      <c r="F216" s="9"/>
      <c r="G216" s="9"/>
      <c r="H216" s="9"/>
      <c r="I216" s="9"/>
      <c r="J216" s="9"/>
      <c r="K216" s="9"/>
      <c r="L216" s="9"/>
      <c r="M216" s="5"/>
      <c r="AJ216" s="2"/>
    </row>
    <row r="217" spans="1:36" x14ac:dyDescent="0.25">
      <c r="A217" s="36">
        <v>40115</v>
      </c>
      <c r="B217" s="37">
        <v>8.8650000000000002</v>
      </c>
      <c r="C217" s="9">
        <f t="shared" si="94"/>
        <v>1.3057239156648132E-2</v>
      </c>
      <c r="D217" s="9">
        <f t="shared" si="95"/>
        <v>1.2701765938275232E-2</v>
      </c>
      <c r="E217" s="9"/>
      <c r="F217" s="9"/>
      <c r="G217" s="9"/>
      <c r="H217" s="9"/>
      <c r="I217" s="9"/>
      <c r="J217" s="9"/>
      <c r="K217" s="9"/>
      <c r="L217" s="9"/>
      <c r="M217" s="5"/>
      <c r="AJ217" s="2"/>
    </row>
    <row r="218" spans="1:36" x14ac:dyDescent="0.25">
      <c r="A218" s="36">
        <v>40116</v>
      </c>
      <c r="B218" s="37">
        <v>8.6850000000000005</v>
      </c>
      <c r="C218" s="9">
        <f t="shared" si="94"/>
        <v>-2.0513539833102903E-2</v>
      </c>
      <c r="D218" s="9">
        <f t="shared" si="95"/>
        <v>-2.0869013051475805E-2</v>
      </c>
      <c r="E218" s="9"/>
      <c r="F218" s="9"/>
      <c r="G218" s="9"/>
      <c r="H218" s="9"/>
      <c r="I218" s="9"/>
      <c r="J218" s="9"/>
      <c r="K218" s="9"/>
      <c r="L218" s="9"/>
      <c r="M218" s="5"/>
      <c r="AJ218" s="2"/>
    </row>
    <row r="219" spans="1:36" x14ac:dyDescent="0.25">
      <c r="A219" s="36">
        <v>40119</v>
      </c>
      <c r="B219" s="37">
        <v>8.68</v>
      </c>
      <c r="C219" s="9">
        <f t="shared" si="94"/>
        <v>-5.7587102080959313E-4</v>
      </c>
      <c r="D219" s="9">
        <f t="shared" si="95"/>
        <v>-9.31344239182493E-4</v>
      </c>
      <c r="E219" s="9"/>
      <c r="F219" s="9"/>
      <c r="G219" s="9"/>
      <c r="H219" s="9"/>
      <c r="I219" s="9"/>
      <c r="J219" s="9"/>
      <c r="K219" s="9"/>
      <c r="L219" s="9"/>
      <c r="M219" s="5"/>
      <c r="AJ219" s="2"/>
    </row>
    <row r="220" spans="1:36" x14ac:dyDescent="0.25">
      <c r="A220" s="36">
        <v>40120</v>
      </c>
      <c r="B220" s="37">
        <v>8.43</v>
      </c>
      <c r="C220" s="9">
        <f t="shared" si="94"/>
        <v>-2.922475665849467E-2</v>
      </c>
      <c r="D220" s="9">
        <f t="shared" si="95"/>
        <v>-2.9580229876867571E-2</v>
      </c>
      <c r="E220" s="9"/>
      <c r="F220" s="9"/>
      <c r="G220" s="9"/>
      <c r="H220" s="9"/>
      <c r="I220" s="9"/>
      <c r="J220" s="9"/>
      <c r="K220" s="9"/>
      <c r="L220" s="9"/>
      <c r="M220" s="5"/>
      <c r="AJ220" s="2"/>
    </row>
    <row r="221" spans="1:36" x14ac:dyDescent="0.25">
      <c r="A221" s="36">
        <v>40121</v>
      </c>
      <c r="B221" s="37">
        <v>8.57</v>
      </c>
      <c r="C221" s="9">
        <f t="shared" si="94"/>
        <v>1.6470960595924497E-2</v>
      </c>
      <c r="D221" s="9">
        <f t="shared" si="95"/>
        <v>1.6115487377551595E-2</v>
      </c>
      <c r="E221" s="9"/>
      <c r="F221" s="9"/>
      <c r="G221" s="9"/>
      <c r="H221" s="9"/>
      <c r="I221" s="9"/>
      <c r="J221" s="9"/>
      <c r="K221" s="9"/>
      <c r="L221" s="9"/>
      <c r="M221" s="5"/>
      <c r="AJ221" s="2"/>
    </row>
    <row r="222" spans="1:36" x14ac:dyDescent="0.25">
      <c r="A222" s="36">
        <v>40122</v>
      </c>
      <c r="B222" s="37">
        <v>8.64</v>
      </c>
      <c r="C222" s="9">
        <f t="shared" si="94"/>
        <v>8.1348502062758149E-3</v>
      </c>
      <c r="D222" s="9">
        <f t="shared" si="95"/>
        <v>7.779376987902915E-3</v>
      </c>
      <c r="E222" s="9"/>
      <c r="F222" s="9"/>
      <c r="G222" s="9"/>
      <c r="H222" s="9"/>
      <c r="I222" s="9"/>
      <c r="J222" s="9"/>
      <c r="K222" s="9"/>
      <c r="L222" s="9"/>
      <c r="M222" s="5"/>
      <c r="AJ222" s="2"/>
    </row>
    <row r="223" spans="1:36" x14ac:dyDescent="0.25">
      <c r="A223" s="36">
        <v>40123</v>
      </c>
      <c r="B223" s="37">
        <v>8.6</v>
      </c>
      <c r="C223" s="9">
        <f t="shared" si="94"/>
        <v>-4.6403795565023364E-3</v>
      </c>
      <c r="D223" s="9">
        <f t="shared" si="95"/>
        <v>-4.9958527748752363E-3</v>
      </c>
      <c r="E223" s="9"/>
      <c r="F223" s="9"/>
      <c r="G223" s="9"/>
      <c r="H223" s="9"/>
      <c r="I223" s="9"/>
      <c r="J223" s="9"/>
      <c r="K223" s="9"/>
      <c r="L223" s="9"/>
      <c r="M223" s="5"/>
      <c r="AJ223" s="2"/>
    </row>
    <row r="224" spans="1:36" x14ac:dyDescent="0.25">
      <c r="A224" s="36">
        <v>40126</v>
      </c>
      <c r="B224" s="37">
        <v>8.73</v>
      </c>
      <c r="C224" s="9">
        <f t="shared" si="94"/>
        <v>1.5003166592048771E-2</v>
      </c>
      <c r="D224" s="9">
        <f t="shared" si="95"/>
        <v>1.4647693373675871E-2</v>
      </c>
      <c r="E224" s="9"/>
      <c r="F224" s="9"/>
      <c r="G224" s="9"/>
      <c r="H224" s="9"/>
      <c r="I224" s="9"/>
      <c r="J224" s="9"/>
      <c r="K224" s="9"/>
      <c r="L224" s="9"/>
      <c r="M224" s="5"/>
      <c r="AJ224" s="2"/>
    </row>
    <row r="225" spans="1:36" x14ac:dyDescent="0.25">
      <c r="A225" s="36">
        <v>40127</v>
      </c>
      <c r="B225" s="37">
        <v>8.75</v>
      </c>
      <c r="C225" s="9">
        <f t="shared" si="94"/>
        <v>2.2883305180122159E-3</v>
      </c>
      <c r="D225" s="9">
        <f t="shared" si="95"/>
        <v>1.932857299639316E-3</v>
      </c>
      <c r="E225" s="9"/>
      <c r="F225" s="9"/>
      <c r="G225" s="9"/>
      <c r="H225" s="9"/>
      <c r="I225" s="9"/>
      <c r="J225" s="9"/>
      <c r="K225" s="9"/>
      <c r="L225" s="9"/>
      <c r="M225" s="5"/>
      <c r="AJ225" s="2"/>
    </row>
    <row r="226" spans="1:36" x14ac:dyDescent="0.25">
      <c r="A226" s="36">
        <v>40128</v>
      </c>
      <c r="B226" s="37">
        <v>8.8949999999999996</v>
      </c>
      <c r="C226" s="9">
        <f t="shared" si="94"/>
        <v>1.6435620748275294E-2</v>
      </c>
      <c r="D226" s="9">
        <f t="shared" si="95"/>
        <v>1.6080147529902392E-2</v>
      </c>
      <c r="E226" s="9"/>
      <c r="F226" s="9"/>
      <c r="G226" s="9"/>
      <c r="H226" s="9"/>
      <c r="I226" s="9"/>
      <c r="J226" s="9"/>
      <c r="K226" s="9"/>
      <c r="L226" s="9"/>
      <c r="M226" s="5"/>
      <c r="AJ226" s="2"/>
    </row>
    <row r="227" spans="1:36" x14ac:dyDescent="0.25">
      <c r="A227" s="36">
        <v>40129</v>
      </c>
      <c r="B227" s="37">
        <v>8.9</v>
      </c>
      <c r="C227" s="9">
        <f t="shared" si="94"/>
        <v>5.6195562029567794E-4</v>
      </c>
      <c r="D227" s="9">
        <f t="shared" si="95"/>
        <v>2.0648240192277801E-4</v>
      </c>
      <c r="E227" s="9"/>
      <c r="F227" s="9"/>
      <c r="G227" s="9"/>
      <c r="H227" s="9"/>
      <c r="I227" s="9"/>
      <c r="J227" s="9"/>
      <c r="K227" s="9"/>
      <c r="L227" s="9"/>
      <c r="M227" s="5"/>
      <c r="AJ227" s="2"/>
    </row>
    <row r="228" spans="1:36" x14ac:dyDescent="0.25">
      <c r="A228" s="36">
        <v>40130</v>
      </c>
      <c r="B228" s="37">
        <v>8.7799999999999994</v>
      </c>
      <c r="C228" s="9">
        <f t="shared" si="94"/>
        <v>-1.3574869091068986E-2</v>
      </c>
      <c r="D228" s="9">
        <f t="shared" si="95"/>
        <v>-1.3930342309441885E-2</v>
      </c>
      <c r="E228" s="9"/>
      <c r="F228" s="9"/>
      <c r="G228" s="9"/>
      <c r="H228" s="9"/>
      <c r="I228" s="9"/>
      <c r="J228" s="9"/>
      <c r="K228" s="9"/>
      <c r="L228" s="9"/>
      <c r="M228" s="5"/>
      <c r="AJ228" s="2"/>
    </row>
    <row r="229" spans="1:36" x14ac:dyDescent="0.25">
      <c r="A229" s="36">
        <v>40133</v>
      </c>
      <c r="B229" s="37">
        <v>8.8650000000000002</v>
      </c>
      <c r="C229" s="9">
        <f t="shared" si="94"/>
        <v>9.6345318791461031E-3</v>
      </c>
      <c r="D229" s="9">
        <f t="shared" si="95"/>
        <v>9.2790586607732033E-3</v>
      </c>
      <c r="E229" s="9"/>
      <c r="F229" s="9"/>
      <c r="G229" s="9"/>
      <c r="H229" s="9"/>
      <c r="I229" s="9"/>
      <c r="J229" s="9"/>
      <c r="K229" s="9"/>
      <c r="L229" s="9"/>
      <c r="M229" s="5"/>
      <c r="AJ229" s="2"/>
    </row>
    <row r="230" spans="1:36" x14ac:dyDescent="0.25">
      <c r="A230" s="36">
        <v>40134</v>
      </c>
      <c r="B230" s="37">
        <v>8.73</v>
      </c>
      <c r="C230" s="9">
        <f t="shared" si="94"/>
        <v>-1.5345569674660308E-2</v>
      </c>
      <c r="D230" s="9">
        <f t="shared" si="95"/>
        <v>-1.5701042893033208E-2</v>
      </c>
      <c r="E230" s="9"/>
      <c r="F230" s="9"/>
      <c r="G230" s="9"/>
      <c r="H230" s="9"/>
      <c r="I230" s="9"/>
      <c r="J230" s="9"/>
      <c r="K230" s="9"/>
      <c r="L230" s="9"/>
      <c r="M230" s="5"/>
      <c r="AJ230" s="2"/>
    </row>
    <row r="231" spans="1:36" x14ac:dyDescent="0.25">
      <c r="A231" s="36">
        <v>40135</v>
      </c>
      <c r="B231" s="37">
        <v>8.6199999999999992</v>
      </c>
      <c r="C231" s="9">
        <f t="shared" si="94"/>
        <v>-1.2680285175909287E-2</v>
      </c>
      <c r="D231" s="9">
        <f t="shared" si="95"/>
        <v>-1.3035758394282186E-2</v>
      </c>
      <c r="E231" s="9"/>
      <c r="F231" s="9"/>
      <c r="G231" s="9"/>
      <c r="H231" s="9"/>
      <c r="I231" s="9"/>
      <c r="J231" s="9"/>
      <c r="K231" s="9"/>
      <c r="L231" s="9"/>
      <c r="M231" s="5"/>
      <c r="AJ231" s="2"/>
    </row>
    <row r="232" spans="1:36" x14ac:dyDescent="0.25">
      <c r="A232" s="36">
        <v>40136</v>
      </c>
      <c r="B232" s="37">
        <v>8.4550000000000001</v>
      </c>
      <c r="C232" s="9">
        <f t="shared" si="94"/>
        <v>-1.9327102325058042E-2</v>
      </c>
      <c r="D232" s="9">
        <f t="shared" si="95"/>
        <v>-1.9682575543430943E-2</v>
      </c>
      <c r="E232" s="9"/>
      <c r="F232" s="9"/>
      <c r="G232" s="9"/>
      <c r="H232" s="9"/>
      <c r="I232" s="9"/>
      <c r="J232" s="9"/>
      <c r="K232" s="9"/>
      <c r="L232" s="9"/>
      <c r="M232" s="5"/>
      <c r="AJ232" s="2"/>
    </row>
    <row r="233" spans="1:36" x14ac:dyDescent="0.25">
      <c r="A233" s="36">
        <v>40137</v>
      </c>
      <c r="B233" s="37">
        <v>8.31</v>
      </c>
      <c r="C233" s="9">
        <f t="shared" si="94"/>
        <v>-1.7298373483186781E-2</v>
      </c>
      <c r="D233" s="9">
        <f t="shared" si="95"/>
        <v>-1.7653846701559683E-2</v>
      </c>
      <c r="E233" s="9"/>
      <c r="F233" s="9"/>
      <c r="G233" s="9"/>
      <c r="H233" s="9"/>
      <c r="I233" s="9"/>
      <c r="J233" s="9"/>
      <c r="K233" s="9"/>
      <c r="L233" s="9"/>
      <c r="M233" s="5"/>
      <c r="AJ233" s="2"/>
    </row>
    <row r="234" spans="1:36" x14ac:dyDescent="0.25">
      <c r="A234" s="36">
        <v>40140</v>
      </c>
      <c r="B234" s="37">
        <v>8.41</v>
      </c>
      <c r="C234" s="9">
        <f t="shared" si="94"/>
        <v>1.1961865117499885E-2</v>
      </c>
      <c r="D234" s="9">
        <f t="shared" si="95"/>
        <v>1.1606391899126985E-2</v>
      </c>
      <c r="E234" s="9"/>
      <c r="F234" s="9"/>
      <c r="G234" s="9"/>
      <c r="H234" s="9"/>
      <c r="I234" s="9"/>
      <c r="J234" s="9"/>
      <c r="K234" s="9"/>
      <c r="L234" s="9"/>
      <c r="M234" s="5"/>
      <c r="AJ234" s="2"/>
    </row>
    <row r="235" spans="1:36" x14ac:dyDescent="0.25">
      <c r="A235" s="36">
        <v>40141</v>
      </c>
      <c r="B235" s="37">
        <v>8.2949999999999999</v>
      </c>
      <c r="C235" s="9">
        <f t="shared" si="94"/>
        <v>-1.3768550342448897E-2</v>
      </c>
      <c r="D235" s="9">
        <f t="shared" si="95"/>
        <v>-1.4124023560821796E-2</v>
      </c>
      <c r="E235" s="9"/>
      <c r="F235" s="9"/>
      <c r="G235" s="9"/>
      <c r="H235" s="9"/>
      <c r="I235" s="9"/>
      <c r="J235" s="9"/>
      <c r="K235" s="9"/>
      <c r="L235" s="9"/>
      <c r="M235" s="5"/>
      <c r="AJ235" s="2"/>
    </row>
    <row r="236" spans="1:36" x14ac:dyDescent="0.25">
      <c r="A236" s="36">
        <v>40142</v>
      </c>
      <c r="B236" s="37">
        <v>8.18</v>
      </c>
      <c r="C236" s="9">
        <f t="shared" si="94"/>
        <v>-1.3960773027752147E-2</v>
      </c>
      <c r="D236" s="9">
        <f t="shared" si="95"/>
        <v>-1.4316246246125047E-2</v>
      </c>
      <c r="E236" s="9"/>
      <c r="F236" s="9"/>
      <c r="G236" s="9"/>
      <c r="H236" s="9"/>
      <c r="I236" s="9"/>
      <c r="J236" s="9"/>
      <c r="K236" s="9"/>
      <c r="L236" s="9"/>
      <c r="M236" s="5"/>
      <c r="AJ236" s="2"/>
    </row>
    <row r="237" spans="1:36" x14ac:dyDescent="0.25">
      <c r="A237" s="36">
        <v>40143</v>
      </c>
      <c r="B237" s="37">
        <v>8.0050000000000008</v>
      </c>
      <c r="C237" s="9">
        <f t="shared" si="94"/>
        <v>-2.1625804165977539E-2</v>
      </c>
      <c r="D237" s="9">
        <f t="shared" si="95"/>
        <v>-2.1981277384350441E-2</v>
      </c>
      <c r="E237" s="9"/>
      <c r="F237" s="9"/>
      <c r="G237" s="9"/>
      <c r="H237" s="9"/>
      <c r="I237" s="9"/>
      <c r="J237" s="9"/>
      <c r="K237" s="9"/>
      <c r="L237" s="9"/>
      <c r="M237" s="5"/>
      <c r="AJ237" s="2"/>
    </row>
    <row r="238" spans="1:36" x14ac:dyDescent="0.25">
      <c r="A238" s="36">
        <v>40144</v>
      </c>
      <c r="B238" s="37">
        <v>8.06</v>
      </c>
      <c r="C238" s="9">
        <f t="shared" si="94"/>
        <v>6.8472100698589618E-3</v>
      </c>
      <c r="D238" s="9">
        <f t="shared" si="95"/>
        <v>6.4917368514860619E-3</v>
      </c>
      <c r="E238" s="9"/>
      <c r="F238" s="9"/>
      <c r="G238" s="9"/>
      <c r="H238" s="9"/>
      <c r="I238" s="9"/>
      <c r="J238" s="9"/>
      <c r="K238" s="9"/>
      <c r="L238" s="9"/>
      <c r="M238" s="5"/>
      <c r="AJ238" s="2"/>
    </row>
    <row r="239" spans="1:36" x14ac:dyDescent="0.25">
      <c r="A239" s="36">
        <v>40147</v>
      </c>
      <c r="B239" s="37">
        <v>7.95</v>
      </c>
      <c r="C239" s="9">
        <f t="shared" si="94"/>
        <v>-1.3741627852296465E-2</v>
      </c>
      <c r="D239" s="9">
        <f t="shared" si="95"/>
        <v>-1.4097101070669365E-2</v>
      </c>
      <c r="E239" s="9"/>
      <c r="F239" s="9"/>
      <c r="G239" s="9"/>
      <c r="H239" s="9"/>
      <c r="I239" s="9"/>
      <c r="J239" s="9"/>
      <c r="K239" s="9"/>
      <c r="L239" s="9"/>
      <c r="M239" s="5"/>
      <c r="AJ239" s="2"/>
    </row>
    <row r="240" spans="1:36" x14ac:dyDescent="0.25">
      <c r="A240" s="36">
        <v>40148</v>
      </c>
      <c r="B240" s="37">
        <v>8.1750000000000007</v>
      </c>
      <c r="C240" s="9">
        <f t="shared" si="94"/>
        <v>2.7908788117076658E-2</v>
      </c>
      <c r="D240" s="9">
        <f t="shared" si="95"/>
        <v>2.7553314898703756E-2</v>
      </c>
      <c r="E240" s="9"/>
      <c r="F240" s="9"/>
      <c r="G240" s="9"/>
      <c r="H240" s="9"/>
      <c r="I240" s="9"/>
      <c r="J240" s="9"/>
      <c r="K240" s="9"/>
      <c r="L240" s="9"/>
      <c r="M240" s="5"/>
      <c r="AJ240" s="2"/>
    </row>
    <row r="241" spans="1:36" x14ac:dyDescent="0.25">
      <c r="A241" s="36">
        <v>40149</v>
      </c>
      <c r="B241" s="37">
        <v>8.1150000000000002</v>
      </c>
      <c r="C241" s="9">
        <f t="shared" si="94"/>
        <v>-7.3665158167626659E-3</v>
      </c>
      <c r="D241" s="9">
        <f t="shared" si="95"/>
        <v>-7.7219890351355657E-3</v>
      </c>
      <c r="E241" s="9"/>
      <c r="F241" s="9"/>
      <c r="G241" s="9"/>
      <c r="H241" s="9"/>
      <c r="I241" s="9"/>
      <c r="J241" s="9"/>
      <c r="K241" s="9"/>
      <c r="L241" s="9"/>
      <c r="M241" s="5"/>
      <c r="AJ241" s="2"/>
    </row>
    <row r="242" spans="1:36" x14ac:dyDescent="0.25">
      <c r="A242" s="36">
        <v>40150</v>
      </c>
      <c r="B242" s="37">
        <v>8.2750000000000004</v>
      </c>
      <c r="C242" s="9">
        <f t="shared" si="94"/>
        <v>1.9524720296572162E-2</v>
      </c>
      <c r="D242" s="9">
        <f t="shared" si="95"/>
        <v>1.916924707819926E-2</v>
      </c>
      <c r="E242" s="9"/>
      <c r="F242" s="9"/>
      <c r="G242" s="9"/>
      <c r="H242" s="9"/>
      <c r="I242" s="9"/>
      <c r="J242" s="9"/>
      <c r="K242" s="9"/>
      <c r="L242" s="9"/>
      <c r="M242" s="5"/>
      <c r="AJ242" s="2"/>
    </row>
    <row r="243" spans="1:36" x14ac:dyDescent="0.25">
      <c r="A243" s="36">
        <v>40151</v>
      </c>
      <c r="B243" s="37">
        <v>8.34</v>
      </c>
      <c r="C243" s="9">
        <f t="shared" si="94"/>
        <v>7.8242951075287049E-3</v>
      </c>
      <c r="D243" s="9">
        <f t="shared" si="95"/>
        <v>7.468821889155805E-3</v>
      </c>
      <c r="E243" s="9"/>
      <c r="F243" s="9"/>
      <c r="G243" s="9"/>
      <c r="H243" s="9"/>
      <c r="I243" s="9"/>
      <c r="J243" s="9"/>
      <c r="K243" s="9"/>
      <c r="L243" s="9"/>
      <c r="M243" s="5"/>
      <c r="AJ243" s="2"/>
    </row>
    <row r="244" spans="1:36" x14ac:dyDescent="0.25">
      <c r="A244" s="36">
        <v>40154</v>
      </c>
      <c r="B244" s="37">
        <v>8.2799999999999994</v>
      </c>
      <c r="C244" s="9">
        <f t="shared" si="94"/>
        <v>-7.220247973487132E-3</v>
      </c>
      <c r="D244" s="9">
        <f t="shared" si="95"/>
        <v>-7.5757211918600319E-3</v>
      </c>
      <c r="E244" s="9"/>
      <c r="F244" s="9"/>
      <c r="G244" s="9"/>
      <c r="H244" s="9"/>
      <c r="I244" s="9"/>
      <c r="J244" s="9"/>
      <c r="K244" s="9"/>
      <c r="L244" s="9"/>
      <c r="M244" s="5"/>
      <c r="AJ244" s="2"/>
    </row>
    <row r="245" spans="1:36" x14ac:dyDescent="0.25">
      <c r="A245" s="36">
        <v>40155</v>
      </c>
      <c r="B245" s="37">
        <v>8.0500000000000007</v>
      </c>
      <c r="C245" s="9">
        <f t="shared" si="94"/>
        <v>-2.8170876966696106E-2</v>
      </c>
      <c r="D245" s="9">
        <f t="shared" si="95"/>
        <v>-2.8526350185069008E-2</v>
      </c>
      <c r="E245" s="9"/>
      <c r="F245" s="9"/>
      <c r="G245" s="9"/>
      <c r="H245" s="9"/>
      <c r="I245" s="9"/>
      <c r="J245" s="9"/>
      <c r="K245" s="9"/>
      <c r="L245" s="9"/>
      <c r="M245" s="5"/>
      <c r="AJ245" s="2"/>
    </row>
    <row r="246" spans="1:36" x14ac:dyDescent="0.25">
      <c r="A246" s="36">
        <v>40156</v>
      </c>
      <c r="B246" s="37">
        <v>8.0050000000000008</v>
      </c>
      <c r="C246" s="9">
        <f t="shared" si="94"/>
        <v>-5.6057449817939935E-3</v>
      </c>
      <c r="D246" s="9">
        <f t="shared" si="95"/>
        <v>-5.9612182001668934E-3</v>
      </c>
      <c r="E246" s="9"/>
      <c r="F246" s="9"/>
      <c r="G246" s="9"/>
      <c r="H246" s="9"/>
      <c r="I246" s="9"/>
      <c r="J246" s="9"/>
      <c r="K246" s="9"/>
      <c r="L246" s="9"/>
      <c r="M246" s="5"/>
      <c r="AJ246" s="2"/>
    </row>
    <row r="247" spans="1:36" x14ac:dyDescent="0.25">
      <c r="A247" s="36">
        <v>40157</v>
      </c>
      <c r="B247" s="37">
        <v>7.8849999999999998</v>
      </c>
      <c r="C247" s="9">
        <f t="shared" si="94"/>
        <v>-1.5104126033676408E-2</v>
      </c>
      <c r="D247" s="9">
        <f t="shared" si="95"/>
        <v>-1.5459599252049308E-2</v>
      </c>
      <c r="E247" s="9"/>
      <c r="F247" s="9"/>
      <c r="G247" s="9"/>
      <c r="H247" s="9"/>
      <c r="I247" s="9"/>
      <c r="J247" s="9"/>
      <c r="K247" s="9"/>
      <c r="L247" s="9"/>
      <c r="M247" s="5"/>
      <c r="AJ247" s="2"/>
    </row>
    <row r="248" spans="1:36" x14ac:dyDescent="0.25">
      <c r="A248" s="36">
        <v>40158</v>
      </c>
      <c r="B248" s="37">
        <v>7.84</v>
      </c>
      <c r="C248" s="9">
        <f t="shared" si="94"/>
        <v>-5.7233860526852212E-3</v>
      </c>
      <c r="D248" s="9">
        <f t="shared" si="95"/>
        <v>-6.0788592710581211E-3</v>
      </c>
      <c r="E248" s="9"/>
      <c r="F248" s="9"/>
      <c r="G248" s="9"/>
      <c r="H248" s="9"/>
      <c r="I248" s="9"/>
      <c r="J248" s="9"/>
      <c r="K248" s="9"/>
      <c r="L248" s="9"/>
      <c r="M248" s="5"/>
      <c r="AJ248" s="2"/>
    </row>
    <row r="249" spans="1:36" x14ac:dyDescent="0.25">
      <c r="A249" s="36">
        <v>40161</v>
      </c>
      <c r="B249" s="37">
        <v>7.9850000000000003</v>
      </c>
      <c r="C249" s="9">
        <f t="shared" si="94"/>
        <v>1.832594730465929E-2</v>
      </c>
      <c r="D249" s="9">
        <f t="shared" si="95"/>
        <v>1.7970474086286388E-2</v>
      </c>
      <c r="E249" s="9"/>
      <c r="F249" s="9"/>
      <c r="G249" s="9"/>
      <c r="H249" s="9"/>
      <c r="I249" s="9"/>
      <c r="J249" s="9"/>
      <c r="K249" s="9"/>
      <c r="L249" s="9"/>
      <c r="M249" s="5"/>
      <c r="AJ249" s="2"/>
    </row>
    <row r="250" spans="1:36" x14ac:dyDescent="0.25">
      <c r="A250" s="36">
        <v>40162</v>
      </c>
      <c r="B250" s="37">
        <v>7.85</v>
      </c>
      <c r="C250" s="9">
        <f t="shared" si="94"/>
        <v>-1.7051249872658807E-2</v>
      </c>
      <c r="D250" s="9">
        <f t="shared" si="95"/>
        <v>-1.7406723091031709E-2</v>
      </c>
      <c r="E250" s="9"/>
      <c r="F250" s="9"/>
      <c r="G250" s="9"/>
      <c r="H250" s="9"/>
      <c r="I250" s="9"/>
      <c r="J250" s="9"/>
      <c r="K250" s="9"/>
      <c r="L250" s="9"/>
      <c r="M250" s="5"/>
      <c r="AJ250" s="2"/>
    </row>
    <row r="251" spans="1:36" x14ac:dyDescent="0.25">
      <c r="A251" s="36">
        <v>40163</v>
      </c>
      <c r="B251" s="37">
        <v>8.2550000000000008</v>
      </c>
      <c r="C251" s="9">
        <f t="shared" si="94"/>
        <v>5.0305545577774363E-2</v>
      </c>
      <c r="D251" s="9">
        <f t="shared" si="95"/>
        <v>4.9950072359401465E-2</v>
      </c>
      <c r="E251" s="9"/>
      <c r="F251" s="9"/>
      <c r="G251" s="9"/>
      <c r="H251" s="9"/>
      <c r="I251" s="9"/>
      <c r="J251" s="9"/>
      <c r="K251" s="9"/>
      <c r="L251" s="9"/>
      <c r="M251" s="5"/>
      <c r="AJ251" s="2"/>
    </row>
    <row r="252" spans="1:36" x14ac:dyDescent="0.25">
      <c r="A252" s="36">
        <v>40164</v>
      </c>
      <c r="B252" s="37">
        <v>8.1300000000000008</v>
      </c>
      <c r="C252" s="9">
        <f t="shared" si="94"/>
        <v>-1.5258153812372072E-2</v>
      </c>
      <c r="D252" s="9">
        <f t="shared" si="95"/>
        <v>-1.5613627030744972E-2</v>
      </c>
      <c r="E252" s="9"/>
      <c r="F252" s="9"/>
      <c r="G252" s="9"/>
      <c r="H252" s="9"/>
      <c r="I252" s="9"/>
      <c r="J252" s="9"/>
      <c r="K252" s="9"/>
      <c r="L252" s="9"/>
      <c r="M252" s="5"/>
      <c r="AJ252" s="2"/>
    </row>
    <row r="253" spans="1:36" x14ac:dyDescent="0.25">
      <c r="A253" s="36">
        <v>40165</v>
      </c>
      <c r="B253" s="37">
        <v>8.0299999999999994</v>
      </c>
      <c r="C253" s="9">
        <f t="shared" ref="C253:C316" si="96">LN(B253/B252)</f>
        <v>-1.2376395601049087E-2</v>
      </c>
      <c r="D253" s="9">
        <f t="shared" si="95"/>
        <v>-1.2731868819421987E-2</v>
      </c>
      <c r="E253" s="9"/>
      <c r="F253" s="9"/>
      <c r="G253" s="9"/>
      <c r="H253" s="9"/>
      <c r="I253" s="9"/>
      <c r="J253" s="9"/>
      <c r="K253" s="9"/>
      <c r="L253" s="9"/>
      <c r="M253" s="5"/>
      <c r="AJ253" s="2"/>
    </row>
    <row r="254" spans="1:36" x14ac:dyDescent="0.25">
      <c r="A254" s="36">
        <v>40168</v>
      </c>
      <c r="B254" s="37">
        <v>8.11</v>
      </c>
      <c r="C254" s="9">
        <f t="shared" si="96"/>
        <v>9.913340168651287E-3</v>
      </c>
      <c r="D254" s="9">
        <f t="shared" si="95"/>
        <v>9.5578669502783872E-3</v>
      </c>
      <c r="E254" s="9"/>
      <c r="F254" s="9"/>
      <c r="G254" s="9"/>
      <c r="H254" s="9"/>
      <c r="I254" s="9"/>
      <c r="J254" s="9"/>
      <c r="K254" s="9"/>
      <c r="L254" s="9"/>
      <c r="M254" s="5"/>
      <c r="AJ254" s="2"/>
    </row>
    <row r="255" spans="1:36" x14ac:dyDescent="0.25">
      <c r="A255" s="36">
        <v>40169</v>
      </c>
      <c r="B255" s="37">
        <v>8.23</v>
      </c>
      <c r="C255" s="9">
        <f t="shared" si="96"/>
        <v>1.4688146561657086E-2</v>
      </c>
      <c r="D255" s="9">
        <f t="shared" si="95"/>
        <v>1.4332673343284186E-2</v>
      </c>
      <c r="E255" s="9"/>
      <c r="F255" s="9"/>
      <c r="G255" s="9"/>
      <c r="H255" s="9"/>
      <c r="I255" s="9"/>
      <c r="J255" s="9"/>
      <c r="K255" s="9"/>
      <c r="L255" s="9"/>
      <c r="M255" s="5"/>
      <c r="AJ255" s="2"/>
    </row>
    <row r="256" spans="1:36" x14ac:dyDescent="0.25">
      <c r="A256" s="36">
        <v>40170</v>
      </c>
      <c r="B256" s="37">
        <v>8.2949999999999999</v>
      </c>
      <c r="C256" s="9">
        <f t="shared" si="96"/>
        <v>7.86690895342931E-3</v>
      </c>
      <c r="D256" s="9">
        <f t="shared" si="95"/>
        <v>7.5114357350564102E-3</v>
      </c>
      <c r="E256" s="9"/>
      <c r="F256" s="9"/>
      <c r="G256" s="9"/>
      <c r="H256" s="9"/>
      <c r="I256" s="9"/>
      <c r="J256" s="9"/>
      <c r="K256" s="9"/>
      <c r="L256" s="9"/>
      <c r="M256" s="5"/>
      <c r="AJ256" s="2"/>
    </row>
    <row r="257" spans="1:36" x14ac:dyDescent="0.25">
      <c r="A257" s="36">
        <v>40175</v>
      </c>
      <c r="B257" s="37">
        <v>8.3849999999999998</v>
      </c>
      <c r="C257" s="9">
        <f t="shared" si="96"/>
        <v>1.0791471632764386E-2</v>
      </c>
      <c r="D257" s="9">
        <f t="shared" si="95"/>
        <v>1.0435998414391487E-2</v>
      </c>
      <c r="E257" s="9"/>
      <c r="F257" s="9"/>
      <c r="G257" s="9"/>
      <c r="H257" s="9"/>
      <c r="I257" s="9"/>
      <c r="J257" s="9"/>
      <c r="K257" s="9"/>
      <c r="L257" s="9"/>
      <c r="M257" s="5"/>
      <c r="AJ257" s="2"/>
    </row>
    <row r="258" spans="1:36" x14ac:dyDescent="0.25">
      <c r="A258" s="36">
        <v>40176</v>
      </c>
      <c r="B258" s="37">
        <v>8.39</v>
      </c>
      <c r="C258" s="9">
        <f t="shared" si="96"/>
        <v>5.9612520394282452E-4</v>
      </c>
      <c r="D258" s="9">
        <f t="shared" si="95"/>
        <v>2.4065198556992459E-4</v>
      </c>
      <c r="E258" s="9"/>
      <c r="F258" s="9"/>
      <c r="G258" s="9"/>
      <c r="H258" s="9"/>
      <c r="I258" s="9"/>
      <c r="J258" s="9"/>
      <c r="K258" s="9"/>
      <c r="L258" s="9"/>
      <c r="M258" s="5"/>
      <c r="AJ258" s="2"/>
    </row>
    <row r="259" spans="1:36" x14ac:dyDescent="0.25">
      <c r="A259" s="36">
        <v>40177</v>
      </c>
      <c r="B259" s="37">
        <v>8.3149999999999995</v>
      </c>
      <c r="C259" s="9">
        <f t="shared" si="96"/>
        <v>-8.9794078342239712E-3</v>
      </c>
      <c r="D259" s="9">
        <f t="shared" si="95"/>
        <v>-9.334881052596871E-3</v>
      </c>
      <c r="E259" s="9"/>
      <c r="F259" s="9"/>
      <c r="G259" s="9"/>
      <c r="H259" s="9"/>
      <c r="I259" s="9"/>
      <c r="J259" s="9"/>
      <c r="K259" s="9"/>
      <c r="L259" s="9"/>
      <c r="M259" s="5"/>
      <c r="AJ259" s="2"/>
    </row>
    <row r="260" spans="1:36" x14ac:dyDescent="0.25">
      <c r="A260" s="36">
        <v>40182</v>
      </c>
      <c r="B260" s="37">
        <v>8.3800000000000008</v>
      </c>
      <c r="C260" s="9">
        <f t="shared" si="96"/>
        <v>7.7868018491008602E-3</v>
      </c>
      <c r="D260" s="9">
        <f t="shared" si="95"/>
        <v>7.4313286307279604E-3</v>
      </c>
      <c r="E260" s="9"/>
      <c r="F260" s="9"/>
      <c r="G260" s="9"/>
      <c r="H260" s="9"/>
      <c r="I260" s="9"/>
      <c r="J260" s="9"/>
      <c r="K260" s="9"/>
      <c r="L260" s="9"/>
      <c r="M260" s="5"/>
      <c r="AJ260" s="2"/>
    </row>
    <row r="261" spans="1:36" x14ac:dyDescent="0.25">
      <c r="A261" s="36">
        <v>40183</v>
      </c>
      <c r="B261" s="37">
        <v>8.6300000000000008</v>
      </c>
      <c r="C261" s="9">
        <f t="shared" si="96"/>
        <v>2.9396590601344804E-2</v>
      </c>
      <c r="D261" s="9">
        <f t="shared" si="95"/>
        <v>2.9041117382971902E-2</v>
      </c>
      <c r="E261" s="9"/>
      <c r="F261" s="9"/>
      <c r="G261" s="9"/>
      <c r="H261" s="9"/>
      <c r="I261" s="9"/>
      <c r="J261" s="9"/>
      <c r="K261" s="9"/>
      <c r="L261" s="9"/>
      <c r="M261" s="5"/>
      <c r="AJ261" s="2"/>
    </row>
    <row r="262" spans="1:36" x14ac:dyDescent="0.25">
      <c r="A262" s="36">
        <v>40184</v>
      </c>
      <c r="B262" s="37">
        <v>8.6349999999999998</v>
      </c>
      <c r="C262" s="9">
        <f t="shared" si="96"/>
        <v>5.7920650330522115E-4</v>
      </c>
      <c r="D262" s="9">
        <f t="shared" si="95"/>
        <v>2.2373328493232122E-4</v>
      </c>
      <c r="E262" s="9"/>
      <c r="F262" s="9"/>
      <c r="G262" s="9"/>
      <c r="H262" s="9"/>
      <c r="I262" s="9"/>
      <c r="J262" s="9"/>
      <c r="K262" s="9"/>
      <c r="L262" s="9"/>
      <c r="M262" s="5"/>
      <c r="AJ262" s="2"/>
    </row>
    <row r="263" spans="1:36" x14ac:dyDescent="0.25">
      <c r="A263" s="36">
        <v>40185</v>
      </c>
      <c r="B263" s="37">
        <v>8.83</v>
      </c>
      <c r="C263" s="9">
        <f t="shared" si="96"/>
        <v>2.2331303017226814E-2</v>
      </c>
      <c r="D263" s="9">
        <f t="shared" si="95"/>
        <v>2.1975829798853912E-2</v>
      </c>
      <c r="E263" s="9"/>
      <c r="F263" s="9"/>
      <c r="G263" s="9"/>
      <c r="H263" s="9"/>
      <c r="I263" s="9"/>
      <c r="J263" s="9"/>
      <c r="K263" s="9"/>
      <c r="L263" s="9"/>
      <c r="M263" s="5"/>
      <c r="AJ263" s="2"/>
    </row>
    <row r="264" spans="1:36" x14ac:dyDescent="0.25">
      <c r="A264" s="36">
        <v>40186</v>
      </c>
      <c r="B264" s="37">
        <v>8.8000000000000007</v>
      </c>
      <c r="C264" s="9">
        <f t="shared" si="96"/>
        <v>-3.4032931317078069E-3</v>
      </c>
      <c r="D264" s="9">
        <f t="shared" si="95"/>
        <v>-3.7587663500807068E-3</v>
      </c>
      <c r="E264" s="9"/>
      <c r="F264" s="9"/>
      <c r="G264" s="9"/>
      <c r="H264" s="9"/>
      <c r="I264" s="9"/>
      <c r="J264" s="9"/>
      <c r="K264" s="9"/>
      <c r="L264" s="9"/>
      <c r="M264" s="5"/>
      <c r="AJ264" s="2"/>
    </row>
    <row r="265" spans="1:36" x14ac:dyDescent="0.25">
      <c r="A265" s="36">
        <v>40189</v>
      </c>
      <c r="B265" s="37">
        <v>8.7550000000000008</v>
      </c>
      <c r="C265" s="9">
        <f t="shared" si="96"/>
        <v>-5.126755746345627E-3</v>
      </c>
      <c r="D265" s="9">
        <f t="shared" si="95"/>
        <v>-5.4822289647185269E-3</v>
      </c>
      <c r="E265" s="9"/>
      <c r="F265" s="9"/>
      <c r="G265" s="9"/>
      <c r="H265" s="9"/>
      <c r="I265" s="9"/>
      <c r="J265" s="9"/>
      <c r="K265" s="9"/>
      <c r="L265" s="9"/>
      <c r="M265" s="5"/>
      <c r="AJ265" s="2"/>
    </row>
    <row r="266" spans="1:36" x14ac:dyDescent="0.25">
      <c r="A266" s="36">
        <v>40190</v>
      </c>
      <c r="B266" s="37">
        <v>8.6050000000000004</v>
      </c>
      <c r="C266" s="9">
        <f t="shared" si="96"/>
        <v>-1.728153607431249E-2</v>
      </c>
      <c r="D266" s="9">
        <f t="shared" si="95"/>
        <v>-1.7637009292685392E-2</v>
      </c>
      <c r="E266" s="9"/>
      <c r="F266" s="9"/>
      <c r="G266" s="9"/>
      <c r="H266" s="9"/>
      <c r="I266" s="9"/>
      <c r="J266" s="9"/>
      <c r="K266" s="9"/>
      <c r="L266" s="9"/>
      <c r="M266" s="5"/>
      <c r="AJ266" s="2"/>
    </row>
    <row r="267" spans="1:36" x14ac:dyDescent="0.25">
      <c r="A267" s="36">
        <v>40191</v>
      </c>
      <c r="B267" s="37">
        <v>8.6199999999999992</v>
      </c>
      <c r="C267" s="9">
        <f t="shared" si="96"/>
        <v>1.7416550120987822E-3</v>
      </c>
      <c r="D267" s="9">
        <f t="shared" si="95"/>
        <v>1.3861817937258823E-3</v>
      </c>
      <c r="E267" s="9"/>
      <c r="F267" s="9"/>
      <c r="G267" s="9"/>
      <c r="H267" s="9"/>
      <c r="I267" s="9"/>
      <c r="J267" s="9"/>
      <c r="K267" s="9"/>
      <c r="L267" s="9"/>
      <c r="M267" s="5"/>
      <c r="AJ267" s="2"/>
    </row>
    <row r="268" spans="1:36" x14ac:dyDescent="0.25">
      <c r="A268" s="36">
        <v>40192</v>
      </c>
      <c r="B268" s="37">
        <v>8.6349999999999998</v>
      </c>
      <c r="C268" s="9">
        <f t="shared" si="96"/>
        <v>1.738626923040219E-3</v>
      </c>
      <c r="D268" s="9">
        <f t="shared" si="95"/>
        <v>1.3831537046673191E-3</v>
      </c>
      <c r="E268" s="9"/>
      <c r="F268" s="9"/>
      <c r="G268" s="9"/>
      <c r="H268" s="9"/>
      <c r="I268" s="9"/>
      <c r="J268" s="9"/>
      <c r="K268" s="9"/>
      <c r="L268" s="9"/>
      <c r="M268" s="5"/>
      <c r="AJ268" s="2"/>
    </row>
    <row r="269" spans="1:36" x14ac:dyDescent="0.25">
      <c r="A269" s="36">
        <v>40193</v>
      </c>
      <c r="B269" s="37">
        <v>8.48</v>
      </c>
      <c r="C269" s="9">
        <f t="shared" si="96"/>
        <v>-1.8113261794830145E-2</v>
      </c>
      <c r="D269" s="9">
        <f t="shared" si="95"/>
        <v>-1.8468735013203046E-2</v>
      </c>
      <c r="E269" s="9"/>
      <c r="F269" s="9"/>
      <c r="G269" s="9"/>
      <c r="H269" s="9"/>
      <c r="I269" s="9"/>
      <c r="J269" s="9"/>
      <c r="K269" s="9"/>
      <c r="L269" s="9"/>
      <c r="M269" s="5"/>
      <c r="AJ269" s="2"/>
    </row>
    <row r="270" spans="1:36" x14ac:dyDescent="0.25">
      <c r="A270" s="36">
        <v>40196</v>
      </c>
      <c r="B270" s="37">
        <v>8.5850000000000009</v>
      </c>
      <c r="C270" s="9">
        <f t="shared" si="96"/>
        <v>1.2306044545627153E-2</v>
      </c>
      <c r="D270" s="9">
        <f t="shared" si="95"/>
        <v>1.1950571327254253E-2</v>
      </c>
      <c r="E270" s="9"/>
      <c r="F270" s="9"/>
      <c r="G270" s="9"/>
      <c r="H270" s="9"/>
      <c r="I270" s="9"/>
      <c r="J270" s="9"/>
      <c r="K270" s="9"/>
      <c r="L270" s="9"/>
      <c r="M270" s="5"/>
      <c r="AJ270" s="2"/>
    </row>
    <row r="271" spans="1:36" x14ac:dyDescent="0.25">
      <c r="A271" s="36">
        <v>40197</v>
      </c>
      <c r="B271" s="37">
        <v>8.7349999999999994</v>
      </c>
      <c r="C271" s="9">
        <f t="shared" si="96"/>
        <v>1.7321449236580896E-2</v>
      </c>
      <c r="D271" s="9">
        <f t="shared" si="95"/>
        <v>1.6965976018207995E-2</v>
      </c>
      <c r="E271" s="9"/>
      <c r="F271" s="9"/>
      <c r="G271" s="9"/>
      <c r="H271" s="9"/>
      <c r="I271" s="9"/>
      <c r="J271" s="9"/>
      <c r="K271" s="9"/>
      <c r="L271" s="9"/>
      <c r="M271" s="5"/>
      <c r="AJ271" s="2"/>
    </row>
    <row r="272" spans="1:36" x14ac:dyDescent="0.25">
      <c r="A272" s="36">
        <v>40198</v>
      </c>
      <c r="B272" s="37">
        <v>8.5500000000000007</v>
      </c>
      <c r="C272" s="9">
        <f t="shared" si="96"/>
        <v>-2.1406660637350864E-2</v>
      </c>
      <c r="D272" s="9">
        <f t="shared" si="95"/>
        <v>-2.1762133855723766E-2</v>
      </c>
      <c r="E272" s="9"/>
      <c r="F272" s="9"/>
      <c r="G272" s="9"/>
      <c r="H272" s="9"/>
      <c r="I272" s="9"/>
      <c r="J272" s="9"/>
      <c r="K272" s="9"/>
      <c r="L272" s="9"/>
      <c r="M272" s="5"/>
      <c r="AJ272" s="2"/>
    </row>
    <row r="273" spans="1:36" x14ac:dyDescent="0.25">
      <c r="A273" s="36">
        <v>40199</v>
      </c>
      <c r="B273" s="37">
        <v>8.35</v>
      </c>
      <c r="C273" s="9">
        <f t="shared" si="96"/>
        <v>-2.3669744085904849E-2</v>
      </c>
      <c r="D273" s="9">
        <f t="shared" si="95"/>
        <v>-2.402521730427775E-2</v>
      </c>
      <c r="E273" s="9"/>
      <c r="F273" s="9"/>
      <c r="G273" s="9"/>
      <c r="H273" s="9"/>
      <c r="I273" s="9"/>
      <c r="J273" s="9"/>
      <c r="K273" s="9"/>
      <c r="L273" s="9"/>
      <c r="M273" s="5"/>
      <c r="AJ273" s="2"/>
    </row>
    <row r="274" spans="1:36" x14ac:dyDescent="0.25">
      <c r="A274" s="36">
        <v>40200</v>
      </c>
      <c r="B274" s="37">
        <v>8.14</v>
      </c>
      <c r="C274" s="9">
        <f t="shared" si="96"/>
        <v>-2.5471358848315067E-2</v>
      </c>
      <c r="D274" s="9">
        <f t="shared" si="95"/>
        <v>-2.5826832066687969E-2</v>
      </c>
      <c r="E274" s="9"/>
      <c r="F274" s="9"/>
      <c r="G274" s="9"/>
      <c r="H274" s="9"/>
      <c r="I274" s="9"/>
      <c r="J274" s="9"/>
      <c r="K274" s="9"/>
      <c r="L274" s="9"/>
      <c r="M274" s="5"/>
      <c r="AJ274" s="2"/>
    </row>
    <row r="275" spans="1:36" x14ac:dyDescent="0.25">
      <c r="A275" s="36">
        <v>40203</v>
      </c>
      <c r="B275" s="37">
        <v>8.17</v>
      </c>
      <c r="C275" s="9">
        <f t="shared" si="96"/>
        <v>3.6787288574625884E-3</v>
      </c>
      <c r="D275" s="9">
        <f t="shared" si="95"/>
        <v>3.3232556390896885E-3</v>
      </c>
      <c r="E275" s="9"/>
      <c r="F275" s="9"/>
      <c r="G275" s="9"/>
      <c r="H275" s="9"/>
      <c r="I275" s="9"/>
      <c r="J275" s="9"/>
      <c r="K275" s="9"/>
      <c r="L275" s="9"/>
      <c r="M275" s="5"/>
      <c r="AJ275" s="2"/>
    </row>
    <row r="276" spans="1:36" x14ac:dyDescent="0.25">
      <c r="A276" s="36">
        <v>40204</v>
      </c>
      <c r="B276" s="37">
        <v>8.2100000000000009</v>
      </c>
      <c r="C276" s="9">
        <f t="shared" si="96"/>
        <v>4.8840145924253587E-3</v>
      </c>
      <c r="D276" s="9">
        <f t="shared" si="95"/>
        <v>4.5285413740524588E-3</v>
      </c>
      <c r="E276" s="9"/>
      <c r="F276" s="9"/>
      <c r="G276" s="9"/>
      <c r="H276" s="9"/>
      <c r="I276" s="9"/>
      <c r="J276" s="9"/>
      <c r="K276" s="9"/>
      <c r="L276" s="9"/>
      <c r="M276" s="5"/>
      <c r="AJ276" s="2"/>
    </row>
    <row r="277" spans="1:36" x14ac:dyDescent="0.25">
      <c r="A277" s="36">
        <v>40205</v>
      </c>
      <c r="B277" s="37">
        <v>8.0299999999999994</v>
      </c>
      <c r="C277" s="9">
        <f t="shared" si="96"/>
        <v>-2.2168395505666766E-2</v>
      </c>
      <c r="D277" s="9">
        <f t="shared" ref="D277:D340" si="97">C277-$C$59/252</f>
        <v>-2.2523868724039667E-2</v>
      </c>
      <c r="E277" s="9"/>
      <c r="F277" s="9"/>
      <c r="G277" s="9"/>
      <c r="H277" s="9"/>
      <c r="I277" s="9"/>
      <c r="J277" s="9"/>
      <c r="K277" s="9"/>
      <c r="L277" s="9"/>
      <c r="M277" s="5"/>
      <c r="AJ277" s="2"/>
    </row>
    <row r="278" spans="1:36" x14ac:dyDescent="0.25">
      <c r="A278" s="36">
        <v>40206</v>
      </c>
      <c r="B278" s="37">
        <v>7.87</v>
      </c>
      <c r="C278" s="9">
        <f t="shared" si="96"/>
        <v>-2.01264655293583E-2</v>
      </c>
      <c r="D278" s="9">
        <f t="shared" si="97"/>
        <v>-2.0481938747731201E-2</v>
      </c>
      <c r="E278" s="9"/>
      <c r="F278" s="9"/>
      <c r="G278" s="9"/>
      <c r="H278" s="9"/>
      <c r="I278" s="9"/>
      <c r="J278" s="9"/>
      <c r="K278" s="9"/>
      <c r="L278" s="9"/>
      <c r="M278" s="5"/>
      <c r="AJ278" s="2"/>
    </row>
    <row r="279" spans="1:36" x14ac:dyDescent="0.25">
      <c r="A279" s="36">
        <v>40207</v>
      </c>
      <c r="B279" s="37">
        <v>7.9450000000000003</v>
      </c>
      <c r="C279" s="9">
        <f t="shared" si="96"/>
        <v>9.4847375593674014E-3</v>
      </c>
      <c r="D279" s="9">
        <f t="shared" si="97"/>
        <v>9.1292643409945015E-3</v>
      </c>
      <c r="E279" s="9"/>
      <c r="F279" s="9"/>
      <c r="G279" s="9"/>
      <c r="H279" s="9"/>
      <c r="I279" s="9"/>
      <c r="J279" s="9"/>
      <c r="K279" s="9"/>
      <c r="L279" s="9"/>
      <c r="M279" s="5"/>
      <c r="AJ279" s="2"/>
    </row>
    <row r="280" spans="1:36" x14ac:dyDescent="0.25">
      <c r="A280" s="36">
        <v>40210</v>
      </c>
      <c r="B280" s="37">
        <v>7.88</v>
      </c>
      <c r="C280" s="9">
        <f t="shared" si="96"/>
        <v>-8.2148961188915938E-3</v>
      </c>
      <c r="D280" s="9">
        <f t="shared" si="97"/>
        <v>-8.5703693372644937E-3</v>
      </c>
      <c r="E280" s="9"/>
      <c r="F280" s="9"/>
      <c r="G280" s="9"/>
      <c r="H280" s="9"/>
      <c r="I280" s="9"/>
      <c r="J280" s="9"/>
      <c r="K280" s="9"/>
      <c r="L280" s="9"/>
      <c r="M280" s="5"/>
      <c r="AJ280" s="2"/>
    </row>
    <row r="281" spans="1:36" x14ac:dyDescent="0.25">
      <c r="A281" s="36">
        <v>40211</v>
      </c>
      <c r="B281" s="37">
        <v>8.3450000000000006</v>
      </c>
      <c r="C281" s="9">
        <f t="shared" si="96"/>
        <v>5.7334653244010769E-2</v>
      </c>
      <c r="D281" s="9">
        <f t="shared" si="97"/>
        <v>5.6979180025637871E-2</v>
      </c>
      <c r="E281" s="9"/>
      <c r="F281" s="9"/>
      <c r="G281" s="9"/>
      <c r="H281" s="9"/>
      <c r="I281" s="9"/>
      <c r="J281" s="9"/>
      <c r="K281" s="9"/>
      <c r="L281" s="9"/>
      <c r="M281" s="5"/>
      <c r="AJ281" s="2"/>
    </row>
    <row r="282" spans="1:36" x14ac:dyDescent="0.25">
      <c r="A282" s="36">
        <v>40212</v>
      </c>
      <c r="B282" s="37">
        <v>8.11</v>
      </c>
      <c r="C282" s="9">
        <f t="shared" si="96"/>
        <v>-2.8564688986476943E-2</v>
      </c>
      <c r="D282" s="9">
        <f t="shared" si="97"/>
        <v>-2.8920162204849845E-2</v>
      </c>
      <c r="E282" s="9"/>
      <c r="F282" s="9"/>
      <c r="G282" s="9"/>
      <c r="H282" s="9"/>
      <c r="I282" s="9"/>
      <c r="J282" s="9"/>
      <c r="K282" s="9"/>
      <c r="L282" s="9"/>
      <c r="M282" s="5"/>
      <c r="AJ282" s="2"/>
    </row>
    <row r="283" spans="1:36" x14ac:dyDescent="0.25">
      <c r="A283" s="36">
        <v>40213</v>
      </c>
      <c r="B283" s="37">
        <v>7.6850000000000005</v>
      </c>
      <c r="C283" s="9">
        <f t="shared" si="96"/>
        <v>-5.3827491136762204E-2</v>
      </c>
      <c r="D283" s="9">
        <f t="shared" si="97"/>
        <v>-5.4182964355135102E-2</v>
      </c>
      <c r="E283" s="9"/>
      <c r="F283" s="9"/>
      <c r="G283" s="9"/>
      <c r="H283" s="9"/>
      <c r="I283" s="9"/>
      <c r="J283" s="9"/>
      <c r="K283" s="9"/>
      <c r="L283" s="9"/>
      <c r="M283" s="5"/>
      <c r="AJ283" s="2"/>
    </row>
    <row r="284" spans="1:36" x14ac:dyDescent="0.25">
      <c r="A284" s="36">
        <v>40214</v>
      </c>
      <c r="B284" s="37">
        <v>7.5750000000000002</v>
      </c>
      <c r="C284" s="9">
        <f t="shared" si="96"/>
        <v>-1.4417025595126337E-2</v>
      </c>
      <c r="D284" s="9">
        <f t="shared" si="97"/>
        <v>-1.4772498813499237E-2</v>
      </c>
      <c r="E284" s="9"/>
      <c r="F284" s="9"/>
      <c r="G284" s="9"/>
      <c r="H284" s="9"/>
      <c r="I284" s="9"/>
      <c r="J284" s="9"/>
      <c r="K284" s="9"/>
      <c r="L284" s="9"/>
      <c r="M284" s="5"/>
      <c r="AJ284" s="2"/>
    </row>
    <row r="285" spans="1:36" x14ac:dyDescent="0.25">
      <c r="A285" s="36">
        <v>40217</v>
      </c>
      <c r="B285" s="37">
        <v>7.5449999999999999</v>
      </c>
      <c r="C285" s="9">
        <f t="shared" si="96"/>
        <v>-3.9682591756206222E-3</v>
      </c>
      <c r="D285" s="9">
        <f t="shared" si="97"/>
        <v>-4.3237323939935221E-3</v>
      </c>
      <c r="E285" s="9"/>
      <c r="F285" s="9"/>
      <c r="G285" s="9"/>
      <c r="H285" s="9"/>
      <c r="I285" s="9"/>
      <c r="J285" s="9"/>
      <c r="K285" s="9"/>
      <c r="L285" s="9"/>
      <c r="M285" s="5"/>
      <c r="AJ285" s="2"/>
    </row>
    <row r="286" spans="1:36" x14ac:dyDescent="0.25">
      <c r="A286" s="36">
        <v>40218</v>
      </c>
      <c r="B286" s="37">
        <v>7.49</v>
      </c>
      <c r="C286" s="9">
        <f t="shared" si="96"/>
        <v>-7.3162946906840916E-3</v>
      </c>
      <c r="D286" s="9">
        <f t="shared" si="97"/>
        <v>-7.6717679090569915E-3</v>
      </c>
      <c r="E286" s="9"/>
      <c r="F286" s="9"/>
      <c r="G286" s="9"/>
      <c r="H286" s="9"/>
      <c r="I286" s="9"/>
      <c r="J286" s="9"/>
      <c r="K286" s="9"/>
      <c r="L286" s="9"/>
      <c r="M286" s="5"/>
      <c r="AJ286" s="2"/>
    </row>
    <row r="287" spans="1:36" x14ac:dyDescent="0.25">
      <c r="A287" s="36">
        <v>40219</v>
      </c>
      <c r="B287" s="37">
        <v>7.6349999999999998</v>
      </c>
      <c r="C287" s="9">
        <f t="shared" si="96"/>
        <v>1.9174141141467656E-2</v>
      </c>
      <c r="D287" s="9">
        <f t="shared" si="97"/>
        <v>1.8818667923094754E-2</v>
      </c>
      <c r="E287" s="9"/>
      <c r="F287" s="9"/>
      <c r="G287" s="9"/>
      <c r="H287" s="9"/>
      <c r="I287" s="9"/>
      <c r="J287" s="9"/>
      <c r="K287" s="9"/>
      <c r="L287" s="9"/>
      <c r="M287" s="5"/>
      <c r="AJ287" s="2"/>
    </row>
    <row r="288" spans="1:36" x14ac:dyDescent="0.25">
      <c r="A288" s="36">
        <v>40220</v>
      </c>
      <c r="B288" s="37">
        <v>7.41</v>
      </c>
      <c r="C288" s="9">
        <f t="shared" si="96"/>
        <v>-2.9912499362600209E-2</v>
      </c>
      <c r="D288" s="9">
        <f t="shared" si="97"/>
        <v>-3.0267972580973111E-2</v>
      </c>
      <c r="E288" s="9"/>
      <c r="F288" s="9"/>
      <c r="G288" s="9"/>
      <c r="H288" s="9"/>
      <c r="I288" s="9"/>
      <c r="J288" s="9"/>
      <c r="K288" s="9"/>
      <c r="L288" s="9"/>
      <c r="M288" s="5"/>
      <c r="AJ288" s="2"/>
    </row>
    <row r="289" spans="1:36" x14ac:dyDescent="0.25">
      <c r="A289" s="36">
        <v>40221</v>
      </c>
      <c r="B289" s="37">
        <v>7.34</v>
      </c>
      <c r="C289" s="9">
        <f t="shared" si="96"/>
        <v>-9.4915966815713963E-3</v>
      </c>
      <c r="D289" s="9">
        <f t="shared" si="97"/>
        <v>-9.8470698999442961E-3</v>
      </c>
      <c r="E289" s="9"/>
      <c r="F289" s="9"/>
      <c r="G289" s="9"/>
      <c r="H289" s="9"/>
      <c r="I289" s="9"/>
      <c r="J289" s="9"/>
      <c r="K289" s="9"/>
      <c r="L289" s="9"/>
      <c r="M289" s="5"/>
      <c r="AJ289" s="2"/>
    </row>
    <row r="290" spans="1:36" x14ac:dyDescent="0.25">
      <c r="A290" s="36">
        <v>40224</v>
      </c>
      <c r="B290" s="37">
        <v>7.49</v>
      </c>
      <c r="C290" s="9">
        <f t="shared" si="96"/>
        <v>2.022995490270392E-2</v>
      </c>
      <c r="D290" s="9">
        <f t="shared" si="97"/>
        <v>1.9874481684331018E-2</v>
      </c>
      <c r="E290" s="9"/>
      <c r="F290" s="9"/>
      <c r="G290" s="9"/>
      <c r="H290" s="9"/>
      <c r="I290" s="9"/>
      <c r="J290" s="9"/>
      <c r="K290" s="9"/>
      <c r="L290" s="9"/>
      <c r="M290" s="5"/>
      <c r="AJ290" s="2"/>
    </row>
    <row r="291" spans="1:36" x14ac:dyDescent="0.25">
      <c r="A291" s="36">
        <v>40225</v>
      </c>
      <c r="B291" s="37">
        <v>7.54</v>
      </c>
      <c r="C291" s="9">
        <f t="shared" si="96"/>
        <v>6.6533844907366736E-3</v>
      </c>
      <c r="D291" s="9">
        <f t="shared" si="97"/>
        <v>6.2979112723637737E-3</v>
      </c>
      <c r="E291" s="9"/>
      <c r="F291" s="9"/>
      <c r="G291" s="9"/>
      <c r="H291" s="9"/>
      <c r="I291" s="9"/>
      <c r="J291" s="9"/>
      <c r="K291" s="9"/>
      <c r="L291" s="9"/>
      <c r="M291" s="5"/>
      <c r="AJ291" s="2"/>
    </row>
    <row r="292" spans="1:36" x14ac:dyDescent="0.25">
      <c r="A292" s="36">
        <v>40226</v>
      </c>
      <c r="B292" s="37">
        <v>7.6150000000000002</v>
      </c>
      <c r="C292" s="9">
        <f t="shared" si="96"/>
        <v>9.8978043272604701E-3</v>
      </c>
      <c r="D292" s="9">
        <f t="shared" si="97"/>
        <v>9.5423311088875702E-3</v>
      </c>
      <c r="E292" s="9"/>
      <c r="F292" s="9"/>
      <c r="G292" s="9"/>
      <c r="H292" s="9"/>
      <c r="I292" s="9"/>
      <c r="J292" s="9"/>
      <c r="K292" s="9"/>
      <c r="L292" s="9"/>
      <c r="M292" s="5"/>
      <c r="AJ292" s="2"/>
    </row>
    <row r="293" spans="1:36" x14ac:dyDescent="0.25">
      <c r="A293" s="36">
        <v>40227</v>
      </c>
      <c r="B293" s="37">
        <v>7.5949999999999998</v>
      </c>
      <c r="C293" s="9">
        <f t="shared" si="96"/>
        <v>-2.6298502993889806E-3</v>
      </c>
      <c r="D293" s="9">
        <f t="shared" si="97"/>
        <v>-2.9853235177618805E-3</v>
      </c>
      <c r="E293" s="9"/>
      <c r="F293" s="9"/>
      <c r="G293" s="9"/>
      <c r="H293" s="9"/>
      <c r="I293" s="9"/>
      <c r="J293" s="9"/>
      <c r="K293" s="9"/>
      <c r="L293" s="9"/>
      <c r="M293" s="5"/>
      <c r="AJ293" s="2"/>
    </row>
    <row r="294" spans="1:36" x14ac:dyDescent="0.25">
      <c r="A294" s="6">
        <v>40228</v>
      </c>
      <c r="B294" s="7">
        <v>7.59</v>
      </c>
      <c r="C294" s="9">
        <f t="shared" si="96"/>
        <v>-6.5854464019761763E-4</v>
      </c>
      <c r="D294" s="9">
        <f t="shared" si="97"/>
        <v>-1.0140178585705175E-3</v>
      </c>
      <c r="E294" s="9"/>
      <c r="F294" s="9"/>
      <c r="G294" s="9"/>
      <c r="H294" s="9"/>
      <c r="I294" s="9"/>
      <c r="J294" s="9"/>
      <c r="K294" s="9"/>
      <c r="L294" s="9"/>
      <c r="M294" s="5"/>
      <c r="AJ294" s="2"/>
    </row>
    <row r="295" spans="1:36" x14ac:dyDescent="0.25">
      <c r="A295" s="6">
        <v>40231</v>
      </c>
      <c r="B295" s="7">
        <v>7.6550000000000002</v>
      </c>
      <c r="C295" s="9">
        <f t="shared" si="96"/>
        <v>8.5274377021086166E-3</v>
      </c>
      <c r="D295" s="9">
        <f t="shared" si="97"/>
        <v>8.1719644837357167E-3</v>
      </c>
      <c r="E295" s="9"/>
      <c r="F295" s="9"/>
      <c r="G295" s="9"/>
      <c r="H295" s="9"/>
      <c r="I295" s="9"/>
      <c r="J295" s="9"/>
      <c r="K295" s="9"/>
      <c r="L295" s="9"/>
      <c r="M295" s="5"/>
      <c r="AJ295" s="2"/>
    </row>
    <row r="296" spans="1:36" x14ac:dyDescent="0.25">
      <c r="A296" s="6">
        <v>40232</v>
      </c>
      <c r="B296" s="7">
        <v>7.6050000000000004</v>
      </c>
      <c r="C296" s="9">
        <f t="shared" si="96"/>
        <v>-6.5531033983908553E-3</v>
      </c>
      <c r="D296" s="9">
        <f t="shared" si="97"/>
        <v>-6.9085766167637551E-3</v>
      </c>
      <c r="E296" s="9"/>
      <c r="F296" s="9"/>
      <c r="G296" s="9"/>
      <c r="H296" s="9"/>
      <c r="I296" s="9"/>
      <c r="J296" s="9"/>
      <c r="K296" s="9"/>
      <c r="L296" s="9"/>
      <c r="M296" s="5"/>
      <c r="AJ296" s="2"/>
    </row>
    <row r="297" spans="1:36" x14ac:dyDescent="0.25">
      <c r="A297" s="6">
        <v>40233</v>
      </c>
      <c r="B297" s="7">
        <v>7.8149999999999995</v>
      </c>
      <c r="C297" s="9">
        <f t="shared" si="96"/>
        <v>2.7239038162183676E-2</v>
      </c>
      <c r="D297" s="9">
        <f t="shared" si="97"/>
        <v>2.6883564943810775E-2</v>
      </c>
      <c r="E297" s="9"/>
      <c r="F297" s="9"/>
      <c r="G297" s="9"/>
      <c r="H297" s="9"/>
      <c r="I297" s="9"/>
      <c r="J297" s="9"/>
      <c r="K297" s="9"/>
      <c r="L297" s="9"/>
      <c r="M297" s="5"/>
      <c r="AJ297" s="2"/>
    </row>
    <row r="298" spans="1:36" x14ac:dyDescent="0.25">
      <c r="A298" s="6">
        <v>40234</v>
      </c>
      <c r="B298" s="7">
        <v>7.7050000000000001</v>
      </c>
      <c r="C298" s="9">
        <f t="shared" si="96"/>
        <v>-1.4175495101360805E-2</v>
      </c>
      <c r="D298" s="9">
        <f t="shared" si="97"/>
        <v>-1.4530968319733705E-2</v>
      </c>
      <c r="E298" s="9"/>
      <c r="F298" s="9"/>
      <c r="G298" s="9"/>
      <c r="H298" s="9"/>
      <c r="I298" s="9"/>
      <c r="J298" s="9"/>
      <c r="K298" s="9"/>
      <c r="L298" s="9"/>
      <c r="M298" s="5"/>
      <c r="AJ298" s="2"/>
    </row>
    <row r="299" spans="1:36" x14ac:dyDescent="0.25">
      <c r="A299" s="6">
        <v>40235</v>
      </c>
      <c r="B299" s="7">
        <v>7.75</v>
      </c>
      <c r="C299" s="9">
        <f t="shared" si="96"/>
        <v>5.8233745931765999E-3</v>
      </c>
      <c r="D299" s="9">
        <f t="shared" si="97"/>
        <v>5.4679013748037001E-3</v>
      </c>
      <c r="E299" s="9"/>
      <c r="F299" s="9"/>
      <c r="G299" s="9"/>
      <c r="H299" s="9"/>
      <c r="I299" s="9"/>
      <c r="J299" s="9"/>
      <c r="K299" s="9"/>
      <c r="L299" s="9"/>
      <c r="M299" s="5"/>
      <c r="AJ299" s="2"/>
    </row>
    <row r="300" spans="1:36" x14ac:dyDescent="0.25">
      <c r="A300" s="6">
        <v>40238</v>
      </c>
      <c r="B300" s="7">
        <v>7.6850000000000005</v>
      </c>
      <c r="C300" s="9">
        <f t="shared" si="96"/>
        <v>-8.4224663746963642E-3</v>
      </c>
      <c r="D300" s="9">
        <f t="shared" si="97"/>
        <v>-8.7779395930692641E-3</v>
      </c>
      <c r="E300" s="9"/>
      <c r="F300" s="9"/>
      <c r="G300" s="9"/>
      <c r="H300" s="9"/>
      <c r="I300" s="9"/>
      <c r="J300" s="9"/>
      <c r="K300" s="9"/>
      <c r="L300" s="9"/>
      <c r="M300" s="5"/>
      <c r="AJ300" s="2"/>
    </row>
    <row r="301" spans="1:36" x14ac:dyDescent="0.25">
      <c r="A301" s="6">
        <v>40239</v>
      </c>
      <c r="B301" s="7">
        <v>7.8449999999999998</v>
      </c>
      <c r="C301" s="9">
        <f t="shared" si="96"/>
        <v>2.060600919443668E-2</v>
      </c>
      <c r="D301" s="9">
        <f t="shared" si="97"/>
        <v>2.0250535976063778E-2</v>
      </c>
      <c r="E301" s="9"/>
      <c r="F301" s="9"/>
      <c r="G301" s="9"/>
      <c r="H301" s="9"/>
      <c r="I301" s="9"/>
      <c r="J301" s="9"/>
      <c r="K301" s="9"/>
      <c r="L301" s="9"/>
      <c r="M301" s="5"/>
      <c r="AJ301" s="2"/>
    </row>
    <row r="302" spans="1:36" x14ac:dyDescent="0.25">
      <c r="A302" s="6">
        <v>40240</v>
      </c>
      <c r="B302" s="7">
        <v>7.9050000000000002</v>
      </c>
      <c r="C302" s="9">
        <f t="shared" si="96"/>
        <v>7.6190844764395787E-3</v>
      </c>
      <c r="D302" s="9">
        <f t="shared" si="97"/>
        <v>7.2636112580666788E-3</v>
      </c>
      <c r="E302" s="9"/>
      <c r="F302" s="9"/>
      <c r="G302" s="9"/>
      <c r="H302" s="9"/>
      <c r="I302" s="9"/>
      <c r="J302" s="9"/>
      <c r="K302" s="9"/>
      <c r="L302" s="9"/>
      <c r="M302" s="5"/>
      <c r="AJ302" s="2"/>
    </row>
    <row r="303" spans="1:36" x14ac:dyDescent="0.25">
      <c r="A303" s="6">
        <v>40241</v>
      </c>
      <c r="B303" s="7">
        <v>7.87</v>
      </c>
      <c r="C303" s="9">
        <f t="shared" si="96"/>
        <v>-4.437408232123451E-3</v>
      </c>
      <c r="D303" s="9">
        <f t="shared" si="97"/>
        <v>-4.7928814504963509E-3</v>
      </c>
      <c r="E303" s="9"/>
      <c r="F303" s="9"/>
      <c r="G303" s="9"/>
      <c r="H303" s="9"/>
      <c r="I303" s="9"/>
      <c r="J303" s="9"/>
      <c r="K303" s="9"/>
      <c r="L303" s="9"/>
      <c r="M303" s="5"/>
      <c r="AJ303" s="2"/>
    </row>
    <row r="304" spans="1:36" x14ac:dyDescent="0.25">
      <c r="A304" s="6">
        <v>40242</v>
      </c>
      <c r="B304" s="7">
        <v>7.9950000000000001</v>
      </c>
      <c r="C304" s="9">
        <f t="shared" si="96"/>
        <v>1.5758283856605625E-2</v>
      </c>
      <c r="D304" s="9">
        <f t="shared" si="97"/>
        <v>1.5402810638232725E-2</v>
      </c>
      <c r="E304" s="9"/>
      <c r="F304" s="9"/>
      <c r="G304" s="9"/>
      <c r="H304" s="9"/>
      <c r="I304" s="9"/>
      <c r="J304" s="9"/>
      <c r="K304" s="9"/>
      <c r="L304" s="9"/>
      <c r="M304" s="5"/>
      <c r="AJ304" s="2"/>
    </row>
    <row r="305" spans="1:36" x14ac:dyDescent="0.25">
      <c r="A305" s="6">
        <v>40245</v>
      </c>
      <c r="B305" s="7">
        <v>8.0350000000000001</v>
      </c>
      <c r="C305" s="9">
        <f t="shared" si="96"/>
        <v>4.9906529035583479E-3</v>
      </c>
      <c r="D305" s="9">
        <f t="shared" si="97"/>
        <v>4.635179685185448E-3</v>
      </c>
      <c r="E305" s="9"/>
      <c r="F305" s="9"/>
      <c r="G305" s="9"/>
      <c r="H305" s="9"/>
      <c r="I305" s="9"/>
      <c r="J305" s="9"/>
      <c r="K305" s="9"/>
      <c r="L305" s="9"/>
      <c r="M305" s="5"/>
      <c r="AJ305" s="2"/>
    </row>
    <row r="306" spans="1:36" x14ac:dyDescent="0.25">
      <c r="A306" s="6">
        <v>40246</v>
      </c>
      <c r="B306" s="7">
        <v>7.9850000000000003</v>
      </c>
      <c r="C306" s="9">
        <f t="shared" si="96"/>
        <v>-6.2422175225001425E-3</v>
      </c>
      <c r="D306" s="9">
        <f t="shared" si="97"/>
        <v>-6.5976907408730424E-3</v>
      </c>
      <c r="E306" s="9"/>
      <c r="F306" s="9"/>
      <c r="G306" s="9"/>
      <c r="H306" s="9"/>
      <c r="I306" s="9"/>
      <c r="J306" s="9"/>
      <c r="K306" s="9"/>
      <c r="L306" s="9"/>
      <c r="M306" s="5"/>
      <c r="AJ306" s="2"/>
    </row>
    <row r="307" spans="1:36" x14ac:dyDescent="0.25">
      <c r="A307" s="6">
        <v>40247</v>
      </c>
      <c r="B307" s="7">
        <v>8.1050000000000004</v>
      </c>
      <c r="C307" s="9">
        <f t="shared" si="96"/>
        <v>1.4916373520663766E-2</v>
      </c>
      <c r="D307" s="9">
        <f t="shared" si="97"/>
        <v>1.4560900302290866E-2</v>
      </c>
      <c r="E307" s="9"/>
      <c r="F307" s="9"/>
      <c r="G307" s="9"/>
      <c r="H307" s="9"/>
      <c r="I307" s="9"/>
      <c r="J307" s="9"/>
      <c r="K307" s="9"/>
      <c r="L307" s="9"/>
      <c r="M307" s="5"/>
      <c r="AJ307" s="2"/>
    </row>
    <row r="308" spans="1:36" x14ac:dyDescent="0.25">
      <c r="A308" s="6">
        <v>40248</v>
      </c>
      <c r="B308" s="7">
        <v>8.1</v>
      </c>
      <c r="C308" s="9">
        <f t="shared" si="96"/>
        <v>-6.1709350924640273E-4</v>
      </c>
      <c r="D308" s="9">
        <f t="shared" si="97"/>
        <v>-9.7256672761930271E-4</v>
      </c>
      <c r="E308" s="9"/>
      <c r="F308" s="9"/>
      <c r="G308" s="9"/>
      <c r="H308" s="9"/>
      <c r="I308" s="9"/>
      <c r="J308" s="9"/>
      <c r="K308" s="9"/>
      <c r="L308" s="9"/>
      <c r="M308" s="5"/>
      <c r="AJ308" s="2"/>
    </row>
    <row r="309" spans="1:36" x14ac:dyDescent="0.25">
      <c r="A309" s="6">
        <v>40249</v>
      </c>
      <c r="B309" s="7">
        <v>8.1199999999999992</v>
      </c>
      <c r="C309" s="9">
        <f t="shared" si="96"/>
        <v>2.4660924951934683E-3</v>
      </c>
      <c r="D309" s="9">
        <f t="shared" si="97"/>
        <v>2.1106192768205684E-3</v>
      </c>
      <c r="E309" s="9"/>
      <c r="F309" s="9"/>
      <c r="G309" s="9"/>
      <c r="H309" s="9"/>
      <c r="I309" s="9"/>
      <c r="J309" s="9"/>
      <c r="K309" s="9"/>
      <c r="L309" s="9"/>
      <c r="M309" s="5"/>
      <c r="AJ309" s="2"/>
    </row>
    <row r="310" spans="1:36" x14ac:dyDescent="0.25">
      <c r="A310" s="6">
        <v>40252</v>
      </c>
      <c r="B310" s="7">
        <v>8</v>
      </c>
      <c r="C310" s="9">
        <f t="shared" si="96"/>
        <v>-1.4888612493750524E-2</v>
      </c>
      <c r="D310" s="9">
        <f t="shared" si="97"/>
        <v>-1.5244085712123424E-2</v>
      </c>
      <c r="E310" s="9"/>
      <c r="F310" s="9"/>
      <c r="G310" s="9"/>
      <c r="H310" s="9"/>
      <c r="I310" s="9"/>
      <c r="J310" s="9"/>
      <c r="K310" s="9"/>
      <c r="L310" s="9"/>
      <c r="M310" s="5"/>
      <c r="AJ310" s="2"/>
    </row>
    <row r="311" spans="1:36" x14ac:dyDescent="0.25">
      <c r="A311" s="6">
        <v>40253</v>
      </c>
      <c r="B311" s="7">
        <v>8.08</v>
      </c>
      <c r="C311" s="9">
        <f t="shared" si="96"/>
        <v>9.950330853168092E-3</v>
      </c>
      <c r="D311" s="9">
        <f t="shared" si="97"/>
        <v>9.5948576347951921E-3</v>
      </c>
      <c r="E311" s="9"/>
      <c r="F311" s="9"/>
      <c r="G311" s="9"/>
      <c r="H311" s="9"/>
      <c r="I311" s="9"/>
      <c r="J311" s="9"/>
      <c r="K311" s="9"/>
      <c r="L311" s="9"/>
      <c r="M311" s="5"/>
      <c r="AJ311" s="2"/>
    </row>
    <row r="312" spans="1:36" x14ac:dyDescent="0.25">
      <c r="A312" s="6">
        <v>40254</v>
      </c>
      <c r="B312" s="7">
        <v>8.17</v>
      </c>
      <c r="C312" s="9">
        <f t="shared" si="96"/>
        <v>1.1077036338907404E-2</v>
      </c>
      <c r="D312" s="9">
        <f t="shared" si="97"/>
        <v>1.0721563120534504E-2</v>
      </c>
      <c r="E312" s="9"/>
      <c r="F312" s="9"/>
      <c r="G312" s="9"/>
      <c r="H312" s="9"/>
      <c r="I312" s="9"/>
      <c r="J312" s="9"/>
      <c r="K312" s="9"/>
      <c r="L312" s="9"/>
      <c r="M312" s="5"/>
      <c r="AJ312" s="2"/>
    </row>
    <row r="313" spans="1:36" x14ac:dyDescent="0.25">
      <c r="A313" s="6">
        <v>40255</v>
      </c>
      <c r="B313" s="7">
        <v>8.1449999999999996</v>
      </c>
      <c r="C313" s="9">
        <f t="shared" si="96"/>
        <v>-3.0646668179031039E-3</v>
      </c>
      <c r="D313" s="9">
        <f t="shared" si="97"/>
        <v>-3.4201400362760038E-3</v>
      </c>
      <c r="E313" s="9"/>
      <c r="F313" s="9"/>
      <c r="G313" s="9"/>
      <c r="H313" s="9"/>
      <c r="I313" s="9"/>
      <c r="J313" s="9"/>
      <c r="K313" s="9"/>
      <c r="L313" s="9"/>
      <c r="M313" s="5"/>
      <c r="AJ313" s="2"/>
    </row>
    <row r="314" spans="1:36" x14ac:dyDescent="0.25">
      <c r="A314" s="6">
        <v>40256</v>
      </c>
      <c r="B314" s="7">
        <v>8.1</v>
      </c>
      <c r="C314" s="9">
        <f t="shared" si="96"/>
        <v>-5.5401803756153561E-3</v>
      </c>
      <c r="D314" s="9">
        <f t="shared" si="97"/>
        <v>-5.895653593988256E-3</v>
      </c>
      <c r="E314" s="9"/>
      <c r="F314" s="9"/>
      <c r="G314" s="9"/>
      <c r="H314" s="9"/>
      <c r="I314" s="9"/>
      <c r="J314" s="9"/>
      <c r="K314" s="9"/>
      <c r="L314" s="9"/>
      <c r="M314" s="5"/>
      <c r="AJ314" s="2"/>
    </row>
    <row r="315" spans="1:36" x14ac:dyDescent="0.25">
      <c r="A315" s="6">
        <v>40259</v>
      </c>
      <c r="B315" s="7">
        <v>8.0449999999999999</v>
      </c>
      <c r="C315" s="9">
        <f t="shared" si="96"/>
        <v>-6.8132812340465131E-3</v>
      </c>
      <c r="D315" s="9">
        <f t="shared" si="97"/>
        <v>-7.168754452419413E-3</v>
      </c>
      <c r="E315" s="9"/>
      <c r="F315" s="9"/>
      <c r="G315" s="9"/>
      <c r="H315" s="9"/>
      <c r="I315" s="9"/>
      <c r="J315" s="9"/>
      <c r="K315" s="9"/>
      <c r="L315" s="9"/>
      <c r="M315" s="5"/>
      <c r="AJ315" s="2"/>
    </row>
    <row r="316" spans="1:36" x14ac:dyDescent="0.25">
      <c r="A316" s="6">
        <v>40260</v>
      </c>
      <c r="B316" s="7">
        <v>8</v>
      </c>
      <c r="C316" s="9">
        <f t="shared" si="96"/>
        <v>-5.6092387645105936E-3</v>
      </c>
      <c r="D316" s="9">
        <f t="shared" si="97"/>
        <v>-5.9647119828834935E-3</v>
      </c>
      <c r="E316" s="9"/>
      <c r="F316" s="9"/>
      <c r="G316" s="9"/>
      <c r="H316" s="9"/>
      <c r="I316" s="9"/>
      <c r="J316" s="9"/>
      <c r="K316" s="9"/>
      <c r="L316" s="9"/>
      <c r="M316" s="5"/>
      <c r="AJ316" s="2"/>
    </row>
    <row r="317" spans="1:36" x14ac:dyDescent="0.25">
      <c r="A317" s="6">
        <v>40261</v>
      </c>
      <c r="B317" s="7">
        <v>7.9450000000000003</v>
      </c>
      <c r="C317" s="9">
        <f t="shared" ref="C317:C380" si="98">LN(B317/B316)</f>
        <v>-6.8987416911565902E-3</v>
      </c>
      <c r="D317" s="9">
        <f t="shared" si="97"/>
        <v>-7.2542149095294901E-3</v>
      </c>
      <c r="E317" s="9"/>
      <c r="F317" s="9"/>
      <c r="G317" s="9"/>
      <c r="H317" s="9"/>
      <c r="I317" s="9"/>
      <c r="J317" s="9"/>
      <c r="K317" s="9"/>
      <c r="L317" s="9"/>
      <c r="M317" s="5"/>
      <c r="AJ317" s="2"/>
    </row>
    <row r="318" spans="1:36" x14ac:dyDescent="0.25">
      <c r="A318" s="6">
        <v>40262</v>
      </c>
      <c r="B318" s="7">
        <v>8.0250000000000004</v>
      </c>
      <c r="C318" s="9">
        <f t="shared" si="98"/>
        <v>1.0018869027400368E-2</v>
      </c>
      <c r="D318" s="9">
        <f t="shared" si="97"/>
        <v>9.6633958090274683E-3</v>
      </c>
      <c r="E318" s="9"/>
      <c r="F318" s="9"/>
      <c r="G318" s="9"/>
      <c r="H318" s="9"/>
      <c r="I318" s="9"/>
      <c r="J318" s="9"/>
      <c r="K318" s="9"/>
      <c r="L318" s="9"/>
      <c r="M318" s="5"/>
      <c r="AJ318" s="2"/>
    </row>
    <row r="319" spans="1:36" x14ac:dyDescent="0.25">
      <c r="A319" s="6">
        <v>40263</v>
      </c>
      <c r="B319" s="7">
        <v>8.02</v>
      </c>
      <c r="C319" s="9">
        <f t="shared" si="98"/>
        <v>-6.2324713765647916E-4</v>
      </c>
      <c r="D319" s="9">
        <f t="shared" si="97"/>
        <v>-9.7872035602937914E-4</v>
      </c>
      <c r="E319" s="9"/>
      <c r="F319" s="9"/>
      <c r="G319" s="9"/>
      <c r="H319" s="9"/>
      <c r="I319" s="9"/>
      <c r="J319" s="9"/>
      <c r="K319" s="9"/>
      <c r="L319" s="9"/>
      <c r="M319" s="5"/>
      <c r="AJ319" s="2"/>
    </row>
    <row r="320" spans="1:36" x14ac:dyDescent="0.25">
      <c r="A320" s="6">
        <v>40266</v>
      </c>
      <c r="B320" s="7">
        <v>8.01</v>
      </c>
      <c r="C320" s="9">
        <f t="shared" si="98"/>
        <v>-1.247660798155252E-3</v>
      </c>
      <c r="D320" s="9">
        <f t="shared" si="97"/>
        <v>-1.6031340165281519E-3</v>
      </c>
      <c r="E320" s="9"/>
      <c r="F320" s="9"/>
      <c r="G320" s="9"/>
      <c r="H320" s="9"/>
      <c r="I320" s="9"/>
      <c r="J320" s="9"/>
      <c r="K320" s="9"/>
      <c r="L320" s="9"/>
      <c r="M320" s="5"/>
      <c r="AJ320" s="2"/>
    </row>
    <row r="321" spans="1:36" x14ac:dyDescent="0.25">
      <c r="A321" s="6">
        <v>40267</v>
      </c>
      <c r="B321" s="7">
        <v>7.98</v>
      </c>
      <c r="C321" s="9">
        <f t="shared" si="98"/>
        <v>-3.7523496185503527E-3</v>
      </c>
      <c r="D321" s="9">
        <f t="shared" si="97"/>
        <v>-4.1078228369232526E-3</v>
      </c>
      <c r="E321" s="9"/>
      <c r="F321" s="9"/>
      <c r="G321" s="9"/>
      <c r="H321" s="9"/>
      <c r="I321" s="9"/>
      <c r="J321" s="9"/>
      <c r="K321" s="9"/>
      <c r="L321" s="9"/>
      <c r="M321" s="5"/>
      <c r="AJ321" s="2"/>
    </row>
    <row r="322" spans="1:36" x14ac:dyDescent="0.25">
      <c r="A322" s="6">
        <v>40268</v>
      </c>
      <c r="B322" s="7">
        <v>7.9550000000000001</v>
      </c>
      <c r="C322" s="9">
        <f t="shared" si="98"/>
        <v>-3.1377496719672492E-3</v>
      </c>
      <c r="D322" s="9">
        <f t="shared" si="97"/>
        <v>-3.4932228903401491E-3</v>
      </c>
      <c r="E322" s="9"/>
      <c r="F322" s="9"/>
      <c r="G322" s="9"/>
      <c r="H322" s="9"/>
      <c r="I322" s="9"/>
      <c r="J322" s="9"/>
      <c r="K322" s="9"/>
      <c r="L322" s="9"/>
      <c r="M322" s="5"/>
      <c r="AJ322" s="2"/>
    </row>
    <row r="323" spans="1:36" x14ac:dyDescent="0.25">
      <c r="A323" s="6">
        <v>40269</v>
      </c>
      <c r="B323" s="7">
        <v>8.0500000000000007</v>
      </c>
      <c r="C323" s="9">
        <f t="shared" si="98"/>
        <v>1.1871429640721916E-2</v>
      </c>
      <c r="D323" s="9">
        <f t="shared" si="97"/>
        <v>1.1515956422349016E-2</v>
      </c>
      <c r="E323" s="9"/>
      <c r="F323" s="9"/>
      <c r="G323" s="9"/>
      <c r="H323" s="9"/>
      <c r="I323" s="9"/>
      <c r="J323" s="9"/>
      <c r="K323" s="9"/>
      <c r="L323" s="9"/>
      <c r="M323" s="5"/>
      <c r="AJ323" s="2"/>
    </row>
    <row r="324" spans="1:36" x14ac:dyDescent="0.25">
      <c r="A324" s="6">
        <v>40274</v>
      </c>
      <c r="B324" s="7">
        <v>8.09</v>
      </c>
      <c r="C324" s="9">
        <f t="shared" si="98"/>
        <v>4.956639639928196E-3</v>
      </c>
      <c r="D324" s="9">
        <f t="shared" si="97"/>
        <v>4.6011664215552962E-3</v>
      </c>
      <c r="E324" s="9"/>
      <c r="F324" s="9"/>
      <c r="G324" s="9"/>
      <c r="H324" s="9"/>
      <c r="I324" s="9"/>
      <c r="J324" s="9"/>
      <c r="K324" s="9"/>
      <c r="L324" s="9"/>
      <c r="M324" s="5"/>
      <c r="AJ324" s="2"/>
    </row>
    <row r="325" spans="1:36" x14ac:dyDescent="0.25">
      <c r="A325" s="6">
        <v>40275</v>
      </c>
      <c r="B325" s="7">
        <v>8.0500000000000007</v>
      </c>
      <c r="C325" s="9">
        <f t="shared" si="98"/>
        <v>-4.956639639928177E-3</v>
      </c>
      <c r="D325" s="9">
        <f t="shared" si="97"/>
        <v>-5.3121128583010768E-3</v>
      </c>
      <c r="E325" s="9"/>
      <c r="F325" s="9"/>
      <c r="G325" s="9"/>
      <c r="H325" s="9"/>
      <c r="I325" s="9"/>
      <c r="J325" s="9"/>
      <c r="K325" s="9"/>
      <c r="L325" s="9"/>
      <c r="M325" s="5"/>
      <c r="AJ325" s="2"/>
    </row>
    <row r="326" spans="1:36" x14ac:dyDescent="0.25">
      <c r="A326" s="6">
        <v>40276</v>
      </c>
      <c r="B326" s="7">
        <v>7.9050000000000002</v>
      </c>
      <c r="C326" s="9">
        <f t="shared" si="98"/>
        <v>-1.8176620769036686E-2</v>
      </c>
      <c r="D326" s="9">
        <f t="shared" si="97"/>
        <v>-1.8532093987409588E-2</v>
      </c>
      <c r="E326" s="9"/>
      <c r="F326" s="9"/>
      <c r="G326" s="9"/>
      <c r="H326" s="9"/>
      <c r="I326" s="9"/>
      <c r="J326" s="9"/>
      <c r="K326" s="9"/>
      <c r="L326" s="9"/>
      <c r="M326" s="5"/>
      <c r="AJ326" s="2"/>
    </row>
    <row r="327" spans="1:36" x14ac:dyDescent="0.25">
      <c r="A327" s="6">
        <v>40277</v>
      </c>
      <c r="B327" s="7">
        <v>7.95</v>
      </c>
      <c r="C327" s="9">
        <f t="shared" si="98"/>
        <v>5.6764580048051221E-3</v>
      </c>
      <c r="D327" s="9">
        <f t="shared" si="97"/>
        <v>5.3209847864322223E-3</v>
      </c>
      <c r="E327" s="9"/>
      <c r="F327" s="9"/>
      <c r="G327" s="9"/>
      <c r="H327" s="9"/>
      <c r="I327" s="9"/>
      <c r="J327" s="9"/>
      <c r="K327" s="9"/>
      <c r="L327" s="9"/>
      <c r="M327" s="5"/>
      <c r="AJ327" s="2"/>
    </row>
    <row r="328" spans="1:36" x14ac:dyDescent="0.25">
      <c r="A328" s="6">
        <v>40280</v>
      </c>
      <c r="B328" s="7">
        <v>7.99</v>
      </c>
      <c r="C328" s="9">
        <f t="shared" si="98"/>
        <v>5.0188311119427655E-3</v>
      </c>
      <c r="D328" s="9">
        <f t="shared" si="97"/>
        <v>4.6633578935698656E-3</v>
      </c>
      <c r="E328" s="9"/>
      <c r="F328" s="9"/>
      <c r="G328" s="9"/>
      <c r="H328" s="9"/>
      <c r="I328" s="9"/>
      <c r="J328" s="9"/>
      <c r="K328" s="9"/>
      <c r="L328" s="9"/>
      <c r="M328" s="5"/>
      <c r="AJ328" s="2"/>
    </row>
    <row r="329" spans="1:36" x14ac:dyDescent="0.25">
      <c r="A329" s="6">
        <v>40281</v>
      </c>
      <c r="B329" s="7">
        <v>7.95</v>
      </c>
      <c r="C329" s="9">
        <f t="shared" si="98"/>
        <v>-5.0188311119427351E-3</v>
      </c>
      <c r="D329" s="9">
        <f t="shared" si="97"/>
        <v>-5.374304330315635E-3</v>
      </c>
      <c r="E329" s="9"/>
      <c r="F329" s="9"/>
      <c r="G329" s="9"/>
      <c r="H329" s="9"/>
      <c r="I329" s="9"/>
      <c r="J329" s="9"/>
      <c r="K329" s="9"/>
      <c r="L329" s="9"/>
      <c r="M329" s="5"/>
      <c r="AJ329" s="2"/>
    </row>
    <row r="330" spans="1:36" x14ac:dyDescent="0.25">
      <c r="A330" s="6">
        <v>40282</v>
      </c>
      <c r="B330" s="7">
        <v>8.02</v>
      </c>
      <c r="C330" s="9">
        <f t="shared" si="98"/>
        <v>8.7664932121825929E-3</v>
      </c>
      <c r="D330" s="9">
        <f t="shared" si="97"/>
        <v>8.411019993809693E-3</v>
      </c>
      <c r="E330" s="9"/>
      <c r="F330" s="9"/>
      <c r="G330" s="9"/>
      <c r="H330" s="9"/>
      <c r="I330" s="9"/>
      <c r="J330" s="9"/>
      <c r="K330" s="9"/>
      <c r="L330" s="9"/>
      <c r="M330" s="5"/>
      <c r="AJ330" s="2"/>
    </row>
    <row r="331" spans="1:36" x14ac:dyDescent="0.25">
      <c r="A331" s="6">
        <v>40283</v>
      </c>
      <c r="B331" s="7">
        <v>8.01</v>
      </c>
      <c r="C331" s="9">
        <f t="shared" si="98"/>
        <v>-1.247660798155252E-3</v>
      </c>
      <c r="D331" s="9">
        <f t="shared" si="97"/>
        <v>-1.6031340165281519E-3</v>
      </c>
      <c r="E331" s="9"/>
      <c r="F331" s="9"/>
      <c r="G331" s="9"/>
      <c r="H331" s="9"/>
      <c r="I331" s="9"/>
      <c r="J331" s="9"/>
      <c r="K331" s="9"/>
      <c r="L331" s="9"/>
      <c r="M331" s="5"/>
      <c r="AJ331" s="2"/>
    </row>
    <row r="332" spans="1:36" x14ac:dyDescent="0.25">
      <c r="A332" s="6">
        <v>40284</v>
      </c>
      <c r="B332" s="7">
        <v>7.71</v>
      </c>
      <c r="C332" s="9">
        <f t="shared" si="98"/>
        <v>-3.8172573505029714E-2</v>
      </c>
      <c r="D332" s="9">
        <f t="shared" si="97"/>
        <v>-3.8528046723402612E-2</v>
      </c>
      <c r="E332" s="9"/>
      <c r="F332" s="9"/>
      <c r="G332" s="9"/>
      <c r="H332" s="9"/>
      <c r="I332" s="9"/>
      <c r="J332" s="9"/>
      <c r="K332" s="9"/>
      <c r="L332" s="9"/>
      <c r="M332" s="5"/>
      <c r="AJ332" s="2"/>
    </row>
    <row r="333" spans="1:36" x14ac:dyDescent="0.25">
      <c r="A333" s="6">
        <v>40287</v>
      </c>
      <c r="B333" s="7">
        <v>7.64</v>
      </c>
      <c r="C333" s="9">
        <f t="shared" si="98"/>
        <v>-9.1205843968090779E-3</v>
      </c>
      <c r="D333" s="9">
        <f t="shared" si="97"/>
        <v>-9.4760576151819778E-3</v>
      </c>
      <c r="E333" s="9"/>
      <c r="F333" s="9"/>
      <c r="G333" s="9"/>
      <c r="H333" s="9"/>
      <c r="I333" s="9"/>
      <c r="J333" s="9"/>
      <c r="K333" s="9"/>
      <c r="L333" s="9"/>
      <c r="M333" s="5"/>
      <c r="AJ333" s="2"/>
    </row>
    <row r="334" spans="1:36" x14ac:dyDescent="0.25">
      <c r="A334" s="6">
        <v>40288</v>
      </c>
      <c r="B334" s="7">
        <v>7.7</v>
      </c>
      <c r="C334" s="9">
        <f t="shared" si="98"/>
        <v>7.8227256812090779E-3</v>
      </c>
      <c r="D334" s="9">
        <f t="shared" si="97"/>
        <v>7.467252462836178E-3</v>
      </c>
      <c r="E334" s="9"/>
      <c r="F334" s="9"/>
      <c r="G334" s="9"/>
      <c r="H334" s="9"/>
      <c r="I334" s="9"/>
      <c r="J334" s="9"/>
      <c r="K334" s="9"/>
      <c r="L334" s="9"/>
      <c r="M334" s="5"/>
      <c r="AJ334" s="2"/>
    </row>
    <row r="335" spans="1:36" x14ac:dyDescent="0.25">
      <c r="A335" s="6">
        <v>40289</v>
      </c>
      <c r="B335" s="7">
        <v>7.5449999999999999</v>
      </c>
      <c r="C335" s="9">
        <f t="shared" si="98"/>
        <v>-2.0335236639825924E-2</v>
      </c>
      <c r="D335" s="9">
        <f t="shared" si="97"/>
        <v>-2.0690709858198826E-2</v>
      </c>
      <c r="E335" s="9"/>
      <c r="F335" s="9"/>
      <c r="G335" s="9"/>
      <c r="H335" s="9"/>
      <c r="I335" s="9"/>
      <c r="J335" s="9"/>
      <c r="K335" s="9"/>
      <c r="L335" s="9"/>
      <c r="M335" s="5"/>
      <c r="AJ335" s="2"/>
    </row>
    <row r="336" spans="1:36" x14ac:dyDescent="0.25">
      <c r="A336" s="6">
        <v>40290</v>
      </c>
      <c r="B336" s="7">
        <v>7.45</v>
      </c>
      <c r="C336" s="9">
        <f t="shared" si="98"/>
        <v>-1.2671059828344012E-2</v>
      </c>
      <c r="D336" s="9">
        <f t="shared" si="97"/>
        <v>-1.3026533046716911E-2</v>
      </c>
      <c r="E336" s="9"/>
      <c r="F336" s="9"/>
      <c r="G336" s="9"/>
      <c r="H336" s="9"/>
      <c r="I336" s="9"/>
      <c r="J336" s="9"/>
      <c r="K336" s="9"/>
      <c r="L336" s="9"/>
      <c r="M336" s="5"/>
      <c r="AJ336" s="2"/>
    </row>
    <row r="337" spans="1:36" x14ac:dyDescent="0.25">
      <c r="A337" s="6">
        <v>40291</v>
      </c>
      <c r="B337" s="7">
        <v>7.4649999999999999</v>
      </c>
      <c r="C337" s="9">
        <f t="shared" si="98"/>
        <v>2.0113985996854135E-3</v>
      </c>
      <c r="D337" s="9">
        <f t="shared" si="97"/>
        <v>1.6559253813125136E-3</v>
      </c>
      <c r="E337" s="9"/>
      <c r="F337" s="9"/>
      <c r="G337" s="9"/>
      <c r="H337" s="9"/>
      <c r="I337" s="9"/>
      <c r="J337" s="9"/>
      <c r="K337" s="9"/>
      <c r="L337" s="9"/>
      <c r="M337" s="5"/>
      <c r="AJ337" s="2"/>
    </row>
    <row r="338" spans="1:36" x14ac:dyDescent="0.25">
      <c r="A338" s="6">
        <v>40294</v>
      </c>
      <c r="B338" s="7">
        <v>7.5049999999999999</v>
      </c>
      <c r="C338" s="9">
        <f t="shared" si="98"/>
        <v>5.3440340942715108E-3</v>
      </c>
      <c r="D338" s="9">
        <f t="shared" si="97"/>
        <v>4.988560875898611E-3</v>
      </c>
      <c r="E338" s="9"/>
      <c r="F338" s="9"/>
      <c r="G338" s="9"/>
      <c r="H338" s="9"/>
      <c r="I338" s="9"/>
      <c r="J338" s="9"/>
      <c r="K338" s="9"/>
      <c r="L338" s="9"/>
      <c r="M338" s="5"/>
      <c r="AJ338" s="2"/>
    </row>
    <row r="339" spans="1:36" x14ac:dyDescent="0.25">
      <c r="A339" s="6">
        <v>40295</v>
      </c>
      <c r="B339" s="7">
        <v>7.24</v>
      </c>
      <c r="C339" s="9">
        <f t="shared" si="98"/>
        <v>-3.5948258687800216E-2</v>
      </c>
      <c r="D339" s="9">
        <f t="shared" si="97"/>
        <v>-3.6303731906173115E-2</v>
      </c>
      <c r="E339" s="9"/>
      <c r="F339" s="9"/>
      <c r="G339" s="9"/>
      <c r="H339" s="9"/>
      <c r="I339" s="9"/>
      <c r="J339" s="9"/>
      <c r="K339" s="9"/>
      <c r="L339" s="9"/>
      <c r="M339" s="5"/>
      <c r="AJ339" s="2"/>
    </row>
    <row r="340" spans="1:36" x14ac:dyDescent="0.25">
      <c r="A340" s="6">
        <v>40296</v>
      </c>
      <c r="B340" s="7">
        <v>7.0350000000000001</v>
      </c>
      <c r="C340" s="9">
        <f t="shared" si="98"/>
        <v>-2.8723515831272587E-2</v>
      </c>
      <c r="D340" s="9">
        <f t="shared" si="97"/>
        <v>-2.9078989049645489E-2</v>
      </c>
      <c r="E340" s="9"/>
      <c r="F340" s="9"/>
      <c r="G340" s="9"/>
      <c r="H340" s="9"/>
      <c r="I340" s="9"/>
      <c r="J340" s="9"/>
      <c r="K340" s="9"/>
      <c r="L340" s="9"/>
      <c r="M340" s="5"/>
      <c r="AJ340" s="2"/>
    </row>
    <row r="341" spans="1:36" x14ac:dyDescent="0.25">
      <c r="A341" s="6">
        <v>40297</v>
      </c>
      <c r="B341" s="7">
        <v>7.09</v>
      </c>
      <c r="C341" s="9">
        <f t="shared" si="98"/>
        <v>7.7876499776837645E-3</v>
      </c>
      <c r="D341" s="9">
        <f t="shared" ref="D341:D404" si="99">C341-$C$59/252</f>
        <v>7.4321767593108646E-3</v>
      </c>
      <c r="E341" s="9"/>
      <c r="F341" s="9"/>
      <c r="G341" s="9"/>
      <c r="H341" s="9"/>
      <c r="I341" s="9"/>
      <c r="J341" s="9"/>
      <c r="K341" s="9"/>
      <c r="L341" s="9"/>
      <c r="M341" s="5"/>
      <c r="AJ341" s="2"/>
    </row>
    <row r="342" spans="1:36" x14ac:dyDescent="0.25">
      <c r="A342" s="6">
        <v>40298</v>
      </c>
      <c r="B342" s="7">
        <v>6.98</v>
      </c>
      <c r="C342" s="9">
        <f t="shared" si="98"/>
        <v>-1.5636423769754888E-2</v>
      </c>
      <c r="D342" s="9">
        <f t="shared" si="99"/>
        <v>-1.599189698812779E-2</v>
      </c>
      <c r="E342" s="9"/>
      <c r="F342" s="9"/>
      <c r="G342" s="9"/>
      <c r="H342" s="9"/>
      <c r="I342" s="9"/>
      <c r="J342" s="9"/>
      <c r="K342" s="9"/>
      <c r="L342" s="9"/>
      <c r="M342" s="5"/>
      <c r="AJ342" s="2"/>
    </row>
    <row r="343" spans="1:36" x14ac:dyDescent="0.25">
      <c r="A343" s="6">
        <v>40301</v>
      </c>
      <c r="B343" s="7">
        <v>7.0449999999999999</v>
      </c>
      <c r="C343" s="9">
        <f t="shared" si="98"/>
        <v>9.2692285763624708E-3</v>
      </c>
      <c r="D343" s="9">
        <f t="shared" si="99"/>
        <v>8.9137553579895709E-3</v>
      </c>
      <c r="E343" s="9"/>
      <c r="F343" s="9"/>
      <c r="G343" s="9"/>
      <c r="H343" s="9"/>
      <c r="I343" s="9"/>
      <c r="J343" s="9"/>
      <c r="K343" s="9"/>
      <c r="L343" s="9"/>
      <c r="M343" s="5"/>
      <c r="AJ343" s="2"/>
    </row>
    <row r="344" spans="1:36" x14ac:dyDescent="0.25">
      <c r="A344" s="6">
        <v>40302</v>
      </c>
      <c r="B344" s="7">
        <v>6.7</v>
      </c>
      <c r="C344" s="9">
        <f t="shared" si="98"/>
        <v>-5.0210618953723106E-2</v>
      </c>
      <c r="D344" s="9">
        <f t="shared" si="99"/>
        <v>-5.0566092172096004E-2</v>
      </c>
      <c r="E344" s="9"/>
      <c r="F344" s="9"/>
      <c r="G344" s="9"/>
      <c r="H344" s="9"/>
      <c r="I344" s="9"/>
      <c r="J344" s="9"/>
      <c r="K344" s="9"/>
      <c r="L344" s="9"/>
      <c r="M344" s="5"/>
      <c r="AJ344" s="2"/>
    </row>
    <row r="345" spans="1:36" x14ac:dyDescent="0.25">
      <c r="A345" s="6">
        <v>40303</v>
      </c>
      <c r="B345" s="7">
        <v>6.5600000000000005</v>
      </c>
      <c r="C345" s="9">
        <f t="shared" si="98"/>
        <v>-2.1116923440922697E-2</v>
      </c>
      <c r="D345" s="9">
        <f t="shared" si="99"/>
        <v>-2.1472396659295599E-2</v>
      </c>
      <c r="E345" s="9"/>
      <c r="F345" s="9"/>
      <c r="G345" s="9"/>
      <c r="H345" s="9"/>
      <c r="I345" s="9"/>
      <c r="J345" s="9"/>
      <c r="K345" s="9"/>
      <c r="L345" s="9"/>
      <c r="M345" s="5"/>
      <c r="AJ345" s="2"/>
    </row>
    <row r="346" spans="1:36" x14ac:dyDescent="0.25">
      <c r="A346" s="6">
        <v>40304</v>
      </c>
      <c r="B346" s="7">
        <v>6.0350000000000001</v>
      </c>
      <c r="C346" s="9">
        <f t="shared" si="98"/>
        <v>-8.3414748406502898E-2</v>
      </c>
      <c r="D346" s="9">
        <f t="shared" si="99"/>
        <v>-8.3770221624875796E-2</v>
      </c>
      <c r="E346" s="9"/>
      <c r="F346" s="9"/>
      <c r="G346" s="9"/>
      <c r="H346" s="9"/>
      <c r="I346" s="9"/>
      <c r="J346" s="9"/>
      <c r="K346" s="9"/>
      <c r="L346" s="9"/>
      <c r="M346" s="5"/>
      <c r="AJ346" s="2"/>
    </row>
    <row r="347" spans="1:36" x14ac:dyDescent="0.25">
      <c r="A347" s="6">
        <v>40305</v>
      </c>
      <c r="B347" s="7">
        <v>5.7649999999999997</v>
      </c>
      <c r="C347" s="9">
        <f t="shared" si="98"/>
        <v>-4.577070082847251E-2</v>
      </c>
      <c r="D347" s="9">
        <f t="shared" si="99"/>
        <v>-4.6126174046845408E-2</v>
      </c>
      <c r="E347" s="9"/>
      <c r="F347" s="9"/>
      <c r="G347" s="9"/>
      <c r="H347" s="9"/>
      <c r="I347" s="9"/>
      <c r="J347" s="9"/>
      <c r="K347" s="9"/>
      <c r="L347" s="9"/>
      <c r="M347" s="5"/>
      <c r="AJ347" s="2"/>
    </row>
    <row r="348" spans="1:36" x14ac:dyDescent="0.25">
      <c r="A348" s="6">
        <v>40308</v>
      </c>
      <c r="B348" s="7">
        <v>6.72</v>
      </c>
      <c r="C348" s="9">
        <f t="shared" si="98"/>
        <v>0.15328300081403592</v>
      </c>
      <c r="D348" s="9">
        <f t="shared" si="99"/>
        <v>0.15292752759566303</v>
      </c>
      <c r="E348" s="9"/>
      <c r="F348" s="9"/>
      <c r="G348" s="9"/>
      <c r="H348" s="9"/>
      <c r="I348" s="9"/>
      <c r="J348" s="9"/>
      <c r="K348" s="9"/>
      <c r="L348" s="9"/>
      <c r="M348" s="5"/>
      <c r="AJ348" s="2"/>
    </row>
    <row r="349" spans="1:36" x14ac:dyDescent="0.25">
      <c r="A349" s="6">
        <v>40309</v>
      </c>
      <c r="B349" s="7">
        <v>6.5549999999999997</v>
      </c>
      <c r="C349" s="9">
        <f t="shared" si="98"/>
        <v>-2.4860037319394977E-2</v>
      </c>
      <c r="D349" s="9">
        <f t="shared" si="99"/>
        <v>-2.5215510537767879E-2</v>
      </c>
      <c r="E349" s="9"/>
      <c r="F349" s="9"/>
      <c r="G349" s="9"/>
      <c r="H349" s="9"/>
      <c r="I349" s="9"/>
      <c r="J349" s="9"/>
      <c r="K349" s="9"/>
      <c r="L349" s="9"/>
      <c r="M349" s="5"/>
      <c r="AJ349" s="2"/>
    </row>
    <row r="350" spans="1:36" x14ac:dyDescent="0.25">
      <c r="A350" s="6">
        <v>40310</v>
      </c>
      <c r="B350" s="7">
        <v>6.55</v>
      </c>
      <c r="C350" s="9">
        <f t="shared" si="98"/>
        <v>-7.6306756850261161E-4</v>
      </c>
      <c r="D350" s="9">
        <f t="shared" si="99"/>
        <v>-1.1185407868755115E-3</v>
      </c>
      <c r="E350" s="9"/>
      <c r="F350" s="9"/>
      <c r="G350" s="9"/>
      <c r="H350" s="9"/>
      <c r="I350" s="9"/>
      <c r="J350" s="9"/>
      <c r="K350" s="9"/>
      <c r="L350" s="9"/>
      <c r="M350" s="5"/>
      <c r="AJ350" s="2"/>
    </row>
    <row r="351" spans="1:36" x14ac:dyDescent="0.25">
      <c r="A351" s="6">
        <v>40311</v>
      </c>
      <c r="B351" s="7">
        <v>6.44</v>
      </c>
      <c r="C351" s="9">
        <f t="shared" si="98"/>
        <v>-1.6936509530898175E-2</v>
      </c>
      <c r="D351" s="9">
        <f t="shared" si="99"/>
        <v>-1.7291982749271077E-2</v>
      </c>
      <c r="E351" s="9"/>
      <c r="F351" s="9"/>
      <c r="G351" s="9"/>
      <c r="H351" s="9"/>
      <c r="I351" s="9"/>
      <c r="J351" s="9"/>
      <c r="K351" s="9"/>
      <c r="L351" s="9"/>
      <c r="M351" s="5"/>
      <c r="AJ351" s="2"/>
    </row>
    <row r="352" spans="1:36" x14ac:dyDescent="0.25">
      <c r="A352" s="6">
        <v>40312</v>
      </c>
      <c r="B352" s="7">
        <v>6.1349999999999998</v>
      </c>
      <c r="C352" s="9">
        <f t="shared" si="98"/>
        <v>-4.8518461953387625E-2</v>
      </c>
      <c r="D352" s="9">
        <f t="shared" si="99"/>
        <v>-4.8873935171760523E-2</v>
      </c>
      <c r="E352" s="9"/>
      <c r="F352" s="9"/>
      <c r="G352" s="9"/>
      <c r="H352" s="9"/>
      <c r="I352" s="9"/>
      <c r="J352" s="9"/>
      <c r="K352" s="9"/>
      <c r="L352" s="9"/>
      <c r="M352" s="5"/>
      <c r="AJ352" s="2"/>
    </row>
    <row r="353" spans="1:36" x14ac:dyDescent="0.25">
      <c r="A353" s="6">
        <v>40315</v>
      </c>
      <c r="B353" s="7">
        <v>6.0149999999999997</v>
      </c>
      <c r="C353" s="9">
        <f t="shared" si="98"/>
        <v>-1.9753728736232538E-2</v>
      </c>
      <c r="D353" s="9">
        <f t="shared" si="99"/>
        <v>-2.010920195460544E-2</v>
      </c>
      <c r="E353" s="9"/>
      <c r="F353" s="9"/>
      <c r="G353" s="9"/>
      <c r="H353" s="9"/>
      <c r="I353" s="9"/>
      <c r="J353" s="9"/>
      <c r="K353" s="9"/>
      <c r="L353" s="9"/>
      <c r="M353" s="5"/>
      <c r="AJ353" s="2"/>
    </row>
    <row r="354" spans="1:36" x14ac:dyDescent="0.25">
      <c r="A354" s="6">
        <v>40316</v>
      </c>
      <c r="B354" s="7">
        <v>6.17</v>
      </c>
      <c r="C354" s="9">
        <f t="shared" si="98"/>
        <v>2.5442488490654377E-2</v>
      </c>
      <c r="D354" s="9">
        <f t="shared" si="99"/>
        <v>2.5087015272281476E-2</v>
      </c>
      <c r="E354" s="9"/>
      <c r="F354" s="9"/>
      <c r="G354" s="9"/>
      <c r="H354" s="9"/>
      <c r="I354" s="9"/>
      <c r="J354" s="9"/>
      <c r="K354" s="9"/>
      <c r="L354" s="9"/>
      <c r="M354" s="5"/>
      <c r="AJ354" s="2"/>
    </row>
    <row r="355" spans="1:36" x14ac:dyDescent="0.25">
      <c r="A355" s="6">
        <v>40317</v>
      </c>
      <c r="B355" s="7">
        <v>5.97</v>
      </c>
      <c r="C355" s="9">
        <f t="shared" si="98"/>
        <v>-3.2951910512785759E-2</v>
      </c>
      <c r="D355" s="9">
        <f t="shared" si="99"/>
        <v>-3.3307383731158657E-2</v>
      </c>
      <c r="E355" s="9"/>
      <c r="F355" s="9"/>
      <c r="G355" s="9"/>
      <c r="H355" s="9"/>
      <c r="I355" s="9"/>
      <c r="J355" s="9"/>
      <c r="K355" s="9"/>
      <c r="L355" s="9"/>
      <c r="M355" s="5"/>
      <c r="AJ355" s="2"/>
    </row>
    <row r="356" spans="1:36" x14ac:dyDescent="0.25">
      <c r="A356" s="6">
        <v>40318</v>
      </c>
      <c r="B356" s="7">
        <v>6.05</v>
      </c>
      <c r="C356" s="9">
        <f t="shared" si="98"/>
        <v>1.3311344638239287E-2</v>
      </c>
      <c r="D356" s="9">
        <f t="shared" si="99"/>
        <v>1.2955871419866387E-2</v>
      </c>
      <c r="E356" s="9"/>
      <c r="F356" s="9"/>
      <c r="G356" s="9"/>
      <c r="H356" s="9"/>
      <c r="I356" s="9"/>
      <c r="J356" s="9"/>
      <c r="K356" s="9"/>
      <c r="L356" s="9"/>
      <c r="M356" s="5"/>
      <c r="AJ356" s="2"/>
    </row>
    <row r="357" spans="1:36" x14ac:dyDescent="0.25">
      <c r="A357" s="6">
        <v>40319</v>
      </c>
      <c r="B357" s="7">
        <v>6.16</v>
      </c>
      <c r="C357" s="9">
        <f t="shared" si="98"/>
        <v>1.8018505502678431E-2</v>
      </c>
      <c r="D357" s="9">
        <f t="shared" si="99"/>
        <v>1.7663032284305529E-2</v>
      </c>
      <c r="E357" s="9"/>
      <c r="F357" s="9"/>
      <c r="G357" s="9"/>
      <c r="H357" s="9"/>
      <c r="I357" s="9"/>
      <c r="J357" s="9"/>
      <c r="K357" s="9"/>
      <c r="L357" s="9"/>
      <c r="M357" s="5"/>
      <c r="AJ357" s="2"/>
    </row>
    <row r="358" spans="1:36" x14ac:dyDescent="0.25">
      <c r="A358" s="6">
        <v>40322</v>
      </c>
      <c r="B358" s="7">
        <v>6.1150000000000002</v>
      </c>
      <c r="C358" s="9">
        <f t="shared" si="98"/>
        <v>-7.3320084062926854E-3</v>
      </c>
      <c r="D358" s="9">
        <f t="shared" si="99"/>
        <v>-7.6874816246655852E-3</v>
      </c>
      <c r="E358" s="9"/>
      <c r="F358" s="9"/>
      <c r="G358" s="9"/>
      <c r="H358" s="9"/>
      <c r="I358" s="9"/>
      <c r="J358" s="9"/>
      <c r="K358" s="9"/>
      <c r="L358" s="9"/>
      <c r="M358" s="5"/>
      <c r="AJ358" s="2"/>
    </row>
    <row r="359" spans="1:36" x14ac:dyDescent="0.25">
      <c r="A359" s="6">
        <v>40323</v>
      </c>
      <c r="B359" s="7">
        <v>5.9050000000000002</v>
      </c>
      <c r="C359" s="9">
        <f t="shared" si="98"/>
        <v>-3.4945319489810014E-2</v>
      </c>
      <c r="D359" s="9">
        <f t="shared" si="99"/>
        <v>-3.5300792708182913E-2</v>
      </c>
      <c r="E359" s="9"/>
      <c r="F359" s="9"/>
      <c r="G359" s="9"/>
      <c r="H359" s="9"/>
      <c r="I359" s="9"/>
      <c r="J359" s="9"/>
      <c r="K359" s="9"/>
      <c r="L359" s="9"/>
      <c r="M359" s="5"/>
      <c r="AJ359" s="2"/>
    </row>
    <row r="360" spans="1:36" x14ac:dyDescent="0.25">
      <c r="A360" s="6">
        <v>40324</v>
      </c>
      <c r="B360" s="7">
        <v>6</v>
      </c>
      <c r="C360" s="9">
        <f t="shared" si="98"/>
        <v>1.5960019578729306E-2</v>
      </c>
      <c r="D360" s="9">
        <f t="shared" si="99"/>
        <v>1.5604546360356407E-2</v>
      </c>
      <c r="E360" s="9"/>
      <c r="F360" s="9"/>
      <c r="G360" s="9"/>
      <c r="H360" s="9"/>
      <c r="I360" s="9"/>
      <c r="J360" s="9"/>
      <c r="K360" s="9"/>
      <c r="L360" s="9"/>
      <c r="M360" s="5"/>
      <c r="AJ360" s="2"/>
    </row>
    <row r="361" spans="1:36" x14ac:dyDescent="0.25">
      <c r="A361" s="6">
        <v>40325</v>
      </c>
      <c r="B361" s="7">
        <v>6.2350000000000003</v>
      </c>
      <c r="C361" s="9">
        <f t="shared" si="98"/>
        <v>3.8419109903944898E-2</v>
      </c>
      <c r="D361" s="9">
        <f t="shared" si="99"/>
        <v>3.8063636685572E-2</v>
      </c>
      <c r="E361" s="9"/>
      <c r="F361" s="9"/>
      <c r="G361" s="9"/>
      <c r="H361" s="9"/>
      <c r="I361" s="9"/>
      <c r="J361" s="9"/>
      <c r="K361" s="9"/>
      <c r="L361" s="9"/>
      <c r="M361" s="5"/>
      <c r="AJ361" s="2"/>
    </row>
    <row r="362" spans="1:36" x14ac:dyDescent="0.25">
      <c r="A362" s="6">
        <v>40326</v>
      </c>
      <c r="B362" s="7">
        <v>6.1749999999999998</v>
      </c>
      <c r="C362" s="9">
        <f t="shared" si="98"/>
        <v>-9.669696617958936E-3</v>
      </c>
      <c r="D362" s="9">
        <f t="shared" si="99"/>
        <v>-1.0025169836331836E-2</v>
      </c>
      <c r="E362" s="9"/>
      <c r="F362" s="9"/>
      <c r="G362" s="9"/>
      <c r="H362" s="9"/>
      <c r="I362" s="9"/>
      <c r="J362" s="9"/>
      <c r="K362" s="9"/>
      <c r="L362" s="9"/>
      <c r="M362" s="5"/>
      <c r="AJ362" s="2"/>
    </row>
    <row r="363" spans="1:36" x14ac:dyDescent="0.25">
      <c r="A363" s="6">
        <v>40329</v>
      </c>
      <c r="B363" s="7">
        <v>6.2249999999999996</v>
      </c>
      <c r="C363" s="9">
        <f t="shared" si="98"/>
        <v>8.0645598367304946E-3</v>
      </c>
      <c r="D363" s="9">
        <f t="shared" si="99"/>
        <v>7.7090866183575947E-3</v>
      </c>
      <c r="E363" s="9"/>
      <c r="F363" s="9"/>
      <c r="G363" s="9"/>
      <c r="H363" s="9"/>
      <c r="I363" s="9"/>
      <c r="J363" s="9"/>
      <c r="K363" s="9"/>
      <c r="L363" s="9"/>
      <c r="M363" s="5"/>
      <c r="AJ363" s="2"/>
    </row>
    <row r="364" spans="1:36" x14ac:dyDescent="0.25">
      <c r="A364" s="6">
        <v>40330</v>
      </c>
      <c r="B364" s="7">
        <v>6.085</v>
      </c>
      <c r="C364" s="9">
        <f t="shared" si="98"/>
        <v>-2.2746715911280808E-2</v>
      </c>
      <c r="D364" s="9">
        <f t="shared" si="99"/>
        <v>-2.310218912965371E-2</v>
      </c>
      <c r="E364" s="9"/>
      <c r="F364" s="9"/>
      <c r="G364" s="9"/>
      <c r="H364" s="9"/>
      <c r="I364" s="9"/>
      <c r="J364" s="9"/>
      <c r="K364" s="9"/>
      <c r="L364" s="9"/>
      <c r="M364" s="5"/>
      <c r="AJ364" s="2"/>
    </row>
    <row r="365" spans="1:36" x14ac:dyDescent="0.25">
      <c r="A365" s="6">
        <v>40331</v>
      </c>
      <c r="B365" s="7">
        <v>6.03</v>
      </c>
      <c r="C365" s="9">
        <f t="shared" si="98"/>
        <v>-9.0797157003964027E-3</v>
      </c>
      <c r="D365" s="9">
        <f t="shared" si="99"/>
        <v>-9.4351889187693026E-3</v>
      </c>
      <c r="E365" s="9"/>
      <c r="F365" s="9"/>
      <c r="G365" s="9"/>
      <c r="H365" s="9"/>
      <c r="I365" s="9"/>
      <c r="J365" s="9"/>
      <c r="K365" s="9"/>
      <c r="L365" s="9"/>
      <c r="M365" s="5"/>
      <c r="AJ365" s="2"/>
    </row>
    <row r="366" spans="1:36" x14ac:dyDescent="0.25">
      <c r="A366" s="6">
        <v>40332</v>
      </c>
      <c r="B366" s="7">
        <v>6.1050000000000004</v>
      </c>
      <c r="C366" s="9">
        <f t="shared" si="98"/>
        <v>1.2361096823573926E-2</v>
      </c>
      <c r="D366" s="9">
        <f t="shared" si="99"/>
        <v>1.2005623605201026E-2</v>
      </c>
      <c r="E366" s="9"/>
      <c r="F366" s="9"/>
      <c r="G366" s="9"/>
      <c r="H366" s="9"/>
      <c r="I366" s="9"/>
      <c r="J366" s="9"/>
      <c r="K366" s="9"/>
      <c r="L366" s="9"/>
      <c r="M366" s="5"/>
      <c r="AJ366" s="2"/>
    </row>
    <row r="367" spans="1:36" x14ac:dyDescent="0.25">
      <c r="A367" s="6">
        <v>40333</v>
      </c>
      <c r="B367" s="7">
        <v>5.88</v>
      </c>
      <c r="C367" s="9">
        <f t="shared" si="98"/>
        <v>-3.7551345652132591E-2</v>
      </c>
      <c r="D367" s="9">
        <f t="shared" si="99"/>
        <v>-3.7906818870505489E-2</v>
      </c>
      <c r="E367" s="9"/>
      <c r="F367" s="9"/>
      <c r="G367" s="9"/>
      <c r="H367" s="9"/>
      <c r="I367" s="9"/>
      <c r="J367" s="9"/>
      <c r="K367" s="9"/>
      <c r="L367" s="9"/>
      <c r="M367" s="5"/>
      <c r="AJ367" s="2"/>
    </row>
    <row r="368" spans="1:36" x14ac:dyDescent="0.25">
      <c r="A368" s="6">
        <v>40336</v>
      </c>
      <c r="B368" s="7">
        <v>5.8049999999999997</v>
      </c>
      <c r="C368" s="9">
        <f t="shared" si="98"/>
        <v>-1.2837146760680719E-2</v>
      </c>
      <c r="D368" s="9">
        <f t="shared" si="99"/>
        <v>-1.3192619979053619E-2</v>
      </c>
      <c r="E368" s="9"/>
      <c r="F368" s="9"/>
      <c r="G368" s="9"/>
      <c r="H368" s="9"/>
      <c r="I368" s="9"/>
      <c r="J368" s="9"/>
      <c r="K368" s="9"/>
      <c r="L368" s="9"/>
      <c r="M368" s="5"/>
      <c r="AJ368" s="2"/>
    </row>
    <row r="369" spans="1:36" x14ac:dyDescent="0.25">
      <c r="A369" s="6">
        <v>40337</v>
      </c>
      <c r="B369" s="7">
        <v>5.78</v>
      </c>
      <c r="C369" s="9">
        <f t="shared" si="98"/>
        <v>-4.3159324655685895E-3</v>
      </c>
      <c r="D369" s="9">
        <f t="shared" si="99"/>
        <v>-4.6714056839414894E-3</v>
      </c>
      <c r="E369" s="9"/>
      <c r="F369" s="9"/>
      <c r="G369" s="9"/>
      <c r="H369" s="9"/>
      <c r="I369" s="9"/>
      <c r="J369" s="9"/>
      <c r="K369" s="9"/>
      <c r="L369" s="9"/>
      <c r="M369" s="5"/>
      <c r="AJ369" s="2"/>
    </row>
    <row r="370" spans="1:36" x14ac:dyDescent="0.25">
      <c r="A370" s="6">
        <v>40338</v>
      </c>
      <c r="B370" s="7">
        <v>5.86</v>
      </c>
      <c r="C370" s="9">
        <f t="shared" si="98"/>
        <v>1.3745920904635136E-2</v>
      </c>
      <c r="D370" s="9">
        <f t="shared" si="99"/>
        <v>1.3390447686262236E-2</v>
      </c>
      <c r="E370" s="9"/>
      <c r="F370" s="9"/>
      <c r="G370" s="9"/>
      <c r="H370" s="9"/>
      <c r="I370" s="9"/>
      <c r="J370" s="9"/>
      <c r="K370" s="9"/>
      <c r="L370" s="9"/>
      <c r="M370" s="5"/>
      <c r="AJ370" s="2"/>
    </row>
    <row r="371" spans="1:36" x14ac:dyDescent="0.25">
      <c r="A371" s="6">
        <v>40339</v>
      </c>
      <c r="B371" s="7">
        <v>5.99</v>
      </c>
      <c r="C371" s="9">
        <f t="shared" si="98"/>
        <v>2.1941808538436729E-2</v>
      </c>
      <c r="D371" s="9">
        <f t="shared" si="99"/>
        <v>2.1586335320063828E-2</v>
      </c>
      <c r="E371" s="9"/>
      <c r="F371" s="9"/>
      <c r="G371" s="9"/>
      <c r="H371" s="9"/>
      <c r="I371" s="9"/>
      <c r="J371" s="9"/>
      <c r="K371" s="9"/>
      <c r="L371" s="9"/>
      <c r="M371" s="5"/>
      <c r="AJ371" s="2"/>
    </row>
    <row r="372" spans="1:36" x14ac:dyDescent="0.25">
      <c r="A372" s="6">
        <v>40340</v>
      </c>
      <c r="B372" s="7">
        <v>6.13</v>
      </c>
      <c r="C372" s="9">
        <f t="shared" si="98"/>
        <v>2.310333782076196E-2</v>
      </c>
      <c r="D372" s="9">
        <f t="shared" si="99"/>
        <v>2.2747864602389058E-2</v>
      </c>
      <c r="E372" s="9"/>
      <c r="F372" s="9"/>
      <c r="G372" s="9"/>
      <c r="H372" s="9"/>
      <c r="I372" s="9"/>
      <c r="J372" s="9"/>
      <c r="K372" s="9"/>
      <c r="L372" s="9"/>
      <c r="M372" s="5"/>
      <c r="AJ372" s="2"/>
    </row>
    <row r="373" spans="1:36" x14ac:dyDescent="0.25">
      <c r="A373" s="6">
        <v>40343</v>
      </c>
      <c r="B373" s="7">
        <v>6.2549999999999999</v>
      </c>
      <c r="C373" s="9">
        <f t="shared" si="98"/>
        <v>2.0186393970754477E-2</v>
      </c>
      <c r="D373" s="9">
        <f t="shared" si="99"/>
        <v>1.9830920752381576E-2</v>
      </c>
      <c r="E373" s="9"/>
      <c r="F373" s="9"/>
      <c r="G373" s="9"/>
      <c r="H373" s="9"/>
      <c r="I373" s="9"/>
      <c r="J373" s="9"/>
      <c r="K373" s="9"/>
      <c r="L373" s="9"/>
      <c r="M373" s="5"/>
      <c r="AJ373" s="2"/>
    </row>
    <row r="374" spans="1:36" x14ac:dyDescent="0.25">
      <c r="A374" s="6">
        <v>40344</v>
      </c>
      <c r="B374" s="7">
        <v>6.39</v>
      </c>
      <c r="C374" s="9">
        <f t="shared" si="98"/>
        <v>2.1353124470568842E-2</v>
      </c>
      <c r="D374" s="9">
        <f t="shared" si="99"/>
        <v>2.099765125219594E-2</v>
      </c>
      <c r="E374" s="9"/>
      <c r="F374" s="9"/>
      <c r="G374" s="9"/>
      <c r="H374" s="9"/>
      <c r="I374" s="9"/>
      <c r="J374" s="9"/>
      <c r="K374" s="9"/>
      <c r="L374" s="9"/>
      <c r="M374" s="5"/>
      <c r="AJ374" s="2"/>
    </row>
    <row r="375" spans="1:36" x14ac:dyDescent="0.25">
      <c r="A375" s="6">
        <v>40345</v>
      </c>
      <c r="B375" s="7">
        <v>6.39</v>
      </c>
      <c r="C375" s="9">
        <f t="shared" si="98"/>
        <v>0</v>
      </c>
      <c r="D375" s="9">
        <f t="shared" si="99"/>
        <v>-3.5547321837289993E-4</v>
      </c>
      <c r="E375" s="9"/>
      <c r="F375" s="9"/>
      <c r="G375" s="9"/>
      <c r="H375" s="9"/>
      <c r="I375" s="9"/>
      <c r="J375" s="9"/>
      <c r="K375" s="9"/>
      <c r="L375" s="9"/>
      <c r="M375" s="5"/>
      <c r="AJ375" s="2"/>
    </row>
    <row r="376" spans="1:36" x14ac:dyDescent="0.25">
      <c r="A376" s="6">
        <v>40346</v>
      </c>
      <c r="B376" s="7">
        <v>6.42</v>
      </c>
      <c r="C376" s="9">
        <f t="shared" si="98"/>
        <v>4.6838493124264375E-3</v>
      </c>
      <c r="D376" s="9">
        <f t="shared" si="99"/>
        <v>4.3283760940535376E-3</v>
      </c>
      <c r="E376" s="9"/>
      <c r="F376" s="9"/>
      <c r="G376" s="9"/>
      <c r="H376" s="9"/>
      <c r="I376" s="9"/>
      <c r="J376" s="9"/>
      <c r="K376" s="9"/>
      <c r="L376" s="9"/>
      <c r="M376" s="5"/>
      <c r="AJ376" s="2"/>
    </row>
    <row r="377" spans="1:36" x14ac:dyDescent="0.25">
      <c r="A377" s="6">
        <v>40347</v>
      </c>
      <c r="B377" s="7">
        <v>6.6899999999999995</v>
      </c>
      <c r="C377" s="9">
        <f t="shared" si="98"/>
        <v>4.1195756438267124E-2</v>
      </c>
      <c r="D377" s="9">
        <f t="shared" si="99"/>
        <v>4.0840283219894226E-2</v>
      </c>
      <c r="E377" s="9"/>
      <c r="F377" s="9"/>
      <c r="G377" s="9"/>
      <c r="H377" s="9"/>
      <c r="I377" s="9"/>
      <c r="J377" s="9"/>
      <c r="K377" s="9"/>
      <c r="L377" s="9"/>
      <c r="M377" s="5"/>
      <c r="AJ377" s="2"/>
    </row>
    <row r="378" spans="1:36" x14ac:dyDescent="0.25">
      <c r="A378" s="6">
        <v>40350</v>
      </c>
      <c r="B378" s="7">
        <v>6.66</v>
      </c>
      <c r="C378" s="9">
        <f t="shared" si="98"/>
        <v>-4.4943895878392153E-3</v>
      </c>
      <c r="D378" s="9">
        <f t="shared" si="99"/>
        <v>-4.8498628062121152E-3</v>
      </c>
      <c r="E378" s="9"/>
      <c r="F378" s="9"/>
      <c r="G378" s="9"/>
      <c r="H378" s="9"/>
      <c r="I378" s="9"/>
      <c r="J378" s="9"/>
      <c r="K378" s="9"/>
      <c r="L378" s="9"/>
      <c r="M378" s="5"/>
      <c r="AJ378" s="2"/>
    </row>
    <row r="379" spans="1:36" x14ac:dyDescent="0.25">
      <c r="A379" s="6">
        <v>40351</v>
      </c>
      <c r="B379" s="7">
        <v>6.58</v>
      </c>
      <c r="C379" s="9">
        <f t="shared" si="98"/>
        <v>-1.2084739215071999E-2</v>
      </c>
      <c r="D379" s="9">
        <f t="shared" si="99"/>
        <v>-1.2440212433444899E-2</v>
      </c>
      <c r="E379" s="9"/>
      <c r="F379" s="9"/>
      <c r="G379" s="9"/>
      <c r="H379" s="9"/>
      <c r="I379" s="9"/>
      <c r="J379" s="9"/>
      <c r="K379" s="9"/>
      <c r="L379" s="9"/>
      <c r="M379" s="5"/>
      <c r="AJ379" s="2"/>
    </row>
    <row r="380" spans="1:36" x14ac:dyDescent="0.25">
      <c r="A380" s="6">
        <v>40352</v>
      </c>
      <c r="B380" s="7">
        <v>6.45</v>
      </c>
      <c r="C380" s="9">
        <f t="shared" si="98"/>
        <v>-1.9954614529544702E-2</v>
      </c>
      <c r="D380" s="9">
        <f t="shared" si="99"/>
        <v>-2.0310087747917604E-2</v>
      </c>
      <c r="E380" s="9"/>
      <c r="F380" s="9"/>
      <c r="G380" s="9"/>
      <c r="H380" s="9"/>
      <c r="I380" s="9"/>
      <c r="J380" s="9"/>
      <c r="K380" s="9"/>
      <c r="L380" s="9"/>
      <c r="M380" s="5"/>
      <c r="AJ380" s="2"/>
    </row>
    <row r="381" spans="1:36" x14ac:dyDescent="0.25">
      <c r="A381" s="6">
        <v>40353</v>
      </c>
      <c r="B381" s="7">
        <v>6.335</v>
      </c>
      <c r="C381" s="9">
        <f t="shared" ref="C381:C444" si="100">LN(B381/B380)</f>
        <v>-1.7990317034578825E-2</v>
      </c>
      <c r="D381" s="9">
        <f t="shared" si="99"/>
        <v>-1.8345790252951726E-2</v>
      </c>
      <c r="E381" s="9"/>
      <c r="F381" s="9"/>
      <c r="G381" s="9"/>
      <c r="H381" s="9"/>
      <c r="I381" s="9"/>
      <c r="J381" s="9"/>
      <c r="K381" s="9"/>
      <c r="L381" s="9"/>
      <c r="M381" s="5"/>
      <c r="AJ381" s="2"/>
    </row>
    <row r="382" spans="1:36" x14ac:dyDescent="0.25">
      <c r="A382" s="6">
        <v>40354</v>
      </c>
      <c r="B382" s="7">
        <v>6.31</v>
      </c>
      <c r="C382" s="9">
        <f t="shared" si="100"/>
        <v>-3.9541372199806231E-3</v>
      </c>
      <c r="D382" s="9">
        <f t="shared" si="99"/>
        <v>-4.3096104383535229E-3</v>
      </c>
      <c r="E382" s="9"/>
      <c r="F382" s="9"/>
      <c r="G382" s="9"/>
      <c r="H382" s="9"/>
      <c r="I382" s="9"/>
      <c r="J382" s="9"/>
      <c r="K382" s="9"/>
      <c r="L382" s="9"/>
      <c r="M382" s="5"/>
      <c r="AJ382" s="2"/>
    </row>
    <row r="383" spans="1:36" x14ac:dyDescent="0.25">
      <c r="A383" s="6">
        <v>40357</v>
      </c>
      <c r="B383" s="7">
        <v>6.44</v>
      </c>
      <c r="C383" s="9">
        <f t="shared" si="100"/>
        <v>2.0392863563140535E-2</v>
      </c>
      <c r="D383" s="9">
        <f t="shared" si="99"/>
        <v>2.0037390344767633E-2</v>
      </c>
      <c r="E383" s="9"/>
      <c r="F383" s="9"/>
      <c r="G383" s="9"/>
      <c r="H383" s="9"/>
      <c r="I383" s="9"/>
      <c r="J383" s="9"/>
      <c r="K383" s="9"/>
      <c r="L383" s="9"/>
      <c r="M383" s="5"/>
      <c r="AJ383" s="2"/>
    </row>
    <row r="384" spans="1:36" x14ac:dyDescent="0.25">
      <c r="A384" s="6">
        <v>40358</v>
      </c>
      <c r="B384" s="7">
        <v>6.1449999999999996</v>
      </c>
      <c r="C384" s="9">
        <f t="shared" si="100"/>
        <v>-4.6889797098264269E-2</v>
      </c>
      <c r="D384" s="9">
        <f t="shared" si="99"/>
        <v>-4.7245270316637167E-2</v>
      </c>
      <c r="E384" s="9"/>
      <c r="F384" s="9"/>
      <c r="G384" s="9"/>
      <c r="H384" s="9"/>
      <c r="I384" s="9"/>
      <c r="J384" s="9"/>
      <c r="K384" s="9"/>
      <c r="L384" s="9"/>
      <c r="M384" s="5"/>
      <c r="AJ384" s="2"/>
    </row>
    <row r="385" spans="1:36" x14ac:dyDescent="0.25">
      <c r="A385" s="6">
        <v>40359</v>
      </c>
      <c r="B385" s="7">
        <v>6.16</v>
      </c>
      <c r="C385" s="9">
        <f t="shared" si="100"/>
        <v>2.4380345274302557E-3</v>
      </c>
      <c r="D385" s="9">
        <f t="shared" si="99"/>
        <v>2.0825613090573558E-3</v>
      </c>
      <c r="E385" s="9"/>
      <c r="F385" s="9"/>
      <c r="G385" s="9"/>
      <c r="H385" s="9"/>
      <c r="I385" s="9"/>
      <c r="J385" s="9"/>
      <c r="K385" s="9"/>
      <c r="L385" s="9"/>
      <c r="M385" s="5"/>
      <c r="AJ385" s="2"/>
    </row>
    <row r="386" spans="1:36" x14ac:dyDescent="0.25">
      <c r="A386" s="6">
        <v>40360</v>
      </c>
      <c r="B386" s="7">
        <v>6.0750000000000002</v>
      </c>
      <c r="C386" s="9">
        <f t="shared" si="100"/>
        <v>-1.3894788318816267E-2</v>
      </c>
      <c r="D386" s="9">
        <f t="shared" si="99"/>
        <v>-1.4250261537189167E-2</v>
      </c>
      <c r="E386" s="9"/>
      <c r="F386" s="9"/>
      <c r="G386" s="9"/>
      <c r="H386" s="9"/>
      <c r="I386" s="9"/>
      <c r="J386" s="9"/>
      <c r="K386" s="9"/>
      <c r="L386" s="9"/>
      <c r="M386" s="5"/>
      <c r="AJ386" s="2"/>
    </row>
    <row r="387" spans="1:36" x14ac:dyDescent="0.25">
      <c r="A387" s="6">
        <v>40361</v>
      </c>
      <c r="B387" s="7">
        <v>6.09</v>
      </c>
      <c r="C387" s="9">
        <f t="shared" si="100"/>
        <v>2.4660924951934683E-3</v>
      </c>
      <c r="D387" s="9">
        <f t="shared" si="99"/>
        <v>2.1106192768205684E-3</v>
      </c>
      <c r="E387" s="9"/>
      <c r="F387" s="9"/>
      <c r="G387" s="9"/>
      <c r="H387" s="9"/>
      <c r="I387" s="9"/>
      <c r="J387" s="9"/>
      <c r="K387" s="9"/>
      <c r="L387" s="9"/>
      <c r="M387" s="5"/>
      <c r="AJ387" s="2"/>
    </row>
    <row r="388" spans="1:36" x14ac:dyDescent="0.25">
      <c r="A388" s="6">
        <v>40364</v>
      </c>
      <c r="B388" s="7">
        <v>6.01</v>
      </c>
      <c r="C388" s="9">
        <f t="shared" si="100"/>
        <v>-1.3223333174689428E-2</v>
      </c>
      <c r="D388" s="9">
        <f t="shared" si="99"/>
        <v>-1.3578806393062328E-2</v>
      </c>
      <c r="E388" s="9"/>
      <c r="F388" s="9"/>
      <c r="G388" s="9"/>
      <c r="H388" s="9"/>
      <c r="I388" s="9"/>
      <c r="J388" s="9"/>
      <c r="K388" s="9"/>
      <c r="L388" s="9"/>
      <c r="M388" s="5"/>
      <c r="AJ388" s="2"/>
    </row>
    <row r="389" spans="1:36" x14ac:dyDescent="0.25">
      <c r="A389" s="6">
        <v>40365</v>
      </c>
      <c r="B389" s="7">
        <v>6.2450000000000001</v>
      </c>
      <c r="C389" s="9">
        <f t="shared" si="100"/>
        <v>3.8356395030424754E-2</v>
      </c>
      <c r="D389" s="9">
        <f t="shared" si="99"/>
        <v>3.8000921812051856E-2</v>
      </c>
      <c r="E389" s="9"/>
      <c r="F389" s="9"/>
      <c r="G389" s="9"/>
      <c r="H389" s="9"/>
      <c r="I389" s="9"/>
      <c r="J389" s="9"/>
      <c r="K389" s="9"/>
      <c r="L389" s="9"/>
      <c r="M389" s="5"/>
      <c r="AJ389" s="2"/>
    </row>
    <row r="390" spans="1:36" x14ac:dyDescent="0.25">
      <c r="A390" s="6">
        <v>40366</v>
      </c>
      <c r="B390" s="7">
        <v>6.6050000000000004</v>
      </c>
      <c r="C390" s="9">
        <f t="shared" si="100"/>
        <v>5.6045794396747776E-2</v>
      </c>
      <c r="D390" s="9">
        <f t="shared" si="99"/>
        <v>5.5690321178374878E-2</v>
      </c>
      <c r="E390" s="9"/>
      <c r="F390" s="9"/>
      <c r="G390" s="9"/>
      <c r="H390" s="9"/>
      <c r="I390" s="9"/>
      <c r="J390" s="9"/>
      <c r="K390" s="9"/>
      <c r="L390" s="9"/>
      <c r="M390" s="5"/>
      <c r="AJ390" s="2"/>
    </row>
    <row r="391" spans="1:36" x14ac:dyDescent="0.25">
      <c r="A391" s="6">
        <v>40367</v>
      </c>
      <c r="B391" s="7">
        <v>6.6349999999999998</v>
      </c>
      <c r="C391" s="9">
        <f t="shared" si="100"/>
        <v>4.5317298098820989E-3</v>
      </c>
      <c r="D391" s="9">
        <f t="shared" si="99"/>
        <v>4.176256591509199E-3</v>
      </c>
      <c r="E391" s="9"/>
      <c r="F391" s="9"/>
      <c r="G391" s="9"/>
      <c r="H391" s="9"/>
      <c r="I391" s="9"/>
      <c r="J391" s="9"/>
      <c r="K391" s="9"/>
      <c r="L391" s="9"/>
      <c r="M391" s="5"/>
      <c r="AJ391" s="2"/>
    </row>
    <row r="392" spans="1:36" x14ac:dyDescent="0.25">
      <c r="A392" s="6">
        <v>40368</v>
      </c>
      <c r="B392" s="7">
        <v>6.63</v>
      </c>
      <c r="C392" s="9">
        <f t="shared" si="100"/>
        <v>-7.5386358639971092E-4</v>
      </c>
      <c r="D392" s="9">
        <f t="shared" si="99"/>
        <v>-1.1093368047726108E-3</v>
      </c>
      <c r="E392" s="9"/>
      <c r="F392" s="9"/>
      <c r="G392" s="9"/>
      <c r="H392" s="9"/>
      <c r="I392" s="9"/>
      <c r="J392" s="9"/>
      <c r="K392" s="9"/>
      <c r="L392" s="9"/>
      <c r="M392" s="5"/>
      <c r="AJ392" s="2"/>
    </row>
    <row r="393" spans="1:36" x14ac:dyDescent="0.25">
      <c r="A393" s="6">
        <v>40371</v>
      </c>
      <c r="B393" s="7">
        <v>6.625</v>
      </c>
      <c r="C393" s="9">
        <f t="shared" si="100"/>
        <v>-7.5443232548523108E-4</v>
      </c>
      <c r="D393" s="9">
        <f t="shared" si="99"/>
        <v>-1.1099055438581311E-3</v>
      </c>
      <c r="E393" s="9"/>
      <c r="F393" s="9"/>
      <c r="G393" s="9"/>
      <c r="H393" s="9"/>
      <c r="I393" s="9"/>
      <c r="J393" s="9"/>
      <c r="K393" s="9"/>
      <c r="L393" s="9"/>
      <c r="M393" s="5"/>
      <c r="AJ393" s="2"/>
    </row>
    <row r="394" spans="1:36" x14ac:dyDescent="0.25">
      <c r="A394" s="6">
        <v>40372</v>
      </c>
      <c r="B394" s="7">
        <v>6.7</v>
      </c>
      <c r="C394" s="9">
        <f t="shared" si="100"/>
        <v>1.1257154524634468E-2</v>
      </c>
      <c r="D394" s="9">
        <f t="shared" si="99"/>
        <v>1.0901681306261568E-2</v>
      </c>
      <c r="E394" s="9"/>
      <c r="F394" s="9"/>
      <c r="G394" s="9"/>
      <c r="H394" s="9"/>
      <c r="I394" s="9"/>
      <c r="J394" s="9"/>
      <c r="K394" s="9"/>
      <c r="L394" s="9"/>
      <c r="M394" s="5"/>
      <c r="AJ394" s="2"/>
    </row>
    <row r="395" spans="1:36" x14ac:dyDescent="0.25">
      <c r="A395" s="6">
        <v>40373</v>
      </c>
      <c r="B395" s="7">
        <v>6.7</v>
      </c>
      <c r="C395" s="9">
        <f t="shared" si="100"/>
        <v>0</v>
      </c>
      <c r="D395" s="9">
        <f t="shared" si="99"/>
        <v>-3.5547321837289993E-4</v>
      </c>
      <c r="E395" s="9"/>
      <c r="F395" s="9"/>
      <c r="G395" s="9"/>
      <c r="H395" s="9"/>
      <c r="I395" s="9"/>
      <c r="J395" s="9"/>
      <c r="K395" s="9"/>
      <c r="L395" s="9"/>
      <c r="M395" s="5"/>
      <c r="AJ395" s="2"/>
    </row>
    <row r="396" spans="1:36" x14ac:dyDescent="0.25">
      <c r="A396" s="6">
        <v>40374</v>
      </c>
      <c r="B396" s="7">
        <v>6.585</v>
      </c>
      <c r="C396" s="9">
        <f t="shared" si="100"/>
        <v>-1.7313191201676049E-2</v>
      </c>
      <c r="D396" s="9">
        <f t="shared" si="99"/>
        <v>-1.7668664420048951E-2</v>
      </c>
      <c r="E396" s="9"/>
      <c r="F396" s="9"/>
      <c r="G396" s="9"/>
      <c r="H396" s="9"/>
      <c r="I396" s="9"/>
      <c r="J396" s="9"/>
      <c r="K396" s="9"/>
      <c r="L396" s="9"/>
      <c r="M396" s="5"/>
      <c r="AJ396" s="2"/>
    </row>
    <row r="397" spans="1:36" x14ac:dyDescent="0.25">
      <c r="A397" s="6">
        <v>40375</v>
      </c>
      <c r="B397" s="7">
        <v>6.4450000000000003</v>
      </c>
      <c r="C397" s="9">
        <f t="shared" si="100"/>
        <v>-2.1489698804093557E-2</v>
      </c>
      <c r="D397" s="9">
        <f t="shared" si="99"/>
        <v>-2.1845172022466459E-2</v>
      </c>
      <c r="E397" s="9"/>
      <c r="F397" s="9"/>
      <c r="G397" s="9"/>
      <c r="H397" s="9"/>
      <c r="I397" s="9"/>
      <c r="J397" s="9"/>
      <c r="K397" s="9"/>
      <c r="L397" s="9"/>
      <c r="M397" s="5"/>
      <c r="AJ397" s="2"/>
    </row>
    <row r="398" spans="1:36" x14ac:dyDescent="0.25">
      <c r="A398" s="6">
        <v>40378</v>
      </c>
      <c r="B398" s="7">
        <v>6.39</v>
      </c>
      <c r="C398" s="9">
        <f t="shared" si="100"/>
        <v>-8.5703680017073895E-3</v>
      </c>
      <c r="D398" s="9">
        <f t="shared" si="99"/>
        <v>-8.9258412200802894E-3</v>
      </c>
      <c r="E398" s="9"/>
      <c r="F398" s="9"/>
      <c r="G398" s="9"/>
      <c r="H398" s="9"/>
      <c r="I398" s="9"/>
      <c r="J398" s="9"/>
      <c r="K398" s="9"/>
      <c r="L398" s="9"/>
      <c r="M398" s="5"/>
      <c r="AJ398" s="2"/>
    </row>
    <row r="399" spans="1:36" x14ac:dyDescent="0.25">
      <c r="A399" s="6">
        <v>40379</v>
      </c>
      <c r="B399" s="7">
        <v>6.38</v>
      </c>
      <c r="C399" s="9">
        <f t="shared" si="100"/>
        <v>-1.5661710327448349E-3</v>
      </c>
      <c r="D399" s="9">
        <f t="shared" si="99"/>
        <v>-1.9216442511177348E-3</v>
      </c>
      <c r="E399" s="9"/>
      <c r="F399" s="9"/>
      <c r="G399" s="9"/>
      <c r="H399" s="9"/>
      <c r="I399" s="9"/>
      <c r="J399" s="9"/>
      <c r="K399" s="9"/>
      <c r="L399" s="9"/>
      <c r="M399" s="5"/>
      <c r="AJ399" s="2"/>
    </row>
    <row r="400" spans="1:36" x14ac:dyDescent="0.25">
      <c r="A400" s="6">
        <v>40380</v>
      </c>
      <c r="B400" s="7">
        <v>6.3949999999999996</v>
      </c>
      <c r="C400" s="9">
        <f t="shared" si="100"/>
        <v>2.348337674107429E-3</v>
      </c>
      <c r="D400" s="9">
        <f t="shared" si="99"/>
        <v>1.9928644557345291E-3</v>
      </c>
      <c r="E400" s="9"/>
      <c r="F400" s="9"/>
      <c r="G400" s="9"/>
      <c r="H400" s="9"/>
      <c r="I400" s="9"/>
      <c r="J400" s="9"/>
      <c r="K400" s="9"/>
      <c r="L400" s="9"/>
      <c r="M400" s="5"/>
      <c r="AJ400" s="2"/>
    </row>
    <row r="401" spans="1:36" x14ac:dyDescent="0.25">
      <c r="A401" s="6">
        <v>40381</v>
      </c>
      <c r="B401" s="7">
        <v>6.57</v>
      </c>
      <c r="C401" s="9">
        <f t="shared" si="100"/>
        <v>2.6997397465713294E-2</v>
      </c>
      <c r="D401" s="9">
        <f t="shared" si="99"/>
        <v>2.6641924247340392E-2</v>
      </c>
      <c r="E401" s="9"/>
      <c r="F401" s="9"/>
      <c r="G401" s="9"/>
      <c r="H401" s="9"/>
      <c r="I401" s="9"/>
      <c r="J401" s="9"/>
      <c r="K401" s="9"/>
      <c r="L401" s="9"/>
      <c r="M401" s="5"/>
      <c r="AJ401" s="2"/>
    </row>
    <row r="402" spans="1:36" x14ac:dyDescent="0.25">
      <c r="A402" s="6">
        <v>40382</v>
      </c>
      <c r="B402" s="7">
        <v>6.55</v>
      </c>
      <c r="C402" s="9">
        <f t="shared" si="100"/>
        <v>-3.0487828493587043E-3</v>
      </c>
      <c r="D402" s="9">
        <f t="shared" si="99"/>
        <v>-3.4042560677316042E-3</v>
      </c>
      <c r="E402" s="9"/>
      <c r="F402" s="9"/>
      <c r="G402" s="9"/>
      <c r="H402" s="9"/>
      <c r="I402" s="9"/>
      <c r="J402" s="9"/>
      <c r="K402" s="9"/>
      <c r="L402" s="9"/>
      <c r="M402" s="5"/>
      <c r="AJ402" s="2"/>
    </row>
    <row r="403" spans="1:36" x14ac:dyDescent="0.25">
      <c r="A403" s="6">
        <v>40385</v>
      </c>
      <c r="B403" s="7">
        <v>6.65</v>
      </c>
      <c r="C403" s="9">
        <f t="shared" si="100"/>
        <v>1.5151805020602246E-2</v>
      </c>
      <c r="D403" s="9">
        <f t="shared" si="99"/>
        <v>1.4796331802229347E-2</v>
      </c>
      <c r="E403" s="9"/>
      <c r="F403" s="9"/>
      <c r="G403" s="9"/>
      <c r="H403" s="9"/>
      <c r="I403" s="9"/>
      <c r="J403" s="9"/>
      <c r="K403" s="9"/>
      <c r="L403" s="9"/>
      <c r="M403" s="5"/>
      <c r="AJ403" s="2"/>
    </row>
    <row r="404" spans="1:36" x14ac:dyDescent="0.25">
      <c r="A404" s="6">
        <v>40386</v>
      </c>
      <c r="B404" s="7">
        <v>6.875</v>
      </c>
      <c r="C404" s="9">
        <f t="shared" si="100"/>
        <v>3.3274788884872133E-2</v>
      </c>
      <c r="D404" s="9">
        <f t="shared" si="99"/>
        <v>3.2919315666499235E-2</v>
      </c>
      <c r="E404" s="9"/>
      <c r="F404" s="9"/>
      <c r="G404" s="9"/>
      <c r="H404" s="9"/>
      <c r="I404" s="9"/>
      <c r="J404" s="9"/>
      <c r="K404" s="9"/>
      <c r="L404" s="9"/>
      <c r="M404" s="5"/>
      <c r="AJ404" s="2"/>
    </row>
    <row r="405" spans="1:36" x14ac:dyDescent="0.25">
      <c r="A405" s="6">
        <v>40387</v>
      </c>
      <c r="B405" s="7">
        <v>6.91</v>
      </c>
      <c r="C405" s="9">
        <f t="shared" si="100"/>
        <v>5.0779942269434828E-3</v>
      </c>
      <c r="D405" s="9">
        <f t="shared" ref="D405:D468" si="101">C405-$C$59/252</f>
        <v>4.722521008570583E-3</v>
      </c>
      <c r="E405" s="9"/>
      <c r="F405" s="9"/>
      <c r="G405" s="9"/>
      <c r="H405" s="9"/>
      <c r="I405" s="9"/>
      <c r="J405" s="9"/>
      <c r="K405" s="9"/>
      <c r="L405" s="9"/>
      <c r="M405" s="5"/>
      <c r="AJ405" s="2"/>
    </row>
    <row r="406" spans="1:36" x14ac:dyDescent="0.25">
      <c r="A406" s="6">
        <v>40388</v>
      </c>
      <c r="B406" s="7">
        <v>6.98</v>
      </c>
      <c r="C406" s="9">
        <f t="shared" si="100"/>
        <v>1.0079278994702663E-2</v>
      </c>
      <c r="D406" s="9">
        <f t="shared" si="101"/>
        <v>9.7238057763297629E-3</v>
      </c>
      <c r="E406" s="9"/>
      <c r="F406" s="9"/>
      <c r="G406" s="9"/>
      <c r="H406" s="9"/>
      <c r="I406" s="9"/>
      <c r="J406" s="9"/>
      <c r="K406" s="9"/>
      <c r="L406" s="9"/>
      <c r="M406" s="5"/>
      <c r="AJ406" s="2"/>
    </row>
    <row r="407" spans="1:36" x14ac:dyDescent="0.25">
      <c r="A407" s="6">
        <v>40389</v>
      </c>
      <c r="B407" s="7">
        <v>6.9</v>
      </c>
      <c r="C407" s="9">
        <f t="shared" si="100"/>
        <v>-1.1527505171067383E-2</v>
      </c>
      <c r="D407" s="9">
        <f t="shared" si="101"/>
        <v>-1.1882978389440283E-2</v>
      </c>
      <c r="E407" s="9"/>
      <c r="F407" s="9"/>
      <c r="G407" s="9"/>
      <c r="H407" s="9"/>
      <c r="I407" s="9"/>
      <c r="J407" s="9"/>
      <c r="K407" s="9"/>
      <c r="L407" s="9"/>
      <c r="M407" s="5"/>
      <c r="AJ407" s="2"/>
    </row>
    <row r="408" spans="1:36" x14ac:dyDescent="0.25">
      <c r="A408" s="6">
        <v>40392</v>
      </c>
      <c r="B408" s="7">
        <v>7.05</v>
      </c>
      <c r="C408" s="9">
        <f t="shared" si="100"/>
        <v>2.1506205220963463E-2</v>
      </c>
      <c r="D408" s="9">
        <f t="shared" si="101"/>
        <v>2.1150732002590562E-2</v>
      </c>
      <c r="E408" s="9"/>
      <c r="F408" s="9"/>
      <c r="G408" s="9"/>
      <c r="H408" s="9"/>
      <c r="I408" s="9"/>
      <c r="J408" s="9"/>
      <c r="K408" s="9"/>
      <c r="L408" s="9"/>
      <c r="M408" s="5"/>
      <c r="AJ408" s="2"/>
    </row>
    <row r="409" spans="1:36" x14ac:dyDescent="0.25">
      <c r="A409" s="6">
        <v>40393</v>
      </c>
      <c r="B409" s="7">
        <v>7.13</v>
      </c>
      <c r="C409" s="9">
        <f t="shared" si="100"/>
        <v>1.1283617602027301E-2</v>
      </c>
      <c r="D409" s="9">
        <f t="shared" si="101"/>
        <v>1.0928144383654401E-2</v>
      </c>
      <c r="E409" s="9"/>
      <c r="F409" s="9"/>
      <c r="G409" s="9"/>
      <c r="H409" s="9"/>
      <c r="I409" s="9"/>
      <c r="J409" s="9"/>
      <c r="K409" s="9"/>
      <c r="L409" s="9"/>
      <c r="M409" s="5"/>
      <c r="AJ409" s="2"/>
    </row>
    <row r="410" spans="1:36" x14ac:dyDescent="0.25">
      <c r="A410" s="6">
        <v>40394</v>
      </c>
      <c r="B410" s="7">
        <v>7.0449999999999999</v>
      </c>
      <c r="C410" s="9">
        <f t="shared" si="100"/>
        <v>-1.1993089075561044E-2</v>
      </c>
      <c r="D410" s="9">
        <f t="shared" si="101"/>
        <v>-1.2348562293933944E-2</v>
      </c>
      <c r="E410" s="9"/>
      <c r="F410" s="9"/>
      <c r="G410" s="9"/>
      <c r="H410" s="9"/>
      <c r="I410" s="9"/>
      <c r="J410" s="9"/>
      <c r="K410" s="9"/>
      <c r="L410" s="9"/>
      <c r="M410" s="5"/>
      <c r="AJ410" s="2"/>
    </row>
    <row r="411" spans="1:36" x14ac:dyDescent="0.25">
      <c r="A411" s="6">
        <v>40395</v>
      </c>
      <c r="B411" s="7">
        <v>7.0350000000000001</v>
      </c>
      <c r="C411" s="9">
        <f t="shared" si="100"/>
        <v>-1.4204547842911123E-3</v>
      </c>
      <c r="D411" s="9">
        <f t="shared" si="101"/>
        <v>-1.7759280026640122E-3</v>
      </c>
      <c r="E411" s="9"/>
      <c r="F411" s="9"/>
      <c r="G411" s="9"/>
      <c r="H411" s="9"/>
      <c r="I411" s="9"/>
      <c r="J411" s="9"/>
      <c r="K411" s="9"/>
      <c r="L411" s="9"/>
      <c r="M411" s="5"/>
      <c r="AJ411" s="2"/>
    </row>
    <row r="412" spans="1:36" x14ac:dyDescent="0.25">
      <c r="A412" s="6">
        <v>40396</v>
      </c>
      <c r="B412" s="7">
        <v>6.97</v>
      </c>
      <c r="C412" s="9">
        <f t="shared" si="100"/>
        <v>-9.282465793919949E-3</v>
      </c>
      <c r="D412" s="9">
        <f t="shared" si="101"/>
        <v>-9.6379390122928489E-3</v>
      </c>
      <c r="E412" s="9"/>
      <c r="F412" s="9"/>
      <c r="G412" s="9"/>
      <c r="H412" s="9"/>
      <c r="I412" s="9"/>
      <c r="J412" s="9"/>
      <c r="K412" s="9"/>
      <c r="L412" s="9"/>
      <c r="M412" s="5"/>
      <c r="AJ412" s="2"/>
    </row>
    <row r="413" spans="1:36" x14ac:dyDescent="0.25">
      <c r="A413" s="6">
        <v>40399</v>
      </c>
      <c r="B413" s="7">
        <v>6.9850000000000003</v>
      </c>
      <c r="C413" s="9">
        <f t="shared" si="100"/>
        <v>2.1497679364926646E-3</v>
      </c>
      <c r="D413" s="9">
        <f t="shared" si="101"/>
        <v>1.7942947181197647E-3</v>
      </c>
      <c r="E413" s="9"/>
      <c r="F413" s="9"/>
      <c r="G413" s="9"/>
      <c r="H413" s="9"/>
      <c r="I413" s="9"/>
      <c r="J413" s="9"/>
      <c r="K413" s="9"/>
      <c r="L413" s="9"/>
      <c r="M413" s="5"/>
      <c r="AJ413" s="2"/>
    </row>
    <row r="414" spans="1:36" x14ac:dyDescent="0.25">
      <c r="A414" s="6">
        <v>40400</v>
      </c>
      <c r="B414" s="7">
        <v>6.9749999999999996</v>
      </c>
      <c r="C414" s="9">
        <f t="shared" si="100"/>
        <v>-1.4326650014959124E-3</v>
      </c>
      <c r="D414" s="9">
        <f t="shared" si="101"/>
        <v>-1.7881382198688123E-3</v>
      </c>
      <c r="E414" s="9"/>
      <c r="F414" s="9"/>
      <c r="G414" s="9"/>
      <c r="H414" s="9"/>
      <c r="I414" s="9"/>
      <c r="J414" s="9"/>
      <c r="K414" s="9"/>
      <c r="L414" s="9"/>
      <c r="M414" s="5"/>
      <c r="AJ414" s="2"/>
    </row>
    <row r="415" spans="1:36" x14ac:dyDescent="0.25">
      <c r="A415" s="6">
        <v>40401</v>
      </c>
      <c r="B415" s="7">
        <v>6.73</v>
      </c>
      <c r="C415" s="9">
        <f t="shared" si="100"/>
        <v>-3.5757184050792729E-2</v>
      </c>
      <c r="D415" s="9">
        <f t="shared" si="101"/>
        <v>-3.6112657269165627E-2</v>
      </c>
      <c r="E415" s="9"/>
      <c r="F415" s="9"/>
      <c r="G415" s="9"/>
      <c r="H415" s="9"/>
      <c r="I415" s="9"/>
      <c r="J415" s="9"/>
      <c r="K415" s="9"/>
      <c r="L415" s="9"/>
      <c r="M415" s="5"/>
      <c r="AJ415" s="2"/>
    </row>
    <row r="416" spans="1:36" x14ac:dyDescent="0.25">
      <c r="A416" s="6">
        <v>40402</v>
      </c>
      <c r="B416" s="7">
        <v>6.68</v>
      </c>
      <c r="C416" s="9">
        <f t="shared" si="100"/>
        <v>-7.4571561080821634E-3</v>
      </c>
      <c r="D416" s="9">
        <f t="shared" si="101"/>
        <v>-7.8126293264550641E-3</v>
      </c>
      <c r="E416" s="9"/>
      <c r="F416" s="9"/>
      <c r="G416" s="9"/>
      <c r="H416" s="9"/>
      <c r="I416" s="9"/>
      <c r="J416" s="9"/>
      <c r="K416" s="9"/>
      <c r="L416" s="9"/>
      <c r="M416" s="5"/>
      <c r="AJ416" s="2"/>
    </row>
    <row r="417" spans="1:36" x14ac:dyDescent="0.25">
      <c r="A417" s="6">
        <v>40403</v>
      </c>
      <c r="B417" s="7">
        <v>6.66</v>
      </c>
      <c r="C417" s="9">
        <f t="shared" si="100"/>
        <v>-2.9985029962565574E-3</v>
      </c>
      <c r="D417" s="9">
        <f t="shared" si="101"/>
        <v>-3.3539762146294573E-3</v>
      </c>
      <c r="E417" s="9"/>
      <c r="F417" s="9"/>
      <c r="G417" s="9"/>
      <c r="H417" s="9"/>
      <c r="I417" s="9"/>
      <c r="J417" s="9"/>
      <c r="K417" s="9"/>
      <c r="L417" s="9"/>
      <c r="M417" s="5"/>
      <c r="AJ417" s="2"/>
    </row>
    <row r="418" spans="1:36" x14ac:dyDescent="0.25">
      <c r="A418" s="6">
        <v>40406</v>
      </c>
      <c r="B418" s="7">
        <v>6.625</v>
      </c>
      <c r="C418" s="9">
        <f t="shared" si="100"/>
        <v>-5.269112680011883E-3</v>
      </c>
      <c r="D418" s="9">
        <f t="shared" si="101"/>
        <v>-5.6245858983847829E-3</v>
      </c>
      <c r="E418" s="9"/>
      <c r="F418" s="9"/>
      <c r="G418" s="9"/>
      <c r="H418" s="9"/>
      <c r="I418" s="9"/>
      <c r="J418" s="9"/>
      <c r="K418" s="9"/>
      <c r="L418" s="9"/>
      <c r="M418" s="5"/>
      <c r="AJ418" s="2"/>
    </row>
    <row r="419" spans="1:36" x14ac:dyDescent="0.25">
      <c r="A419" s="6">
        <v>40407</v>
      </c>
      <c r="B419" s="7">
        <v>6.6850000000000005</v>
      </c>
      <c r="C419" s="9">
        <f t="shared" si="100"/>
        <v>9.0158386816207685E-3</v>
      </c>
      <c r="D419" s="9">
        <f t="shared" si="101"/>
        <v>8.6603654632478686E-3</v>
      </c>
      <c r="E419" s="9"/>
      <c r="F419" s="9"/>
      <c r="G419" s="9"/>
      <c r="H419" s="9"/>
      <c r="I419" s="9"/>
      <c r="J419" s="9"/>
      <c r="K419" s="9"/>
      <c r="L419" s="9"/>
      <c r="M419" s="5"/>
      <c r="AJ419" s="2"/>
    </row>
    <row r="420" spans="1:36" x14ac:dyDescent="0.25">
      <c r="A420" s="6">
        <v>40408</v>
      </c>
      <c r="B420" s="7">
        <v>6.6449999999999996</v>
      </c>
      <c r="C420" s="9">
        <f t="shared" si="100"/>
        <v>-6.0015183886979982E-3</v>
      </c>
      <c r="D420" s="9">
        <f t="shared" si="101"/>
        <v>-6.3569916070708981E-3</v>
      </c>
      <c r="E420" s="9"/>
      <c r="F420" s="9"/>
      <c r="G420" s="9"/>
      <c r="H420" s="9"/>
      <c r="I420" s="9"/>
      <c r="J420" s="9"/>
      <c r="K420" s="9"/>
      <c r="L420" s="9"/>
      <c r="M420" s="5"/>
      <c r="AJ420" s="2"/>
    </row>
    <row r="421" spans="1:36" x14ac:dyDescent="0.25">
      <c r="A421" s="6">
        <v>40409</v>
      </c>
      <c r="B421" s="7">
        <v>6.5049999999999999</v>
      </c>
      <c r="C421" s="9">
        <f t="shared" si="100"/>
        <v>-2.1293580200739962E-2</v>
      </c>
      <c r="D421" s="9">
        <f t="shared" si="101"/>
        <v>-2.1649053419112864E-2</v>
      </c>
      <c r="E421" s="9"/>
      <c r="F421" s="9"/>
      <c r="G421" s="9"/>
      <c r="H421" s="9"/>
      <c r="I421" s="9"/>
      <c r="J421" s="9"/>
      <c r="K421" s="9"/>
      <c r="L421" s="9"/>
      <c r="M421" s="5"/>
      <c r="AJ421" s="2"/>
    </row>
    <row r="422" spans="1:36" x14ac:dyDescent="0.25">
      <c r="A422" s="6">
        <v>40410</v>
      </c>
      <c r="B422" s="7">
        <v>6.4050000000000002</v>
      </c>
      <c r="C422" s="9">
        <f t="shared" si="100"/>
        <v>-1.5492176615770972E-2</v>
      </c>
      <c r="D422" s="9">
        <f t="shared" si="101"/>
        <v>-1.5847649834143874E-2</v>
      </c>
      <c r="E422" s="9"/>
      <c r="F422" s="9"/>
      <c r="G422" s="9"/>
      <c r="H422" s="9"/>
      <c r="I422" s="9"/>
      <c r="J422" s="9"/>
      <c r="K422" s="9"/>
      <c r="L422" s="9"/>
      <c r="M422" s="5"/>
      <c r="AJ422" s="2"/>
    </row>
    <row r="423" spans="1:36" x14ac:dyDescent="0.25">
      <c r="A423" s="6">
        <v>40413</v>
      </c>
      <c r="B423" s="7">
        <v>6.42</v>
      </c>
      <c r="C423" s="9">
        <f t="shared" si="100"/>
        <v>2.339182353172241E-3</v>
      </c>
      <c r="D423" s="9">
        <f t="shared" si="101"/>
        <v>1.9837091347993411E-3</v>
      </c>
      <c r="E423" s="9"/>
      <c r="F423" s="9"/>
      <c r="G423" s="9"/>
      <c r="H423" s="9"/>
      <c r="I423" s="9"/>
      <c r="J423" s="9"/>
      <c r="K423" s="9"/>
      <c r="L423" s="9"/>
      <c r="M423" s="5"/>
      <c r="AJ423" s="2"/>
    </row>
    <row r="424" spans="1:36" x14ac:dyDescent="0.25">
      <c r="A424" s="6">
        <v>40414</v>
      </c>
      <c r="B424" s="7">
        <v>6.28</v>
      </c>
      <c r="C424" s="9">
        <f t="shared" si="100"/>
        <v>-2.20481372217625E-2</v>
      </c>
      <c r="D424" s="9">
        <f t="shared" si="101"/>
        <v>-2.2403610440135401E-2</v>
      </c>
      <c r="E424" s="9"/>
      <c r="F424" s="9"/>
      <c r="G424" s="9"/>
      <c r="H424" s="9"/>
      <c r="I424" s="9"/>
      <c r="J424" s="9"/>
      <c r="K424" s="9"/>
      <c r="L424" s="9"/>
      <c r="M424" s="5"/>
      <c r="AJ424" s="2"/>
    </row>
    <row r="425" spans="1:36" x14ac:dyDescent="0.25">
      <c r="A425" s="6">
        <v>40415</v>
      </c>
      <c r="B425" s="7">
        <v>6.1349999999999998</v>
      </c>
      <c r="C425" s="9">
        <f t="shared" si="100"/>
        <v>-2.3359902317232572E-2</v>
      </c>
      <c r="D425" s="9">
        <f t="shared" si="101"/>
        <v>-2.3715375535605474E-2</v>
      </c>
      <c r="E425" s="9"/>
      <c r="F425" s="9"/>
      <c r="G425" s="9"/>
      <c r="H425" s="9"/>
      <c r="I425" s="9"/>
      <c r="J425" s="9"/>
      <c r="K425" s="9"/>
      <c r="L425" s="9"/>
      <c r="M425" s="5"/>
      <c r="AJ425" s="2"/>
    </row>
    <row r="426" spans="1:36" x14ac:dyDescent="0.25">
      <c r="A426" s="6">
        <v>40416</v>
      </c>
      <c r="B426" s="7">
        <v>6.17</v>
      </c>
      <c r="C426" s="9">
        <f t="shared" si="100"/>
        <v>5.6887597544217679E-3</v>
      </c>
      <c r="D426" s="9">
        <f t="shared" si="101"/>
        <v>5.3332865360488681E-3</v>
      </c>
      <c r="E426" s="9"/>
      <c r="F426" s="9"/>
      <c r="G426" s="9"/>
      <c r="H426" s="9"/>
      <c r="I426" s="9"/>
      <c r="J426" s="9"/>
      <c r="K426" s="9"/>
      <c r="L426" s="9"/>
      <c r="M426" s="5"/>
      <c r="AJ426" s="2"/>
    </row>
    <row r="427" spans="1:36" x14ac:dyDescent="0.25">
      <c r="A427" s="6">
        <v>40417</v>
      </c>
      <c r="B427" s="7">
        <v>6.18</v>
      </c>
      <c r="C427" s="9">
        <f t="shared" si="100"/>
        <v>1.6194335523029759E-3</v>
      </c>
      <c r="D427" s="9">
        <f t="shared" si="101"/>
        <v>1.263960333930076E-3</v>
      </c>
      <c r="E427" s="9"/>
      <c r="F427" s="9"/>
      <c r="G427" s="9"/>
      <c r="H427" s="9"/>
      <c r="I427" s="9"/>
      <c r="J427" s="9"/>
      <c r="K427" s="9"/>
      <c r="L427" s="9"/>
      <c r="M427" s="5"/>
      <c r="AJ427" s="2"/>
    </row>
    <row r="428" spans="1:36" x14ac:dyDescent="0.25">
      <c r="A428" s="6">
        <v>40420</v>
      </c>
      <c r="B428" s="7">
        <v>6.17</v>
      </c>
      <c r="C428" s="9">
        <f t="shared" si="100"/>
        <v>-1.6194335523028827E-3</v>
      </c>
      <c r="D428" s="9">
        <f t="shared" si="101"/>
        <v>-1.9749067706757825E-3</v>
      </c>
      <c r="E428" s="9"/>
      <c r="F428" s="9"/>
      <c r="G428" s="9"/>
      <c r="H428" s="9"/>
      <c r="I428" s="9"/>
      <c r="J428" s="9"/>
      <c r="K428" s="9"/>
      <c r="L428" s="9"/>
      <c r="M428" s="5"/>
      <c r="AJ428" s="2"/>
    </row>
    <row r="429" spans="1:36" x14ac:dyDescent="0.25">
      <c r="A429" s="6">
        <v>40421</v>
      </c>
      <c r="B429" s="7">
        <v>6.21</v>
      </c>
      <c r="C429" s="9">
        <f t="shared" si="100"/>
        <v>6.462058028091024E-3</v>
      </c>
      <c r="D429" s="9">
        <f t="shared" si="101"/>
        <v>6.1065848097181241E-3</v>
      </c>
      <c r="E429" s="9"/>
      <c r="F429" s="9"/>
      <c r="G429" s="9"/>
      <c r="H429" s="9"/>
      <c r="I429" s="9"/>
      <c r="J429" s="9"/>
      <c r="K429" s="9"/>
      <c r="L429" s="9"/>
      <c r="M429" s="5"/>
      <c r="AJ429" s="2"/>
    </row>
    <row r="430" spans="1:36" x14ac:dyDescent="0.25">
      <c r="A430" s="6">
        <v>40422</v>
      </c>
      <c r="B430" s="7">
        <v>6.415</v>
      </c>
      <c r="C430" s="9">
        <f t="shared" si="100"/>
        <v>3.2478102122212284E-2</v>
      </c>
      <c r="D430" s="9">
        <f t="shared" si="101"/>
        <v>3.2122628903839386E-2</v>
      </c>
      <c r="E430" s="9"/>
      <c r="F430" s="9"/>
      <c r="G430" s="9"/>
      <c r="H430" s="9"/>
      <c r="I430" s="9"/>
      <c r="J430" s="9"/>
      <c r="K430" s="9"/>
      <c r="L430" s="9"/>
      <c r="M430" s="5"/>
      <c r="AJ430" s="2"/>
    </row>
    <row r="431" spans="1:36" x14ac:dyDescent="0.25">
      <c r="A431" s="6">
        <v>40423</v>
      </c>
      <c r="B431" s="7">
        <v>6.46</v>
      </c>
      <c r="C431" s="9">
        <f t="shared" si="100"/>
        <v>6.9903197269106567E-3</v>
      </c>
      <c r="D431" s="9">
        <f t="shared" si="101"/>
        <v>6.6348465085377568E-3</v>
      </c>
      <c r="E431" s="9"/>
      <c r="F431" s="9"/>
      <c r="G431" s="9"/>
      <c r="H431" s="9"/>
      <c r="I431" s="9"/>
      <c r="J431" s="9"/>
      <c r="K431" s="9"/>
      <c r="L431" s="9"/>
      <c r="M431" s="5"/>
      <c r="AJ431" s="2"/>
    </row>
    <row r="432" spans="1:36" x14ac:dyDescent="0.25">
      <c r="A432" s="6">
        <v>40424</v>
      </c>
      <c r="B432" s="7">
        <v>6.5149999999999997</v>
      </c>
      <c r="C432" s="9">
        <f t="shared" si="100"/>
        <v>8.4778927822978366E-3</v>
      </c>
      <c r="D432" s="9">
        <f t="shared" si="101"/>
        <v>8.1224195639249368E-3</v>
      </c>
      <c r="E432" s="9"/>
      <c r="F432" s="9"/>
      <c r="G432" s="9"/>
      <c r="H432" s="9"/>
      <c r="I432" s="9"/>
      <c r="J432" s="9"/>
      <c r="K432" s="9"/>
      <c r="L432" s="9"/>
      <c r="M432" s="5"/>
      <c r="AJ432" s="2"/>
    </row>
    <row r="433" spans="1:36" x14ac:dyDescent="0.25">
      <c r="A433" s="6">
        <v>40427</v>
      </c>
      <c r="B433" s="7">
        <v>6.5</v>
      </c>
      <c r="C433" s="9">
        <f t="shared" si="100"/>
        <v>-2.3050336752169802E-3</v>
      </c>
      <c r="D433" s="9">
        <f t="shared" si="101"/>
        <v>-2.66050689358988E-3</v>
      </c>
      <c r="E433" s="9"/>
      <c r="F433" s="9"/>
      <c r="G433" s="9"/>
      <c r="H433" s="9"/>
      <c r="I433" s="9"/>
      <c r="J433" s="9"/>
      <c r="K433" s="9"/>
      <c r="L433" s="9"/>
      <c r="M433" s="5"/>
      <c r="AJ433" s="2"/>
    </row>
    <row r="434" spans="1:36" x14ac:dyDescent="0.25">
      <c r="A434" s="6">
        <v>40428</v>
      </c>
      <c r="B434" s="7">
        <v>6.3449999999999998</v>
      </c>
      <c r="C434" s="9">
        <f t="shared" si="100"/>
        <v>-2.4135075735240447E-2</v>
      </c>
      <c r="D434" s="9">
        <f t="shared" si="101"/>
        <v>-2.4490548953613349E-2</v>
      </c>
      <c r="E434" s="9"/>
      <c r="F434" s="9"/>
      <c r="G434" s="9"/>
      <c r="H434" s="9"/>
      <c r="I434" s="9"/>
      <c r="J434" s="9"/>
      <c r="K434" s="9"/>
      <c r="L434" s="9"/>
      <c r="M434" s="5"/>
      <c r="AJ434" s="2"/>
    </row>
    <row r="435" spans="1:36" x14ac:dyDescent="0.25">
      <c r="A435" s="6">
        <v>40429</v>
      </c>
      <c r="B435" s="7">
        <v>6.4</v>
      </c>
      <c r="C435" s="9">
        <f t="shared" si="100"/>
        <v>8.6308891992753108E-3</v>
      </c>
      <c r="D435" s="9">
        <f t="shared" si="101"/>
        <v>8.2754159809024109E-3</v>
      </c>
      <c r="E435" s="9"/>
      <c r="F435" s="9"/>
      <c r="G435" s="9"/>
      <c r="H435" s="9"/>
      <c r="I435" s="9"/>
      <c r="J435" s="9"/>
      <c r="K435" s="9"/>
      <c r="L435" s="9"/>
      <c r="M435" s="5"/>
      <c r="AJ435" s="2"/>
    </row>
    <row r="436" spans="1:36" x14ac:dyDescent="0.25">
      <c r="A436" s="6">
        <v>40430</v>
      </c>
      <c r="B436" s="7">
        <v>6.5149999999999997</v>
      </c>
      <c r="C436" s="9">
        <f t="shared" si="100"/>
        <v>1.7809220211182138E-2</v>
      </c>
      <c r="D436" s="9">
        <f t="shared" si="101"/>
        <v>1.7453746992809237E-2</v>
      </c>
      <c r="E436" s="9"/>
      <c r="F436" s="9"/>
      <c r="G436" s="9"/>
      <c r="H436" s="9"/>
      <c r="I436" s="9"/>
      <c r="J436" s="9"/>
      <c r="K436" s="9"/>
      <c r="L436" s="9"/>
      <c r="M436" s="5"/>
      <c r="AJ436" s="2"/>
    </row>
    <row r="437" spans="1:36" x14ac:dyDescent="0.25">
      <c r="A437" s="6">
        <v>40431</v>
      </c>
      <c r="B437" s="7">
        <v>6.5600000000000005</v>
      </c>
      <c r="C437" s="9">
        <f t="shared" si="100"/>
        <v>6.8833923791894649E-3</v>
      </c>
      <c r="D437" s="9">
        <f t="shared" si="101"/>
        <v>6.527919160816565E-3</v>
      </c>
      <c r="E437" s="9"/>
      <c r="F437" s="9"/>
      <c r="G437" s="9"/>
      <c r="H437" s="9"/>
      <c r="I437" s="9"/>
      <c r="J437" s="9"/>
      <c r="K437" s="9"/>
      <c r="L437" s="9"/>
      <c r="M437" s="5"/>
      <c r="AJ437" s="2"/>
    </row>
    <row r="438" spans="1:36" x14ac:dyDescent="0.25">
      <c r="A438" s="6">
        <v>40434</v>
      </c>
      <c r="B438" s="7">
        <v>6.6550000000000002</v>
      </c>
      <c r="C438" s="9">
        <f t="shared" si="100"/>
        <v>1.4377848891077212E-2</v>
      </c>
      <c r="D438" s="9">
        <f t="shared" si="101"/>
        <v>1.4022375672704313E-2</v>
      </c>
      <c r="E438" s="9"/>
      <c r="F438" s="9"/>
      <c r="G438" s="9"/>
      <c r="H438" s="9"/>
      <c r="I438" s="9"/>
      <c r="J438" s="9"/>
      <c r="K438" s="9"/>
      <c r="L438" s="9"/>
      <c r="M438" s="5"/>
      <c r="AJ438" s="2"/>
    </row>
    <row r="439" spans="1:36" x14ac:dyDescent="0.25">
      <c r="A439" s="6">
        <v>40435</v>
      </c>
      <c r="B439" s="7">
        <v>6.665</v>
      </c>
      <c r="C439" s="9">
        <f t="shared" si="100"/>
        <v>1.5015017835969112E-3</v>
      </c>
      <c r="D439" s="9">
        <f t="shared" si="101"/>
        <v>1.1460285652240114E-3</v>
      </c>
      <c r="E439" s="9"/>
      <c r="F439" s="9"/>
      <c r="G439" s="9"/>
      <c r="H439" s="9"/>
      <c r="I439" s="9"/>
      <c r="J439" s="9"/>
      <c r="K439" s="9"/>
      <c r="L439" s="9"/>
      <c r="M439" s="5"/>
      <c r="AJ439" s="2"/>
    </row>
    <row r="440" spans="1:36" x14ac:dyDescent="0.25">
      <c r="A440" s="6">
        <v>40436</v>
      </c>
      <c r="B440" s="7">
        <v>6.665</v>
      </c>
      <c r="C440" s="9">
        <f t="shared" si="100"/>
        <v>0</v>
      </c>
      <c r="D440" s="9">
        <f t="shared" si="101"/>
        <v>-3.5547321837289993E-4</v>
      </c>
      <c r="E440" s="9"/>
      <c r="F440" s="9"/>
      <c r="G440" s="9"/>
      <c r="H440" s="9"/>
      <c r="I440" s="9"/>
      <c r="J440" s="9"/>
      <c r="K440" s="9"/>
      <c r="L440" s="9"/>
      <c r="M440" s="5"/>
      <c r="AJ440" s="2"/>
    </row>
    <row r="441" spans="1:36" x14ac:dyDescent="0.25">
      <c r="A441" s="6">
        <v>40437</v>
      </c>
      <c r="B441" s="7">
        <v>6.585</v>
      </c>
      <c r="C441" s="9">
        <f t="shared" si="100"/>
        <v>-1.2075618435427647E-2</v>
      </c>
      <c r="D441" s="9">
        <f t="shared" si="101"/>
        <v>-1.2431091653800547E-2</v>
      </c>
      <c r="E441" s="9"/>
      <c r="F441" s="9"/>
      <c r="G441" s="9"/>
      <c r="H441" s="9"/>
      <c r="I441" s="9"/>
      <c r="J441" s="9"/>
      <c r="K441" s="9"/>
      <c r="L441" s="9"/>
      <c r="M441" s="5"/>
      <c r="AJ441" s="2"/>
    </row>
    <row r="442" spans="1:36" x14ac:dyDescent="0.25">
      <c r="A442" s="6">
        <v>40438</v>
      </c>
      <c r="B442" s="7">
        <v>6.5549999999999997</v>
      </c>
      <c r="C442" s="9">
        <f t="shared" si="100"/>
        <v>-4.5662179795811948E-3</v>
      </c>
      <c r="D442" s="9">
        <f t="shared" si="101"/>
        <v>-4.9216911979540947E-3</v>
      </c>
      <c r="E442" s="9"/>
      <c r="F442" s="9"/>
      <c r="G442" s="9"/>
      <c r="H442" s="9"/>
      <c r="I442" s="9"/>
      <c r="J442" s="9"/>
      <c r="K442" s="9"/>
      <c r="L442" s="9"/>
      <c r="M442" s="5"/>
      <c r="AJ442" s="2"/>
    </row>
    <row r="443" spans="1:36" x14ac:dyDescent="0.25">
      <c r="A443" s="6">
        <v>40441</v>
      </c>
      <c r="B443" s="7">
        <v>6.6850000000000005</v>
      </c>
      <c r="C443" s="9">
        <f t="shared" si="100"/>
        <v>1.9638093338243491E-2</v>
      </c>
      <c r="D443" s="9">
        <f t="shared" si="101"/>
        <v>1.9282620119870589E-2</v>
      </c>
      <c r="E443" s="9"/>
      <c r="F443" s="9"/>
      <c r="G443" s="9"/>
      <c r="H443" s="9"/>
      <c r="I443" s="9"/>
      <c r="J443" s="9"/>
      <c r="K443" s="9"/>
      <c r="L443" s="9"/>
      <c r="M443" s="5"/>
      <c r="AJ443" s="2"/>
    </row>
    <row r="444" spans="1:36" x14ac:dyDescent="0.25">
      <c r="A444" s="6">
        <v>40442</v>
      </c>
      <c r="B444" s="7">
        <v>6.7949999999999999</v>
      </c>
      <c r="C444" s="9">
        <f t="shared" si="100"/>
        <v>1.6320837049200471E-2</v>
      </c>
      <c r="D444" s="9">
        <f t="shared" si="101"/>
        <v>1.596536383082757E-2</v>
      </c>
      <c r="E444" s="9"/>
      <c r="F444" s="9"/>
      <c r="G444" s="9"/>
      <c r="H444" s="9"/>
      <c r="I444" s="9"/>
      <c r="J444" s="9"/>
      <c r="K444" s="9"/>
      <c r="L444" s="9"/>
      <c r="M444" s="5"/>
      <c r="AJ444" s="2"/>
    </row>
    <row r="445" spans="1:36" x14ac:dyDescent="0.25">
      <c r="A445" s="6">
        <v>40443</v>
      </c>
      <c r="B445" s="7">
        <v>6.87</v>
      </c>
      <c r="C445" s="9">
        <f t="shared" ref="C445:C508" si="102">LN(B445/B444)</f>
        <v>1.0977058631150994E-2</v>
      </c>
      <c r="D445" s="9">
        <f t="shared" si="101"/>
        <v>1.0621585412778094E-2</v>
      </c>
      <c r="E445" s="9"/>
      <c r="F445" s="9"/>
      <c r="G445" s="9"/>
      <c r="H445" s="9"/>
      <c r="I445" s="9"/>
      <c r="J445" s="9"/>
      <c r="K445" s="9"/>
      <c r="L445" s="9"/>
      <c r="M445" s="5"/>
      <c r="AJ445" s="2"/>
    </row>
    <row r="446" spans="1:36" x14ac:dyDescent="0.25">
      <c r="A446" s="6">
        <v>40444</v>
      </c>
      <c r="B446" s="7">
        <v>6.7850000000000001</v>
      </c>
      <c r="C446" s="9">
        <f t="shared" si="102"/>
        <v>-1.2449812947425518E-2</v>
      </c>
      <c r="D446" s="9">
        <f t="shared" si="101"/>
        <v>-1.2805286165798417E-2</v>
      </c>
      <c r="E446" s="9"/>
      <c r="F446" s="9"/>
      <c r="G446" s="9"/>
      <c r="H446" s="9"/>
      <c r="I446" s="9"/>
      <c r="J446" s="9"/>
      <c r="K446" s="9"/>
      <c r="L446" s="9"/>
      <c r="M446" s="5"/>
      <c r="AJ446" s="2"/>
    </row>
    <row r="447" spans="1:36" x14ac:dyDescent="0.25">
      <c r="A447" s="6">
        <v>40445</v>
      </c>
      <c r="B447" s="7">
        <v>6.87</v>
      </c>
      <c r="C447" s="9">
        <f t="shared" si="102"/>
        <v>1.244981294742557E-2</v>
      </c>
      <c r="D447" s="9">
        <f t="shared" si="101"/>
        <v>1.209433972905267E-2</v>
      </c>
      <c r="E447" s="9"/>
      <c r="F447" s="9"/>
      <c r="G447" s="9"/>
      <c r="H447" s="9"/>
      <c r="I447" s="9"/>
      <c r="J447" s="9"/>
      <c r="K447" s="9"/>
      <c r="L447" s="9"/>
      <c r="M447" s="5"/>
      <c r="AJ447" s="2"/>
    </row>
    <row r="448" spans="1:36" x14ac:dyDescent="0.25">
      <c r="A448" s="6">
        <v>40448</v>
      </c>
      <c r="B448" s="7">
        <v>6.8100000000000005</v>
      </c>
      <c r="C448" s="9">
        <f t="shared" si="102"/>
        <v>-8.7719860728368813E-3</v>
      </c>
      <c r="D448" s="9">
        <f t="shared" si="101"/>
        <v>-9.1274592912097812E-3</v>
      </c>
      <c r="E448" s="9"/>
      <c r="F448" s="9"/>
      <c r="G448" s="9"/>
      <c r="H448" s="9"/>
      <c r="I448" s="9"/>
      <c r="J448" s="9"/>
      <c r="K448" s="9"/>
      <c r="L448" s="9"/>
      <c r="M448" s="5"/>
      <c r="AJ448" s="2"/>
    </row>
    <row r="449" spans="1:36" x14ac:dyDescent="0.25">
      <c r="A449" s="6">
        <v>40449</v>
      </c>
      <c r="B449" s="7">
        <v>6.78</v>
      </c>
      <c r="C449" s="9">
        <f t="shared" si="102"/>
        <v>-4.4150182091168312E-3</v>
      </c>
      <c r="D449" s="9">
        <f t="shared" si="101"/>
        <v>-4.7704914274897311E-3</v>
      </c>
      <c r="E449" s="9"/>
      <c r="F449" s="9"/>
      <c r="G449" s="9"/>
      <c r="H449" s="9"/>
      <c r="I449" s="9"/>
      <c r="J449" s="9"/>
      <c r="K449" s="9"/>
      <c r="L449" s="9"/>
      <c r="M449" s="5"/>
      <c r="AJ449" s="2"/>
    </row>
    <row r="450" spans="1:36" x14ac:dyDescent="0.25">
      <c r="A450" s="6">
        <v>40450</v>
      </c>
      <c r="B450" s="7">
        <v>6.7249999999999996</v>
      </c>
      <c r="C450" s="9">
        <f t="shared" si="102"/>
        <v>-8.145176464401542E-3</v>
      </c>
      <c r="D450" s="9">
        <f t="shared" si="101"/>
        <v>-8.5006496827744419E-3</v>
      </c>
      <c r="E450" s="9"/>
      <c r="F450" s="9"/>
      <c r="G450" s="9"/>
      <c r="H450" s="9"/>
      <c r="I450" s="9"/>
      <c r="J450" s="9"/>
      <c r="K450" s="9"/>
      <c r="L450" s="9"/>
      <c r="M450" s="5"/>
      <c r="AJ450" s="2"/>
    </row>
    <row r="451" spans="1:36" x14ac:dyDescent="0.25">
      <c r="A451" s="6">
        <v>40451</v>
      </c>
      <c r="B451" s="7">
        <v>6.82</v>
      </c>
      <c r="C451" s="9">
        <f t="shared" si="102"/>
        <v>1.402754636746795E-2</v>
      </c>
      <c r="D451" s="9">
        <f t="shared" si="101"/>
        <v>1.367207314909505E-2</v>
      </c>
      <c r="E451" s="9"/>
      <c r="F451" s="9"/>
      <c r="G451" s="9"/>
      <c r="H451" s="9"/>
      <c r="I451" s="9"/>
      <c r="J451" s="9"/>
      <c r="K451" s="9"/>
      <c r="L451" s="9"/>
      <c r="M451" s="5"/>
      <c r="AJ451" s="2"/>
    </row>
    <row r="452" spans="1:36" x14ac:dyDescent="0.25">
      <c r="A452" s="6">
        <v>40452</v>
      </c>
      <c r="B452" s="7">
        <v>6.75</v>
      </c>
      <c r="C452" s="9">
        <f t="shared" si="102"/>
        <v>-1.0316966970932267E-2</v>
      </c>
      <c r="D452" s="9">
        <f t="shared" si="101"/>
        <v>-1.0672440189305167E-2</v>
      </c>
      <c r="E452" s="9"/>
      <c r="F452" s="9"/>
      <c r="G452" s="9"/>
      <c r="H452" s="9"/>
      <c r="I452" s="9"/>
      <c r="J452" s="9"/>
      <c r="K452" s="9"/>
      <c r="L452" s="9"/>
      <c r="M452" s="5"/>
      <c r="AJ452" s="2"/>
    </row>
    <row r="453" spans="1:36" x14ac:dyDescent="0.25">
      <c r="A453" s="6">
        <v>40455</v>
      </c>
      <c r="B453" s="7">
        <v>6.64</v>
      </c>
      <c r="C453" s="9">
        <f t="shared" si="102"/>
        <v>-1.6430541396096041E-2</v>
      </c>
      <c r="D453" s="9">
        <f t="shared" si="101"/>
        <v>-1.6786014614468943E-2</v>
      </c>
      <c r="E453" s="9"/>
      <c r="F453" s="9"/>
      <c r="G453" s="9"/>
      <c r="H453" s="9"/>
      <c r="I453" s="9"/>
      <c r="J453" s="9"/>
      <c r="K453" s="9"/>
      <c r="L453" s="9"/>
      <c r="M453" s="5"/>
      <c r="AJ453" s="2"/>
    </row>
    <row r="454" spans="1:36" x14ac:dyDescent="0.25">
      <c r="A454" s="6">
        <v>40456</v>
      </c>
      <c r="B454" s="7">
        <v>6.8</v>
      </c>
      <c r="C454" s="9">
        <f t="shared" si="102"/>
        <v>2.3810648693718607E-2</v>
      </c>
      <c r="D454" s="9">
        <f t="shared" si="101"/>
        <v>2.3455175475345705E-2</v>
      </c>
      <c r="E454" s="9"/>
      <c r="F454" s="9"/>
      <c r="G454" s="9"/>
      <c r="H454" s="9"/>
      <c r="I454" s="9"/>
      <c r="J454" s="9"/>
      <c r="K454" s="9"/>
      <c r="L454" s="9"/>
      <c r="M454" s="5"/>
      <c r="AJ454" s="2"/>
    </row>
    <row r="455" spans="1:36" x14ac:dyDescent="0.25">
      <c r="A455" s="6">
        <v>40457</v>
      </c>
      <c r="B455" s="7">
        <v>6.875</v>
      </c>
      <c r="C455" s="9">
        <f t="shared" si="102"/>
        <v>1.0969031370573937E-2</v>
      </c>
      <c r="D455" s="9">
        <f t="shared" si="101"/>
        <v>1.0613558152201037E-2</v>
      </c>
      <c r="E455" s="9"/>
      <c r="F455" s="9"/>
      <c r="G455" s="9"/>
      <c r="H455" s="9"/>
      <c r="I455" s="9"/>
      <c r="J455" s="9"/>
      <c r="K455" s="9"/>
      <c r="L455" s="9"/>
      <c r="M455" s="5"/>
      <c r="AJ455" s="2"/>
    </row>
    <row r="456" spans="1:36" x14ac:dyDescent="0.25">
      <c r="A456" s="6">
        <v>40458</v>
      </c>
      <c r="B456" s="7">
        <v>6.89</v>
      </c>
      <c r="C456" s="9">
        <f t="shared" si="102"/>
        <v>2.1794414729320926E-3</v>
      </c>
      <c r="D456" s="9">
        <f t="shared" si="101"/>
        <v>1.8239682545591928E-3</v>
      </c>
      <c r="E456" s="9"/>
      <c r="F456" s="9"/>
      <c r="G456" s="9"/>
      <c r="H456" s="9"/>
      <c r="I456" s="9"/>
      <c r="J456" s="9"/>
      <c r="K456" s="9"/>
      <c r="L456" s="9"/>
      <c r="M456" s="5"/>
      <c r="AJ456" s="2"/>
    </row>
    <row r="457" spans="1:36" x14ac:dyDescent="0.25">
      <c r="A457" s="6">
        <v>40459</v>
      </c>
      <c r="B457" s="7">
        <v>6.91</v>
      </c>
      <c r="C457" s="9">
        <f t="shared" si="102"/>
        <v>2.8985527540114791E-3</v>
      </c>
      <c r="D457" s="9">
        <f t="shared" si="101"/>
        <v>2.5430795356385792E-3</v>
      </c>
      <c r="E457" s="9"/>
      <c r="F457" s="9"/>
      <c r="G457" s="9"/>
      <c r="H457" s="9"/>
      <c r="I457" s="9"/>
      <c r="J457" s="9"/>
      <c r="K457" s="9"/>
      <c r="L457" s="9"/>
      <c r="M457" s="5"/>
      <c r="AJ457" s="2"/>
    </row>
    <row r="458" spans="1:36" x14ac:dyDescent="0.25">
      <c r="A458" s="6">
        <v>40462</v>
      </c>
      <c r="B458" s="7">
        <v>7.04</v>
      </c>
      <c r="C458" s="9">
        <f t="shared" si="102"/>
        <v>1.8638532390372414E-2</v>
      </c>
      <c r="D458" s="9">
        <f t="shared" si="101"/>
        <v>1.8283059171999513E-2</v>
      </c>
      <c r="E458" s="9"/>
      <c r="F458" s="9"/>
      <c r="G458" s="9"/>
      <c r="H458" s="9"/>
      <c r="I458" s="9"/>
      <c r="J458" s="9"/>
      <c r="K458" s="9"/>
      <c r="L458" s="9"/>
      <c r="M458" s="5"/>
      <c r="AJ458" s="2"/>
    </row>
    <row r="459" spans="1:36" x14ac:dyDescent="0.25">
      <c r="A459" s="6">
        <v>40463</v>
      </c>
      <c r="B459" s="7">
        <v>6.9950000000000001</v>
      </c>
      <c r="C459" s="9">
        <f t="shared" si="102"/>
        <v>-6.4125620525064941E-3</v>
      </c>
      <c r="D459" s="9">
        <f t="shared" si="101"/>
        <v>-6.7680352708793939E-3</v>
      </c>
      <c r="E459" s="9"/>
      <c r="F459" s="9"/>
      <c r="G459" s="9"/>
      <c r="H459" s="9"/>
      <c r="I459" s="9"/>
      <c r="J459" s="9"/>
      <c r="K459" s="9"/>
      <c r="L459" s="9"/>
      <c r="M459" s="5"/>
      <c r="AJ459" s="2"/>
    </row>
    <row r="460" spans="1:36" x14ac:dyDescent="0.25">
      <c r="A460" s="6">
        <v>40464</v>
      </c>
      <c r="B460" s="7">
        <v>7.14</v>
      </c>
      <c r="C460" s="9">
        <f t="shared" si="102"/>
        <v>2.0517168234048443E-2</v>
      </c>
      <c r="D460" s="9">
        <f t="shared" si="101"/>
        <v>2.0161695015675541E-2</v>
      </c>
      <c r="E460" s="9"/>
      <c r="F460" s="9"/>
      <c r="G460" s="9"/>
      <c r="H460" s="9"/>
      <c r="I460" s="9"/>
      <c r="J460" s="9"/>
      <c r="K460" s="9"/>
      <c r="L460" s="9"/>
      <c r="M460" s="5"/>
      <c r="AJ460" s="2"/>
    </row>
    <row r="461" spans="1:36" x14ac:dyDescent="0.25">
      <c r="A461" s="6">
        <v>40465</v>
      </c>
      <c r="B461" s="7">
        <v>7.06</v>
      </c>
      <c r="C461" s="9">
        <f t="shared" si="102"/>
        <v>-1.1267724846342269E-2</v>
      </c>
      <c r="D461" s="9">
        <f t="shared" si="101"/>
        <v>-1.1623198064715169E-2</v>
      </c>
      <c r="E461" s="9"/>
      <c r="F461" s="9"/>
      <c r="G461" s="9"/>
      <c r="H461" s="9"/>
      <c r="I461" s="9"/>
      <c r="J461" s="9"/>
      <c r="K461" s="9"/>
      <c r="L461" s="9"/>
      <c r="M461" s="5"/>
      <c r="AJ461" s="2"/>
    </row>
    <row r="462" spans="1:36" x14ac:dyDescent="0.25">
      <c r="A462" s="6">
        <v>40466</v>
      </c>
      <c r="B462" s="7">
        <v>7.0350000000000001</v>
      </c>
      <c r="C462" s="9">
        <f t="shared" si="102"/>
        <v>-3.5473609387983093E-3</v>
      </c>
      <c r="D462" s="9">
        <f t="shared" si="101"/>
        <v>-3.9028341571712092E-3</v>
      </c>
      <c r="E462" s="9"/>
      <c r="F462" s="9"/>
      <c r="G462" s="9"/>
      <c r="H462" s="9"/>
      <c r="I462" s="9"/>
      <c r="J462" s="9"/>
      <c r="K462" s="9"/>
      <c r="L462" s="9"/>
      <c r="M462" s="5"/>
      <c r="AJ462" s="2"/>
    </row>
    <row r="463" spans="1:36" x14ac:dyDescent="0.25">
      <c r="A463" s="6">
        <v>40469</v>
      </c>
      <c r="B463" s="7">
        <v>7.12</v>
      </c>
      <c r="C463" s="9">
        <f t="shared" si="102"/>
        <v>1.2010034857531918E-2</v>
      </c>
      <c r="D463" s="9">
        <f t="shared" si="101"/>
        <v>1.1654561639159018E-2</v>
      </c>
      <c r="E463" s="9"/>
      <c r="F463" s="9"/>
      <c r="G463" s="9"/>
      <c r="H463" s="9"/>
      <c r="I463" s="9"/>
      <c r="J463" s="9"/>
      <c r="K463" s="9"/>
      <c r="L463" s="9"/>
      <c r="M463" s="5"/>
      <c r="AJ463" s="2"/>
    </row>
    <row r="464" spans="1:36" x14ac:dyDescent="0.25">
      <c r="A464" s="6">
        <v>40470</v>
      </c>
      <c r="B464" s="7">
        <v>7.15</v>
      </c>
      <c r="C464" s="9">
        <f t="shared" si="102"/>
        <v>4.2046312820318704E-3</v>
      </c>
      <c r="D464" s="9">
        <f t="shared" si="101"/>
        <v>3.8491580636589705E-3</v>
      </c>
      <c r="E464" s="9"/>
      <c r="F464" s="9"/>
      <c r="G464" s="9"/>
      <c r="H464" s="9"/>
      <c r="I464" s="9"/>
      <c r="J464" s="9"/>
      <c r="K464" s="9"/>
      <c r="L464" s="9"/>
      <c r="M464" s="5"/>
      <c r="AJ464" s="2"/>
    </row>
    <row r="465" spans="1:36" x14ac:dyDescent="0.25">
      <c r="A465" s="6">
        <v>40471</v>
      </c>
      <c r="B465" s="7">
        <v>7.18</v>
      </c>
      <c r="C465" s="9">
        <f t="shared" si="102"/>
        <v>4.187026354216453E-3</v>
      </c>
      <c r="D465" s="9">
        <f t="shared" si="101"/>
        <v>3.8315531358435531E-3</v>
      </c>
      <c r="E465" s="9"/>
      <c r="F465" s="9"/>
      <c r="G465" s="9"/>
      <c r="H465" s="9"/>
      <c r="I465" s="9"/>
      <c r="J465" s="9"/>
      <c r="K465" s="9"/>
      <c r="L465" s="9"/>
      <c r="M465" s="5"/>
      <c r="AJ465" s="2"/>
    </row>
    <row r="466" spans="1:36" x14ac:dyDescent="0.25">
      <c r="A466" s="6">
        <v>40472</v>
      </c>
      <c r="B466" s="7">
        <v>7.3550000000000004</v>
      </c>
      <c r="C466" s="9">
        <f t="shared" si="102"/>
        <v>2.40809709932681E-2</v>
      </c>
      <c r="D466" s="9">
        <f t="shared" si="101"/>
        <v>2.3725497774895198E-2</v>
      </c>
      <c r="E466" s="9"/>
      <c r="F466" s="9"/>
      <c r="G466" s="9"/>
      <c r="H466" s="9"/>
      <c r="I466" s="9"/>
      <c r="J466" s="9"/>
      <c r="K466" s="9"/>
      <c r="L466" s="9"/>
      <c r="M466" s="5"/>
      <c r="AJ466" s="2"/>
    </row>
    <row r="467" spans="1:36" x14ac:dyDescent="0.25">
      <c r="A467" s="6">
        <v>40473</v>
      </c>
      <c r="B467" s="7">
        <v>7.36</v>
      </c>
      <c r="C467" s="9">
        <f t="shared" si="102"/>
        <v>6.7957868738412219E-4</v>
      </c>
      <c r="D467" s="9">
        <f t="shared" si="101"/>
        <v>3.2410546901122226E-4</v>
      </c>
      <c r="E467" s="9"/>
      <c r="F467" s="9"/>
      <c r="G467" s="9"/>
      <c r="H467" s="9"/>
      <c r="I467" s="9"/>
      <c r="J467" s="9"/>
      <c r="K467" s="9"/>
      <c r="L467" s="9"/>
      <c r="M467" s="5"/>
      <c r="AJ467" s="2"/>
    </row>
    <row r="468" spans="1:36" x14ac:dyDescent="0.25">
      <c r="A468" s="6">
        <v>40476</v>
      </c>
      <c r="B468" s="7">
        <v>7.3049999999999997</v>
      </c>
      <c r="C468" s="9">
        <f t="shared" si="102"/>
        <v>-7.5008875381221965E-3</v>
      </c>
      <c r="D468" s="9">
        <f t="shared" si="101"/>
        <v>-7.8563607564950972E-3</v>
      </c>
      <c r="E468" s="9"/>
      <c r="F468" s="9"/>
      <c r="G468" s="9"/>
      <c r="H468" s="9"/>
      <c r="I468" s="9"/>
      <c r="J468" s="9"/>
      <c r="K468" s="9"/>
      <c r="L468" s="9"/>
      <c r="M468" s="5"/>
      <c r="AJ468" s="2"/>
    </row>
    <row r="469" spans="1:36" x14ac:dyDescent="0.25">
      <c r="A469" s="6">
        <v>40477</v>
      </c>
      <c r="B469" s="7">
        <v>7.3650000000000002</v>
      </c>
      <c r="C469" s="9">
        <f t="shared" si="102"/>
        <v>8.1800047119309095E-3</v>
      </c>
      <c r="D469" s="9">
        <f t="shared" ref="D469:D532" si="103">C469-$C$59/252</f>
        <v>7.8245314935580096E-3</v>
      </c>
      <c r="E469" s="9"/>
      <c r="F469" s="9"/>
      <c r="G469" s="9"/>
      <c r="H469" s="9"/>
      <c r="I469" s="9"/>
      <c r="J469" s="9"/>
      <c r="K469" s="9"/>
      <c r="L469" s="9"/>
      <c r="M469" s="5"/>
      <c r="AJ469" s="2"/>
    </row>
    <row r="470" spans="1:36" x14ac:dyDescent="0.25">
      <c r="A470" s="6">
        <v>40478</v>
      </c>
      <c r="B470" s="7">
        <v>7.375</v>
      </c>
      <c r="C470" s="9">
        <f t="shared" si="102"/>
        <v>1.3568523112898034E-3</v>
      </c>
      <c r="D470" s="9">
        <f t="shared" si="103"/>
        <v>1.0013790929169035E-3</v>
      </c>
      <c r="E470" s="9"/>
      <c r="F470" s="9"/>
      <c r="G470" s="9"/>
      <c r="H470" s="9"/>
      <c r="I470" s="9"/>
      <c r="J470" s="9"/>
      <c r="K470" s="9"/>
      <c r="L470" s="9"/>
      <c r="M470" s="5"/>
      <c r="AJ470" s="2"/>
    </row>
    <row r="471" spans="1:36" x14ac:dyDescent="0.25">
      <c r="A471" s="6">
        <v>40479</v>
      </c>
      <c r="B471" s="7">
        <v>7.52</v>
      </c>
      <c r="C471" s="9">
        <f t="shared" si="102"/>
        <v>1.9470235735864847E-2</v>
      </c>
      <c r="D471" s="9">
        <f t="shared" si="103"/>
        <v>1.9114762517491946E-2</v>
      </c>
      <c r="E471" s="9"/>
      <c r="F471" s="9"/>
      <c r="G471" s="9"/>
      <c r="H471" s="9"/>
      <c r="I471" s="9"/>
      <c r="J471" s="9"/>
      <c r="K471" s="9"/>
      <c r="L471" s="9"/>
      <c r="M471" s="5"/>
      <c r="AJ471" s="2"/>
    </row>
    <row r="472" spans="1:36" x14ac:dyDescent="0.25">
      <c r="A472" s="6">
        <v>40480</v>
      </c>
      <c r="B472" s="7">
        <v>7.4450000000000003</v>
      </c>
      <c r="C472" s="9">
        <f t="shared" si="102"/>
        <v>-1.0023471825776006E-2</v>
      </c>
      <c r="D472" s="9">
        <f t="shared" si="103"/>
        <v>-1.0378945044148906E-2</v>
      </c>
      <c r="E472" s="9"/>
      <c r="F472" s="9"/>
      <c r="G472" s="9"/>
      <c r="H472" s="9"/>
      <c r="I472" s="9"/>
      <c r="J472" s="9"/>
      <c r="K472" s="9"/>
      <c r="L472" s="9"/>
      <c r="M472" s="5"/>
      <c r="AJ472" s="2"/>
    </row>
    <row r="473" spans="1:36" x14ac:dyDescent="0.25">
      <c r="A473" s="6">
        <v>40483</v>
      </c>
      <c r="B473" s="7">
        <v>7.32</v>
      </c>
      <c r="C473" s="9">
        <f t="shared" si="102"/>
        <v>-1.6932338162752095E-2</v>
      </c>
      <c r="D473" s="9">
        <f t="shared" si="103"/>
        <v>-1.7287811381124996E-2</v>
      </c>
      <c r="E473" s="9"/>
      <c r="F473" s="9"/>
      <c r="G473" s="9"/>
      <c r="H473" s="9"/>
      <c r="I473" s="9"/>
      <c r="J473" s="9"/>
      <c r="K473" s="9"/>
      <c r="L473" s="9"/>
      <c r="M473" s="5"/>
      <c r="AJ473" s="2"/>
    </row>
    <row r="474" spans="1:36" x14ac:dyDescent="0.25">
      <c r="A474" s="6">
        <v>40484</v>
      </c>
      <c r="B474" s="7">
        <v>7.36</v>
      </c>
      <c r="C474" s="9">
        <f t="shared" si="102"/>
        <v>5.4496047675646848E-3</v>
      </c>
      <c r="D474" s="9">
        <f t="shared" si="103"/>
        <v>5.0941315491917849E-3</v>
      </c>
      <c r="E474" s="9"/>
      <c r="F474" s="9"/>
      <c r="G474" s="9"/>
      <c r="H474" s="9"/>
      <c r="I474" s="9"/>
      <c r="J474" s="9"/>
      <c r="K474" s="9"/>
      <c r="L474" s="9"/>
      <c r="M474" s="5"/>
      <c r="AJ474" s="2"/>
    </row>
    <row r="475" spans="1:36" x14ac:dyDescent="0.25">
      <c r="A475" s="6">
        <v>40485</v>
      </c>
      <c r="B475" s="7">
        <v>7.3</v>
      </c>
      <c r="C475" s="9">
        <f t="shared" si="102"/>
        <v>-8.1855845864395177E-3</v>
      </c>
      <c r="D475" s="9">
        <f t="shared" si="103"/>
        <v>-8.5410578048124176E-3</v>
      </c>
      <c r="E475" s="9"/>
      <c r="F475" s="9"/>
      <c r="G475" s="9"/>
      <c r="H475" s="9"/>
      <c r="I475" s="9"/>
      <c r="J475" s="9"/>
      <c r="K475" s="9"/>
      <c r="L475" s="9"/>
      <c r="M475" s="5"/>
      <c r="AJ475" s="2"/>
    </row>
    <row r="476" spans="1:36" x14ac:dyDescent="0.25">
      <c r="A476" s="6">
        <v>40486</v>
      </c>
      <c r="B476" s="7">
        <v>7.46</v>
      </c>
      <c r="C476" s="9">
        <f t="shared" si="102"/>
        <v>2.1681066061323948E-2</v>
      </c>
      <c r="D476" s="9">
        <f t="shared" si="103"/>
        <v>2.1325592842951047E-2</v>
      </c>
      <c r="E476" s="9"/>
      <c r="F476" s="9"/>
      <c r="G476" s="9"/>
      <c r="H476" s="9"/>
      <c r="I476" s="9"/>
      <c r="J476" s="9"/>
      <c r="K476" s="9"/>
      <c r="L476" s="9"/>
      <c r="M476" s="5"/>
      <c r="AJ476" s="2"/>
    </row>
    <row r="477" spans="1:36" x14ac:dyDescent="0.25">
      <c r="A477" s="6">
        <v>40487</v>
      </c>
      <c r="B477" s="7">
        <v>7.3150000000000004</v>
      </c>
      <c r="C477" s="9">
        <f t="shared" si="102"/>
        <v>-1.9628379743581809E-2</v>
      </c>
      <c r="D477" s="9">
        <f t="shared" si="103"/>
        <v>-1.998385296195471E-2</v>
      </c>
      <c r="E477" s="9"/>
      <c r="F477" s="9"/>
      <c r="G477" s="9"/>
      <c r="H477" s="9"/>
      <c r="I477" s="9"/>
      <c r="J477" s="9"/>
      <c r="K477" s="9"/>
      <c r="L477" s="9"/>
      <c r="M477" s="5"/>
      <c r="AJ477" s="2"/>
    </row>
    <row r="478" spans="1:36" x14ac:dyDescent="0.25">
      <c r="A478" s="6">
        <v>40490</v>
      </c>
      <c r="B478" s="7">
        <v>7.33</v>
      </c>
      <c r="C478" s="9">
        <f t="shared" si="102"/>
        <v>2.0484814264724875E-3</v>
      </c>
      <c r="D478" s="9">
        <f t="shared" si="103"/>
        <v>1.6930082080995877E-3</v>
      </c>
      <c r="E478" s="9"/>
      <c r="F478" s="9"/>
      <c r="G478" s="9"/>
      <c r="H478" s="9"/>
      <c r="I478" s="9"/>
      <c r="J478" s="9"/>
      <c r="K478" s="9"/>
      <c r="L478" s="9"/>
      <c r="M478" s="5"/>
      <c r="AJ478" s="2"/>
    </row>
    <row r="479" spans="1:36" x14ac:dyDescent="0.25">
      <c r="A479" s="6">
        <v>40491</v>
      </c>
      <c r="B479" s="7">
        <v>7.6550000000000002</v>
      </c>
      <c r="C479" s="9">
        <f t="shared" si="102"/>
        <v>4.3383513211086924E-2</v>
      </c>
      <c r="D479" s="9">
        <f t="shared" si="103"/>
        <v>4.3028039992714026E-2</v>
      </c>
      <c r="E479" s="9"/>
      <c r="F479" s="9"/>
      <c r="G479" s="9"/>
      <c r="H479" s="9"/>
      <c r="I479" s="9"/>
      <c r="J479" s="9"/>
      <c r="K479" s="9"/>
      <c r="L479" s="9"/>
      <c r="M479" s="5"/>
      <c r="AJ479" s="2"/>
    </row>
    <row r="480" spans="1:36" x14ac:dyDescent="0.25">
      <c r="A480" s="6">
        <v>40492</v>
      </c>
      <c r="B480" s="7">
        <v>7.42</v>
      </c>
      <c r="C480" s="9">
        <f t="shared" si="102"/>
        <v>-3.1179971930358E-2</v>
      </c>
      <c r="D480" s="9">
        <f t="shared" si="103"/>
        <v>-3.1535445148730898E-2</v>
      </c>
      <c r="E480" s="9"/>
      <c r="F480" s="9"/>
      <c r="G480" s="9"/>
      <c r="H480" s="9"/>
      <c r="I480" s="9"/>
      <c r="J480" s="9"/>
      <c r="K480" s="9"/>
      <c r="L480" s="9"/>
      <c r="M480" s="5"/>
      <c r="AJ480" s="2"/>
    </row>
    <row r="481" spans="1:36" x14ac:dyDescent="0.25">
      <c r="A481" s="6">
        <v>40493</v>
      </c>
      <c r="B481" s="7">
        <v>7.4249999999999998</v>
      </c>
      <c r="C481" s="9">
        <f t="shared" si="102"/>
        <v>6.7362750947427428E-4</v>
      </c>
      <c r="D481" s="9">
        <f t="shared" si="103"/>
        <v>3.1815429110137436E-4</v>
      </c>
      <c r="E481" s="9"/>
      <c r="F481" s="9"/>
      <c r="G481" s="9"/>
      <c r="H481" s="9"/>
      <c r="I481" s="9"/>
      <c r="J481" s="9"/>
      <c r="K481" s="9"/>
      <c r="L481" s="9"/>
      <c r="M481" s="5"/>
      <c r="AJ481" s="2"/>
    </row>
    <row r="482" spans="1:36" x14ac:dyDescent="0.25">
      <c r="A482" s="6">
        <v>40494</v>
      </c>
      <c r="B482" s="7">
        <v>7.41</v>
      </c>
      <c r="C482" s="9">
        <f t="shared" si="102"/>
        <v>-2.022245380767698E-3</v>
      </c>
      <c r="D482" s="9">
        <f t="shared" si="103"/>
        <v>-2.3777185991405978E-3</v>
      </c>
      <c r="E482" s="9"/>
      <c r="F482" s="9"/>
      <c r="G482" s="9"/>
      <c r="H482" s="9"/>
      <c r="I482" s="9"/>
      <c r="J482" s="9"/>
      <c r="K482" s="9"/>
      <c r="L482" s="9"/>
      <c r="M482" s="5"/>
      <c r="AJ482" s="2"/>
    </row>
    <row r="483" spans="1:36" x14ac:dyDescent="0.25">
      <c r="A483" s="6">
        <v>40497</v>
      </c>
      <c r="B483" s="7">
        <v>7.46</v>
      </c>
      <c r="C483" s="9">
        <f t="shared" si="102"/>
        <v>6.7249749076739159E-3</v>
      </c>
      <c r="D483" s="9">
        <f t="shared" si="103"/>
        <v>6.3695016893010161E-3</v>
      </c>
      <c r="E483" s="9"/>
      <c r="F483" s="9"/>
      <c r="G483" s="9"/>
      <c r="H483" s="9"/>
      <c r="I483" s="9"/>
      <c r="J483" s="9"/>
      <c r="K483" s="9"/>
      <c r="L483" s="9"/>
      <c r="M483" s="5"/>
      <c r="AJ483" s="2"/>
    </row>
    <row r="484" spans="1:36" x14ac:dyDescent="0.25">
      <c r="A484" s="6">
        <v>40498</v>
      </c>
      <c r="B484" s="7">
        <v>7.2450000000000001</v>
      </c>
      <c r="C484" s="9">
        <f t="shared" si="102"/>
        <v>-2.9243838443023744E-2</v>
      </c>
      <c r="D484" s="9">
        <f t="shared" si="103"/>
        <v>-2.9599311661396645E-2</v>
      </c>
      <c r="E484" s="9"/>
      <c r="F484" s="9"/>
      <c r="G484" s="9"/>
      <c r="H484" s="9"/>
      <c r="I484" s="9"/>
      <c r="J484" s="9"/>
      <c r="K484" s="9"/>
      <c r="L484" s="9"/>
      <c r="M484" s="5"/>
      <c r="AJ484" s="2"/>
    </row>
    <row r="485" spans="1:36" x14ac:dyDescent="0.25">
      <c r="A485" s="6">
        <v>40499</v>
      </c>
      <c r="B485" s="7">
        <v>7.36</v>
      </c>
      <c r="C485" s="9">
        <f t="shared" si="102"/>
        <v>1.5748356968139112E-2</v>
      </c>
      <c r="D485" s="9">
        <f t="shared" si="103"/>
        <v>1.5392883749766212E-2</v>
      </c>
      <c r="E485" s="9"/>
      <c r="F485" s="9"/>
      <c r="G485" s="9"/>
      <c r="H485" s="9"/>
      <c r="I485" s="9"/>
      <c r="J485" s="9"/>
      <c r="K485" s="9"/>
      <c r="L485" s="9"/>
      <c r="M485" s="5"/>
      <c r="AJ485" s="2"/>
    </row>
    <row r="486" spans="1:36" x14ac:dyDescent="0.25">
      <c r="A486" s="6">
        <v>40500</v>
      </c>
      <c r="B486" s="7">
        <v>7.53</v>
      </c>
      <c r="C486" s="9">
        <f t="shared" si="102"/>
        <v>2.2835109071017358E-2</v>
      </c>
      <c r="D486" s="9">
        <f t="shared" si="103"/>
        <v>2.2479635852644456E-2</v>
      </c>
      <c r="E486" s="9"/>
      <c r="F486" s="9"/>
      <c r="G486" s="9"/>
      <c r="H486" s="9"/>
      <c r="I486" s="9"/>
      <c r="J486" s="9"/>
      <c r="K486" s="9"/>
      <c r="L486" s="9"/>
      <c r="M486" s="5"/>
      <c r="AJ486" s="2"/>
    </row>
    <row r="487" spans="1:36" x14ac:dyDescent="0.25">
      <c r="A487" s="6">
        <v>40501</v>
      </c>
      <c r="B487" s="7">
        <v>7.415</v>
      </c>
      <c r="C487" s="9">
        <f t="shared" si="102"/>
        <v>-1.5390066221906779E-2</v>
      </c>
      <c r="D487" s="9">
        <f t="shared" si="103"/>
        <v>-1.574553944027968E-2</v>
      </c>
      <c r="E487" s="9"/>
      <c r="F487" s="9"/>
      <c r="G487" s="9"/>
      <c r="H487" s="9"/>
      <c r="I487" s="9"/>
      <c r="J487" s="9"/>
      <c r="K487" s="9"/>
      <c r="L487" s="9"/>
      <c r="M487" s="5"/>
      <c r="AJ487" s="2"/>
    </row>
    <row r="488" spans="1:36" x14ac:dyDescent="0.25">
      <c r="A488" s="6">
        <v>40504</v>
      </c>
      <c r="B488" s="7">
        <v>7.11</v>
      </c>
      <c r="C488" s="9">
        <f t="shared" si="102"/>
        <v>-4.2002731774745915E-2</v>
      </c>
      <c r="D488" s="9">
        <f t="shared" si="103"/>
        <v>-4.2358204993118813E-2</v>
      </c>
      <c r="E488" s="9"/>
      <c r="F488" s="9"/>
      <c r="G488" s="9"/>
      <c r="H488" s="9"/>
      <c r="I488" s="9"/>
      <c r="J488" s="9"/>
      <c r="K488" s="9"/>
      <c r="L488" s="9"/>
      <c r="M488" s="5"/>
      <c r="AJ488" s="2"/>
    </row>
    <row r="489" spans="1:36" x14ac:dyDescent="0.25">
      <c r="A489" s="6">
        <v>40505</v>
      </c>
      <c r="B489" s="7">
        <v>6.89</v>
      </c>
      <c r="C489" s="9">
        <f t="shared" si="102"/>
        <v>-3.1431158789582449E-2</v>
      </c>
      <c r="D489" s="9">
        <f t="shared" si="103"/>
        <v>-3.1786632007955347E-2</v>
      </c>
      <c r="E489" s="9"/>
      <c r="F489" s="9"/>
      <c r="G489" s="9"/>
      <c r="H489" s="9"/>
      <c r="I489" s="9"/>
      <c r="J489" s="9"/>
      <c r="K489" s="9"/>
      <c r="L489" s="9"/>
      <c r="M489" s="5"/>
      <c r="AJ489" s="2"/>
    </row>
    <row r="490" spans="1:36" x14ac:dyDescent="0.25">
      <c r="A490" s="6">
        <v>40506</v>
      </c>
      <c r="B490" s="7">
        <v>6.91</v>
      </c>
      <c r="C490" s="9">
        <f t="shared" si="102"/>
        <v>2.8985527540114791E-3</v>
      </c>
      <c r="D490" s="9">
        <f t="shared" si="103"/>
        <v>2.5430795356385792E-3</v>
      </c>
      <c r="E490" s="9"/>
      <c r="F490" s="9"/>
      <c r="G490" s="9"/>
      <c r="H490" s="9"/>
      <c r="I490" s="9"/>
      <c r="J490" s="9"/>
      <c r="K490" s="9"/>
      <c r="L490" s="9"/>
      <c r="M490" s="5"/>
      <c r="AJ490" s="2"/>
    </row>
    <row r="491" spans="1:36" x14ac:dyDescent="0.25">
      <c r="A491" s="6">
        <v>40507</v>
      </c>
      <c r="B491" s="7">
        <v>6.7350000000000003</v>
      </c>
      <c r="C491" s="9">
        <f t="shared" si="102"/>
        <v>-2.5651827917251221E-2</v>
      </c>
      <c r="D491" s="9">
        <f t="shared" si="103"/>
        <v>-2.6007301135624123E-2</v>
      </c>
      <c r="E491" s="9"/>
      <c r="F491" s="9"/>
      <c r="G491" s="9"/>
      <c r="H491" s="9"/>
      <c r="I491" s="9"/>
      <c r="J491" s="9"/>
      <c r="K491" s="9"/>
      <c r="L491" s="9"/>
      <c r="M491" s="5"/>
      <c r="AJ491" s="2"/>
    </row>
    <row r="492" spans="1:36" x14ac:dyDescent="0.25">
      <c r="A492" s="6">
        <v>40508</v>
      </c>
      <c r="B492" s="7">
        <v>6.68</v>
      </c>
      <c r="C492" s="9">
        <f t="shared" si="102"/>
        <v>-8.1998223137729892E-3</v>
      </c>
      <c r="D492" s="9">
        <f t="shared" si="103"/>
        <v>-8.5552955321458891E-3</v>
      </c>
      <c r="E492" s="9"/>
      <c r="F492" s="9"/>
      <c r="G492" s="9"/>
      <c r="H492" s="9"/>
      <c r="I492" s="9"/>
      <c r="J492" s="9"/>
      <c r="K492" s="9"/>
      <c r="L492" s="9"/>
      <c r="M492" s="5"/>
      <c r="AJ492" s="2"/>
    </row>
    <row r="493" spans="1:36" x14ac:dyDescent="0.25">
      <c r="A493" s="6">
        <v>40511</v>
      </c>
      <c r="B493" s="7">
        <v>6.5149999999999997</v>
      </c>
      <c r="C493" s="9">
        <f t="shared" si="102"/>
        <v>-2.5010776971745877E-2</v>
      </c>
      <c r="D493" s="9">
        <f t="shared" si="103"/>
        <v>-2.5366250190118778E-2</v>
      </c>
      <c r="E493" s="9"/>
      <c r="F493" s="9"/>
      <c r="G493" s="9"/>
      <c r="H493" s="9"/>
      <c r="I493" s="9"/>
      <c r="J493" s="9"/>
      <c r="K493" s="9"/>
      <c r="L493" s="9"/>
      <c r="M493" s="5"/>
      <c r="AJ493" s="2"/>
    </row>
    <row r="494" spans="1:36" x14ac:dyDescent="0.25">
      <c r="A494" s="6">
        <v>40512</v>
      </c>
      <c r="B494" s="7">
        <v>6.34</v>
      </c>
      <c r="C494" s="9">
        <f t="shared" si="102"/>
        <v>-2.7228442127673905E-2</v>
      </c>
      <c r="D494" s="9">
        <f t="shared" si="103"/>
        <v>-2.7583915346046806E-2</v>
      </c>
      <c r="E494" s="9"/>
      <c r="F494" s="9"/>
      <c r="G494" s="9"/>
      <c r="H494" s="9"/>
      <c r="I494" s="9"/>
      <c r="J494" s="9"/>
      <c r="K494" s="9"/>
      <c r="L494" s="9"/>
      <c r="M494" s="5"/>
      <c r="AJ494" s="2"/>
    </row>
    <row r="495" spans="1:36" x14ac:dyDescent="0.25">
      <c r="A495" s="6">
        <v>40513</v>
      </c>
      <c r="B495" s="7">
        <v>6.5449999999999999</v>
      </c>
      <c r="C495" s="9">
        <f t="shared" si="102"/>
        <v>3.1822630912728717E-2</v>
      </c>
      <c r="D495" s="9">
        <f t="shared" si="103"/>
        <v>3.1467157694355818E-2</v>
      </c>
      <c r="E495" s="9"/>
      <c r="F495" s="9"/>
      <c r="G495" s="9"/>
      <c r="H495" s="9"/>
      <c r="I495" s="9"/>
      <c r="J495" s="9"/>
      <c r="K495" s="9"/>
      <c r="L495" s="9"/>
      <c r="M495" s="5"/>
      <c r="AJ495" s="2"/>
    </row>
    <row r="496" spans="1:36" x14ac:dyDescent="0.25">
      <c r="A496" s="6">
        <v>40514</v>
      </c>
      <c r="B496" s="7">
        <v>6.7149999999999999</v>
      </c>
      <c r="C496" s="9">
        <f t="shared" si="102"/>
        <v>2.5642430613337652E-2</v>
      </c>
      <c r="D496" s="9">
        <f t="shared" si="103"/>
        <v>2.5286957394964751E-2</v>
      </c>
      <c r="E496" s="9"/>
      <c r="F496" s="9"/>
      <c r="G496" s="9"/>
      <c r="H496" s="9"/>
      <c r="I496" s="9"/>
      <c r="J496" s="9"/>
      <c r="K496" s="9"/>
      <c r="L496" s="9"/>
      <c r="M496" s="5"/>
      <c r="AJ496" s="2"/>
    </row>
    <row r="497" spans="1:36" x14ac:dyDescent="0.25">
      <c r="A497" s="6">
        <v>40515</v>
      </c>
      <c r="B497" s="7">
        <v>6.7149999999999999</v>
      </c>
      <c r="C497" s="9">
        <f t="shared" si="102"/>
        <v>0</v>
      </c>
      <c r="D497" s="9">
        <f t="shared" si="103"/>
        <v>-3.5547321837289993E-4</v>
      </c>
      <c r="E497" s="9"/>
      <c r="F497" s="9"/>
      <c r="G497" s="9"/>
      <c r="H497" s="9"/>
      <c r="I497" s="9"/>
      <c r="J497" s="9"/>
      <c r="K497" s="9"/>
      <c r="L497" s="9"/>
      <c r="M497" s="5"/>
      <c r="AJ497" s="2"/>
    </row>
    <row r="498" spans="1:36" x14ac:dyDescent="0.25">
      <c r="A498" s="6">
        <v>40518</v>
      </c>
      <c r="B498" s="7">
        <v>6.6449999999999996</v>
      </c>
      <c r="C498" s="9">
        <f t="shared" si="102"/>
        <v>-1.0479137809992262E-2</v>
      </c>
      <c r="D498" s="9">
        <f t="shared" si="103"/>
        <v>-1.0834611028365162E-2</v>
      </c>
      <c r="E498" s="9"/>
      <c r="F498" s="9"/>
      <c r="G498" s="9"/>
      <c r="H498" s="9"/>
      <c r="I498" s="9"/>
      <c r="J498" s="9"/>
      <c r="K498" s="9"/>
      <c r="L498" s="9"/>
      <c r="M498" s="5"/>
      <c r="AJ498" s="2"/>
    </row>
    <row r="499" spans="1:36" x14ac:dyDescent="0.25">
      <c r="A499" s="6">
        <v>40519</v>
      </c>
      <c r="B499" s="7">
        <v>6.665</v>
      </c>
      <c r="C499" s="9">
        <f t="shared" si="102"/>
        <v>3.0052614654635166E-3</v>
      </c>
      <c r="D499" s="9">
        <f t="shared" si="103"/>
        <v>2.6497882470906168E-3</v>
      </c>
      <c r="E499" s="9"/>
      <c r="F499" s="9"/>
      <c r="G499" s="9"/>
      <c r="H499" s="9"/>
      <c r="I499" s="9"/>
      <c r="J499" s="9"/>
      <c r="K499" s="9"/>
      <c r="L499" s="9"/>
      <c r="M499" s="5"/>
      <c r="AJ499" s="2"/>
    </row>
    <row r="500" spans="1:36" x14ac:dyDescent="0.25">
      <c r="A500" s="6">
        <v>40520</v>
      </c>
      <c r="B500" s="7">
        <v>6.8149999999999995</v>
      </c>
      <c r="C500" s="9">
        <f t="shared" si="102"/>
        <v>2.2256111517823772E-2</v>
      </c>
      <c r="D500" s="9">
        <f t="shared" si="103"/>
        <v>2.190063829945087E-2</v>
      </c>
      <c r="E500" s="9"/>
      <c r="F500" s="9"/>
      <c r="G500" s="9"/>
      <c r="H500" s="9"/>
      <c r="I500" s="9"/>
      <c r="J500" s="9"/>
      <c r="K500" s="9"/>
      <c r="L500" s="9"/>
      <c r="M500" s="5"/>
      <c r="AJ500" s="2"/>
    </row>
    <row r="501" spans="1:36" x14ac:dyDescent="0.25">
      <c r="A501" s="6">
        <v>40521</v>
      </c>
      <c r="B501" s="7">
        <v>6.98</v>
      </c>
      <c r="C501" s="9">
        <f t="shared" si="102"/>
        <v>2.3922851625785363E-2</v>
      </c>
      <c r="D501" s="9">
        <f t="shared" si="103"/>
        <v>2.3567378407412461E-2</v>
      </c>
      <c r="E501" s="9"/>
      <c r="F501" s="9"/>
      <c r="G501" s="9"/>
      <c r="H501" s="9"/>
      <c r="I501" s="9"/>
      <c r="J501" s="9"/>
      <c r="K501" s="9"/>
      <c r="L501" s="9"/>
      <c r="M501" s="5"/>
      <c r="AJ501" s="2"/>
    </row>
    <row r="502" spans="1:36" x14ac:dyDescent="0.25">
      <c r="A502" s="6">
        <v>40522</v>
      </c>
      <c r="B502" s="7">
        <v>6.9050000000000002</v>
      </c>
      <c r="C502" s="9">
        <f t="shared" si="102"/>
        <v>-1.0803129913025698E-2</v>
      </c>
      <c r="D502" s="9">
        <f t="shared" si="103"/>
        <v>-1.1158603131398598E-2</v>
      </c>
      <c r="E502" s="9"/>
      <c r="F502" s="9"/>
      <c r="G502" s="9"/>
      <c r="H502" s="9"/>
      <c r="I502" s="9"/>
      <c r="J502" s="9"/>
      <c r="K502" s="9"/>
      <c r="L502" s="9"/>
      <c r="M502" s="5"/>
      <c r="AJ502" s="2"/>
    </row>
    <row r="503" spans="1:36" x14ac:dyDescent="0.25">
      <c r="A503" s="6">
        <v>40525</v>
      </c>
      <c r="B503" s="7">
        <v>6.98</v>
      </c>
      <c r="C503" s="9">
        <f t="shared" si="102"/>
        <v>1.0803129913025738E-2</v>
      </c>
      <c r="D503" s="9">
        <f t="shared" si="103"/>
        <v>1.0447656694652838E-2</v>
      </c>
      <c r="E503" s="9"/>
      <c r="F503" s="9"/>
      <c r="G503" s="9"/>
      <c r="H503" s="9"/>
      <c r="I503" s="9"/>
      <c r="J503" s="9"/>
      <c r="K503" s="9"/>
      <c r="L503" s="9"/>
      <c r="M503" s="5"/>
      <c r="AJ503" s="2"/>
    </row>
    <row r="504" spans="1:36" x14ac:dyDescent="0.25">
      <c r="A504" s="6">
        <v>40526</v>
      </c>
      <c r="B504" s="7">
        <v>6.96</v>
      </c>
      <c r="C504" s="9">
        <f t="shared" si="102"/>
        <v>-2.8694424279529316E-3</v>
      </c>
      <c r="D504" s="9">
        <f t="shared" si="103"/>
        <v>-3.2249156463258315E-3</v>
      </c>
      <c r="E504" s="9"/>
      <c r="F504" s="9"/>
      <c r="G504" s="9"/>
      <c r="H504" s="9"/>
      <c r="I504" s="9"/>
      <c r="J504" s="9"/>
      <c r="K504" s="9"/>
      <c r="L504" s="9"/>
      <c r="M504" s="5"/>
      <c r="AJ504" s="2"/>
    </row>
    <row r="505" spans="1:36" x14ac:dyDescent="0.25">
      <c r="A505" s="6">
        <v>40527</v>
      </c>
      <c r="B505" s="7">
        <v>6.8550000000000004</v>
      </c>
      <c r="C505" s="9">
        <f t="shared" si="102"/>
        <v>-1.5201161332050553E-2</v>
      </c>
      <c r="D505" s="9">
        <f t="shared" si="103"/>
        <v>-1.5556634550423453E-2</v>
      </c>
      <c r="E505" s="9"/>
      <c r="F505" s="9"/>
      <c r="G505" s="9"/>
      <c r="H505" s="9"/>
      <c r="I505" s="9"/>
      <c r="J505" s="9"/>
      <c r="K505" s="9"/>
      <c r="L505" s="9"/>
      <c r="M505" s="5"/>
      <c r="AJ505" s="2"/>
    </row>
    <row r="506" spans="1:36" x14ac:dyDescent="0.25">
      <c r="A506" s="6">
        <v>40528</v>
      </c>
      <c r="B506" s="7">
        <v>6.6749999999999998</v>
      </c>
      <c r="C506" s="9">
        <f t="shared" si="102"/>
        <v>-2.6609108727964535E-2</v>
      </c>
      <c r="D506" s="9">
        <f t="shared" si="103"/>
        <v>-2.6964581946337437E-2</v>
      </c>
      <c r="E506" s="9"/>
      <c r="F506" s="9"/>
      <c r="G506" s="9"/>
      <c r="H506" s="9"/>
      <c r="I506" s="9"/>
      <c r="J506" s="9"/>
      <c r="K506" s="9"/>
      <c r="L506" s="9"/>
      <c r="M506" s="5"/>
      <c r="AJ506" s="2"/>
    </row>
    <row r="507" spans="1:36" x14ac:dyDescent="0.25">
      <c r="A507" s="6">
        <v>40529</v>
      </c>
      <c r="B507" s="7">
        <v>6.5149999999999997</v>
      </c>
      <c r="C507" s="9">
        <f t="shared" si="102"/>
        <v>-2.4261993709504756E-2</v>
      </c>
      <c r="D507" s="9">
        <f t="shared" si="103"/>
        <v>-2.4617466927877658E-2</v>
      </c>
      <c r="E507" s="9"/>
      <c r="F507" s="9"/>
      <c r="G507" s="9"/>
      <c r="H507" s="9"/>
      <c r="I507" s="9"/>
      <c r="J507" s="9"/>
      <c r="K507" s="9"/>
      <c r="L507" s="9"/>
      <c r="M507" s="5"/>
      <c r="AJ507" s="2"/>
    </row>
    <row r="508" spans="1:36" x14ac:dyDescent="0.25">
      <c r="A508" s="6">
        <v>40532</v>
      </c>
      <c r="B508" s="7">
        <v>6.73</v>
      </c>
      <c r="C508" s="9">
        <f t="shared" si="102"/>
        <v>3.2467933079828218E-2</v>
      </c>
      <c r="D508" s="9">
        <f t="shared" si="103"/>
        <v>3.211245986145532E-2</v>
      </c>
      <c r="E508" s="9"/>
      <c r="F508" s="9"/>
      <c r="G508" s="9"/>
      <c r="H508" s="9"/>
      <c r="I508" s="9"/>
      <c r="J508" s="9"/>
      <c r="K508" s="9"/>
      <c r="L508" s="9"/>
      <c r="M508" s="5"/>
      <c r="AJ508" s="2"/>
    </row>
    <row r="509" spans="1:36" x14ac:dyDescent="0.25">
      <c r="A509" s="6">
        <v>40533</v>
      </c>
      <c r="B509" s="7">
        <v>6.9050000000000002</v>
      </c>
      <c r="C509" s="9">
        <f t="shared" ref="C509:C572" si="104">LN(B509/B508)</f>
        <v>2.5670643204618915E-2</v>
      </c>
      <c r="D509" s="9">
        <f t="shared" si="103"/>
        <v>2.5315169986246014E-2</v>
      </c>
      <c r="E509" s="9"/>
      <c r="F509" s="9"/>
      <c r="G509" s="9"/>
      <c r="H509" s="9"/>
      <c r="I509" s="9"/>
      <c r="J509" s="9"/>
      <c r="K509" s="9"/>
      <c r="L509" s="9"/>
      <c r="M509" s="5"/>
      <c r="AJ509" s="2"/>
    </row>
    <row r="510" spans="1:36" x14ac:dyDescent="0.25">
      <c r="A510" s="6">
        <v>40534</v>
      </c>
      <c r="B510" s="7">
        <v>6.8650000000000002</v>
      </c>
      <c r="C510" s="9">
        <f t="shared" si="104"/>
        <v>-5.8097476413211018E-3</v>
      </c>
      <c r="D510" s="9">
        <f t="shared" si="103"/>
        <v>-6.1652208596940017E-3</v>
      </c>
      <c r="E510" s="9"/>
      <c r="F510" s="9"/>
      <c r="G510" s="9"/>
      <c r="H510" s="9"/>
      <c r="I510" s="9"/>
      <c r="J510" s="9"/>
      <c r="K510" s="9"/>
      <c r="L510" s="9"/>
      <c r="M510" s="5"/>
      <c r="AJ510" s="2"/>
    </row>
    <row r="511" spans="1:36" x14ac:dyDescent="0.25">
      <c r="A511" s="6">
        <v>40535</v>
      </c>
      <c r="B511" s="7">
        <v>6.85</v>
      </c>
      <c r="C511" s="9">
        <f t="shared" si="104"/>
        <v>-2.1873869458005112E-3</v>
      </c>
      <c r="D511" s="9">
        <f t="shared" si="103"/>
        <v>-2.5428601641734111E-3</v>
      </c>
      <c r="E511" s="9"/>
      <c r="F511" s="9"/>
      <c r="G511" s="9"/>
      <c r="H511" s="9"/>
      <c r="I511" s="9"/>
      <c r="J511" s="9"/>
      <c r="K511" s="9"/>
      <c r="L511" s="9"/>
      <c r="M511" s="5"/>
      <c r="AJ511" s="2"/>
    </row>
    <row r="512" spans="1:36" x14ac:dyDescent="0.25">
      <c r="A512" s="6">
        <v>40539</v>
      </c>
      <c r="B512" s="7">
        <v>6.7750000000000004</v>
      </c>
      <c r="C512" s="9">
        <f t="shared" si="104"/>
        <v>-1.1009285508369255E-2</v>
      </c>
      <c r="D512" s="9">
        <f t="shared" si="103"/>
        <v>-1.1364758726742155E-2</v>
      </c>
      <c r="E512" s="9"/>
      <c r="F512" s="9"/>
      <c r="G512" s="9"/>
      <c r="H512" s="9"/>
      <c r="I512" s="9"/>
      <c r="J512" s="9"/>
      <c r="K512" s="9"/>
      <c r="L512" s="9"/>
      <c r="M512" s="5"/>
      <c r="AJ512" s="2"/>
    </row>
    <row r="513" spans="1:36" x14ac:dyDescent="0.25">
      <c r="A513" s="6">
        <v>40540</v>
      </c>
      <c r="B513" s="7">
        <v>6.7249999999999996</v>
      </c>
      <c r="C513" s="9">
        <f t="shared" si="104"/>
        <v>-7.4074412778619165E-3</v>
      </c>
      <c r="D513" s="9">
        <f t="shared" si="103"/>
        <v>-7.7629144962348164E-3</v>
      </c>
      <c r="E513" s="9"/>
      <c r="F513" s="9"/>
      <c r="G513" s="9"/>
      <c r="H513" s="9"/>
      <c r="I513" s="9"/>
      <c r="J513" s="9"/>
      <c r="K513" s="9"/>
      <c r="L513" s="9"/>
      <c r="M513" s="5"/>
      <c r="AJ513" s="2"/>
    </row>
    <row r="514" spans="1:36" x14ac:dyDescent="0.25">
      <c r="A514" s="6">
        <v>40541</v>
      </c>
      <c r="B514" s="7">
        <v>6.79</v>
      </c>
      <c r="C514" s="9">
        <f t="shared" si="104"/>
        <v>9.6190160827020529E-3</v>
      </c>
      <c r="D514" s="9">
        <f t="shared" si="103"/>
        <v>9.263542864329153E-3</v>
      </c>
      <c r="E514" s="9"/>
      <c r="F514" s="9"/>
      <c r="G514" s="9"/>
      <c r="H514" s="9"/>
      <c r="I514" s="9"/>
      <c r="J514" s="9"/>
      <c r="K514" s="9"/>
      <c r="L514" s="9"/>
      <c r="M514" s="5"/>
      <c r="AJ514" s="2"/>
    </row>
    <row r="515" spans="1:36" x14ac:dyDescent="0.25">
      <c r="A515" s="6">
        <v>40542</v>
      </c>
      <c r="B515" s="7">
        <v>6.66</v>
      </c>
      <c r="C515" s="9">
        <f t="shared" si="104"/>
        <v>-1.9331457018306922E-2</v>
      </c>
      <c r="D515" s="9">
        <f t="shared" si="103"/>
        <v>-1.9686930236679823E-2</v>
      </c>
      <c r="E515" s="9"/>
      <c r="F515" s="9"/>
      <c r="G515" s="9"/>
      <c r="H515" s="9"/>
      <c r="I515" s="9"/>
      <c r="J515" s="9"/>
      <c r="K515" s="9"/>
      <c r="L515" s="9"/>
      <c r="M515" s="5"/>
      <c r="AJ515" s="2"/>
    </row>
    <row r="516" spans="1:36" x14ac:dyDescent="0.25">
      <c r="A516" s="6">
        <v>40546</v>
      </c>
      <c r="B516" s="7">
        <v>6.76</v>
      </c>
      <c r="C516" s="9">
        <f t="shared" si="104"/>
        <v>1.4903405502574948E-2</v>
      </c>
      <c r="D516" s="9">
        <f t="shared" si="103"/>
        <v>1.4547932284202049E-2</v>
      </c>
      <c r="E516" s="9"/>
      <c r="F516" s="9"/>
      <c r="G516" s="9"/>
      <c r="H516" s="9"/>
      <c r="I516" s="9"/>
      <c r="J516" s="9"/>
      <c r="K516" s="9"/>
      <c r="L516" s="9"/>
      <c r="M516" s="5"/>
      <c r="AJ516" s="2"/>
    </row>
    <row r="517" spans="1:36" x14ac:dyDescent="0.25">
      <c r="A517" s="6">
        <v>40547</v>
      </c>
      <c r="B517" s="7">
        <v>6.8100000000000005</v>
      </c>
      <c r="C517" s="9">
        <f t="shared" si="104"/>
        <v>7.3692301065483683E-3</v>
      </c>
      <c r="D517" s="9">
        <f t="shared" si="103"/>
        <v>7.0137568881754684E-3</v>
      </c>
      <c r="E517" s="9"/>
      <c r="F517" s="9"/>
      <c r="G517" s="9"/>
      <c r="H517" s="9"/>
      <c r="I517" s="9"/>
      <c r="J517" s="9"/>
      <c r="K517" s="9"/>
      <c r="L517" s="9"/>
      <c r="M517" s="5"/>
      <c r="AJ517" s="2"/>
    </row>
    <row r="518" spans="1:36" x14ac:dyDescent="0.25">
      <c r="A518" s="6">
        <v>40548</v>
      </c>
      <c r="B518" s="7">
        <v>6.78</v>
      </c>
      <c r="C518" s="9">
        <f t="shared" si="104"/>
        <v>-4.4150182091168312E-3</v>
      </c>
      <c r="D518" s="9">
        <f t="shared" si="103"/>
        <v>-4.7704914274897311E-3</v>
      </c>
      <c r="E518" s="9"/>
      <c r="F518" s="9"/>
      <c r="G518" s="9"/>
      <c r="H518" s="9"/>
      <c r="I518" s="9"/>
      <c r="J518" s="9"/>
      <c r="K518" s="9"/>
      <c r="L518" s="9"/>
      <c r="M518" s="5"/>
      <c r="AJ518" s="2"/>
    </row>
    <row r="519" spans="1:36" x14ac:dyDescent="0.25">
      <c r="A519" s="6">
        <v>40549</v>
      </c>
      <c r="B519" s="7">
        <v>6.835</v>
      </c>
      <c r="C519" s="9">
        <f t="shared" si="104"/>
        <v>8.0793682236086021E-3</v>
      </c>
      <c r="D519" s="9">
        <f t="shared" si="103"/>
        <v>7.7238950052357022E-3</v>
      </c>
      <c r="E519" s="9"/>
      <c r="F519" s="9"/>
      <c r="G519" s="9"/>
      <c r="H519" s="9"/>
      <c r="I519" s="9"/>
      <c r="J519" s="9"/>
      <c r="K519" s="9"/>
      <c r="L519" s="9"/>
      <c r="M519" s="5"/>
      <c r="AJ519" s="2"/>
    </row>
    <row r="520" spans="1:36" x14ac:dyDescent="0.25">
      <c r="A520" s="6">
        <v>40550</v>
      </c>
      <c r="B520" s="7">
        <v>6.7450000000000001</v>
      </c>
      <c r="C520" s="9">
        <f t="shared" si="104"/>
        <v>-1.3254980516193639E-2</v>
      </c>
      <c r="D520" s="9">
        <f t="shared" si="103"/>
        <v>-1.3610453734566539E-2</v>
      </c>
      <c r="E520" s="9"/>
      <c r="F520" s="9"/>
      <c r="G520" s="9"/>
      <c r="H520" s="9"/>
      <c r="I520" s="9"/>
      <c r="J520" s="9"/>
      <c r="K520" s="9"/>
      <c r="L520" s="9"/>
      <c r="M520" s="5"/>
      <c r="AJ520" s="2"/>
    </row>
    <row r="521" spans="1:36" x14ac:dyDescent="0.25">
      <c r="A521" s="6">
        <v>40553</v>
      </c>
      <c r="B521" s="7">
        <v>6.5549999999999997</v>
      </c>
      <c r="C521" s="9">
        <f t="shared" si="104"/>
        <v>-2.8573372444056114E-2</v>
      </c>
      <c r="D521" s="9">
        <f t="shared" si="103"/>
        <v>-2.8928845662429016E-2</v>
      </c>
      <c r="E521" s="9"/>
      <c r="F521" s="9"/>
      <c r="G521" s="9"/>
      <c r="H521" s="9"/>
      <c r="I521" s="9"/>
      <c r="J521" s="9"/>
      <c r="K521" s="9"/>
      <c r="L521" s="9"/>
      <c r="M521" s="5"/>
      <c r="AJ521" s="2"/>
    </row>
    <row r="522" spans="1:36" x14ac:dyDescent="0.25">
      <c r="A522" s="6">
        <v>40554</v>
      </c>
      <c r="B522" s="7">
        <v>6.73</v>
      </c>
      <c r="C522" s="9">
        <f t="shared" si="104"/>
        <v>2.6347026440973295E-2</v>
      </c>
      <c r="D522" s="9">
        <f t="shared" si="103"/>
        <v>2.5991553222600394E-2</v>
      </c>
      <c r="E522" s="9"/>
      <c r="F522" s="9"/>
      <c r="G522" s="9"/>
      <c r="H522" s="9"/>
      <c r="I522" s="9"/>
      <c r="J522" s="9"/>
      <c r="K522" s="9"/>
      <c r="L522" s="9"/>
      <c r="M522" s="5"/>
      <c r="AJ522" s="2"/>
    </row>
    <row r="523" spans="1:36" x14ac:dyDescent="0.25">
      <c r="A523" s="6">
        <v>40555</v>
      </c>
      <c r="B523" s="7">
        <v>7.03</v>
      </c>
      <c r="C523" s="9">
        <f t="shared" si="104"/>
        <v>4.3611562165937159E-2</v>
      </c>
      <c r="D523" s="9">
        <f t="shared" si="103"/>
        <v>4.3256088947564261E-2</v>
      </c>
      <c r="E523" s="9"/>
      <c r="F523" s="9"/>
      <c r="G523" s="9"/>
      <c r="H523" s="9"/>
      <c r="I523" s="9"/>
      <c r="J523" s="9"/>
      <c r="K523" s="9"/>
      <c r="L523" s="9"/>
      <c r="M523" s="5"/>
      <c r="AJ523" s="2"/>
    </row>
    <row r="524" spans="1:36" x14ac:dyDescent="0.25">
      <c r="A524" s="6">
        <v>40556</v>
      </c>
      <c r="B524" s="7">
        <v>7.2350000000000003</v>
      </c>
      <c r="C524" s="9">
        <f t="shared" si="104"/>
        <v>2.8743654260873632E-2</v>
      </c>
      <c r="D524" s="9">
        <f t="shared" si="103"/>
        <v>2.8388181042500731E-2</v>
      </c>
      <c r="E524" s="9"/>
      <c r="F524" s="9"/>
      <c r="G524" s="9"/>
      <c r="H524" s="9"/>
      <c r="I524" s="9"/>
      <c r="J524" s="9"/>
      <c r="K524" s="9"/>
      <c r="L524" s="9"/>
      <c r="M524" s="5"/>
      <c r="AJ524" s="2"/>
    </row>
    <row r="525" spans="1:36" x14ac:dyDescent="0.25">
      <c r="A525" s="6">
        <v>40557</v>
      </c>
      <c r="B525" s="7">
        <v>7.22</v>
      </c>
      <c r="C525" s="9">
        <f t="shared" si="104"/>
        <v>-2.0754071787124182E-3</v>
      </c>
      <c r="D525" s="9">
        <f t="shared" si="103"/>
        <v>-2.430880397085318E-3</v>
      </c>
      <c r="E525" s="9"/>
      <c r="F525" s="9"/>
      <c r="G525" s="9"/>
      <c r="H525" s="9"/>
      <c r="I525" s="9"/>
      <c r="J525" s="9"/>
      <c r="K525" s="9"/>
      <c r="L525" s="9"/>
      <c r="M525" s="5"/>
      <c r="AJ525" s="2"/>
    </row>
    <row r="526" spans="1:36" x14ac:dyDescent="0.25">
      <c r="A526" s="6">
        <v>40560</v>
      </c>
      <c r="B526" s="7">
        <v>7.12</v>
      </c>
      <c r="C526" s="9">
        <f t="shared" si="104"/>
        <v>-1.3947227480850441E-2</v>
      </c>
      <c r="D526" s="9">
        <f t="shared" si="103"/>
        <v>-1.430270069922334E-2</v>
      </c>
      <c r="E526" s="9"/>
      <c r="F526" s="9"/>
      <c r="G526" s="9"/>
      <c r="H526" s="9"/>
      <c r="I526" s="9"/>
      <c r="J526" s="9"/>
      <c r="K526" s="9"/>
      <c r="L526" s="9"/>
      <c r="M526" s="5"/>
      <c r="AJ526" s="2"/>
    </row>
    <row r="527" spans="1:36" x14ac:dyDescent="0.25">
      <c r="A527" s="6">
        <v>40561</v>
      </c>
      <c r="B527" s="7">
        <v>7.2</v>
      </c>
      <c r="C527" s="9">
        <f t="shared" si="104"/>
        <v>1.1173300598125255E-2</v>
      </c>
      <c r="D527" s="9">
        <f t="shared" si="103"/>
        <v>1.0817827379752355E-2</v>
      </c>
      <c r="E527" s="9"/>
      <c r="F527" s="9"/>
      <c r="G527" s="9"/>
      <c r="H527" s="9"/>
      <c r="I527" s="9"/>
      <c r="J527" s="9"/>
      <c r="K527" s="9"/>
      <c r="L527" s="9"/>
      <c r="M527" s="5"/>
      <c r="AJ527" s="2"/>
    </row>
    <row r="528" spans="1:36" x14ac:dyDescent="0.25">
      <c r="A528" s="6">
        <v>40562</v>
      </c>
      <c r="B528" s="7">
        <v>7.38</v>
      </c>
      <c r="C528" s="9">
        <f t="shared" si="104"/>
        <v>2.4692612590371414E-2</v>
      </c>
      <c r="D528" s="9">
        <f t="shared" si="103"/>
        <v>2.4337139371998513E-2</v>
      </c>
      <c r="E528" s="9"/>
      <c r="F528" s="9"/>
      <c r="G528" s="9"/>
      <c r="H528" s="9"/>
      <c r="I528" s="9"/>
      <c r="J528" s="9"/>
      <c r="K528" s="9"/>
      <c r="L528" s="9"/>
      <c r="M528" s="5"/>
      <c r="AJ528" s="2"/>
    </row>
    <row r="529" spans="1:36" x14ac:dyDescent="0.25">
      <c r="A529" s="6">
        <v>40563</v>
      </c>
      <c r="B529" s="7">
        <v>7.43</v>
      </c>
      <c r="C529" s="9">
        <f t="shared" si="104"/>
        <v>6.7522201172866506E-3</v>
      </c>
      <c r="D529" s="9">
        <f t="shared" si="103"/>
        <v>6.3967468989137508E-3</v>
      </c>
      <c r="E529" s="9"/>
      <c r="F529" s="9"/>
      <c r="G529" s="9"/>
      <c r="H529" s="9"/>
      <c r="I529" s="9"/>
      <c r="J529" s="9"/>
      <c r="K529" s="9"/>
      <c r="L529" s="9"/>
      <c r="M529" s="5"/>
      <c r="AJ529" s="2"/>
    </row>
    <row r="530" spans="1:36" x14ac:dyDescent="0.25">
      <c r="A530" s="6">
        <v>40564</v>
      </c>
      <c r="B530" s="7">
        <v>7.44</v>
      </c>
      <c r="C530" s="9">
        <f t="shared" si="104"/>
        <v>1.3449901153328341E-3</v>
      </c>
      <c r="D530" s="9">
        <f t="shared" si="103"/>
        <v>9.8951689695993424E-4</v>
      </c>
      <c r="E530" s="9"/>
      <c r="F530" s="9"/>
      <c r="G530" s="9"/>
      <c r="H530" s="9"/>
      <c r="I530" s="9"/>
      <c r="J530" s="9"/>
      <c r="K530" s="9"/>
      <c r="L530" s="9"/>
      <c r="M530" s="5"/>
      <c r="AJ530" s="2"/>
    </row>
    <row r="531" spans="1:36" x14ac:dyDescent="0.25">
      <c r="A531" s="6">
        <v>40567</v>
      </c>
      <c r="B531" s="7">
        <v>7.4950000000000001</v>
      </c>
      <c r="C531" s="9">
        <f t="shared" si="104"/>
        <v>7.3652827095604676E-3</v>
      </c>
      <c r="D531" s="9">
        <f t="shared" si="103"/>
        <v>7.0098094911875677E-3</v>
      </c>
      <c r="E531" s="9"/>
      <c r="F531" s="9"/>
      <c r="G531" s="9"/>
      <c r="H531" s="9"/>
      <c r="I531" s="9"/>
      <c r="J531" s="9"/>
      <c r="K531" s="9"/>
      <c r="L531" s="9"/>
      <c r="M531" s="5"/>
      <c r="AJ531" s="2"/>
    </row>
    <row r="532" spans="1:36" x14ac:dyDescent="0.25">
      <c r="A532" s="6">
        <v>40568</v>
      </c>
      <c r="B532" s="7">
        <v>7.3550000000000004</v>
      </c>
      <c r="C532" s="9">
        <f t="shared" si="104"/>
        <v>-1.8855777501160093E-2</v>
      </c>
      <c r="D532" s="9">
        <f t="shared" si="103"/>
        <v>-1.9211250719532995E-2</v>
      </c>
      <c r="E532" s="9"/>
      <c r="F532" s="9"/>
      <c r="G532" s="9"/>
      <c r="H532" s="9"/>
      <c r="I532" s="9"/>
      <c r="J532" s="9"/>
      <c r="K532" s="9"/>
      <c r="L532" s="9"/>
      <c r="M532" s="5"/>
      <c r="AJ532" s="2"/>
    </row>
    <row r="533" spans="1:36" x14ac:dyDescent="0.25">
      <c r="A533" s="6">
        <v>40569</v>
      </c>
      <c r="B533" s="7">
        <v>7.37</v>
      </c>
      <c r="C533" s="9">
        <f t="shared" si="104"/>
        <v>2.037352147844452E-3</v>
      </c>
      <c r="D533" s="9">
        <f t="shared" ref="D533:D596" si="105">C533-$C$59/252</f>
        <v>1.6818789294715522E-3</v>
      </c>
      <c r="E533" s="9"/>
      <c r="F533" s="9"/>
      <c r="G533" s="9"/>
      <c r="H533" s="9"/>
      <c r="I533" s="9"/>
      <c r="J533" s="9"/>
      <c r="K533" s="9"/>
      <c r="L533" s="9"/>
      <c r="M533" s="5"/>
      <c r="AJ533" s="2"/>
    </row>
    <row r="534" spans="1:36" x14ac:dyDescent="0.25">
      <c r="A534" s="6">
        <v>40570</v>
      </c>
      <c r="B534" s="7">
        <v>7.5049999999999999</v>
      </c>
      <c r="C534" s="9">
        <f t="shared" si="104"/>
        <v>1.8151758884179903E-2</v>
      </c>
      <c r="D534" s="9">
        <f t="shared" si="105"/>
        <v>1.7796285665807002E-2</v>
      </c>
      <c r="E534" s="9"/>
      <c r="F534" s="9"/>
      <c r="G534" s="9"/>
      <c r="H534" s="9"/>
      <c r="I534" s="9"/>
      <c r="J534" s="9"/>
      <c r="K534" s="9"/>
      <c r="L534" s="9"/>
      <c r="M534" s="5"/>
      <c r="AJ534" s="2"/>
    </row>
    <row r="535" spans="1:36" x14ac:dyDescent="0.25">
      <c r="A535" s="6">
        <v>40571</v>
      </c>
      <c r="B535" s="7">
        <v>7.4349999999999996</v>
      </c>
      <c r="C535" s="9">
        <f t="shared" si="104"/>
        <v>-9.3708851733068661E-3</v>
      </c>
      <c r="D535" s="9">
        <f t="shared" si="105"/>
        <v>-9.7263583916797659E-3</v>
      </c>
      <c r="E535" s="9"/>
      <c r="F535" s="9"/>
      <c r="G535" s="9"/>
      <c r="H535" s="9"/>
      <c r="I535" s="9"/>
      <c r="J535" s="9"/>
      <c r="K535" s="9"/>
      <c r="L535" s="9"/>
      <c r="M535" s="5"/>
      <c r="AJ535" s="2"/>
    </row>
    <row r="536" spans="1:36" x14ac:dyDescent="0.25">
      <c r="A536" s="6">
        <v>40574</v>
      </c>
      <c r="B536" s="7">
        <v>7.38</v>
      </c>
      <c r="C536" s="9">
        <f t="shared" si="104"/>
        <v>-7.4249412997371795E-3</v>
      </c>
      <c r="D536" s="9">
        <f t="shared" si="105"/>
        <v>-7.7804145181100794E-3</v>
      </c>
      <c r="E536" s="9"/>
      <c r="F536" s="9"/>
      <c r="G536" s="9"/>
      <c r="H536" s="9"/>
      <c r="I536" s="9"/>
      <c r="J536" s="9"/>
      <c r="K536" s="9"/>
      <c r="L536" s="9"/>
      <c r="M536" s="5"/>
      <c r="AJ536" s="2"/>
    </row>
    <row r="537" spans="1:36" x14ac:dyDescent="0.25">
      <c r="A537" s="6">
        <v>40575</v>
      </c>
      <c r="B537" s="7">
        <v>7.53</v>
      </c>
      <c r="C537" s="9">
        <f t="shared" si="104"/>
        <v>2.0121403199421028E-2</v>
      </c>
      <c r="D537" s="9">
        <f t="shared" si="105"/>
        <v>1.9765929981048126E-2</v>
      </c>
      <c r="E537" s="9"/>
      <c r="F537" s="9"/>
      <c r="G537" s="9"/>
      <c r="H537" s="9"/>
      <c r="I537" s="9"/>
      <c r="J537" s="9"/>
      <c r="K537" s="9"/>
      <c r="L537" s="9"/>
      <c r="M537" s="5"/>
      <c r="AJ537" s="2"/>
    </row>
    <row r="538" spans="1:36" x14ac:dyDescent="0.25">
      <c r="A538" s="6">
        <v>40576</v>
      </c>
      <c r="B538" s="7">
        <v>7.6550000000000002</v>
      </c>
      <c r="C538" s="9">
        <f t="shared" si="104"/>
        <v>1.6463987297844852E-2</v>
      </c>
      <c r="D538" s="9">
        <f t="shared" si="105"/>
        <v>1.6108514079471951E-2</v>
      </c>
      <c r="E538" s="9"/>
      <c r="F538" s="9"/>
      <c r="G538" s="9"/>
      <c r="H538" s="9"/>
      <c r="I538" s="9"/>
      <c r="J538" s="9"/>
      <c r="K538" s="9"/>
      <c r="L538" s="9"/>
      <c r="M538" s="5"/>
      <c r="AJ538" s="2"/>
    </row>
    <row r="539" spans="1:36" x14ac:dyDescent="0.25">
      <c r="A539" s="6">
        <v>40577</v>
      </c>
      <c r="B539" s="7">
        <v>7.665</v>
      </c>
      <c r="C539" s="9">
        <f t="shared" si="104"/>
        <v>1.305483214130296E-3</v>
      </c>
      <c r="D539" s="9">
        <f t="shared" si="105"/>
        <v>9.5000999575739617E-4</v>
      </c>
      <c r="E539" s="9"/>
      <c r="F539" s="9"/>
      <c r="G539" s="9"/>
      <c r="H539" s="9"/>
      <c r="I539" s="9"/>
      <c r="J539" s="9"/>
      <c r="K539" s="9"/>
      <c r="L539" s="9"/>
      <c r="M539" s="5"/>
      <c r="AJ539" s="2"/>
    </row>
    <row r="540" spans="1:36" x14ac:dyDescent="0.25">
      <c r="A540" s="6">
        <v>40578</v>
      </c>
      <c r="B540" s="7">
        <v>7.77</v>
      </c>
      <c r="C540" s="9">
        <f t="shared" si="104"/>
        <v>1.3605652055778459E-2</v>
      </c>
      <c r="D540" s="9">
        <f t="shared" si="105"/>
        <v>1.3250178837405559E-2</v>
      </c>
      <c r="E540" s="9"/>
      <c r="F540" s="9"/>
      <c r="G540" s="9"/>
      <c r="H540" s="9"/>
      <c r="I540" s="9"/>
      <c r="J540" s="9"/>
      <c r="K540" s="9"/>
      <c r="L540" s="9"/>
      <c r="M540" s="5"/>
      <c r="AJ540" s="2"/>
    </row>
    <row r="541" spans="1:36" x14ac:dyDescent="0.25">
      <c r="A541" s="6">
        <v>40581</v>
      </c>
      <c r="B541" s="7">
        <v>8.01</v>
      </c>
      <c r="C541" s="9">
        <f t="shared" si="104"/>
        <v>3.0420596700711719E-2</v>
      </c>
      <c r="D541" s="9">
        <f t="shared" si="105"/>
        <v>3.0065123482338817E-2</v>
      </c>
      <c r="E541" s="9"/>
      <c r="F541" s="9"/>
      <c r="G541" s="9"/>
      <c r="H541" s="9"/>
      <c r="I541" s="9"/>
      <c r="J541" s="9"/>
      <c r="K541" s="9"/>
      <c r="L541" s="9"/>
      <c r="M541" s="5"/>
      <c r="AJ541" s="2"/>
    </row>
    <row r="542" spans="1:36" x14ac:dyDescent="0.25">
      <c r="A542" s="6">
        <v>40582</v>
      </c>
      <c r="B542" s="7">
        <v>7.9850000000000003</v>
      </c>
      <c r="C542" s="9">
        <f t="shared" si="104"/>
        <v>-3.1259794132919932E-3</v>
      </c>
      <c r="D542" s="9">
        <f t="shared" si="105"/>
        <v>-3.481452631664893E-3</v>
      </c>
      <c r="E542" s="9"/>
      <c r="F542" s="9"/>
      <c r="G542" s="9"/>
      <c r="H542" s="9"/>
      <c r="I542" s="9"/>
      <c r="J542" s="9"/>
      <c r="K542" s="9"/>
      <c r="L542" s="9"/>
      <c r="M542" s="5"/>
      <c r="AJ542" s="2"/>
    </row>
    <row r="543" spans="1:36" x14ac:dyDescent="0.25">
      <c r="A543" s="6">
        <v>40583</v>
      </c>
      <c r="B543" s="7">
        <v>7.8449999999999998</v>
      </c>
      <c r="C543" s="9">
        <f t="shared" si="104"/>
        <v>-1.768839548197992E-2</v>
      </c>
      <c r="D543" s="9">
        <f t="shared" si="105"/>
        <v>-1.8043868700352822E-2</v>
      </c>
      <c r="E543" s="9"/>
      <c r="F543" s="9"/>
      <c r="G543" s="9"/>
      <c r="H543" s="9"/>
      <c r="I543" s="9"/>
      <c r="J543" s="9"/>
      <c r="K543" s="9"/>
      <c r="L543" s="9"/>
      <c r="M543" s="5"/>
      <c r="AJ543" s="2"/>
    </row>
    <row r="544" spans="1:36" x14ac:dyDescent="0.25">
      <c r="A544" s="6">
        <v>40584</v>
      </c>
      <c r="B544" s="7">
        <v>7.7549999999999999</v>
      </c>
      <c r="C544" s="9">
        <f t="shared" si="104"/>
        <v>-1.153858955649378E-2</v>
      </c>
      <c r="D544" s="9">
        <f t="shared" si="105"/>
        <v>-1.189406277486668E-2</v>
      </c>
      <c r="E544" s="9"/>
      <c r="F544" s="9"/>
      <c r="G544" s="9"/>
      <c r="H544" s="9"/>
      <c r="I544" s="9"/>
      <c r="J544" s="9"/>
      <c r="K544" s="9"/>
      <c r="L544" s="9"/>
      <c r="M544" s="5"/>
      <c r="AJ544" s="2"/>
    </row>
    <row r="545" spans="1:36" x14ac:dyDescent="0.25">
      <c r="A545" s="6">
        <v>40585</v>
      </c>
      <c r="B545" s="7">
        <v>7.8</v>
      </c>
      <c r="C545" s="9">
        <f t="shared" si="104"/>
        <v>5.7859370670439265E-3</v>
      </c>
      <c r="D545" s="9">
        <f t="shared" si="105"/>
        <v>5.4304638486710266E-3</v>
      </c>
      <c r="E545" s="9"/>
      <c r="F545" s="9"/>
      <c r="G545" s="9"/>
      <c r="H545" s="9"/>
      <c r="I545" s="9"/>
      <c r="J545" s="9"/>
      <c r="K545" s="9"/>
      <c r="L545" s="9"/>
      <c r="M545" s="5"/>
      <c r="AJ545" s="2"/>
    </row>
    <row r="546" spans="1:36" x14ac:dyDescent="0.25">
      <c r="A546" s="6">
        <v>40588</v>
      </c>
      <c r="B546" s="7">
        <v>7.7750000000000004</v>
      </c>
      <c r="C546" s="9">
        <f t="shared" si="104"/>
        <v>-3.2102756302480988E-3</v>
      </c>
      <c r="D546" s="9">
        <f t="shared" si="105"/>
        <v>-3.5657488486209987E-3</v>
      </c>
      <c r="E546" s="9"/>
      <c r="F546" s="9"/>
      <c r="G546" s="9"/>
      <c r="H546" s="9"/>
      <c r="I546" s="9"/>
      <c r="J546" s="9"/>
      <c r="K546" s="9"/>
      <c r="L546" s="9"/>
      <c r="M546" s="5"/>
      <c r="AJ546" s="2"/>
    </row>
    <row r="547" spans="1:36" x14ac:dyDescent="0.25">
      <c r="A547" s="6">
        <v>40589</v>
      </c>
      <c r="B547" s="7">
        <v>7.91</v>
      </c>
      <c r="C547" s="9">
        <f t="shared" si="104"/>
        <v>1.7214323714264634E-2</v>
      </c>
      <c r="D547" s="9">
        <f t="shared" si="105"/>
        <v>1.6858850495891732E-2</v>
      </c>
      <c r="E547" s="9"/>
      <c r="F547" s="9"/>
      <c r="G547" s="9"/>
      <c r="H547" s="9"/>
      <c r="I547" s="9"/>
      <c r="J547" s="9"/>
      <c r="K547" s="9"/>
      <c r="L547" s="9"/>
      <c r="M547" s="5"/>
      <c r="AJ547" s="2"/>
    </row>
    <row r="548" spans="1:36" x14ac:dyDescent="0.25">
      <c r="A548" s="6">
        <v>40590</v>
      </c>
      <c r="B548" s="7">
        <v>7.9399999999999995</v>
      </c>
      <c r="C548" s="9">
        <f t="shared" si="104"/>
        <v>3.7854934794816649E-3</v>
      </c>
      <c r="D548" s="9">
        <f t="shared" si="105"/>
        <v>3.430020261108765E-3</v>
      </c>
      <c r="E548" s="9"/>
      <c r="F548" s="9"/>
      <c r="G548" s="9"/>
      <c r="H548" s="9"/>
      <c r="I548" s="9"/>
      <c r="J548" s="9"/>
      <c r="K548" s="9"/>
      <c r="L548" s="9"/>
      <c r="M548" s="5"/>
      <c r="AJ548" s="2"/>
    </row>
    <row r="549" spans="1:36" x14ac:dyDescent="0.25">
      <c r="A549" s="6">
        <v>40591</v>
      </c>
      <c r="B549" s="7">
        <v>7.9050000000000002</v>
      </c>
      <c r="C549" s="9">
        <f t="shared" si="104"/>
        <v>-4.4178045976088738E-3</v>
      </c>
      <c r="D549" s="9">
        <f t="shared" si="105"/>
        <v>-4.7732778159817737E-3</v>
      </c>
      <c r="E549" s="9"/>
      <c r="F549" s="9"/>
      <c r="G549" s="9"/>
      <c r="H549" s="9"/>
      <c r="I549" s="9"/>
      <c r="J549" s="9"/>
      <c r="K549" s="9"/>
      <c r="L549" s="9"/>
      <c r="M549" s="5"/>
      <c r="AJ549" s="2"/>
    </row>
    <row r="550" spans="1:36" x14ac:dyDescent="0.25">
      <c r="A550" s="6">
        <v>40592</v>
      </c>
      <c r="B550" s="7">
        <v>7.8949999999999996</v>
      </c>
      <c r="C550" s="9">
        <f t="shared" si="104"/>
        <v>-1.2658229538299978E-3</v>
      </c>
      <c r="D550" s="9">
        <f t="shared" si="105"/>
        <v>-1.6212961722028977E-3</v>
      </c>
      <c r="E550" s="9"/>
      <c r="F550" s="9"/>
      <c r="G550" s="9"/>
      <c r="H550" s="9"/>
      <c r="I550" s="9"/>
      <c r="J550" s="9"/>
      <c r="K550" s="9"/>
      <c r="L550" s="9"/>
      <c r="M550" s="5"/>
      <c r="AJ550" s="2"/>
    </row>
    <row r="551" spans="1:36" x14ac:dyDescent="0.25">
      <c r="A551" s="6">
        <v>40595</v>
      </c>
      <c r="B551" s="7">
        <v>7.54</v>
      </c>
      <c r="C551" s="9">
        <f t="shared" si="104"/>
        <v>-4.6007465687740702E-2</v>
      </c>
      <c r="D551" s="9">
        <f t="shared" si="105"/>
        <v>-4.63629389061136E-2</v>
      </c>
      <c r="E551" s="9"/>
      <c r="F551" s="9"/>
      <c r="G551" s="9"/>
      <c r="H551" s="9"/>
      <c r="I551" s="9"/>
      <c r="J551" s="9"/>
      <c r="K551" s="9"/>
      <c r="L551" s="9"/>
      <c r="M551" s="5"/>
      <c r="AJ551" s="2"/>
    </row>
    <row r="552" spans="1:36" x14ac:dyDescent="0.25">
      <c r="A552" s="6">
        <v>40596</v>
      </c>
      <c r="B552" s="7">
        <v>7.4249999999999998</v>
      </c>
      <c r="C552" s="9">
        <f t="shared" si="104"/>
        <v>-1.5369497331101416E-2</v>
      </c>
      <c r="D552" s="9">
        <f t="shared" si="105"/>
        <v>-1.5724970549474318E-2</v>
      </c>
      <c r="E552" s="9"/>
      <c r="F552" s="9"/>
      <c r="G552" s="9"/>
      <c r="H552" s="9"/>
      <c r="I552" s="9"/>
      <c r="J552" s="9"/>
      <c r="K552" s="9"/>
      <c r="L552" s="9"/>
      <c r="M552" s="5"/>
      <c r="AJ552" s="2"/>
    </row>
    <row r="553" spans="1:36" x14ac:dyDescent="0.25">
      <c r="A553" s="6">
        <v>40597</v>
      </c>
      <c r="B553" s="7">
        <v>7.375</v>
      </c>
      <c r="C553" s="9">
        <f t="shared" si="104"/>
        <v>-6.7567824628797625E-3</v>
      </c>
      <c r="D553" s="9">
        <f t="shared" si="105"/>
        <v>-7.1122556812526624E-3</v>
      </c>
      <c r="E553" s="9"/>
      <c r="F553" s="9"/>
      <c r="G553" s="9"/>
      <c r="H553" s="9"/>
      <c r="I553" s="9"/>
      <c r="J553" s="9"/>
      <c r="K553" s="9"/>
      <c r="L553" s="9"/>
      <c r="M553" s="5"/>
      <c r="AJ553" s="2"/>
    </row>
    <row r="554" spans="1:36" x14ac:dyDescent="0.25">
      <c r="A554" s="6">
        <v>40598</v>
      </c>
      <c r="B554" s="7">
        <v>7.3849999999999998</v>
      </c>
      <c r="C554" s="9">
        <f t="shared" si="104"/>
        <v>1.3550137574595796E-3</v>
      </c>
      <c r="D554" s="9">
        <f t="shared" si="105"/>
        <v>9.9954053908667974E-4</v>
      </c>
      <c r="E554" s="9"/>
      <c r="F554" s="9"/>
      <c r="G554" s="9"/>
      <c r="H554" s="9"/>
      <c r="I554" s="9"/>
      <c r="J554" s="9"/>
      <c r="K554" s="9"/>
      <c r="L554" s="9"/>
      <c r="M554" s="5"/>
      <c r="AJ554" s="2"/>
    </row>
    <row r="555" spans="1:36" x14ac:dyDescent="0.25">
      <c r="A555" s="6">
        <v>40599</v>
      </c>
      <c r="B555" s="7">
        <v>7.665</v>
      </c>
      <c r="C555" s="9">
        <f t="shared" si="104"/>
        <v>3.7213596340434273E-2</v>
      </c>
      <c r="D555" s="9">
        <f t="shared" si="105"/>
        <v>3.6858123122061374E-2</v>
      </c>
      <c r="E555" s="9"/>
      <c r="F555" s="9"/>
      <c r="G555" s="9"/>
      <c r="H555" s="9"/>
      <c r="I555" s="9"/>
      <c r="J555" s="9"/>
      <c r="K555" s="9"/>
      <c r="L555" s="9"/>
      <c r="M555" s="5"/>
      <c r="AJ555" s="2"/>
    </row>
    <row r="556" spans="1:36" x14ac:dyDescent="0.25">
      <c r="A556" s="6">
        <v>40602</v>
      </c>
      <c r="B556" s="7">
        <v>7.67</v>
      </c>
      <c r="C556" s="9">
        <f t="shared" si="104"/>
        <v>6.5210305538742589E-4</v>
      </c>
      <c r="D556" s="9">
        <f t="shared" si="105"/>
        <v>2.9662983701452596E-4</v>
      </c>
      <c r="E556" s="9"/>
      <c r="F556" s="9"/>
      <c r="G556" s="9"/>
      <c r="H556" s="9"/>
      <c r="I556" s="9"/>
      <c r="J556" s="9"/>
      <c r="K556" s="9"/>
      <c r="L556" s="9"/>
      <c r="M556" s="5"/>
      <c r="AJ556" s="2"/>
    </row>
    <row r="557" spans="1:36" x14ac:dyDescent="0.25">
      <c r="A557" s="6">
        <v>40603</v>
      </c>
      <c r="B557" s="7">
        <v>7.6</v>
      </c>
      <c r="C557" s="9">
        <f t="shared" si="104"/>
        <v>-9.1683680868794425E-3</v>
      </c>
      <c r="D557" s="9">
        <f t="shared" si="105"/>
        <v>-9.5238413052523424E-3</v>
      </c>
      <c r="E557" s="9"/>
      <c r="F557" s="9"/>
      <c r="G557" s="9"/>
      <c r="H557" s="9"/>
      <c r="I557" s="9"/>
      <c r="J557" s="9"/>
      <c r="K557" s="9"/>
      <c r="L557" s="9"/>
      <c r="M557" s="5"/>
      <c r="AJ557" s="2"/>
    </row>
    <row r="558" spans="1:36" x14ac:dyDescent="0.25">
      <c r="A558" s="6">
        <v>40604</v>
      </c>
      <c r="B558" s="7">
        <v>7.665</v>
      </c>
      <c r="C558" s="9">
        <f t="shared" si="104"/>
        <v>8.5162650314921616E-3</v>
      </c>
      <c r="D558" s="9">
        <f t="shared" si="105"/>
        <v>8.1607918131192617E-3</v>
      </c>
      <c r="E558" s="9"/>
      <c r="F558" s="9"/>
      <c r="G558" s="9"/>
      <c r="H558" s="9"/>
      <c r="I558" s="9"/>
      <c r="J558" s="9"/>
      <c r="K558" s="9"/>
      <c r="L558" s="9"/>
      <c r="M558" s="5"/>
      <c r="AJ558" s="2"/>
    </row>
    <row r="559" spans="1:36" x14ac:dyDescent="0.25">
      <c r="A559" s="6">
        <v>40605</v>
      </c>
      <c r="B559" s="7">
        <v>7.6150000000000002</v>
      </c>
      <c r="C559" s="9">
        <f t="shared" si="104"/>
        <v>-6.5445259766523144E-3</v>
      </c>
      <c r="D559" s="9">
        <f t="shared" si="105"/>
        <v>-6.8999991950252143E-3</v>
      </c>
      <c r="E559" s="9"/>
      <c r="F559" s="9"/>
      <c r="G559" s="9"/>
      <c r="H559" s="9"/>
      <c r="I559" s="9"/>
      <c r="J559" s="9"/>
      <c r="K559" s="9"/>
      <c r="L559" s="9"/>
      <c r="M559" s="5"/>
      <c r="AJ559" s="2"/>
    </row>
    <row r="560" spans="1:36" x14ac:dyDescent="0.25">
      <c r="A560" s="6">
        <v>40606</v>
      </c>
      <c r="B560" s="7">
        <v>7.5750000000000002</v>
      </c>
      <c r="C560" s="9">
        <f t="shared" si="104"/>
        <v>-5.2666349516923457E-3</v>
      </c>
      <c r="D560" s="9">
        <f t="shared" si="105"/>
        <v>-5.6221081700652455E-3</v>
      </c>
      <c r="E560" s="9"/>
      <c r="F560" s="9"/>
      <c r="G560" s="9"/>
      <c r="H560" s="9"/>
      <c r="I560" s="9"/>
      <c r="J560" s="9"/>
      <c r="K560" s="9"/>
      <c r="L560" s="9"/>
      <c r="M560" s="5"/>
      <c r="AJ560" s="2"/>
    </row>
    <row r="561" spans="1:36" x14ac:dyDescent="0.25">
      <c r="A561" s="6">
        <v>40609</v>
      </c>
      <c r="B561" s="7">
        <v>7.57</v>
      </c>
      <c r="C561" s="9">
        <f t="shared" si="104"/>
        <v>-6.6028394607539468E-4</v>
      </c>
      <c r="D561" s="9">
        <f t="shared" si="105"/>
        <v>-1.0157571644482946E-3</v>
      </c>
      <c r="E561" s="9"/>
      <c r="F561" s="9"/>
      <c r="G561" s="9"/>
      <c r="H561" s="9"/>
      <c r="I561" s="9"/>
      <c r="J561" s="9"/>
      <c r="K561" s="9"/>
      <c r="L561" s="9"/>
      <c r="M561" s="5"/>
      <c r="AJ561" s="2"/>
    </row>
    <row r="562" spans="1:36" x14ac:dyDescent="0.25">
      <c r="A562" s="6">
        <v>40610</v>
      </c>
      <c r="B562" s="7">
        <v>7.61</v>
      </c>
      <c r="C562" s="9">
        <f t="shared" si="104"/>
        <v>5.2701044242370234E-3</v>
      </c>
      <c r="D562" s="9">
        <f t="shared" si="105"/>
        <v>4.9146312058641235E-3</v>
      </c>
      <c r="E562" s="9"/>
      <c r="F562" s="9"/>
      <c r="G562" s="9"/>
      <c r="H562" s="9"/>
      <c r="I562" s="9"/>
      <c r="J562" s="9"/>
      <c r="K562" s="9"/>
      <c r="L562" s="9"/>
      <c r="M562" s="5"/>
      <c r="AJ562" s="2"/>
    </row>
    <row r="563" spans="1:36" x14ac:dyDescent="0.25">
      <c r="A563" s="6">
        <v>40611</v>
      </c>
      <c r="B563" s="7">
        <v>7.62</v>
      </c>
      <c r="C563" s="9">
        <f t="shared" si="104"/>
        <v>1.3131978249603929E-3</v>
      </c>
      <c r="D563" s="9">
        <f t="shared" si="105"/>
        <v>9.5772460658749298E-4</v>
      </c>
      <c r="E563" s="9"/>
      <c r="F563" s="9"/>
      <c r="G563" s="9"/>
      <c r="H563" s="9"/>
      <c r="I563" s="9"/>
      <c r="J563" s="9"/>
      <c r="K563" s="9"/>
      <c r="L563" s="9"/>
      <c r="M563" s="5"/>
      <c r="AJ563" s="2"/>
    </row>
    <row r="564" spans="1:36" x14ac:dyDescent="0.25">
      <c r="A564" s="6">
        <v>40612</v>
      </c>
      <c r="B564" s="7">
        <v>7.5</v>
      </c>
      <c r="C564" s="9">
        <f t="shared" si="104"/>
        <v>-1.5873349156290122E-2</v>
      </c>
      <c r="D564" s="9">
        <f t="shared" si="105"/>
        <v>-1.6228822374663023E-2</v>
      </c>
      <c r="E564" s="9"/>
      <c r="F564" s="9"/>
      <c r="G564" s="9"/>
      <c r="H564" s="9"/>
      <c r="I564" s="9"/>
      <c r="J564" s="9"/>
      <c r="K564" s="9"/>
      <c r="L564" s="9"/>
      <c r="M564" s="5"/>
      <c r="AJ564" s="2"/>
    </row>
    <row r="565" spans="1:36" x14ac:dyDescent="0.25">
      <c r="A565" s="6">
        <v>40613</v>
      </c>
      <c r="B565" s="7">
        <v>7.43</v>
      </c>
      <c r="C565" s="9">
        <f t="shared" si="104"/>
        <v>-9.3771618125970436E-3</v>
      </c>
      <c r="D565" s="9">
        <f t="shared" si="105"/>
        <v>-9.7326350309699435E-3</v>
      </c>
      <c r="E565" s="9"/>
      <c r="F565" s="9"/>
      <c r="G565" s="9"/>
      <c r="H565" s="9"/>
      <c r="I565" s="9"/>
      <c r="J565" s="9"/>
      <c r="K565" s="9"/>
      <c r="L565" s="9"/>
      <c r="M565" s="5"/>
      <c r="AJ565" s="2"/>
    </row>
    <row r="566" spans="1:36" x14ac:dyDescent="0.25">
      <c r="A566" s="6">
        <v>40616</v>
      </c>
      <c r="B566" s="7">
        <v>7.46</v>
      </c>
      <c r="C566" s="9">
        <f t="shared" si="104"/>
        <v>4.0295554860016423E-3</v>
      </c>
      <c r="D566" s="9">
        <f t="shared" si="105"/>
        <v>3.6740822676287425E-3</v>
      </c>
      <c r="E566" s="9"/>
      <c r="F566" s="9"/>
      <c r="G566" s="9"/>
      <c r="H566" s="9"/>
      <c r="I566" s="9"/>
      <c r="J566" s="9"/>
      <c r="K566" s="9"/>
      <c r="L566" s="9"/>
      <c r="M566" s="5"/>
      <c r="AJ566" s="2"/>
    </row>
    <row r="567" spans="1:36" x14ac:dyDescent="0.25">
      <c r="A567" s="6">
        <v>40617</v>
      </c>
      <c r="B567" s="7">
        <v>7.2949999999999999</v>
      </c>
      <c r="C567" s="9">
        <f t="shared" si="104"/>
        <v>-2.2366232240920471E-2</v>
      </c>
      <c r="D567" s="9">
        <f t="shared" si="105"/>
        <v>-2.2721705459293372E-2</v>
      </c>
      <c r="E567" s="9"/>
      <c r="F567" s="9"/>
      <c r="G567" s="9"/>
      <c r="H567" s="9"/>
      <c r="I567" s="9"/>
      <c r="J567" s="9"/>
      <c r="K567" s="9"/>
      <c r="L567" s="9"/>
      <c r="M567" s="5"/>
      <c r="AJ567" s="2"/>
    </row>
    <row r="568" spans="1:36" x14ac:dyDescent="0.25">
      <c r="A568" s="6">
        <v>40618</v>
      </c>
      <c r="B568" s="7">
        <v>7.06</v>
      </c>
      <c r="C568" s="9">
        <f t="shared" si="104"/>
        <v>-3.2744130469598308E-2</v>
      </c>
      <c r="D568" s="9">
        <f t="shared" si="105"/>
        <v>-3.3099603687971206E-2</v>
      </c>
      <c r="E568" s="9"/>
      <c r="F568" s="9"/>
      <c r="G568" s="9"/>
      <c r="H568" s="9"/>
      <c r="I568" s="9"/>
      <c r="J568" s="9"/>
      <c r="K568" s="9"/>
      <c r="L568" s="9"/>
      <c r="M568" s="5"/>
      <c r="AJ568" s="2"/>
    </row>
    <row r="569" spans="1:36" x14ac:dyDescent="0.25">
      <c r="A569" s="6">
        <v>40619</v>
      </c>
      <c r="B569" s="7">
        <v>7.1749999999999998</v>
      </c>
      <c r="C569" s="9">
        <f t="shared" si="104"/>
        <v>1.6157710140534135E-2</v>
      </c>
      <c r="D569" s="9">
        <f t="shared" si="105"/>
        <v>1.5802236922161234E-2</v>
      </c>
      <c r="E569" s="9"/>
      <c r="F569" s="9"/>
      <c r="G569" s="9"/>
      <c r="H569" s="9"/>
      <c r="I569" s="9"/>
      <c r="J569" s="9"/>
      <c r="K569" s="9"/>
      <c r="L569" s="9"/>
      <c r="M569" s="5"/>
      <c r="AJ569" s="2"/>
    </row>
    <row r="570" spans="1:36" x14ac:dyDescent="0.25">
      <c r="A570" s="6">
        <v>40620</v>
      </c>
      <c r="B570" s="7">
        <v>7.1849999999999996</v>
      </c>
      <c r="C570" s="9">
        <f t="shared" si="104"/>
        <v>1.3927578853034758E-3</v>
      </c>
      <c r="D570" s="9">
        <f t="shared" si="105"/>
        <v>1.0372846669305759E-3</v>
      </c>
      <c r="E570" s="9"/>
      <c r="F570" s="9"/>
      <c r="G570" s="9"/>
      <c r="H570" s="9"/>
      <c r="I570" s="9"/>
      <c r="J570" s="9"/>
      <c r="K570" s="9"/>
      <c r="L570" s="9"/>
      <c r="M570" s="5"/>
      <c r="AJ570" s="2"/>
    </row>
    <row r="571" spans="1:36" x14ac:dyDescent="0.25">
      <c r="A571" s="6">
        <v>40623</v>
      </c>
      <c r="B571" s="7">
        <v>7.33</v>
      </c>
      <c r="C571" s="9">
        <f t="shared" si="104"/>
        <v>1.9979996367571862E-2</v>
      </c>
      <c r="D571" s="9">
        <f t="shared" si="105"/>
        <v>1.962452314919896E-2</v>
      </c>
      <c r="E571" s="9"/>
      <c r="F571" s="9"/>
      <c r="G571" s="9"/>
      <c r="H571" s="9"/>
      <c r="I571" s="9"/>
      <c r="J571" s="9"/>
      <c r="K571" s="9"/>
      <c r="L571" s="9"/>
      <c r="M571" s="5"/>
      <c r="AJ571" s="2"/>
    </row>
    <row r="572" spans="1:36" x14ac:dyDescent="0.25">
      <c r="A572" s="6">
        <v>40624</v>
      </c>
      <c r="B572" s="7">
        <v>7.2350000000000003</v>
      </c>
      <c r="C572" s="9">
        <f t="shared" si="104"/>
        <v>-1.3045155815112956E-2</v>
      </c>
      <c r="D572" s="9">
        <f t="shared" si="105"/>
        <v>-1.3400629033485855E-2</v>
      </c>
      <c r="E572" s="9"/>
      <c r="F572" s="9"/>
      <c r="G572" s="9"/>
      <c r="H572" s="9"/>
      <c r="I572" s="9"/>
      <c r="J572" s="9"/>
      <c r="K572" s="9"/>
      <c r="L572" s="9"/>
      <c r="M572" s="5"/>
      <c r="AJ572" s="2"/>
    </row>
    <row r="573" spans="1:36" x14ac:dyDescent="0.25">
      <c r="A573" s="6">
        <v>40625</v>
      </c>
      <c r="B573" s="7">
        <v>7.15</v>
      </c>
      <c r="C573" s="9">
        <f t="shared" ref="C573:C636" si="106">LN(B573/B572)</f>
        <v>-1.1818003377530846E-2</v>
      </c>
      <c r="D573" s="9">
        <f t="shared" si="105"/>
        <v>-1.2173476595903746E-2</v>
      </c>
      <c r="E573" s="9"/>
      <c r="F573" s="9"/>
      <c r="G573" s="9"/>
      <c r="H573" s="9"/>
      <c r="I573" s="9"/>
      <c r="J573" s="9"/>
      <c r="K573" s="9"/>
      <c r="L573" s="9"/>
      <c r="M573" s="5"/>
      <c r="AJ573" s="2"/>
    </row>
    <row r="574" spans="1:36" x14ac:dyDescent="0.25">
      <c r="A574" s="6">
        <v>40626</v>
      </c>
      <c r="B574" s="7">
        <v>7.28</v>
      </c>
      <c r="C574" s="9">
        <f t="shared" si="106"/>
        <v>1.8018505502678212E-2</v>
      </c>
      <c r="D574" s="9">
        <f t="shared" si="105"/>
        <v>1.7663032284305311E-2</v>
      </c>
      <c r="E574" s="9"/>
      <c r="F574" s="9"/>
      <c r="G574" s="9"/>
      <c r="H574" s="9"/>
      <c r="I574" s="9"/>
      <c r="J574" s="9"/>
      <c r="K574" s="9"/>
      <c r="L574" s="9"/>
      <c r="M574" s="5"/>
      <c r="AJ574" s="2"/>
    </row>
    <row r="575" spans="1:36" x14ac:dyDescent="0.25">
      <c r="A575" s="6">
        <v>40627</v>
      </c>
      <c r="B575" s="7">
        <v>7.2549999999999999</v>
      </c>
      <c r="C575" s="9">
        <f t="shared" si="106"/>
        <v>-3.4399758724435315E-3</v>
      </c>
      <c r="D575" s="9">
        <f t="shared" si="105"/>
        <v>-3.7954490908164314E-3</v>
      </c>
      <c r="E575" s="9"/>
      <c r="F575" s="9"/>
      <c r="G575" s="9"/>
      <c r="H575" s="9"/>
      <c r="I575" s="9"/>
      <c r="J575" s="9"/>
      <c r="K575" s="9"/>
      <c r="L575" s="9"/>
      <c r="M575" s="5"/>
      <c r="AJ575" s="2"/>
    </row>
    <row r="576" spans="1:36" x14ac:dyDescent="0.25">
      <c r="A576" s="6">
        <v>40630</v>
      </c>
      <c r="B576" s="7">
        <v>7.3</v>
      </c>
      <c r="C576" s="9">
        <f t="shared" si="106"/>
        <v>6.1834618181943624E-3</v>
      </c>
      <c r="D576" s="9">
        <f t="shared" si="105"/>
        <v>5.8279885998214626E-3</v>
      </c>
      <c r="E576" s="9"/>
      <c r="F576" s="9"/>
      <c r="G576" s="9"/>
      <c r="H576" s="9"/>
      <c r="I576" s="9"/>
      <c r="J576" s="9"/>
      <c r="K576" s="9"/>
      <c r="L576" s="9"/>
      <c r="M576" s="5"/>
      <c r="AJ576" s="2"/>
    </row>
    <row r="577" spans="1:36" x14ac:dyDescent="0.25">
      <c r="A577" s="6">
        <v>40631</v>
      </c>
      <c r="B577" s="7">
        <v>7.2</v>
      </c>
      <c r="C577" s="9">
        <f t="shared" si="106"/>
        <v>-1.3793322132335761E-2</v>
      </c>
      <c r="D577" s="9">
        <f t="shared" si="105"/>
        <v>-1.414879535070866E-2</v>
      </c>
      <c r="E577" s="9"/>
      <c r="F577" s="9"/>
      <c r="G577" s="9"/>
      <c r="H577" s="9"/>
      <c r="I577" s="9"/>
      <c r="J577" s="9"/>
      <c r="K577" s="9"/>
      <c r="L577" s="9"/>
      <c r="M577" s="5"/>
      <c r="AJ577" s="2"/>
    </row>
    <row r="578" spans="1:36" x14ac:dyDescent="0.25">
      <c r="A578" s="6">
        <v>40632</v>
      </c>
      <c r="B578" s="7">
        <v>7.26</v>
      </c>
      <c r="C578" s="9">
        <f t="shared" si="106"/>
        <v>8.2988028146950641E-3</v>
      </c>
      <c r="D578" s="9">
        <f t="shared" si="105"/>
        <v>7.9433295963221642E-3</v>
      </c>
      <c r="E578" s="9"/>
      <c r="F578" s="9"/>
      <c r="G578" s="9"/>
      <c r="H578" s="9"/>
      <c r="I578" s="9"/>
      <c r="J578" s="9"/>
      <c r="K578" s="9"/>
      <c r="L578" s="9"/>
      <c r="M578" s="5"/>
      <c r="AJ578" s="2"/>
    </row>
    <row r="579" spans="1:36" x14ac:dyDescent="0.25">
      <c r="A579" s="6">
        <v>40633</v>
      </c>
      <c r="B579" s="7">
        <v>7.22</v>
      </c>
      <c r="C579" s="9">
        <f t="shared" si="106"/>
        <v>-5.5248759319699156E-3</v>
      </c>
      <c r="D579" s="9">
        <f t="shared" si="105"/>
        <v>-5.8803491503428154E-3</v>
      </c>
      <c r="E579" s="9"/>
      <c r="F579" s="9"/>
      <c r="G579" s="9"/>
      <c r="H579" s="9"/>
      <c r="I579" s="9"/>
      <c r="J579" s="9"/>
      <c r="K579" s="9"/>
      <c r="L579" s="9"/>
      <c r="M579" s="5"/>
      <c r="AJ579" s="2"/>
    </row>
    <row r="580" spans="1:36" x14ac:dyDescent="0.25">
      <c r="A580" s="6">
        <v>40634</v>
      </c>
      <c r="B580" s="7">
        <v>7.3</v>
      </c>
      <c r="C580" s="9">
        <f t="shared" si="106"/>
        <v>1.1019395249610698E-2</v>
      </c>
      <c r="D580" s="9">
        <f t="shared" si="105"/>
        <v>1.0663922031237798E-2</v>
      </c>
      <c r="E580" s="9"/>
      <c r="F580" s="9"/>
      <c r="G580" s="9"/>
      <c r="H580" s="9"/>
      <c r="I580" s="9"/>
      <c r="J580" s="9"/>
      <c r="K580" s="9"/>
      <c r="L580" s="9"/>
      <c r="M580" s="5"/>
      <c r="AJ580" s="2"/>
    </row>
    <row r="581" spans="1:36" x14ac:dyDescent="0.25">
      <c r="A581" s="6">
        <v>40637</v>
      </c>
      <c r="B581" s="7">
        <v>7.33</v>
      </c>
      <c r="C581" s="9">
        <f t="shared" si="106"/>
        <v>4.1011677442146068E-3</v>
      </c>
      <c r="D581" s="9">
        <f t="shared" si="105"/>
        <v>3.7456945258417069E-3</v>
      </c>
      <c r="E581" s="9"/>
      <c r="F581" s="9"/>
      <c r="G581" s="9"/>
      <c r="H581" s="9"/>
      <c r="I581" s="9"/>
      <c r="J581" s="9"/>
      <c r="K581" s="9"/>
      <c r="L581" s="9"/>
      <c r="M581" s="5"/>
      <c r="AJ581" s="2"/>
    </row>
    <row r="582" spans="1:36" x14ac:dyDescent="0.25">
      <c r="A582" s="6">
        <v>40638</v>
      </c>
      <c r="B582" s="7">
        <v>7.3250000000000002</v>
      </c>
      <c r="C582" s="9">
        <f t="shared" si="106"/>
        <v>-6.8236099542913953E-4</v>
      </c>
      <c r="D582" s="9">
        <f t="shared" si="105"/>
        <v>-1.0378342138020395E-3</v>
      </c>
      <c r="E582" s="9"/>
      <c r="F582" s="9"/>
      <c r="G582" s="9"/>
      <c r="H582" s="9"/>
      <c r="I582" s="9"/>
      <c r="J582" s="9"/>
      <c r="K582" s="9"/>
      <c r="L582" s="9"/>
      <c r="M582" s="5"/>
      <c r="AJ582" s="2"/>
    </row>
    <row r="583" spans="1:36" x14ac:dyDescent="0.25">
      <c r="A583" s="6">
        <v>40639</v>
      </c>
      <c r="B583" s="7">
        <v>7.6749999999999998</v>
      </c>
      <c r="C583" s="9">
        <f t="shared" si="106"/>
        <v>4.6675138570129893E-2</v>
      </c>
      <c r="D583" s="9">
        <f t="shared" si="105"/>
        <v>4.6319665351756995E-2</v>
      </c>
      <c r="E583" s="9"/>
      <c r="F583" s="9"/>
      <c r="G583" s="9"/>
      <c r="H583" s="9"/>
      <c r="I583" s="9"/>
      <c r="J583" s="9"/>
      <c r="K583" s="9"/>
      <c r="L583" s="9"/>
      <c r="M583" s="5"/>
      <c r="AJ583" s="2"/>
    </row>
    <row r="584" spans="1:36" x14ac:dyDescent="0.25">
      <c r="A584" s="6">
        <v>40640</v>
      </c>
      <c r="B584" s="7">
        <v>7.71</v>
      </c>
      <c r="C584" s="9">
        <f t="shared" si="106"/>
        <v>4.5498941019773611E-3</v>
      </c>
      <c r="D584" s="9">
        <f t="shared" si="105"/>
        <v>4.1944208836044612E-3</v>
      </c>
      <c r="E584" s="9"/>
      <c r="F584" s="9"/>
      <c r="G584" s="9"/>
      <c r="H584" s="9"/>
      <c r="I584" s="9"/>
      <c r="J584" s="9"/>
      <c r="K584" s="9"/>
      <c r="L584" s="9"/>
      <c r="M584" s="5"/>
      <c r="AJ584" s="2"/>
    </row>
    <row r="585" spans="1:36" x14ac:dyDescent="0.25">
      <c r="A585" s="6">
        <v>40641</v>
      </c>
      <c r="B585" s="7">
        <v>7.91</v>
      </c>
      <c r="C585" s="9">
        <f t="shared" si="106"/>
        <v>2.5609594204324512E-2</v>
      </c>
      <c r="D585" s="9">
        <f t="shared" si="105"/>
        <v>2.525412098595161E-2</v>
      </c>
      <c r="E585" s="9"/>
      <c r="F585" s="9"/>
      <c r="G585" s="9"/>
      <c r="H585" s="9"/>
      <c r="I585" s="9"/>
      <c r="J585" s="9"/>
      <c r="K585" s="9"/>
      <c r="L585" s="9"/>
      <c r="M585" s="5"/>
      <c r="AJ585" s="2"/>
    </row>
    <row r="586" spans="1:36" x14ac:dyDescent="0.25">
      <c r="A586" s="6">
        <v>40644</v>
      </c>
      <c r="B586" s="7">
        <v>7.9399999999999995</v>
      </c>
      <c r="C586" s="9">
        <f t="shared" si="106"/>
        <v>3.7854934794816649E-3</v>
      </c>
      <c r="D586" s="9">
        <f t="shared" si="105"/>
        <v>3.430020261108765E-3</v>
      </c>
      <c r="E586" s="9"/>
      <c r="F586" s="9"/>
      <c r="G586" s="9"/>
      <c r="H586" s="9"/>
      <c r="I586" s="9"/>
      <c r="J586" s="9"/>
      <c r="K586" s="9"/>
      <c r="L586" s="9"/>
      <c r="M586" s="5"/>
      <c r="AJ586" s="2"/>
    </row>
    <row r="587" spans="1:36" x14ac:dyDescent="0.25">
      <c r="A587" s="6">
        <v>40645</v>
      </c>
      <c r="B587" s="7">
        <v>7.8449999999999998</v>
      </c>
      <c r="C587" s="9">
        <f t="shared" si="106"/>
        <v>-1.2036889074048426E-2</v>
      </c>
      <c r="D587" s="9">
        <f t="shared" si="105"/>
        <v>-1.2392362292421326E-2</v>
      </c>
      <c r="E587" s="9"/>
      <c r="F587" s="9"/>
      <c r="G587" s="9"/>
      <c r="H587" s="9"/>
      <c r="I587" s="9"/>
      <c r="J587" s="9"/>
      <c r="K587" s="9"/>
      <c r="L587" s="9"/>
      <c r="M587" s="5"/>
      <c r="AJ587" s="2"/>
    </row>
    <row r="588" spans="1:36" x14ac:dyDescent="0.25">
      <c r="A588" s="6">
        <v>40646</v>
      </c>
      <c r="B588" s="7">
        <v>7.86</v>
      </c>
      <c r="C588" s="9">
        <f t="shared" si="106"/>
        <v>1.9102202561192452E-3</v>
      </c>
      <c r="D588" s="9">
        <f t="shared" si="105"/>
        <v>1.5547470377463453E-3</v>
      </c>
      <c r="E588" s="9"/>
      <c r="F588" s="9"/>
      <c r="G588" s="9"/>
      <c r="H588" s="9"/>
      <c r="I588" s="9"/>
      <c r="J588" s="9"/>
      <c r="K588" s="9"/>
      <c r="L588" s="9"/>
      <c r="M588" s="5"/>
      <c r="AJ588" s="2"/>
    </row>
    <row r="589" spans="1:36" x14ac:dyDescent="0.25">
      <c r="A589" s="6">
        <v>40647</v>
      </c>
      <c r="B589" s="7">
        <v>7.7649999999999997</v>
      </c>
      <c r="C589" s="9">
        <f t="shared" si="106"/>
        <v>-1.2160149840464853E-2</v>
      </c>
      <c r="D589" s="9">
        <f t="shared" si="105"/>
        <v>-1.2515623058837752E-2</v>
      </c>
      <c r="E589" s="9"/>
      <c r="F589" s="9"/>
      <c r="G589" s="9"/>
      <c r="H589" s="9"/>
      <c r="I589" s="9"/>
      <c r="J589" s="9"/>
      <c r="K589" s="9"/>
      <c r="L589" s="9"/>
      <c r="M589" s="5"/>
      <c r="AJ589" s="2"/>
    </row>
    <row r="590" spans="1:36" x14ac:dyDescent="0.25">
      <c r="A590" s="6">
        <v>40648</v>
      </c>
      <c r="B590" s="7">
        <v>7.6899999999999995</v>
      </c>
      <c r="C590" s="9">
        <f t="shared" si="106"/>
        <v>-9.7056730830978426E-3</v>
      </c>
      <c r="D590" s="9">
        <f t="shared" si="105"/>
        <v>-1.0061146301470742E-2</v>
      </c>
      <c r="E590" s="9"/>
      <c r="F590" s="9"/>
      <c r="G590" s="9"/>
      <c r="H590" s="9"/>
      <c r="I590" s="9"/>
      <c r="J590" s="9"/>
      <c r="K590" s="9"/>
      <c r="L590" s="9"/>
      <c r="M590" s="5"/>
      <c r="AJ590" s="2"/>
    </row>
    <row r="591" spans="1:36" x14ac:dyDescent="0.25">
      <c r="A591" s="6">
        <v>40651</v>
      </c>
      <c r="B591" s="7">
        <v>7.43</v>
      </c>
      <c r="C591" s="9">
        <f t="shared" si="106"/>
        <v>-3.4394924787884792E-2</v>
      </c>
      <c r="D591" s="9">
        <f t="shared" si="105"/>
        <v>-3.4750398006257691E-2</v>
      </c>
      <c r="E591" s="9"/>
      <c r="F591" s="9"/>
      <c r="G591" s="9"/>
      <c r="H591" s="9"/>
      <c r="I591" s="9"/>
      <c r="J591" s="9"/>
      <c r="K591" s="9"/>
      <c r="L591" s="9"/>
      <c r="M591" s="5"/>
      <c r="AJ591" s="2"/>
    </row>
    <row r="592" spans="1:36" x14ac:dyDescent="0.25">
      <c r="A592" s="6">
        <v>40652</v>
      </c>
      <c r="B592" s="7">
        <v>7.3849999999999998</v>
      </c>
      <c r="C592" s="9">
        <f t="shared" si="106"/>
        <v>-6.0749427463247197E-3</v>
      </c>
      <c r="D592" s="9">
        <f t="shared" si="105"/>
        <v>-6.4304159646976196E-3</v>
      </c>
      <c r="E592" s="9"/>
      <c r="F592" s="9"/>
      <c r="G592" s="9"/>
      <c r="H592" s="9"/>
      <c r="I592" s="9"/>
      <c r="J592" s="9"/>
      <c r="K592" s="9"/>
      <c r="L592" s="9"/>
      <c r="M592" s="5"/>
      <c r="AJ592" s="2"/>
    </row>
    <row r="593" spans="1:36" x14ac:dyDescent="0.25">
      <c r="A593" s="6">
        <v>40653</v>
      </c>
      <c r="B593" s="7">
        <v>7.44</v>
      </c>
      <c r="C593" s="9">
        <f t="shared" si="106"/>
        <v>7.4199328616574032E-3</v>
      </c>
      <c r="D593" s="9">
        <f t="shared" si="105"/>
        <v>7.0644596432845033E-3</v>
      </c>
      <c r="E593" s="9"/>
      <c r="F593" s="9"/>
      <c r="G593" s="9"/>
      <c r="H593" s="9"/>
      <c r="I593" s="9"/>
      <c r="J593" s="9"/>
      <c r="K593" s="9"/>
      <c r="L593" s="9"/>
      <c r="M593" s="5"/>
      <c r="AJ593" s="2"/>
    </row>
    <row r="594" spans="1:36" x14ac:dyDescent="0.25">
      <c r="A594" s="6">
        <v>40654</v>
      </c>
      <c r="B594" s="7">
        <v>7.57</v>
      </c>
      <c r="C594" s="9">
        <f t="shared" si="106"/>
        <v>1.7322218604357006E-2</v>
      </c>
      <c r="D594" s="9">
        <f t="shared" si="105"/>
        <v>1.6966745385984104E-2</v>
      </c>
      <c r="E594" s="9"/>
      <c r="F594" s="9"/>
      <c r="G594" s="9"/>
      <c r="H594" s="9"/>
      <c r="I594" s="9"/>
      <c r="J594" s="9"/>
      <c r="K594" s="9"/>
      <c r="L594" s="9"/>
      <c r="M594" s="5"/>
      <c r="AJ594" s="2"/>
    </row>
    <row r="595" spans="1:36" x14ac:dyDescent="0.25">
      <c r="A595" s="6">
        <v>40659</v>
      </c>
      <c r="B595" s="7">
        <v>7.59</v>
      </c>
      <c r="C595" s="9">
        <f t="shared" si="106"/>
        <v>2.6385239581810205E-3</v>
      </c>
      <c r="D595" s="9">
        <f t="shared" si="105"/>
        <v>2.2830507398081206E-3</v>
      </c>
      <c r="E595" s="9"/>
      <c r="F595" s="9"/>
      <c r="G595" s="9"/>
      <c r="H595" s="9"/>
      <c r="I595" s="9"/>
      <c r="J595" s="9"/>
      <c r="K595" s="9"/>
      <c r="L595" s="9"/>
      <c r="M595" s="5"/>
      <c r="AJ595" s="2"/>
    </row>
    <row r="596" spans="1:36" x14ac:dyDescent="0.25">
      <c r="A596" s="6">
        <v>40660</v>
      </c>
      <c r="B596" s="7">
        <v>7.67</v>
      </c>
      <c r="C596" s="9">
        <f t="shared" si="106"/>
        <v>1.0485023971626347E-2</v>
      </c>
      <c r="D596" s="9">
        <f t="shared" si="105"/>
        <v>1.0129550753253447E-2</v>
      </c>
      <c r="E596" s="9"/>
      <c r="F596" s="9"/>
      <c r="G596" s="9"/>
      <c r="H596" s="9"/>
      <c r="I596" s="9"/>
      <c r="J596" s="9"/>
      <c r="K596" s="9"/>
      <c r="L596" s="9"/>
      <c r="M596" s="5"/>
      <c r="AJ596" s="2"/>
    </row>
    <row r="597" spans="1:36" x14ac:dyDescent="0.25">
      <c r="A597" s="6">
        <v>40661</v>
      </c>
      <c r="B597" s="7">
        <v>7.7249999999999996</v>
      </c>
      <c r="C597" s="9">
        <f t="shared" si="106"/>
        <v>7.1452074046442372E-3</v>
      </c>
      <c r="D597" s="9">
        <f t="shared" ref="D597:D660" si="107">C597-$C$59/252</f>
        <v>6.7897341862713373E-3</v>
      </c>
      <c r="E597" s="9"/>
      <c r="F597" s="9"/>
      <c r="G597" s="9"/>
      <c r="H597" s="9"/>
      <c r="I597" s="9"/>
      <c r="J597" s="9"/>
      <c r="K597" s="9"/>
      <c r="L597" s="9"/>
      <c r="M597" s="5"/>
      <c r="AJ597" s="2"/>
    </row>
    <row r="598" spans="1:36" x14ac:dyDescent="0.25">
      <c r="A598" s="6">
        <v>40662</v>
      </c>
      <c r="B598" s="7">
        <v>7.6899999999999995</v>
      </c>
      <c r="C598" s="9">
        <f t="shared" si="106"/>
        <v>-4.5410392662566107E-3</v>
      </c>
      <c r="D598" s="9">
        <f t="shared" si="107"/>
        <v>-4.8965124846295106E-3</v>
      </c>
      <c r="E598" s="9"/>
      <c r="F598" s="9"/>
      <c r="G598" s="9"/>
      <c r="H598" s="9"/>
      <c r="I598" s="9"/>
      <c r="J598" s="9"/>
      <c r="K598" s="9"/>
      <c r="L598" s="9"/>
      <c r="M598" s="5"/>
      <c r="AJ598" s="2"/>
    </row>
    <row r="599" spans="1:36" x14ac:dyDescent="0.25">
      <c r="A599" s="6">
        <v>40665</v>
      </c>
      <c r="B599" s="7">
        <v>7.7</v>
      </c>
      <c r="C599" s="9">
        <f t="shared" si="106"/>
        <v>1.2995453420856474E-3</v>
      </c>
      <c r="D599" s="9">
        <f t="shared" si="107"/>
        <v>9.4407212371274752E-4</v>
      </c>
      <c r="E599" s="9"/>
      <c r="F599" s="9"/>
      <c r="G599" s="9"/>
      <c r="H599" s="9"/>
      <c r="I599" s="9"/>
      <c r="J599" s="9"/>
      <c r="K599" s="9"/>
      <c r="L599" s="9"/>
      <c r="M599" s="5"/>
      <c r="AJ599" s="2"/>
    </row>
    <row r="600" spans="1:36" x14ac:dyDescent="0.25">
      <c r="A600" s="6">
        <v>40666</v>
      </c>
      <c r="B600" s="7">
        <v>7.7249999999999996</v>
      </c>
      <c r="C600" s="9">
        <f t="shared" si="106"/>
        <v>3.2414939241710229E-3</v>
      </c>
      <c r="D600" s="9">
        <f t="shared" si="107"/>
        <v>2.8860207057981231E-3</v>
      </c>
      <c r="E600" s="9"/>
      <c r="F600" s="9"/>
      <c r="G600" s="9"/>
      <c r="H600" s="9"/>
      <c r="I600" s="9"/>
      <c r="J600" s="9"/>
      <c r="K600" s="9"/>
      <c r="L600" s="9"/>
      <c r="M600" s="5"/>
      <c r="AJ600" s="2"/>
    </row>
    <row r="601" spans="1:36" x14ac:dyDescent="0.25">
      <c r="A601" s="6">
        <v>40667</v>
      </c>
      <c r="B601" s="7">
        <v>7.5600000000000005</v>
      </c>
      <c r="C601" s="9">
        <f t="shared" si="106"/>
        <v>-2.1590632592367383E-2</v>
      </c>
      <c r="D601" s="9">
        <f t="shared" si="107"/>
        <v>-2.1946105810740284E-2</v>
      </c>
      <c r="E601" s="9"/>
      <c r="F601" s="9"/>
      <c r="G601" s="9"/>
      <c r="H601" s="9"/>
      <c r="I601" s="9"/>
      <c r="J601" s="9"/>
      <c r="K601" s="9"/>
      <c r="L601" s="9"/>
      <c r="M601" s="5"/>
      <c r="AJ601" s="2"/>
    </row>
    <row r="602" spans="1:36" x14ac:dyDescent="0.25">
      <c r="A602" s="6">
        <v>40668</v>
      </c>
      <c r="B602" s="7">
        <v>7.48</v>
      </c>
      <c r="C602" s="9">
        <f t="shared" si="106"/>
        <v>-1.0638398205055754E-2</v>
      </c>
      <c r="D602" s="9">
        <f t="shared" si="107"/>
        <v>-1.0993871423428654E-2</v>
      </c>
      <c r="E602" s="9"/>
      <c r="F602" s="9"/>
      <c r="G602" s="9"/>
      <c r="H602" s="9"/>
      <c r="I602" s="9"/>
      <c r="J602" s="9"/>
      <c r="K602" s="9"/>
      <c r="L602" s="9"/>
      <c r="M602" s="5"/>
      <c r="AJ602" s="2"/>
    </row>
    <row r="603" spans="1:36" x14ac:dyDescent="0.25">
      <c r="A603" s="6">
        <v>40669</v>
      </c>
      <c r="B603" s="7">
        <v>7.57</v>
      </c>
      <c r="C603" s="9">
        <f t="shared" si="106"/>
        <v>1.1960275462971471E-2</v>
      </c>
      <c r="D603" s="9">
        <f t="shared" si="107"/>
        <v>1.1604802244598571E-2</v>
      </c>
      <c r="E603" s="9"/>
      <c r="F603" s="9"/>
      <c r="G603" s="9"/>
      <c r="H603" s="9"/>
      <c r="I603" s="9"/>
      <c r="J603" s="9"/>
      <c r="K603" s="9"/>
      <c r="L603" s="9"/>
      <c r="M603" s="5"/>
      <c r="AJ603" s="2"/>
    </row>
    <row r="604" spans="1:36" x14ac:dyDescent="0.25">
      <c r="A604" s="6">
        <v>40672</v>
      </c>
      <c r="B604" s="7">
        <v>7.4349999999999996</v>
      </c>
      <c r="C604" s="9">
        <f t="shared" si="106"/>
        <v>-1.7994487537239139E-2</v>
      </c>
      <c r="D604" s="9">
        <f t="shared" si="107"/>
        <v>-1.834996075561204E-2</v>
      </c>
      <c r="E604" s="9"/>
      <c r="F604" s="9"/>
      <c r="G604" s="9"/>
      <c r="H604" s="9"/>
      <c r="I604" s="9"/>
      <c r="J604" s="9"/>
      <c r="K604" s="9"/>
      <c r="L604" s="9"/>
      <c r="M604" s="5"/>
      <c r="AJ604" s="2"/>
    </row>
    <row r="605" spans="1:36" x14ac:dyDescent="0.25">
      <c r="A605" s="6">
        <v>40673</v>
      </c>
      <c r="B605" s="7">
        <v>7.5649999999999995</v>
      </c>
      <c r="C605" s="9">
        <f t="shared" si="106"/>
        <v>1.7333767328200762E-2</v>
      </c>
      <c r="D605" s="9">
        <f t="shared" si="107"/>
        <v>1.697829410982786E-2</v>
      </c>
      <c r="E605" s="9"/>
      <c r="F605" s="9"/>
      <c r="G605" s="9"/>
      <c r="H605" s="9"/>
      <c r="I605" s="9"/>
      <c r="J605" s="9"/>
      <c r="K605" s="9"/>
      <c r="L605" s="9"/>
      <c r="M605" s="5"/>
      <c r="AJ605" s="2"/>
    </row>
    <row r="606" spans="1:36" x14ac:dyDescent="0.25">
      <c r="A606" s="6">
        <v>40674</v>
      </c>
      <c r="B606" s="7">
        <v>7.76</v>
      </c>
      <c r="C606" s="9">
        <f t="shared" si="106"/>
        <v>2.544998695480815E-2</v>
      </c>
      <c r="D606" s="9">
        <f t="shared" si="107"/>
        <v>2.5094513736435248E-2</v>
      </c>
      <c r="E606" s="9"/>
      <c r="F606" s="9"/>
      <c r="G606" s="9"/>
      <c r="H606" s="9"/>
      <c r="I606" s="9"/>
      <c r="J606" s="9"/>
      <c r="K606" s="9"/>
      <c r="L606" s="9"/>
      <c r="M606" s="5"/>
      <c r="AJ606" s="2"/>
    </row>
    <row r="607" spans="1:36" x14ac:dyDescent="0.25">
      <c r="A607" s="6">
        <v>40675</v>
      </c>
      <c r="B607" s="7">
        <v>7.7050000000000001</v>
      </c>
      <c r="C607" s="9">
        <f t="shared" si="106"/>
        <v>-7.1128654230482842E-3</v>
      </c>
      <c r="D607" s="9">
        <f t="shared" si="107"/>
        <v>-7.4683386414211841E-3</v>
      </c>
      <c r="E607" s="9"/>
      <c r="F607" s="9"/>
      <c r="G607" s="9"/>
      <c r="H607" s="9"/>
      <c r="I607" s="9"/>
      <c r="J607" s="9"/>
      <c r="K607" s="9"/>
      <c r="L607" s="9"/>
      <c r="M607" s="5"/>
      <c r="AJ607" s="2"/>
    </row>
    <row r="608" spans="1:36" x14ac:dyDescent="0.25">
      <c r="A608" s="6">
        <v>40676</v>
      </c>
      <c r="B608" s="7">
        <v>7.7549999999999999</v>
      </c>
      <c r="C608" s="9">
        <f t="shared" si="106"/>
        <v>6.4683278564229753E-3</v>
      </c>
      <c r="D608" s="9">
        <f t="shared" si="107"/>
        <v>6.1128546380500755E-3</v>
      </c>
      <c r="E608" s="9"/>
      <c r="F608" s="9"/>
      <c r="G608" s="9"/>
      <c r="H608" s="9"/>
      <c r="I608" s="9"/>
      <c r="J608" s="9"/>
      <c r="K608" s="9"/>
      <c r="L608" s="9"/>
      <c r="M608" s="5"/>
      <c r="AJ608" s="2"/>
    </row>
    <row r="609" spans="1:36" x14ac:dyDescent="0.25">
      <c r="A609" s="6">
        <v>40679</v>
      </c>
      <c r="B609" s="7">
        <v>7.71</v>
      </c>
      <c r="C609" s="9">
        <f t="shared" si="106"/>
        <v>-5.8196090532640415E-3</v>
      </c>
      <c r="D609" s="9">
        <f t="shared" si="107"/>
        <v>-6.1750822716369414E-3</v>
      </c>
      <c r="E609" s="9"/>
      <c r="F609" s="9"/>
      <c r="G609" s="9"/>
      <c r="H609" s="9"/>
      <c r="I609" s="9"/>
      <c r="J609" s="9"/>
      <c r="K609" s="9"/>
      <c r="L609" s="9"/>
      <c r="M609" s="5"/>
      <c r="AJ609" s="2"/>
    </row>
    <row r="610" spans="1:36" x14ac:dyDescent="0.25">
      <c r="A610" s="6">
        <v>40680</v>
      </c>
      <c r="B610" s="7">
        <v>7.62</v>
      </c>
      <c r="C610" s="9">
        <f t="shared" si="106"/>
        <v>-1.1741817876683174E-2</v>
      </c>
      <c r="D610" s="9">
        <f t="shared" si="107"/>
        <v>-1.2097291095056074E-2</v>
      </c>
      <c r="E610" s="9"/>
      <c r="F610" s="9"/>
      <c r="G610" s="9"/>
      <c r="H610" s="9"/>
      <c r="I610" s="9"/>
      <c r="J610" s="9"/>
      <c r="K610" s="9"/>
      <c r="L610" s="9"/>
      <c r="M610" s="5"/>
      <c r="AJ610" s="2"/>
    </row>
    <row r="611" spans="1:36" x14ac:dyDescent="0.25">
      <c r="A611" s="6">
        <v>40681</v>
      </c>
      <c r="B611" s="7">
        <v>7.6349999999999998</v>
      </c>
      <c r="C611" s="9">
        <f t="shared" si="106"/>
        <v>1.9665689720408473E-3</v>
      </c>
      <c r="D611" s="9">
        <f t="shared" si="107"/>
        <v>1.6110957536679474E-3</v>
      </c>
      <c r="E611" s="9"/>
      <c r="F611" s="9"/>
      <c r="G611" s="9"/>
      <c r="H611" s="9"/>
      <c r="I611" s="9"/>
      <c r="J611" s="9"/>
      <c r="K611" s="9"/>
      <c r="L611" s="9"/>
      <c r="M611" s="5"/>
      <c r="AJ611" s="2"/>
    </row>
    <row r="612" spans="1:36" x14ac:dyDescent="0.25">
      <c r="A612" s="6">
        <v>40682</v>
      </c>
      <c r="B612" s="7">
        <v>7.7149999999999999</v>
      </c>
      <c r="C612" s="9">
        <f t="shared" si="106"/>
        <v>1.0423547144528499E-2</v>
      </c>
      <c r="D612" s="9">
        <f t="shared" si="107"/>
        <v>1.0068073926155599E-2</v>
      </c>
      <c r="E612" s="9"/>
      <c r="F612" s="9"/>
      <c r="G612" s="9"/>
      <c r="H612" s="9"/>
      <c r="I612" s="9"/>
      <c r="J612" s="9"/>
      <c r="K612" s="9"/>
      <c r="L612" s="9"/>
      <c r="M612" s="5"/>
      <c r="AJ612" s="2"/>
    </row>
    <row r="613" spans="1:36" x14ac:dyDescent="0.25">
      <c r="A613" s="6">
        <v>40683</v>
      </c>
      <c r="B613" s="7">
        <v>7.52</v>
      </c>
      <c r="C613" s="9">
        <f t="shared" si="106"/>
        <v>-2.5600347853375782E-2</v>
      </c>
      <c r="D613" s="9">
        <f t="shared" si="107"/>
        <v>-2.5955821071748684E-2</v>
      </c>
      <c r="E613" s="9"/>
      <c r="F613" s="9"/>
      <c r="G613" s="9"/>
      <c r="H613" s="9"/>
      <c r="I613" s="9"/>
      <c r="J613" s="9"/>
      <c r="K613" s="9"/>
      <c r="L613" s="9"/>
      <c r="M613" s="5"/>
      <c r="AJ613" s="2"/>
    </row>
    <row r="614" spans="1:36" x14ac:dyDescent="0.25">
      <c r="A614" s="6">
        <v>40686</v>
      </c>
      <c r="B614" s="7">
        <v>7.41</v>
      </c>
      <c r="C614" s="9">
        <f t="shared" si="106"/>
        <v>-1.4735698653752839E-2</v>
      </c>
      <c r="D614" s="9">
        <f t="shared" si="107"/>
        <v>-1.5091171872125738E-2</v>
      </c>
      <c r="E614" s="9"/>
      <c r="F614" s="9"/>
      <c r="G614" s="9"/>
      <c r="H614" s="9"/>
      <c r="I614" s="9"/>
      <c r="J614" s="9"/>
      <c r="K614" s="9"/>
      <c r="L614" s="9"/>
      <c r="M614" s="5"/>
      <c r="AJ614" s="2"/>
    </row>
    <row r="615" spans="1:36" x14ac:dyDescent="0.25">
      <c r="A615" s="6">
        <v>40687</v>
      </c>
      <c r="B615" s="7">
        <v>7.375</v>
      </c>
      <c r="C615" s="9">
        <f t="shared" si="106"/>
        <v>-4.7345370821119861E-3</v>
      </c>
      <c r="D615" s="9">
        <f t="shared" si="107"/>
        <v>-5.090010300484886E-3</v>
      </c>
      <c r="E615" s="9"/>
      <c r="F615" s="9"/>
      <c r="G615" s="9"/>
      <c r="H615" s="9"/>
      <c r="I615" s="9"/>
      <c r="J615" s="9"/>
      <c r="K615" s="9"/>
      <c r="L615" s="9"/>
      <c r="M615" s="5"/>
      <c r="AJ615" s="2"/>
    </row>
    <row r="616" spans="1:36" x14ac:dyDescent="0.25">
      <c r="A616" s="6">
        <v>40688</v>
      </c>
      <c r="B616" s="7">
        <v>7.51</v>
      </c>
      <c r="C616" s="9">
        <f t="shared" si="106"/>
        <v>1.813956355015979E-2</v>
      </c>
      <c r="D616" s="9">
        <f t="shared" si="107"/>
        <v>1.7784090331786889E-2</v>
      </c>
      <c r="E616" s="9"/>
      <c r="F616" s="9"/>
      <c r="G616" s="9"/>
      <c r="H616" s="9"/>
      <c r="I616" s="9"/>
      <c r="J616" s="9"/>
      <c r="K616" s="9"/>
      <c r="L616" s="9"/>
      <c r="M616" s="5"/>
      <c r="AJ616" s="2"/>
    </row>
    <row r="617" spans="1:36" x14ac:dyDescent="0.25">
      <c r="A617" s="6">
        <v>40689</v>
      </c>
      <c r="B617" s="7">
        <v>7.43</v>
      </c>
      <c r="C617" s="9">
        <f t="shared" si="106"/>
        <v>-1.070960704637554E-2</v>
      </c>
      <c r="D617" s="9">
        <f t="shared" si="107"/>
        <v>-1.106508026474844E-2</v>
      </c>
      <c r="E617" s="9"/>
      <c r="F617" s="9"/>
      <c r="G617" s="9"/>
      <c r="H617" s="9"/>
      <c r="I617" s="9"/>
      <c r="J617" s="9"/>
      <c r="K617" s="9"/>
      <c r="L617" s="9"/>
      <c r="M617" s="5"/>
      <c r="AJ617" s="2"/>
    </row>
    <row r="618" spans="1:36" x14ac:dyDescent="0.25">
      <c r="A618" s="6">
        <v>40690</v>
      </c>
      <c r="B618" s="7">
        <v>7.58</v>
      </c>
      <c r="C618" s="9">
        <f t="shared" si="106"/>
        <v>1.9987340924612497E-2</v>
      </c>
      <c r="D618" s="9">
        <f t="shared" si="107"/>
        <v>1.9631867706239595E-2</v>
      </c>
      <c r="E618" s="9"/>
      <c r="F618" s="9"/>
      <c r="G618" s="9"/>
      <c r="H618" s="9"/>
      <c r="I618" s="9"/>
      <c r="J618" s="9"/>
      <c r="K618" s="9"/>
      <c r="L618" s="9"/>
      <c r="M618" s="5"/>
      <c r="AJ618" s="2"/>
    </row>
    <row r="619" spans="1:36" x14ac:dyDescent="0.25">
      <c r="A619" s="6">
        <v>40693</v>
      </c>
      <c r="B619" s="7">
        <v>7.52</v>
      </c>
      <c r="C619" s="9">
        <f t="shared" si="106"/>
        <v>-7.947061692531945E-3</v>
      </c>
      <c r="D619" s="9">
        <f t="shared" si="107"/>
        <v>-8.3025349109048449E-3</v>
      </c>
      <c r="E619" s="9"/>
      <c r="F619" s="9"/>
      <c r="G619" s="9"/>
      <c r="H619" s="9"/>
      <c r="I619" s="9"/>
      <c r="J619" s="9"/>
      <c r="K619" s="9"/>
      <c r="L619" s="9"/>
      <c r="M619" s="5"/>
      <c r="AJ619" s="2"/>
    </row>
    <row r="620" spans="1:36" x14ac:dyDescent="0.25">
      <c r="A620" s="6">
        <v>40694</v>
      </c>
      <c r="B620" s="7">
        <v>7.72</v>
      </c>
      <c r="C620" s="9">
        <f t="shared" si="106"/>
        <v>2.6248226074936411E-2</v>
      </c>
      <c r="D620" s="9">
        <f t="shared" si="107"/>
        <v>2.5892752856563509E-2</v>
      </c>
      <c r="E620" s="9"/>
      <c r="F620" s="9"/>
      <c r="G620" s="9"/>
      <c r="H620" s="9"/>
      <c r="I620" s="9"/>
      <c r="J620" s="9"/>
      <c r="K620" s="9"/>
      <c r="L620" s="9"/>
      <c r="M620" s="5"/>
      <c r="AJ620" s="2"/>
    </row>
    <row r="621" spans="1:36" x14ac:dyDescent="0.25">
      <c r="A621" s="6">
        <v>40695</v>
      </c>
      <c r="B621" s="7">
        <v>7.6150000000000002</v>
      </c>
      <c r="C621" s="9">
        <f t="shared" si="106"/>
        <v>-1.3694377689559606E-2</v>
      </c>
      <c r="D621" s="9">
        <f t="shared" si="107"/>
        <v>-1.4049850907932506E-2</v>
      </c>
      <c r="E621" s="9"/>
      <c r="F621" s="9"/>
      <c r="G621" s="9"/>
      <c r="H621" s="9"/>
      <c r="I621" s="9"/>
      <c r="J621" s="9"/>
      <c r="K621" s="9"/>
      <c r="L621" s="9"/>
      <c r="M621" s="5"/>
      <c r="AJ621" s="2"/>
    </row>
    <row r="622" spans="1:36" x14ac:dyDescent="0.25">
      <c r="A622" s="6">
        <v>40696</v>
      </c>
      <c r="B622" s="7">
        <v>7.5049999999999999</v>
      </c>
      <c r="C622" s="9">
        <f t="shared" si="106"/>
        <v>-1.4550521261699888E-2</v>
      </c>
      <c r="D622" s="9">
        <f t="shared" si="107"/>
        <v>-1.4905994480072788E-2</v>
      </c>
      <c r="E622" s="9"/>
      <c r="F622" s="9"/>
      <c r="G622" s="9"/>
      <c r="H622" s="9"/>
      <c r="I622" s="9"/>
      <c r="J622" s="9"/>
      <c r="K622" s="9"/>
      <c r="L622" s="9"/>
      <c r="M622" s="5"/>
      <c r="AJ622" s="2"/>
    </row>
    <row r="623" spans="1:36" x14ac:dyDescent="0.25">
      <c r="A623" s="6">
        <v>40697</v>
      </c>
      <c r="B623" s="7">
        <v>7.55</v>
      </c>
      <c r="C623" s="9">
        <f t="shared" si="106"/>
        <v>5.9780981755079626E-3</v>
      </c>
      <c r="D623" s="9">
        <f t="shared" si="107"/>
        <v>5.6226249571350627E-3</v>
      </c>
      <c r="E623" s="9"/>
      <c r="F623" s="9"/>
      <c r="G623" s="9"/>
      <c r="H623" s="9"/>
      <c r="I623" s="9"/>
      <c r="J623" s="9"/>
      <c r="K623" s="9"/>
      <c r="L623" s="9"/>
      <c r="M623" s="5"/>
      <c r="AJ623" s="2"/>
    </row>
    <row r="624" spans="1:36" x14ac:dyDescent="0.25">
      <c r="A624" s="6">
        <v>40700</v>
      </c>
      <c r="B624" s="7">
        <v>7.48</v>
      </c>
      <c r="C624" s="9">
        <f t="shared" si="106"/>
        <v>-9.3147712745473739E-3</v>
      </c>
      <c r="D624" s="9">
        <f t="shared" si="107"/>
        <v>-9.6702444929202738E-3</v>
      </c>
      <c r="E624" s="9"/>
      <c r="F624" s="9"/>
      <c r="G624" s="9"/>
      <c r="H624" s="9"/>
      <c r="I624" s="9"/>
      <c r="J624" s="9"/>
      <c r="K624" s="9"/>
      <c r="L624" s="9"/>
      <c r="M624" s="5"/>
      <c r="AJ624" s="2"/>
    </row>
    <row r="625" spans="1:36" x14ac:dyDescent="0.25">
      <c r="A625" s="6">
        <v>40701</v>
      </c>
      <c r="B625" s="7">
        <v>7.54</v>
      </c>
      <c r="C625" s="9">
        <f t="shared" si="106"/>
        <v>7.989390033478861E-3</v>
      </c>
      <c r="D625" s="9">
        <f t="shared" si="107"/>
        <v>7.6339168151059612E-3</v>
      </c>
      <c r="E625" s="9"/>
      <c r="F625" s="9"/>
      <c r="G625" s="9"/>
      <c r="H625" s="9"/>
      <c r="I625" s="9"/>
      <c r="J625" s="9"/>
      <c r="K625" s="9"/>
      <c r="L625" s="9"/>
      <c r="M625" s="5"/>
      <c r="AJ625" s="2"/>
    </row>
    <row r="626" spans="1:36" x14ac:dyDescent="0.25">
      <c r="A626" s="6">
        <v>40702</v>
      </c>
      <c r="B626" s="7">
        <v>7.41</v>
      </c>
      <c r="C626" s="9">
        <f t="shared" si="106"/>
        <v>-1.7391742711869222E-2</v>
      </c>
      <c r="D626" s="9">
        <f t="shared" si="107"/>
        <v>-1.7747215930242123E-2</v>
      </c>
      <c r="E626" s="9"/>
      <c r="F626" s="9"/>
      <c r="G626" s="9"/>
      <c r="H626" s="9"/>
      <c r="I626" s="9"/>
      <c r="J626" s="9"/>
      <c r="K626" s="9"/>
      <c r="L626" s="9"/>
      <c r="M626" s="5"/>
      <c r="AJ626" s="2"/>
    </row>
    <row r="627" spans="1:36" x14ac:dyDescent="0.25">
      <c r="A627" s="6">
        <v>40703</v>
      </c>
      <c r="B627" s="7">
        <v>7.15</v>
      </c>
      <c r="C627" s="9">
        <f t="shared" si="106"/>
        <v>-3.5718082602079232E-2</v>
      </c>
      <c r="D627" s="9">
        <f t="shared" si="107"/>
        <v>-3.607355582045213E-2</v>
      </c>
      <c r="E627" s="9"/>
      <c r="F627" s="9"/>
      <c r="G627" s="9"/>
      <c r="H627" s="9"/>
      <c r="I627" s="9"/>
      <c r="J627" s="9"/>
      <c r="K627" s="9"/>
      <c r="L627" s="9"/>
      <c r="M627" s="5"/>
      <c r="AJ627" s="2"/>
    </row>
    <row r="628" spans="1:36" x14ac:dyDescent="0.25">
      <c r="A628" s="6">
        <v>40704</v>
      </c>
      <c r="B628" s="7">
        <v>7.02</v>
      </c>
      <c r="C628" s="9">
        <f t="shared" si="106"/>
        <v>-1.8349138668196655E-2</v>
      </c>
      <c r="D628" s="9">
        <f t="shared" si="107"/>
        <v>-1.8704611886569557E-2</v>
      </c>
      <c r="E628" s="9"/>
      <c r="F628" s="9"/>
      <c r="G628" s="9"/>
      <c r="H628" s="9"/>
      <c r="I628" s="9"/>
      <c r="J628" s="9"/>
      <c r="K628" s="9"/>
      <c r="L628" s="9"/>
      <c r="M628" s="5"/>
      <c r="AJ628" s="2"/>
    </row>
    <row r="629" spans="1:36" x14ac:dyDescent="0.25">
      <c r="A629" s="6">
        <v>40707</v>
      </c>
      <c r="B629" s="7">
        <v>7.04</v>
      </c>
      <c r="C629" s="9">
        <f t="shared" si="106"/>
        <v>2.8449521322313448E-3</v>
      </c>
      <c r="D629" s="9">
        <f t="shared" si="107"/>
        <v>2.4894789138584449E-3</v>
      </c>
      <c r="E629" s="9"/>
      <c r="F629" s="9"/>
      <c r="G629" s="9"/>
      <c r="H629" s="9"/>
      <c r="I629" s="9"/>
      <c r="J629" s="9"/>
      <c r="K629" s="9"/>
      <c r="L629" s="9"/>
      <c r="M629" s="5"/>
      <c r="AJ629" s="2"/>
    </row>
    <row r="630" spans="1:36" x14ac:dyDescent="0.25">
      <c r="A630" s="6">
        <v>40708</v>
      </c>
      <c r="B630" s="7">
        <v>7.09</v>
      </c>
      <c r="C630" s="9">
        <f t="shared" si="106"/>
        <v>7.0771703740850787E-3</v>
      </c>
      <c r="D630" s="9">
        <f t="shared" si="107"/>
        <v>6.7216971557121788E-3</v>
      </c>
      <c r="E630" s="9"/>
      <c r="F630" s="9"/>
      <c r="G630" s="9"/>
      <c r="H630" s="9"/>
      <c r="I630" s="9"/>
      <c r="J630" s="9"/>
      <c r="K630" s="9"/>
      <c r="L630" s="9"/>
      <c r="M630" s="5"/>
      <c r="AJ630" s="2"/>
    </row>
    <row r="631" spans="1:36" x14ac:dyDescent="0.25">
      <c r="A631" s="6">
        <v>40709</v>
      </c>
      <c r="B631" s="7">
        <v>6.83</v>
      </c>
      <c r="C631" s="9">
        <f t="shared" si="106"/>
        <v>-3.7360666961337378E-2</v>
      </c>
      <c r="D631" s="9">
        <f t="shared" si="107"/>
        <v>-3.7716140179710277E-2</v>
      </c>
      <c r="E631" s="9"/>
      <c r="F631" s="9"/>
      <c r="G631" s="9"/>
      <c r="H631" s="9"/>
      <c r="I631" s="9"/>
      <c r="J631" s="9"/>
      <c r="K631" s="9"/>
      <c r="L631" s="9"/>
      <c r="M631" s="5"/>
      <c r="AJ631" s="2"/>
    </row>
    <row r="632" spans="1:36" x14ac:dyDescent="0.25">
      <c r="A632" s="6">
        <v>40710</v>
      </c>
      <c r="B632" s="7">
        <v>6.8149999999999995</v>
      </c>
      <c r="C632" s="9">
        <f t="shared" si="106"/>
        <v>-2.1986084342028563E-3</v>
      </c>
      <c r="D632" s="9">
        <f t="shared" si="107"/>
        <v>-2.5540816525757562E-3</v>
      </c>
      <c r="E632" s="9"/>
      <c r="F632" s="9"/>
      <c r="G632" s="9"/>
      <c r="H632" s="9"/>
      <c r="I632" s="9"/>
      <c r="J632" s="9"/>
      <c r="K632" s="9"/>
      <c r="L632" s="9"/>
      <c r="M632" s="5"/>
      <c r="AJ632" s="2"/>
    </row>
    <row r="633" spans="1:36" x14ac:dyDescent="0.25">
      <c r="A633" s="6">
        <v>40711</v>
      </c>
      <c r="B633" s="7">
        <v>7.0949999999999998</v>
      </c>
      <c r="C633" s="9">
        <f t="shared" si="106"/>
        <v>4.0264245463510186E-2</v>
      </c>
      <c r="D633" s="9">
        <f t="shared" si="107"/>
        <v>3.9908772245137288E-2</v>
      </c>
      <c r="E633" s="9"/>
      <c r="F633" s="9"/>
      <c r="G633" s="9"/>
      <c r="H633" s="9"/>
      <c r="I633" s="9"/>
      <c r="J633" s="9"/>
      <c r="K633" s="9"/>
      <c r="L633" s="9"/>
      <c r="M633" s="5"/>
      <c r="AJ633" s="2"/>
    </row>
    <row r="634" spans="1:36" x14ac:dyDescent="0.25">
      <c r="A634" s="6">
        <v>40714</v>
      </c>
      <c r="B634" s="7">
        <v>7</v>
      </c>
      <c r="C634" s="9">
        <f t="shared" si="106"/>
        <v>-1.3480161556692681E-2</v>
      </c>
      <c r="D634" s="9">
        <f t="shared" si="107"/>
        <v>-1.3835634775065581E-2</v>
      </c>
      <c r="E634" s="9"/>
      <c r="F634" s="9"/>
      <c r="G634" s="9"/>
      <c r="H634" s="9"/>
      <c r="I634" s="9"/>
      <c r="J634" s="9"/>
      <c r="K634" s="9"/>
      <c r="L634" s="9"/>
      <c r="M634" s="5"/>
      <c r="AJ634" s="2"/>
    </row>
    <row r="635" spans="1:36" x14ac:dyDescent="0.25">
      <c r="A635" s="6">
        <v>40715</v>
      </c>
      <c r="B635" s="7">
        <v>7.1449999999999996</v>
      </c>
      <c r="C635" s="9">
        <f t="shared" si="106"/>
        <v>2.0502662326517394E-2</v>
      </c>
      <c r="D635" s="9">
        <f t="shared" si="107"/>
        <v>2.0147189108144493E-2</v>
      </c>
      <c r="E635" s="9"/>
      <c r="F635" s="9"/>
      <c r="G635" s="9"/>
      <c r="H635" s="9"/>
      <c r="I635" s="9"/>
      <c r="J635" s="9"/>
      <c r="K635" s="9"/>
      <c r="L635" s="9"/>
      <c r="M635" s="5"/>
      <c r="AJ635" s="2"/>
    </row>
    <row r="636" spans="1:36" x14ac:dyDescent="0.25">
      <c r="A636" s="6">
        <v>40716</v>
      </c>
      <c r="B636" s="7">
        <v>7.01</v>
      </c>
      <c r="C636" s="9">
        <f t="shared" si="106"/>
        <v>-1.9075110335331973E-2</v>
      </c>
      <c r="D636" s="9">
        <f t="shared" si="107"/>
        <v>-1.9430583553704875E-2</v>
      </c>
      <c r="E636" s="9"/>
      <c r="F636" s="9"/>
      <c r="G636" s="9"/>
      <c r="H636" s="9"/>
      <c r="I636" s="9"/>
      <c r="J636" s="9"/>
      <c r="K636" s="9"/>
      <c r="L636" s="9"/>
      <c r="M636" s="5"/>
      <c r="AJ636" s="2"/>
    </row>
    <row r="637" spans="1:36" x14ac:dyDescent="0.25">
      <c r="A637" s="6">
        <v>40717</v>
      </c>
      <c r="B637" s="7">
        <v>6.78</v>
      </c>
      <c r="C637" s="9">
        <f t="shared" ref="C637:C700" si="108">LN(B637/B636)</f>
        <v>-3.33605990941944E-2</v>
      </c>
      <c r="D637" s="9">
        <f t="shared" si="107"/>
        <v>-3.3716072312567298E-2</v>
      </c>
      <c r="E637" s="9"/>
      <c r="F637" s="9"/>
      <c r="G637" s="9"/>
      <c r="H637" s="9"/>
      <c r="I637" s="9"/>
      <c r="J637" s="9"/>
      <c r="K637" s="9"/>
      <c r="L637" s="9"/>
      <c r="M637" s="5"/>
      <c r="AJ637" s="2"/>
    </row>
    <row r="638" spans="1:36" x14ac:dyDescent="0.25">
      <c r="A638" s="6">
        <v>40718</v>
      </c>
      <c r="B638" s="7">
        <v>6.5049999999999999</v>
      </c>
      <c r="C638" s="9">
        <f t="shared" si="108"/>
        <v>-4.1405989987835651E-2</v>
      </c>
      <c r="D638" s="9">
        <f t="shared" si="107"/>
        <v>-4.1761463206208549E-2</v>
      </c>
      <c r="E638" s="9"/>
      <c r="F638" s="9"/>
      <c r="G638" s="9"/>
      <c r="H638" s="9"/>
      <c r="I638" s="9"/>
      <c r="J638" s="9"/>
      <c r="K638" s="9"/>
      <c r="L638" s="9"/>
      <c r="M638" s="5"/>
      <c r="AJ638" s="2"/>
    </row>
    <row r="639" spans="1:36" x14ac:dyDescent="0.25">
      <c r="A639" s="6">
        <v>40721</v>
      </c>
      <c r="B639" s="7">
        <v>6.5600000000000005</v>
      </c>
      <c r="C639" s="9">
        <f t="shared" si="108"/>
        <v>8.4194909915291556E-3</v>
      </c>
      <c r="D639" s="9">
        <f t="shared" si="107"/>
        <v>8.0640177731562557E-3</v>
      </c>
      <c r="E639" s="9"/>
      <c r="F639" s="9"/>
      <c r="G639" s="9"/>
      <c r="H639" s="9"/>
      <c r="I639" s="9"/>
      <c r="J639" s="9"/>
      <c r="K639" s="9"/>
      <c r="L639" s="9"/>
      <c r="M639" s="5"/>
      <c r="AJ639" s="2"/>
    </row>
    <row r="640" spans="1:36" x14ac:dyDescent="0.25">
      <c r="A640" s="6">
        <v>40722</v>
      </c>
      <c r="B640" s="7">
        <v>6.65</v>
      </c>
      <c r="C640" s="9">
        <f t="shared" si="108"/>
        <v>1.3626251711765056E-2</v>
      </c>
      <c r="D640" s="9">
        <f t="shared" si="107"/>
        <v>1.3270778493392156E-2</v>
      </c>
      <c r="E640" s="9"/>
      <c r="F640" s="9"/>
      <c r="G640" s="9"/>
      <c r="H640" s="9"/>
      <c r="I640" s="9"/>
      <c r="J640" s="9"/>
      <c r="K640" s="9"/>
      <c r="L640" s="9"/>
      <c r="M640" s="5"/>
      <c r="AJ640" s="2"/>
    </row>
    <row r="641" spans="1:36" x14ac:dyDescent="0.25">
      <c r="A641" s="6">
        <v>40723</v>
      </c>
      <c r="B641" s="7">
        <v>6.87</v>
      </c>
      <c r="C641" s="9">
        <f t="shared" si="108"/>
        <v>3.2547251566495176E-2</v>
      </c>
      <c r="D641" s="9">
        <f t="shared" si="107"/>
        <v>3.2191778348122278E-2</v>
      </c>
      <c r="E641" s="9"/>
      <c r="F641" s="9"/>
      <c r="G641" s="9"/>
      <c r="H641" s="9"/>
      <c r="I641" s="9"/>
      <c r="J641" s="9"/>
      <c r="K641" s="9"/>
      <c r="L641" s="9"/>
      <c r="M641" s="5"/>
      <c r="AJ641" s="2"/>
    </row>
    <row r="642" spans="1:36" x14ac:dyDescent="0.25">
      <c r="A642" s="6">
        <v>40724</v>
      </c>
      <c r="B642" s="7">
        <v>6.9850000000000003</v>
      </c>
      <c r="C642" s="9">
        <f t="shared" si="108"/>
        <v>1.6600886474667297E-2</v>
      </c>
      <c r="D642" s="9">
        <f t="shared" si="107"/>
        <v>1.6245413256294396E-2</v>
      </c>
      <c r="E642" s="9"/>
      <c r="F642" s="9"/>
      <c r="G642" s="9"/>
      <c r="H642" s="9"/>
      <c r="I642" s="9"/>
      <c r="J642" s="9"/>
      <c r="K642" s="9"/>
      <c r="L642" s="9"/>
      <c r="M642" s="5"/>
      <c r="AJ642" s="2"/>
    </row>
    <row r="643" spans="1:36" x14ac:dyDescent="0.25">
      <c r="A643" s="6">
        <v>40725</v>
      </c>
      <c r="B643" s="7">
        <v>7.1950000000000003</v>
      </c>
      <c r="C643" s="9">
        <f t="shared" si="108"/>
        <v>2.9621347630406067E-2</v>
      </c>
      <c r="D643" s="9">
        <f t="shared" si="107"/>
        <v>2.9265874412033165E-2</v>
      </c>
      <c r="E643" s="9"/>
      <c r="F643" s="9"/>
      <c r="G643" s="9"/>
      <c r="H643" s="9"/>
      <c r="I643" s="9"/>
      <c r="J643" s="9"/>
      <c r="K643" s="9"/>
      <c r="L643" s="9"/>
      <c r="M643" s="5"/>
      <c r="AJ643" s="2"/>
    </row>
    <row r="644" spans="1:36" x14ac:dyDescent="0.25">
      <c r="A644" s="6">
        <v>40728</v>
      </c>
      <c r="B644" s="7">
        <v>7.12</v>
      </c>
      <c r="C644" s="9">
        <f t="shared" si="108"/>
        <v>-1.047861491544674E-2</v>
      </c>
      <c r="D644" s="9">
        <f t="shared" si="107"/>
        <v>-1.083408813381964E-2</v>
      </c>
      <c r="E644" s="9"/>
      <c r="F644" s="9"/>
      <c r="G644" s="9"/>
      <c r="H644" s="9"/>
      <c r="I644" s="9"/>
      <c r="J644" s="9"/>
      <c r="K644" s="9"/>
      <c r="L644" s="9"/>
      <c r="M644" s="5"/>
      <c r="AJ644" s="2"/>
    </row>
    <row r="645" spans="1:36" x14ac:dyDescent="0.25">
      <c r="A645" s="6">
        <v>40729</v>
      </c>
      <c r="B645" s="7">
        <v>6.9850000000000003</v>
      </c>
      <c r="C645" s="9">
        <f t="shared" si="108"/>
        <v>-1.9142732714959178E-2</v>
      </c>
      <c r="D645" s="9">
        <f t="shared" si="107"/>
        <v>-1.9498205933332079E-2</v>
      </c>
      <c r="E645" s="9"/>
      <c r="F645" s="9"/>
      <c r="G645" s="9"/>
      <c r="H645" s="9"/>
      <c r="I645" s="9"/>
      <c r="J645" s="9"/>
      <c r="K645" s="9"/>
      <c r="L645" s="9"/>
      <c r="M645" s="5"/>
      <c r="AJ645" s="2"/>
    </row>
    <row r="646" spans="1:36" x14ac:dyDescent="0.25">
      <c r="A646" s="6">
        <v>40730</v>
      </c>
      <c r="B646" s="7">
        <v>6.74</v>
      </c>
      <c r="C646" s="9">
        <f t="shared" si="108"/>
        <v>-3.5705067784709443E-2</v>
      </c>
      <c r="D646" s="9">
        <f t="shared" si="107"/>
        <v>-3.6060541003082341E-2</v>
      </c>
      <c r="E646" s="9"/>
      <c r="F646" s="9"/>
      <c r="G646" s="9"/>
      <c r="H646" s="9"/>
      <c r="I646" s="9"/>
      <c r="J646" s="9"/>
      <c r="K646" s="9"/>
      <c r="L646" s="9"/>
      <c r="M646" s="5"/>
      <c r="AJ646" s="2"/>
    </row>
    <row r="647" spans="1:36" x14ac:dyDescent="0.25">
      <c r="A647" s="6">
        <v>40731</v>
      </c>
      <c r="B647" s="7">
        <v>6.64</v>
      </c>
      <c r="C647" s="9">
        <f t="shared" si="108"/>
        <v>-1.4947961435873252E-2</v>
      </c>
      <c r="D647" s="9">
        <f t="shared" si="107"/>
        <v>-1.5303434654246151E-2</v>
      </c>
      <c r="E647" s="9"/>
      <c r="F647" s="9"/>
      <c r="G647" s="9"/>
      <c r="H647" s="9"/>
      <c r="I647" s="9"/>
      <c r="J647" s="9"/>
      <c r="K647" s="9"/>
      <c r="L647" s="9"/>
      <c r="M647" s="5"/>
      <c r="AJ647" s="2"/>
    </row>
    <row r="648" spans="1:36" x14ac:dyDescent="0.25">
      <c r="A648" s="6">
        <v>40732</v>
      </c>
      <c r="B648" s="7">
        <v>6.4249999999999998</v>
      </c>
      <c r="C648" s="9">
        <f t="shared" si="108"/>
        <v>-3.2915332707058945E-2</v>
      </c>
      <c r="D648" s="9">
        <f t="shared" si="107"/>
        <v>-3.3270805925431843E-2</v>
      </c>
      <c r="E648" s="9"/>
      <c r="F648" s="9"/>
      <c r="G648" s="9"/>
      <c r="H648" s="9"/>
      <c r="I648" s="9"/>
      <c r="J648" s="9"/>
      <c r="K648" s="9"/>
      <c r="L648" s="9"/>
      <c r="M648" s="5"/>
      <c r="AJ648" s="2"/>
    </row>
    <row r="649" spans="1:36" x14ac:dyDescent="0.25">
      <c r="A649" s="6">
        <v>40735</v>
      </c>
      <c r="B649" s="7">
        <v>6.15</v>
      </c>
      <c r="C649" s="9">
        <f t="shared" si="108"/>
        <v>-4.3744548962856948E-2</v>
      </c>
      <c r="D649" s="9">
        <f t="shared" si="107"/>
        <v>-4.4100022181229846E-2</v>
      </c>
      <c r="E649" s="9"/>
      <c r="F649" s="9"/>
      <c r="G649" s="9"/>
      <c r="H649" s="9"/>
      <c r="I649" s="9"/>
      <c r="J649" s="9"/>
      <c r="K649" s="9"/>
      <c r="L649" s="9"/>
      <c r="M649" s="5"/>
      <c r="AJ649" s="2"/>
    </row>
    <row r="650" spans="1:36" x14ac:dyDescent="0.25">
      <c r="A650" s="6">
        <v>40736</v>
      </c>
      <c r="B650" s="7">
        <v>6.2750000000000004</v>
      </c>
      <c r="C650" s="9">
        <f t="shared" si="108"/>
        <v>2.0121403199421028E-2</v>
      </c>
      <c r="D650" s="9">
        <f t="shared" si="107"/>
        <v>1.9765929981048126E-2</v>
      </c>
      <c r="E650" s="9"/>
      <c r="F650" s="9"/>
      <c r="G650" s="9"/>
      <c r="H650" s="9"/>
      <c r="I650" s="9"/>
      <c r="J650" s="9"/>
      <c r="K650" s="9"/>
      <c r="L650" s="9"/>
      <c r="M650" s="5"/>
      <c r="AJ650" s="2"/>
    </row>
    <row r="651" spans="1:36" x14ac:dyDescent="0.25">
      <c r="A651" s="6">
        <v>40737</v>
      </c>
      <c r="B651" s="7">
        <v>6.3049999999999997</v>
      </c>
      <c r="C651" s="9">
        <f t="shared" si="108"/>
        <v>4.7694843990352051E-3</v>
      </c>
      <c r="D651" s="9">
        <f t="shared" si="107"/>
        <v>4.4140111806623052E-3</v>
      </c>
      <c r="E651" s="9"/>
      <c r="F651" s="9"/>
      <c r="G651" s="9"/>
      <c r="H651" s="9"/>
      <c r="I651" s="9"/>
      <c r="J651" s="9"/>
      <c r="K651" s="9"/>
      <c r="L651" s="9"/>
      <c r="M651" s="5"/>
      <c r="AJ651" s="2"/>
    </row>
    <row r="652" spans="1:36" x14ac:dyDescent="0.25">
      <c r="A652" s="6">
        <v>40738</v>
      </c>
      <c r="B652" s="7">
        <v>6.21</v>
      </c>
      <c r="C652" s="9">
        <f t="shared" si="108"/>
        <v>-1.5182073471495429E-2</v>
      </c>
      <c r="D652" s="9">
        <f t="shared" si="107"/>
        <v>-1.5537546689868328E-2</v>
      </c>
      <c r="E652" s="9"/>
      <c r="F652" s="9"/>
      <c r="G652" s="9"/>
      <c r="H652" s="9"/>
      <c r="I652" s="9"/>
      <c r="J652" s="9"/>
      <c r="K652" s="9"/>
      <c r="L652" s="9"/>
      <c r="M652" s="5"/>
      <c r="AJ652" s="2"/>
    </row>
    <row r="653" spans="1:36" x14ac:dyDescent="0.25">
      <c r="A653" s="6">
        <v>40739</v>
      </c>
      <c r="B653" s="7">
        <v>6.125</v>
      </c>
      <c r="C653" s="9">
        <f t="shared" si="108"/>
        <v>-1.3782139514596664E-2</v>
      </c>
      <c r="D653" s="9">
        <f t="shared" si="107"/>
        <v>-1.4137612732969564E-2</v>
      </c>
      <c r="E653" s="9"/>
      <c r="F653" s="9"/>
      <c r="G653" s="9"/>
      <c r="H653" s="9"/>
      <c r="I653" s="9"/>
      <c r="J653" s="9"/>
      <c r="K653" s="9"/>
      <c r="L653" s="9"/>
      <c r="M653" s="5"/>
      <c r="AJ653" s="2"/>
    </row>
    <row r="654" spans="1:36" x14ac:dyDescent="0.25">
      <c r="A654" s="6">
        <v>40742</v>
      </c>
      <c r="B654" s="7">
        <v>5.9450000000000003</v>
      </c>
      <c r="C654" s="9">
        <f t="shared" si="108"/>
        <v>-2.9828226288045434E-2</v>
      </c>
      <c r="D654" s="9">
        <f t="shared" si="107"/>
        <v>-3.0183699506418336E-2</v>
      </c>
      <c r="E654" s="9"/>
      <c r="F654" s="9"/>
      <c r="G654" s="9"/>
      <c r="H654" s="9"/>
      <c r="I654" s="9"/>
      <c r="J654" s="9"/>
      <c r="K654" s="9"/>
      <c r="L654" s="9"/>
      <c r="M654" s="5"/>
      <c r="AJ654" s="2"/>
    </row>
    <row r="655" spans="1:36" x14ac:dyDescent="0.25">
      <c r="A655" s="6">
        <v>40743</v>
      </c>
      <c r="B655" s="7">
        <v>6.0549999999999997</v>
      </c>
      <c r="C655" s="9">
        <f t="shared" si="108"/>
        <v>1.8333846862310325E-2</v>
      </c>
      <c r="D655" s="9">
        <f t="shared" si="107"/>
        <v>1.7978373643937423E-2</v>
      </c>
      <c r="E655" s="9"/>
      <c r="F655" s="9"/>
      <c r="G655" s="9"/>
      <c r="H655" s="9"/>
      <c r="I655" s="9"/>
      <c r="J655" s="9"/>
      <c r="K655" s="9"/>
      <c r="L655" s="9"/>
      <c r="M655" s="5"/>
      <c r="AJ655" s="2"/>
    </row>
    <row r="656" spans="1:36" x14ac:dyDescent="0.25">
      <c r="A656" s="6">
        <v>40744</v>
      </c>
      <c r="B656" s="7">
        <v>6.3049999999999997</v>
      </c>
      <c r="C656" s="9">
        <f t="shared" si="108"/>
        <v>4.0458592411827365E-2</v>
      </c>
      <c r="D656" s="9">
        <f t="shared" si="107"/>
        <v>4.0103119193454467E-2</v>
      </c>
      <c r="E656" s="9"/>
      <c r="F656" s="9"/>
      <c r="G656" s="9"/>
      <c r="H656" s="9"/>
      <c r="I656" s="9"/>
      <c r="J656" s="9"/>
      <c r="K656" s="9"/>
      <c r="L656" s="9"/>
      <c r="M656" s="5"/>
      <c r="AJ656" s="2"/>
    </row>
    <row r="657" spans="1:36" x14ac:dyDescent="0.25">
      <c r="A657" s="6">
        <v>40745</v>
      </c>
      <c r="B657" s="7">
        <v>6.62</v>
      </c>
      <c r="C657" s="9">
        <f t="shared" si="108"/>
        <v>4.8752400532034001E-2</v>
      </c>
      <c r="D657" s="9">
        <f t="shared" si="107"/>
        <v>4.8396927313661103E-2</v>
      </c>
      <c r="E657" s="9"/>
      <c r="F657" s="9"/>
      <c r="G657" s="9"/>
      <c r="H657" s="9"/>
      <c r="I657" s="9"/>
      <c r="J657" s="9"/>
      <c r="K657" s="9"/>
      <c r="L657" s="9"/>
      <c r="M657" s="5"/>
      <c r="AJ657" s="2"/>
    </row>
    <row r="658" spans="1:36" x14ac:dyDescent="0.25">
      <c r="A658" s="6">
        <v>40746</v>
      </c>
      <c r="B658" s="7">
        <v>6.585</v>
      </c>
      <c r="C658" s="9">
        <f t="shared" si="108"/>
        <v>-5.3010347536725181E-3</v>
      </c>
      <c r="D658" s="9">
        <f t="shared" si="107"/>
        <v>-5.656507972045418E-3</v>
      </c>
      <c r="E658" s="9"/>
      <c r="F658" s="9"/>
      <c r="G658" s="9"/>
      <c r="H658" s="9"/>
      <c r="I658" s="9"/>
      <c r="J658" s="9"/>
      <c r="K658" s="9"/>
      <c r="L658" s="9"/>
      <c r="M658" s="5"/>
      <c r="AJ658" s="2"/>
    </row>
    <row r="659" spans="1:36" x14ac:dyDescent="0.25">
      <c r="A659" s="6">
        <v>40749</v>
      </c>
      <c r="B659" s="7">
        <v>6.4950000000000001</v>
      </c>
      <c r="C659" s="9">
        <f t="shared" si="108"/>
        <v>-1.376168507268149E-2</v>
      </c>
      <c r="D659" s="9">
        <f t="shared" si="107"/>
        <v>-1.411715829105439E-2</v>
      </c>
      <c r="E659" s="9"/>
      <c r="F659" s="9"/>
      <c r="G659" s="9"/>
      <c r="H659" s="9"/>
      <c r="I659" s="9"/>
      <c r="J659" s="9"/>
      <c r="K659" s="9"/>
      <c r="L659" s="9"/>
      <c r="M659" s="5"/>
      <c r="AJ659" s="2"/>
    </row>
    <row r="660" spans="1:36" x14ac:dyDescent="0.25">
      <c r="A660" s="6">
        <v>40750</v>
      </c>
      <c r="B660" s="7">
        <v>6.59</v>
      </c>
      <c r="C660" s="9">
        <f t="shared" si="108"/>
        <v>1.4520698391852969E-2</v>
      </c>
      <c r="D660" s="9">
        <f t="shared" si="107"/>
        <v>1.4165225173480069E-2</v>
      </c>
      <c r="E660" s="9"/>
      <c r="F660" s="9"/>
      <c r="G660" s="9"/>
      <c r="H660" s="9"/>
      <c r="I660" s="9"/>
      <c r="J660" s="9"/>
      <c r="K660" s="9"/>
      <c r="L660" s="9"/>
      <c r="M660" s="5"/>
      <c r="AJ660" s="2"/>
    </row>
    <row r="661" spans="1:36" x14ac:dyDescent="0.25">
      <c r="A661" s="6">
        <v>40751</v>
      </c>
      <c r="B661" s="7">
        <v>6.2649999999999997</v>
      </c>
      <c r="C661" s="9">
        <f t="shared" si="108"/>
        <v>-5.0574760166384285E-2</v>
      </c>
      <c r="D661" s="9">
        <f t="shared" ref="D661:D724" si="109">C661-$C$59/252</f>
        <v>-5.0930233384757183E-2</v>
      </c>
      <c r="E661" s="9"/>
      <c r="F661" s="9"/>
      <c r="G661" s="9"/>
      <c r="H661" s="9"/>
      <c r="I661" s="9"/>
      <c r="J661" s="9"/>
      <c r="K661" s="9"/>
      <c r="L661" s="9"/>
      <c r="M661" s="5"/>
      <c r="AJ661" s="2"/>
    </row>
    <row r="662" spans="1:36" x14ac:dyDescent="0.25">
      <c r="A662" s="6">
        <v>40752</v>
      </c>
      <c r="B662" s="7">
        <v>6.4</v>
      </c>
      <c r="C662" s="9">
        <f t="shared" si="108"/>
        <v>2.1319402017594736E-2</v>
      </c>
      <c r="D662" s="9">
        <f t="shared" si="109"/>
        <v>2.0963928799221834E-2</v>
      </c>
      <c r="E662" s="9"/>
      <c r="F662" s="9"/>
      <c r="G662" s="9"/>
      <c r="H662" s="9"/>
      <c r="I662" s="9"/>
      <c r="J662" s="9"/>
      <c r="K662" s="9"/>
      <c r="L662" s="9"/>
      <c r="M662" s="5"/>
      <c r="AJ662" s="2"/>
    </row>
    <row r="663" spans="1:36" x14ac:dyDescent="0.25">
      <c r="A663" s="6">
        <v>40753</v>
      </c>
      <c r="B663" s="7">
        <v>6.4249999999999998</v>
      </c>
      <c r="C663" s="9">
        <f t="shared" si="108"/>
        <v>3.8986404156573229E-3</v>
      </c>
      <c r="D663" s="9">
        <f t="shared" si="109"/>
        <v>3.543167197284423E-3</v>
      </c>
      <c r="E663" s="9"/>
      <c r="F663" s="9"/>
      <c r="G663" s="9"/>
      <c r="H663" s="9"/>
      <c r="I663" s="9"/>
      <c r="J663" s="9"/>
      <c r="K663" s="9"/>
      <c r="L663" s="9"/>
      <c r="M663" s="5"/>
      <c r="AJ663" s="2"/>
    </row>
    <row r="664" spans="1:36" x14ac:dyDescent="0.25">
      <c r="A664" s="6">
        <v>40756</v>
      </c>
      <c r="B664" s="7">
        <v>6.0949999999999998</v>
      </c>
      <c r="C664" s="9">
        <f t="shared" si="108"/>
        <v>-5.2727867848048691E-2</v>
      </c>
      <c r="D664" s="9">
        <f t="shared" si="109"/>
        <v>-5.308334106642159E-2</v>
      </c>
      <c r="E664" s="9"/>
      <c r="F664" s="9"/>
      <c r="G664" s="9"/>
      <c r="H664" s="9"/>
      <c r="I664" s="9"/>
      <c r="J664" s="9"/>
      <c r="K664" s="9"/>
      <c r="L664" s="9"/>
      <c r="M664" s="5"/>
      <c r="AJ664" s="2"/>
    </row>
    <row r="665" spans="1:36" x14ac:dyDescent="0.25">
      <c r="A665" s="6">
        <v>40757</v>
      </c>
      <c r="B665" s="7">
        <v>5.8149999999999995</v>
      </c>
      <c r="C665" s="9">
        <f t="shared" si="108"/>
        <v>-4.702797696260716E-2</v>
      </c>
      <c r="D665" s="9">
        <f t="shared" si="109"/>
        <v>-4.7383450180980058E-2</v>
      </c>
      <c r="E665" s="9"/>
      <c r="F665" s="9"/>
      <c r="G665" s="9"/>
      <c r="H665" s="9"/>
      <c r="I665" s="9"/>
      <c r="J665" s="9"/>
      <c r="K665" s="9"/>
      <c r="L665" s="9"/>
      <c r="M665" s="5"/>
      <c r="AJ665" s="2"/>
    </row>
    <row r="666" spans="1:36" x14ac:dyDescent="0.25">
      <c r="A666" s="6">
        <v>40758</v>
      </c>
      <c r="B666" s="7">
        <v>5.7850000000000001</v>
      </c>
      <c r="C666" s="9">
        <f t="shared" si="108"/>
        <v>-5.1724253249877039E-3</v>
      </c>
      <c r="D666" s="9">
        <f t="shared" si="109"/>
        <v>-5.5278985433606037E-3</v>
      </c>
      <c r="E666" s="9"/>
      <c r="F666" s="9"/>
      <c r="G666" s="9"/>
      <c r="H666" s="9"/>
      <c r="I666" s="9"/>
      <c r="J666" s="9"/>
      <c r="K666" s="9"/>
      <c r="L666" s="9"/>
      <c r="M666" s="5"/>
      <c r="AJ666" s="2"/>
    </row>
    <row r="667" spans="1:36" x14ac:dyDescent="0.25">
      <c r="A667" s="6">
        <v>40759</v>
      </c>
      <c r="B667" s="7">
        <v>5.61</v>
      </c>
      <c r="C667" s="9">
        <f t="shared" si="108"/>
        <v>-3.0717641111034876E-2</v>
      </c>
      <c r="D667" s="9">
        <f t="shared" si="109"/>
        <v>-3.1073114329407778E-2</v>
      </c>
      <c r="E667" s="9"/>
      <c r="F667" s="9"/>
      <c r="G667" s="9"/>
      <c r="H667" s="9"/>
      <c r="I667" s="9"/>
      <c r="J667" s="9"/>
      <c r="K667" s="9"/>
      <c r="L667" s="9"/>
      <c r="M667" s="5"/>
      <c r="AJ667" s="2"/>
    </row>
    <row r="668" spans="1:36" x14ac:dyDescent="0.25">
      <c r="A668" s="6">
        <v>40760</v>
      </c>
      <c r="B668" s="7">
        <v>5.665</v>
      </c>
      <c r="C668" s="9">
        <f t="shared" si="108"/>
        <v>9.7561749453646558E-3</v>
      </c>
      <c r="D668" s="9">
        <f t="shared" si="109"/>
        <v>9.4007017269917559E-3</v>
      </c>
      <c r="E668" s="9"/>
      <c r="F668" s="9"/>
      <c r="G668" s="9"/>
      <c r="H668" s="9"/>
      <c r="I668" s="9"/>
      <c r="J668" s="9"/>
      <c r="K668" s="9"/>
      <c r="L668" s="9"/>
      <c r="M668" s="5"/>
      <c r="AJ668" s="2"/>
    </row>
    <row r="669" spans="1:36" x14ac:dyDescent="0.25">
      <c r="A669" s="6">
        <v>40763</v>
      </c>
      <c r="B669" s="7">
        <v>5.5949999999999998</v>
      </c>
      <c r="C669" s="9">
        <f t="shared" si="108"/>
        <v>-1.2433552716081158E-2</v>
      </c>
      <c r="D669" s="9">
        <f t="shared" si="109"/>
        <v>-1.2789025934454058E-2</v>
      </c>
      <c r="E669" s="9"/>
      <c r="F669" s="9"/>
      <c r="G669" s="9"/>
      <c r="H669" s="9"/>
      <c r="I669" s="9"/>
      <c r="J669" s="9"/>
      <c r="K669" s="9"/>
      <c r="L669" s="9"/>
      <c r="M669" s="5"/>
      <c r="AJ669" s="2"/>
    </row>
    <row r="670" spans="1:36" x14ac:dyDescent="0.25">
      <c r="A670" s="6">
        <v>40764</v>
      </c>
      <c r="B670" s="7">
        <v>5.66</v>
      </c>
      <c r="C670" s="9">
        <f t="shared" si="108"/>
        <v>1.1550550451203165E-2</v>
      </c>
      <c r="D670" s="9">
        <f t="shared" si="109"/>
        <v>1.1195077232830265E-2</v>
      </c>
      <c r="E670" s="9"/>
      <c r="F670" s="9"/>
      <c r="G670" s="9"/>
      <c r="H670" s="9"/>
      <c r="I670" s="9"/>
      <c r="J670" s="9"/>
      <c r="K670" s="9"/>
      <c r="L670" s="9"/>
      <c r="M670" s="5"/>
      <c r="AJ670" s="2"/>
    </row>
    <row r="671" spans="1:36" x14ac:dyDescent="0.25">
      <c r="A671" s="6">
        <v>40765</v>
      </c>
      <c r="B671" s="7">
        <v>5.4</v>
      </c>
      <c r="C671" s="9">
        <f t="shared" si="108"/>
        <v>-4.702493864486286E-2</v>
      </c>
      <c r="D671" s="9">
        <f t="shared" si="109"/>
        <v>-4.7380411863235758E-2</v>
      </c>
      <c r="E671" s="9"/>
      <c r="F671" s="9"/>
      <c r="G671" s="9"/>
      <c r="H671" s="9"/>
      <c r="I671" s="9"/>
      <c r="J671" s="9"/>
      <c r="K671" s="9"/>
      <c r="L671" s="9"/>
      <c r="M671" s="5"/>
      <c r="AJ671" s="2"/>
    </row>
    <row r="672" spans="1:36" x14ac:dyDescent="0.25">
      <c r="A672" s="6">
        <v>40766</v>
      </c>
      <c r="B672" s="7">
        <v>5.57</v>
      </c>
      <c r="C672" s="9">
        <f t="shared" si="108"/>
        <v>3.0996100368963917E-2</v>
      </c>
      <c r="D672" s="9">
        <f t="shared" si="109"/>
        <v>3.0640627150591015E-2</v>
      </c>
      <c r="E672" s="9"/>
      <c r="F672" s="9"/>
      <c r="G672" s="9"/>
      <c r="H672" s="9"/>
      <c r="I672" s="9"/>
      <c r="J672" s="9"/>
      <c r="K672" s="9"/>
      <c r="L672" s="9"/>
      <c r="M672" s="5"/>
      <c r="AJ672" s="2"/>
    </row>
    <row r="673" spans="1:36" x14ac:dyDescent="0.25">
      <c r="A673" s="6">
        <v>40767</v>
      </c>
      <c r="B673" s="7">
        <v>6.12</v>
      </c>
      <c r="C673" s="9">
        <f t="shared" si="108"/>
        <v>9.4167042585042091E-2</v>
      </c>
      <c r="D673" s="9">
        <f t="shared" si="109"/>
        <v>9.3811569366669192E-2</v>
      </c>
      <c r="E673" s="9"/>
      <c r="F673" s="9"/>
      <c r="G673" s="9"/>
      <c r="H673" s="9"/>
      <c r="I673" s="9"/>
      <c r="J673" s="9"/>
      <c r="K673" s="9"/>
      <c r="L673" s="9"/>
      <c r="M673" s="5"/>
      <c r="AJ673" s="2"/>
    </row>
    <row r="674" spans="1:36" x14ac:dyDescent="0.25">
      <c r="A674" s="6">
        <v>40771</v>
      </c>
      <c r="B674" s="7">
        <v>6.35</v>
      </c>
      <c r="C674" s="9">
        <f t="shared" si="108"/>
        <v>3.689271638036544E-2</v>
      </c>
      <c r="D674" s="9">
        <f t="shared" si="109"/>
        <v>3.6537243161992541E-2</v>
      </c>
      <c r="E674" s="9"/>
      <c r="F674" s="9"/>
      <c r="G674" s="9"/>
      <c r="H674" s="9"/>
      <c r="I674" s="9"/>
      <c r="J674" s="9"/>
      <c r="K674" s="9"/>
      <c r="L674" s="9"/>
      <c r="M674" s="5"/>
      <c r="AJ674" s="2"/>
    </row>
    <row r="675" spans="1:36" x14ac:dyDescent="0.25">
      <c r="A675" s="6">
        <v>40772</v>
      </c>
      <c r="B675" s="7">
        <v>6.4349999999999996</v>
      </c>
      <c r="C675" s="9">
        <f t="shared" si="108"/>
        <v>1.3297028143489726E-2</v>
      </c>
      <c r="D675" s="9">
        <f t="shared" si="109"/>
        <v>1.2941554925116826E-2</v>
      </c>
      <c r="E675" s="9"/>
      <c r="F675" s="9"/>
      <c r="G675" s="9"/>
      <c r="H675" s="9"/>
      <c r="I675" s="9"/>
      <c r="J675" s="9"/>
      <c r="K675" s="9"/>
      <c r="L675" s="9"/>
      <c r="M675" s="5"/>
      <c r="AJ675" s="2"/>
    </row>
    <row r="676" spans="1:36" x14ac:dyDescent="0.25">
      <c r="A676" s="6">
        <v>40773</v>
      </c>
      <c r="B676" s="7">
        <v>6.3</v>
      </c>
      <c r="C676" s="9">
        <f t="shared" si="108"/>
        <v>-2.1202207650602937E-2</v>
      </c>
      <c r="D676" s="9">
        <f t="shared" si="109"/>
        <v>-2.1557680868975838E-2</v>
      </c>
      <c r="E676" s="9"/>
      <c r="F676" s="9"/>
      <c r="G676" s="9"/>
      <c r="H676" s="9"/>
      <c r="I676" s="9"/>
      <c r="J676" s="9"/>
      <c r="K676" s="9"/>
      <c r="L676" s="9"/>
      <c r="M676" s="5"/>
      <c r="AJ676" s="2"/>
    </row>
    <row r="677" spans="1:36" x14ac:dyDescent="0.25">
      <c r="A677" s="6">
        <v>40774</v>
      </c>
      <c r="B677" s="7">
        <v>6.31</v>
      </c>
      <c r="C677" s="9">
        <f t="shared" si="108"/>
        <v>1.5860431556347797E-3</v>
      </c>
      <c r="D677" s="9">
        <f t="shared" si="109"/>
        <v>1.2305699372618798E-3</v>
      </c>
      <c r="E677" s="9"/>
      <c r="F677" s="9"/>
      <c r="G677" s="9"/>
      <c r="H677" s="9"/>
      <c r="I677" s="9"/>
      <c r="J677" s="9"/>
      <c r="K677" s="9"/>
      <c r="L677" s="9"/>
      <c r="M677" s="5"/>
      <c r="AJ677" s="2"/>
    </row>
    <row r="678" spans="1:36" x14ac:dyDescent="0.25">
      <c r="A678" s="6">
        <v>40777</v>
      </c>
      <c r="B678" s="7">
        <v>6.3849999999999998</v>
      </c>
      <c r="C678" s="9">
        <f t="shared" si="108"/>
        <v>1.1815812931380929E-2</v>
      </c>
      <c r="D678" s="9">
        <f t="shared" si="109"/>
        <v>1.1460339713008029E-2</v>
      </c>
      <c r="E678" s="9"/>
      <c r="F678" s="9"/>
      <c r="G678" s="9"/>
      <c r="H678" s="9"/>
      <c r="I678" s="9"/>
      <c r="J678" s="9"/>
      <c r="K678" s="9"/>
      <c r="L678" s="9"/>
      <c r="M678" s="5"/>
      <c r="AJ678" s="2"/>
    </row>
    <row r="679" spans="1:36" x14ac:dyDescent="0.25">
      <c r="A679" s="6">
        <v>40778</v>
      </c>
      <c r="B679" s="7">
        <v>6.12</v>
      </c>
      <c r="C679" s="9">
        <f t="shared" si="108"/>
        <v>-4.2389392960267808E-2</v>
      </c>
      <c r="D679" s="9">
        <f t="shared" si="109"/>
        <v>-4.2744866178640706E-2</v>
      </c>
      <c r="E679" s="9"/>
      <c r="F679" s="9"/>
      <c r="G679" s="9"/>
      <c r="H679" s="9"/>
      <c r="I679" s="9"/>
      <c r="J679" s="9"/>
      <c r="K679" s="9"/>
      <c r="L679" s="9"/>
      <c r="M679" s="5"/>
      <c r="AJ679" s="2"/>
    </row>
    <row r="680" spans="1:36" x14ac:dyDescent="0.25">
      <c r="A680" s="6">
        <v>40779</v>
      </c>
      <c r="B680" s="7">
        <v>6.1849999999999996</v>
      </c>
      <c r="C680" s="9">
        <f t="shared" si="108"/>
        <v>1.056490932021647E-2</v>
      </c>
      <c r="D680" s="9">
        <f t="shared" si="109"/>
        <v>1.0209436101843571E-2</v>
      </c>
      <c r="E680" s="9"/>
      <c r="F680" s="9"/>
      <c r="G680" s="9"/>
      <c r="H680" s="9"/>
      <c r="I680" s="9"/>
      <c r="J680" s="9"/>
      <c r="K680" s="9"/>
      <c r="L680" s="9"/>
      <c r="M680" s="5"/>
      <c r="AJ680" s="2"/>
    </row>
    <row r="681" spans="1:36" x14ac:dyDescent="0.25">
      <c r="A681" s="6">
        <v>40780</v>
      </c>
      <c r="B681" s="7">
        <v>6.2350000000000003</v>
      </c>
      <c r="C681" s="9">
        <f t="shared" si="108"/>
        <v>8.0515732875487758E-3</v>
      </c>
      <c r="D681" s="9">
        <f t="shared" si="109"/>
        <v>7.696100069175876E-3</v>
      </c>
      <c r="E681" s="9"/>
      <c r="F681" s="9"/>
      <c r="G681" s="9"/>
      <c r="H681" s="9"/>
      <c r="I681" s="9"/>
      <c r="J681" s="9"/>
      <c r="K681" s="9"/>
      <c r="L681" s="9"/>
      <c r="M681" s="5"/>
      <c r="AJ681" s="2"/>
    </row>
    <row r="682" spans="1:36" x14ac:dyDescent="0.25">
      <c r="A682" s="6">
        <v>40781</v>
      </c>
      <c r="B682" s="7">
        <v>6.1550000000000002</v>
      </c>
      <c r="C682" s="9">
        <f t="shared" si="108"/>
        <v>-1.2913819495582939E-2</v>
      </c>
      <c r="D682" s="9">
        <f t="shared" si="109"/>
        <v>-1.3269292713955839E-2</v>
      </c>
      <c r="E682" s="9"/>
      <c r="F682" s="9"/>
      <c r="G682" s="9"/>
      <c r="H682" s="9"/>
      <c r="I682" s="9"/>
      <c r="J682" s="9"/>
      <c r="K682" s="9"/>
      <c r="L682" s="9"/>
      <c r="M682" s="5"/>
      <c r="AJ682" s="2"/>
    </row>
    <row r="683" spans="1:36" x14ac:dyDescent="0.25">
      <c r="A683" s="6">
        <v>40784</v>
      </c>
      <c r="B683" s="7">
        <v>6.27</v>
      </c>
      <c r="C683" s="9">
        <f t="shared" si="108"/>
        <v>1.8511595008412401E-2</v>
      </c>
      <c r="D683" s="9">
        <f t="shared" si="109"/>
        <v>1.81561217900395E-2</v>
      </c>
      <c r="E683" s="9"/>
      <c r="F683" s="9"/>
      <c r="G683" s="9"/>
      <c r="H683" s="9"/>
      <c r="I683" s="9"/>
      <c r="J683" s="9"/>
      <c r="K683" s="9"/>
      <c r="L683" s="9"/>
      <c r="M683" s="5"/>
      <c r="AJ683" s="2"/>
    </row>
    <row r="684" spans="1:36" x14ac:dyDescent="0.25">
      <c r="A684" s="6">
        <v>40785</v>
      </c>
      <c r="B684" s="7">
        <v>6.31</v>
      </c>
      <c r="C684" s="9">
        <f t="shared" si="108"/>
        <v>6.3593219082924216E-3</v>
      </c>
      <c r="D684" s="9">
        <f t="shared" si="109"/>
        <v>6.0038486899195217E-3</v>
      </c>
      <c r="E684" s="9"/>
      <c r="F684" s="9"/>
      <c r="G684" s="9"/>
      <c r="H684" s="9"/>
      <c r="I684" s="9"/>
      <c r="J684" s="9"/>
      <c r="K684" s="9"/>
      <c r="L684" s="9"/>
      <c r="M684" s="5"/>
      <c r="AJ684" s="2"/>
    </row>
    <row r="685" spans="1:36" x14ac:dyDescent="0.25">
      <c r="A685" s="6">
        <v>40786</v>
      </c>
      <c r="B685" s="7">
        <v>6.4249999999999998</v>
      </c>
      <c r="C685" s="9">
        <f t="shared" si="108"/>
        <v>1.8060954228161633E-2</v>
      </c>
      <c r="D685" s="9">
        <f t="shared" si="109"/>
        <v>1.7705481009788731E-2</v>
      </c>
      <c r="E685" s="9"/>
      <c r="F685" s="9"/>
      <c r="G685" s="9"/>
      <c r="H685" s="9"/>
      <c r="I685" s="9"/>
      <c r="J685" s="9"/>
      <c r="K685" s="9"/>
      <c r="L685" s="9"/>
      <c r="M685" s="5"/>
      <c r="AJ685" s="2"/>
    </row>
    <row r="686" spans="1:36" x14ac:dyDescent="0.25">
      <c r="A686" s="6">
        <v>40787</v>
      </c>
      <c r="B686" s="7">
        <v>6.415</v>
      </c>
      <c r="C686" s="9">
        <f t="shared" si="108"/>
        <v>-1.5576327136837397E-3</v>
      </c>
      <c r="D686" s="9">
        <f t="shared" si="109"/>
        <v>-1.9131059320566396E-3</v>
      </c>
      <c r="E686" s="9"/>
      <c r="F686" s="9"/>
      <c r="G686" s="9"/>
      <c r="H686" s="9"/>
      <c r="I686" s="9"/>
      <c r="J686" s="9"/>
      <c r="K686" s="9"/>
      <c r="L686" s="9"/>
      <c r="M686" s="5"/>
      <c r="AJ686" s="2"/>
    </row>
    <row r="687" spans="1:36" x14ac:dyDescent="0.25">
      <c r="A687" s="6">
        <v>40788</v>
      </c>
      <c r="B687" s="7">
        <v>6.21</v>
      </c>
      <c r="C687" s="9">
        <f t="shared" si="108"/>
        <v>-3.2478102122212332E-2</v>
      </c>
      <c r="D687" s="9">
        <f t="shared" si="109"/>
        <v>-3.283357534058523E-2</v>
      </c>
      <c r="E687" s="9"/>
      <c r="F687" s="9"/>
      <c r="G687" s="9"/>
      <c r="H687" s="9"/>
      <c r="I687" s="9"/>
      <c r="J687" s="9"/>
      <c r="K687" s="9"/>
      <c r="L687" s="9"/>
      <c r="M687" s="5"/>
      <c r="AJ687" s="2"/>
    </row>
    <row r="688" spans="1:36" x14ac:dyDescent="0.25">
      <c r="A688" s="6">
        <v>40791</v>
      </c>
      <c r="B688" s="7">
        <v>6.1849999999999996</v>
      </c>
      <c r="C688" s="9">
        <f t="shared" si="108"/>
        <v>-4.0338901009361926E-3</v>
      </c>
      <c r="D688" s="9">
        <f t="shared" si="109"/>
        <v>-4.3893633193090925E-3</v>
      </c>
      <c r="E688" s="9"/>
      <c r="F688" s="9"/>
      <c r="G688" s="9"/>
      <c r="H688" s="9"/>
      <c r="I688" s="9"/>
      <c r="J688" s="9"/>
      <c r="K688" s="9"/>
      <c r="L688" s="9"/>
      <c r="M688" s="5"/>
      <c r="AJ688" s="2"/>
    </row>
    <row r="689" spans="1:36" x14ac:dyDescent="0.25">
      <c r="A689" s="6">
        <v>40792</v>
      </c>
      <c r="B689" s="7">
        <v>6.16</v>
      </c>
      <c r="C689" s="9">
        <f t="shared" si="108"/>
        <v>-4.0502282990227028E-3</v>
      </c>
      <c r="D689" s="9">
        <f t="shared" si="109"/>
        <v>-4.4057015173956026E-3</v>
      </c>
      <c r="E689" s="9"/>
      <c r="F689" s="9"/>
      <c r="G689" s="9"/>
      <c r="H689" s="9"/>
      <c r="I689" s="9"/>
      <c r="J689" s="9"/>
      <c r="K689" s="9"/>
      <c r="L689" s="9"/>
      <c r="M689" s="5"/>
      <c r="AJ689" s="2"/>
    </row>
    <row r="690" spans="1:36" x14ac:dyDescent="0.25">
      <c r="A690" s="6">
        <v>40793</v>
      </c>
      <c r="B690" s="7">
        <v>6.3150000000000004</v>
      </c>
      <c r="C690" s="9">
        <f t="shared" si="108"/>
        <v>2.4850978257026132E-2</v>
      </c>
      <c r="D690" s="9">
        <f t="shared" si="109"/>
        <v>2.4495505038653231E-2</v>
      </c>
      <c r="E690" s="9"/>
      <c r="F690" s="9"/>
      <c r="G690" s="9"/>
      <c r="H690" s="9"/>
      <c r="I690" s="9"/>
      <c r="J690" s="9"/>
      <c r="K690" s="9"/>
      <c r="L690" s="9"/>
      <c r="M690" s="5"/>
      <c r="AJ690" s="2"/>
    </row>
    <row r="691" spans="1:36" x14ac:dyDescent="0.25">
      <c r="A691" s="6">
        <v>40794</v>
      </c>
      <c r="B691" s="7">
        <v>6.2649999999999997</v>
      </c>
      <c r="C691" s="9">
        <f t="shared" si="108"/>
        <v>-7.9491674544228709E-3</v>
      </c>
      <c r="D691" s="9">
        <f t="shared" si="109"/>
        <v>-8.3046406727957708E-3</v>
      </c>
      <c r="E691" s="9"/>
      <c r="F691" s="9"/>
      <c r="G691" s="9"/>
      <c r="H691" s="9"/>
      <c r="I691" s="9"/>
      <c r="J691" s="9"/>
      <c r="K691" s="9"/>
      <c r="L691" s="9"/>
      <c r="M691" s="5"/>
      <c r="AJ691" s="2"/>
    </row>
    <row r="692" spans="1:36" x14ac:dyDescent="0.25">
      <c r="A692" s="6">
        <v>40795</v>
      </c>
      <c r="B692" s="7">
        <v>6.19</v>
      </c>
      <c r="C692" s="9">
        <f t="shared" si="108"/>
        <v>-1.2043501651526773E-2</v>
      </c>
      <c r="D692" s="9">
        <f t="shared" si="109"/>
        <v>-1.2398974869899673E-2</v>
      </c>
      <c r="E692" s="9"/>
      <c r="F692" s="9"/>
      <c r="G692" s="9"/>
      <c r="H692" s="9"/>
      <c r="I692" s="9"/>
      <c r="J692" s="9"/>
      <c r="K692" s="9"/>
      <c r="L692" s="9"/>
      <c r="M692" s="5"/>
      <c r="AJ692" s="2"/>
    </row>
    <row r="693" spans="1:36" x14ac:dyDescent="0.25">
      <c r="A693" s="6">
        <v>40798</v>
      </c>
      <c r="B693" s="7">
        <v>5.96</v>
      </c>
      <c r="C693" s="9">
        <f t="shared" si="108"/>
        <v>-3.7864605619246372E-2</v>
      </c>
      <c r="D693" s="9">
        <f t="shared" si="109"/>
        <v>-3.822007883761927E-2</v>
      </c>
      <c r="E693" s="9"/>
      <c r="F693" s="9"/>
      <c r="G693" s="9"/>
      <c r="H693" s="9"/>
      <c r="I693" s="9"/>
      <c r="J693" s="9"/>
      <c r="K693" s="9"/>
      <c r="L693" s="9"/>
      <c r="M693" s="5"/>
      <c r="AJ693" s="2"/>
    </row>
    <row r="694" spans="1:36" x14ac:dyDescent="0.25">
      <c r="A694" s="6">
        <v>40799</v>
      </c>
      <c r="B694" s="7">
        <v>5.9850000000000003</v>
      </c>
      <c r="C694" s="9">
        <f t="shared" si="108"/>
        <v>4.1858579326780315E-3</v>
      </c>
      <c r="D694" s="9">
        <f t="shared" si="109"/>
        <v>3.8303847143051316E-3</v>
      </c>
      <c r="E694" s="9"/>
      <c r="F694" s="9"/>
      <c r="G694" s="9"/>
      <c r="H694" s="9"/>
      <c r="I694" s="9"/>
      <c r="J694" s="9"/>
      <c r="K694" s="9"/>
      <c r="L694" s="9"/>
      <c r="M694" s="5"/>
      <c r="AJ694" s="2"/>
    </row>
    <row r="695" spans="1:36" x14ac:dyDescent="0.25">
      <c r="A695" s="6">
        <v>40800</v>
      </c>
      <c r="B695" s="7">
        <v>6.0250000000000004</v>
      </c>
      <c r="C695" s="9">
        <f t="shared" si="108"/>
        <v>6.6611403667822221E-3</v>
      </c>
      <c r="D695" s="9">
        <f t="shared" si="109"/>
        <v>6.3056671484093222E-3</v>
      </c>
      <c r="E695" s="9"/>
      <c r="F695" s="9"/>
      <c r="G695" s="9"/>
      <c r="H695" s="9"/>
      <c r="I695" s="9"/>
      <c r="J695" s="9"/>
      <c r="K695" s="9"/>
      <c r="L695" s="9"/>
      <c r="M695" s="5"/>
      <c r="AJ695" s="2"/>
    </row>
    <row r="696" spans="1:36" x14ac:dyDescent="0.25">
      <c r="A696" s="6">
        <v>40801</v>
      </c>
      <c r="B696" s="7">
        <v>6.0350000000000001</v>
      </c>
      <c r="C696" s="9">
        <f t="shared" si="108"/>
        <v>1.6583751727761256E-3</v>
      </c>
      <c r="D696" s="9">
        <f t="shared" si="109"/>
        <v>1.3029019544032257E-3</v>
      </c>
      <c r="E696" s="9"/>
      <c r="F696" s="9"/>
      <c r="G696" s="9"/>
      <c r="H696" s="9"/>
      <c r="I696" s="9"/>
      <c r="J696" s="9"/>
      <c r="K696" s="9"/>
      <c r="L696" s="9"/>
      <c r="M696" s="5"/>
      <c r="AJ696" s="2"/>
    </row>
    <row r="697" spans="1:36" x14ac:dyDescent="0.25">
      <c r="A697" s="6">
        <v>40802</v>
      </c>
      <c r="B697" s="7">
        <v>5.6050000000000004</v>
      </c>
      <c r="C697" s="9">
        <f t="shared" si="108"/>
        <v>-7.3916798025371488E-2</v>
      </c>
      <c r="D697" s="9">
        <f t="shared" si="109"/>
        <v>-7.4272271243744387E-2</v>
      </c>
      <c r="E697" s="9"/>
      <c r="F697" s="9"/>
      <c r="G697" s="9"/>
      <c r="H697" s="9"/>
      <c r="I697" s="9"/>
      <c r="J697" s="9"/>
      <c r="K697" s="9"/>
      <c r="L697" s="9"/>
      <c r="M697" s="5"/>
      <c r="AJ697" s="2"/>
    </row>
    <row r="698" spans="1:36" x14ac:dyDescent="0.25">
      <c r="A698" s="6">
        <v>40805</v>
      </c>
      <c r="B698" s="7">
        <v>5.5600000000000005</v>
      </c>
      <c r="C698" s="9">
        <f t="shared" si="108"/>
        <v>-8.0609482616322385E-3</v>
      </c>
      <c r="D698" s="9">
        <f t="shared" si="109"/>
        <v>-8.4164214800051384E-3</v>
      </c>
      <c r="E698" s="9"/>
      <c r="F698" s="9"/>
      <c r="G698" s="9"/>
      <c r="H698" s="9"/>
      <c r="I698" s="9"/>
      <c r="J698" s="9"/>
      <c r="K698" s="9"/>
      <c r="L698" s="9"/>
      <c r="M698" s="5"/>
      <c r="AJ698" s="2"/>
    </row>
    <row r="699" spans="1:36" x14ac:dyDescent="0.25">
      <c r="A699" s="6">
        <v>40806</v>
      </c>
      <c r="B699" s="7">
        <v>5.6899999999999995</v>
      </c>
      <c r="C699" s="9">
        <f t="shared" si="108"/>
        <v>2.3112139875748405E-2</v>
      </c>
      <c r="D699" s="9">
        <f t="shared" si="109"/>
        <v>2.2756666657375503E-2</v>
      </c>
      <c r="E699" s="9"/>
      <c r="F699" s="9"/>
      <c r="G699" s="9"/>
      <c r="H699" s="9"/>
      <c r="I699" s="9"/>
      <c r="J699" s="9"/>
      <c r="K699" s="9"/>
      <c r="L699" s="9"/>
      <c r="M699" s="5"/>
      <c r="AJ699" s="2"/>
    </row>
    <row r="700" spans="1:36" x14ac:dyDescent="0.25">
      <c r="A700" s="6">
        <v>40807</v>
      </c>
      <c r="B700" s="7">
        <v>5.5049999999999999</v>
      </c>
      <c r="C700" s="9">
        <f t="shared" si="108"/>
        <v>-3.3053477963596194E-2</v>
      </c>
      <c r="D700" s="9">
        <f t="shared" si="109"/>
        <v>-3.3408951181969092E-2</v>
      </c>
      <c r="E700" s="9"/>
      <c r="F700" s="9"/>
      <c r="G700" s="9"/>
      <c r="H700" s="9"/>
      <c r="I700" s="9"/>
      <c r="J700" s="9"/>
      <c r="K700" s="9"/>
      <c r="L700" s="9"/>
      <c r="M700" s="5"/>
      <c r="AJ700" s="2"/>
    </row>
    <row r="701" spans="1:36" x14ac:dyDescent="0.25">
      <c r="A701" s="6">
        <v>40808</v>
      </c>
      <c r="B701" s="7">
        <v>5.5</v>
      </c>
      <c r="C701" s="9">
        <f t="shared" ref="C701:C764" si="110">LN(B701/B700)</f>
        <v>-9.0867793621806432E-4</v>
      </c>
      <c r="D701" s="9">
        <f t="shared" si="109"/>
        <v>-1.2641511545909642E-3</v>
      </c>
      <c r="E701" s="9"/>
      <c r="F701" s="9"/>
      <c r="G701" s="9"/>
      <c r="H701" s="9"/>
      <c r="I701" s="9"/>
      <c r="J701" s="9"/>
      <c r="K701" s="9"/>
      <c r="L701" s="9"/>
      <c r="M701" s="5"/>
      <c r="AJ701" s="2"/>
    </row>
    <row r="702" spans="1:36" x14ac:dyDescent="0.25">
      <c r="A702" s="6">
        <v>40809</v>
      </c>
      <c r="B702" s="7">
        <v>5.57</v>
      </c>
      <c r="C702" s="9">
        <f t="shared" si="110"/>
        <v>1.264696170076739E-2</v>
      </c>
      <c r="D702" s="9">
        <f t="shared" si="109"/>
        <v>1.229148848239449E-2</v>
      </c>
      <c r="E702" s="9"/>
      <c r="F702" s="9"/>
      <c r="G702" s="9"/>
      <c r="H702" s="9"/>
      <c r="I702" s="9"/>
      <c r="J702" s="9"/>
      <c r="K702" s="9"/>
      <c r="L702" s="9"/>
      <c r="M702" s="5"/>
      <c r="AJ702" s="2"/>
    </row>
    <row r="703" spans="1:36" x14ac:dyDescent="0.25">
      <c r="A703" s="6">
        <v>40812</v>
      </c>
      <c r="B703" s="7">
        <v>5.7249999999999996</v>
      </c>
      <c r="C703" s="9">
        <f t="shared" si="110"/>
        <v>2.7447495501110565E-2</v>
      </c>
      <c r="D703" s="9">
        <f t="shared" si="109"/>
        <v>2.7092022282737663E-2</v>
      </c>
      <c r="E703" s="9"/>
      <c r="F703" s="9"/>
      <c r="G703" s="9"/>
      <c r="H703" s="9"/>
      <c r="I703" s="9"/>
      <c r="J703" s="9"/>
      <c r="K703" s="9"/>
      <c r="L703" s="9"/>
      <c r="M703" s="5"/>
      <c r="AJ703" s="2"/>
    </row>
    <row r="704" spans="1:36" x14ac:dyDescent="0.25">
      <c r="A704" s="6">
        <v>40813</v>
      </c>
      <c r="B704" s="7">
        <v>5.96</v>
      </c>
      <c r="C704" s="9">
        <f t="shared" si="110"/>
        <v>4.0227931636955157E-2</v>
      </c>
      <c r="D704" s="9">
        <f t="shared" si="109"/>
        <v>3.9872458418582259E-2</v>
      </c>
      <c r="E704" s="9"/>
      <c r="F704" s="9"/>
      <c r="G704" s="9"/>
      <c r="H704" s="9"/>
      <c r="I704" s="9"/>
      <c r="J704" s="9"/>
      <c r="K704" s="9"/>
      <c r="L704" s="9"/>
      <c r="M704" s="5"/>
      <c r="AJ704" s="2"/>
    </row>
    <row r="705" spans="1:36" x14ac:dyDescent="0.25">
      <c r="A705" s="6">
        <v>40814</v>
      </c>
      <c r="B705" s="7">
        <v>5.9749999999999996</v>
      </c>
      <c r="C705" s="9">
        <f t="shared" si="110"/>
        <v>2.5136167403158995E-3</v>
      </c>
      <c r="D705" s="9">
        <f t="shared" si="109"/>
        <v>2.1581435219429996E-3</v>
      </c>
      <c r="E705" s="9"/>
      <c r="F705" s="9"/>
      <c r="G705" s="9"/>
      <c r="H705" s="9"/>
      <c r="I705" s="9"/>
      <c r="J705" s="9"/>
      <c r="K705" s="9"/>
      <c r="L705" s="9"/>
      <c r="M705" s="5"/>
      <c r="AJ705" s="2"/>
    </row>
    <row r="706" spans="1:36" x14ac:dyDescent="0.25">
      <c r="A706" s="6">
        <v>40815</v>
      </c>
      <c r="B706" s="7">
        <v>6.08</v>
      </c>
      <c r="C706" s="9">
        <f t="shared" si="110"/>
        <v>1.7420598160501441E-2</v>
      </c>
      <c r="D706" s="9">
        <f t="shared" si="109"/>
        <v>1.7065124942128539E-2</v>
      </c>
      <c r="E706" s="9"/>
      <c r="F706" s="9"/>
      <c r="G706" s="9"/>
      <c r="H706" s="9"/>
      <c r="I706" s="9"/>
      <c r="J706" s="9"/>
      <c r="K706" s="9"/>
      <c r="L706" s="9"/>
      <c r="M706" s="5"/>
      <c r="AJ706" s="2"/>
    </row>
    <row r="707" spans="1:36" x14ac:dyDescent="0.25">
      <c r="A707" s="6">
        <v>40816</v>
      </c>
      <c r="B707" s="7">
        <v>5.915</v>
      </c>
      <c r="C707" s="9">
        <f t="shared" si="110"/>
        <v>-2.7513198547725534E-2</v>
      </c>
      <c r="D707" s="9">
        <f t="shared" si="109"/>
        <v>-2.7868671766098436E-2</v>
      </c>
      <c r="E707" s="9"/>
      <c r="F707" s="9"/>
      <c r="G707" s="9"/>
      <c r="H707" s="9"/>
      <c r="I707" s="9"/>
      <c r="J707" s="9"/>
      <c r="K707" s="9"/>
      <c r="L707" s="9"/>
      <c r="M707" s="5"/>
      <c r="AJ707" s="2"/>
    </row>
    <row r="708" spans="1:36" x14ac:dyDescent="0.25">
      <c r="A708" s="6">
        <v>40819</v>
      </c>
      <c r="B708" s="7">
        <v>5.8</v>
      </c>
      <c r="C708" s="9">
        <f t="shared" si="110"/>
        <v>-1.9633579877976516E-2</v>
      </c>
      <c r="D708" s="9">
        <f t="shared" si="109"/>
        <v>-1.9989053096349418E-2</v>
      </c>
      <c r="E708" s="9"/>
      <c r="F708" s="9"/>
      <c r="G708" s="9"/>
      <c r="H708" s="9"/>
      <c r="I708" s="9"/>
      <c r="J708" s="9"/>
      <c r="K708" s="9"/>
      <c r="L708" s="9"/>
      <c r="M708" s="5"/>
      <c r="AJ708" s="2"/>
    </row>
    <row r="709" spans="1:36" x14ac:dyDescent="0.25">
      <c r="A709" s="6">
        <v>40820</v>
      </c>
      <c r="B709" s="7">
        <v>5.6449999999999996</v>
      </c>
      <c r="C709" s="9">
        <f t="shared" si="110"/>
        <v>-2.7087719950748396E-2</v>
      </c>
      <c r="D709" s="9">
        <f t="shared" si="109"/>
        <v>-2.7443193169121298E-2</v>
      </c>
      <c r="E709" s="9"/>
      <c r="F709" s="9"/>
      <c r="G709" s="9"/>
      <c r="H709" s="9"/>
      <c r="I709" s="9"/>
      <c r="J709" s="9"/>
      <c r="K709" s="9"/>
      <c r="L709" s="9"/>
      <c r="M709" s="5"/>
      <c r="AJ709" s="2"/>
    </row>
    <row r="710" spans="1:36" x14ac:dyDescent="0.25">
      <c r="A710" s="6">
        <v>40821</v>
      </c>
      <c r="B710" s="7">
        <v>5.77</v>
      </c>
      <c r="C710" s="9">
        <f t="shared" si="110"/>
        <v>2.1901882918382888E-2</v>
      </c>
      <c r="D710" s="9">
        <f t="shared" si="109"/>
        <v>2.1546409700009986E-2</v>
      </c>
      <c r="E710" s="9"/>
      <c r="F710" s="9"/>
      <c r="G710" s="9"/>
      <c r="H710" s="9"/>
      <c r="I710" s="9"/>
      <c r="J710" s="9"/>
      <c r="K710" s="9"/>
      <c r="L710" s="9"/>
      <c r="M710" s="5"/>
      <c r="AJ710" s="2"/>
    </row>
    <row r="711" spans="1:36" x14ac:dyDescent="0.25">
      <c r="A711" s="6">
        <v>40822</v>
      </c>
      <c r="B711" s="7">
        <v>5.915</v>
      </c>
      <c r="C711" s="9">
        <f t="shared" si="110"/>
        <v>2.4819416910341917E-2</v>
      </c>
      <c r="D711" s="9">
        <f t="shared" si="109"/>
        <v>2.4463943691969015E-2</v>
      </c>
      <c r="E711" s="9"/>
      <c r="F711" s="9"/>
      <c r="G711" s="9"/>
      <c r="H711" s="9"/>
      <c r="I711" s="9"/>
      <c r="J711" s="9"/>
      <c r="K711" s="9"/>
      <c r="L711" s="9"/>
      <c r="M711" s="5"/>
      <c r="AJ711" s="2"/>
    </row>
    <row r="712" spans="1:36" x14ac:dyDescent="0.25">
      <c r="A712" s="6">
        <v>40823</v>
      </c>
      <c r="B712" s="7">
        <v>5.83</v>
      </c>
      <c r="C712" s="9">
        <f t="shared" si="110"/>
        <v>-1.4474497067949116E-2</v>
      </c>
      <c r="D712" s="9">
        <f t="shared" si="109"/>
        <v>-1.4829970286322016E-2</v>
      </c>
      <c r="E712" s="9"/>
      <c r="F712" s="9"/>
      <c r="G712" s="9"/>
      <c r="H712" s="9"/>
      <c r="I712" s="9"/>
      <c r="J712" s="9"/>
      <c r="K712" s="9"/>
      <c r="L712" s="9"/>
      <c r="M712" s="5"/>
      <c r="AJ712" s="2"/>
    </row>
    <row r="713" spans="1:36" x14ac:dyDescent="0.25">
      <c r="A713" s="6">
        <v>40826</v>
      </c>
      <c r="B713" s="7">
        <v>5.97</v>
      </c>
      <c r="C713" s="9">
        <f t="shared" si="110"/>
        <v>2.3729927042109685E-2</v>
      </c>
      <c r="D713" s="9">
        <f t="shared" si="109"/>
        <v>2.3374453823736784E-2</v>
      </c>
      <c r="E713" s="9"/>
      <c r="F713" s="9"/>
      <c r="G713" s="9"/>
      <c r="H713" s="9"/>
      <c r="I713" s="9"/>
      <c r="J713" s="9"/>
      <c r="K713" s="9"/>
      <c r="L713" s="9"/>
      <c r="M713" s="5"/>
      <c r="AJ713" s="2"/>
    </row>
    <row r="714" spans="1:36" x14ac:dyDescent="0.25">
      <c r="A714" s="6">
        <v>40827</v>
      </c>
      <c r="B714" s="7">
        <v>6.0149999999999997</v>
      </c>
      <c r="C714" s="9">
        <f t="shared" si="110"/>
        <v>7.5094220221315683E-3</v>
      </c>
      <c r="D714" s="9">
        <f t="shared" si="109"/>
        <v>7.1539488037586684E-3</v>
      </c>
      <c r="E714" s="9"/>
      <c r="F714" s="9"/>
      <c r="G714" s="9"/>
      <c r="H714" s="9"/>
      <c r="I714" s="9"/>
      <c r="J714" s="9"/>
      <c r="K714" s="9"/>
      <c r="L714" s="9"/>
      <c r="M714" s="5"/>
      <c r="AJ714" s="2"/>
    </row>
    <row r="715" spans="1:36" x14ac:dyDescent="0.25">
      <c r="A715" s="6">
        <v>40828</v>
      </c>
      <c r="B715" s="7">
        <v>6.09</v>
      </c>
      <c r="C715" s="9">
        <f t="shared" si="110"/>
        <v>1.2391732295163457E-2</v>
      </c>
      <c r="D715" s="9">
        <f t="shared" si="109"/>
        <v>1.2036259076790557E-2</v>
      </c>
      <c r="E715" s="9"/>
      <c r="F715" s="9"/>
      <c r="G715" s="9"/>
      <c r="H715" s="9"/>
      <c r="I715" s="9"/>
      <c r="J715" s="9"/>
      <c r="K715" s="9"/>
      <c r="L715" s="9"/>
      <c r="M715" s="5"/>
      <c r="AJ715" s="2"/>
    </row>
    <row r="716" spans="1:36" x14ac:dyDescent="0.25">
      <c r="A716" s="6">
        <v>40829</v>
      </c>
      <c r="B716" s="7">
        <v>5.9450000000000003</v>
      </c>
      <c r="C716" s="9">
        <f t="shared" si="110"/>
        <v>-2.4097551579060416E-2</v>
      </c>
      <c r="D716" s="9">
        <f t="shared" si="109"/>
        <v>-2.4453024797433318E-2</v>
      </c>
      <c r="E716" s="9"/>
      <c r="F716" s="9"/>
      <c r="G716" s="9"/>
      <c r="H716" s="9"/>
      <c r="I716" s="9"/>
      <c r="J716" s="9"/>
      <c r="K716" s="9"/>
      <c r="L716" s="9"/>
      <c r="M716" s="5"/>
      <c r="AJ716" s="2"/>
    </row>
    <row r="717" spans="1:36" x14ac:dyDescent="0.25">
      <c r="A717" s="6">
        <v>40830</v>
      </c>
      <c r="B717" s="7">
        <v>6.085</v>
      </c>
      <c r="C717" s="9">
        <f t="shared" si="110"/>
        <v>2.3276196296745377E-2</v>
      </c>
      <c r="D717" s="9">
        <f t="shared" si="109"/>
        <v>2.2920723078372476E-2</v>
      </c>
      <c r="E717" s="9"/>
      <c r="F717" s="9"/>
      <c r="G717" s="9"/>
      <c r="H717" s="9"/>
      <c r="I717" s="9"/>
      <c r="J717" s="9"/>
      <c r="K717" s="9"/>
      <c r="L717" s="9"/>
      <c r="M717" s="5"/>
      <c r="AJ717" s="2"/>
    </row>
    <row r="718" spans="1:36" x14ac:dyDescent="0.25">
      <c r="A718" s="6">
        <v>40833</v>
      </c>
      <c r="B718" s="7">
        <v>5.96</v>
      </c>
      <c r="C718" s="9">
        <f t="shared" si="110"/>
        <v>-2.0756245362232126E-2</v>
      </c>
      <c r="D718" s="9">
        <f t="shared" si="109"/>
        <v>-2.1111718580605027E-2</v>
      </c>
      <c r="E718" s="9"/>
      <c r="F718" s="9"/>
      <c r="G718" s="9"/>
      <c r="H718" s="9"/>
      <c r="I718" s="9"/>
      <c r="J718" s="9"/>
      <c r="K718" s="9"/>
      <c r="L718" s="9"/>
      <c r="M718" s="5"/>
      <c r="AJ718" s="2"/>
    </row>
    <row r="719" spans="1:36" x14ac:dyDescent="0.25">
      <c r="A719" s="6">
        <v>40834</v>
      </c>
      <c r="B719" s="7">
        <v>6</v>
      </c>
      <c r="C719" s="9">
        <f t="shared" si="110"/>
        <v>6.6889881507967101E-3</v>
      </c>
      <c r="D719" s="9">
        <f t="shared" si="109"/>
        <v>6.3335149324238102E-3</v>
      </c>
      <c r="E719" s="9"/>
      <c r="F719" s="9"/>
      <c r="G719" s="9"/>
      <c r="H719" s="9"/>
      <c r="I719" s="9"/>
      <c r="J719" s="9"/>
      <c r="K719" s="9"/>
      <c r="L719" s="9"/>
      <c r="M719" s="5"/>
      <c r="AJ719" s="2"/>
    </row>
    <row r="720" spans="1:36" x14ac:dyDescent="0.25">
      <c r="A720" s="6">
        <v>40835</v>
      </c>
      <c r="B720" s="7">
        <v>6.1050000000000004</v>
      </c>
      <c r="C720" s="9">
        <f t="shared" si="110"/>
        <v>1.7348638334613073E-2</v>
      </c>
      <c r="D720" s="9">
        <f t="shared" si="109"/>
        <v>1.6993165116240171E-2</v>
      </c>
      <c r="E720" s="9"/>
      <c r="F720" s="9"/>
      <c r="G720" s="9"/>
      <c r="H720" s="9"/>
      <c r="I720" s="9"/>
      <c r="J720" s="9"/>
      <c r="K720" s="9"/>
      <c r="L720" s="9"/>
      <c r="M720" s="5"/>
      <c r="AJ720" s="2"/>
    </row>
    <row r="721" spans="1:36" x14ac:dyDescent="0.25">
      <c r="A721" s="6">
        <v>40836</v>
      </c>
      <c r="B721" s="7">
        <v>5.9950000000000001</v>
      </c>
      <c r="C721" s="9">
        <f t="shared" si="110"/>
        <v>-1.8182319083190474E-2</v>
      </c>
      <c r="D721" s="9">
        <f t="shared" si="109"/>
        <v>-1.8537792301563376E-2</v>
      </c>
      <c r="E721" s="9"/>
      <c r="F721" s="9"/>
      <c r="G721" s="9"/>
      <c r="H721" s="9"/>
      <c r="I721" s="9"/>
      <c r="J721" s="9"/>
      <c r="K721" s="9"/>
      <c r="L721" s="9"/>
      <c r="M721" s="5"/>
      <c r="AJ721" s="2"/>
    </row>
    <row r="722" spans="1:36" x14ac:dyDescent="0.25">
      <c r="A722" s="6">
        <v>40837</v>
      </c>
      <c r="B722" s="7">
        <v>6.0250000000000004</v>
      </c>
      <c r="C722" s="9">
        <f t="shared" si="110"/>
        <v>4.9916908972411963E-3</v>
      </c>
      <c r="D722" s="9">
        <f t="shared" si="109"/>
        <v>4.6362176788682964E-3</v>
      </c>
      <c r="E722" s="9"/>
      <c r="F722" s="9"/>
      <c r="G722" s="9"/>
      <c r="H722" s="9"/>
      <c r="I722" s="9"/>
      <c r="J722" s="9"/>
      <c r="K722" s="9"/>
      <c r="L722" s="9"/>
      <c r="M722" s="5"/>
      <c r="AJ722" s="2"/>
    </row>
    <row r="723" spans="1:36" x14ac:dyDescent="0.25">
      <c r="A723" s="6">
        <v>40840</v>
      </c>
      <c r="B723" s="7">
        <v>6.01</v>
      </c>
      <c r="C723" s="9">
        <f t="shared" si="110"/>
        <v>-2.492730829602584E-3</v>
      </c>
      <c r="D723" s="9">
        <f t="shared" si="109"/>
        <v>-2.8482040479754838E-3</v>
      </c>
      <c r="E723" s="9"/>
      <c r="F723" s="9"/>
      <c r="G723" s="9"/>
      <c r="H723" s="9"/>
      <c r="I723" s="9"/>
      <c r="J723" s="9"/>
      <c r="K723" s="9"/>
      <c r="L723" s="9"/>
      <c r="M723" s="5"/>
      <c r="AJ723" s="2"/>
    </row>
    <row r="724" spans="1:36" x14ac:dyDescent="0.25">
      <c r="A724" s="6">
        <v>40841</v>
      </c>
      <c r="B724" s="7">
        <v>5.9850000000000003</v>
      </c>
      <c r="C724" s="9">
        <f t="shared" si="110"/>
        <v>-4.168409537179626E-3</v>
      </c>
      <c r="D724" s="9">
        <f t="shared" si="109"/>
        <v>-4.5238827555525258E-3</v>
      </c>
      <c r="E724" s="9"/>
      <c r="F724" s="9"/>
      <c r="G724" s="9"/>
      <c r="H724" s="9"/>
      <c r="I724" s="9"/>
      <c r="J724" s="9"/>
      <c r="K724" s="9"/>
      <c r="L724" s="9"/>
      <c r="M724" s="5"/>
      <c r="AJ724" s="2"/>
    </row>
    <row r="725" spans="1:36" x14ac:dyDescent="0.25">
      <c r="A725" s="6">
        <v>40842</v>
      </c>
      <c r="B725" s="7">
        <v>5.9249999999999998</v>
      </c>
      <c r="C725" s="9">
        <f t="shared" si="110"/>
        <v>-1.0075651988741699E-2</v>
      </c>
      <c r="D725" s="9">
        <f t="shared" ref="D725:D788" si="111">C725-$C$59/252</f>
        <v>-1.0431125207114599E-2</v>
      </c>
      <c r="E725" s="9"/>
      <c r="F725" s="9"/>
      <c r="G725" s="9"/>
      <c r="H725" s="9"/>
      <c r="I725" s="9"/>
      <c r="J725" s="9"/>
      <c r="K725" s="9"/>
      <c r="L725" s="9"/>
      <c r="M725" s="5"/>
      <c r="AJ725" s="2"/>
    </row>
    <row r="726" spans="1:36" x14ac:dyDescent="0.25">
      <c r="A726" s="6">
        <v>40843</v>
      </c>
      <c r="B726" s="7">
        <v>6.1050000000000004</v>
      </c>
      <c r="C726" s="9">
        <f t="shared" si="110"/>
        <v>2.9927420541473276E-2</v>
      </c>
      <c r="D726" s="9">
        <f t="shared" si="111"/>
        <v>2.9571947323100374E-2</v>
      </c>
      <c r="E726" s="9"/>
      <c r="F726" s="9"/>
      <c r="G726" s="9"/>
      <c r="H726" s="9"/>
      <c r="I726" s="9"/>
      <c r="J726" s="9"/>
      <c r="K726" s="9"/>
      <c r="L726" s="9"/>
      <c r="M726" s="5"/>
      <c r="AJ726" s="2"/>
    </row>
    <row r="727" spans="1:36" x14ac:dyDescent="0.25">
      <c r="A727" s="6">
        <v>40844</v>
      </c>
      <c r="B727" s="7">
        <v>6.03</v>
      </c>
      <c r="C727" s="9">
        <f t="shared" si="110"/>
        <v>-1.2361096823573975E-2</v>
      </c>
      <c r="D727" s="9">
        <f t="shared" si="111"/>
        <v>-1.2716570041946875E-2</v>
      </c>
      <c r="E727" s="9"/>
      <c r="F727" s="9"/>
      <c r="G727" s="9"/>
      <c r="H727" s="9"/>
      <c r="I727" s="9"/>
      <c r="J727" s="9"/>
      <c r="K727" s="9"/>
      <c r="L727" s="9"/>
      <c r="M727" s="5"/>
      <c r="AJ727" s="2"/>
    </row>
    <row r="728" spans="1:36" x14ac:dyDescent="0.25">
      <c r="A728" s="6">
        <v>40847</v>
      </c>
      <c r="B728" s="7">
        <v>5.76</v>
      </c>
      <c r="C728" s="9">
        <f t="shared" si="110"/>
        <v>-4.580953603129434E-2</v>
      </c>
      <c r="D728" s="9">
        <f t="shared" si="111"/>
        <v>-4.6165009249667238E-2</v>
      </c>
      <c r="E728" s="9"/>
      <c r="F728" s="9"/>
      <c r="G728" s="9"/>
      <c r="H728" s="9"/>
      <c r="I728" s="9"/>
      <c r="J728" s="9"/>
      <c r="K728" s="9"/>
      <c r="L728" s="9"/>
      <c r="M728" s="5"/>
      <c r="AJ728" s="2"/>
    </row>
    <row r="729" spans="1:36" x14ac:dyDescent="0.25">
      <c r="A729" s="6">
        <v>40848</v>
      </c>
      <c r="B729" s="7">
        <v>5.48</v>
      </c>
      <c r="C729" s="9">
        <f t="shared" si="110"/>
        <v>-4.9832373747875643E-2</v>
      </c>
      <c r="D729" s="9">
        <f t="shared" si="111"/>
        <v>-5.0187846966248541E-2</v>
      </c>
      <c r="E729" s="9"/>
      <c r="F729" s="9"/>
      <c r="G729" s="9"/>
      <c r="H729" s="9"/>
      <c r="I729" s="9"/>
      <c r="J729" s="9"/>
      <c r="K729" s="9"/>
      <c r="L729" s="9"/>
      <c r="M729" s="5"/>
      <c r="AJ729" s="2"/>
    </row>
    <row r="730" spans="1:36" x14ac:dyDescent="0.25">
      <c r="A730" s="6">
        <v>40849</v>
      </c>
      <c r="B730" s="7">
        <v>5.5549999999999997</v>
      </c>
      <c r="C730" s="9">
        <f t="shared" si="110"/>
        <v>1.3593322131669094E-2</v>
      </c>
      <c r="D730" s="9">
        <f t="shared" si="111"/>
        <v>1.3237848913296194E-2</v>
      </c>
      <c r="E730" s="9"/>
      <c r="F730" s="9"/>
      <c r="G730" s="9"/>
      <c r="H730" s="9"/>
      <c r="I730" s="9"/>
      <c r="J730" s="9"/>
      <c r="K730" s="9"/>
      <c r="L730" s="9"/>
      <c r="M730" s="5"/>
      <c r="AJ730" s="2"/>
    </row>
    <row r="731" spans="1:36" x14ac:dyDescent="0.25">
      <c r="A731" s="6">
        <v>40850</v>
      </c>
      <c r="B731" s="7">
        <v>5.665</v>
      </c>
      <c r="C731" s="9">
        <f t="shared" si="110"/>
        <v>1.9608471388376337E-2</v>
      </c>
      <c r="D731" s="9">
        <f t="shared" si="111"/>
        <v>1.9252998170003435E-2</v>
      </c>
      <c r="E731" s="9"/>
      <c r="F731" s="9"/>
      <c r="G731" s="9"/>
      <c r="H731" s="9"/>
      <c r="I731" s="9"/>
      <c r="J731" s="9"/>
      <c r="K731" s="9"/>
      <c r="L731" s="9"/>
      <c r="M731" s="5"/>
      <c r="AJ731" s="2"/>
    </row>
    <row r="732" spans="1:36" x14ac:dyDescent="0.25">
      <c r="A732" s="6">
        <v>40851</v>
      </c>
      <c r="B732" s="7">
        <v>5.415</v>
      </c>
      <c r="C732" s="9">
        <f t="shared" si="110"/>
        <v>-4.5134014027015737E-2</v>
      </c>
      <c r="D732" s="9">
        <f t="shared" si="111"/>
        <v>-4.5489487245388635E-2</v>
      </c>
      <c r="E732" s="9"/>
      <c r="F732" s="9"/>
      <c r="G732" s="9"/>
      <c r="H732" s="9"/>
      <c r="I732" s="9"/>
      <c r="J732" s="9"/>
      <c r="K732" s="9"/>
      <c r="L732" s="9"/>
      <c r="M732" s="5"/>
      <c r="AJ732" s="2"/>
    </row>
    <row r="733" spans="1:36" x14ac:dyDescent="0.25">
      <c r="A733" s="6">
        <v>40854</v>
      </c>
      <c r="B733" s="7">
        <v>5.7050000000000001</v>
      </c>
      <c r="C733" s="9">
        <f t="shared" si="110"/>
        <v>5.2170102861084963E-2</v>
      </c>
      <c r="D733" s="9">
        <f t="shared" si="111"/>
        <v>5.1814629642712065E-2</v>
      </c>
      <c r="E733" s="9"/>
      <c r="F733" s="9"/>
      <c r="G733" s="9"/>
      <c r="H733" s="9"/>
      <c r="I733" s="9"/>
      <c r="J733" s="9"/>
      <c r="K733" s="9"/>
      <c r="L733" s="9"/>
      <c r="M733" s="5"/>
      <c r="AJ733" s="2"/>
    </row>
    <row r="734" spans="1:36" x14ac:dyDescent="0.25">
      <c r="A734" s="6">
        <v>40855</v>
      </c>
      <c r="B734" s="7">
        <v>5.7149999999999999</v>
      </c>
      <c r="C734" s="9">
        <f t="shared" si="110"/>
        <v>1.75131393273488E-3</v>
      </c>
      <c r="D734" s="9">
        <f t="shared" si="111"/>
        <v>1.3958407143619801E-3</v>
      </c>
      <c r="E734" s="9"/>
      <c r="F734" s="9"/>
      <c r="G734" s="9"/>
      <c r="H734" s="9"/>
      <c r="I734" s="9"/>
      <c r="J734" s="9"/>
      <c r="K734" s="9"/>
      <c r="L734" s="9"/>
      <c r="M734" s="5"/>
      <c r="AJ734" s="2"/>
    </row>
    <row r="735" spans="1:36" x14ac:dyDescent="0.25">
      <c r="A735" s="6">
        <v>40856</v>
      </c>
      <c r="B735" s="7">
        <v>5.47</v>
      </c>
      <c r="C735" s="9">
        <f t="shared" si="110"/>
        <v>-4.3815680812884165E-2</v>
      </c>
      <c r="D735" s="9">
        <f t="shared" si="111"/>
        <v>-4.4171154031257064E-2</v>
      </c>
      <c r="E735" s="9"/>
      <c r="F735" s="9"/>
      <c r="G735" s="9"/>
      <c r="H735" s="9"/>
      <c r="I735" s="9"/>
      <c r="J735" s="9"/>
      <c r="K735" s="9"/>
      <c r="L735" s="9"/>
      <c r="M735" s="5"/>
      <c r="AJ735" s="2"/>
    </row>
    <row r="736" spans="1:36" x14ac:dyDescent="0.25">
      <c r="A736" s="6">
        <v>40857</v>
      </c>
      <c r="B736" s="7">
        <v>5.5049999999999999</v>
      </c>
      <c r="C736" s="9">
        <f t="shared" si="110"/>
        <v>6.3781537407533928E-3</v>
      </c>
      <c r="D736" s="9">
        <f t="shared" si="111"/>
        <v>6.0226805223804929E-3</v>
      </c>
      <c r="E736" s="9"/>
      <c r="F736" s="9"/>
      <c r="G736" s="9"/>
      <c r="H736" s="9"/>
      <c r="I736" s="9"/>
      <c r="J736" s="9"/>
      <c r="K736" s="9"/>
      <c r="L736" s="9"/>
      <c r="M736" s="5"/>
      <c r="AJ736" s="2"/>
    </row>
    <row r="737" spans="1:36" x14ac:dyDescent="0.25">
      <c r="A737" s="6">
        <v>40858</v>
      </c>
      <c r="B737" s="7">
        <v>5.6899999999999995</v>
      </c>
      <c r="C737" s="9">
        <f t="shared" si="110"/>
        <v>3.3053477963596208E-2</v>
      </c>
      <c r="D737" s="9">
        <f t="shared" si="111"/>
        <v>3.2698004745223309E-2</v>
      </c>
      <c r="E737" s="9"/>
      <c r="F737" s="9"/>
      <c r="G737" s="9"/>
      <c r="H737" s="9"/>
      <c r="I737" s="9"/>
      <c r="J737" s="9"/>
      <c r="K737" s="9"/>
      <c r="L737" s="9"/>
      <c r="M737" s="5"/>
      <c r="AJ737" s="2"/>
    </row>
    <row r="738" spans="1:36" x14ac:dyDescent="0.25">
      <c r="A738" s="6">
        <v>40861</v>
      </c>
      <c r="B738" s="7">
        <v>5.5449999999999999</v>
      </c>
      <c r="C738" s="9">
        <f t="shared" si="110"/>
        <v>-2.5813627335909178E-2</v>
      </c>
      <c r="D738" s="9">
        <f t="shared" si="111"/>
        <v>-2.6169100554282079E-2</v>
      </c>
      <c r="E738" s="9"/>
      <c r="F738" s="9"/>
      <c r="G738" s="9"/>
      <c r="H738" s="9"/>
      <c r="I738" s="9"/>
      <c r="J738" s="9"/>
      <c r="K738" s="9"/>
      <c r="L738" s="9"/>
      <c r="M738" s="5"/>
      <c r="AJ738" s="2"/>
    </row>
    <row r="739" spans="1:36" x14ac:dyDescent="0.25">
      <c r="A739" s="6">
        <v>40862</v>
      </c>
      <c r="B739" s="7">
        <v>5.5949999999999998</v>
      </c>
      <c r="C739" s="9">
        <f t="shared" si="110"/>
        <v>8.9767209615581253E-3</v>
      </c>
      <c r="D739" s="9">
        <f t="shared" si="111"/>
        <v>8.6212477431852255E-3</v>
      </c>
      <c r="E739" s="9"/>
      <c r="F739" s="9"/>
      <c r="G739" s="9"/>
      <c r="H739" s="9"/>
      <c r="I739" s="9"/>
      <c r="J739" s="9"/>
      <c r="K739" s="9"/>
      <c r="L739" s="9"/>
      <c r="M739" s="5"/>
      <c r="AJ739" s="2"/>
    </row>
    <row r="740" spans="1:36" x14ac:dyDescent="0.25">
      <c r="A740" s="6">
        <v>40863</v>
      </c>
      <c r="B740" s="7">
        <v>5.5</v>
      </c>
      <c r="C740" s="9">
        <f t="shared" si="110"/>
        <v>-1.7125249525463258E-2</v>
      </c>
      <c r="D740" s="9">
        <f t="shared" si="111"/>
        <v>-1.748072274383616E-2</v>
      </c>
      <c r="E740" s="9"/>
      <c r="F740" s="9"/>
      <c r="G740" s="9"/>
      <c r="H740" s="9"/>
      <c r="I740" s="9"/>
      <c r="J740" s="9"/>
      <c r="K740" s="9"/>
      <c r="L740" s="9"/>
      <c r="M740" s="5"/>
      <c r="AJ740" s="2"/>
    </row>
    <row r="741" spans="1:36" x14ac:dyDescent="0.25">
      <c r="A741" s="6">
        <v>40864</v>
      </c>
      <c r="B741" s="7">
        <v>5.375</v>
      </c>
      <c r="C741" s="9">
        <f t="shared" si="110"/>
        <v>-2.2989518224698718E-2</v>
      </c>
      <c r="D741" s="9">
        <f t="shared" si="111"/>
        <v>-2.334499144307162E-2</v>
      </c>
      <c r="E741" s="9"/>
      <c r="F741" s="9"/>
      <c r="G741" s="9"/>
      <c r="H741" s="9"/>
      <c r="I741" s="9"/>
      <c r="J741" s="9"/>
      <c r="K741" s="9"/>
      <c r="L741" s="9"/>
      <c r="M741" s="5"/>
      <c r="AJ741" s="2"/>
    </row>
    <row r="742" spans="1:36" x14ac:dyDescent="0.25">
      <c r="A742" s="6">
        <v>40865</v>
      </c>
      <c r="B742" s="7">
        <v>5.18</v>
      </c>
      <c r="C742" s="9">
        <f t="shared" si="110"/>
        <v>-3.6953517742334831E-2</v>
      </c>
      <c r="D742" s="9">
        <f t="shared" si="111"/>
        <v>-3.7308990960707729E-2</v>
      </c>
      <c r="E742" s="9"/>
      <c r="F742" s="9"/>
      <c r="G742" s="9"/>
      <c r="H742" s="9"/>
      <c r="I742" s="9"/>
      <c r="J742" s="9"/>
      <c r="K742" s="9"/>
      <c r="L742" s="9"/>
      <c r="M742" s="5"/>
      <c r="AJ742" s="2"/>
    </row>
    <row r="743" spans="1:36" x14ac:dyDescent="0.25">
      <c r="A743" s="6">
        <v>40868</v>
      </c>
      <c r="B743" s="7">
        <v>4.8440000000000003</v>
      </c>
      <c r="C743" s="9">
        <f t="shared" si="110"/>
        <v>-6.7064230580545753E-2</v>
      </c>
      <c r="D743" s="9">
        <f t="shared" si="111"/>
        <v>-6.7419703798918651E-2</v>
      </c>
      <c r="E743" s="9"/>
      <c r="F743" s="9"/>
      <c r="G743" s="9"/>
      <c r="H743" s="9"/>
      <c r="I743" s="9"/>
      <c r="J743" s="9"/>
      <c r="K743" s="9"/>
      <c r="L743" s="9"/>
      <c r="M743" s="5"/>
      <c r="AJ743" s="2"/>
    </row>
    <row r="744" spans="1:36" x14ac:dyDescent="0.25">
      <c r="A744" s="6">
        <v>40869</v>
      </c>
      <c r="B744" s="7">
        <v>4.7140000000000004</v>
      </c>
      <c r="C744" s="9">
        <f t="shared" si="110"/>
        <v>-2.7204021176906373E-2</v>
      </c>
      <c r="D744" s="9">
        <f t="shared" si="111"/>
        <v>-2.7559494395279275E-2</v>
      </c>
      <c r="E744" s="9"/>
      <c r="F744" s="9"/>
      <c r="G744" s="9"/>
      <c r="H744" s="9"/>
      <c r="I744" s="9"/>
      <c r="J744" s="9"/>
      <c r="K744" s="9"/>
      <c r="L744" s="9"/>
      <c r="M744" s="5"/>
      <c r="AJ744" s="2"/>
    </row>
    <row r="745" spans="1:36" x14ac:dyDescent="0.25">
      <c r="A745" s="6">
        <v>40870</v>
      </c>
      <c r="B745" s="7">
        <v>4.34</v>
      </c>
      <c r="C745" s="9">
        <f t="shared" si="110"/>
        <v>-8.266245640162595E-2</v>
      </c>
      <c r="D745" s="9">
        <f t="shared" si="111"/>
        <v>-8.3017929619998848E-2</v>
      </c>
      <c r="E745" s="9"/>
      <c r="F745" s="9"/>
      <c r="G745" s="9"/>
      <c r="H745" s="9"/>
      <c r="I745" s="9"/>
      <c r="J745" s="9"/>
      <c r="K745" s="9"/>
      <c r="L745" s="9"/>
      <c r="M745" s="5"/>
      <c r="AJ745" s="2"/>
    </row>
    <row r="746" spans="1:36" x14ac:dyDescent="0.25">
      <c r="A746" s="6">
        <v>40871</v>
      </c>
      <c r="B746" s="7">
        <v>4.3259999999999996</v>
      </c>
      <c r="C746" s="9">
        <f t="shared" si="110"/>
        <v>-3.2310205814465318E-3</v>
      </c>
      <c r="D746" s="9">
        <f t="shared" si="111"/>
        <v>-3.5864937998194317E-3</v>
      </c>
      <c r="E746" s="9"/>
      <c r="F746" s="9"/>
      <c r="G746" s="9"/>
      <c r="H746" s="9"/>
      <c r="I746" s="9"/>
      <c r="J746" s="9"/>
      <c r="K746" s="9"/>
      <c r="L746" s="9"/>
      <c r="M746" s="5"/>
      <c r="AJ746" s="2"/>
    </row>
    <row r="747" spans="1:36" x14ac:dyDescent="0.25">
      <c r="A747" s="6">
        <v>40872</v>
      </c>
      <c r="B747" s="7">
        <v>4.3259999999999996</v>
      </c>
      <c r="C747" s="9">
        <f t="shared" si="110"/>
        <v>0</v>
      </c>
      <c r="D747" s="9">
        <f t="shared" si="111"/>
        <v>-3.5547321837289993E-4</v>
      </c>
      <c r="E747" s="9"/>
      <c r="F747" s="9"/>
      <c r="G747" s="9"/>
      <c r="H747" s="9"/>
      <c r="I747" s="9"/>
      <c r="J747" s="9"/>
      <c r="K747" s="9"/>
      <c r="L747" s="9"/>
      <c r="M747" s="5"/>
      <c r="AJ747" s="2"/>
    </row>
    <row r="748" spans="1:36" x14ac:dyDescent="0.25">
      <c r="A748" s="6">
        <v>40875</v>
      </c>
      <c r="B748" s="7">
        <v>4.556</v>
      </c>
      <c r="C748" s="9">
        <f t="shared" si="110"/>
        <v>5.1801718054068732E-2</v>
      </c>
      <c r="D748" s="9">
        <f t="shared" si="111"/>
        <v>5.1446244835695834E-2</v>
      </c>
      <c r="E748" s="9"/>
      <c r="F748" s="9"/>
      <c r="G748" s="9"/>
      <c r="H748" s="9"/>
      <c r="I748" s="9"/>
      <c r="J748" s="9"/>
      <c r="K748" s="9"/>
      <c r="L748" s="9"/>
      <c r="M748" s="5"/>
      <c r="AJ748" s="2"/>
    </row>
    <row r="749" spans="1:36" x14ac:dyDescent="0.25">
      <c r="A749" s="6">
        <v>40876</v>
      </c>
      <c r="B749" s="7">
        <v>4.45</v>
      </c>
      <c r="C749" s="9">
        <f t="shared" si="110"/>
        <v>-2.3540949406786863E-2</v>
      </c>
      <c r="D749" s="9">
        <f t="shared" si="111"/>
        <v>-2.3896422625159765E-2</v>
      </c>
      <c r="E749" s="9"/>
      <c r="F749" s="9"/>
      <c r="G749" s="9"/>
      <c r="H749" s="9"/>
      <c r="I749" s="9"/>
      <c r="J749" s="9"/>
      <c r="K749" s="9"/>
      <c r="L749" s="9"/>
      <c r="M749" s="5"/>
      <c r="AJ749" s="2"/>
    </row>
    <row r="750" spans="1:36" x14ac:dyDescent="0.25">
      <c r="A750" s="6">
        <v>40877</v>
      </c>
      <c r="B750" s="7">
        <v>4.7919999999999998</v>
      </c>
      <c r="C750" s="9">
        <f t="shared" si="110"/>
        <v>7.4043764634999371E-2</v>
      </c>
      <c r="D750" s="9">
        <f t="shared" si="111"/>
        <v>7.3688291416626472E-2</v>
      </c>
      <c r="E750" s="9"/>
      <c r="F750" s="9"/>
      <c r="G750" s="9"/>
      <c r="H750" s="9"/>
      <c r="I750" s="9"/>
      <c r="J750" s="9"/>
      <c r="K750" s="9"/>
      <c r="L750" s="9"/>
      <c r="M750" s="5"/>
      <c r="AJ750" s="2"/>
    </row>
    <row r="751" spans="1:36" x14ac:dyDescent="0.25">
      <c r="A751" s="6">
        <v>40878</v>
      </c>
      <c r="B751" s="7">
        <v>4.7640000000000002</v>
      </c>
      <c r="C751" s="9">
        <f t="shared" si="110"/>
        <v>-5.8602093200944188E-3</v>
      </c>
      <c r="D751" s="9">
        <f t="shared" si="111"/>
        <v>-6.2156825384673186E-3</v>
      </c>
      <c r="E751" s="9"/>
      <c r="F751" s="9"/>
      <c r="G751" s="9"/>
      <c r="H751" s="9"/>
      <c r="I751" s="9"/>
      <c r="J751" s="9"/>
      <c r="K751" s="9"/>
      <c r="L751" s="9"/>
      <c r="M751" s="5"/>
      <c r="AJ751" s="2"/>
    </row>
    <row r="752" spans="1:36" x14ac:dyDescent="0.25">
      <c r="A752" s="6">
        <v>40879</v>
      </c>
      <c r="B752" s="7">
        <v>4.8940000000000001</v>
      </c>
      <c r="C752" s="9">
        <f t="shared" si="110"/>
        <v>2.6922313527426252E-2</v>
      </c>
      <c r="D752" s="9">
        <f t="shared" si="111"/>
        <v>2.656684030905335E-2</v>
      </c>
      <c r="E752" s="9"/>
      <c r="F752" s="9"/>
      <c r="G752" s="9"/>
      <c r="H752" s="9"/>
      <c r="I752" s="9"/>
      <c r="J752" s="9"/>
      <c r="K752" s="9"/>
      <c r="L752" s="9"/>
      <c r="M752" s="5"/>
      <c r="AJ752" s="2"/>
    </row>
    <row r="753" spans="1:36" x14ac:dyDescent="0.25">
      <c r="A753" s="6">
        <v>40882</v>
      </c>
      <c r="B753" s="7">
        <v>5.13</v>
      </c>
      <c r="C753" s="9">
        <f t="shared" si="110"/>
        <v>4.7095694162198214E-2</v>
      </c>
      <c r="D753" s="9">
        <f t="shared" si="111"/>
        <v>4.6740220943825316E-2</v>
      </c>
      <c r="E753" s="9"/>
      <c r="F753" s="9"/>
      <c r="G753" s="9"/>
      <c r="H753" s="9"/>
      <c r="I753" s="9"/>
      <c r="J753" s="9"/>
      <c r="K753" s="9"/>
      <c r="L753" s="9"/>
      <c r="M753" s="5"/>
      <c r="AJ753" s="2"/>
    </row>
    <row r="754" spans="1:36" x14ac:dyDescent="0.25">
      <c r="A754" s="6">
        <v>40883</v>
      </c>
      <c r="B754" s="7">
        <v>5.085</v>
      </c>
      <c r="C754" s="9">
        <f t="shared" si="110"/>
        <v>-8.8106296821549197E-3</v>
      </c>
      <c r="D754" s="9">
        <f t="shared" si="111"/>
        <v>-9.1661029005278196E-3</v>
      </c>
      <c r="E754" s="9"/>
      <c r="F754" s="9"/>
      <c r="G754" s="9"/>
      <c r="H754" s="9"/>
      <c r="I754" s="9"/>
      <c r="J754" s="9"/>
      <c r="K754" s="9"/>
      <c r="L754" s="9"/>
      <c r="M754" s="5"/>
      <c r="AJ754" s="2"/>
    </row>
    <row r="755" spans="1:36" x14ac:dyDescent="0.25">
      <c r="A755" s="6">
        <v>40884</v>
      </c>
      <c r="B755" s="7">
        <v>5.0949999999999998</v>
      </c>
      <c r="C755" s="9">
        <f t="shared" si="110"/>
        <v>1.9646371741648158E-3</v>
      </c>
      <c r="D755" s="9">
        <f t="shared" si="111"/>
        <v>1.6091639557919159E-3</v>
      </c>
      <c r="E755" s="9"/>
      <c r="F755" s="9"/>
      <c r="G755" s="9"/>
      <c r="H755" s="9"/>
      <c r="I755" s="9"/>
      <c r="J755" s="9"/>
      <c r="K755" s="9"/>
      <c r="L755" s="9"/>
      <c r="M755" s="5"/>
      <c r="AJ755" s="2"/>
    </row>
    <row r="756" spans="1:36" x14ac:dyDescent="0.25">
      <c r="A756" s="6">
        <v>40885</v>
      </c>
      <c r="B756" s="7">
        <v>4.5640000000000001</v>
      </c>
      <c r="C756" s="9">
        <f t="shared" si="110"/>
        <v>-0.11006023467485891</v>
      </c>
      <c r="D756" s="9">
        <f t="shared" si="111"/>
        <v>-0.11041570789323181</v>
      </c>
      <c r="E756" s="9"/>
      <c r="F756" s="9"/>
      <c r="G756" s="9"/>
      <c r="H756" s="9"/>
      <c r="I756" s="9"/>
      <c r="J756" s="9"/>
      <c r="K756" s="9"/>
      <c r="L756" s="9"/>
      <c r="M756" s="5"/>
      <c r="AJ756" s="2"/>
    </row>
    <row r="757" spans="1:36" x14ac:dyDescent="0.25">
      <c r="A757" s="6">
        <v>40886</v>
      </c>
      <c r="B757" s="7">
        <v>4.6239999999999997</v>
      </c>
      <c r="C757" s="9">
        <f t="shared" si="110"/>
        <v>1.3060699370247003E-2</v>
      </c>
      <c r="D757" s="9">
        <f t="shared" si="111"/>
        <v>1.2705226151874104E-2</v>
      </c>
      <c r="E757" s="9"/>
      <c r="F757" s="9"/>
      <c r="G757" s="9"/>
      <c r="H757" s="9"/>
      <c r="I757" s="9"/>
      <c r="J757" s="9"/>
      <c r="K757" s="9"/>
      <c r="L757" s="9"/>
      <c r="M757" s="5"/>
      <c r="AJ757" s="2"/>
    </row>
    <row r="758" spans="1:36" x14ac:dyDescent="0.25">
      <c r="A758" s="6">
        <v>40889</v>
      </c>
      <c r="B758" s="7">
        <v>4.4260000000000002</v>
      </c>
      <c r="C758" s="9">
        <f t="shared" si="110"/>
        <v>-4.376388974121833E-2</v>
      </c>
      <c r="D758" s="9">
        <f t="shared" si="111"/>
        <v>-4.4119362959591228E-2</v>
      </c>
      <c r="E758" s="9"/>
      <c r="F758" s="9"/>
      <c r="G758" s="9"/>
      <c r="H758" s="9"/>
      <c r="I758" s="9"/>
      <c r="J758" s="9"/>
      <c r="K758" s="9"/>
      <c r="L758" s="9"/>
      <c r="M758" s="5"/>
      <c r="AJ758" s="2"/>
    </row>
    <row r="759" spans="1:36" x14ac:dyDescent="0.25">
      <c r="A759" s="6">
        <v>40890</v>
      </c>
      <c r="B759" s="7">
        <v>4.524</v>
      </c>
      <c r="C759" s="9">
        <f t="shared" si="110"/>
        <v>2.1900316625015986E-2</v>
      </c>
      <c r="D759" s="9">
        <f t="shared" si="111"/>
        <v>2.1544843406643085E-2</v>
      </c>
      <c r="E759" s="9"/>
      <c r="F759" s="9"/>
      <c r="G759" s="9"/>
      <c r="H759" s="9"/>
      <c r="I759" s="9"/>
      <c r="J759" s="9"/>
      <c r="K759" s="9"/>
      <c r="L759" s="9"/>
      <c r="M759" s="5"/>
      <c r="AJ759" s="2"/>
    </row>
    <row r="760" spans="1:36" x14ac:dyDescent="0.25">
      <c r="A760" s="6">
        <v>40891</v>
      </c>
      <c r="B760" s="7">
        <v>4.3220000000000001</v>
      </c>
      <c r="C760" s="9">
        <f t="shared" si="110"/>
        <v>-4.5678300169179765E-2</v>
      </c>
      <c r="D760" s="9">
        <f t="shared" si="111"/>
        <v>-4.6033773387552664E-2</v>
      </c>
      <c r="E760" s="9"/>
      <c r="F760" s="9"/>
      <c r="G760" s="9"/>
      <c r="H760" s="9"/>
      <c r="I760" s="9"/>
      <c r="J760" s="9"/>
      <c r="K760" s="9"/>
      <c r="L760" s="9"/>
      <c r="M760" s="5"/>
      <c r="AJ760" s="2"/>
    </row>
    <row r="761" spans="1:36" x14ac:dyDescent="0.25">
      <c r="A761" s="6">
        <v>40892</v>
      </c>
      <c r="B761" s="7">
        <v>4.4000000000000004</v>
      </c>
      <c r="C761" s="9">
        <f t="shared" si="110"/>
        <v>1.7886282839521289E-2</v>
      </c>
      <c r="D761" s="9">
        <f t="shared" si="111"/>
        <v>1.7530809621148388E-2</v>
      </c>
      <c r="E761" s="9"/>
      <c r="F761" s="9"/>
      <c r="G761" s="9"/>
      <c r="H761" s="9"/>
      <c r="I761" s="9"/>
      <c r="J761" s="9"/>
      <c r="K761" s="9"/>
      <c r="L761" s="9"/>
      <c r="M761" s="5"/>
      <c r="AJ761" s="2"/>
    </row>
    <row r="762" spans="1:36" x14ac:dyDescent="0.25">
      <c r="A762" s="6">
        <v>40893</v>
      </c>
      <c r="B762" s="7">
        <v>4.5179999999999998</v>
      </c>
      <c r="C762" s="9">
        <f t="shared" si="110"/>
        <v>2.6464877121595863E-2</v>
      </c>
      <c r="D762" s="9">
        <f t="shared" si="111"/>
        <v>2.6109403903222961E-2</v>
      </c>
      <c r="E762" s="9"/>
      <c r="F762" s="9"/>
      <c r="G762" s="9"/>
      <c r="H762" s="9"/>
      <c r="I762" s="9"/>
      <c r="J762" s="9"/>
      <c r="K762" s="9"/>
      <c r="L762" s="9"/>
      <c r="M762" s="5"/>
      <c r="AJ762" s="2"/>
    </row>
    <row r="763" spans="1:36" x14ac:dyDescent="0.25">
      <c r="A763" s="6">
        <v>40896</v>
      </c>
      <c r="B763" s="7">
        <v>4.6020000000000003</v>
      </c>
      <c r="C763" s="9">
        <f t="shared" si="110"/>
        <v>1.842157356736281E-2</v>
      </c>
      <c r="D763" s="9">
        <f t="shared" si="111"/>
        <v>1.8066100348989908E-2</v>
      </c>
      <c r="E763" s="9"/>
      <c r="F763" s="9"/>
      <c r="G763" s="9"/>
      <c r="H763" s="9"/>
      <c r="I763" s="9"/>
      <c r="J763" s="9"/>
      <c r="K763" s="9"/>
      <c r="L763" s="9"/>
      <c r="M763" s="5"/>
      <c r="AJ763" s="2"/>
    </row>
    <row r="764" spans="1:36" x14ac:dyDescent="0.25">
      <c r="A764" s="6">
        <v>40897</v>
      </c>
      <c r="B764" s="7">
        <v>4.8719999999999999</v>
      </c>
      <c r="C764" s="9">
        <f t="shared" si="110"/>
        <v>5.7013538794421684E-2</v>
      </c>
      <c r="D764" s="9">
        <f t="shared" si="111"/>
        <v>5.6658065576048786E-2</v>
      </c>
      <c r="E764" s="9"/>
      <c r="F764" s="9"/>
      <c r="G764" s="9"/>
      <c r="H764" s="9"/>
      <c r="I764" s="9"/>
      <c r="J764" s="9"/>
      <c r="K764" s="9"/>
      <c r="L764" s="9"/>
      <c r="M764" s="5"/>
      <c r="AJ764" s="2"/>
    </row>
    <row r="765" spans="1:36" x14ac:dyDescent="0.25">
      <c r="A765" s="6">
        <v>40898</v>
      </c>
      <c r="B765" s="7">
        <v>4.7320000000000002</v>
      </c>
      <c r="C765" s="9">
        <f t="shared" ref="C765:C828" si="112">LN(B765/B764)</f>
        <v>-2.9156584291455463E-2</v>
      </c>
      <c r="D765" s="9">
        <f t="shared" si="111"/>
        <v>-2.9512057509828365E-2</v>
      </c>
      <c r="E765" s="9"/>
      <c r="F765" s="9"/>
      <c r="G765" s="9"/>
      <c r="H765" s="9"/>
      <c r="I765" s="9"/>
      <c r="J765" s="9"/>
      <c r="K765" s="9"/>
      <c r="L765" s="9"/>
      <c r="M765" s="5"/>
      <c r="AJ765" s="2"/>
    </row>
    <row r="766" spans="1:36" x14ac:dyDescent="0.25">
      <c r="A766" s="6">
        <v>40899</v>
      </c>
      <c r="B766" s="7">
        <v>4.7560000000000002</v>
      </c>
      <c r="C766" s="9">
        <f t="shared" si="112"/>
        <v>5.0590327123949848E-3</v>
      </c>
      <c r="D766" s="9">
        <f t="shared" si="111"/>
        <v>4.7035594940220849E-3</v>
      </c>
      <c r="E766" s="9"/>
      <c r="F766" s="9"/>
      <c r="G766" s="9"/>
      <c r="H766" s="9"/>
      <c r="I766" s="9"/>
      <c r="J766" s="9"/>
      <c r="K766" s="9"/>
      <c r="L766" s="9"/>
      <c r="M766" s="5"/>
      <c r="AJ766" s="2"/>
    </row>
    <row r="767" spans="1:36" x14ac:dyDescent="0.25">
      <c r="A767" s="6">
        <v>40900</v>
      </c>
      <c r="B767" s="7">
        <v>4.7560000000000002</v>
      </c>
      <c r="C767" s="9">
        <f t="shared" si="112"/>
        <v>0</v>
      </c>
      <c r="D767" s="9">
        <f t="shared" si="111"/>
        <v>-3.5547321837289993E-4</v>
      </c>
      <c r="E767" s="9"/>
      <c r="F767" s="9"/>
      <c r="G767" s="9"/>
      <c r="H767" s="9"/>
      <c r="I767" s="9"/>
      <c r="J767" s="9"/>
      <c r="K767" s="9"/>
      <c r="L767" s="9"/>
      <c r="M767" s="5"/>
      <c r="AJ767" s="2"/>
    </row>
    <row r="768" spans="1:36" x14ac:dyDescent="0.25">
      <c r="A768" s="6">
        <v>40904</v>
      </c>
      <c r="B768" s="7">
        <v>4.5259999999999998</v>
      </c>
      <c r="C768" s="9">
        <f t="shared" si="112"/>
        <v>-4.9568431617189816E-2</v>
      </c>
      <c r="D768" s="9">
        <f t="shared" si="111"/>
        <v>-4.9923904835562714E-2</v>
      </c>
      <c r="E768" s="9"/>
      <c r="F768" s="9"/>
      <c r="G768" s="9"/>
      <c r="H768" s="9"/>
      <c r="I768" s="9"/>
      <c r="J768" s="9"/>
      <c r="K768" s="9"/>
      <c r="L768" s="9"/>
      <c r="M768" s="5"/>
      <c r="AJ768" s="2"/>
    </row>
    <row r="769" spans="1:36" x14ac:dyDescent="0.25">
      <c r="A769" s="6">
        <v>40905</v>
      </c>
      <c r="B769" s="7">
        <v>4.3780000000000001</v>
      </c>
      <c r="C769" s="9">
        <f t="shared" si="112"/>
        <v>-3.3246548110674394E-2</v>
      </c>
      <c r="D769" s="9">
        <f t="shared" si="111"/>
        <v>-3.3602021329047292E-2</v>
      </c>
      <c r="E769" s="9"/>
      <c r="F769" s="9"/>
      <c r="G769" s="9"/>
      <c r="H769" s="9"/>
      <c r="I769" s="9"/>
      <c r="J769" s="9"/>
      <c r="K769" s="9"/>
      <c r="L769" s="9"/>
      <c r="M769" s="5"/>
      <c r="AJ769" s="2"/>
    </row>
    <row r="770" spans="1:36" x14ac:dyDescent="0.25">
      <c r="A770" s="6">
        <v>40906</v>
      </c>
      <c r="B770" s="7">
        <v>4.38</v>
      </c>
      <c r="C770" s="9">
        <f t="shared" si="112"/>
        <v>4.5672528768353677E-4</v>
      </c>
      <c r="D770" s="9">
        <f t="shared" si="111"/>
        <v>1.0125206931063685E-4</v>
      </c>
      <c r="E770" s="9"/>
      <c r="F770" s="9"/>
      <c r="G770" s="9"/>
      <c r="H770" s="9"/>
      <c r="I770" s="9"/>
      <c r="J770" s="9"/>
      <c r="K770" s="9"/>
      <c r="L770" s="9"/>
      <c r="M770" s="5"/>
      <c r="AJ770" s="2"/>
    </row>
    <row r="771" spans="1:36" x14ac:dyDescent="0.25">
      <c r="A771" s="6">
        <v>40907</v>
      </c>
      <c r="B771" s="7">
        <v>4.4459999999999997</v>
      </c>
      <c r="C771" s="9">
        <f t="shared" si="112"/>
        <v>1.4956091153649959E-2</v>
      </c>
      <c r="D771" s="9">
        <f t="shared" si="111"/>
        <v>1.4600617935277059E-2</v>
      </c>
      <c r="E771" s="9"/>
      <c r="F771" s="9"/>
      <c r="G771" s="9"/>
      <c r="H771" s="9"/>
      <c r="I771" s="9"/>
      <c r="J771" s="9"/>
      <c r="K771" s="9"/>
      <c r="L771" s="9"/>
      <c r="M771" s="5"/>
      <c r="AJ771" s="2"/>
    </row>
    <row r="772" spans="1:36" x14ac:dyDescent="0.25">
      <c r="A772" s="6">
        <v>40910</v>
      </c>
      <c r="B772" s="7">
        <v>4.54</v>
      </c>
      <c r="C772" s="9">
        <f t="shared" si="112"/>
        <v>2.0922196511251868E-2</v>
      </c>
      <c r="D772" s="9">
        <f t="shared" si="111"/>
        <v>2.0566723292878966E-2</v>
      </c>
      <c r="E772" s="9"/>
      <c r="F772" s="9"/>
      <c r="G772" s="9"/>
      <c r="H772" s="9"/>
      <c r="I772" s="9"/>
      <c r="J772" s="9"/>
      <c r="K772" s="9"/>
      <c r="L772" s="9"/>
      <c r="M772" s="5"/>
      <c r="AJ772" s="2"/>
    </row>
    <row r="773" spans="1:36" x14ac:dyDescent="0.25">
      <c r="A773" s="6">
        <v>40911</v>
      </c>
      <c r="B773" s="7">
        <v>4.556</v>
      </c>
      <c r="C773" s="9">
        <f t="shared" si="112"/>
        <v>3.5180335316790292E-3</v>
      </c>
      <c r="D773" s="9">
        <f t="shared" si="111"/>
        <v>3.1625603133061293E-3</v>
      </c>
      <c r="E773" s="9"/>
      <c r="F773" s="9"/>
      <c r="G773" s="9"/>
      <c r="H773" s="9"/>
      <c r="I773" s="9"/>
      <c r="J773" s="9"/>
      <c r="K773" s="9"/>
      <c r="L773" s="9"/>
      <c r="M773" s="5"/>
      <c r="AJ773" s="2"/>
    </row>
    <row r="774" spans="1:36" x14ac:dyDescent="0.25">
      <c r="A774" s="6">
        <v>40912</v>
      </c>
      <c r="B774" s="7">
        <v>4.42</v>
      </c>
      <c r="C774" s="9">
        <f t="shared" si="112"/>
        <v>-3.0305349495328922E-2</v>
      </c>
      <c r="D774" s="9">
        <f t="shared" si="111"/>
        <v>-3.0660822713701824E-2</v>
      </c>
      <c r="E774" s="9"/>
      <c r="F774" s="9"/>
      <c r="G774" s="9"/>
      <c r="H774" s="9"/>
      <c r="I774" s="9"/>
      <c r="J774" s="9"/>
      <c r="K774" s="9"/>
      <c r="L774" s="9"/>
      <c r="M774" s="5"/>
      <c r="AJ774" s="2"/>
    </row>
    <row r="775" spans="1:36" x14ac:dyDescent="0.25">
      <c r="A775" s="6">
        <v>40913</v>
      </c>
      <c r="B775" s="7">
        <v>4.1420000000000003</v>
      </c>
      <c r="C775" s="9">
        <f t="shared" si="112"/>
        <v>-6.4960933116214217E-2</v>
      </c>
      <c r="D775" s="9">
        <f t="shared" si="111"/>
        <v>-6.5316406334587115E-2</v>
      </c>
      <c r="E775" s="9"/>
      <c r="F775" s="9"/>
      <c r="G775" s="9"/>
      <c r="H775" s="9"/>
      <c r="I775" s="9"/>
      <c r="J775" s="9"/>
      <c r="K775" s="9"/>
      <c r="L775" s="9"/>
      <c r="M775" s="5"/>
      <c r="AJ775" s="2"/>
    </row>
    <row r="776" spans="1:36" x14ac:dyDescent="0.25">
      <c r="A776" s="6">
        <v>40914</v>
      </c>
      <c r="B776" s="7">
        <v>4.1059999999999999</v>
      </c>
      <c r="C776" s="9">
        <f t="shared" si="112"/>
        <v>-8.7294443766506788E-3</v>
      </c>
      <c r="D776" s="9">
        <f t="shared" si="111"/>
        <v>-9.0849175950235787E-3</v>
      </c>
      <c r="E776" s="9"/>
      <c r="F776" s="9"/>
      <c r="G776" s="9"/>
      <c r="H776" s="9"/>
      <c r="I776" s="9"/>
      <c r="J776" s="9"/>
      <c r="K776" s="9"/>
      <c r="L776" s="9"/>
      <c r="M776" s="5"/>
      <c r="AJ776" s="2"/>
    </row>
    <row r="777" spans="1:36" x14ac:dyDescent="0.25">
      <c r="A777" s="6">
        <v>40917</v>
      </c>
      <c r="B777" s="7">
        <v>3.8239999999999998</v>
      </c>
      <c r="C777" s="9">
        <f t="shared" si="112"/>
        <v>-7.1152323407587023E-2</v>
      </c>
      <c r="D777" s="9">
        <f t="shared" si="111"/>
        <v>-7.1507796625959921E-2</v>
      </c>
      <c r="E777" s="9"/>
      <c r="F777" s="9"/>
      <c r="G777" s="9"/>
      <c r="H777" s="9"/>
      <c r="I777" s="9"/>
      <c r="J777" s="9"/>
      <c r="K777" s="9"/>
      <c r="L777" s="9"/>
      <c r="M777" s="5"/>
      <c r="AJ777" s="2"/>
    </row>
    <row r="778" spans="1:36" x14ac:dyDescent="0.25">
      <c r="A778" s="6">
        <v>40918</v>
      </c>
      <c r="B778" s="7">
        <v>3.9779999999999998</v>
      </c>
      <c r="C778" s="9">
        <f t="shared" si="112"/>
        <v>3.9482185242625617E-2</v>
      </c>
      <c r="D778" s="9">
        <f t="shared" si="111"/>
        <v>3.9126712024252719E-2</v>
      </c>
      <c r="E778" s="9"/>
      <c r="F778" s="9"/>
      <c r="G778" s="9"/>
      <c r="H778" s="9"/>
      <c r="I778" s="9"/>
      <c r="J778" s="9"/>
      <c r="K778" s="9"/>
      <c r="L778" s="9"/>
      <c r="M778" s="5"/>
      <c r="AJ778" s="2"/>
    </row>
    <row r="779" spans="1:36" x14ac:dyDescent="0.25">
      <c r="A779" s="6">
        <v>40919</v>
      </c>
      <c r="B779" s="7">
        <v>3.968</v>
      </c>
      <c r="C779" s="9">
        <f t="shared" si="112"/>
        <v>-2.5169910091540878E-3</v>
      </c>
      <c r="D779" s="9">
        <f t="shared" si="111"/>
        <v>-2.8724642275269876E-3</v>
      </c>
      <c r="E779" s="9"/>
      <c r="F779" s="9"/>
      <c r="G779" s="9"/>
      <c r="H779" s="9"/>
      <c r="I779" s="9"/>
      <c r="J779" s="9"/>
      <c r="K779" s="9"/>
      <c r="L779" s="9"/>
      <c r="M779" s="5"/>
      <c r="AJ779" s="2"/>
    </row>
    <row r="780" spans="1:36" x14ac:dyDescent="0.25">
      <c r="A780" s="6">
        <v>40920</v>
      </c>
      <c r="B780" s="7">
        <v>4.2880000000000003</v>
      </c>
      <c r="C780" s="9">
        <f t="shared" si="112"/>
        <v>7.7558234345874638E-2</v>
      </c>
      <c r="D780" s="9">
        <f t="shared" si="111"/>
        <v>7.720276112750174E-2</v>
      </c>
      <c r="E780" s="9"/>
      <c r="F780" s="9"/>
      <c r="G780" s="9"/>
      <c r="H780" s="9"/>
      <c r="I780" s="9"/>
      <c r="J780" s="9"/>
      <c r="K780" s="9"/>
      <c r="L780" s="9"/>
      <c r="M780" s="5"/>
      <c r="AJ780" s="2"/>
    </row>
    <row r="781" spans="1:36" x14ac:dyDescent="0.25">
      <c r="A781" s="6">
        <v>40921</v>
      </c>
      <c r="B781" s="7">
        <v>4.4480000000000004</v>
      </c>
      <c r="C781" s="9">
        <f t="shared" si="112"/>
        <v>3.6634133179780384E-2</v>
      </c>
      <c r="D781" s="9">
        <f t="shared" si="111"/>
        <v>3.6278659961407486E-2</v>
      </c>
      <c r="E781" s="9"/>
      <c r="F781" s="9"/>
      <c r="G781" s="9"/>
      <c r="H781" s="9"/>
      <c r="I781" s="9"/>
      <c r="J781" s="9"/>
      <c r="K781" s="9"/>
      <c r="L781" s="9"/>
      <c r="M781" s="5"/>
      <c r="AJ781" s="2"/>
    </row>
    <row r="782" spans="1:36" x14ac:dyDescent="0.25">
      <c r="A782" s="6">
        <v>40924</v>
      </c>
      <c r="B782" s="7">
        <v>4.5199999999999996</v>
      </c>
      <c r="C782" s="9">
        <f t="shared" si="112"/>
        <v>1.6057436895858469E-2</v>
      </c>
      <c r="D782" s="9">
        <f t="shared" si="111"/>
        <v>1.5701963677485567E-2</v>
      </c>
      <c r="E782" s="9"/>
      <c r="F782" s="9"/>
      <c r="G782" s="9"/>
      <c r="H782" s="9"/>
      <c r="I782" s="9"/>
      <c r="J782" s="9"/>
      <c r="K782" s="9"/>
      <c r="L782" s="9"/>
      <c r="M782" s="5"/>
      <c r="AJ782" s="2"/>
    </row>
    <row r="783" spans="1:36" x14ac:dyDescent="0.25">
      <c r="A783" s="6">
        <v>40925</v>
      </c>
      <c r="B783" s="7">
        <v>4.468</v>
      </c>
      <c r="C783" s="9">
        <f t="shared" si="112"/>
        <v>-1.1571112637185495E-2</v>
      </c>
      <c r="D783" s="9">
        <f t="shared" si="111"/>
        <v>-1.1926585855558395E-2</v>
      </c>
      <c r="E783" s="9"/>
      <c r="F783" s="9"/>
      <c r="G783" s="9"/>
      <c r="H783" s="9"/>
      <c r="I783" s="9"/>
      <c r="J783" s="9"/>
      <c r="K783" s="9"/>
      <c r="L783" s="9"/>
      <c r="M783" s="5"/>
      <c r="AJ783" s="2"/>
    </row>
    <row r="784" spans="1:36" x14ac:dyDescent="0.25">
      <c r="A784" s="6">
        <v>40926</v>
      </c>
      <c r="B784" s="7">
        <v>4.3840000000000003</v>
      </c>
      <c r="C784" s="9">
        <f t="shared" si="112"/>
        <v>-1.8979331561239821E-2</v>
      </c>
      <c r="D784" s="9">
        <f t="shared" si="111"/>
        <v>-1.9334804779612722E-2</v>
      </c>
      <c r="E784" s="9"/>
      <c r="F784" s="9"/>
      <c r="G784" s="9"/>
      <c r="H784" s="9"/>
      <c r="I784" s="9"/>
      <c r="J784" s="9"/>
      <c r="K784" s="9"/>
      <c r="L784" s="9"/>
      <c r="M784" s="5"/>
      <c r="AJ784" s="2"/>
    </row>
    <row r="785" spans="1:36" x14ac:dyDescent="0.25">
      <c r="A785" s="6">
        <v>40927</v>
      </c>
      <c r="B785" s="7">
        <v>4.7960000000000003</v>
      </c>
      <c r="C785" s="9">
        <f t="shared" si="112"/>
        <v>8.9820687519553355E-2</v>
      </c>
      <c r="D785" s="9">
        <f t="shared" si="111"/>
        <v>8.9465214301180457E-2</v>
      </c>
      <c r="E785" s="9"/>
      <c r="F785" s="9"/>
      <c r="G785" s="9"/>
      <c r="H785" s="9"/>
      <c r="I785" s="9"/>
      <c r="J785" s="9"/>
      <c r="K785" s="9"/>
      <c r="L785" s="9"/>
      <c r="M785" s="5"/>
      <c r="AJ785" s="2"/>
    </row>
    <row r="786" spans="1:36" x14ac:dyDescent="0.25">
      <c r="A786" s="6">
        <v>40928</v>
      </c>
      <c r="B786" s="7">
        <v>4.702</v>
      </c>
      <c r="C786" s="9">
        <f t="shared" si="112"/>
        <v>-1.979428704739012E-2</v>
      </c>
      <c r="D786" s="9">
        <f t="shared" si="111"/>
        <v>-2.0149760265763022E-2</v>
      </c>
      <c r="E786" s="9"/>
      <c r="F786" s="9"/>
      <c r="G786" s="9"/>
      <c r="H786" s="9"/>
      <c r="I786" s="9"/>
      <c r="J786" s="9"/>
      <c r="K786" s="9"/>
      <c r="L786" s="9"/>
      <c r="M786" s="5"/>
      <c r="AJ786" s="2"/>
    </row>
    <row r="787" spans="1:36" x14ac:dyDescent="0.25">
      <c r="A787" s="6">
        <v>40931</v>
      </c>
      <c r="B787" s="7">
        <v>4.96</v>
      </c>
      <c r="C787" s="9">
        <f t="shared" si="112"/>
        <v>5.3417790618958398E-2</v>
      </c>
      <c r="D787" s="9">
        <f t="shared" si="111"/>
        <v>5.30623174005855E-2</v>
      </c>
      <c r="E787" s="9"/>
      <c r="F787" s="9"/>
      <c r="G787" s="9"/>
      <c r="H787" s="9"/>
      <c r="I787" s="9"/>
      <c r="J787" s="9"/>
      <c r="K787" s="9"/>
      <c r="L787" s="9"/>
      <c r="M787" s="5"/>
      <c r="AJ787" s="2"/>
    </row>
    <row r="788" spans="1:36" x14ac:dyDescent="0.25">
      <c r="A788" s="6">
        <v>40932</v>
      </c>
      <c r="B788" s="7">
        <v>5.0049999999999999</v>
      </c>
      <c r="C788" s="9">
        <f t="shared" si="112"/>
        <v>9.0316720303477566E-3</v>
      </c>
      <c r="D788" s="9">
        <f t="shared" si="111"/>
        <v>8.6761988119748567E-3</v>
      </c>
      <c r="E788" s="9"/>
      <c r="F788" s="9"/>
      <c r="G788" s="9"/>
      <c r="H788" s="9"/>
      <c r="I788" s="9"/>
      <c r="J788" s="9"/>
      <c r="K788" s="9"/>
      <c r="L788" s="9"/>
      <c r="M788" s="5"/>
      <c r="AJ788" s="2"/>
    </row>
    <row r="789" spans="1:36" x14ac:dyDescent="0.25">
      <c r="A789" s="6">
        <v>40933</v>
      </c>
      <c r="B789" s="7">
        <v>4.9139999999999997</v>
      </c>
      <c r="C789" s="9">
        <f t="shared" si="112"/>
        <v>-1.8349138668196541E-2</v>
      </c>
      <c r="D789" s="9">
        <f t="shared" ref="D789:D852" si="113">C789-$C$59/252</f>
        <v>-1.8704611886569442E-2</v>
      </c>
      <c r="E789" s="9"/>
      <c r="F789" s="9"/>
      <c r="G789" s="9"/>
      <c r="H789" s="9"/>
      <c r="I789" s="9"/>
      <c r="J789" s="9"/>
      <c r="K789" s="9"/>
      <c r="L789" s="9"/>
      <c r="M789" s="5"/>
      <c r="AJ789" s="2"/>
    </row>
    <row r="790" spans="1:36" x14ac:dyDescent="0.25">
      <c r="A790" s="6">
        <v>40934</v>
      </c>
      <c r="B790" s="7">
        <v>5.01</v>
      </c>
      <c r="C790" s="9">
        <f t="shared" si="112"/>
        <v>1.9347640997785989E-2</v>
      </c>
      <c r="D790" s="9">
        <f t="shared" si="113"/>
        <v>1.8992167779413087E-2</v>
      </c>
      <c r="E790" s="9"/>
      <c r="F790" s="9"/>
      <c r="G790" s="9"/>
      <c r="H790" s="9"/>
      <c r="I790" s="9"/>
      <c r="J790" s="9"/>
      <c r="K790" s="9"/>
      <c r="L790" s="9"/>
      <c r="M790" s="5"/>
      <c r="AJ790" s="2"/>
    </row>
    <row r="791" spans="1:36" x14ac:dyDescent="0.25">
      <c r="A791" s="6">
        <v>40935</v>
      </c>
      <c r="B791" s="7">
        <v>4.8940000000000001</v>
      </c>
      <c r="C791" s="9">
        <f t="shared" si="112"/>
        <v>-2.3425950076293455E-2</v>
      </c>
      <c r="D791" s="9">
        <f t="shared" si="113"/>
        <v>-2.3781423294666357E-2</v>
      </c>
      <c r="E791" s="9"/>
      <c r="F791" s="9"/>
      <c r="G791" s="9"/>
      <c r="H791" s="9"/>
      <c r="I791" s="9"/>
      <c r="J791" s="9"/>
      <c r="K791" s="9"/>
      <c r="L791" s="9"/>
      <c r="M791" s="5"/>
      <c r="AJ791" s="2"/>
    </row>
    <row r="792" spans="1:36" x14ac:dyDescent="0.25">
      <c r="A792" s="6">
        <v>40938</v>
      </c>
      <c r="B792" s="7">
        <v>4.6660000000000004</v>
      </c>
      <c r="C792" s="9">
        <f t="shared" si="112"/>
        <v>-4.7707791421241694E-2</v>
      </c>
      <c r="D792" s="9">
        <f t="shared" si="113"/>
        <v>-4.8063264639614592E-2</v>
      </c>
      <c r="E792" s="9"/>
      <c r="F792" s="9"/>
      <c r="G792" s="9"/>
      <c r="H792" s="9"/>
      <c r="I792" s="9"/>
      <c r="J792" s="9"/>
      <c r="K792" s="9"/>
      <c r="L792" s="9"/>
      <c r="M792" s="5"/>
      <c r="AJ792" s="2"/>
    </row>
    <row r="793" spans="1:36" x14ac:dyDescent="0.25">
      <c r="A793" s="6">
        <v>40939</v>
      </c>
      <c r="B793" s="7">
        <v>4.4939999999999998</v>
      </c>
      <c r="C793" s="9">
        <f t="shared" si="112"/>
        <v>-3.7558999836100913E-2</v>
      </c>
      <c r="D793" s="9">
        <f t="shared" si="113"/>
        <v>-3.7914473054473811E-2</v>
      </c>
      <c r="E793" s="9"/>
      <c r="F793" s="9"/>
      <c r="G793" s="9"/>
      <c r="H793" s="9"/>
      <c r="I793" s="9"/>
      <c r="J793" s="9"/>
      <c r="K793" s="9"/>
      <c r="L793" s="9"/>
      <c r="M793" s="5"/>
      <c r="AJ793" s="2"/>
    </row>
    <row r="794" spans="1:36" x14ac:dyDescent="0.25">
      <c r="A794" s="6">
        <v>40940</v>
      </c>
      <c r="B794" s="7">
        <v>4.8239999999999998</v>
      </c>
      <c r="C794" s="9">
        <f t="shared" si="112"/>
        <v>7.0860285661746888E-2</v>
      </c>
      <c r="D794" s="9">
        <f t="shared" si="113"/>
        <v>7.050481244337399E-2</v>
      </c>
      <c r="E794" s="9"/>
      <c r="F794" s="9"/>
      <c r="G794" s="9"/>
      <c r="H794" s="9"/>
      <c r="I794" s="9"/>
      <c r="J794" s="9"/>
      <c r="K794" s="9"/>
      <c r="L794" s="9"/>
      <c r="M794" s="5"/>
      <c r="AJ794" s="2"/>
    </row>
    <row r="795" spans="1:36" x14ac:dyDescent="0.25">
      <c r="A795" s="6">
        <v>40941</v>
      </c>
      <c r="B795" s="7">
        <v>4.97</v>
      </c>
      <c r="C795" s="9">
        <f t="shared" si="112"/>
        <v>2.9816380683652988E-2</v>
      </c>
      <c r="D795" s="9">
        <f t="shared" si="113"/>
        <v>2.9460907465280087E-2</v>
      </c>
      <c r="E795" s="9"/>
      <c r="F795" s="9"/>
      <c r="G795" s="9"/>
      <c r="H795" s="9"/>
      <c r="I795" s="9"/>
      <c r="J795" s="9"/>
      <c r="K795" s="9"/>
      <c r="L795" s="9"/>
      <c r="M795" s="5"/>
      <c r="AJ795" s="2"/>
    </row>
    <row r="796" spans="1:36" x14ac:dyDescent="0.25">
      <c r="A796" s="6">
        <v>40942</v>
      </c>
      <c r="B796" s="7">
        <v>5.0149999999999997</v>
      </c>
      <c r="C796" s="9">
        <f t="shared" si="112"/>
        <v>9.0135813053613886E-3</v>
      </c>
      <c r="D796" s="9">
        <f t="shared" si="113"/>
        <v>8.6581080869884888E-3</v>
      </c>
      <c r="E796" s="9"/>
      <c r="F796" s="9"/>
      <c r="G796" s="9"/>
      <c r="H796" s="9"/>
      <c r="I796" s="9"/>
      <c r="J796" s="9"/>
      <c r="K796" s="9"/>
      <c r="L796" s="9"/>
      <c r="M796" s="5"/>
      <c r="AJ796" s="2"/>
    </row>
    <row r="797" spans="1:36" x14ac:dyDescent="0.25">
      <c r="A797" s="6">
        <v>40945</v>
      </c>
      <c r="B797" s="7">
        <v>4.9640000000000004</v>
      </c>
      <c r="C797" s="9">
        <f t="shared" si="112"/>
        <v>-1.0221554071537915E-2</v>
      </c>
      <c r="D797" s="9">
        <f t="shared" si="113"/>
        <v>-1.0577027289910815E-2</v>
      </c>
      <c r="E797" s="9"/>
      <c r="F797" s="9"/>
      <c r="G797" s="9"/>
      <c r="H797" s="9"/>
      <c r="I797" s="9"/>
      <c r="J797" s="9"/>
      <c r="K797" s="9"/>
      <c r="L797" s="9"/>
      <c r="M797" s="5"/>
      <c r="AJ797" s="2"/>
    </row>
    <row r="798" spans="1:36" x14ac:dyDescent="0.25">
      <c r="A798" s="6">
        <v>40946</v>
      </c>
      <c r="B798" s="7">
        <v>4.952</v>
      </c>
      <c r="C798" s="9">
        <f t="shared" si="112"/>
        <v>-2.4203319600659187E-3</v>
      </c>
      <c r="D798" s="9">
        <f t="shared" si="113"/>
        <v>-2.7758051784388185E-3</v>
      </c>
      <c r="E798" s="9"/>
      <c r="F798" s="9"/>
      <c r="G798" s="9"/>
      <c r="H798" s="9"/>
      <c r="I798" s="9"/>
      <c r="J798" s="9"/>
      <c r="K798" s="9"/>
      <c r="L798" s="9"/>
      <c r="M798" s="5"/>
      <c r="AJ798" s="2"/>
    </row>
    <row r="799" spans="1:36" x14ac:dyDescent="0.25">
      <c r="A799" s="6">
        <v>40947</v>
      </c>
      <c r="B799" s="7">
        <v>4.9379999999999997</v>
      </c>
      <c r="C799" s="9">
        <f t="shared" si="112"/>
        <v>-2.8311444593072184E-3</v>
      </c>
      <c r="D799" s="9">
        <f t="shared" si="113"/>
        <v>-3.1866176776801183E-3</v>
      </c>
      <c r="E799" s="9"/>
      <c r="F799" s="9"/>
      <c r="G799" s="9"/>
      <c r="H799" s="9"/>
      <c r="I799" s="9"/>
      <c r="J799" s="9"/>
      <c r="K799" s="9"/>
      <c r="L799" s="9"/>
      <c r="M799" s="5"/>
      <c r="AJ799" s="2"/>
    </row>
    <row r="800" spans="1:36" x14ac:dyDescent="0.25">
      <c r="A800" s="6">
        <v>40948</v>
      </c>
      <c r="B800" s="7">
        <v>4.9279999999999999</v>
      </c>
      <c r="C800" s="9">
        <f t="shared" si="112"/>
        <v>-2.0271646917690775E-3</v>
      </c>
      <c r="D800" s="9">
        <f t="shared" si="113"/>
        <v>-2.3826379101419774E-3</v>
      </c>
      <c r="E800" s="9"/>
      <c r="F800" s="9"/>
      <c r="G800" s="9"/>
      <c r="H800" s="9"/>
      <c r="I800" s="9"/>
      <c r="J800" s="9"/>
      <c r="K800" s="9"/>
      <c r="L800" s="9"/>
      <c r="M800" s="5"/>
      <c r="AJ800" s="2"/>
    </row>
    <row r="801" spans="1:36" x14ac:dyDescent="0.25">
      <c r="A801" s="6">
        <v>40949</v>
      </c>
      <c r="B801" s="7">
        <v>4.8</v>
      </c>
      <c r="C801" s="9">
        <f t="shared" si="112"/>
        <v>-2.6317308317373417E-2</v>
      </c>
      <c r="D801" s="9">
        <f t="shared" si="113"/>
        <v>-2.6672781535746318E-2</v>
      </c>
      <c r="E801" s="9"/>
      <c r="F801" s="9"/>
      <c r="G801" s="9"/>
      <c r="H801" s="9"/>
      <c r="I801" s="9"/>
      <c r="J801" s="9"/>
      <c r="K801" s="9"/>
      <c r="L801" s="9"/>
      <c r="M801" s="5"/>
      <c r="AJ801" s="2"/>
    </row>
    <row r="802" spans="1:36" x14ac:dyDescent="0.25">
      <c r="A802" s="6">
        <v>40952</v>
      </c>
      <c r="B802" s="7">
        <v>4.7699999999999996</v>
      </c>
      <c r="C802" s="9">
        <f t="shared" si="112"/>
        <v>-6.2696130135954852E-3</v>
      </c>
      <c r="D802" s="9">
        <f t="shared" si="113"/>
        <v>-6.6250862319683851E-3</v>
      </c>
      <c r="E802" s="9"/>
      <c r="F802" s="9"/>
      <c r="G802" s="9"/>
      <c r="H802" s="9"/>
      <c r="I802" s="9"/>
      <c r="J802" s="9"/>
      <c r="K802" s="9"/>
      <c r="L802" s="9"/>
      <c r="M802" s="5"/>
      <c r="AJ802" s="2"/>
    </row>
    <row r="803" spans="1:36" x14ac:dyDescent="0.25">
      <c r="A803" s="6">
        <v>40953</v>
      </c>
      <c r="B803" s="7">
        <v>4.71</v>
      </c>
      <c r="C803" s="9">
        <f t="shared" si="112"/>
        <v>-1.2658396871923354E-2</v>
      </c>
      <c r="D803" s="9">
        <f t="shared" si="113"/>
        <v>-1.3013870090296253E-2</v>
      </c>
      <c r="E803" s="9"/>
      <c r="F803" s="9"/>
      <c r="G803" s="9"/>
      <c r="H803" s="9"/>
      <c r="I803" s="9"/>
      <c r="J803" s="9"/>
      <c r="K803" s="9"/>
      <c r="L803" s="9"/>
      <c r="M803" s="5"/>
      <c r="AJ803" s="2"/>
    </row>
    <row r="804" spans="1:36" x14ac:dyDescent="0.25">
      <c r="A804" s="6">
        <v>40954</v>
      </c>
      <c r="B804" s="7">
        <v>4.7620000000000005</v>
      </c>
      <c r="C804" s="9">
        <f t="shared" si="112"/>
        <v>1.0979840036344654E-2</v>
      </c>
      <c r="D804" s="9">
        <f t="shared" si="113"/>
        <v>1.0624366817971754E-2</v>
      </c>
      <c r="E804" s="9"/>
      <c r="F804" s="9"/>
      <c r="G804" s="9"/>
      <c r="H804" s="9"/>
      <c r="I804" s="9"/>
      <c r="J804" s="9"/>
      <c r="K804" s="9"/>
      <c r="L804" s="9"/>
      <c r="M804" s="5"/>
      <c r="AJ804" s="2"/>
    </row>
    <row r="805" spans="1:36" x14ac:dyDescent="0.25">
      <c r="A805" s="6">
        <v>40955</v>
      </c>
      <c r="B805" s="7">
        <v>4.5780000000000003</v>
      </c>
      <c r="C805" s="9">
        <f t="shared" si="112"/>
        <v>-3.9405526534296159E-2</v>
      </c>
      <c r="D805" s="9">
        <f t="shared" si="113"/>
        <v>-3.9760999752669057E-2</v>
      </c>
      <c r="E805" s="9"/>
      <c r="F805" s="9"/>
      <c r="G805" s="9"/>
      <c r="H805" s="9"/>
      <c r="I805" s="9"/>
      <c r="J805" s="9"/>
      <c r="K805" s="9"/>
      <c r="L805" s="9"/>
      <c r="M805" s="5"/>
      <c r="AJ805" s="2"/>
    </row>
    <row r="806" spans="1:36" x14ac:dyDescent="0.25">
      <c r="A806" s="6">
        <v>40956</v>
      </c>
      <c r="B806" s="7">
        <v>4.7160000000000002</v>
      </c>
      <c r="C806" s="9">
        <f t="shared" si="112"/>
        <v>2.9698761144749425E-2</v>
      </c>
      <c r="D806" s="9">
        <f t="shared" si="113"/>
        <v>2.9343287926376523E-2</v>
      </c>
      <c r="E806" s="9"/>
      <c r="F806" s="9"/>
      <c r="G806" s="9"/>
      <c r="H806" s="9"/>
      <c r="I806" s="9"/>
      <c r="J806" s="9"/>
      <c r="K806" s="9"/>
      <c r="L806" s="9"/>
      <c r="M806" s="5"/>
      <c r="AJ806" s="2"/>
    </row>
    <row r="807" spans="1:36" x14ac:dyDescent="0.25">
      <c r="A807" s="6">
        <v>40959</v>
      </c>
      <c r="B807" s="7">
        <v>4.798</v>
      </c>
      <c r="C807" s="9">
        <f t="shared" si="112"/>
        <v>1.7238181742378407E-2</v>
      </c>
      <c r="D807" s="9">
        <f t="shared" si="113"/>
        <v>1.6882708524005505E-2</v>
      </c>
      <c r="E807" s="9"/>
      <c r="F807" s="9"/>
      <c r="G807" s="9"/>
      <c r="H807" s="9"/>
      <c r="I807" s="9"/>
      <c r="J807" s="9"/>
      <c r="K807" s="9"/>
      <c r="L807" s="9"/>
      <c r="M807" s="5"/>
      <c r="AJ807" s="2"/>
    </row>
    <row r="808" spans="1:36" x14ac:dyDescent="0.25">
      <c r="A808" s="6">
        <v>40960</v>
      </c>
      <c r="B808" s="7">
        <v>4.8540000000000001</v>
      </c>
      <c r="C808" s="9">
        <f t="shared" si="112"/>
        <v>1.1603942886906807E-2</v>
      </c>
      <c r="D808" s="9">
        <f t="shared" si="113"/>
        <v>1.1248469668533908E-2</v>
      </c>
      <c r="E808" s="9"/>
      <c r="F808" s="9"/>
      <c r="G808" s="9"/>
      <c r="H808" s="9"/>
      <c r="I808" s="9"/>
      <c r="J808" s="9"/>
      <c r="K808" s="9"/>
      <c r="L808" s="9"/>
      <c r="M808" s="5"/>
      <c r="AJ808" s="2"/>
    </row>
    <row r="809" spans="1:36" x14ac:dyDescent="0.25">
      <c r="A809" s="6">
        <v>40961</v>
      </c>
      <c r="B809" s="7">
        <v>4.9859999999999998</v>
      </c>
      <c r="C809" s="9">
        <f t="shared" si="112"/>
        <v>2.6830877796956448E-2</v>
      </c>
      <c r="D809" s="9">
        <f t="shared" si="113"/>
        <v>2.6475404578583547E-2</v>
      </c>
      <c r="E809" s="9"/>
      <c r="F809" s="9"/>
      <c r="G809" s="9"/>
      <c r="H809" s="9"/>
      <c r="I809" s="9"/>
      <c r="J809" s="9"/>
      <c r="K809" s="9"/>
      <c r="L809" s="9"/>
      <c r="M809" s="5"/>
      <c r="AJ809" s="2"/>
    </row>
    <row r="810" spans="1:36" x14ac:dyDescent="0.25">
      <c r="A810" s="6">
        <v>40962</v>
      </c>
      <c r="B810" s="7">
        <v>4.8540000000000001</v>
      </c>
      <c r="C810" s="9">
        <f t="shared" si="112"/>
        <v>-2.6830877796956393E-2</v>
      </c>
      <c r="D810" s="9">
        <f t="shared" si="113"/>
        <v>-2.7186351015329294E-2</v>
      </c>
      <c r="E810" s="9"/>
      <c r="F810" s="9"/>
      <c r="G810" s="9"/>
      <c r="H810" s="9"/>
      <c r="I810" s="9"/>
      <c r="J810" s="9"/>
      <c r="K810" s="9"/>
      <c r="L810" s="9"/>
      <c r="M810" s="5"/>
      <c r="AJ810" s="2"/>
    </row>
    <row r="811" spans="1:36" x14ac:dyDescent="0.25">
      <c r="A811" s="6">
        <v>40963</v>
      </c>
      <c r="B811" s="7">
        <v>4.968</v>
      </c>
      <c r="C811" s="9">
        <f t="shared" si="112"/>
        <v>2.3214237326768028E-2</v>
      </c>
      <c r="D811" s="9">
        <f t="shared" si="113"/>
        <v>2.2858764108395126E-2</v>
      </c>
      <c r="E811" s="9"/>
      <c r="F811" s="9"/>
      <c r="G811" s="9"/>
      <c r="H811" s="9"/>
      <c r="I811" s="9"/>
      <c r="J811" s="9"/>
      <c r="K811" s="9"/>
      <c r="L811" s="9"/>
      <c r="M811" s="5"/>
      <c r="AJ811" s="2"/>
    </row>
    <row r="812" spans="1:36" x14ac:dyDescent="0.25">
      <c r="A812" s="6">
        <v>40966</v>
      </c>
      <c r="B812" s="7">
        <v>4.9059999999999997</v>
      </c>
      <c r="C812" s="9">
        <f t="shared" si="112"/>
        <v>-1.2558398794880138E-2</v>
      </c>
      <c r="D812" s="9">
        <f t="shared" si="113"/>
        <v>-1.2913872013253037E-2</v>
      </c>
      <c r="E812" s="9"/>
      <c r="F812" s="9"/>
      <c r="G812" s="9"/>
      <c r="H812" s="9"/>
      <c r="I812" s="9"/>
      <c r="J812" s="9"/>
      <c r="K812" s="9"/>
      <c r="L812" s="9"/>
      <c r="M812" s="5"/>
      <c r="AJ812" s="2"/>
    </row>
    <row r="813" spans="1:36" x14ac:dyDescent="0.25">
      <c r="A813" s="6">
        <v>40967</v>
      </c>
      <c r="B813" s="7">
        <v>4.968</v>
      </c>
      <c r="C813" s="9">
        <f t="shared" si="112"/>
        <v>1.2558398794880197E-2</v>
      </c>
      <c r="D813" s="9">
        <f t="shared" si="113"/>
        <v>1.2202925576507297E-2</v>
      </c>
      <c r="E813" s="9"/>
      <c r="F813" s="9"/>
      <c r="G813" s="9"/>
      <c r="H813" s="9"/>
      <c r="I813" s="9"/>
      <c r="J813" s="9"/>
      <c r="K813" s="9"/>
      <c r="L813" s="9"/>
      <c r="M813" s="5"/>
      <c r="AJ813" s="2"/>
    </row>
    <row r="814" spans="1:36" x14ac:dyDescent="0.25">
      <c r="A814" s="6">
        <v>40968</v>
      </c>
      <c r="B814" s="7">
        <v>4.8899999999999997</v>
      </c>
      <c r="C814" s="9">
        <f t="shared" si="112"/>
        <v>-1.5825041144397055E-2</v>
      </c>
      <c r="D814" s="9">
        <f t="shared" si="113"/>
        <v>-1.6180514362769956E-2</v>
      </c>
      <c r="E814" s="9"/>
      <c r="F814" s="9"/>
      <c r="G814" s="9"/>
      <c r="H814" s="9"/>
      <c r="I814" s="9"/>
      <c r="J814" s="9"/>
      <c r="K814" s="9"/>
      <c r="L814" s="9"/>
      <c r="M814" s="5"/>
      <c r="AJ814" s="2"/>
    </row>
    <row r="815" spans="1:36" x14ac:dyDescent="0.25">
      <c r="A815" s="6">
        <v>40969</v>
      </c>
      <c r="B815" s="7">
        <v>5.01</v>
      </c>
      <c r="C815" s="9">
        <f t="shared" si="112"/>
        <v>2.4243611609992853E-2</v>
      </c>
      <c r="D815" s="9">
        <f t="shared" si="113"/>
        <v>2.3888138391619951E-2</v>
      </c>
      <c r="E815" s="9"/>
      <c r="F815" s="9"/>
      <c r="G815" s="9"/>
      <c r="H815" s="9"/>
      <c r="I815" s="9"/>
      <c r="J815" s="9"/>
      <c r="K815" s="9"/>
      <c r="L815" s="9"/>
      <c r="M815" s="5"/>
      <c r="AJ815" s="2"/>
    </row>
    <row r="816" spans="1:36" x14ac:dyDescent="0.25">
      <c r="A816" s="6">
        <v>40970</v>
      </c>
      <c r="B816" s="7">
        <v>5.0650000000000004</v>
      </c>
      <c r="C816" s="9">
        <f t="shared" si="112"/>
        <v>1.091822260387345E-2</v>
      </c>
      <c r="D816" s="9">
        <f t="shared" si="113"/>
        <v>1.056274938550055E-2</v>
      </c>
      <c r="E816" s="9"/>
      <c r="F816" s="9"/>
      <c r="G816" s="9"/>
      <c r="H816" s="9"/>
      <c r="I816" s="9"/>
      <c r="J816" s="9"/>
      <c r="K816" s="9"/>
      <c r="L816" s="9"/>
      <c r="M816" s="5"/>
      <c r="AJ816" s="2"/>
    </row>
    <row r="817" spans="1:36" x14ac:dyDescent="0.25">
      <c r="A817" s="6">
        <v>40973</v>
      </c>
      <c r="B817" s="7">
        <v>4.97</v>
      </c>
      <c r="C817" s="9">
        <f t="shared" si="112"/>
        <v>-1.8934297592109503E-2</v>
      </c>
      <c r="D817" s="9">
        <f t="shared" si="113"/>
        <v>-1.9289770810482405E-2</v>
      </c>
      <c r="E817" s="9"/>
      <c r="F817" s="9"/>
      <c r="G817" s="9"/>
      <c r="H817" s="9"/>
      <c r="I817" s="9"/>
      <c r="J817" s="9"/>
      <c r="K817" s="9"/>
      <c r="L817" s="9"/>
      <c r="M817" s="5"/>
      <c r="AJ817" s="2"/>
    </row>
    <row r="818" spans="1:36" x14ac:dyDescent="0.25">
      <c r="A818" s="6">
        <v>40974</v>
      </c>
      <c r="B818" s="7">
        <v>4.6899999999999995</v>
      </c>
      <c r="C818" s="9">
        <f t="shared" si="112"/>
        <v>-5.79872576503494E-2</v>
      </c>
      <c r="D818" s="9">
        <f t="shared" si="113"/>
        <v>-5.8342730868722298E-2</v>
      </c>
      <c r="E818" s="9"/>
      <c r="F818" s="9"/>
      <c r="G818" s="9"/>
      <c r="H818" s="9"/>
      <c r="I818" s="9"/>
      <c r="J818" s="9"/>
      <c r="K818" s="9"/>
      <c r="L818" s="9"/>
      <c r="M818" s="5"/>
      <c r="AJ818" s="2"/>
    </row>
    <row r="819" spans="1:36" x14ac:dyDescent="0.25">
      <c r="A819" s="6">
        <v>40975</v>
      </c>
      <c r="B819" s="7">
        <v>4.8120000000000003</v>
      </c>
      <c r="C819" s="9">
        <f t="shared" si="112"/>
        <v>2.5680215654244633E-2</v>
      </c>
      <c r="D819" s="9">
        <f t="shared" si="113"/>
        <v>2.5324742435871732E-2</v>
      </c>
      <c r="E819" s="9"/>
      <c r="F819" s="9"/>
      <c r="G819" s="9"/>
      <c r="H819" s="9"/>
      <c r="I819" s="9"/>
      <c r="J819" s="9"/>
      <c r="K819" s="9"/>
      <c r="L819" s="9"/>
      <c r="M819" s="5"/>
      <c r="AJ819" s="2"/>
    </row>
    <row r="820" spans="1:36" x14ac:dyDescent="0.25">
      <c r="A820" s="6">
        <v>40976</v>
      </c>
      <c r="B820" s="7">
        <v>4.9020000000000001</v>
      </c>
      <c r="C820" s="9">
        <f t="shared" si="112"/>
        <v>1.853048699348828E-2</v>
      </c>
      <c r="D820" s="9">
        <f t="shared" si="113"/>
        <v>1.8175013775115378E-2</v>
      </c>
      <c r="E820" s="9"/>
      <c r="F820" s="9"/>
      <c r="G820" s="9"/>
      <c r="H820" s="9"/>
      <c r="I820" s="9"/>
      <c r="J820" s="9"/>
      <c r="K820" s="9"/>
      <c r="L820" s="9"/>
      <c r="M820" s="5"/>
      <c r="AJ820" s="2"/>
    </row>
    <row r="821" spans="1:36" x14ac:dyDescent="0.25">
      <c r="A821" s="6">
        <v>40977</v>
      </c>
      <c r="B821" s="7">
        <v>4.726</v>
      </c>
      <c r="C821" s="9">
        <f t="shared" si="112"/>
        <v>-3.6564106341204813E-2</v>
      </c>
      <c r="D821" s="9">
        <f t="shared" si="113"/>
        <v>-3.6919579559577712E-2</v>
      </c>
      <c r="E821" s="9"/>
      <c r="F821" s="9"/>
      <c r="G821" s="9"/>
      <c r="H821" s="9"/>
      <c r="I821" s="9"/>
      <c r="J821" s="9"/>
      <c r="K821" s="9"/>
      <c r="L821" s="9"/>
      <c r="M821" s="5"/>
      <c r="AJ821" s="2"/>
    </row>
    <row r="822" spans="1:36" x14ac:dyDescent="0.25">
      <c r="A822" s="6">
        <v>40980</v>
      </c>
      <c r="B822" s="7">
        <v>4.6760000000000002</v>
      </c>
      <c r="C822" s="9">
        <f t="shared" si="112"/>
        <v>-1.0636135154894023E-2</v>
      </c>
      <c r="D822" s="9">
        <f t="shared" si="113"/>
        <v>-1.0991608373266923E-2</v>
      </c>
      <c r="E822" s="9"/>
      <c r="F822" s="9"/>
      <c r="G822" s="9"/>
      <c r="H822" s="9"/>
      <c r="I822" s="9"/>
      <c r="J822" s="9"/>
      <c r="K822" s="9"/>
      <c r="L822" s="9"/>
      <c r="M822" s="5"/>
      <c r="AJ822" s="2"/>
    </row>
    <row r="823" spans="1:36" x14ac:dyDescent="0.25">
      <c r="A823" s="6">
        <v>40981</v>
      </c>
      <c r="B823" s="7">
        <v>4.8120000000000003</v>
      </c>
      <c r="C823" s="9">
        <f t="shared" si="112"/>
        <v>2.8669754502610504E-2</v>
      </c>
      <c r="D823" s="9">
        <f t="shared" si="113"/>
        <v>2.8314281284237602E-2</v>
      </c>
      <c r="E823" s="9"/>
      <c r="F823" s="9"/>
      <c r="G823" s="9"/>
      <c r="H823" s="9"/>
      <c r="I823" s="9"/>
      <c r="J823" s="9"/>
      <c r="K823" s="9"/>
      <c r="L823" s="9"/>
      <c r="M823" s="5"/>
      <c r="AJ823" s="2"/>
    </row>
    <row r="824" spans="1:36" x14ac:dyDescent="0.25">
      <c r="A824" s="6">
        <v>40982</v>
      </c>
      <c r="B824" s="7">
        <v>4.8860000000000001</v>
      </c>
      <c r="C824" s="9">
        <f t="shared" si="112"/>
        <v>1.5261174723116304E-2</v>
      </c>
      <c r="D824" s="9">
        <f t="shared" si="113"/>
        <v>1.4905701504743404E-2</v>
      </c>
      <c r="E824" s="9"/>
      <c r="F824" s="9"/>
      <c r="G824" s="9"/>
      <c r="H824" s="9"/>
      <c r="I824" s="9"/>
      <c r="J824" s="9"/>
      <c r="K824" s="9"/>
      <c r="L824" s="9"/>
      <c r="M824" s="5"/>
      <c r="AJ824" s="2"/>
    </row>
    <row r="825" spans="1:36" x14ac:dyDescent="0.25">
      <c r="A825" s="6">
        <v>40983</v>
      </c>
      <c r="B825" s="7">
        <v>4.9859999999999998</v>
      </c>
      <c r="C825" s="9">
        <f t="shared" si="112"/>
        <v>2.0260012265817376E-2</v>
      </c>
      <c r="D825" s="9">
        <f t="shared" si="113"/>
        <v>1.9904539047444474E-2</v>
      </c>
      <c r="E825" s="9"/>
      <c r="F825" s="9"/>
      <c r="G825" s="9"/>
      <c r="H825" s="9"/>
      <c r="I825" s="9"/>
      <c r="J825" s="9"/>
      <c r="K825" s="9"/>
      <c r="L825" s="9"/>
      <c r="M825" s="5"/>
      <c r="AJ825" s="2"/>
    </row>
    <row r="826" spans="1:36" x14ac:dyDescent="0.25">
      <c r="A826" s="6">
        <v>40984</v>
      </c>
      <c r="B826" s="7">
        <v>5.01</v>
      </c>
      <c r="C826" s="9">
        <f t="shared" si="112"/>
        <v>4.8019299954072114E-3</v>
      </c>
      <c r="D826" s="9">
        <f t="shared" si="113"/>
        <v>4.4464567770343116E-3</v>
      </c>
      <c r="E826" s="9"/>
      <c r="F826" s="9"/>
      <c r="G826" s="9"/>
      <c r="H826" s="9"/>
      <c r="I826" s="9"/>
      <c r="J826" s="9"/>
      <c r="K826" s="9"/>
      <c r="L826" s="9"/>
      <c r="M826" s="5"/>
      <c r="AJ826" s="2"/>
    </row>
    <row r="827" spans="1:36" x14ac:dyDescent="0.25">
      <c r="A827" s="6">
        <v>40987</v>
      </c>
      <c r="B827" s="7">
        <v>4.9820000000000002</v>
      </c>
      <c r="C827" s="9">
        <f t="shared" si="112"/>
        <v>-5.6044982567846771E-3</v>
      </c>
      <c r="D827" s="9">
        <f t="shared" si="113"/>
        <v>-5.959971475157577E-3</v>
      </c>
      <c r="E827" s="9"/>
      <c r="F827" s="9"/>
      <c r="G827" s="9"/>
      <c r="H827" s="9"/>
      <c r="I827" s="9"/>
      <c r="J827" s="9"/>
      <c r="K827" s="9"/>
      <c r="L827" s="9"/>
      <c r="M827" s="5"/>
      <c r="AJ827" s="2"/>
    </row>
    <row r="828" spans="1:36" x14ac:dyDescent="0.25">
      <c r="A828" s="6">
        <v>40988</v>
      </c>
      <c r="B828" s="7">
        <v>4.9539999999999997</v>
      </c>
      <c r="C828" s="9">
        <f t="shared" si="112"/>
        <v>-5.6360857728209451E-3</v>
      </c>
      <c r="D828" s="9">
        <f t="shared" si="113"/>
        <v>-5.991558991193845E-3</v>
      </c>
      <c r="E828" s="9"/>
      <c r="F828" s="9"/>
      <c r="G828" s="9"/>
      <c r="H828" s="9"/>
      <c r="I828" s="9"/>
      <c r="J828" s="9"/>
      <c r="K828" s="9"/>
      <c r="L828" s="9"/>
      <c r="M828" s="5"/>
      <c r="AJ828" s="2"/>
    </row>
    <row r="829" spans="1:36" x14ac:dyDescent="0.25">
      <c r="A829" s="6">
        <v>40989</v>
      </c>
      <c r="B829" s="7">
        <v>4.8319999999999999</v>
      </c>
      <c r="C829" s="9">
        <f t="shared" ref="C829:C892" si="114">LN(B829/B828)</f>
        <v>-2.4934870434653995E-2</v>
      </c>
      <c r="D829" s="9">
        <f t="shared" si="113"/>
        <v>-2.5290343653026896E-2</v>
      </c>
      <c r="E829" s="9"/>
      <c r="F829" s="9"/>
      <c r="G829" s="9"/>
      <c r="H829" s="9"/>
      <c r="I829" s="9"/>
      <c r="J829" s="9"/>
      <c r="K829" s="9"/>
      <c r="L829" s="9"/>
      <c r="M829" s="5"/>
      <c r="AJ829" s="2"/>
    </row>
    <row r="830" spans="1:36" x14ac:dyDescent="0.25">
      <c r="A830" s="6">
        <v>40990</v>
      </c>
      <c r="B830" s="7">
        <v>4.7219999999999995</v>
      </c>
      <c r="C830" s="9">
        <f t="shared" si="114"/>
        <v>-2.3028021969192666E-2</v>
      </c>
      <c r="D830" s="9">
        <f t="shared" si="113"/>
        <v>-2.3383495187565568E-2</v>
      </c>
      <c r="E830" s="9"/>
      <c r="F830" s="9"/>
      <c r="G830" s="9"/>
      <c r="H830" s="9"/>
      <c r="I830" s="9"/>
      <c r="J830" s="9"/>
      <c r="K830" s="9"/>
      <c r="L830" s="9"/>
      <c r="M830" s="5"/>
      <c r="AJ830" s="2"/>
    </row>
    <row r="831" spans="1:36" x14ac:dyDescent="0.25">
      <c r="A831" s="6">
        <v>40991</v>
      </c>
      <c r="B831" s="7">
        <v>4.75</v>
      </c>
      <c r="C831" s="9">
        <f t="shared" si="114"/>
        <v>5.9121793832288445E-3</v>
      </c>
      <c r="D831" s="9">
        <f t="shared" si="113"/>
        <v>5.5567061648559447E-3</v>
      </c>
      <c r="E831" s="9"/>
      <c r="F831" s="9"/>
      <c r="G831" s="9"/>
      <c r="H831" s="9"/>
      <c r="I831" s="9"/>
      <c r="J831" s="9"/>
      <c r="K831" s="9"/>
      <c r="L831" s="9"/>
      <c r="M831" s="5"/>
      <c r="AJ831" s="2"/>
    </row>
    <row r="832" spans="1:36" x14ac:dyDescent="0.25">
      <c r="A832" s="6">
        <v>40994</v>
      </c>
      <c r="B832" s="7">
        <v>4.7300000000000004</v>
      </c>
      <c r="C832" s="9">
        <f t="shared" si="114"/>
        <v>-4.2194155427080987E-3</v>
      </c>
      <c r="D832" s="9">
        <f t="shared" si="113"/>
        <v>-4.5748887610809986E-3</v>
      </c>
      <c r="E832" s="9"/>
      <c r="F832" s="9"/>
      <c r="G832" s="9"/>
      <c r="H832" s="9"/>
      <c r="I832" s="9"/>
      <c r="J832" s="9"/>
      <c r="K832" s="9"/>
      <c r="L832" s="9"/>
      <c r="M832" s="5"/>
      <c r="AJ832" s="2"/>
    </row>
    <row r="833" spans="1:36" x14ac:dyDescent="0.25">
      <c r="A833" s="6">
        <v>40995</v>
      </c>
      <c r="B833" s="7">
        <v>4.6379999999999999</v>
      </c>
      <c r="C833" s="9">
        <f t="shared" si="114"/>
        <v>-1.9641963670501847E-2</v>
      </c>
      <c r="D833" s="9">
        <f t="shared" si="113"/>
        <v>-1.9997436888874748E-2</v>
      </c>
      <c r="E833" s="9"/>
      <c r="F833" s="9"/>
      <c r="G833" s="9"/>
      <c r="H833" s="9"/>
      <c r="I833" s="9"/>
      <c r="J833" s="9"/>
      <c r="K833" s="9"/>
      <c r="L833" s="9"/>
      <c r="M833" s="5"/>
      <c r="AJ833" s="2"/>
    </row>
    <row r="834" spans="1:36" x14ac:dyDescent="0.25">
      <c r="A834" s="6">
        <v>40996</v>
      </c>
      <c r="B834" s="7">
        <v>4.6100000000000003</v>
      </c>
      <c r="C834" s="9">
        <f t="shared" si="114"/>
        <v>-6.0553818247826548E-3</v>
      </c>
      <c r="D834" s="9">
        <f t="shared" si="113"/>
        <v>-6.4108550431555547E-3</v>
      </c>
      <c r="E834" s="9"/>
      <c r="F834" s="9"/>
      <c r="G834" s="9"/>
      <c r="H834" s="9"/>
      <c r="I834" s="9"/>
      <c r="J834" s="9"/>
      <c r="K834" s="9"/>
      <c r="L834" s="9"/>
      <c r="M834" s="5"/>
      <c r="AJ834" s="2"/>
    </row>
    <row r="835" spans="1:36" x14ac:dyDescent="0.25">
      <c r="A835" s="6">
        <v>40997</v>
      </c>
      <c r="B835" s="7">
        <v>4.4480000000000004</v>
      </c>
      <c r="C835" s="9">
        <f t="shared" si="114"/>
        <v>-3.5773300060275896E-2</v>
      </c>
      <c r="D835" s="9">
        <f t="shared" si="113"/>
        <v>-3.6128773278648794E-2</v>
      </c>
      <c r="E835" s="9"/>
      <c r="F835" s="9"/>
      <c r="G835" s="9"/>
      <c r="H835" s="9"/>
      <c r="I835" s="9"/>
      <c r="J835" s="9"/>
      <c r="K835" s="9"/>
      <c r="L835" s="9"/>
      <c r="M835" s="5"/>
      <c r="AJ835" s="2"/>
    </row>
    <row r="836" spans="1:36" x14ac:dyDescent="0.25">
      <c r="A836" s="6">
        <v>40998</v>
      </c>
      <c r="B836" s="7">
        <v>4.4039999999999999</v>
      </c>
      <c r="C836" s="9">
        <f t="shared" si="114"/>
        <v>-9.9413380878478844E-3</v>
      </c>
      <c r="D836" s="9">
        <f t="shared" si="113"/>
        <v>-1.0296811306220784E-2</v>
      </c>
      <c r="E836" s="9"/>
      <c r="F836" s="9"/>
      <c r="G836" s="9"/>
      <c r="H836" s="9"/>
      <c r="I836" s="9"/>
      <c r="J836" s="9"/>
      <c r="K836" s="9"/>
      <c r="L836" s="9"/>
      <c r="M836" s="5"/>
      <c r="AJ836" s="2"/>
    </row>
    <row r="837" spans="1:36" x14ac:dyDescent="0.25">
      <c r="A837" s="6">
        <v>41001</v>
      </c>
      <c r="B837" s="7">
        <v>4.3899999999999997</v>
      </c>
      <c r="C837" s="9">
        <f t="shared" si="114"/>
        <v>-3.1839917733536508E-3</v>
      </c>
      <c r="D837" s="9">
        <f t="shared" si="113"/>
        <v>-3.5394649917265507E-3</v>
      </c>
      <c r="E837" s="9"/>
      <c r="F837" s="9"/>
      <c r="G837" s="9"/>
      <c r="H837" s="9"/>
      <c r="I837" s="9"/>
      <c r="J837" s="9"/>
      <c r="K837" s="9"/>
      <c r="L837" s="9"/>
      <c r="M837" s="5"/>
      <c r="AJ837" s="2"/>
    </row>
    <row r="838" spans="1:36" x14ac:dyDescent="0.25">
      <c r="A838" s="6">
        <v>41002</v>
      </c>
      <c r="B838" s="7">
        <v>4.234</v>
      </c>
      <c r="C838" s="9">
        <f t="shared" si="114"/>
        <v>-3.6182054374406511E-2</v>
      </c>
      <c r="D838" s="9">
        <f t="shared" si="113"/>
        <v>-3.6537527592779409E-2</v>
      </c>
      <c r="E838" s="9"/>
      <c r="F838" s="9"/>
      <c r="G838" s="9"/>
      <c r="H838" s="9"/>
      <c r="I838" s="9"/>
      <c r="J838" s="9"/>
      <c r="K838" s="9"/>
      <c r="L838" s="9"/>
      <c r="M838" s="5"/>
      <c r="AJ838" s="2"/>
    </row>
    <row r="839" spans="1:36" x14ac:dyDescent="0.25">
      <c r="A839" s="6">
        <v>41003</v>
      </c>
      <c r="B839" s="7">
        <v>4.1180000000000003</v>
      </c>
      <c r="C839" s="9">
        <f t="shared" si="114"/>
        <v>-2.7779564107075591E-2</v>
      </c>
      <c r="D839" s="9">
        <f t="shared" si="113"/>
        <v>-2.8135037325448493E-2</v>
      </c>
      <c r="E839" s="9"/>
      <c r="F839" s="9"/>
      <c r="G839" s="9"/>
      <c r="H839" s="9"/>
      <c r="I839" s="9"/>
      <c r="J839" s="9"/>
      <c r="K839" s="9"/>
      <c r="L839" s="9"/>
      <c r="M839" s="5"/>
      <c r="AJ839" s="2"/>
    </row>
    <row r="840" spans="1:36" x14ac:dyDescent="0.25">
      <c r="A840" s="6">
        <v>41004</v>
      </c>
      <c r="B840" s="7">
        <v>4.016</v>
      </c>
      <c r="C840" s="9">
        <f t="shared" si="114"/>
        <v>-2.5081226216169695E-2</v>
      </c>
      <c r="D840" s="9">
        <f t="shared" si="113"/>
        <v>-2.5436699434542596E-2</v>
      </c>
      <c r="E840" s="9"/>
      <c r="F840" s="9"/>
      <c r="G840" s="9"/>
      <c r="H840" s="9"/>
      <c r="I840" s="9"/>
      <c r="J840" s="9"/>
      <c r="K840" s="9"/>
      <c r="L840" s="9"/>
      <c r="M840" s="5"/>
      <c r="AJ840" s="2"/>
    </row>
    <row r="841" spans="1:36" x14ac:dyDescent="0.25">
      <c r="A841" s="6">
        <v>41009</v>
      </c>
      <c r="B841" s="7">
        <v>3.8359999999999999</v>
      </c>
      <c r="C841" s="9">
        <f t="shared" si="114"/>
        <v>-4.5856225368236359E-2</v>
      </c>
      <c r="D841" s="9">
        <f t="shared" si="113"/>
        <v>-4.6211698586609257E-2</v>
      </c>
      <c r="E841" s="9"/>
      <c r="F841" s="9"/>
      <c r="G841" s="9"/>
      <c r="H841" s="9"/>
      <c r="I841" s="9"/>
      <c r="J841" s="9"/>
      <c r="K841" s="9"/>
      <c r="L841" s="9"/>
      <c r="M841" s="5"/>
      <c r="AJ841" s="2"/>
    </row>
    <row r="842" spans="1:36" x14ac:dyDescent="0.25">
      <c r="A842" s="6">
        <v>41010</v>
      </c>
      <c r="B842" s="7">
        <v>3.9260000000000002</v>
      </c>
      <c r="C842" s="9">
        <f t="shared" si="114"/>
        <v>2.319093883307756E-2</v>
      </c>
      <c r="D842" s="9">
        <f t="shared" si="113"/>
        <v>2.2835465614704658E-2</v>
      </c>
      <c r="E842" s="9"/>
      <c r="F842" s="9"/>
      <c r="G842" s="9"/>
      <c r="H842" s="9"/>
      <c r="I842" s="9"/>
      <c r="J842" s="9"/>
      <c r="K842" s="9"/>
      <c r="L842" s="9"/>
      <c r="M842" s="5"/>
      <c r="AJ842" s="2"/>
    </row>
    <row r="843" spans="1:36" x14ac:dyDescent="0.25">
      <c r="A843" s="6">
        <v>41011</v>
      </c>
      <c r="B843" s="7">
        <v>3.9699999999999998</v>
      </c>
      <c r="C843" s="9">
        <f t="shared" si="114"/>
        <v>1.114499884482956E-2</v>
      </c>
      <c r="D843" s="9">
        <f t="shared" si="113"/>
        <v>1.078952562645666E-2</v>
      </c>
      <c r="E843" s="9"/>
      <c r="F843" s="9"/>
      <c r="G843" s="9"/>
      <c r="H843" s="9"/>
      <c r="I843" s="9"/>
      <c r="J843" s="9"/>
      <c r="K843" s="9"/>
      <c r="L843" s="9"/>
      <c r="M843" s="5"/>
      <c r="AJ843" s="2"/>
    </row>
    <row r="844" spans="1:36" x14ac:dyDescent="0.25">
      <c r="A844" s="6">
        <v>41012</v>
      </c>
      <c r="B844" s="7">
        <v>3.77</v>
      </c>
      <c r="C844" s="9">
        <f t="shared" si="114"/>
        <v>-5.1691093239179559E-2</v>
      </c>
      <c r="D844" s="9">
        <f t="shared" si="113"/>
        <v>-5.2046566457552457E-2</v>
      </c>
      <c r="E844" s="9"/>
      <c r="F844" s="9"/>
      <c r="G844" s="9"/>
      <c r="H844" s="9"/>
      <c r="I844" s="9"/>
      <c r="J844" s="9"/>
      <c r="K844" s="9"/>
      <c r="L844" s="9"/>
      <c r="M844" s="5"/>
      <c r="AJ844" s="2"/>
    </row>
    <row r="845" spans="1:36" x14ac:dyDescent="0.25">
      <c r="A845" s="6">
        <v>41015</v>
      </c>
      <c r="B845" s="7">
        <v>3.7039999999999997</v>
      </c>
      <c r="C845" s="9">
        <f t="shared" si="114"/>
        <v>-1.7661684675986541E-2</v>
      </c>
      <c r="D845" s="9">
        <f t="shared" si="113"/>
        <v>-1.8017157894359443E-2</v>
      </c>
      <c r="E845" s="9"/>
      <c r="F845" s="9"/>
      <c r="G845" s="9"/>
      <c r="H845" s="9"/>
      <c r="I845" s="9"/>
      <c r="J845" s="9"/>
      <c r="K845" s="9"/>
      <c r="L845" s="9"/>
      <c r="M845" s="5"/>
      <c r="AJ845" s="2"/>
    </row>
    <row r="846" spans="1:36" x14ac:dyDescent="0.25">
      <c r="A846" s="6">
        <v>41016</v>
      </c>
      <c r="B846" s="7">
        <v>4.0339999999999998</v>
      </c>
      <c r="C846" s="9">
        <f t="shared" si="114"/>
        <v>8.5345122748087185E-2</v>
      </c>
      <c r="D846" s="9">
        <f t="shared" si="113"/>
        <v>8.4989649529714287E-2</v>
      </c>
      <c r="E846" s="9"/>
      <c r="F846" s="9"/>
      <c r="G846" s="9"/>
      <c r="H846" s="9"/>
      <c r="I846" s="9"/>
      <c r="J846" s="9"/>
      <c r="K846" s="9"/>
      <c r="L846" s="9"/>
      <c r="M846" s="5"/>
      <c r="AJ846" s="2"/>
    </row>
    <row r="847" spans="1:36" x14ac:dyDescent="0.25">
      <c r="A847" s="6">
        <v>41017</v>
      </c>
      <c r="B847" s="7">
        <v>3.8719999999999999</v>
      </c>
      <c r="C847" s="9">
        <f t="shared" si="114"/>
        <v>-4.0987270117689413E-2</v>
      </c>
      <c r="D847" s="9">
        <f t="shared" si="113"/>
        <v>-4.1342743336062311E-2</v>
      </c>
      <c r="E847" s="9"/>
      <c r="F847" s="9"/>
      <c r="G847" s="9"/>
      <c r="H847" s="9"/>
      <c r="I847" s="9"/>
      <c r="J847" s="9"/>
      <c r="K847" s="9"/>
      <c r="L847" s="9"/>
      <c r="M847" s="5"/>
      <c r="AJ847" s="2"/>
    </row>
    <row r="848" spans="1:36" x14ac:dyDescent="0.25">
      <c r="A848" s="6">
        <v>41018</v>
      </c>
      <c r="B848" s="7">
        <v>3.702</v>
      </c>
      <c r="C848" s="9">
        <f t="shared" si="114"/>
        <v>-4.4897955263024827E-2</v>
      </c>
      <c r="D848" s="9">
        <f t="shared" si="113"/>
        <v>-4.5253428481397726E-2</v>
      </c>
      <c r="E848" s="9"/>
      <c r="F848" s="9"/>
      <c r="G848" s="9"/>
      <c r="H848" s="9"/>
      <c r="I848" s="9"/>
      <c r="J848" s="9"/>
      <c r="K848" s="9"/>
      <c r="L848" s="9"/>
      <c r="M848" s="5"/>
      <c r="AJ848" s="2"/>
    </row>
    <row r="849" spans="1:36" x14ac:dyDescent="0.25">
      <c r="A849" s="6">
        <v>41019</v>
      </c>
      <c r="B849" s="7">
        <v>3.6680000000000001</v>
      </c>
      <c r="C849" s="9">
        <f t="shared" si="114"/>
        <v>-9.2266597570872643E-3</v>
      </c>
      <c r="D849" s="9">
        <f t="shared" si="113"/>
        <v>-9.5821329754601642E-3</v>
      </c>
      <c r="E849" s="9"/>
      <c r="F849" s="9"/>
      <c r="G849" s="9"/>
      <c r="H849" s="9"/>
      <c r="I849" s="9"/>
      <c r="J849" s="9"/>
      <c r="K849" s="9"/>
      <c r="L849" s="9"/>
      <c r="M849" s="5"/>
      <c r="AJ849" s="2"/>
    </row>
    <row r="850" spans="1:36" x14ac:dyDescent="0.25">
      <c r="A850" s="6">
        <v>41022</v>
      </c>
      <c r="B850" s="7">
        <v>3.5960000000000001</v>
      </c>
      <c r="C850" s="9">
        <f t="shared" si="114"/>
        <v>-1.9824437784844544E-2</v>
      </c>
      <c r="D850" s="9">
        <f t="shared" si="113"/>
        <v>-2.0179911003217445E-2</v>
      </c>
      <c r="E850" s="9"/>
      <c r="F850" s="9"/>
      <c r="G850" s="9"/>
      <c r="H850" s="9"/>
      <c r="I850" s="9"/>
      <c r="J850" s="9"/>
      <c r="K850" s="9"/>
      <c r="L850" s="9"/>
      <c r="M850" s="5"/>
      <c r="AJ850" s="2"/>
    </row>
    <row r="851" spans="1:36" x14ac:dyDescent="0.25">
      <c r="A851" s="6">
        <v>41023</v>
      </c>
      <c r="B851" s="7">
        <v>3.58</v>
      </c>
      <c r="C851" s="9">
        <f t="shared" si="114"/>
        <v>-4.4593161967648757E-3</v>
      </c>
      <c r="D851" s="9">
        <f t="shared" si="113"/>
        <v>-4.8147894151377756E-3</v>
      </c>
      <c r="E851" s="9"/>
      <c r="F851" s="9"/>
      <c r="G851" s="9"/>
      <c r="H851" s="9"/>
      <c r="I851" s="9"/>
      <c r="J851" s="9"/>
      <c r="K851" s="9"/>
      <c r="L851" s="9"/>
      <c r="M851" s="5"/>
      <c r="AJ851" s="2"/>
    </row>
    <row r="852" spans="1:36" x14ac:dyDescent="0.25">
      <c r="A852" s="6">
        <v>41024</v>
      </c>
      <c r="B852" s="7">
        <v>3.64</v>
      </c>
      <c r="C852" s="9">
        <f t="shared" si="114"/>
        <v>1.6620881236040282E-2</v>
      </c>
      <c r="D852" s="9">
        <f t="shared" si="113"/>
        <v>1.626540801766738E-2</v>
      </c>
      <c r="E852" s="9"/>
      <c r="F852" s="9"/>
      <c r="G852" s="9"/>
      <c r="H852" s="9"/>
      <c r="I852" s="9"/>
      <c r="J852" s="9"/>
      <c r="K852" s="9"/>
      <c r="L852" s="9"/>
      <c r="M852" s="5"/>
      <c r="AJ852" s="2"/>
    </row>
    <row r="853" spans="1:36" x14ac:dyDescent="0.25">
      <c r="A853" s="6">
        <v>41025</v>
      </c>
      <c r="B853" s="7">
        <v>3.6</v>
      </c>
      <c r="C853" s="9">
        <f t="shared" si="114"/>
        <v>-1.1049836186584935E-2</v>
      </c>
      <c r="D853" s="9">
        <f t="shared" ref="D853:D916" si="115">C853-$C$59/252</f>
        <v>-1.1405309404957835E-2</v>
      </c>
      <c r="E853" s="9"/>
      <c r="F853" s="9"/>
      <c r="G853" s="9"/>
      <c r="H853" s="9"/>
      <c r="I853" s="9"/>
      <c r="J853" s="9"/>
      <c r="K853" s="9"/>
      <c r="L853" s="9"/>
      <c r="M853" s="5"/>
      <c r="AJ853" s="2"/>
    </row>
    <row r="854" spans="1:36" x14ac:dyDescent="0.25">
      <c r="A854" s="6">
        <v>41026</v>
      </c>
      <c r="B854" s="7">
        <v>3.6360000000000001</v>
      </c>
      <c r="C854" s="9">
        <f t="shared" si="114"/>
        <v>9.950330853168092E-3</v>
      </c>
      <c r="D854" s="9">
        <f t="shared" si="115"/>
        <v>9.5948576347951921E-3</v>
      </c>
      <c r="E854" s="9"/>
      <c r="F854" s="9"/>
      <c r="G854" s="9"/>
      <c r="H854" s="9"/>
      <c r="I854" s="9"/>
      <c r="J854" s="9"/>
      <c r="K854" s="9"/>
      <c r="L854" s="9"/>
      <c r="M854" s="5"/>
      <c r="AJ854" s="2"/>
    </row>
    <row r="855" spans="1:36" x14ac:dyDescent="0.25">
      <c r="A855" s="6">
        <v>41029</v>
      </c>
      <c r="B855" s="7">
        <v>3.69</v>
      </c>
      <c r="C855" s="9">
        <f t="shared" si="114"/>
        <v>1.4742281737203431E-2</v>
      </c>
      <c r="D855" s="9">
        <f t="shared" si="115"/>
        <v>1.4386808518830532E-2</v>
      </c>
      <c r="E855" s="9"/>
      <c r="F855" s="9"/>
      <c r="G855" s="9"/>
      <c r="H855" s="9"/>
      <c r="I855" s="9"/>
      <c r="J855" s="9"/>
      <c r="K855" s="9"/>
      <c r="L855" s="9"/>
      <c r="M855" s="5"/>
      <c r="AJ855" s="2"/>
    </row>
    <row r="856" spans="1:36" x14ac:dyDescent="0.25">
      <c r="A856" s="6">
        <v>41031</v>
      </c>
      <c r="B856" s="7">
        <v>3.6139999999999999</v>
      </c>
      <c r="C856" s="9">
        <f t="shared" si="114"/>
        <v>-2.0811265882399139E-2</v>
      </c>
      <c r="D856" s="9">
        <f t="shared" si="115"/>
        <v>-2.116673910077204E-2</v>
      </c>
      <c r="E856" s="9"/>
      <c r="F856" s="9"/>
      <c r="G856" s="9"/>
      <c r="H856" s="9"/>
      <c r="I856" s="9"/>
      <c r="J856" s="9"/>
      <c r="K856" s="9"/>
      <c r="L856" s="9"/>
      <c r="M856" s="5"/>
      <c r="AJ856" s="2"/>
    </row>
    <row r="857" spans="1:36" x14ac:dyDescent="0.25">
      <c r="A857" s="6">
        <v>41032</v>
      </c>
      <c r="B857" s="7">
        <v>3.4820000000000002</v>
      </c>
      <c r="C857" s="9">
        <f t="shared" si="114"/>
        <v>-3.7208350824039393E-2</v>
      </c>
      <c r="D857" s="9">
        <f t="shared" si="115"/>
        <v>-3.7563824042412292E-2</v>
      </c>
      <c r="E857" s="9"/>
      <c r="F857" s="9"/>
      <c r="G857" s="9"/>
      <c r="H857" s="9"/>
      <c r="I857" s="9"/>
      <c r="J857" s="9"/>
      <c r="K857" s="9"/>
      <c r="L857" s="9"/>
      <c r="M857" s="5"/>
      <c r="AJ857" s="2"/>
    </row>
    <row r="858" spans="1:36" x14ac:dyDescent="0.25">
      <c r="A858" s="6">
        <v>41033</v>
      </c>
      <c r="B858" s="7">
        <v>3.4939999999999998</v>
      </c>
      <c r="C858" s="9">
        <f t="shared" si="114"/>
        <v>3.4403703658674469E-3</v>
      </c>
      <c r="D858" s="9">
        <f t="shared" si="115"/>
        <v>3.084897147494547E-3</v>
      </c>
      <c r="E858" s="9"/>
      <c r="F858" s="9"/>
      <c r="G858" s="9"/>
      <c r="H858" s="9"/>
      <c r="I858" s="9"/>
      <c r="J858" s="9"/>
      <c r="K858" s="9"/>
      <c r="L858" s="9"/>
      <c r="M858" s="5"/>
      <c r="AJ858" s="2"/>
    </row>
    <row r="859" spans="1:36" x14ac:dyDescent="0.25">
      <c r="A859" s="6">
        <v>41036</v>
      </c>
      <c r="B859" s="7">
        <v>3.5300000000000002</v>
      </c>
      <c r="C859" s="9">
        <f t="shared" si="114"/>
        <v>1.0250659233340696E-2</v>
      </c>
      <c r="D859" s="9">
        <f t="shared" si="115"/>
        <v>9.8951860149677964E-3</v>
      </c>
      <c r="E859" s="9"/>
      <c r="F859" s="9"/>
      <c r="G859" s="9"/>
      <c r="H859" s="9"/>
      <c r="I859" s="9"/>
      <c r="J859" s="9"/>
      <c r="K859" s="9"/>
      <c r="L859" s="9"/>
      <c r="M859" s="5"/>
      <c r="AJ859" s="2"/>
    </row>
    <row r="860" spans="1:36" x14ac:dyDescent="0.25">
      <c r="A860" s="6">
        <v>41037</v>
      </c>
      <c r="B860" s="7">
        <v>3.4740000000000002</v>
      </c>
      <c r="C860" s="9">
        <f t="shared" si="114"/>
        <v>-1.5991203126292243E-2</v>
      </c>
      <c r="D860" s="9">
        <f t="shared" si="115"/>
        <v>-1.6346676344665145E-2</v>
      </c>
      <c r="E860" s="9"/>
      <c r="F860" s="9"/>
      <c r="G860" s="9"/>
      <c r="H860" s="9"/>
      <c r="I860" s="9"/>
      <c r="J860" s="9"/>
      <c r="K860" s="9"/>
      <c r="L860" s="9"/>
      <c r="M860" s="5"/>
      <c r="AJ860" s="2"/>
    </row>
    <row r="861" spans="1:36" x14ac:dyDescent="0.25">
      <c r="A861" s="6">
        <v>41038</v>
      </c>
      <c r="B861" s="7">
        <v>3.3159999999999998</v>
      </c>
      <c r="C861" s="9">
        <f t="shared" si="114"/>
        <v>-4.6547430545864771E-2</v>
      </c>
      <c r="D861" s="9">
        <f t="shared" si="115"/>
        <v>-4.6902903764237669E-2</v>
      </c>
      <c r="E861" s="9"/>
      <c r="F861" s="9"/>
      <c r="G861" s="9"/>
      <c r="H861" s="9"/>
      <c r="I861" s="9"/>
      <c r="J861" s="9"/>
      <c r="K861" s="9"/>
      <c r="L861" s="9"/>
      <c r="M861" s="5"/>
      <c r="AJ861" s="2"/>
    </row>
    <row r="862" spans="1:36" x14ac:dyDescent="0.25">
      <c r="A862" s="6">
        <v>41039</v>
      </c>
      <c r="B862" s="7">
        <v>3.274</v>
      </c>
      <c r="C862" s="9">
        <f t="shared" si="114"/>
        <v>-1.2746758324105307E-2</v>
      </c>
      <c r="D862" s="9">
        <f t="shared" si="115"/>
        <v>-1.3102231542478207E-2</v>
      </c>
      <c r="E862" s="9"/>
      <c r="F862" s="9"/>
      <c r="G862" s="9"/>
      <c r="H862" s="9"/>
      <c r="I862" s="9"/>
      <c r="J862" s="9"/>
      <c r="K862" s="9"/>
      <c r="L862" s="9"/>
      <c r="M862" s="5"/>
      <c r="AJ862" s="2"/>
    </row>
    <row r="863" spans="1:36" x14ac:dyDescent="0.25">
      <c r="A863" s="6">
        <v>41040</v>
      </c>
      <c r="B863" s="7">
        <v>3.234</v>
      </c>
      <c r="C863" s="9">
        <f t="shared" si="114"/>
        <v>-1.2292717794028095E-2</v>
      </c>
      <c r="D863" s="9">
        <f t="shared" si="115"/>
        <v>-1.2648191012400995E-2</v>
      </c>
      <c r="E863" s="9"/>
      <c r="F863" s="9"/>
      <c r="G863" s="9"/>
      <c r="H863" s="9"/>
      <c r="I863" s="9"/>
      <c r="J863" s="9"/>
      <c r="K863" s="9"/>
      <c r="L863" s="9"/>
      <c r="M863" s="5"/>
      <c r="AJ863" s="2"/>
    </row>
    <row r="864" spans="1:36" x14ac:dyDescent="0.25">
      <c r="A864" s="6">
        <v>41043</v>
      </c>
      <c r="B864" s="7">
        <v>3.1640000000000001</v>
      </c>
      <c r="C864" s="9">
        <f t="shared" si="114"/>
        <v>-2.1882711249507594E-2</v>
      </c>
      <c r="D864" s="9">
        <f t="shared" si="115"/>
        <v>-2.2238184467880496E-2</v>
      </c>
      <c r="E864" s="9"/>
      <c r="F864" s="9"/>
      <c r="G864" s="9"/>
      <c r="H864" s="9"/>
      <c r="I864" s="9"/>
      <c r="J864" s="9"/>
      <c r="K864" s="9"/>
      <c r="L864" s="9"/>
      <c r="M864" s="5"/>
      <c r="AJ864" s="2"/>
    </row>
    <row r="865" spans="1:36" x14ac:dyDescent="0.25">
      <c r="A865" s="6">
        <v>41044</v>
      </c>
      <c r="B865" s="7">
        <v>3.04</v>
      </c>
      <c r="C865" s="9">
        <f t="shared" si="114"/>
        <v>-3.9979534487277091E-2</v>
      </c>
      <c r="D865" s="9">
        <f t="shared" si="115"/>
        <v>-4.0335007705649989E-2</v>
      </c>
      <c r="E865" s="9"/>
      <c r="F865" s="9"/>
      <c r="G865" s="9"/>
      <c r="H865" s="9"/>
      <c r="I865" s="9"/>
      <c r="J865" s="9"/>
      <c r="K865" s="9"/>
      <c r="L865" s="9"/>
      <c r="M865" s="5"/>
      <c r="AJ865" s="2"/>
    </row>
    <row r="866" spans="1:36" x14ac:dyDescent="0.25">
      <c r="A866" s="6">
        <v>41045</v>
      </c>
      <c r="B866" s="7">
        <v>3.048</v>
      </c>
      <c r="C866" s="9">
        <f t="shared" si="114"/>
        <v>2.6281224062694084E-3</v>
      </c>
      <c r="D866" s="9">
        <f t="shared" si="115"/>
        <v>2.2726491878965085E-3</v>
      </c>
      <c r="E866" s="9"/>
      <c r="F866" s="9"/>
      <c r="G866" s="9"/>
      <c r="H866" s="9"/>
      <c r="I866" s="9"/>
      <c r="J866" s="9"/>
      <c r="K866" s="9"/>
      <c r="L866" s="9"/>
      <c r="M866" s="5"/>
      <c r="AJ866" s="2"/>
    </row>
    <row r="867" spans="1:36" x14ac:dyDescent="0.25">
      <c r="A867" s="6">
        <v>41046</v>
      </c>
      <c r="B867" s="7">
        <v>2.9660000000000002</v>
      </c>
      <c r="C867" s="9">
        <f t="shared" si="114"/>
        <v>-2.7271394108659478E-2</v>
      </c>
      <c r="D867" s="9">
        <f t="shared" si="115"/>
        <v>-2.762686732703238E-2</v>
      </c>
      <c r="E867" s="9"/>
      <c r="F867" s="9"/>
      <c r="G867" s="9"/>
      <c r="H867" s="9"/>
      <c r="I867" s="9"/>
      <c r="J867" s="9"/>
      <c r="K867" s="9"/>
      <c r="L867" s="9"/>
      <c r="M867" s="5"/>
      <c r="AJ867" s="2"/>
    </row>
    <row r="868" spans="1:36" x14ac:dyDescent="0.25">
      <c r="A868" s="6">
        <v>41047</v>
      </c>
      <c r="B868" s="7">
        <v>2.9619999999999997</v>
      </c>
      <c r="C868" s="9">
        <f t="shared" si="114"/>
        <v>-1.3495278701334151E-3</v>
      </c>
      <c r="D868" s="9">
        <f t="shared" si="115"/>
        <v>-1.7050010885063149E-3</v>
      </c>
      <c r="E868" s="9"/>
      <c r="F868" s="9"/>
      <c r="G868" s="9"/>
      <c r="H868" s="9"/>
      <c r="I868" s="9"/>
      <c r="J868" s="9"/>
      <c r="K868" s="9"/>
      <c r="L868" s="9"/>
      <c r="M868" s="5"/>
      <c r="AJ868" s="2"/>
    </row>
    <row r="869" spans="1:36" x14ac:dyDescent="0.25">
      <c r="A869" s="6">
        <v>41050</v>
      </c>
      <c r="B869" s="7">
        <v>2.9859999999999998</v>
      </c>
      <c r="C869" s="9">
        <f t="shared" si="114"/>
        <v>8.0699832713916706E-3</v>
      </c>
      <c r="D869" s="9">
        <f t="shared" si="115"/>
        <v>7.7145100530187707E-3</v>
      </c>
      <c r="E869" s="9"/>
      <c r="F869" s="9"/>
      <c r="G869" s="9"/>
      <c r="H869" s="9"/>
      <c r="I869" s="9"/>
      <c r="J869" s="9"/>
      <c r="K869" s="9"/>
      <c r="L869" s="9"/>
      <c r="M869" s="5"/>
      <c r="AJ869" s="2"/>
    </row>
    <row r="870" spans="1:36" x14ac:dyDescent="0.25">
      <c r="A870" s="6">
        <v>41051</v>
      </c>
      <c r="B870" s="7">
        <v>3.1</v>
      </c>
      <c r="C870" s="9">
        <f t="shared" si="114"/>
        <v>3.7467412374101949E-2</v>
      </c>
      <c r="D870" s="9">
        <f t="shared" si="115"/>
        <v>3.7111939155729051E-2</v>
      </c>
      <c r="E870" s="9"/>
      <c r="F870" s="9"/>
      <c r="G870" s="9"/>
      <c r="H870" s="9"/>
      <c r="I870" s="9"/>
      <c r="J870" s="9"/>
      <c r="K870" s="9"/>
      <c r="L870" s="9"/>
      <c r="M870" s="5"/>
      <c r="AJ870" s="2"/>
    </row>
    <row r="871" spans="1:36" x14ac:dyDescent="0.25">
      <c r="A871" s="6">
        <v>41052</v>
      </c>
      <c r="B871" s="7">
        <v>2.96</v>
      </c>
      <c r="C871" s="9">
        <f t="shared" si="114"/>
        <v>-4.6212843155131564E-2</v>
      </c>
      <c r="D871" s="9">
        <f t="shared" si="115"/>
        <v>-4.6568316373504462E-2</v>
      </c>
      <c r="E871" s="9"/>
      <c r="F871" s="9"/>
      <c r="G871" s="9"/>
      <c r="H871" s="9"/>
      <c r="I871" s="9"/>
      <c r="J871" s="9"/>
      <c r="K871" s="9"/>
      <c r="L871" s="9"/>
      <c r="M871" s="5"/>
      <c r="AJ871" s="2"/>
    </row>
    <row r="872" spans="1:36" x14ac:dyDescent="0.25">
      <c r="A872" s="6">
        <v>41053</v>
      </c>
      <c r="B872" s="7">
        <v>2.952</v>
      </c>
      <c r="C872" s="9">
        <f t="shared" si="114"/>
        <v>-2.7063615977429142E-3</v>
      </c>
      <c r="D872" s="9">
        <f t="shared" si="115"/>
        <v>-3.0618348161158141E-3</v>
      </c>
      <c r="E872" s="9"/>
      <c r="F872" s="9"/>
      <c r="G872" s="9"/>
      <c r="H872" s="9"/>
      <c r="I872" s="9"/>
      <c r="J872" s="9"/>
      <c r="K872" s="9"/>
      <c r="L872" s="9"/>
      <c r="M872" s="5"/>
      <c r="AJ872" s="2"/>
    </row>
    <row r="873" spans="1:36" x14ac:dyDescent="0.25">
      <c r="A873" s="6">
        <v>41054</v>
      </c>
      <c r="B873" s="7">
        <v>2.9420000000000002</v>
      </c>
      <c r="C873" s="9">
        <f t="shared" si="114"/>
        <v>-3.3932845589801667E-3</v>
      </c>
      <c r="D873" s="9">
        <f t="shared" si="115"/>
        <v>-3.7487577773530666E-3</v>
      </c>
      <c r="E873" s="9"/>
      <c r="F873" s="9"/>
      <c r="G873" s="9"/>
      <c r="H873" s="9"/>
      <c r="I873" s="9"/>
      <c r="J873" s="9"/>
      <c r="K873" s="9"/>
      <c r="L873" s="9"/>
      <c r="M873" s="5"/>
      <c r="AJ873" s="2"/>
    </row>
    <row r="874" spans="1:36" x14ac:dyDescent="0.25">
      <c r="A874" s="6">
        <v>41057</v>
      </c>
      <c r="B874" s="7">
        <v>2.8919999999999999</v>
      </c>
      <c r="C874" s="9">
        <f t="shared" si="114"/>
        <v>-1.7141317882727627E-2</v>
      </c>
      <c r="D874" s="9">
        <f t="shared" si="115"/>
        <v>-1.7496791101100528E-2</v>
      </c>
      <c r="E874" s="9"/>
      <c r="F874" s="9"/>
      <c r="G874" s="9"/>
      <c r="H874" s="9"/>
      <c r="I874" s="9"/>
      <c r="J874" s="9"/>
      <c r="K874" s="9"/>
      <c r="L874" s="9"/>
      <c r="M874" s="5"/>
      <c r="AJ874" s="2"/>
    </row>
    <row r="875" spans="1:36" x14ac:dyDescent="0.25">
      <c r="A875" s="6">
        <v>41058</v>
      </c>
      <c r="B875" s="7">
        <v>2.8820000000000001</v>
      </c>
      <c r="C875" s="9">
        <f t="shared" si="114"/>
        <v>-3.4638067191877842E-3</v>
      </c>
      <c r="D875" s="9">
        <f t="shared" si="115"/>
        <v>-3.8192799375606841E-3</v>
      </c>
      <c r="E875" s="9"/>
      <c r="F875" s="9"/>
      <c r="G875" s="9"/>
      <c r="H875" s="9"/>
      <c r="I875" s="9"/>
      <c r="J875" s="9"/>
      <c r="K875" s="9"/>
      <c r="L875" s="9"/>
      <c r="M875" s="5"/>
      <c r="AJ875" s="2"/>
    </row>
    <row r="876" spans="1:36" x14ac:dyDescent="0.25">
      <c r="A876" s="6">
        <v>41059</v>
      </c>
      <c r="B876" s="7">
        <v>2.8359999999999999</v>
      </c>
      <c r="C876" s="9">
        <f t="shared" si="114"/>
        <v>-1.6089888907449317E-2</v>
      </c>
      <c r="D876" s="9">
        <f t="shared" si="115"/>
        <v>-1.6445362125822219E-2</v>
      </c>
      <c r="E876" s="9"/>
      <c r="F876" s="9"/>
      <c r="G876" s="9"/>
      <c r="H876" s="9"/>
      <c r="I876" s="9"/>
      <c r="J876" s="9"/>
      <c r="K876" s="9"/>
      <c r="L876" s="9"/>
      <c r="M876" s="5"/>
      <c r="AJ876" s="2"/>
    </row>
    <row r="877" spans="1:36" x14ac:dyDescent="0.25">
      <c r="A877" s="6">
        <v>41060</v>
      </c>
      <c r="B877" s="7">
        <v>2.8180000000000001</v>
      </c>
      <c r="C877" s="9">
        <f t="shared" si="114"/>
        <v>-6.3671951933924695E-3</v>
      </c>
      <c r="D877" s="9">
        <f t="shared" si="115"/>
        <v>-6.7226684117653694E-3</v>
      </c>
      <c r="E877" s="9"/>
      <c r="F877" s="9"/>
      <c r="G877" s="9"/>
      <c r="H877" s="9"/>
      <c r="I877" s="9"/>
      <c r="J877" s="9"/>
      <c r="K877" s="9"/>
      <c r="L877" s="9"/>
      <c r="M877" s="5"/>
      <c r="AJ877" s="2"/>
    </row>
    <row r="878" spans="1:36" x14ac:dyDescent="0.25">
      <c r="A878" s="6">
        <v>41061</v>
      </c>
      <c r="B878" s="7">
        <v>2.9220000000000002</v>
      </c>
      <c r="C878" s="9">
        <f t="shared" si="114"/>
        <v>3.6240899852019337E-2</v>
      </c>
      <c r="D878" s="9">
        <f t="shared" si="115"/>
        <v>3.5885426633646439E-2</v>
      </c>
      <c r="E878" s="9"/>
      <c r="F878" s="9"/>
      <c r="G878" s="9"/>
      <c r="H878" s="9"/>
      <c r="I878" s="9"/>
      <c r="J878" s="9"/>
      <c r="K878" s="9"/>
      <c r="L878" s="9"/>
      <c r="M878" s="5"/>
      <c r="AJ878" s="2"/>
    </row>
    <row r="879" spans="1:36" x14ac:dyDescent="0.25">
      <c r="A879" s="6">
        <v>41064</v>
      </c>
      <c r="B879" s="7">
        <v>2.99</v>
      </c>
      <c r="C879" s="9">
        <f t="shared" si="114"/>
        <v>2.3005074074087258E-2</v>
      </c>
      <c r="D879" s="9">
        <f t="shared" si="115"/>
        <v>2.2649600855714356E-2</v>
      </c>
      <c r="E879" s="9"/>
      <c r="F879" s="9"/>
      <c r="G879" s="9"/>
      <c r="H879" s="9"/>
      <c r="I879" s="9"/>
      <c r="J879" s="9"/>
      <c r="K879" s="9"/>
      <c r="L879" s="9"/>
      <c r="M879" s="5"/>
      <c r="AJ879" s="2"/>
    </row>
    <row r="880" spans="1:36" x14ac:dyDescent="0.25">
      <c r="A880" s="6">
        <v>41065</v>
      </c>
      <c r="B880" s="7">
        <v>3.02</v>
      </c>
      <c r="C880" s="9">
        <f t="shared" si="114"/>
        <v>9.9834439841832052E-3</v>
      </c>
      <c r="D880" s="9">
        <f t="shared" si="115"/>
        <v>9.6279707658103054E-3</v>
      </c>
      <c r="E880" s="9"/>
      <c r="F880" s="9"/>
      <c r="G880" s="9"/>
      <c r="H880" s="9"/>
      <c r="I880" s="9"/>
      <c r="J880" s="9"/>
      <c r="K880" s="9"/>
      <c r="L880" s="9"/>
      <c r="M880" s="5"/>
      <c r="AJ880" s="2"/>
    </row>
    <row r="881" spans="1:36" x14ac:dyDescent="0.25">
      <c r="A881" s="6">
        <v>41066</v>
      </c>
      <c r="B881" s="7">
        <v>3.21</v>
      </c>
      <c r="C881" s="9">
        <f t="shared" si="114"/>
        <v>6.1014105755146215E-2</v>
      </c>
      <c r="D881" s="9">
        <f t="shared" si="115"/>
        <v>6.0658632536773317E-2</v>
      </c>
      <c r="E881" s="9"/>
      <c r="F881" s="9"/>
      <c r="G881" s="9"/>
      <c r="H881" s="9"/>
      <c r="I881" s="9"/>
      <c r="J881" s="9"/>
      <c r="K881" s="9"/>
      <c r="L881" s="9"/>
      <c r="M881" s="5"/>
      <c r="AJ881" s="2"/>
    </row>
    <row r="882" spans="1:36" x14ac:dyDescent="0.25">
      <c r="A882" s="6">
        <v>41067</v>
      </c>
      <c r="B882" s="7">
        <v>3.3079999999999998</v>
      </c>
      <c r="C882" s="9">
        <f t="shared" si="114"/>
        <v>3.0072840019520236E-2</v>
      </c>
      <c r="D882" s="9">
        <f t="shared" si="115"/>
        <v>2.9717366801147335E-2</v>
      </c>
      <c r="E882" s="9"/>
      <c r="F882" s="9"/>
      <c r="G882" s="9"/>
      <c r="H882" s="9"/>
      <c r="I882" s="9"/>
      <c r="J882" s="9"/>
      <c r="K882" s="9"/>
      <c r="L882" s="9"/>
      <c r="M882" s="5"/>
      <c r="AJ882" s="2"/>
    </row>
    <row r="883" spans="1:36" x14ac:dyDescent="0.25">
      <c r="A883" s="6">
        <v>41068</v>
      </c>
      <c r="B883" s="7">
        <v>3.2280000000000002</v>
      </c>
      <c r="C883" s="9">
        <f t="shared" si="114"/>
        <v>-2.448102675374238E-2</v>
      </c>
      <c r="D883" s="9">
        <f t="shared" si="115"/>
        <v>-2.4836499972115282E-2</v>
      </c>
      <c r="E883" s="9"/>
      <c r="F883" s="9"/>
      <c r="G883" s="9"/>
      <c r="H883" s="9"/>
      <c r="I883" s="9"/>
      <c r="J883" s="9"/>
      <c r="K883" s="9"/>
      <c r="L883" s="9"/>
      <c r="M883" s="5"/>
      <c r="AJ883" s="2"/>
    </row>
    <row r="884" spans="1:36" x14ac:dyDescent="0.25">
      <c r="A884" s="6">
        <v>41071</v>
      </c>
      <c r="B884" s="7">
        <v>3.0459999999999998</v>
      </c>
      <c r="C884" s="9">
        <f t="shared" si="114"/>
        <v>-5.8033495934732393E-2</v>
      </c>
      <c r="D884" s="9">
        <f t="shared" si="115"/>
        <v>-5.8388969153105291E-2</v>
      </c>
      <c r="E884" s="9"/>
      <c r="F884" s="9"/>
      <c r="G884" s="9"/>
      <c r="H884" s="9"/>
      <c r="I884" s="9"/>
      <c r="J884" s="9"/>
      <c r="K884" s="9"/>
      <c r="L884" s="9"/>
      <c r="M884" s="5"/>
      <c r="AJ884" s="2"/>
    </row>
    <row r="885" spans="1:36" x14ac:dyDescent="0.25">
      <c r="A885" s="6">
        <v>41072</v>
      </c>
      <c r="B885" s="7">
        <v>2.96</v>
      </c>
      <c r="C885" s="9">
        <f t="shared" si="114"/>
        <v>-2.8639986137001062E-2</v>
      </c>
      <c r="D885" s="9">
        <f t="shared" si="115"/>
        <v>-2.8995459355373964E-2</v>
      </c>
      <c r="E885" s="9"/>
      <c r="F885" s="9"/>
      <c r="G885" s="9"/>
      <c r="H885" s="9"/>
      <c r="I885" s="9"/>
      <c r="J885" s="9"/>
      <c r="K885" s="9"/>
      <c r="L885" s="9"/>
      <c r="M885" s="5"/>
      <c r="AJ885" s="2"/>
    </row>
    <row r="886" spans="1:36" x14ac:dyDescent="0.25">
      <c r="A886" s="6">
        <v>41073</v>
      </c>
      <c r="B886" s="7">
        <v>2.9699999999999998</v>
      </c>
      <c r="C886" s="9">
        <f t="shared" si="114"/>
        <v>3.372684478639156E-3</v>
      </c>
      <c r="D886" s="9">
        <f t="shared" si="115"/>
        <v>3.0172112602662561E-3</v>
      </c>
      <c r="E886" s="9"/>
      <c r="F886" s="9"/>
      <c r="G886" s="9"/>
      <c r="H886" s="9"/>
      <c r="I886" s="9"/>
      <c r="J886" s="9"/>
      <c r="K886" s="9"/>
      <c r="L886" s="9"/>
      <c r="M886" s="5"/>
      <c r="AJ886" s="2"/>
    </row>
    <row r="887" spans="1:36" x14ac:dyDescent="0.25">
      <c r="A887" s="6">
        <v>41074</v>
      </c>
      <c r="B887" s="7">
        <v>3.0179999999999998</v>
      </c>
      <c r="C887" s="9">
        <f t="shared" si="114"/>
        <v>1.6032407531049009E-2</v>
      </c>
      <c r="D887" s="9">
        <f t="shared" si="115"/>
        <v>1.5676934312676107E-2</v>
      </c>
      <c r="E887" s="9"/>
      <c r="F887" s="9"/>
      <c r="G887" s="9"/>
      <c r="H887" s="9"/>
      <c r="I887" s="9"/>
      <c r="J887" s="9"/>
      <c r="K887" s="9"/>
      <c r="L887" s="9"/>
      <c r="M887" s="5"/>
      <c r="AJ887" s="2"/>
    </row>
    <row r="888" spans="1:36" x14ac:dyDescent="0.25">
      <c r="A888" s="6">
        <v>41075</v>
      </c>
      <c r="B888" s="7">
        <v>3.1059999999999999</v>
      </c>
      <c r="C888" s="9">
        <f t="shared" si="114"/>
        <v>2.8741364380838103E-2</v>
      </c>
      <c r="D888" s="9">
        <f t="shared" si="115"/>
        <v>2.8385891162465201E-2</v>
      </c>
      <c r="E888" s="9"/>
      <c r="F888" s="9"/>
      <c r="G888" s="9"/>
      <c r="H888" s="9"/>
      <c r="I888" s="9"/>
      <c r="J888" s="9"/>
      <c r="K888" s="9"/>
      <c r="L888" s="9"/>
      <c r="M888" s="5"/>
      <c r="AJ888" s="2"/>
    </row>
    <row r="889" spans="1:36" x14ac:dyDescent="0.25">
      <c r="A889" s="6">
        <v>41078</v>
      </c>
      <c r="B889" s="7">
        <v>2.94</v>
      </c>
      <c r="C889" s="9">
        <f t="shared" si="114"/>
        <v>-5.4926143375905005E-2</v>
      </c>
      <c r="D889" s="9">
        <f t="shared" si="115"/>
        <v>-5.5281616594277903E-2</v>
      </c>
      <c r="E889" s="9"/>
      <c r="F889" s="9"/>
      <c r="G889" s="9"/>
      <c r="H889" s="9"/>
      <c r="I889" s="9"/>
      <c r="J889" s="9"/>
      <c r="K889" s="9"/>
      <c r="L889" s="9"/>
      <c r="M889" s="5"/>
      <c r="AJ889" s="2"/>
    </row>
    <row r="890" spans="1:36" x14ac:dyDescent="0.25">
      <c r="A890" s="6">
        <v>41079</v>
      </c>
      <c r="B890" s="7">
        <v>3.032</v>
      </c>
      <c r="C890" s="9">
        <f t="shared" si="114"/>
        <v>3.0812886429535058E-2</v>
      </c>
      <c r="D890" s="9">
        <f t="shared" si="115"/>
        <v>3.0457413211162156E-2</v>
      </c>
      <c r="E890" s="9"/>
      <c r="F890" s="9"/>
      <c r="G890" s="9"/>
      <c r="H890" s="9"/>
      <c r="I890" s="9"/>
      <c r="J890" s="9"/>
      <c r="K890" s="9"/>
      <c r="L890" s="9"/>
      <c r="M890" s="5"/>
      <c r="AJ890" s="2"/>
    </row>
    <row r="891" spans="1:36" x14ac:dyDescent="0.25">
      <c r="A891" s="6">
        <v>41080</v>
      </c>
      <c r="B891" s="7">
        <v>3.222</v>
      </c>
      <c r="C891" s="9">
        <f t="shared" si="114"/>
        <v>6.0779816974657327E-2</v>
      </c>
      <c r="D891" s="9">
        <f t="shared" si="115"/>
        <v>6.0424343756284429E-2</v>
      </c>
      <c r="E891" s="9"/>
      <c r="F891" s="9"/>
      <c r="G891" s="9"/>
      <c r="H891" s="9"/>
      <c r="I891" s="9"/>
      <c r="J891" s="9"/>
      <c r="K891" s="9"/>
      <c r="L891" s="9"/>
      <c r="M891" s="5"/>
      <c r="AJ891" s="2"/>
    </row>
    <row r="892" spans="1:36" x14ac:dyDescent="0.25">
      <c r="A892" s="6">
        <v>41081</v>
      </c>
      <c r="B892" s="7">
        <v>3.2959999999999998</v>
      </c>
      <c r="C892" s="9">
        <f t="shared" si="114"/>
        <v>2.270732729244266E-2</v>
      </c>
      <c r="D892" s="9">
        <f t="shared" si="115"/>
        <v>2.2351854074069758E-2</v>
      </c>
      <c r="E892" s="9"/>
      <c r="F892" s="9"/>
      <c r="G892" s="9"/>
      <c r="H892" s="9"/>
      <c r="I892" s="9"/>
      <c r="J892" s="9"/>
      <c r="K892" s="9"/>
      <c r="L892" s="9"/>
      <c r="M892" s="5"/>
      <c r="AJ892" s="2"/>
    </row>
    <row r="893" spans="1:36" x14ac:dyDescent="0.25">
      <c r="A893" s="6">
        <v>41082</v>
      </c>
      <c r="B893" s="7">
        <v>3.38</v>
      </c>
      <c r="C893" s="9">
        <f t="shared" ref="C893:C956" si="116">LN(B893/B892)</f>
        <v>2.5166097447702082E-2</v>
      </c>
      <c r="D893" s="9">
        <f t="shared" si="115"/>
        <v>2.4810624229329181E-2</v>
      </c>
      <c r="E893" s="9"/>
      <c r="F893" s="9"/>
      <c r="G893" s="9"/>
      <c r="H893" s="9"/>
      <c r="I893" s="9"/>
      <c r="J893" s="9"/>
      <c r="K893" s="9"/>
      <c r="L893" s="9"/>
      <c r="M893" s="5"/>
      <c r="AJ893" s="2"/>
    </row>
    <row r="894" spans="1:36" x14ac:dyDescent="0.25">
      <c r="A894" s="6">
        <v>41085</v>
      </c>
      <c r="B894" s="7">
        <v>3.1640000000000001</v>
      </c>
      <c r="C894" s="9">
        <f t="shared" si="116"/>
        <v>-6.6038659589519891E-2</v>
      </c>
      <c r="D894" s="9">
        <f t="shared" si="115"/>
        <v>-6.6394132807892789E-2</v>
      </c>
      <c r="E894" s="9"/>
      <c r="F894" s="9"/>
      <c r="G894" s="9"/>
      <c r="H894" s="9"/>
      <c r="I894" s="9"/>
      <c r="J894" s="9"/>
      <c r="K894" s="9"/>
      <c r="L894" s="9"/>
      <c r="M894" s="5"/>
      <c r="AJ894" s="2"/>
    </row>
    <row r="895" spans="1:36" x14ac:dyDescent="0.25">
      <c r="A895" s="6">
        <v>41086</v>
      </c>
      <c r="B895" s="7">
        <v>3.14</v>
      </c>
      <c r="C895" s="9">
        <f t="shared" si="116"/>
        <v>-7.6142499852454052E-3</v>
      </c>
      <c r="D895" s="9">
        <f t="shared" si="115"/>
        <v>-7.969723203618306E-3</v>
      </c>
      <c r="E895" s="9"/>
      <c r="F895" s="9"/>
      <c r="G895" s="9"/>
      <c r="H895" s="9"/>
      <c r="I895" s="9"/>
      <c r="J895" s="9"/>
      <c r="K895" s="9"/>
      <c r="L895" s="9"/>
      <c r="M895" s="5"/>
      <c r="AJ895" s="2"/>
    </row>
    <row r="896" spans="1:36" x14ac:dyDescent="0.25">
      <c r="A896" s="6">
        <v>41087</v>
      </c>
      <c r="B896" s="7">
        <v>3.2</v>
      </c>
      <c r="C896" s="9">
        <f t="shared" si="116"/>
        <v>1.8928009885518859E-2</v>
      </c>
      <c r="D896" s="9">
        <f t="shared" si="115"/>
        <v>1.8572536667145957E-2</v>
      </c>
      <c r="E896" s="9"/>
      <c r="F896" s="9"/>
      <c r="G896" s="9"/>
      <c r="H896" s="9"/>
      <c r="I896" s="9"/>
      <c r="J896" s="9"/>
      <c r="K896" s="9"/>
      <c r="L896" s="9"/>
      <c r="M896" s="5"/>
      <c r="AJ896" s="2"/>
    </row>
    <row r="897" spans="1:36" x14ac:dyDescent="0.25">
      <c r="A897" s="6">
        <v>41088</v>
      </c>
      <c r="B897" s="7">
        <v>3.2</v>
      </c>
      <c r="C897" s="9">
        <f t="shared" si="116"/>
        <v>0</v>
      </c>
      <c r="D897" s="9">
        <f t="shared" si="115"/>
        <v>-3.5547321837289993E-4</v>
      </c>
      <c r="E897" s="9"/>
      <c r="F897" s="9"/>
      <c r="G897" s="9"/>
      <c r="H897" s="9"/>
      <c r="I897" s="9"/>
      <c r="J897" s="9"/>
      <c r="K897" s="9"/>
      <c r="L897" s="9"/>
      <c r="M897" s="5"/>
      <c r="AJ897" s="2"/>
    </row>
    <row r="898" spans="1:36" x14ac:dyDescent="0.25">
      <c r="A898" s="6">
        <v>41089</v>
      </c>
      <c r="B898" s="7">
        <v>3.4740000000000002</v>
      </c>
      <c r="C898" s="9">
        <f t="shared" si="116"/>
        <v>8.2155858013232386E-2</v>
      </c>
      <c r="D898" s="9">
        <f t="shared" si="115"/>
        <v>8.1800384794859488E-2</v>
      </c>
      <c r="E898" s="9"/>
      <c r="F898" s="9"/>
      <c r="G898" s="9"/>
      <c r="H898" s="9"/>
      <c r="I898" s="9"/>
      <c r="J898" s="9"/>
      <c r="K898" s="9"/>
      <c r="L898" s="9"/>
      <c r="M898" s="5"/>
      <c r="AJ898" s="2"/>
    </row>
    <row r="899" spans="1:36" x14ac:dyDescent="0.25">
      <c r="A899" s="6">
        <v>41092</v>
      </c>
      <c r="B899" s="7">
        <v>3.456</v>
      </c>
      <c r="C899" s="9">
        <f t="shared" si="116"/>
        <v>-5.1948168771040228E-3</v>
      </c>
      <c r="D899" s="9">
        <f t="shared" si="115"/>
        <v>-5.5502900954769226E-3</v>
      </c>
      <c r="E899" s="9"/>
      <c r="F899" s="9"/>
      <c r="G899" s="9"/>
      <c r="H899" s="9"/>
      <c r="I899" s="9"/>
      <c r="J899" s="9"/>
      <c r="K899" s="9"/>
      <c r="L899" s="9"/>
      <c r="M899" s="5"/>
      <c r="AJ899" s="2"/>
    </row>
    <row r="900" spans="1:36" x14ac:dyDescent="0.25">
      <c r="A900" s="6">
        <v>41093</v>
      </c>
      <c r="B900" s="7">
        <v>3.48</v>
      </c>
      <c r="C900" s="9">
        <f t="shared" si="116"/>
        <v>6.920442844573757E-3</v>
      </c>
      <c r="D900" s="9">
        <f t="shared" si="115"/>
        <v>6.5649696262008572E-3</v>
      </c>
      <c r="E900" s="9"/>
      <c r="F900" s="9"/>
      <c r="G900" s="9"/>
      <c r="H900" s="9"/>
      <c r="I900" s="9"/>
      <c r="J900" s="9"/>
      <c r="K900" s="9"/>
      <c r="L900" s="9"/>
      <c r="M900" s="5"/>
      <c r="AJ900" s="2"/>
    </row>
    <row r="901" spans="1:36" x14ac:dyDescent="0.25">
      <c r="A901" s="6">
        <v>41094</v>
      </c>
      <c r="B901" s="7">
        <v>3.41</v>
      </c>
      <c r="C901" s="9">
        <f t="shared" si="116"/>
        <v>-2.0320002490957494E-2</v>
      </c>
      <c r="D901" s="9">
        <f t="shared" si="115"/>
        <v>-2.0675475709330395E-2</v>
      </c>
      <c r="E901" s="9"/>
      <c r="F901" s="9"/>
      <c r="G901" s="9"/>
      <c r="H901" s="9"/>
      <c r="I901" s="9"/>
      <c r="J901" s="9"/>
      <c r="K901" s="9"/>
      <c r="L901" s="9"/>
      <c r="M901" s="5"/>
      <c r="AJ901" s="2"/>
    </row>
    <row r="902" spans="1:36" x14ac:dyDescent="0.25">
      <c r="A902" s="6">
        <v>41095</v>
      </c>
      <c r="B902" s="7">
        <v>3.3180000000000001</v>
      </c>
      <c r="C902" s="9">
        <f t="shared" si="116"/>
        <v>-2.7350099527172673E-2</v>
      </c>
      <c r="D902" s="9">
        <f t="shared" si="115"/>
        <v>-2.7705572745545574E-2</v>
      </c>
      <c r="E902" s="9"/>
      <c r="F902" s="9"/>
      <c r="G902" s="9"/>
      <c r="H902" s="9"/>
      <c r="I902" s="9"/>
      <c r="J902" s="9"/>
      <c r="K902" s="9"/>
      <c r="L902" s="9"/>
      <c r="M902" s="5"/>
      <c r="AJ902" s="2"/>
    </row>
    <row r="903" spans="1:36" x14ac:dyDescent="0.25">
      <c r="A903" s="6">
        <v>41096</v>
      </c>
      <c r="B903" s="7">
        <v>3.11</v>
      </c>
      <c r="C903" s="9">
        <f t="shared" si="116"/>
        <v>-6.4739465577110009E-2</v>
      </c>
      <c r="D903" s="9">
        <f t="shared" si="115"/>
        <v>-6.5094938795482907E-2</v>
      </c>
      <c r="E903" s="9"/>
      <c r="F903" s="9"/>
      <c r="G903" s="9"/>
      <c r="H903" s="9"/>
      <c r="I903" s="9"/>
      <c r="J903" s="9"/>
      <c r="K903" s="9"/>
      <c r="L903" s="9"/>
      <c r="M903" s="5"/>
      <c r="AJ903" s="2"/>
    </row>
    <row r="904" spans="1:36" x14ac:dyDescent="0.25">
      <c r="A904" s="6">
        <v>41099</v>
      </c>
      <c r="B904" s="7">
        <v>3.0880000000000001</v>
      </c>
      <c r="C904" s="9">
        <f t="shared" si="116"/>
        <v>-7.0990940286129126E-3</v>
      </c>
      <c r="D904" s="9">
        <f t="shared" si="115"/>
        <v>-7.4545672469858125E-3</v>
      </c>
      <c r="E904" s="9"/>
      <c r="F904" s="9"/>
      <c r="G904" s="9"/>
      <c r="H904" s="9"/>
      <c r="I904" s="9"/>
      <c r="J904" s="9"/>
      <c r="K904" s="9"/>
      <c r="L904" s="9"/>
      <c r="M904" s="5"/>
      <c r="AJ904" s="2"/>
    </row>
    <row r="905" spans="1:36" x14ac:dyDescent="0.25">
      <c r="A905" s="6">
        <v>41100</v>
      </c>
      <c r="B905" s="7">
        <v>3.11</v>
      </c>
      <c r="C905" s="9">
        <f t="shared" si="116"/>
        <v>7.099094028613054E-3</v>
      </c>
      <c r="D905" s="9">
        <f t="shared" si="115"/>
        <v>6.7436208102401541E-3</v>
      </c>
      <c r="E905" s="9"/>
      <c r="F905" s="9"/>
      <c r="G905" s="9"/>
      <c r="H905" s="9"/>
      <c r="I905" s="9"/>
      <c r="J905" s="9"/>
      <c r="K905" s="9"/>
      <c r="L905" s="9"/>
      <c r="M905" s="5"/>
      <c r="AJ905" s="2"/>
    </row>
    <row r="906" spans="1:36" x14ac:dyDescent="0.25">
      <c r="A906" s="6">
        <v>41101</v>
      </c>
      <c r="B906" s="7">
        <v>3.0619999999999998</v>
      </c>
      <c r="C906" s="9">
        <f t="shared" si="116"/>
        <v>-1.5554428955650755E-2</v>
      </c>
      <c r="D906" s="9">
        <f t="shared" si="115"/>
        <v>-1.5909902174023657E-2</v>
      </c>
      <c r="E906" s="9"/>
      <c r="F906" s="9"/>
      <c r="G906" s="9"/>
      <c r="H906" s="9"/>
      <c r="I906" s="9"/>
      <c r="J906" s="9"/>
      <c r="K906" s="9"/>
      <c r="L906" s="9"/>
      <c r="M906" s="5"/>
      <c r="AJ906" s="2"/>
    </row>
    <row r="907" spans="1:36" x14ac:dyDescent="0.25">
      <c r="A907" s="6">
        <v>41102</v>
      </c>
      <c r="B907" s="7">
        <v>2.948</v>
      </c>
      <c r="C907" s="9">
        <f t="shared" si="116"/>
        <v>-3.7941322908401798E-2</v>
      </c>
      <c r="D907" s="9">
        <f t="shared" si="115"/>
        <v>-3.8296796126774696E-2</v>
      </c>
      <c r="E907" s="9"/>
      <c r="F907" s="9"/>
      <c r="G907" s="9"/>
      <c r="H907" s="9"/>
      <c r="I907" s="9"/>
      <c r="J907" s="9"/>
      <c r="K907" s="9"/>
      <c r="L907" s="9"/>
      <c r="M907" s="5"/>
      <c r="AJ907" s="2"/>
    </row>
    <row r="908" spans="1:36" x14ac:dyDescent="0.25">
      <c r="A908" s="6">
        <v>41103</v>
      </c>
      <c r="B908" s="7">
        <v>2.968</v>
      </c>
      <c r="C908" s="9">
        <f t="shared" si="116"/>
        <v>6.7613509780439247E-3</v>
      </c>
      <c r="D908" s="9">
        <f t="shared" si="115"/>
        <v>6.4058777596710248E-3</v>
      </c>
      <c r="E908" s="9"/>
      <c r="F908" s="9"/>
      <c r="G908" s="9"/>
      <c r="H908" s="9"/>
      <c r="I908" s="9"/>
      <c r="J908" s="9"/>
      <c r="K908" s="9"/>
      <c r="L908" s="9"/>
      <c r="M908" s="5"/>
      <c r="AJ908" s="2"/>
    </row>
    <row r="909" spans="1:36" x14ac:dyDescent="0.25">
      <c r="A909" s="6">
        <v>41106</v>
      </c>
      <c r="B909" s="7">
        <v>2.8879999999999999</v>
      </c>
      <c r="C909" s="9">
        <f t="shared" si="116"/>
        <v>-2.7324104274554246E-2</v>
      </c>
      <c r="D909" s="9">
        <f t="shared" si="115"/>
        <v>-2.7679577492927147E-2</v>
      </c>
      <c r="E909" s="9"/>
      <c r="F909" s="9"/>
      <c r="G909" s="9"/>
      <c r="H909" s="9"/>
      <c r="I909" s="9"/>
      <c r="J909" s="9"/>
      <c r="K909" s="9"/>
      <c r="L909" s="9"/>
      <c r="M909" s="5"/>
      <c r="AJ909" s="2"/>
    </row>
    <row r="910" spans="1:36" x14ac:dyDescent="0.25">
      <c r="A910" s="6">
        <v>41107</v>
      </c>
      <c r="B910" s="7">
        <v>2.8220000000000001</v>
      </c>
      <c r="C910" s="9">
        <f t="shared" si="116"/>
        <v>-2.3118367599957484E-2</v>
      </c>
      <c r="D910" s="9">
        <f t="shared" si="115"/>
        <v>-2.3473840818330385E-2</v>
      </c>
      <c r="E910" s="9"/>
      <c r="F910" s="9"/>
      <c r="G910" s="9"/>
      <c r="H910" s="9"/>
      <c r="I910" s="9"/>
      <c r="J910" s="9"/>
      <c r="K910" s="9"/>
      <c r="L910" s="9"/>
      <c r="M910" s="5"/>
      <c r="AJ910" s="2"/>
    </row>
    <row r="911" spans="1:36" x14ac:dyDescent="0.25">
      <c r="A911" s="6">
        <v>41108</v>
      </c>
      <c r="B911" s="7">
        <v>2.8420000000000001</v>
      </c>
      <c r="C911" s="9">
        <f t="shared" si="116"/>
        <v>7.0621762442865397E-3</v>
      </c>
      <c r="D911" s="9">
        <f t="shared" si="115"/>
        <v>6.7067030259136398E-3</v>
      </c>
      <c r="E911" s="9"/>
      <c r="F911" s="9"/>
      <c r="G911" s="9"/>
      <c r="H911" s="9"/>
      <c r="I911" s="9"/>
      <c r="J911" s="9"/>
      <c r="K911" s="9"/>
      <c r="L911" s="9"/>
      <c r="M911" s="5"/>
      <c r="AJ911" s="2"/>
    </row>
    <row r="912" spans="1:36" x14ac:dyDescent="0.25">
      <c r="A912" s="6">
        <v>41109</v>
      </c>
      <c r="B912" s="7">
        <v>2.8420000000000001</v>
      </c>
      <c r="C912" s="9">
        <f t="shared" si="116"/>
        <v>0</v>
      </c>
      <c r="D912" s="9">
        <f t="shared" si="115"/>
        <v>-3.5547321837289993E-4</v>
      </c>
      <c r="E912" s="9"/>
      <c r="F912" s="9"/>
      <c r="G912" s="9"/>
      <c r="H912" s="9"/>
      <c r="I912" s="9"/>
      <c r="J912" s="9"/>
      <c r="K912" s="9"/>
      <c r="L912" s="9"/>
      <c r="M912" s="5"/>
      <c r="AJ912" s="2"/>
    </row>
    <row r="913" spans="1:36" x14ac:dyDescent="0.25">
      <c r="A913" s="6">
        <v>41110</v>
      </c>
      <c r="B913" s="7">
        <v>2.6379999999999999</v>
      </c>
      <c r="C913" s="9">
        <f t="shared" si="116"/>
        <v>-7.4486975379786144E-2</v>
      </c>
      <c r="D913" s="9">
        <f t="shared" si="115"/>
        <v>-7.4842448598159042E-2</v>
      </c>
      <c r="E913" s="9"/>
      <c r="F913" s="9"/>
      <c r="G913" s="9"/>
      <c r="H913" s="9"/>
      <c r="I913" s="9"/>
      <c r="J913" s="9"/>
      <c r="K913" s="9"/>
      <c r="L913" s="9"/>
      <c r="M913" s="5"/>
      <c r="AJ913" s="2"/>
    </row>
    <row r="914" spans="1:36" x14ac:dyDescent="0.25">
      <c r="A914" s="6">
        <v>41113</v>
      </c>
      <c r="B914" s="7">
        <v>2.6080000000000001</v>
      </c>
      <c r="C914" s="9">
        <f t="shared" si="116"/>
        <v>-1.1437410230716245E-2</v>
      </c>
      <c r="D914" s="9">
        <f t="shared" si="115"/>
        <v>-1.1792883449089145E-2</v>
      </c>
      <c r="E914" s="9"/>
      <c r="F914" s="9"/>
      <c r="G914" s="9"/>
      <c r="H914" s="9"/>
      <c r="I914" s="9"/>
      <c r="J914" s="9"/>
      <c r="K914" s="9"/>
      <c r="L914" s="9"/>
      <c r="M914" s="5"/>
      <c r="AJ914" s="2"/>
    </row>
    <row r="915" spans="1:36" x14ac:dyDescent="0.25">
      <c r="A915" s="6">
        <v>41114</v>
      </c>
      <c r="B915" s="7">
        <v>2.4319999999999999</v>
      </c>
      <c r="C915" s="9">
        <f t="shared" si="116"/>
        <v>-6.9869679960486E-2</v>
      </c>
      <c r="D915" s="9">
        <f t="shared" si="115"/>
        <v>-7.0225153178858898E-2</v>
      </c>
      <c r="E915" s="9"/>
      <c r="F915" s="9"/>
      <c r="G915" s="9"/>
      <c r="H915" s="9"/>
      <c r="I915" s="9"/>
      <c r="J915" s="9"/>
      <c r="K915" s="9"/>
      <c r="L915" s="9"/>
      <c r="M915" s="5"/>
      <c r="AJ915" s="2"/>
    </row>
    <row r="916" spans="1:36" x14ac:dyDescent="0.25">
      <c r="A916" s="6">
        <v>41115</v>
      </c>
      <c r="B916" s="7">
        <v>2.4380000000000002</v>
      </c>
      <c r="C916" s="9">
        <f t="shared" si="116"/>
        <v>2.4640669551592785E-3</v>
      </c>
      <c r="D916" s="9">
        <f t="shared" si="115"/>
        <v>2.1085937367863786E-3</v>
      </c>
      <c r="E916" s="9"/>
      <c r="F916" s="9"/>
      <c r="G916" s="9"/>
      <c r="H916" s="9"/>
      <c r="I916" s="9"/>
      <c r="J916" s="9"/>
      <c r="K916" s="9"/>
      <c r="L916" s="9"/>
      <c r="M916" s="5"/>
      <c r="AJ916" s="2"/>
    </row>
    <row r="917" spans="1:36" x14ac:dyDescent="0.25">
      <c r="A917" s="6">
        <v>41116</v>
      </c>
      <c r="B917" s="7">
        <v>2.5540000000000003</v>
      </c>
      <c r="C917" s="9">
        <f t="shared" si="116"/>
        <v>4.6482726551267874E-2</v>
      </c>
      <c r="D917" s="9">
        <f t="shared" ref="D917:D980" si="117">C917-$C$59/252</f>
        <v>4.6127253332894975E-2</v>
      </c>
      <c r="E917" s="9"/>
      <c r="F917" s="9"/>
      <c r="G917" s="9"/>
      <c r="H917" s="9"/>
      <c r="I917" s="9"/>
      <c r="J917" s="9"/>
      <c r="K917" s="9"/>
      <c r="L917" s="9"/>
      <c r="M917" s="5"/>
      <c r="AJ917" s="2"/>
    </row>
    <row r="918" spans="1:36" x14ac:dyDescent="0.25">
      <c r="A918" s="6">
        <v>41117</v>
      </c>
      <c r="B918" s="7">
        <v>2.68</v>
      </c>
      <c r="C918" s="9">
        <f t="shared" si="116"/>
        <v>4.8156036912417773E-2</v>
      </c>
      <c r="D918" s="9">
        <f t="shared" si="117"/>
        <v>4.7800563694044874E-2</v>
      </c>
      <c r="E918" s="9"/>
      <c r="F918" s="9"/>
      <c r="G918" s="9"/>
      <c r="H918" s="9"/>
      <c r="I918" s="9"/>
      <c r="J918" s="9"/>
      <c r="K918" s="9"/>
      <c r="L918" s="9"/>
      <c r="M918" s="5"/>
      <c r="AJ918" s="2"/>
    </row>
    <row r="919" spans="1:36" x14ac:dyDescent="0.25">
      <c r="A919" s="6">
        <v>41120</v>
      </c>
      <c r="B919" s="7">
        <v>2.8120000000000003</v>
      </c>
      <c r="C919" s="9">
        <f t="shared" si="116"/>
        <v>4.8079179425653276E-2</v>
      </c>
      <c r="D919" s="9">
        <f t="shared" si="117"/>
        <v>4.7723706207280378E-2</v>
      </c>
      <c r="E919" s="9"/>
      <c r="F919" s="9"/>
      <c r="G919" s="9"/>
      <c r="H919" s="9"/>
      <c r="I919" s="9"/>
      <c r="J919" s="9"/>
      <c r="K919" s="9"/>
      <c r="L919" s="9"/>
      <c r="M919" s="5"/>
      <c r="AJ919" s="2"/>
    </row>
    <row r="920" spans="1:36" x14ac:dyDescent="0.25">
      <c r="A920" s="6">
        <v>41121</v>
      </c>
      <c r="B920" s="7">
        <v>2.8040000000000003</v>
      </c>
      <c r="C920" s="9">
        <f t="shared" si="116"/>
        <v>-2.849004776074826E-3</v>
      </c>
      <c r="D920" s="9">
        <f t="shared" si="117"/>
        <v>-3.2044779944477258E-3</v>
      </c>
      <c r="E920" s="9"/>
      <c r="F920" s="9"/>
      <c r="G920" s="9"/>
      <c r="H920" s="9"/>
      <c r="I920" s="9"/>
      <c r="J920" s="9"/>
      <c r="K920" s="9"/>
      <c r="L920" s="9"/>
      <c r="M920" s="5"/>
      <c r="AJ920" s="2"/>
    </row>
    <row r="921" spans="1:36" x14ac:dyDescent="0.25">
      <c r="A921" s="6">
        <v>41122</v>
      </c>
      <c r="B921" s="7">
        <v>2.82</v>
      </c>
      <c r="C921" s="9">
        <f t="shared" si="116"/>
        <v>5.6899157776784557E-3</v>
      </c>
      <c r="D921" s="9">
        <f t="shared" si="117"/>
        <v>5.3344425593055559E-3</v>
      </c>
      <c r="E921" s="9"/>
      <c r="F921" s="9"/>
      <c r="G921" s="9"/>
      <c r="H921" s="9"/>
      <c r="I921" s="9"/>
      <c r="J921" s="9"/>
      <c r="K921" s="9"/>
      <c r="L921" s="9"/>
      <c r="M921" s="5"/>
      <c r="AJ921" s="2"/>
    </row>
    <row r="922" spans="1:36" x14ac:dyDescent="0.25">
      <c r="A922" s="6">
        <v>41123</v>
      </c>
      <c r="B922" s="7">
        <v>2.556</v>
      </c>
      <c r="C922" s="9">
        <f t="shared" si="116"/>
        <v>-9.8293348434733752E-2</v>
      </c>
      <c r="D922" s="9">
        <f t="shared" si="117"/>
        <v>-9.864882165310665E-2</v>
      </c>
      <c r="E922" s="9"/>
      <c r="F922" s="9"/>
      <c r="G922" s="9"/>
      <c r="H922" s="9"/>
      <c r="I922" s="9"/>
      <c r="J922" s="9"/>
      <c r="K922" s="9"/>
      <c r="L922" s="9"/>
      <c r="M922" s="5"/>
      <c r="AJ922" s="2"/>
    </row>
    <row r="923" spans="1:36" x14ac:dyDescent="0.25">
      <c r="A923" s="6">
        <v>41124</v>
      </c>
      <c r="B923" s="7">
        <v>2.7320000000000002</v>
      </c>
      <c r="C923" s="9">
        <f t="shared" si="116"/>
        <v>6.6590405193255361E-2</v>
      </c>
      <c r="D923" s="9">
        <f t="shared" si="117"/>
        <v>6.6234931974882463E-2</v>
      </c>
      <c r="E923" s="9"/>
      <c r="F923" s="9"/>
      <c r="G923" s="9"/>
      <c r="H923" s="9"/>
      <c r="I923" s="9"/>
      <c r="J923" s="9"/>
      <c r="K923" s="9"/>
      <c r="L923" s="9"/>
      <c r="M923" s="5"/>
      <c r="AJ923" s="2"/>
    </row>
    <row r="924" spans="1:36" x14ac:dyDescent="0.25">
      <c r="A924" s="6">
        <v>41127</v>
      </c>
      <c r="B924" s="7">
        <v>2.8</v>
      </c>
      <c r="C924" s="9">
        <f t="shared" si="116"/>
        <v>2.458547547261453E-2</v>
      </c>
      <c r="D924" s="9">
        <f t="shared" si="117"/>
        <v>2.4230002254241628E-2</v>
      </c>
      <c r="E924" s="9"/>
      <c r="F924" s="9"/>
      <c r="G924" s="9"/>
      <c r="H924" s="9"/>
      <c r="I924" s="9"/>
      <c r="J924" s="9"/>
      <c r="K924" s="9"/>
      <c r="L924" s="9"/>
      <c r="M924" s="5"/>
      <c r="AJ924" s="2"/>
    </row>
    <row r="925" spans="1:36" x14ac:dyDescent="0.25">
      <c r="A925" s="6">
        <v>41128</v>
      </c>
      <c r="B925" s="7">
        <v>2.88</v>
      </c>
      <c r="C925" s="9">
        <f t="shared" si="116"/>
        <v>2.8170876966696439E-2</v>
      </c>
      <c r="D925" s="9">
        <f t="shared" si="117"/>
        <v>2.7815403748323538E-2</v>
      </c>
      <c r="E925" s="9"/>
      <c r="F925" s="9"/>
      <c r="G925" s="9"/>
      <c r="H925" s="9"/>
      <c r="I925" s="9"/>
      <c r="J925" s="9"/>
      <c r="K925" s="9"/>
      <c r="L925" s="9"/>
      <c r="M925" s="5"/>
      <c r="AJ925" s="2"/>
    </row>
    <row r="926" spans="1:36" x14ac:dyDescent="0.25">
      <c r="A926" s="6">
        <v>41129</v>
      </c>
      <c r="B926" s="7">
        <v>2.87</v>
      </c>
      <c r="C926" s="9">
        <f t="shared" si="116"/>
        <v>-3.4782643763246971E-3</v>
      </c>
      <c r="D926" s="9">
        <f t="shared" si="117"/>
        <v>-3.833737594697597E-3</v>
      </c>
      <c r="E926" s="9"/>
      <c r="F926" s="9"/>
      <c r="G926" s="9"/>
      <c r="H926" s="9"/>
      <c r="I926" s="9"/>
      <c r="J926" s="9"/>
      <c r="K926" s="9"/>
      <c r="L926" s="9"/>
      <c r="M926" s="5"/>
      <c r="AJ926" s="2"/>
    </row>
    <row r="927" spans="1:36" x14ac:dyDescent="0.25">
      <c r="A927" s="6">
        <v>41130</v>
      </c>
      <c r="B927" s="7">
        <v>3.0219999999999998</v>
      </c>
      <c r="C927" s="9">
        <f t="shared" si="116"/>
        <v>5.1606834079018012E-2</v>
      </c>
      <c r="D927" s="9">
        <f t="shared" si="117"/>
        <v>5.1251360860645113E-2</v>
      </c>
      <c r="E927" s="9"/>
      <c r="F927" s="9"/>
      <c r="G927" s="9"/>
      <c r="H927" s="9"/>
      <c r="I927" s="9"/>
      <c r="J927" s="9"/>
      <c r="K927" s="9"/>
      <c r="L927" s="9"/>
      <c r="M927" s="5"/>
      <c r="AJ927" s="2"/>
    </row>
    <row r="928" spans="1:36" x14ac:dyDescent="0.25">
      <c r="A928" s="6">
        <v>41131</v>
      </c>
      <c r="B928" s="7">
        <v>3.036</v>
      </c>
      <c r="C928" s="9">
        <f t="shared" si="116"/>
        <v>4.6219956828357492E-3</v>
      </c>
      <c r="D928" s="9">
        <f t="shared" si="117"/>
        <v>4.2665224644628493E-3</v>
      </c>
      <c r="E928" s="9"/>
      <c r="F928" s="9"/>
      <c r="G928" s="9"/>
      <c r="H928" s="9"/>
      <c r="I928" s="9"/>
      <c r="J928" s="9"/>
      <c r="K928" s="9"/>
      <c r="L928" s="9"/>
      <c r="M928" s="5"/>
      <c r="AJ928" s="2"/>
    </row>
    <row r="929" spans="1:36" x14ac:dyDescent="0.25">
      <c r="A929" s="6">
        <v>41134</v>
      </c>
      <c r="B929" s="7">
        <v>3.0680000000000001</v>
      </c>
      <c r="C929" s="9">
        <f t="shared" si="116"/>
        <v>1.0485023971626347E-2</v>
      </c>
      <c r="D929" s="9">
        <f t="shared" si="117"/>
        <v>1.0129550753253447E-2</v>
      </c>
      <c r="E929" s="9"/>
      <c r="F929" s="9"/>
      <c r="G929" s="9"/>
      <c r="H929" s="9"/>
      <c r="I929" s="9"/>
      <c r="J929" s="9"/>
      <c r="K929" s="9"/>
      <c r="L929" s="9"/>
      <c r="M929" s="5"/>
      <c r="AJ929" s="2"/>
    </row>
    <row r="930" spans="1:36" x14ac:dyDescent="0.25">
      <c r="A930" s="6">
        <v>41135</v>
      </c>
      <c r="B930" s="7">
        <v>3.07</v>
      </c>
      <c r="C930" s="9">
        <f t="shared" si="116"/>
        <v>6.5167809409596208E-4</v>
      </c>
      <c r="D930" s="9">
        <f t="shared" si="117"/>
        <v>2.9620487572306215E-4</v>
      </c>
      <c r="E930" s="9"/>
      <c r="F930" s="9"/>
      <c r="G930" s="9"/>
      <c r="H930" s="9"/>
      <c r="I930" s="9"/>
      <c r="J930" s="9"/>
      <c r="K930" s="9"/>
      <c r="L930" s="9"/>
      <c r="M930" s="5"/>
      <c r="AJ930" s="2"/>
    </row>
    <row r="931" spans="1:36" x14ac:dyDescent="0.25">
      <c r="A931" s="6">
        <v>41137</v>
      </c>
      <c r="B931" s="7">
        <v>3.1560000000000001</v>
      </c>
      <c r="C931" s="9">
        <f t="shared" si="116"/>
        <v>2.7627841384522164E-2</v>
      </c>
      <c r="D931" s="9">
        <f t="shared" si="117"/>
        <v>2.7272368166149263E-2</v>
      </c>
      <c r="E931" s="9"/>
      <c r="F931" s="9"/>
      <c r="G931" s="9"/>
      <c r="H931" s="9"/>
      <c r="I931" s="9"/>
      <c r="J931" s="9"/>
      <c r="K931" s="9"/>
      <c r="L931" s="9"/>
      <c r="M931" s="5"/>
      <c r="AJ931" s="2"/>
    </row>
    <row r="932" spans="1:36" x14ac:dyDescent="0.25">
      <c r="A932" s="6">
        <v>41138</v>
      </c>
      <c r="B932" s="7">
        <v>3.35</v>
      </c>
      <c r="C932" s="9">
        <f t="shared" si="116"/>
        <v>5.9654942853347138E-2</v>
      </c>
      <c r="D932" s="9">
        <f t="shared" si="117"/>
        <v>5.929946963497424E-2</v>
      </c>
      <c r="E932" s="9"/>
      <c r="F932" s="9"/>
      <c r="G932" s="9"/>
      <c r="H932" s="9"/>
      <c r="I932" s="9"/>
      <c r="J932" s="9"/>
      <c r="K932" s="9"/>
      <c r="L932" s="9"/>
      <c r="M932" s="5"/>
      <c r="AJ932" s="2"/>
    </row>
    <row r="933" spans="1:36" x14ac:dyDescent="0.25">
      <c r="A933" s="6">
        <v>41141</v>
      </c>
      <c r="B933" s="7">
        <v>3.3660000000000001</v>
      </c>
      <c r="C933" s="9">
        <f t="shared" si="116"/>
        <v>4.7647499316392913E-3</v>
      </c>
      <c r="D933" s="9">
        <f t="shared" si="117"/>
        <v>4.4092767132663914E-3</v>
      </c>
      <c r="E933" s="9"/>
      <c r="F933" s="9"/>
      <c r="G933" s="9"/>
      <c r="H933" s="9"/>
      <c r="I933" s="9"/>
      <c r="J933" s="9"/>
      <c r="K933" s="9"/>
      <c r="L933" s="9"/>
      <c r="M933" s="5"/>
      <c r="AJ933" s="2"/>
    </row>
    <row r="934" spans="1:36" x14ac:dyDescent="0.25">
      <c r="A934" s="6">
        <v>41142</v>
      </c>
      <c r="B934" s="7">
        <v>3.524</v>
      </c>
      <c r="C934" s="9">
        <f t="shared" si="116"/>
        <v>4.5871612305318825E-2</v>
      </c>
      <c r="D934" s="9">
        <f t="shared" si="117"/>
        <v>4.5516139086945927E-2</v>
      </c>
      <c r="E934" s="9"/>
      <c r="F934" s="9"/>
      <c r="G934" s="9"/>
      <c r="H934" s="9"/>
      <c r="I934" s="9"/>
      <c r="J934" s="9"/>
      <c r="K934" s="9"/>
      <c r="L934" s="9"/>
      <c r="M934" s="5"/>
      <c r="AJ934" s="2"/>
    </row>
    <row r="935" spans="1:36" x14ac:dyDescent="0.25">
      <c r="A935" s="6">
        <v>41143</v>
      </c>
      <c r="B935" s="7">
        <v>3.516</v>
      </c>
      <c r="C935" s="9">
        <f t="shared" si="116"/>
        <v>-2.2727282510025667E-3</v>
      </c>
      <c r="D935" s="9">
        <f t="shared" si="117"/>
        <v>-2.6282014693754666E-3</v>
      </c>
      <c r="E935" s="9"/>
      <c r="F935" s="9"/>
      <c r="G935" s="9"/>
      <c r="H935" s="9"/>
      <c r="I935" s="9"/>
      <c r="J935" s="9"/>
      <c r="K935" s="9"/>
      <c r="L935" s="9"/>
      <c r="M935" s="5"/>
      <c r="AJ935" s="2"/>
    </row>
    <row r="936" spans="1:36" x14ac:dyDescent="0.25">
      <c r="A936" s="6">
        <v>41144</v>
      </c>
      <c r="B936" s="7">
        <v>3.4540000000000002</v>
      </c>
      <c r="C936" s="9">
        <f t="shared" si="116"/>
        <v>-1.7791000098443709E-2</v>
      </c>
      <c r="D936" s="9">
        <f t="shared" si="117"/>
        <v>-1.8146473316816611E-2</v>
      </c>
      <c r="E936" s="9"/>
      <c r="F936" s="9"/>
      <c r="G936" s="9"/>
      <c r="H936" s="9"/>
      <c r="I936" s="9"/>
      <c r="J936" s="9"/>
      <c r="K936" s="9"/>
      <c r="L936" s="9"/>
      <c r="M936" s="5"/>
      <c r="AJ936" s="2"/>
    </row>
    <row r="937" spans="1:36" x14ac:dyDescent="0.25">
      <c r="A937" s="6">
        <v>41145</v>
      </c>
      <c r="B937" s="7">
        <v>3.4460000000000002</v>
      </c>
      <c r="C937" s="9">
        <f t="shared" si="116"/>
        <v>-2.3188416187490098E-3</v>
      </c>
      <c r="D937" s="9">
        <f t="shared" si="117"/>
        <v>-2.6743148371219097E-3</v>
      </c>
      <c r="E937" s="9"/>
      <c r="F937" s="9"/>
      <c r="G937" s="9"/>
      <c r="H937" s="9"/>
      <c r="I937" s="9"/>
      <c r="J937" s="9"/>
      <c r="K937" s="9"/>
      <c r="L937" s="9"/>
      <c r="M937" s="5"/>
      <c r="AJ937" s="2"/>
    </row>
    <row r="938" spans="1:36" x14ac:dyDescent="0.25">
      <c r="A938" s="6">
        <v>41148</v>
      </c>
      <c r="B938" s="7">
        <v>3.6019999999999999</v>
      </c>
      <c r="C938" s="9">
        <f t="shared" si="116"/>
        <v>4.4275108648026397E-2</v>
      </c>
      <c r="D938" s="9">
        <f t="shared" si="117"/>
        <v>4.3919635429653499E-2</v>
      </c>
      <c r="E938" s="9"/>
      <c r="F938" s="9"/>
      <c r="G938" s="9"/>
      <c r="H938" s="9"/>
      <c r="I938" s="9"/>
      <c r="J938" s="9"/>
      <c r="K938" s="9"/>
      <c r="L938" s="9"/>
      <c r="M938" s="5"/>
      <c r="AJ938" s="2"/>
    </row>
    <row r="939" spans="1:36" x14ac:dyDescent="0.25">
      <c r="A939" s="6">
        <v>41149</v>
      </c>
      <c r="B939" s="7">
        <v>3.734</v>
      </c>
      <c r="C939" s="9">
        <f t="shared" si="116"/>
        <v>3.5990798365766505E-2</v>
      </c>
      <c r="D939" s="9">
        <f t="shared" si="117"/>
        <v>3.5635325147393607E-2</v>
      </c>
      <c r="E939" s="9"/>
      <c r="F939" s="9"/>
      <c r="G939" s="9"/>
      <c r="H939" s="9"/>
      <c r="I939" s="9"/>
      <c r="J939" s="9"/>
      <c r="K939" s="9"/>
      <c r="L939" s="9"/>
      <c r="M939" s="5"/>
      <c r="AJ939" s="2"/>
    </row>
    <row r="940" spans="1:36" x14ac:dyDescent="0.25">
      <c r="A940" s="6">
        <v>41150</v>
      </c>
      <c r="B940" s="7">
        <v>3.6259999999999999</v>
      </c>
      <c r="C940" s="9">
        <f t="shared" si="116"/>
        <v>-2.9349932786871549E-2</v>
      </c>
      <c r="D940" s="9">
        <f t="shared" si="117"/>
        <v>-2.9705406005244451E-2</v>
      </c>
      <c r="E940" s="9"/>
      <c r="F940" s="9"/>
      <c r="G940" s="9"/>
      <c r="H940" s="9"/>
      <c r="I940" s="9"/>
      <c r="J940" s="9"/>
      <c r="K940" s="9"/>
      <c r="L940" s="9"/>
      <c r="M940" s="5"/>
      <c r="AJ940" s="2"/>
    </row>
    <row r="941" spans="1:36" x14ac:dyDescent="0.25">
      <c r="A941" s="6">
        <v>41151</v>
      </c>
      <c r="B941" s="7">
        <v>3.6920000000000002</v>
      </c>
      <c r="C941" s="9">
        <f t="shared" si="116"/>
        <v>1.8038204307946532E-2</v>
      </c>
      <c r="D941" s="9">
        <f t="shared" si="117"/>
        <v>1.768273108957363E-2</v>
      </c>
      <c r="E941" s="9"/>
      <c r="F941" s="9"/>
      <c r="G941" s="9"/>
      <c r="H941" s="9"/>
      <c r="I941" s="9"/>
      <c r="J941" s="9"/>
      <c r="K941" s="9"/>
      <c r="L941" s="9"/>
      <c r="M941" s="5"/>
      <c r="AJ941" s="2"/>
    </row>
    <row r="942" spans="1:36" x14ac:dyDescent="0.25">
      <c r="A942" s="6">
        <v>41152</v>
      </c>
      <c r="B942" s="7">
        <v>3.722</v>
      </c>
      <c r="C942" s="9">
        <f t="shared" si="116"/>
        <v>8.0928415794531781E-3</v>
      </c>
      <c r="D942" s="9">
        <f t="shared" si="117"/>
        <v>7.7373683610802782E-3</v>
      </c>
      <c r="E942" s="9"/>
      <c r="F942" s="9"/>
      <c r="G942" s="9"/>
      <c r="H942" s="9"/>
      <c r="I942" s="9"/>
      <c r="J942" s="9"/>
      <c r="K942" s="9"/>
      <c r="L942" s="9"/>
      <c r="M942" s="5"/>
      <c r="AJ942" s="2"/>
    </row>
    <row r="943" spans="1:36" x14ac:dyDescent="0.25">
      <c r="A943" s="6">
        <v>41155</v>
      </c>
      <c r="B943" s="7">
        <v>3.77</v>
      </c>
      <c r="C943" s="9">
        <f t="shared" si="116"/>
        <v>1.2813843239860453E-2</v>
      </c>
      <c r="D943" s="9">
        <f t="shared" si="117"/>
        <v>1.2458370021487553E-2</v>
      </c>
      <c r="E943" s="9"/>
      <c r="F943" s="9"/>
      <c r="G943" s="9"/>
      <c r="H943" s="9"/>
      <c r="I943" s="9"/>
      <c r="J943" s="9"/>
      <c r="K943" s="9"/>
      <c r="L943" s="9"/>
      <c r="M943" s="5"/>
      <c r="AJ943" s="2"/>
    </row>
    <row r="944" spans="1:36" x14ac:dyDescent="0.25">
      <c r="A944" s="6">
        <v>41156</v>
      </c>
      <c r="B944" s="7">
        <v>3.9319999999999999</v>
      </c>
      <c r="C944" s="9">
        <f t="shared" si="116"/>
        <v>4.2073200825000726E-2</v>
      </c>
      <c r="D944" s="9">
        <f t="shared" si="117"/>
        <v>4.1717727606627827E-2</v>
      </c>
      <c r="E944" s="9"/>
      <c r="F944" s="9"/>
      <c r="G944" s="9"/>
      <c r="H944" s="9"/>
      <c r="I944" s="9"/>
      <c r="J944" s="9"/>
      <c r="K944" s="9"/>
      <c r="L944" s="9"/>
      <c r="M944" s="5"/>
      <c r="AJ944" s="2"/>
    </row>
    <row r="945" spans="1:36" x14ac:dyDescent="0.25">
      <c r="A945" s="6">
        <v>41157</v>
      </c>
      <c r="B945" s="7">
        <v>3.9699999999999998</v>
      </c>
      <c r="C945" s="9">
        <f t="shared" si="116"/>
        <v>9.6178924141789093E-3</v>
      </c>
      <c r="D945" s="9">
        <f t="shared" si="117"/>
        <v>9.2624191958060095E-3</v>
      </c>
      <c r="E945" s="9"/>
      <c r="F945" s="9"/>
      <c r="G945" s="9"/>
      <c r="H945" s="9"/>
      <c r="I945" s="9"/>
      <c r="J945" s="9"/>
      <c r="K945" s="9"/>
      <c r="L945" s="9"/>
      <c r="M945" s="5"/>
      <c r="AJ945" s="2"/>
    </row>
    <row r="946" spans="1:36" x14ac:dyDescent="0.25">
      <c r="A946" s="6">
        <v>41158</v>
      </c>
      <c r="B946" s="7">
        <v>4.2080000000000002</v>
      </c>
      <c r="C946" s="9">
        <f t="shared" si="116"/>
        <v>5.8221380736309829E-2</v>
      </c>
      <c r="D946" s="9">
        <f t="shared" si="117"/>
        <v>5.7865907517936931E-2</v>
      </c>
      <c r="E946" s="9"/>
      <c r="F946" s="9"/>
      <c r="G946" s="9"/>
      <c r="H946" s="9"/>
      <c r="I946" s="9"/>
      <c r="J946" s="9"/>
      <c r="K946" s="9"/>
      <c r="L946" s="9"/>
      <c r="M946" s="5"/>
      <c r="AJ946" s="2"/>
    </row>
    <row r="947" spans="1:36" x14ac:dyDescent="0.25">
      <c r="A947" s="6">
        <v>41159</v>
      </c>
      <c r="B947" s="7">
        <v>4.2320000000000002</v>
      </c>
      <c r="C947" s="9">
        <f t="shared" si="116"/>
        <v>5.6872191205895144E-3</v>
      </c>
      <c r="D947" s="9">
        <f t="shared" si="117"/>
        <v>5.3317459022166145E-3</v>
      </c>
      <c r="E947" s="9"/>
      <c r="F947" s="9"/>
      <c r="G947" s="9"/>
      <c r="H947" s="9"/>
      <c r="I947" s="9"/>
      <c r="J947" s="9"/>
      <c r="K947" s="9"/>
      <c r="L947" s="9"/>
      <c r="M947" s="5"/>
      <c r="AJ947" s="2"/>
    </row>
    <row r="948" spans="1:36" x14ac:dyDescent="0.25">
      <c r="A948" s="6">
        <v>41162</v>
      </c>
      <c r="B948" s="7">
        <v>4.1879999999999997</v>
      </c>
      <c r="C948" s="9">
        <f t="shared" si="116"/>
        <v>-1.0451401547707937E-2</v>
      </c>
      <c r="D948" s="9">
        <f t="shared" si="117"/>
        <v>-1.0806874766080837E-2</v>
      </c>
      <c r="E948" s="9"/>
      <c r="F948" s="9"/>
      <c r="G948" s="9"/>
      <c r="H948" s="9"/>
      <c r="I948" s="9"/>
      <c r="J948" s="9"/>
      <c r="K948" s="9"/>
      <c r="L948" s="9"/>
      <c r="M948" s="5"/>
      <c r="AJ948" s="2"/>
    </row>
    <row r="949" spans="1:36" x14ac:dyDescent="0.25">
      <c r="A949" s="6">
        <v>41163</v>
      </c>
      <c r="B949" s="7">
        <v>4.1820000000000004</v>
      </c>
      <c r="C949" s="9">
        <f t="shared" si="116"/>
        <v>-1.4336920018484744E-3</v>
      </c>
      <c r="D949" s="9">
        <f t="shared" si="117"/>
        <v>-1.7891652202213742E-3</v>
      </c>
      <c r="E949" s="9"/>
      <c r="F949" s="9"/>
      <c r="G949" s="9"/>
      <c r="H949" s="9"/>
      <c r="I949" s="9"/>
      <c r="J949" s="9"/>
      <c r="K949" s="9"/>
      <c r="L949" s="9"/>
      <c r="M949" s="5"/>
      <c r="AJ949" s="2"/>
    </row>
    <row r="950" spans="1:36" x14ac:dyDescent="0.25">
      <c r="A950" s="6">
        <v>41164</v>
      </c>
      <c r="B950" s="7">
        <v>4.2519999999999998</v>
      </c>
      <c r="C950" s="9">
        <f t="shared" si="116"/>
        <v>1.6599859473259541E-2</v>
      </c>
      <c r="D950" s="9">
        <f t="shared" si="117"/>
        <v>1.6244386254886639E-2</v>
      </c>
      <c r="E950" s="9"/>
      <c r="F950" s="9"/>
      <c r="G950" s="9"/>
      <c r="H950" s="9"/>
      <c r="I950" s="9"/>
      <c r="J950" s="9"/>
      <c r="K950" s="9"/>
      <c r="L950" s="9"/>
      <c r="M950" s="5"/>
      <c r="AJ950" s="2"/>
    </row>
    <row r="951" spans="1:36" x14ac:dyDescent="0.25">
      <c r="A951" s="6">
        <v>41165</v>
      </c>
      <c r="B951" s="7">
        <v>4.1779999999999999</v>
      </c>
      <c r="C951" s="9">
        <f t="shared" si="116"/>
        <v>-1.7556797345327425E-2</v>
      </c>
      <c r="D951" s="9">
        <f t="shared" si="117"/>
        <v>-1.7912270563700327E-2</v>
      </c>
      <c r="E951" s="9"/>
      <c r="F951" s="9"/>
      <c r="G951" s="9"/>
      <c r="H951" s="9"/>
      <c r="I951" s="9"/>
      <c r="J951" s="9"/>
      <c r="K951" s="9"/>
      <c r="L951" s="9"/>
      <c r="M951" s="5"/>
      <c r="AJ951" s="2"/>
    </row>
    <row r="952" spans="1:36" x14ac:dyDescent="0.25">
      <c r="A952" s="6">
        <v>41166</v>
      </c>
      <c r="B952" s="7">
        <v>4.2780000000000005</v>
      </c>
      <c r="C952" s="9">
        <f t="shared" si="116"/>
        <v>2.3652947525839955E-2</v>
      </c>
      <c r="D952" s="9">
        <f t="shared" si="117"/>
        <v>2.3297474307467054E-2</v>
      </c>
      <c r="E952" s="9"/>
      <c r="F952" s="9"/>
      <c r="G952" s="9"/>
      <c r="H952" s="9"/>
      <c r="I952" s="9"/>
      <c r="J952" s="9"/>
      <c r="K952" s="9"/>
      <c r="L952" s="9"/>
      <c r="M952" s="5"/>
      <c r="AJ952" s="2"/>
    </row>
    <row r="953" spans="1:36" x14ac:dyDescent="0.25">
      <c r="A953" s="6">
        <v>41169</v>
      </c>
      <c r="B953" s="7">
        <v>4.3940000000000001</v>
      </c>
      <c r="C953" s="9">
        <f t="shared" si="116"/>
        <v>2.6754363302204452E-2</v>
      </c>
      <c r="D953" s="9">
        <f t="shared" si="117"/>
        <v>2.6398890083831551E-2</v>
      </c>
      <c r="E953" s="9"/>
      <c r="F953" s="9"/>
      <c r="G953" s="9"/>
      <c r="H953" s="9"/>
      <c r="I953" s="9"/>
      <c r="J953" s="9"/>
      <c r="K953" s="9"/>
      <c r="L953" s="9"/>
      <c r="M953" s="5"/>
      <c r="AJ953" s="2"/>
    </row>
    <row r="954" spans="1:36" x14ac:dyDescent="0.25">
      <c r="A954" s="6">
        <v>41170</v>
      </c>
      <c r="B954" s="7">
        <v>4.3220000000000001</v>
      </c>
      <c r="C954" s="9">
        <f t="shared" si="116"/>
        <v>-1.6521715877724275E-2</v>
      </c>
      <c r="D954" s="9">
        <f t="shared" si="117"/>
        <v>-1.6877189096097176E-2</v>
      </c>
      <c r="E954" s="9"/>
      <c r="F954" s="9"/>
      <c r="G954" s="9"/>
      <c r="H954" s="9"/>
      <c r="I954" s="9"/>
      <c r="J954" s="9"/>
      <c r="K954" s="9"/>
      <c r="L954" s="9"/>
      <c r="M954" s="5"/>
      <c r="AJ954" s="2"/>
    </row>
    <row r="955" spans="1:36" x14ac:dyDescent="0.25">
      <c r="A955" s="6">
        <v>41171</v>
      </c>
      <c r="B955" s="7">
        <v>4.226</v>
      </c>
      <c r="C955" s="9">
        <f t="shared" si="116"/>
        <v>-2.2462338890829294E-2</v>
      </c>
      <c r="D955" s="9">
        <f t="shared" si="117"/>
        <v>-2.2817812109202196E-2</v>
      </c>
      <c r="E955" s="9"/>
      <c r="F955" s="9"/>
      <c r="G955" s="9"/>
      <c r="H955" s="9"/>
      <c r="I955" s="9"/>
      <c r="J955" s="9"/>
      <c r="K955" s="9"/>
      <c r="L955" s="9"/>
      <c r="M955" s="5"/>
      <c r="AJ955" s="2"/>
    </row>
    <row r="956" spans="1:36" x14ac:dyDescent="0.25">
      <c r="A956" s="6">
        <v>41172</v>
      </c>
      <c r="B956" s="7">
        <v>4.0759999999999996</v>
      </c>
      <c r="C956" s="9">
        <f t="shared" si="116"/>
        <v>-3.613980383338667E-2</v>
      </c>
      <c r="D956" s="9">
        <f t="shared" si="117"/>
        <v>-3.6495277051759568E-2</v>
      </c>
      <c r="E956" s="9"/>
      <c r="F956" s="9"/>
      <c r="G956" s="9"/>
      <c r="H956" s="9"/>
      <c r="I956" s="9"/>
      <c r="J956" s="9"/>
      <c r="K956" s="9"/>
      <c r="L956" s="9"/>
      <c r="M956" s="5"/>
      <c r="AJ956" s="2"/>
    </row>
    <row r="957" spans="1:36" x14ac:dyDescent="0.25">
      <c r="A957" s="6">
        <v>41173</v>
      </c>
      <c r="B957" s="7">
        <v>4.21</v>
      </c>
      <c r="C957" s="9">
        <f t="shared" ref="C957:C1020" si="118">LN(B957/B956)</f>
        <v>3.2346532333811684E-2</v>
      </c>
      <c r="D957" s="9">
        <f t="shared" si="117"/>
        <v>3.1991059115438786E-2</v>
      </c>
      <c r="E957" s="9"/>
      <c r="F957" s="9"/>
      <c r="G957" s="9"/>
      <c r="H957" s="9"/>
      <c r="I957" s="9"/>
      <c r="J957" s="9"/>
      <c r="K957" s="9"/>
      <c r="L957" s="9"/>
      <c r="M957" s="5"/>
      <c r="AJ957" s="2"/>
    </row>
    <row r="958" spans="1:36" x14ac:dyDescent="0.25">
      <c r="A958" s="6">
        <v>41176</v>
      </c>
      <c r="B958" s="7">
        <v>4.28</v>
      </c>
      <c r="C958" s="9">
        <f t="shared" si="118"/>
        <v>1.649036189941543E-2</v>
      </c>
      <c r="D958" s="9">
        <f t="shared" si="117"/>
        <v>1.6134888681042528E-2</v>
      </c>
      <c r="E958" s="9"/>
      <c r="F958" s="9"/>
      <c r="G958" s="9"/>
      <c r="H958" s="9"/>
      <c r="I958" s="9"/>
      <c r="J958" s="9"/>
      <c r="K958" s="9"/>
      <c r="L958" s="9"/>
      <c r="M958" s="5"/>
      <c r="AJ958" s="2"/>
    </row>
    <row r="959" spans="1:36" x14ac:dyDescent="0.25">
      <c r="A959" s="6">
        <v>41177</v>
      </c>
      <c r="B959" s="7">
        <v>4.2859999999999996</v>
      </c>
      <c r="C959" s="9">
        <f t="shared" si="118"/>
        <v>1.4008874576797571E-3</v>
      </c>
      <c r="D959" s="9">
        <f t="shared" si="117"/>
        <v>1.0454142393068573E-3</v>
      </c>
      <c r="E959" s="9"/>
      <c r="F959" s="9"/>
      <c r="G959" s="9"/>
      <c r="H959" s="9"/>
      <c r="I959" s="9"/>
      <c r="J959" s="9"/>
      <c r="K959" s="9"/>
      <c r="L959" s="9"/>
      <c r="M959" s="5"/>
      <c r="AJ959" s="2"/>
    </row>
    <row r="960" spans="1:36" x14ac:dyDescent="0.25">
      <c r="A960" s="6">
        <v>41178</v>
      </c>
      <c r="B960" s="7">
        <v>4.12</v>
      </c>
      <c r="C960" s="9">
        <f t="shared" si="118"/>
        <v>-3.9500733689950121E-2</v>
      </c>
      <c r="D960" s="9">
        <f t="shared" si="117"/>
        <v>-3.9856206908323019E-2</v>
      </c>
      <c r="E960" s="9"/>
      <c r="F960" s="9"/>
      <c r="G960" s="9"/>
      <c r="H960" s="9"/>
      <c r="I960" s="9"/>
      <c r="J960" s="9"/>
      <c r="K960" s="9"/>
      <c r="L960" s="9"/>
      <c r="M960" s="5"/>
      <c r="AJ960" s="2"/>
    </row>
    <row r="961" spans="1:36" x14ac:dyDescent="0.25">
      <c r="A961" s="6">
        <v>41179</v>
      </c>
      <c r="B961" s="7">
        <v>4.242</v>
      </c>
      <c r="C961" s="9">
        <f t="shared" si="118"/>
        <v>2.9181692781055691E-2</v>
      </c>
      <c r="D961" s="9">
        <f t="shared" si="117"/>
        <v>2.8826219562682789E-2</v>
      </c>
      <c r="E961" s="9"/>
      <c r="F961" s="9"/>
      <c r="G961" s="9"/>
      <c r="H961" s="9"/>
      <c r="I961" s="9"/>
      <c r="J961" s="9"/>
      <c r="K961" s="9"/>
      <c r="L961" s="9"/>
      <c r="M961" s="5"/>
      <c r="AJ961" s="2"/>
    </row>
    <row r="962" spans="1:36" x14ac:dyDescent="0.25">
      <c r="A962" s="6">
        <v>41180</v>
      </c>
      <c r="B962" s="7">
        <v>4.1580000000000004</v>
      </c>
      <c r="C962" s="9">
        <f t="shared" si="118"/>
        <v>-2.0000666706669428E-2</v>
      </c>
      <c r="D962" s="9">
        <f t="shared" si="117"/>
        <v>-2.035613992504233E-2</v>
      </c>
      <c r="E962" s="9"/>
      <c r="F962" s="9"/>
      <c r="G962" s="9"/>
      <c r="H962" s="9"/>
      <c r="I962" s="9"/>
      <c r="J962" s="9"/>
      <c r="K962" s="9"/>
      <c r="L962" s="9"/>
      <c r="M962" s="5"/>
      <c r="AJ962" s="2"/>
    </row>
    <row r="963" spans="1:36" x14ac:dyDescent="0.25">
      <c r="A963" s="6">
        <v>41183</v>
      </c>
      <c r="B963" s="7">
        <v>4.2859999999999996</v>
      </c>
      <c r="C963" s="9">
        <f t="shared" si="118"/>
        <v>3.0319707615563896E-2</v>
      </c>
      <c r="D963" s="9">
        <f t="shared" si="117"/>
        <v>2.9964234397190995E-2</v>
      </c>
      <c r="E963" s="9"/>
      <c r="F963" s="9"/>
      <c r="G963" s="9"/>
      <c r="H963" s="9"/>
      <c r="I963" s="9"/>
      <c r="J963" s="9"/>
      <c r="K963" s="9"/>
      <c r="L963" s="9"/>
      <c r="M963" s="5"/>
      <c r="AJ963" s="2"/>
    </row>
    <row r="964" spans="1:36" x14ac:dyDescent="0.25">
      <c r="A964" s="6">
        <v>41184</v>
      </c>
      <c r="B964" s="7">
        <v>4.2780000000000005</v>
      </c>
      <c r="C964" s="9">
        <f t="shared" si="118"/>
        <v>-1.8682863911711665E-3</v>
      </c>
      <c r="D964" s="9">
        <f t="shared" si="117"/>
        <v>-2.2237596095440663E-3</v>
      </c>
      <c r="E964" s="9"/>
      <c r="F964" s="9"/>
      <c r="G964" s="9"/>
      <c r="H964" s="9"/>
      <c r="I964" s="9"/>
      <c r="J964" s="9"/>
      <c r="K964" s="9"/>
      <c r="L964" s="9"/>
      <c r="M964" s="5"/>
      <c r="AJ964" s="2"/>
    </row>
    <row r="965" spans="1:36" x14ac:dyDescent="0.25">
      <c r="A965" s="6">
        <v>41185</v>
      </c>
      <c r="B965" s="7">
        <v>4.2359999999999998</v>
      </c>
      <c r="C965" s="9">
        <f t="shared" si="118"/>
        <v>-9.8661829210540553E-3</v>
      </c>
      <c r="D965" s="9">
        <f t="shared" si="117"/>
        <v>-1.0221656139426955E-2</v>
      </c>
      <c r="E965" s="9"/>
      <c r="F965" s="9"/>
      <c r="G965" s="9"/>
      <c r="H965" s="9"/>
      <c r="I965" s="9"/>
      <c r="J965" s="9"/>
      <c r="K965" s="9"/>
      <c r="L965" s="9"/>
      <c r="M965" s="5"/>
      <c r="AJ965" s="2"/>
    </row>
    <row r="966" spans="1:36" x14ac:dyDescent="0.25">
      <c r="A966" s="6">
        <v>41186</v>
      </c>
      <c r="B966" s="7">
        <v>4.274</v>
      </c>
      <c r="C966" s="9">
        <f t="shared" si="118"/>
        <v>8.9307291577959899E-3</v>
      </c>
      <c r="D966" s="9">
        <f t="shared" si="117"/>
        <v>8.57525593942309E-3</v>
      </c>
      <c r="E966" s="9"/>
      <c r="F966" s="9"/>
      <c r="G966" s="9"/>
      <c r="H966" s="9"/>
      <c r="I966" s="9"/>
      <c r="J966" s="9"/>
      <c r="K966" s="9"/>
      <c r="L966" s="9"/>
      <c r="M966" s="5"/>
      <c r="AJ966" s="2"/>
    </row>
    <row r="967" spans="1:36" x14ac:dyDescent="0.25">
      <c r="A967" s="6">
        <v>41187</v>
      </c>
      <c r="B967" s="7">
        <v>4.3479999999999999</v>
      </c>
      <c r="C967" s="9">
        <f t="shared" si="118"/>
        <v>1.7165812362007166E-2</v>
      </c>
      <c r="D967" s="9">
        <f t="shared" si="117"/>
        <v>1.6810339143634265E-2</v>
      </c>
      <c r="E967" s="9"/>
      <c r="F967" s="9"/>
      <c r="G967" s="9"/>
      <c r="H967" s="9"/>
      <c r="I967" s="9"/>
      <c r="J967" s="9"/>
      <c r="K967" s="9"/>
      <c r="L967" s="9"/>
      <c r="M967" s="5"/>
      <c r="AJ967" s="2"/>
    </row>
    <row r="968" spans="1:36" x14ac:dyDescent="0.25">
      <c r="A968" s="6">
        <v>41190</v>
      </c>
      <c r="B968" s="7">
        <v>4.3339999999999996</v>
      </c>
      <c r="C968" s="9">
        <f t="shared" si="118"/>
        <v>-3.2250661447957886E-3</v>
      </c>
      <c r="D968" s="9">
        <f t="shared" si="117"/>
        <v>-3.5805393631686885E-3</v>
      </c>
      <c r="E968" s="9"/>
      <c r="F968" s="9"/>
      <c r="G968" s="9"/>
      <c r="H968" s="9"/>
      <c r="I968" s="9"/>
      <c r="J968" s="9"/>
      <c r="K968" s="9"/>
      <c r="L968" s="9"/>
      <c r="M968" s="5"/>
      <c r="AJ968" s="2"/>
    </row>
    <row r="969" spans="1:36" x14ac:dyDescent="0.25">
      <c r="A969" s="6">
        <v>41191</v>
      </c>
      <c r="B969" s="7">
        <v>4.2460000000000004</v>
      </c>
      <c r="C969" s="9">
        <f t="shared" si="118"/>
        <v>-2.0513539833102789E-2</v>
      </c>
      <c r="D969" s="9">
        <f t="shared" si="117"/>
        <v>-2.0869013051475691E-2</v>
      </c>
      <c r="E969" s="9"/>
      <c r="F969" s="9"/>
      <c r="G969" s="9"/>
      <c r="H969" s="9"/>
      <c r="I969" s="9"/>
      <c r="J969" s="9"/>
      <c r="K969" s="9"/>
      <c r="L969" s="9"/>
      <c r="M969" s="5"/>
      <c r="AJ969" s="2"/>
    </row>
    <row r="970" spans="1:36" x14ac:dyDescent="0.25">
      <c r="A970" s="6">
        <v>41192</v>
      </c>
      <c r="B970" s="7">
        <v>4.1680000000000001</v>
      </c>
      <c r="C970" s="9">
        <f t="shared" si="118"/>
        <v>-1.8541058829998666E-2</v>
      </c>
      <c r="D970" s="9">
        <f t="shared" si="117"/>
        <v>-1.8896532048371568E-2</v>
      </c>
      <c r="E970" s="9"/>
      <c r="F970" s="9"/>
      <c r="G970" s="9"/>
      <c r="H970" s="9"/>
      <c r="I970" s="9"/>
      <c r="J970" s="9"/>
      <c r="K970" s="9"/>
      <c r="L970" s="9"/>
      <c r="M970" s="5"/>
      <c r="AJ970" s="2"/>
    </row>
    <row r="971" spans="1:36" x14ac:dyDescent="0.25">
      <c r="A971" s="6">
        <v>41193</v>
      </c>
      <c r="B971" s="7">
        <v>4.2720000000000002</v>
      </c>
      <c r="C971" s="9">
        <f t="shared" si="118"/>
        <v>2.4645797206827948E-2</v>
      </c>
      <c r="D971" s="9">
        <f t="shared" si="117"/>
        <v>2.4290323988455046E-2</v>
      </c>
      <c r="E971" s="9"/>
      <c r="F971" s="9"/>
      <c r="G971" s="9"/>
      <c r="H971" s="9"/>
      <c r="I971" s="9"/>
      <c r="J971" s="9"/>
      <c r="K971" s="9"/>
      <c r="L971" s="9"/>
      <c r="M971" s="5"/>
      <c r="AJ971" s="2"/>
    </row>
    <row r="972" spans="1:36" x14ac:dyDescent="0.25">
      <c r="A972" s="6">
        <v>41194</v>
      </c>
      <c r="B972" s="7">
        <v>4.266</v>
      </c>
      <c r="C972" s="9">
        <f t="shared" si="118"/>
        <v>-1.4054816087349209E-3</v>
      </c>
      <c r="D972" s="9">
        <f t="shared" si="117"/>
        <v>-1.7609548271078207E-3</v>
      </c>
      <c r="E972" s="9"/>
      <c r="F972" s="9"/>
      <c r="G972" s="9"/>
      <c r="H972" s="9"/>
      <c r="I972" s="9"/>
      <c r="J972" s="9"/>
      <c r="K972" s="9"/>
      <c r="L972" s="9"/>
      <c r="M972" s="5"/>
      <c r="AJ972" s="2"/>
    </row>
    <row r="973" spans="1:36" x14ac:dyDescent="0.25">
      <c r="A973" s="6">
        <v>41197</v>
      </c>
      <c r="B973" s="7">
        <v>4.32</v>
      </c>
      <c r="C973" s="9">
        <f t="shared" si="118"/>
        <v>1.2578782206860185E-2</v>
      </c>
      <c r="D973" s="9">
        <f t="shared" si="117"/>
        <v>1.2223308988487286E-2</v>
      </c>
      <c r="E973" s="9"/>
      <c r="F973" s="9"/>
      <c r="G973" s="9"/>
      <c r="H973" s="9"/>
      <c r="I973" s="9"/>
      <c r="J973" s="9"/>
      <c r="K973" s="9"/>
      <c r="L973" s="9"/>
      <c r="M973" s="5"/>
      <c r="AJ973" s="2"/>
    </row>
    <row r="974" spans="1:36" x14ac:dyDescent="0.25">
      <c r="A974" s="6">
        <v>41198</v>
      </c>
      <c r="B974" s="7">
        <v>4.3840000000000003</v>
      </c>
      <c r="C974" s="9">
        <f t="shared" si="118"/>
        <v>1.4706147389695487E-2</v>
      </c>
      <c r="D974" s="9">
        <f t="shared" si="117"/>
        <v>1.4350674171322587E-2</v>
      </c>
      <c r="E974" s="9"/>
      <c r="F974" s="9"/>
      <c r="G974" s="9"/>
      <c r="H974" s="9"/>
      <c r="I974" s="9"/>
      <c r="J974" s="9"/>
      <c r="K974" s="9"/>
      <c r="L974" s="9"/>
      <c r="M974" s="5"/>
      <c r="AJ974" s="2"/>
    </row>
    <row r="975" spans="1:36" x14ac:dyDescent="0.25">
      <c r="A975" s="6">
        <v>41199</v>
      </c>
      <c r="B975" s="7">
        <v>4.62</v>
      </c>
      <c r="C975" s="9">
        <f t="shared" si="118"/>
        <v>5.2433155447933019E-2</v>
      </c>
      <c r="D975" s="9">
        <f t="shared" si="117"/>
        <v>5.2077682229560121E-2</v>
      </c>
      <c r="E975" s="9"/>
      <c r="F975" s="9"/>
      <c r="G975" s="9"/>
      <c r="H975" s="9"/>
      <c r="I975" s="9"/>
      <c r="J975" s="9"/>
      <c r="K975" s="9"/>
      <c r="L975" s="9"/>
      <c r="M975" s="5"/>
      <c r="AJ975" s="2"/>
    </row>
    <row r="976" spans="1:36" x14ac:dyDescent="0.25">
      <c r="A976" s="6">
        <v>41200</v>
      </c>
      <c r="B976" s="7">
        <v>4.6120000000000001</v>
      </c>
      <c r="C976" s="9">
        <f t="shared" si="118"/>
        <v>-1.7331026868348527E-3</v>
      </c>
      <c r="D976" s="9">
        <f t="shared" si="117"/>
        <v>-2.0885759052077526E-3</v>
      </c>
      <c r="E976" s="9"/>
      <c r="F976" s="9"/>
      <c r="G976" s="9"/>
      <c r="H976" s="9"/>
      <c r="I976" s="9"/>
      <c r="J976" s="9"/>
      <c r="K976" s="9"/>
      <c r="L976" s="9"/>
      <c r="M976" s="5"/>
      <c r="AJ976" s="2"/>
    </row>
    <row r="977" spans="1:36" x14ac:dyDescent="0.25">
      <c r="A977" s="6">
        <v>41201</v>
      </c>
      <c r="B977" s="7">
        <v>4.532</v>
      </c>
      <c r="C977" s="9">
        <f t="shared" si="118"/>
        <v>-1.7498259241052673E-2</v>
      </c>
      <c r="D977" s="9">
        <f t="shared" si="117"/>
        <v>-1.7853732459425575E-2</v>
      </c>
      <c r="E977" s="9"/>
      <c r="F977" s="9"/>
      <c r="G977" s="9"/>
      <c r="H977" s="9"/>
      <c r="I977" s="9"/>
      <c r="J977" s="9"/>
      <c r="K977" s="9"/>
      <c r="L977" s="9"/>
      <c r="M977" s="5"/>
      <c r="AJ977" s="2"/>
    </row>
    <row r="978" spans="1:36" x14ac:dyDescent="0.25">
      <c r="A978" s="6">
        <v>41204</v>
      </c>
      <c r="B978" s="7">
        <v>4.6020000000000003</v>
      </c>
      <c r="C978" s="9">
        <f t="shared" si="118"/>
        <v>1.5327648447414346E-2</v>
      </c>
      <c r="D978" s="9">
        <f t="shared" si="117"/>
        <v>1.4972175229041446E-2</v>
      </c>
      <c r="E978" s="9"/>
      <c r="F978" s="9"/>
      <c r="G978" s="9"/>
      <c r="H978" s="9"/>
      <c r="I978" s="9"/>
      <c r="J978" s="9"/>
      <c r="K978" s="9"/>
      <c r="L978" s="9"/>
      <c r="M978" s="5"/>
      <c r="AJ978" s="2"/>
    </row>
    <row r="979" spans="1:36" x14ac:dyDescent="0.25">
      <c r="A979" s="6">
        <v>41205</v>
      </c>
      <c r="B979" s="7">
        <v>4.5039999999999996</v>
      </c>
      <c r="C979" s="9">
        <f t="shared" si="118"/>
        <v>-2.1525100775785035E-2</v>
      </c>
      <c r="D979" s="9">
        <f t="shared" si="117"/>
        <v>-2.1880573994157937E-2</v>
      </c>
      <c r="E979" s="9"/>
      <c r="F979" s="9"/>
      <c r="G979" s="9"/>
      <c r="H979" s="9"/>
      <c r="I979" s="9"/>
      <c r="J979" s="9"/>
      <c r="K979" s="9"/>
      <c r="L979" s="9"/>
      <c r="M979" s="5"/>
      <c r="AJ979" s="2"/>
    </row>
    <row r="980" spans="1:36" x14ac:dyDescent="0.25">
      <c r="A980" s="6">
        <v>41206</v>
      </c>
      <c r="B980" s="7">
        <v>4.5359999999999996</v>
      </c>
      <c r="C980" s="9">
        <f t="shared" si="118"/>
        <v>7.0796755880617682E-3</v>
      </c>
      <c r="D980" s="9">
        <f t="shared" si="117"/>
        <v>6.7242023696888684E-3</v>
      </c>
      <c r="E980" s="9"/>
      <c r="F980" s="9"/>
      <c r="G980" s="9"/>
      <c r="H980" s="9"/>
      <c r="I980" s="9"/>
      <c r="J980" s="9"/>
      <c r="K980" s="9"/>
      <c r="L980" s="9"/>
      <c r="M980" s="5"/>
      <c r="AJ980" s="2"/>
    </row>
    <row r="981" spans="1:36" x14ac:dyDescent="0.25">
      <c r="A981" s="6">
        <v>41207</v>
      </c>
      <c r="B981" s="7">
        <v>4.524</v>
      </c>
      <c r="C981" s="9">
        <f t="shared" si="118"/>
        <v>-2.6490081715768417E-3</v>
      </c>
      <c r="D981" s="9">
        <f t="shared" ref="D981:D1044" si="119">C981-$C$59/252</f>
        <v>-3.0044813899497416E-3</v>
      </c>
      <c r="E981" s="9"/>
      <c r="F981" s="9"/>
      <c r="G981" s="9"/>
      <c r="H981" s="9"/>
      <c r="I981" s="9"/>
      <c r="J981" s="9"/>
      <c r="K981" s="9"/>
      <c r="L981" s="9"/>
      <c r="M981" s="5"/>
      <c r="AJ981" s="2"/>
    </row>
    <row r="982" spans="1:36" x14ac:dyDescent="0.25">
      <c r="A982" s="6">
        <v>41208</v>
      </c>
      <c r="B982" s="7">
        <v>4.5259999999999998</v>
      </c>
      <c r="C982" s="9">
        <f t="shared" si="118"/>
        <v>4.419889574715635E-4</v>
      </c>
      <c r="D982" s="9">
        <f t="shared" si="119"/>
        <v>8.6515739098663572E-5</v>
      </c>
      <c r="E982" s="9"/>
      <c r="F982" s="9"/>
      <c r="G982" s="9"/>
      <c r="H982" s="9"/>
      <c r="I982" s="9"/>
      <c r="J982" s="9"/>
      <c r="K982" s="9"/>
      <c r="L982" s="9"/>
      <c r="M982" s="5"/>
      <c r="AJ982" s="2"/>
    </row>
    <row r="983" spans="1:36" x14ac:dyDescent="0.25">
      <c r="A983" s="6">
        <v>41211</v>
      </c>
      <c r="B983" s="7">
        <v>4.3319999999999999</v>
      </c>
      <c r="C983" s="9">
        <f t="shared" si="118"/>
        <v>-4.3809218072601457E-2</v>
      </c>
      <c r="D983" s="9">
        <f t="shared" si="119"/>
        <v>-4.4164691290974355E-2</v>
      </c>
      <c r="E983" s="9"/>
      <c r="F983" s="9"/>
      <c r="G983" s="9"/>
      <c r="H983" s="9"/>
      <c r="I983" s="9"/>
      <c r="J983" s="9"/>
      <c r="K983" s="9"/>
      <c r="L983" s="9"/>
      <c r="M983" s="5"/>
      <c r="AJ983" s="2"/>
    </row>
    <row r="984" spans="1:36" x14ac:dyDescent="0.25">
      <c r="A984" s="6">
        <v>41212</v>
      </c>
      <c r="B984" s="7">
        <v>4.4340000000000002</v>
      </c>
      <c r="C984" s="9">
        <f t="shared" si="118"/>
        <v>2.3272782055375651E-2</v>
      </c>
      <c r="D984" s="9">
        <f t="shared" si="119"/>
        <v>2.2917308837002749E-2</v>
      </c>
      <c r="E984" s="9"/>
      <c r="F984" s="9"/>
      <c r="G984" s="9"/>
      <c r="H984" s="9"/>
      <c r="I984" s="9"/>
      <c r="J984" s="9"/>
      <c r="K984" s="9"/>
      <c r="L984" s="9"/>
      <c r="M984" s="5"/>
      <c r="AJ984" s="2"/>
    </row>
    <row r="985" spans="1:36" x14ac:dyDescent="0.25">
      <c r="A985" s="6">
        <v>41213</v>
      </c>
      <c r="B985" s="7">
        <v>4.3959999999999999</v>
      </c>
      <c r="C985" s="9">
        <f t="shared" si="118"/>
        <v>-8.6070746527448141E-3</v>
      </c>
      <c r="D985" s="9">
        <f t="shared" si="119"/>
        <v>-8.9625478711177139E-3</v>
      </c>
      <c r="E985" s="9"/>
      <c r="F985" s="9"/>
      <c r="G985" s="9"/>
      <c r="H985" s="9"/>
      <c r="I985" s="9"/>
      <c r="J985" s="9"/>
      <c r="K985" s="9"/>
      <c r="L985" s="9"/>
      <c r="M985" s="5"/>
      <c r="AJ985" s="2"/>
    </row>
    <row r="986" spans="1:36" x14ac:dyDescent="0.25">
      <c r="A986" s="6">
        <v>41214</v>
      </c>
      <c r="B986" s="7">
        <v>4.556</v>
      </c>
      <c r="C986" s="9">
        <f t="shared" si="118"/>
        <v>3.5750009043560863E-2</v>
      </c>
      <c r="D986" s="9">
        <f t="shared" si="119"/>
        <v>3.5394535825187964E-2</v>
      </c>
      <c r="E986" s="9"/>
      <c r="F986" s="9"/>
      <c r="G986" s="9"/>
      <c r="H986" s="9"/>
      <c r="I986" s="9"/>
      <c r="J986" s="9"/>
      <c r="K986" s="9"/>
      <c r="L986" s="9"/>
      <c r="M986" s="5"/>
      <c r="AJ986" s="2"/>
    </row>
    <row r="987" spans="1:36" x14ac:dyDescent="0.25">
      <c r="A987" s="6">
        <v>41215</v>
      </c>
      <c r="B987" s="7">
        <v>4.6719999999999997</v>
      </c>
      <c r="C987" s="9">
        <f t="shared" si="118"/>
        <v>2.5142199940990186E-2</v>
      </c>
      <c r="D987" s="9">
        <f t="shared" si="119"/>
        <v>2.4786726722617284E-2</v>
      </c>
      <c r="E987" s="9"/>
      <c r="F987" s="9"/>
      <c r="G987" s="9"/>
      <c r="H987" s="9"/>
      <c r="I987" s="9"/>
      <c r="J987" s="9"/>
      <c r="K987" s="9"/>
      <c r="L987" s="9"/>
      <c r="M987" s="5"/>
      <c r="AJ987" s="2"/>
    </row>
    <row r="988" spans="1:36" x14ac:dyDescent="0.25">
      <c r="A988" s="6">
        <v>41218</v>
      </c>
      <c r="B988" s="7">
        <v>4.5819999999999999</v>
      </c>
      <c r="C988" s="9">
        <f t="shared" si="118"/>
        <v>-1.9451661494622161E-2</v>
      </c>
      <c r="D988" s="9">
        <f t="shared" si="119"/>
        <v>-1.9807134712995063E-2</v>
      </c>
      <c r="E988" s="9"/>
      <c r="F988" s="9"/>
      <c r="G988" s="9"/>
      <c r="H988" s="9"/>
      <c r="I988" s="9"/>
      <c r="J988" s="9"/>
      <c r="K988" s="9"/>
      <c r="L988" s="9"/>
      <c r="M988" s="5"/>
      <c r="AJ988" s="2"/>
    </row>
    <row r="989" spans="1:36" x14ac:dyDescent="0.25">
      <c r="A989" s="6">
        <v>41219</v>
      </c>
      <c r="B989" s="7">
        <v>4.6239999999999997</v>
      </c>
      <c r="C989" s="9">
        <f t="shared" si="118"/>
        <v>9.1245473387725016E-3</v>
      </c>
      <c r="D989" s="9">
        <f t="shared" si="119"/>
        <v>8.7690741203996017E-3</v>
      </c>
      <c r="E989" s="9"/>
      <c r="F989" s="9"/>
      <c r="G989" s="9"/>
      <c r="H989" s="9"/>
      <c r="I989" s="9"/>
      <c r="J989" s="9"/>
      <c r="K989" s="9"/>
      <c r="L989" s="9"/>
      <c r="M989" s="5"/>
      <c r="AJ989" s="2"/>
    </row>
    <row r="990" spans="1:36" x14ac:dyDescent="0.25">
      <c r="A990" s="6">
        <v>41220</v>
      </c>
      <c r="B990" s="7">
        <v>4.4740000000000002</v>
      </c>
      <c r="C990" s="9">
        <f t="shared" si="118"/>
        <v>-3.2977268302138332E-2</v>
      </c>
      <c r="D990" s="9">
        <f t="shared" si="119"/>
        <v>-3.333274152051123E-2</v>
      </c>
      <c r="E990" s="9"/>
      <c r="F990" s="9"/>
      <c r="G990" s="9"/>
      <c r="H990" s="9"/>
      <c r="I990" s="9"/>
      <c r="J990" s="9"/>
      <c r="K990" s="9"/>
      <c r="L990" s="9"/>
      <c r="M990" s="5"/>
      <c r="AJ990" s="2"/>
    </row>
    <row r="991" spans="1:36" x14ac:dyDescent="0.25">
      <c r="A991" s="6">
        <v>41221</v>
      </c>
      <c r="B991" s="7">
        <v>4.508</v>
      </c>
      <c r="C991" s="9">
        <f t="shared" si="118"/>
        <v>7.5707331095919853E-3</v>
      </c>
      <c r="D991" s="9">
        <f t="shared" si="119"/>
        <v>7.2152598912190854E-3</v>
      </c>
      <c r="E991" s="9"/>
      <c r="F991" s="9"/>
      <c r="G991" s="9"/>
      <c r="H991" s="9"/>
      <c r="I991" s="9"/>
      <c r="J991" s="9"/>
      <c r="K991" s="9"/>
      <c r="L991" s="9"/>
      <c r="M991" s="5"/>
      <c r="AJ991" s="2"/>
    </row>
    <row r="992" spans="1:36" x14ac:dyDescent="0.25">
      <c r="A992" s="6">
        <v>41222</v>
      </c>
      <c r="B992" s="7">
        <v>4.3879999999999999</v>
      </c>
      <c r="C992" s="9">
        <f t="shared" si="118"/>
        <v>-2.698005376454609E-2</v>
      </c>
      <c r="D992" s="9">
        <f t="shared" si="119"/>
        <v>-2.7335526982918992E-2</v>
      </c>
      <c r="E992" s="9"/>
      <c r="F992" s="9"/>
      <c r="G992" s="9"/>
      <c r="H992" s="9"/>
      <c r="I992" s="9"/>
      <c r="J992" s="9"/>
      <c r="K992" s="9"/>
      <c r="L992" s="9"/>
      <c r="M992" s="5"/>
      <c r="AJ992" s="2"/>
    </row>
    <row r="993" spans="1:36" x14ac:dyDescent="0.25">
      <c r="A993" s="6">
        <v>41225</v>
      </c>
      <c r="B993" s="7">
        <v>4.3959999999999999</v>
      </c>
      <c r="C993" s="9">
        <f t="shared" si="118"/>
        <v>1.8214941283910141E-3</v>
      </c>
      <c r="D993" s="9">
        <f t="shared" si="119"/>
        <v>1.4660209100181142E-3</v>
      </c>
      <c r="E993" s="9"/>
      <c r="F993" s="9"/>
      <c r="G993" s="9"/>
      <c r="H993" s="9"/>
      <c r="I993" s="9"/>
      <c r="J993" s="9"/>
      <c r="K993" s="9"/>
      <c r="L993" s="9"/>
      <c r="M993" s="5"/>
      <c r="AJ993" s="2"/>
    </row>
    <row r="994" spans="1:36" x14ac:dyDescent="0.25">
      <c r="A994" s="6">
        <v>41226</v>
      </c>
      <c r="B994" s="7">
        <v>4.4859999999999998</v>
      </c>
      <c r="C994" s="9">
        <f t="shared" si="118"/>
        <v>2.0266399556641626E-2</v>
      </c>
      <c r="D994" s="9">
        <f t="shared" si="119"/>
        <v>1.9910926338268724E-2</v>
      </c>
      <c r="E994" s="9"/>
      <c r="F994" s="9"/>
      <c r="G994" s="9"/>
      <c r="H994" s="9"/>
      <c r="I994" s="9"/>
      <c r="J994" s="9"/>
      <c r="K994" s="9"/>
      <c r="L994" s="9"/>
      <c r="M994" s="5"/>
      <c r="AJ994" s="2"/>
    </row>
    <row r="995" spans="1:36" x14ac:dyDescent="0.25">
      <c r="A995" s="6">
        <v>41227</v>
      </c>
      <c r="B995" s="7">
        <v>4.4119999999999999</v>
      </c>
      <c r="C995" s="9">
        <f t="shared" si="118"/>
        <v>-1.6633334706760497E-2</v>
      </c>
      <c r="D995" s="9">
        <f t="shared" si="119"/>
        <v>-1.6988807925133399E-2</v>
      </c>
      <c r="E995" s="9"/>
      <c r="F995" s="9"/>
      <c r="G995" s="9"/>
      <c r="H995" s="9"/>
      <c r="I995" s="9"/>
      <c r="J995" s="9"/>
      <c r="K995" s="9"/>
      <c r="L995" s="9"/>
      <c r="M995" s="5"/>
      <c r="AJ995" s="2"/>
    </row>
    <row r="996" spans="1:36" x14ac:dyDescent="0.25">
      <c r="A996" s="6">
        <v>41228</v>
      </c>
      <c r="B996" s="7">
        <v>4.3940000000000001</v>
      </c>
      <c r="C996" s="9">
        <f t="shared" si="118"/>
        <v>-4.0881274288375284E-3</v>
      </c>
      <c r="D996" s="9">
        <f t="shared" si="119"/>
        <v>-4.4436006472104283E-3</v>
      </c>
      <c r="E996" s="9"/>
      <c r="F996" s="9"/>
      <c r="G996" s="9"/>
      <c r="H996" s="9"/>
      <c r="I996" s="9"/>
      <c r="J996" s="9"/>
      <c r="K996" s="9"/>
      <c r="L996" s="9"/>
      <c r="M996" s="5"/>
      <c r="AJ996" s="2"/>
    </row>
    <row r="997" spans="1:36" x14ac:dyDescent="0.25">
      <c r="A997" s="6">
        <v>41229</v>
      </c>
      <c r="B997" s="7">
        <v>4.234</v>
      </c>
      <c r="C997" s="9">
        <f t="shared" si="118"/>
        <v>-3.7092801249745122E-2</v>
      </c>
      <c r="D997" s="9">
        <f t="shared" si="119"/>
        <v>-3.744827446811802E-2</v>
      </c>
      <c r="E997" s="9"/>
      <c r="F997" s="9"/>
      <c r="G997" s="9"/>
      <c r="H997" s="9"/>
      <c r="I997" s="9"/>
      <c r="J997" s="9"/>
      <c r="K997" s="9"/>
      <c r="L997" s="9"/>
      <c r="M997" s="5"/>
      <c r="AJ997" s="2"/>
    </row>
    <row r="998" spans="1:36" x14ac:dyDescent="0.25">
      <c r="A998" s="6">
        <v>41232</v>
      </c>
      <c r="B998" s="7">
        <v>4.3540000000000001</v>
      </c>
      <c r="C998" s="9">
        <f t="shared" si="118"/>
        <v>2.7947790099682342E-2</v>
      </c>
      <c r="D998" s="9">
        <f t="shared" si="119"/>
        <v>2.7592316881309441E-2</v>
      </c>
      <c r="E998" s="9"/>
      <c r="F998" s="9"/>
      <c r="G998" s="9"/>
      <c r="H998" s="9"/>
      <c r="I998" s="9"/>
      <c r="J998" s="9"/>
      <c r="K998" s="9"/>
      <c r="L998" s="9"/>
      <c r="M998" s="5"/>
      <c r="AJ998" s="2"/>
    </row>
    <row r="999" spans="1:36" x14ac:dyDescent="0.25">
      <c r="A999" s="6">
        <v>41233</v>
      </c>
      <c r="B999" s="7">
        <v>4.2560000000000002</v>
      </c>
      <c r="C999" s="9">
        <f t="shared" si="118"/>
        <v>-2.2765210773012433E-2</v>
      </c>
      <c r="D999" s="9">
        <f t="shared" si="119"/>
        <v>-2.3120683991385334E-2</v>
      </c>
      <c r="E999" s="9"/>
      <c r="F999" s="9"/>
      <c r="G999" s="9"/>
      <c r="H999" s="9"/>
      <c r="I999" s="9"/>
      <c r="J999" s="9"/>
      <c r="K999" s="9"/>
      <c r="L999" s="9"/>
      <c r="M999" s="5"/>
      <c r="AJ999" s="2"/>
    </row>
    <row r="1000" spans="1:36" x14ac:dyDescent="0.25">
      <c r="A1000" s="6">
        <v>41234</v>
      </c>
      <c r="B1000" s="7">
        <v>4.218</v>
      </c>
      <c r="C1000" s="9">
        <f t="shared" si="118"/>
        <v>-8.9686699827604879E-3</v>
      </c>
      <c r="D1000" s="9">
        <f t="shared" si="119"/>
        <v>-9.3241432011333877E-3</v>
      </c>
      <c r="E1000" s="9"/>
      <c r="F1000" s="9"/>
      <c r="G1000" s="9"/>
      <c r="H1000" s="9"/>
      <c r="I1000" s="9"/>
      <c r="J1000" s="9"/>
      <c r="K1000" s="9"/>
      <c r="L1000" s="9"/>
      <c r="M1000" s="5"/>
      <c r="AJ1000" s="2"/>
    </row>
    <row r="1001" spans="1:36" x14ac:dyDescent="0.25">
      <c r="A1001" s="6">
        <v>41235</v>
      </c>
      <c r="B1001" s="7">
        <v>4.2480000000000002</v>
      </c>
      <c r="C1001" s="9">
        <f t="shared" si="118"/>
        <v>7.0872018830548311E-3</v>
      </c>
      <c r="D1001" s="9">
        <f t="shared" si="119"/>
        <v>6.7317286646819312E-3</v>
      </c>
      <c r="E1001" s="9"/>
      <c r="F1001" s="9"/>
      <c r="G1001" s="9"/>
      <c r="H1001" s="9"/>
      <c r="I1001" s="9"/>
      <c r="J1001" s="9"/>
      <c r="K1001" s="9"/>
      <c r="L1001" s="9"/>
      <c r="M1001" s="5"/>
      <c r="AJ1001" s="2"/>
    </row>
    <row r="1002" spans="1:36" x14ac:dyDescent="0.25">
      <c r="A1002" s="6">
        <v>41236</v>
      </c>
      <c r="B1002" s="7">
        <v>4.2240000000000002</v>
      </c>
      <c r="C1002" s="9">
        <f t="shared" si="118"/>
        <v>-5.6657375356774196E-3</v>
      </c>
      <c r="D1002" s="9">
        <f t="shared" si="119"/>
        <v>-6.0212107540503195E-3</v>
      </c>
      <c r="E1002" s="9"/>
      <c r="F1002" s="9"/>
      <c r="G1002" s="9"/>
      <c r="H1002" s="9"/>
      <c r="I1002" s="9"/>
      <c r="J1002" s="9"/>
      <c r="K1002" s="9"/>
      <c r="L1002" s="9"/>
      <c r="M1002" s="5"/>
      <c r="AJ1002" s="2"/>
    </row>
    <row r="1003" spans="1:36" x14ac:dyDescent="0.25">
      <c r="A1003" s="6">
        <v>41239</v>
      </c>
      <c r="B1003" s="7">
        <v>4.2060000000000004</v>
      </c>
      <c r="C1003" s="9">
        <f t="shared" si="118"/>
        <v>-4.2704691234522084E-3</v>
      </c>
      <c r="D1003" s="9">
        <f t="shared" si="119"/>
        <v>-4.6259423418251082E-3</v>
      </c>
      <c r="E1003" s="9"/>
      <c r="F1003" s="9"/>
      <c r="G1003" s="9"/>
      <c r="H1003" s="9"/>
      <c r="I1003" s="9"/>
      <c r="J1003" s="9"/>
      <c r="K1003" s="9"/>
      <c r="L1003" s="9"/>
      <c r="M1003" s="5"/>
      <c r="AJ1003" s="2"/>
    </row>
    <row r="1004" spans="1:36" x14ac:dyDescent="0.25">
      <c r="A1004" s="6">
        <v>41240</v>
      </c>
      <c r="B1004" s="7">
        <v>4.1820000000000004</v>
      </c>
      <c r="C1004" s="9">
        <f t="shared" si="118"/>
        <v>-5.7224762740662105E-3</v>
      </c>
      <c r="D1004" s="9">
        <f t="shared" si="119"/>
        <v>-6.0779494924391103E-3</v>
      </c>
      <c r="E1004" s="9"/>
      <c r="F1004" s="9"/>
      <c r="G1004" s="9"/>
      <c r="H1004" s="9"/>
      <c r="I1004" s="9"/>
      <c r="J1004" s="9"/>
      <c r="K1004" s="9"/>
      <c r="L1004" s="9"/>
      <c r="M1004" s="5"/>
      <c r="AJ1004" s="2"/>
    </row>
    <row r="1005" spans="1:36" x14ac:dyDescent="0.25">
      <c r="A1005" s="6">
        <v>41241</v>
      </c>
      <c r="B1005" s="7">
        <v>4.17</v>
      </c>
      <c r="C1005" s="9">
        <f t="shared" si="118"/>
        <v>-2.8735651957318073E-3</v>
      </c>
      <c r="D1005" s="9">
        <f t="shared" si="119"/>
        <v>-3.2290384141047072E-3</v>
      </c>
      <c r="E1005" s="9"/>
      <c r="F1005" s="9"/>
      <c r="G1005" s="9"/>
      <c r="H1005" s="9"/>
      <c r="I1005" s="9"/>
      <c r="J1005" s="9"/>
      <c r="K1005" s="9"/>
      <c r="L1005" s="9"/>
      <c r="M1005" s="5"/>
      <c r="AJ1005" s="2"/>
    </row>
    <row r="1006" spans="1:36" x14ac:dyDescent="0.25">
      <c r="A1006" s="6">
        <v>41242</v>
      </c>
      <c r="B1006" s="7">
        <v>4.2859999999999996</v>
      </c>
      <c r="C1006" s="9">
        <f t="shared" si="118"/>
        <v>2.7437861240675158E-2</v>
      </c>
      <c r="D1006" s="9">
        <f t="shared" si="119"/>
        <v>2.7082388022302256E-2</v>
      </c>
      <c r="E1006" s="9"/>
      <c r="F1006" s="9"/>
      <c r="G1006" s="9"/>
      <c r="H1006" s="9"/>
      <c r="I1006" s="9"/>
      <c r="J1006" s="9"/>
      <c r="K1006" s="9"/>
      <c r="L1006" s="9"/>
      <c r="M1006" s="5"/>
      <c r="AJ1006" s="2"/>
    </row>
    <row r="1007" spans="1:36" x14ac:dyDescent="0.25">
      <c r="A1007" s="6">
        <v>41243</v>
      </c>
      <c r="B1007" s="7">
        <v>4.2519999999999998</v>
      </c>
      <c r="C1007" s="9">
        <f t="shared" si="118"/>
        <v>-7.9644365716837768E-3</v>
      </c>
      <c r="D1007" s="9">
        <f t="shared" si="119"/>
        <v>-8.3199097900566767E-3</v>
      </c>
      <c r="E1007" s="9"/>
      <c r="F1007" s="9"/>
      <c r="G1007" s="9"/>
      <c r="H1007" s="9"/>
      <c r="I1007" s="9"/>
      <c r="J1007" s="9"/>
      <c r="K1007" s="9"/>
      <c r="L1007" s="9"/>
      <c r="M1007" s="5"/>
      <c r="AJ1007" s="2"/>
    </row>
    <row r="1008" spans="1:36" x14ac:dyDescent="0.25">
      <c r="A1008" s="6">
        <v>41246</v>
      </c>
      <c r="B1008" s="7">
        <v>4.2859999999999996</v>
      </c>
      <c r="C1008" s="9">
        <f t="shared" si="118"/>
        <v>7.9644365716836345E-3</v>
      </c>
      <c r="D1008" s="9">
        <f t="shared" si="119"/>
        <v>7.6089633533107347E-3</v>
      </c>
      <c r="E1008" s="9"/>
      <c r="F1008" s="9"/>
      <c r="G1008" s="9"/>
      <c r="H1008" s="9"/>
      <c r="I1008" s="9"/>
      <c r="J1008" s="9"/>
      <c r="K1008" s="9"/>
      <c r="L1008" s="9"/>
      <c r="M1008" s="5"/>
      <c r="AJ1008" s="2"/>
    </row>
    <row r="1009" spans="1:36" x14ac:dyDescent="0.25">
      <c r="A1009" s="6">
        <v>41247</v>
      </c>
      <c r="B1009" s="7">
        <v>4.3719999999999999</v>
      </c>
      <c r="C1009" s="9">
        <f t="shared" si="118"/>
        <v>1.9866673262906843E-2</v>
      </c>
      <c r="D1009" s="9">
        <f t="shared" si="119"/>
        <v>1.9511200044533942E-2</v>
      </c>
      <c r="E1009" s="9"/>
      <c r="F1009" s="9"/>
      <c r="G1009" s="9"/>
      <c r="H1009" s="9"/>
      <c r="I1009" s="9"/>
      <c r="J1009" s="9"/>
      <c r="K1009" s="9"/>
      <c r="L1009" s="9"/>
      <c r="M1009" s="5"/>
      <c r="AJ1009" s="2"/>
    </row>
    <row r="1010" spans="1:36" x14ac:dyDescent="0.25">
      <c r="A1010" s="6">
        <v>41248</v>
      </c>
      <c r="B1010" s="7">
        <v>4.3639999999999999</v>
      </c>
      <c r="C1010" s="9">
        <f t="shared" si="118"/>
        <v>-1.8315023434677311E-3</v>
      </c>
      <c r="D1010" s="9">
        <f t="shared" si="119"/>
        <v>-2.1869755618406312E-3</v>
      </c>
      <c r="E1010" s="9"/>
      <c r="F1010" s="9"/>
      <c r="G1010" s="9"/>
      <c r="H1010" s="9"/>
      <c r="I1010" s="9"/>
      <c r="J1010" s="9"/>
      <c r="K1010" s="9"/>
      <c r="L1010" s="9"/>
      <c r="M1010" s="5"/>
      <c r="AJ1010" s="2"/>
    </row>
    <row r="1011" spans="1:36" x14ac:dyDescent="0.25">
      <c r="A1011" s="6">
        <v>41249</v>
      </c>
      <c r="B1011" s="7">
        <v>4.2960000000000003</v>
      </c>
      <c r="C1011" s="9">
        <f t="shared" si="118"/>
        <v>-1.5704710764260769E-2</v>
      </c>
      <c r="D1011" s="9">
        <f t="shared" si="119"/>
        <v>-1.6060183982633671E-2</v>
      </c>
      <c r="E1011" s="9"/>
      <c r="F1011" s="9"/>
      <c r="G1011" s="9"/>
      <c r="H1011" s="9"/>
      <c r="I1011" s="9"/>
      <c r="J1011" s="9"/>
      <c r="K1011" s="9"/>
      <c r="L1011" s="9"/>
      <c r="M1011" s="5"/>
      <c r="AJ1011" s="2"/>
    </row>
    <row r="1012" spans="1:36" x14ac:dyDescent="0.25">
      <c r="A1012" s="6">
        <v>41250</v>
      </c>
      <c r="B1012" s="7">
        <v>4.1959999999999997</v>
      </c>
      <c r="C1012" s="9">
        <f t="shared" si="118"/>
        <v>-2.3552666672512997E-2</v>
      </c>
      <c r="D1012" s="9">
        <f t="shared" si="119"/>
        <v>-2.3908139890885898E-2</v>
      </c>
      <c r="E1012" s="9"/>
      <c r="F1012" s="9"/>
      <c r="G1012" s="9"/>
      <c r="H1012" s="9"/>
      <c r="I1012" s="9"/>
      <c r="J1012" s="9"/>
      <c r="K1012" s="9"/>
      <c r="L1012" s="9"/>
      <c r="M1012" s="5"/>
      <c r="AJ1012" s="2"/>
    </row>
    <row r="1013" spans="1:36" x14ac:dyDescent="0.25">
      <c r="A1013" s="6">
        <v>41253</v>
      </c>
      <c r="B1013" s="7">
        <v>4.0620000000000003</v>
      </c>
      <c r="C1013" s="9">
        <f t="shared" si="118"/>
        <v>-3.2456227375857648E-2</v>
      </c>
      <c r="D1013" s="9">
        <f t="shared" si="119"/>
        <v>-3.2811700594230546E-2</v>
      </c>
      <c r="E1013" s="9"/>
      <c r="F1013" s="9"/>
      <c r="G1013" s="9"/>
      <c r="H1013" s="9"/>
      <c r="I1013" s="9"/>
      <c r="J1013" s="9"/>
      <c r="K1013" s="9"/>
      <c r="L1013" s="9"/>
      <c r="M1013" s="5"/>
      <c r="AJ1013" s="2"/>
    </row>
    <row r="1014" spans="1:36" x14ac:dyDescent="0.25">
      <c r="A1014" s="6">
        <v>41254</v>
      </c>
      <c r="B1014" s="7">
        <v>4.1139999999999999</v>
      </c>
      <c r="C1014" s="9">
        <f t="shared" si="118"/>
        <v>1.2720328072572418E-2</v>
      </c>
      <c r="D1014" s="9">
        <f t="shared" si="119"/>
        <v>1.2364854854199518E-2</v>
      </c>
      <c r="E1014" s="9"/>
      <c r="F1014" s="9"/>
      <c r="G1014" s="9"/>
      <c r="H1014" s="9"/>
      <c r="I1014" s="9"/>
      <c r="J1014" s="9"/>
      <c r="K1014" s="9"/>
      <c r="L1014" s="9"/>
      <c r="M1014" s="5"/>
      <c r="AJ1014" s="2"/>
    </row>
    <row r="1015" spans="1:36" x14ac:dyDescent="0.25">
      <c r="A1015" s="6">
        <v>41255</v>
      </c>
      <c r="B1015" s="7">
        <v>4.1559999999999997</v>
      </c>
      <c r="C1015" s="9">
        <f t="shared" si="118"/>
        <v>1.0157282006215474E-2</v>
      </c>
      <c r="D1015" s="9">
        <f t="shared" si="119"/>
        <v>9.8018087878425746E-3</v>
      </c>
      <c r="E1015" s="9"/>
      <c r="F1015" s="9"/>
      <c r="G1015" s="9"/>
      <c r="H1015" s="9"/>
      <c r="I1015" s="9"/>
      <c r="J1015" s="9"/>
      <c r="K1015" s="9"/>
      <c r="L1015" s="9"/>
      <c r="M1015" s="5"/>
      <c r="AJ1015" s="2"/>
    </row>
    <row r="1016" spans="1:36" x14ac:dyDescent="0.25">
      <c r="A1016" s="6">
        <v>41256</v>
      </c>
      <c r="B1016" s="7">
        <v>4.25</v>
      </c>
      <c r="C1016" s="9">
        <f t="shared" si="118"/>
        <v>2.2365909699344474E-2</v>
      </c>
      <c r="D1016" s="9">
        <f t="shared" si="119"/>
        <v>2.2010436480971573E-2</v>
      </c>
      <c r="E1016" s="9"/>
      <c r="F1016" s="9"/>
      <c r="G1016" s="9"/>
      <c r="H1016" s="9"/>
      <c r="I1016" s="9"/>
      <c r="J1016" s="9"/>
      <c r="K1016" s="9"/>
      <c r="L1016" s="9"/>
      <c r="M1016" s="5"/>
      <c r="AJ1016" s="2"/>
    </row>
    <row r="1017" spans="1:36" x14ac:dyDescent="0.25">
      <c r="A1017" s="6">
        <v>41257</v>
      </c>
      <c r="B1017" s="7">
        <v>4.2919999999999998</v>
      </c>
      <c r="C1017" s="9">
        <f t="shared" si="118"/>
        <v>9.8338418321265598E-3</v>
      </c>
      <c r="D1017" s="9">
        <f t="shared" si="119"/>
        <v>9.4783686137536599E-3</v>
      </c>
      <c r="E1017" s="9"/>
      <c r="F1017" s="9"/>
      <c r="G1017" s="9"/>
      <c r="H1017" s="9"/>
      <c r="I1017" s="9"/>
      <c r="J1017" s="9"/>
      <c r="K1017" s="9"/>
      <c r="L1017" s="9"/>
      <c r="M1017" s="5"/>
      <c r="AJ1017" s="2"/>
    </row>
    <row r="1018" spans="1:36" x14ac:dyDescent="0.25">
      <c r="A1018" s="6">
        <v>41260</v>
      </c>
      <c r="B1018" s="7">
        <v>4.3899999999999997</v>
      </c>
      <c r="C1018" s="9">
        <f t="shared" si="118"/>
        <v>2.2576402318627849E-2</v>
      </c>
      <c r="D1018" s="9">
        <f t="shared" si="119"/>
        <v>2.2220929100254947E-2</v>
      </c>
      <c r="E1018" s="9"/>
      <c r="F1018" s="9"/>
      <c r="G1018" s="9"/>
      <c r="H1018" s="9"/>
      <c r="I1018" s="9"/>
      <c r="J1018" s="9"/>
      <c r="K1018" s="9"/>
      <c r="L1018" s="9"/>
      <c r="M1018" s="5"/>
      <c r="AJ1018" s="2"/>
    </row>
    <row r="1019" spans="1:36" x14ac:dyDescent="0.25">
      <c r="A1019" s="6">
        <v>41261</v>
      </c>
      <c r="B1019" s="7">
        <v>4.452</v>
      </c>
      <c r="C1019" s="9">
        <f t="shared" si="118"/>
        <v>1.4024206326218468E-2</v>
      </c>
      <c r="D1019" s="9">
        <f t="shared" si="119"/>
        <v>1.3668733107845568E-2</v>
      </c>
      <c r="E1019" s="9"/>
      <c r="F1019" s="9"/>
      <c r="G1019" s="9"/>
      <c r="H1019" s="9"/>
      <c r="I1019" s="9"/>
      <c r="J1019" s="9"/>
      <c r="K1019" s="9"/>
      <c r="L1019" s="9"/>
      <c r="M1019" s="5"/>
      <c r="AJ1019" s="2"/>
    </row>
    <row r="1020" spans="1:36" x14ac:dyDescent="0.25">
      <c r="A1020" s="6">
        <v>41262</v>
      </c>
      <c r="B1020" s="7">
        <v>4.5380000000000003</v>
      </c>
      <c r="C1020" s="9">
        <f t="shared" si="118"/>
        <v>1.9132952944351755E-2</v>
      </c>
      <c r="D1020" s="9">
        <f t="shared" si="119"/>
        <v>1.8777479725978853E-2</v>
      </c>
      <c r="E1020" s="9"/>
      <c r="F1020" s="9"/>
      <c r="G1020" s="9"/>
      <c r="H1020" s="9"/>
      <c r="I1020" s="9"/>
      <c r="J1020" s="9"/>
      <c r="K1020" s="9"/>
      <c r="L1020" s="9"/>
      <c r="M1020" s="5"/>
      <c r="AJ1020" s="2"/>
    </row>
    <row r="1021" spans="1:36" x14ac:dyDescent="0.25">
      <c r="A1021" s="6">
        <v>41263</v>
      </c>
      <c r="B1021" s="7">
        <v>4.6539999999999999</v>
      </c>
      <c r="C1021" s="9">
        <f t="shared" ref="C1021:C1084" si="120">LN(B1021/B1020)</f>
        <v>2.5240678522449874E-2</v>
      </c>
      <c r="D1021" s="9">
        <f t="shared" si="119"/>
        <v>2.4885205304076972E-2</v>
      </c>
      <c r="E1021" s="9"/>
      <c r="F1021" s="9"/>
      <c r="G1021" s="9"/>
      <c r="H1021" s="9"/>
      <c r="I1021" s="9"/>
      <c r="J1021" s="9"/>
      <c r="K1021" s="9"/>
      <c r="L1021" s="9"/>
      <c r="M1021" s="5"/>
      <c r="AJ1021" s="2"/>
    </row>
    <row r="1022" spans="1:36" x14ac:dyDescent="0.25">
      <c r="A1022" s="6">
        <v>41264</v>
      </c>
      <c r="B1022" s="7">
        <v>4.6020000000000003</v>
      </c>
      <c r="C1022" s="9">
        <f t="shared" si="120"/>
        <v>-1.1236073266925731E-2</v>
      </c>
      <c r="D1022" s="9">
        <f t="shared" si="119"/>
        <v>-1.1591546485298631E-2</v>
      </c>
      <c r="E1022" s="9"/>
      <c r="F1022" s="9"/>
      <c r="G1022" s="9"/>
      <c r="H1022" s="9"/>
      <c r="I1022" s="9"/>
      <c r="J1022" s="9"/>
      <c r="K1022" s="9"/>
      <c r="L1022" s="9"/>
      <c r="M1022" s="5"/>
      <c r="AJ1022" s="2"/>
    </row>
    <row r="1023" spans="1:36" x14ac:dyDescent="0.25">
      <c r="A1023" s="6">
        <v>41270</v>
      </c>
      <c r="B1023" s="7">
        <v>4.67</v>
      </c>
      <c r="C1023" s="9">
        <f t="shared" si="120"/>
        <v>1.4668080067631775E-2</v>
      </c>
      <c r="D1023" s="9">
        <f t="shared" si="119"/>
        <v>1.4312606849258875E-2</v>
      </c>
      <c r="E1023" s="9"/>
      <c r="F1023" s="9"/>
      <c r="G1023" s="9"/>
      <c r="H1023" s="9"/>
      <c r="I1023" s="9"/>
      <c r="J1023" s="9"/>
      <c r="K1023" s="9"/>
      <c r="L1023" s="9"/>
      <c r="M1023" s="5"/>
      <c r="AJ1023" s="2"/>
    </row>
    <row r="1024" spans="1:36" x14ac:dyDescent="0.25">
      <c r="A1024" s="6">
        <v>41271</v>
      </c>
      <c r="B1024" s="7">
        <v>4.6619999999999999</v>
      </c>
      <c r="C1024" s="9">
        <f t="shared" si="120"/>
        <v>-1.7145310672405669E-3</v>
      </c>
      <c r="D1024" s="9">
        <f t="shared" si="119"/>
        <v>-2.0700042856134668E-3</v>
      </c>
      <c r="E1024" s="9"/>
      <c r="F1024" s="9"/>
      <c r="G1024" s="9"/>
      <c r="H1024" s="9"/>
      <c r="I1024" s="9"/>
      <c r="J1024" s="9"/>
      <c r="K1024" s="9"/>
      <c r="L1024" s="9"/>
      <c r="M1024" s="5"/>
      <c r="AJ1024" s="2"/>
    </row>
    <row r="1025" spans="1:36" x14ac:dyDescent="0.25">
      <c r="A1025" s="6">
        <v>41276</v>
      </c>
      <c r="B1025" s="7">
        <v>4.8559999999999999</v>
      </c>
      <c r="C1025" s="9">
        <f t="shared" si="120"/>
        <v>4.0770513143631719E-2</v>
      </c>
      <c r="D1025" s="9">
        <f t="shared" si="119"/>
        <v>4.0415039925258821E-2</v>
      </c>
      <c r="E1025" s="9"/>
      <c r="F1025" s="9"/>
      <c r="G1025" s="9"/>
      <c r="H1025" s="9"/>
      <c r="I1025" s="9"/>
      <c r="J1025" s="9"/>
      <c r="K1025" s="9"/>
      <c r="L1025" s="9"/>
      <c r="M1025" s="5"/>
      <c r="AJ1025" s="2"/>
    </row>
    <row r="1026" spans="1:36" x14ac:dyDescent="0.25">
      <c r="A1026" s="6">
        <v>41277</v>
      </c>
      <c r="B1026" s="7">
        <v>4.8559999999999999</v>
      </c>
      <c r="C1026" s="9">
        <f t="shared" si="120"/>
        <v>0</v>
      </c>
      <c r="D1026" s="9">
        <f t="shared" si="119"/>
        <v>-3.5547321837289993E-4</v>
      </c>
      <c r="E1026" s="9"/>
      <c r="F1026" s="9"/>
      <c r="G1026" s="9"/>
      <c r="H1026" s="9"/>
      <c r="I1026" s="9"/>
      <c r="J1026" s="9"/>
      <c r="K1026" s="9"/>
      <c r="L1026" s="9"/>
      <c r="M1026" s="5"/>
      <c r="AJ1026" s="2"/>
    </row>
    <row r="1027" spans="1:36" x14ac:dyDescent="0.25">
      <c r="A1027" s="6">
        <v>41278</v>
      </c>
      <c r="B1027" s="7">
        <v>4.9459999999999997</v>
      </c>
      <c r="C1027" s="9">
        <f t="shared" si="120"/>
        <v>1.8364115342027393E-2</v>
      </c>
      <c r="D1027" s="9">
        <f t="shared" si="119"/>
        <v>1.8008642123654491E-2</v>
      </c>
      <c r="E1027" s="9"/>
      <c r="F1027" s="9"/>
      <c r="G1027" s="9"/>
      <c r="H1027" s="9"/>
      <c r="I1027" s="9"/>
      <c r="J1027" s="9"/>
      <c r="K1027" s="9"/>
      <c r="L1027" s="9"/>
      <c r="M1027" s="5"/>
      <c r="AJ1027" s="2"/>
    </row>
    <row r="1028" spans="1:36" x14ac:dyDescent="0.25">
      <c r="A1028" s="6">
        <v>41281</v>
      </c>
      <c r="B1028" s="7">
        <v>4.976</v>
      </c>
      <c r="C1028" s="9">
        <f t="shared" si="120"/>
        <v>6.0471863376540059E-3</v>
      </c>
      <c r="D1028" s="9">
        <f t="shared" si="119"/>
        <v>5.691713119281106E-3</v>
      </c>
      <c r="E1028" s="9"/>
      <c r="F1028" s="9"/>
      <c r="G1028" s="9"/>
      <c r="H1028" s="9"/>
      <c r="I1028" s="9"/>
      <c r="J1028" s="9"/>
      <c r="K1028" s="9"/>
      <c r="L1028" s="9"/>
      <c r="M1028" s="5"/>
      <c r="AJ1028" s="2"/>
    </row>
    <row r="1029" spans="1:36" x14ac:dyDescent="0.25">
      <c r="A1029" s="6">
        <v>41282</v>
      </c>
      <c r="B1029" s="7">
        <v>5.0999999999999996</v>
      </c>
      <c r="C1029" s="9">
        <f t="shared" si="120"/>
        <v>2.4614184293401797E-2</v>
      </c>
      <c r="D1029" s="9">
        <f t="shared" si="119"/>
        <v>2.4258711075028895E-2</v>
      </c>
      <c r="E1029" s="9"/>
      <c r="F1029" s="9"/>
      <c r="G1029" s="9"/>
      <c r="H1029" s="9"/>
      <c r="I1029" s="9"/>
      <c r="J1029" s="9"/>
      <c r="K1029" s="9"/>
      <c r="L1029" s="9"/>
      <c r="M1029" s="5"/>
      <c r="AJ1029" s="2"/>
    </row>
    <row r="1030" spans="1:36" x14ac:dyDescent="0.25">
      <c r="A1030" s="6">
        <v>41283</v>
      </c>
      <c r="B1030" s="7">
        <v>5.26</v>
      </c>
      <c r="C1030" s="9">
        <f t="shared" si="120"/>
        <v>3.0890487019338511E-2</v>
      </c>
      <c r="D1030" s="9">
        <f t="shared" si="119"/>
        <v>3.053501380096561E-2</v>
      </c>
      <c r="E1030" s="9"/>
      <c r="F1030" s="9"/>
      <c r="G1030" s="9"/>
      <c r="H1030" s="9"/>
      <c r="I1030" s="9"/>
      <c r="J1030" s="9"/>
      <c r="K1030" s="9"/>
      <c r="L1030" s="9"/>
      <c r="M1030" s="5"/>
      <c r="AJ1030" s="2"/>
    </row>
    <row r="1031" spans="1:36" x14ac:dyDescent="0.25">
      <c r="A1031" s="6">
        <v>41284</v>
      </c>
      <c r="B1031" s="7">
        <v>5.38</v>
      </c>
      <c r="C1031" s="9">
        <f t="shared" si="120"/>
        <v>2.2557347424074527E-2</v>
      </c>
      <c r="D1031" s="9">
        <f t="shared" si="119"/>
        <v>2.2201874205701626E-2</v>
      </c>
      <c r="E1031" s="9"/>
      <c r="F1031" s="9"/>
      <c r="G1031" s="9"/>
      <c r="H1031" s="9"/>
      <c r="I1031" s="9"/>
      <c r="J1031" s="9"/>
      <c r="K1031" s="9"/>
      <c r="L1031" s="9"/>
      <c r="M1031" s="5"/>
      <c r="AJ1031" s="2"/>
    </row>
    <row r="1032" spans="1:36" x14ac:dyDescent="0.25">
      <c r="A1032" s="6">
        <v>41285</v>
      </c>
      <c r="B1032" s="7">
        <v>5.45</v>
      </c>
      <c r="C1032" s="9">
        <f t="shared" si="120"/>
        <v>1.2927234501459755E-2</v>
      </c>
      <c r="D1032" s="9">
        <f t="shared" si="119"/>
        <v>1.2571761283086855E-2</v>
      </c>
      <c r="E1032" s="9"/>
      <c r="F1032" s="9"/>
      <c r="G1032" s="9"/>
      <c r="H1032" s="9"/>
      <c r="I1032" s="9"/>
      <c r="J1032" s="9"/>
      <c r="K1032" s="9"/>
      <c r="L1032" s="9"/>
      <c r="M1032" s="5"/>
      <c r="AJ1032" s="2"/>
    </row>
    <row r="1033" spans="1:36" x14ac:dyDescent="0.25">
      <c r="A1033" s="6">
        <v>41288</v>
      </c>
      <c r="B1033" s="7">
        <v>5.45</v>
      </c>
      <c r="C1033" s="9">
        <f t="shared" si="120"/>
        <v>0</v>
      </c>
      <c r="D1033" s="9">
        <f t="shared" si="119"/>
        <v>-3.5547321837289993E-4</v>
      </c>
      <c r="E1033" s="9"/>
      <c r="F1033" s="9"/>
      <c r="G1033" s="9"/>
      <c r="H1033" s="9"/>
      <c r="I1033" s="9"/>
      <c r="J1033" s="9"/>
      <c r="K1033" s="9"/>
      <c r="L1033" s="9"/>
      <c r="M1033" s="5"/>
      <c r="AJ1033" s="2"/>
    </row>
    <row r="1034" spans="1:36" x14ac:dyDescent="0.25">
      <c r="A1034" s="6">
        <v>41289</v>
      </c>
      <c r="B1034" s="7">
        <v>5.43</v>
      </c>
      <c r="C1034" s="9">
        <f t="shared" si="120"/>
        <v>-3.6764747293087483E-3</v>
      </c>
      <c r="D1034" s="9">
        <f t="shared" si="119"/>
        <v>-4.0319479476816486E-3</v>
      </c>
      <c r="E1034" s="9"/>
      <c r="F1034" s="9"/>
      <c r="G1034" s="9"/>
      <c r="H1034" s="9"/>
      <c r="I1034" s="9"/>
      <c r="J1034" s="9"/>
      <c r="K1034" s="9"/>
      <c r="L1034" s="9"/>
      <c r="M1034" s="5"/>
      <c r="AJ1034" s="2"/>
    </row>
    <row r="1035" spans="1:36" x14ac:dyDescent="0.25">
      <c r="A1035" s="6">
        <v>41290</v>
      </c>
      <c r="B1035" s="7">
        <v>5.2549999999999999</v>
      </c>
      <c r="C1035" s="9">
        <f t="shared" si="120"/>
        <v>-3.2759129616929596E-2</v>
      </c>
      <c r="D1035" s="9">
        <f t="shared" si="119"/>
        <v>-3.3114602835302494E-2</v>
      </c>
      <c r="E1035" s="9"/>
      <c r="F1035" s="9"/>
      <c r="G1035" s="9"/>
      <c r="H1035" s="9"/>
      <c r="I1035" s="9"/>
      <c r="J1035" s="9"/>
      <c r="K1035" s="9"/>
      <c r="L1035" s="9"/>
      <c r="M1035" s="5"/>
      <c r="AJ1035" s="2"/>
    </row>
    <row r="1036" spans="1:36" x14ac:dyDescent="0.25">
      <c r="A1036" s="6">
        <v>41291</v>
      </c>
      <c r="B1036" s="7">
        <v>5.41</v>
      </c>
      <c r="C1036" s="9">
        <f t="shared" si="120"/>
        <v>2.9069088529475765E-2</v>
      </c>
      <c r="D1036" s="9">
        <f t="shared" si="119"/>
        <v>2.8713615311102864E-2</v>
      </c>
      <c r="E1036" s="9"/>
      <c r="F1036" s="9"/>
      <c r="G1036" s="9"/>
      <c r="H1036" s="9"/>
      <c r="I1036" s="9"/>
      <c r="J1036" s="9"/>
      <c r="K1036" s="9"/>
      <c r="L1036" s="9"/>
      <c r="M1036" s="5"/>
      <c r="AJ1036" s="2"/>
    </row>
    <row r="1037" spans="1:36" x14ac:dyDescent="0.25">
      <c r="A1037" s="6">
        <v>41292</v>
      </c>
      <c r="B1037" s="7">
        <v>5.3650000000000002</v>
      </c>
      <c r="C1037" s="9">
        <f t="shared" si="120"/>
        <v>-8.3527167757283544E-3</v>
      </c>
      <c r="D1037" s="9">
        <f t="shared" si="119"/>
        <v>-8.7081899941012543E-3</v>
      </c>
      <c r="E1037" s="9"/>
      <c r="F1037" s="9"/>
      <c r="G1037" s="9"/>
      <c r="H1037" s="9"/>
      <c r="I1037" s="9"/>
      <c r="J1037" s="9"/>
      <c r="K1037" s="9"/>
      <c r="L1037" s="9"/>
      <c r="M1037" s="5"/>
      <c r="AJ1037" s="2"/>
    </row>
    <row r="1038" spans="1:36" x14ac:dyDescent="0.25">
      <c r="A1038" s="6">
        <v>41295</v>
      </c>
      <c r="B1038" s="7">
        <v>5.39</v>
      </c>
      <c r="C1038" s="9">
        <f t="shared" si="120"/>
        <v>4.6490088382437926E-3</v>
      </c>
      <c r="D1038" s="9">
        <f t="shared" si="119"/>
        <v>4.2935356198708927E-3</v>
      </c>
      <c r="E1038" s="9"/>
      <c r="F1038" s="9"/>
      <c r="G1038" s="9"/>
      <c r="H1038" s="9"/>
      <c r="I1038" s="9"/>
      <c r="J1038" s="9"/>
      <c r="K1038" s="9"/>
      <c r="L1038" s="9"/>
      <c r="M1038" s="5"/>
      <c r="AJ1038" s="2"/>
    </row>
    <row r="1039" spans="1:36" x14ac:dyDescent="0.25">
      <c r="A1039" s="6">
        <v>41296</v>
      </c>
      <c r="B1039" s="7">
        <v>5.39</v>
      </c>
      <c r="C1039" s="9">
        <f t="shared" si="120"/>
        <v>0</v>
      </c>
      <c r="D1039" s="9">
        <f t="shared" si="119"/>
        <v>-3.5547321837289993E-4</v>
      </c>
      <c r="E1039" s="9"/>
      <c r="F1039" s="9"/>
      <c r="G1039" s="9"/>
      <c r="H1039" s="9"/>
      <c r="I1039" s="9"/>
      <c r="J1039" s="9"/>
      <c r="K1039" s="9"/>
      <c r="L1039" s="9"/>
      <c r="M1039" s="5"/>
      <c r="AJ1039" s="2"/>
    </row>
    <row r="1040" spans="1:36" x14ac:dyDescent="0.25">
      <c r="A1040" s="6">
        <v>41297</v>
      </c>
      <c r="B1040" s="7">
        <v>5.35</v>
      </c>
      <c r="C1040" s="9">
        <f t="shared" si="120"/>
        <v>-7.4488240129906248E-3</v>
      </c>
      <c r="D1040" s="9">
        <f t="shared" si="119"/>
        <v>-7.8042972313635247E-3</v>
      </c>
      <c r="E1040" s="9"/>
      <c r="F1040" s="9"/>
      <c r="G1040" s="9"/>
      <c r="H1040" s="9"/>
      <c r="I1040" s="9"/>
      <c r="J1040" s="9"/>
      <c r="K1040" s="9"/>
      <c r="L1040" s="9"/>
      <c r="M1040" s="5"/>
      <c r="AJ1040" s="2"/>
    </row>
    <row r="1041" spans="1:36" x14ac:dyDescent="0.25">
      <c r="A1041" s="6">
        <v>41298</v>
      </c>
      <c r="B1041" s="7">
        <v>5.49</v>
      </c>
      <c r="C1041" s="9">
        <f t="shared" si="120"/>
        <v>2.5831694613524175E-2</v>
      </c>
      <c r="D1041" s="9">
        <f t="shared" si="119"/>
        <v>2.5476221395151273E-2</v>
      </c>
      <c r="E1041" s="9"/>
      <c r="F1041" s="9"/>
      <c r="G1041" s="9"/>
      <c r="H1041" s="9"/>
      <c r="I1041" s="9"/>
      <c r="J1041" s="9"/>
      <c r="K1041" s="9"/>
      <c r="L1041" s="9"/>
      <c r="M1041" s="5"/>
      <c r="AJ1041" s="2"/>
    </row>
    <row r="1042" spans="1:36" x14ac:dyDescent="0.25">
      <c r="A1042" s="6">
        <v>41299</v>
      </c>
      <c r="B1042" s="7">
        <v>5.49</v>
      </c>
      <c r="C1042" s="9">
        <f t="shared" si="120"/>
        <v>0</v>
      </c>
      <c r="D1042" s="9">
        <f t="shared" si="119"/>
        <v>-3.5547321837289993E-4</v>
      </c>
      <c r="E1042" s="9"/>
      <c r="F1042" s="9"/>
      <c r="G1042" s="9"/>
      <c r="H1042" s="9"/>
      <c r="I1042" s="9"/>
      <c r="J1042" s="9"/>
      <c r="K1042" s="9"/>
      <c r="L1042" s="9"/>
      <c r="M1042" s="5"/>
      <c r="AJ1042" s="2"/>
    </row>
    <row r="1043" spans="1:36" x14ac:dyDescent="0.25">
      <c r="A1043" s="6">
        <v>41302</v>
      </c>
      <c r="B1043" s="7">
        <v>5.5949999999999998</v>
      </c>
      <c r="C1043" s="9">
        <f t="shared" si="120"/>
        <v>1.8945086242449203E-2</v>
      </c>
      <c r="D1043" s="9">
        <f t="shared" si="119"/>
        <v>1.8589613024076301E-2</v>
      </c>
      <c r="E1043" s="9"/>
      <c r="F1043" s="9"/>
      <c r="G1043" s="9"/>
      <c r="H1043" s="9"/>
      <c r="I1043" s="9"/>
      <c r="J1043" s="9"/>
      <c r="K1043" s="9"/>
      <c r="L1043" s="9"/>
      <c r="M1043" s="5"/>
      <c r="AJ1043" s="2"/>
    </row>
    <row r="1044" spans="1:36" x14ac:dyDescent="0.25">
      <c r="A1044" s="6">
        <v>41303</v>
      </c>
      <c r="B1044" s="7">
        <v>5.5600000000000005</v>
      </c>
      <c r="C1044" s="9">
        <f t="shared" si="120"/>
        <v>-6.2752335013973653E-3</v>
      </c>
      <c r="D1044" s="9">
        <f t="shared" si="119"/>
        <v>-6.6307067197702652E-3</v>
      </c>
      <c r="E1044" s="9"/>
      <c r="F1044" s="9"/>
      <c r="G1044" s="9"/>
      <c r="H1044" s="9"/>
      <c r="I1044" s="9"/>
      <c r="J1044" s="9"/>
      <c r="K1044" s="9"/>
      <c r="L1044" s="9"/>
      <c r="M1044" s="5"/>
      <c r="AJ1044" s="2"/>
    </row>
    <row r="1045" spans="1:36" x14ac:dyDescent="0.25">
      <c r="A1045" s="6">
        <v>41304</v>
      </c>
      <c r="B1045" s="7">
        <v>5.4249999999999998</v>
      </c>
      <c r="C1045" s="9">
        <f t="shared" si="120"/>
        <v>-2.4580208835967832E-2</v>
      </c>
      <c r="D1045" s="9">
        <f t="shared" ref="D1045:D1108" si="121">C1045-$C$59/252</f>
        <v>-2.4935682054340734E-2</v>
      </c>
      <c r="E1045" s="9"/>
      <c r="F1045" s="9"/>
      <c r="G1045" s="9"/>
      <c r="H1045" s="9"/>
      <c r="I1045" s="9"/>
      <c r="J1045" s="9"/>
      <c r="K1045" s="9"/>
      <c r="L1045" s="9"/>
      <c r="M1045" s="5"/>
      <c r="AJ1045" s="2"/>
    </row>
    <row r="1046" spans="1:36" x14ac:dyDescent="0.25">
      <c r="A1046" s="6">
        <v>41305</v>
      </c>
      <c r="B1046" s="7">
        <v>5.415</v>
      </c>
      <c r="C1046" s="9">
        <f t="shared" si="120"/>
        <v>-1.8450189735692395E-3</v>
      </c>
      <c r="D1046" s="9">
        <f t="shared" si="121"/>
        <v>-2.2004921919421393E-3</v>
      </c>
      <c r="E1046" s="9"/>
      <c r="F1046" s="9"/>
      <c r="G1046" s="9"/>
      <c r="H1046" s="9"/>
      <c r="I1046" s="9"/>
      <c r="J1046" s="9"/>
      <c r="K1046" s="9"/>
      <c r="L1046" s="9"/>
      <c r="M1046" s="5"/>
      <c r="AJ1046" s="2"/>
    </row>
    <row r="1047" spans="1:36" x14ac:dyDescent="0.25">
      <c r="A1047" s="6">
        <v>41306</v>
      </c>
      <c r="B1047" s="7">
        <v>5.3949999999999996</v>
      </c>
      <c r="C1047" s="9">
        <f t="shared" si="120"/>
        <v>-3.7002817428560281E-3</v>
      </c>
      <c r="D1047" s="9">
        <f t="shared" si="121"/>
        <v>-4.055754961228928E-3</v>
      </c>
      <c r="E1047" s="9"/>
      <c r="F1047" s="9"/>
      <c r="G1047" s="9"/>
      <c r="H1047" s="9"/>
      <c r="I1047" s="9"/>
      <c r="J1047" s="9"/>
      <c r="K1047" s="9"/>
      <c r="L1047" s="9"/>
      <c r="M1047" s="5"/>
      <c r="AJ1047" s="2"/>
    </row>
    <row r="1048" spans="1:36" x14ac:dyDescent="0.25">
      <c r="A1048" s="6">
        <v>41309</v>
      </c>
      <c r="B1048" s="7">
        <v>5.08</v>
      </c>
      <c r="C1048" s="9">
        <f t="shared" si="120"/>
        <v>-6.0161337119707316E-2</v>
      </c>
      <c r="D1048" s="9">
        <f t="shared" si="121"/>
        <v>-6.0516810338080214E-2</v>
      </c>
      <c r="E1048" s="9"/>
      <c r="F1048" s="9"/>
      <c r="G1048" s="9"/>
      <c r="H1048" s="9"/>
      <c r="I1048" s="9"/>
      <c r="J1048" s="9"/>
      <c r="K1048" s="9"/>
      <c r="L1048" s="9"/>
      <c r="M1048" s="5"/>
      <c r="AJ1048" s="2"/>
    </row>
    <row r="1049" spans="1:36" x14ac:dyDescent="0.25">
      <c r="A1049" s="6">
        <v>41310</v>
      </c>
      <c r="B1049" s="7">
        <v>5.1550000000000002</v>
      </c>
      <c r="C1049" s="9">
        <f t="shared" si="120"/>
        <v>1.4655855878532699E-2</v>
      </c>
      <c r="D1049" s="9">
        <f t="shared" si="121"/>
        <v>1.4300382660159799E-2</v>
      </c>
      <c r="E1049" s="9"/>
      <c r="F1049" s="9"/>
      <c r="G1049" s="9"/>
      <c r="H1049" s="9"/>
      <c r="I1049" s="9"/>
      <c r="J1049" s="9"/>
      <c r="K1049" s="9"/>
      <c r="L1049" s="9"/>
      <c r="M1049" s="5"/>
      <c r="AJ1049" s="2"/>
    </row>
    <row r="1050" spans="1:36" x14ac:dyDescent="0.25">
      <c r="A1050" s="6">
        <v>41311</v>
      </c>
      <c r="B1050" s="7">
        <v>4.9559999999999995</v>
      </c>
      <c r="C1050" s="9">
        <f t="shared" si="120"/>
        <v>-3.9368153702027356E-2</v>
      </c>
      <c r="D1050" s="9">
        <f t="shared" si="121"/>
        <v>-3.9723626920400254E-2</v>
      </c>
      <c r="E1050" s="9"/>
      <c r="F1050" s="9"/>
      <c r="G1050" s="9"/>
      <c r="H1050" s="9"/>
      <c r="I1050" s="9"/>
      <c r="J1050" s="9"/>
      <c r="K1050" s="9"/>
      <c r="L1050" s="9"/>
      <c r="M1050" s="5"/>
      <c r="AJ1050" s="2"/>
    </row>
    <row r="1051" spans="1:36" x14ac:dyDescent="0.25">
      <c r="A1051" s="6">
        <v>41312</v>
      </c>
      <c r="B1051" s="7">
        <v>4.9359999999999999</v>
      </c>
      <c r="C1051" s="9">
        <f t="shared" si="120"/>
        <v>-4.0436771638092542E-3</v>
      </c>
      <c r="D1051" s="9">
        <f t="shared" si="121"/>
        <v>-4.3991503821821541E-3</v>
      </c>
      <c r="E1051" s="9"/>
      <c r="F1051" s="9"/>
      <c r="G1051" s="9"/>
      <c r="H1051" s="9"/>
      <c r="I1051" s="9"/>
      <c r="J1051" s="9"/>
      <c r="K1051" s="9"/>
      <c r="L1051" s="9"/>
      <c r="M1051" s="5"/>
      <c r="AJ1051" s="2"/>
    </row>
    <row r="1052" spans="1:36" x14ac:dyDescent="0.25">
      <c r="A1052" s="6">
        <v>41313</v>
      </c>
      <c r="B1052" s="7">
        <v>5.1349999999999998</v>
      </c>
      <c r="C1052" s="9">
        <f t="shared" si="120"/>
        <v>3.9524556777434744E-2</v>
      </c>
      <c r="D1052" s="9">
        <f t="shared" si="121"/>
        <v>3.9169083559061846E-2</v>
      </c>
      <c r="E1052" s="9"/>
      <c r="F1052" s="9"/>
      <c r="G1052" s="9"/>
      <c r="H1052" s="9"/>
      <c r="I1052" s="9"/>
      <c r="J1052" s="9"/>
      <c r="K1052" s="9"/>
      <c r="L1052" s="9"/>
      <c r="M1052" s="5"/>
      <c r="AJ1052" s="2"/>
    </row>
    <row r="1053" spans="1:36" x14ac:dyDescent="0.25">
      <c r="A1053" s="6">
        <v>41316</v>
      </c>
      <c r="B1053" s="7">
        <v>5.27</v>
      </c>
      <c r="C1053" s="9">
        <f t="shared" si="120"/>
        <v>2.595051917274931E-2</v>
      </c>
      <c r="D1053" s="9">
        <f t="shared" si="121"/>
        <v>2.5595045954376408E-2</v>
      </c>
      <c r="E1053" s="9"/>
      <c r="F1053" s="9"/>
      <c r="G1053" s="9"/>
      <c r="H1053" s="9"/>
      <c r="I1053" s="9"/>
      <c r="J1053" s="9"/>
      <c r="K1053" s="9"/>
      <c r="L1053" s="9"/>
      <c r="M1053" s="5"/>
      <c r="AJ1053" s="2"/>
    </row>
    <row r="1054" spans="1:36" x14ac:dyDescent="0.25">
      <c r="A1054" s="6">
        <v>41317</v>
      </c>
      <c r="B1054" s="7">
        <v>5.3</v>
      </c>
      <c r="C1054" s="9">
        <f t="shared" si="120"/>
        <v>5.6764580048053424E-3</v>
      </c>
      <c r="D1054" s="9">
        <f t="shared" si="121"/>
        <v>5.3209847864324426E-3</v>
      </c>
      <c r="E1054" s="9"/>
      <c r="F1054" s="9"/>
      <c r="G1054" s="9"/>
      <c r="H1054" s="9"/>
      <c r="I1054" s="9"/>
      <c r="J1054" s="9"/>
      <c r="K1054" s="9"/>
      <c r="L1054" s="9"/>
      <c r="M1054" s="5"/>
      <c r="AJ1054" s="2"/>
    </row>
    <row r="1055" spans="1:36" x14ac:dyDescent="0.25">
      <c r="A1055" s="6">
        <v>41318</v>
      </c>
      <c r="B1055" s="7">
        <v>5.35</v>
      </c>
      <c r="C1055" s="9">
        <f t="shared" si="120"/>
        <v>9.3897403498389171E-3</v>
      </c>
      <c r="D1055" s="9">
        <f t="shared" si="121"/>
        <v>9.0342671314660172E-3</v>
      </c>
      <c r="E1055" s="9"/>
      <c r="F1055" s="9"/>
      <c r="G1055" s="9"/>
      <c r="H1055" s="9"/>
      <c r="I1055" s="9"/>
      <c r="J1055" s="9"/>
      <c r="K1055" s="9"/>
      <c r="L1055" s="9"/>
      <c r="M1055" s="5"/>
      <c r="AJ1055" s="2"/>
    </row>
    <row r="1056" spans="1:36" x14ac:dyDescent="0.25">
      <c r="A1056" s="6">
        <v>41319</v>
      </c>
      <c r="B1056" s="7">
        <v>5.49</v>
      </c>
      <c r="C1056" s="9">
        <f t="shared" si="120"/>
        <v>2.5831694613524175E-2</v>
      </c>
      <c r="D1056" s="9">
        <f t="shared" si="121"/>
        <v>2.5476221395151273E-2</v>
      </c>
      <c r="E1056" s="9"/>
      <c r="F1056" s="9"/>
      <c r="G1056" s="9"/>
      <c r="H1056" s="9"/>
      <c r="I1056" s="9"/>
      <c r="J1056" s="9"/>
      <c r="K1056" s="9"/>
      <c r="L1056" s="9"/>
      <c r="M1056" s="5"/>
      <c r="AJ1056" s="2"/>
    </row>
    <row r="1057" spans="1:36" x14ac:dyDescent="0.25">
      <c r="A1057" s="6">
        <v>41320</v>
      </c>
      <c r="B1057" s="7">
        <v>5.3650000000000002</v>
      </c>
      <c r="C1057" s="9">
        <f t="shared" si="120"/>
        <v>-2.3031879438777457E-2</v>
      </c>
      <c r="D1057" s="9">
        <f t="shared" si="121"/>
        <v>-2.3387352657150359E-2</v>
      </c>
      <c r="E1057" s="9"/>
      <c r="F1057" s="9"/>
      <c r="G1057" s="9"/>
      <c r="H1057" s="9"/>
      <c r="I1057" s="9"/>
      <c r="J1057" s="9"/>
      <c r="K1057" s="9"/>
      <c r="L1057" s="9"/>
      <c r="M1057" s="5"/>
      <c r="AJ1057" s="2"/>
    </row>
    <row r="1058" spans="1:36" x14ac:dyDescent="0.25">
      <c r="A1058" s="6">
        <v>41323</v>
      </c>
      <c r="B1058" s="7">
        <v>5.43</v>
      </c>
      <c r="C1058" s="9">
        <f t="shared" si="120"/>
        <v>1.2042757863182199E-2</v>
      </c>
      <c r="D1058" s="9">
        <f t="shared" si="121"/>
        <v>1.1687284644809299E-2</v>
      </c>
      <c r="E1058" s="9"/>
      <c r="F1058" s="9"/>
      <c r="G1058" s="9"/>
      <c r="H1058" s="9"/>
      <c r="I1058" s="9"/>
      <c r="J1058" s="9"/>
      <c r="K1058" s="9"/>
      <c r="L1058" s="9"/>
      <c r="M1058" s="5"/>
      <c r="AJ1058" s="2"/>
    </row>
    <row r="1059" spans="1:36" x14ac:dyDescent="0.25">
      <c r="A1059" s="6">
        <v>41324</v>
      </c>
      <c r="B1059" s="7">
        <v>5.4450000000000003</v>
      </c>
      <c r="C1059" s="9">
        <f t="shared" si="120"/>
        <v>2.7586224390798823E-3</v>
      </c>
      <c r="D1059" s="9">
        <f t="shared" si="121"/>
        <v>2.4031492207069825E-3</v>
      </c>
      <c r="E1059" s="9"/>
      <c r="F1059" s="9"/>
      <c r="G1059" s="9"/>
      <c r="H1059" s="9"/>
      <c r="I1059" s="9"/>
      <c r="J1059" s="9"/>
      <c r="K1059" s="9"/>
      <c r="L1059" s="9"/>
      <c r="M1059" s="5"/>
      <c r="AJ1059" s="2"/>
    </row>
    <row r="1060" spans="1:36" x14ac:dyDescent="0.25">
      <c r="A1060" s="6">
        <v>41325</v>
      </c>
      <c r="B1060" s="7">
        <v>5.4349999999999996</v>
      </c>
      <c r="C1060" s="9">
        <f t="shared" si="120"/>
        <v>-1.8382358117511204E-3</v>
      </c>
      <c r="D1060" s="9">
        <f t="shared" si="121"/>
        <v>-2.1937090301240203E-3</v>
      </c>
      <c r="E1060" s="9"/>
      <c r="F1060" s="9"/>
      <c r="G1060" s="9"/>
      <c r="H1060" s="9"/>
      <c r="I1060" s="9"/>
      <c r="J1060" s="9"/>
      <c r="K1060" s="9"/>
      <c r="L1060" s="9"/>
      <c r="M1060" s="5"/>
      <c r="AJ1060" s="2"/>
    </row>
    <row r="1061" spans="1:36" x14ac:dyDescent="0.25">
      <c r="A1061" s="6">
        <v>41326</v>
      </c>
      <c r="B1061" s="7">
        <v>5.22</v>
      </c>
      <c r="C1061" s="9">
        <f t="shared" si="120"/>
        <v>-4.0362118678625436E-2</v>
      </c>
      <c r="D1061" s="9">
        <f t="shared" si="121"/>
        <v>-4.0717591896998334E-2</v>
      </c>
      <c r="E1061" s="9"/>
      <c r="F1061" s="9"/>
      <c r="G1061" s="9"/>
      <c r="H1061" s="9"/>
      <c r="I1061" s="9"/>
      <c r="J1061" s="9"/>
      <c r="K1061" s="9"/>
      <c r="L1061" s="9"/>
      <c r="M1061" s="5"/>
      <c r="AJ1061" s="2"/>
    </row>
    <row r="1062" spans="1:36" x14ac:dyDescent="0.25">
      <c r="A1062" s="6">
        <v>41327</v>
      </c>
      <c r="B1062" s="7">
        <v>5.2249999999999996</v>
      </c>
      <c r="C1062" s="9">
        <f t="shared" si="120"/>
        <v>9.5739595632724698E-4</v>
      </c>
      <c r="D1062" s="9">
        <f t="shared" si="121"/>
        <v>6.0192273795434711E-4</v>
      </c>
      <c r="E1062" s="9"/>
      <c r="F1062" s="9"/>
      <c r="G1062" s="9"/>
      <c r="H1062" s="9"/>
      <c r="I1062" s="9"/>
      <c r="J1062" s="9"/>
      <c r="K1062" s="9"/>
      <c r="L1062" s="9"/>
      <c r="M1062" s="5"/>
      <c r="AJ1062" s="2"/>
    </row>
    <row r="1063" spans="1:36" x14ac:dyDescent="0.25">
      <c r="A1063" s="6">
        <v>41330</v>
      </c>
      <c r="B1063" s="7">
        <v>5.3150000000000004</v>
      </c>
      <c r="C1063" s="9">
        <f t="shared" si="120"/>
        <v>1.7078213943036682E-2</v>
      </c>
      <c r="D1063" s="9">
        <f t="shared" si="121"/>
        <v>1.672274072466378E-2</v>
      </c>
      <c r="E1063" s="9"/>
      <c r="F1063" s="9"/>
      <c r="G1063" s="9"/>
      <c r="H1063" s="9"/>
      <c r="I1063" s="9"/>
      <c r="J1063" s="9"/>
      <c r="K1063" s="9"/>
      <c r="L1063" s="9"/>
      <c r="M1063" s="5"/>
      <c r="AJ1063" s="2"/>
    </row>
    <row r="1064" spans="1:36" x14ac:dyDescent="0.25">
      <c r="A1064" s="6">
        <v>41331</v>
      </c>
      <c r="B1064" s="7">
        <v>4.8559999999999999</v>
      </c>
      <c r="C1064" s="9">
        <f t="shared" si="120"/>
        <v>-9.0317958036714177E-2</v>
      </c>
      <c r="D1064" s="9">
        <f t="shared" si="121"/>
        <v>-9.0673431255087075E-2</v>
      </c>
      <c r="E1064" s="9"/>
      <c r="F1064" s="9"/>
      <c r="G1064" s="9"/>
      <c r="H1064" s="9"/>
      <c r="I1064" s="9"/>
      <c r="J1064" s="9"/>
      <c r="K1064" s="9"/>
      <c r="L1064" s="9"/>
      <c r="M1064" s="5"/>
      <c r="AJ1064" s="2"/>
    </row>
    <row r="1065" spans="1:36" x14ac:dyDescent="0.25">
      <c r="A1065" s="6">
        <v>41332</v>
      </c>
      <c r="B1065" s="7">
        <v>4.75</v>
      </c>
      <c r="C1065" s="9">
        <f t="shared" si="120"/>
        <v>-2.2070435710647311E-2</v>
      </c>
      <c r="D1065" s="9">
        <f t="shared" si="121"/>
        <v>-2.2425908929020213E-2</v>
      </c>
      <c r="E1065" s="9"/>
      <c r="F1065" s="9"/>
      <c r="G1065" s="9"/>
      <c r="H1065" s="9"/>
      <c r="I1065" s="9"/>
      <c r="J1065" s="9"/>
      <c r="K1065" s="9"/>
      <c r="L1065" s="9"/>
      <c r="M1065" s="5"/>
      <c r="AJ1065" s="2"/>
    </row>
    <row r="1066" spans="1:36" x14ac:dyDescent="0.25">
      <c r="A1066" s="6">
        <v>41333</v>
      </c>
      <c r="B1066" s="7">
        <v>4.6580000000000004</v>
      </c>
      <c r="C1066" s="9">
        <f t="shared" si="120"/>
        <v>-1.9558446584400487E-2</v>
      </c>
      <c r="D1066" s="9">
        <f t="shared" si="121"/>
        <v>-1.9913919802773388E-2</v>
      </c>
      <c r="E1066" s="9"/>
      <c r="F1066" s="9"/>
      <c r="G1066" s="9"/>
      <c r="H1066" s="9"/>
      <c r="I1066" s="9"/>
      <c r="J1066" s="9"/>
      <c r="K1066" s="9"/>
      <c r="L1066" s="9"/>
      <c r="M1066" s="5"/>
      <c r="AJ1066" s="2"/>
    </row>
    <row r="1067" spans="1:36" x14ac:dyDescent="0.25">
      <c r="A1067" s="6">
        <v>41334</v>
      </c>
      <c r="B1067" s="7">
        <v>4.492</v>
      </c>
      <c r="C1067" s="9">
        <f t="shared" si="120"/>
        <v>-3.6288134585952626E-2</v>
      </c>
      <c r="D1067" s="9">
        <f t="shared" si="121"/>
        <v>-3.6643607804325525E-2</v>
      </c>
      <c r="E1067" s="9"/>
      <c r="F1067" s="9"/>
      <c r="G1067" s="9"/>
      <c r="H1067" s="9"/>
      <c r="I1067" s="9"/>
      <c r="J1067" s="9"/>
      <c r="K1067" s="9"/>
      <c r="L1067" s="9"/>
      <c r="M1067" s="5"/>
      <c r="AJ1067" s="2"/>
    </row>
    <row r="1068" spans="1:36" x14ac:dyDescent="0.25">
      <c r="A1068" s="6">
        <v>41337</v>
      </c>
      <c r="B1068" s="7">
        <v>4.282</v>
      </c>
      <c r="C1068" s="9">
        <f t="shared" si="120"/>
        <v>-4.7877846708705693E-2</v>
      </c>
      <c r="D1068" s="9">
        <f t="shared" si="121"/>
        <v>-4.8233319927078591E-2</v>
      </c>
      <c r="E1068" s="9"/>
      <c r="F1068" s="9"/>
      <c r="G1068" s="9"/>
      <c r="H1068" s="9"/>
      <c r="I1068" s="9"/>
      <c r="J1068" s="9"/>
      <c r="K1068" s="9"/>
      <c r="L1068" s="9"/>
      <c r="M1068" s="5"/>
      <c r="AJ1068" s="2"/>
    </row>
    <row r="1069" spans="1:36" x14ac:dyDescent="0.25">
      <c r="A1069" s="6">
        <v>41338</v>
      </c>
      <c r="B1069" s="7">
        <v>4.5460000000000003</v>
      </c>
      <c r="C1069" s="9">
        <f t="shared" si="120"/>
        <v>5.9827535262860367E-2</v>
      </c>
      <c r="D1069" s="9">
        <f t="shared" si="121"/>
        <v>5.9472062044487468E-2</v>
      </c>
      <c r="E1069" s="9"/>
      <c r="F1069" s="9"/>
      <c r="G1069" s="9"/>
      <c r="H1069" s="9"/>
      <c r="I1069" s="9"/>
      <c r="J1069" s="9"/>
      <c r="K1069" s="9"/>
      <c r="L1069" s="9"/>
      <c r="M1069" s="5"/>
      <c r="AJ1069" s="2"/>
    </row>
    <row r="1070" spans="1:36" x14ac:dyDescent="0.25">
      <c r="A1070" s="6">
        <v>41339</v>
      </c>
      <c r="B1070" s="7">
        <v>4.5280000000000005</v>
      </c>
      <c r="C1070" s="9">
        <f t="shared" si="120"/>
        <v>-3.9673845294696105E-3</v>
      </c>
      <c r="D1070" s="9">
        <f t="shared" si="121"/>
        <v>-4.3228577478425104E-3</v>
      </c>
      <c r="E1070" s="9"/>
      <c r="F1070" s="9"/>
      <c r="G1070" s="9"/>
      <c r="H1070" s="9"/>
      <c r="I1070" s="9"/>
      <c r="J1070" s="9"/>
      <c r="K1070" s="9"/>
      <c r="L1070" s="9"/>
      <c r="M1070" s="5"/>
      <c r="AJ1070" s="2"/>
    </row>
    <row r="1071" spans="1:36" x14ac:dyDescent="0.25">
      <c r="A1071" s="6">
        <v>41340</v>
      </c>
      <c r="B1071" s="7">
        <v>4.5060000000000002</v>
      </c>
      <c r="C1071" s="9">
        <f t="shared" si="120"/>
        <v>-4.8704988908291518E-3</v>
      </c>
      <c r="D1071" s="9">
        <f t="shared" si="121"/>
        <v>-5.2259721092020517E-3</v>
      </c>
      <c r="E1071" s="9"/>
      <c r="F1071" s="9"/>
      <c r="G1071" s="9"/>
      <c r="H1071" s="9"/>
      <c r="I1071" s="9"/>
      <c r="J1071" s="9"/>
      <c r="K1071" s="9"/>
      <c r="L1071" s="9"/>
      <c r="M1071" s="5"/>
      <c r="AJ1071" s="2"/>
    </row>
    <row r="1072" spans="1:36" x14ac:dyDescent="0.25">
      <c r="A1072" s="6">
        <v>41341</v>
      </c>
      <c r="B1072" s="7">
        <v>4.6820000000000004</v>
      </c>
      <c r="C1072" s="9">
        <f t="shared" si="120"/>
        <v>3.8315527058666296E-2</v>
      </c>
      <c r="D1072" s="9">
        <f t="shared" si="121"/>
        <v>3.7960053840293398E-2</v>
      </c>
      <c r="E1072" s="9"/>
      <c r="F1072" s="9"/>
      <c r="G1072" s="9"/>
      <c r="H1072" s="9"/>
      <c r="I1072" s="9"/>
      <c r="J1072" s="9"/>
      <c r="K1072" s="9"/>
      <c r="L1072" s="9"/>
      <c r="M1072" s="5"/>
      <c r="AJ1072" s="2"/>
    </row>
    <row r="1073" spans="1:36" x14ac:dyDescent="0.25">
      <c r="A1073" s="6">
        <v>41344</v>
      </c>
      <c r="B1073" s="7">
        <v>4.4379999999999997</v>
      </c>
      <c r="C1073" s="9">
        <f t="shared" si="120"/>
        <v>-5.352154455831705E-2</v>
      </c>
      <c r="D1073" s="9">
        <f t="shared" si="121"/>
        <v>-5.3877017776689948E-2</v>
      </c>
      <c r="E1073" s="9"/>
      <c r="F1073" s="9"/>
      <c r="G1073" s="9"/>
      <c r="H1073" s="9"/>
      <c r="I1073" s="9"/>
      <c r="J1073" s="9"/>
      <c r="K1073" s="9"/>
      <c r="L1073" s="9"/>
      <c r="M1073" s="5"/>
      <c r="AJ1073" s="2"/>
    </row>
    <row r="1074" spans="1:36" x14ac:dyDescent="0.25">
      <c r="A1074" s="6">
        <v>41345</v>
      </c>
      <c r="B1074" s="7">
        <v>4.3520000000000003</v>
      </c>
      <c r="C1074" s="9">
        <f t="shared" si="120"/>
        <v>-1.9568314956760518E-2</v>
      </c>
      <c r="D1074" s="9">
        <f t="shared" si="121"/>
        <v>-1.9923788175133419E-2</v>
      </c>
      <c r="E1074" s="9"/>
      <c r="F1074" s="9"/>
      <c r="G1074" s="9"/>
      <c r="H1074" s="9"/>
      <c r="I1074" s="9"/>
      <c r="J1074" s="9"/>
      <c r="K1074" s="9"/>
      <c r="L1074" s="9"/>
      <c r="M1074" s="5"/>
      <c r="AJ1074" s="2"/>
    </row>
    <row r="1075" spans="1:36" x14ac:dyDescent="0.25">
      <c r="A1075" s="6">
        <v>41346</v>
      </c>
      <c r="B1075" s="7">
        <v>4.3760000000000003</v>
      </c>
      <c r="C1075" s="9">
        <f t="shared" si="120"/>
        <v>5.4995555660386697E-3</v>
      </c>
      <c r="D1075" s="9">
        <f t="shared" si="121"/>
        <v>5.1440823476657698E-3</v>
      </c>
      <c r="E1075" s="9"/>
      <c r="F1075" s="9"/>
      <c r="G1075" s="9"/>
      <c r="H1075" s="9"/>
      <c r="I1075" s="9"/>
      <c r="J1075" s="9"/>
      <c r="K1075" s="9"/>
      <c r="L1075" s="9"/>
      <c r="M1075" s="5"/>
      <c r="AJ1075" s="2"/>
    </row>
    <row r="1076" spans="1:36" x14ac:dyDescent="0.25">
      <c r="A1076" s="6">
        <v>41347</v>
      </c>
      <c r="B1076" s="7">
        <v>4.6379999999999999</v>
      </c>
      <c r="C1076" s="9">
        <f t="shared" si="120"/>
        <v>5.814817371365967E-2</v>
      </c>
      <c r="D1076" s="9">
        <f t="shared" si="121"/>
        <v>5.7792700495286772E-2</v>
      </c>
      <c r="E1076" s="9"/>
      <c r="F1076" s="9"/>
      <c r="G1076" s="9"/>
      <c r="H1076" s="9"/>
      <c r="I1076" s="9"/>
      <c r="J1076" s="9"/>
      <c r="K1076" s="9"/>
      <c r="L1076" s="9"/>
      <c r="M1076" s="5"/>
      <c r="AJ1076" s="2"/>
    </row>
    <row r="1077" spans="1:36" x14ac:dyDescent="0.25">
      <c r="A1077" s="6">
        <v>41348</v>
      </c>
      <c r="B1077" s="7">
        <v>4.4980000000000002</v>
      </c>
      <c r="C1077" s="9">
        <f t="shared" si="120"/>
        <v>-3.0650385296215887E-2</v>
      </c>
      <c r="D1077" s="9">
        <f t="shared" si="121"/>
        <v>-3.1005858514588789E-2</v>
      </c>
      <c r="E1077" s="9"/>
      <c r="F1077" s="9"/>
      <c r="G1077" s="9"/>
      <c r="H1077" s="9"/>
      <c r="I1077" s="9"/>
      <c r="J1077" s="9"/>
      <c r="K1077" s="9"/>
      <c r="L1077" s="9"/>
      <c r="M1077" s="5"/>
      <c r="AJ1077" s="2"/>
    </row>
    <row r="1078" spans="1:36" x14ac:dyDescent="0.25">
      <c r="A1078" s="6">
        <v>41351</v>
      </c>
      <c r="B1078" s="7">
        <v>4.41</v>
      </c>
      <c r="C1078" s="9">
        <f t="shared" si="120"/>
        <v>-1.975816407836933E-2</v>
      </c>
      <c r="D1078" s="9">
        <f t="shared" si="121"/>
        <v>-2.0113637296742232E-2</v>
      </c>
      <c r="E1078" s="9"/>
      <c r="F1078" s="9"/>
      <c r="G1078" s="9"/>
      <c r="H1078" s="9"/>
      <c r="I1078" s="9"/>
      <c r="J1078" s="9"/>
      <c r="K1078" s="9"/>
      <c r="L1078" s="9"/>
      <c r="M1078" s="5"/>
      <c r="AJ1078" s="2"/>
    </row>
    <row r="1079" spans="1:36" x14ac:dyDescent="0.25">
      <c r="A1079" s="6">
        <v>41352</v>
      </c>
      <c r="B1079" s="7">
        <v>4.1879999999999997</v>
      </c>
      <c r="C1079" s="9">
        <f t="shared" si="120"/>
        <v>-5.1651396450464335E-2</v>
      </c>
      <c r="D1079" s="9">
        <f t="shared" si="121"/>
        <v>-5.2006869668837233E-2</v>
      </c>
      <c r="E1079" s="9"/>
      <c r="F1079" s="9"/>
      <c r="G1079" s="9"/>
      <c r="H1079" s="9"/>
      <c r="I1079" s="9"/>
      <c r="J1079" s="9"/>
      <c r="K1079" s="9"/>
      <c r="L1079" s="9"/>
      <c r="M1079" s="5"/>
      <c r="AJ1079" s="2"/>
    </row>
    <row r="1080" spans="1:36" x14ac:dyDescent="0.25">
      <c r="A1080" s="6">
        <v>41353</v>
      </c>
      <c r="B1080" s="7">
        <v>4.3860000000000001</v>
      </c>
      <c r="C1080" s="9">
        <f t="shared" si="120"/>
        <v>4.6194356987406045E-2</v>
      </c>
      <c r="D1080" s="9">
        <f t="shared" si="121"/>
        <v>4.5838883769033147E-2</v>
      </c>
      <c r="E1080" s="9"/>
      <c r="F1080" s="9"/>
      <c r="G1080" s="9"/>
      <c r="H1080" s="9"/>
      <c r="I1080" s="9"/>
      <c r="J1080" s="9"/>
      <c r="K1080" s="9"/>
      <c r="L1080" s="9"/>
      <c r="M1080" s="5"/>
      <c r="AJ1080" s="2"/>
    </row>
    <row r="1081" spans="1:36" x14ac:dyDescent="0.25">
      <c r="A1081" s="6">
        <v>41354</v>
      </c>
      <c r="B1081" s="7">
        <v>4.41</v>
      </c>
      <c r="C1081" s="9">
        <f t="shared" si="120"/>
        <v>5.4570394630581174E-3</v>
      </c>
      <c r="D1081" s="9">
        <f t="shared" si="121"/>
        <v>5.1015662446852175E-3</v>
      </c>
      <c r="E1081" s="9"/>
      <c r="F1081" s="9"/>
      <c r="G1081" s="9"/>
      <c r="H1081" s="9"/>
      <c r="I1081" s="9"/>
      <c r="J1081" s="9"/>
      <c r="K1081" s="9"/>
      <c r="L1081" s="9"/>
      <c r="M1081" s="5"/>
      <c r="AJ1081" s="2"/>
    </row>
    <row r="1082" spans="1:36" x14ac:dyDescent="0.25">
      <c r="A1082" s="6">
        <v>41355</v>
      </c>
      <c r="B1082" s="7">
        <v>4.4539999999999997</v>
      </c>
      <c r="C1082" s="9">
        <f t="shared" si="120"/>
        <v>9.9278793764212524E-3</v>
      </c>
      <c r="D1082" s="9">
        <f t="shared" si="121"/>
        <v>9.5724061580483525E-3</v>
      </c>
      <c r="E1082" s="9"/>
      <c r="F1082" s="9"/>
      <c r="G1082" s="9"/>
      <c r="H1082" s="9"/>
      <c r="I1082" s="9"/>
      <c r="J1082" s="9"/>
      <c r="K1082" s="9"/>
      <c r="L1082" s="9"/>
      <c r="M1082" s="5"/>
      <c r="AJ1082" s="2"/>
    </row>
    <row r="1083" spans="1:36" x14ac:dyDescent="0.25">
      <c r="A1083" s="6">
        <v>41358</v>
      </c>
      <c r="B1083" s="7">
        <v>4.218</v>
      </c>
      <c r="C1083" s="9">
        <f t="shared" si="120"/>
        <v>-5.4441486778592965E-2</v>
      </c>
      <c r="D1083" s="9">
        <f t="shared" si="121"/>
        <v>-5.4796959996965863E-2</v>
      </c>
      <c r="E1083" s="9"/>
      <c r="F1083" s="9"/>
      <c r="G1083" s="9"/>
      <c r="H1083" s="9"/>
      <c r="I1083" s="9"/>
      <c r="J1083" s="9"/>
      <c r="K1083" s="9"/>
      <c r="L1083" s="9"/>
      <c r="M1083" s="5"/>
      <c r="AJ1083" s="2"/>
    </row>
    <row r="1084" spans="1:36" x14ac:dyDescent="0.25">
      <c r="A1084" s="6">
        <v>41359</v>
      </c>
      <c r="B1084" s="7">
        <v>4.1260000000000003</v>
      </c>
      <c r="C1084" s="9">
        <f t="shared" si="120"/>
        <v>-2.2052667407522677E-2</v>
      </c>
      <c r="D1084" s="9">
        <f t="shared" si="121"/>
        <v>-2.2408140625895578E-2</v>
      </c>
      <c r="E1084" s="9"/>
      <c r="F1084" s="9"/>
      <c r="G1084" s="9"/>
      <c r="H1084" s="9"/>
      <c r="I1084" s="9"/>
      <c r="J1084" s="9"/>
      <c r="K1084" s="9"/>
      <c r="L1084" s="9"/>
      <c r="M1084" s="5"/>
      <c r="AJ1084" s="2"/>
    </row>
    <row r="1085" spans="1:36" x14ac:dyDescent="0.25">
      <c r="A1085" s="6">
        <v>41360</v>
      </c>
      <c r="B1085" s="7">
        <v>3.9779999999999998</v>
      </c>
      <c r="C1085" s="9">
        <f t="shared" ref="C1085:C1148" si="122">LN(B1085/B1084)</f>
        <v>-3.6529234217279764E-2</v>
      </c>
      <c r="D1085" s="9">
        <f t="shared" si="121"/>
        <v>-3.6884707435652662E-2</v>
      </c>
      <c r="E1085" s="9"/>
      <c r="F1085" s="9"/>
      <c r="G1085" s="9"/>
      <c r="H1085" s="9"/>
      <c r="I1085" s="9"/>
      <c r="J1085" s="9"/>
      <c r="K1085" s="9"/>
      <c r="L1085" s="9"/>
      <c r="M1085" s="5"/>
      <c r="AJ1085" s="2"/>
    </row>
    <row r="1086" spans="1:36" x14ac:dyDescent="0.25">
      <c r="A1086" s="6">
        <v>41361</v>
      </c>
      <c r="B1086" s="7">
        <v>3.9699999999999998</v>
      </c>
      <c r="C1086" s="9">
        <f t="shared" si="122"/>
        <v>-2.0130857326814042E-3</v>
      </c>
      <c r="D1086" s="9">
        <f t="shared" si="121"/>
        <v>-2.3685589510543041E-3</v>
      </c>
      <c r="E1086" s="9"/>
      <c r="F1086" s="9"/>
      <c r="G1086" s="9"/>
      <c r="H1086" s="9"/>
      <c r="I1086" s="9"/>
      <c r="J1086" s="9"/>
      <c r="K1086" s="9"/>
      <c r="L1086" s="9"/>
      <c r="M1086" s="5"/>
      <c r="AJ1086" s="2"/>
    </row>
    <row r="1087" spans="1:36" x14ac:dyDescent="0.25">
      <c r="A1087" s="6">
        <v>41366</v>
      </c>
      <c r="B1087" s="7">
        <v>3.8479999999999999</v>
      </c>
      <c r="C1087" s="9">
        <f t="shared" si="122"/>
        <v>-3.1212561895638903E-2</v>
      </c>
      <c r="D1087" s="9">
        <f t="shared" si="121"/>
        <v>-3.1568035114011801E-2</v>
      </c>
      <c r="E1087" s="9"/>
      <c r="F1087" s="9"/>
      <c r="G1087" s="9"/>
      <c r="H1087" s="9"/>
      <c r="I1087" s="9"/>
      <c r="J1087" s="9"/>
      <c r="K1087" s="9"/>
      <c r="L1087" s="9"/>
      <c r="M1087" s="5"/>
      <c r="AJ1087" s="2"/>
    </row>
    <row r="1088" spans="1:36" x14ac:dyDescent="0.25">
      <c r="A1088" s="6">
        <v>41367</v>
      </c>
      <c r="B1088" s="7">
        <v>3.7800000000000002</v>
      </c>
      <c r="C1088" s="9">
        <f t="shared" si="122"/>
        <v>-1.7829523171963596E-2</v>
      </c>
      <c r="D1088" s="9">
        <f t="shared" si="121"/>
        <v>-1.8184996390336498E-2</v>
      </c>
      <c r="E1088" s="9"/>
      <c r="F1088" s="9"/>
      <c r="G1088" s="9"/>
      <c r="H1088" s="9"/>
      <c r="I1088" s="9"/>
      <c r="J1088" s="9"/>
      <c r="K1088" s="9"/>
      <c r="L1088" s="9"/>
      <c r="M1088" s="5"/>
      <c r="AJ1088" s="2"/>
    </row>
    <row r="1089" spans="1:36" x14ac:dyDescent="0.25">
      <c r="A1089" s="6">
        <v>41368</v>
      </c>
      <c r="B1089" s="7">
        <v>3.8540000000000001</v>
      </c>
      <c r="C1089" s="9">
        <f t="shared" si="122"/>
        <v>1.9387560360678333E-2</v>
      </c>
      <c r="D1089" s="9">
        <f t="shared" si="121"/>
        <v>1.9032087142305431E-2</v>
      </c>
      <c r="E1089" s="9"/>
      <c r="F1089" s="9"/>
      <c r="G1089" s="9"/>
      <c r="H1089" s="9"/>
      <c r="I1089" s="9"/>
      <c r="J1089" s="9"/>
      <c r="K1089" s="9"/>
      <c r="L1089" s="9"/>
      <c r="M1089" s="5"/>
      <c r="AJ1089" s="2"/>
    </row>
    <row r="1090" spans="1:36" x14ac:dyDescent="0.25">
      <c r="A1090" s="6">
        <v>41369</v>
      </c>
      <c r="B1090" s="7">
        <v>4.0860000000000003</v>
      </c>
      <c r="C1090" s="9">
        <f t="shared" si="122"/>
        <v>5.8454926403255641E-2</v>
      </c>
      <c r="D1090" s="9">
        <f t="shared" si="121"/>
        <v>5.8099453184882743E-2</v>
      </c>
      <c r="E1090" s="9"/>
      <c r="F1090" s="9"/>
      <c r="G1090" s="9"/>
      <c r="H1090" s="9"/>
      <c r="I1090" s="9"/>
      <c r="J1090" s="9"/>
      <c r="K1090" s="9"/>
      <c r="L1090" s="9"/>
      <c r="M1090" s="5"/>
      <c r="AJ1090" s="2"/>
    </row>
    <row r="1091" spans="1:36" x14ac:dyDescent="0.25">
      <c r="A1091" s="6">
        <v>41372</v>
      </c>
      <c r="B1091" s="7">
        <v>3.9820000000000002</v>
      </c>
      <c r="C1091" s="9">
        <f t="shared" si="122"/>
        <v>-2.5782290753425779E-2</v>
      </c>
      <c r="D1091" s="9">
        <f t="shared" si="121"/>
        <v>-2.6137763971798681E-2</v>
      </c>
      <c r="E1091" s="9"/>
      <c r="F1091" s="9"/>
      <c r="G1091" s="9"/>
      <c r="H1091" s="9"/>
      <c r="I1091" s="9"/>
      <c r="J1091" s="9"/>
      <c r="K1091" s="9"/>
      <c r="L1091" s="9"/>
      <c r="M1091" s="5"/>
      <c r="AJ1091" s="2"/>
    </row>
    <row r="1092" spans="1:36" x14ac:dyDescent="0.25">
      <c r="A1092" s="6">
        <v>41373</v>
      </c>
      <c r="B1092" s="7">
        <v>4.1820000000000004</v>
      </c>
      <c r="C1092" s="9">
        <f t="shared" si="122"/>
        <v>4.90053953644373E-2</v>
      </c>
      <c r="D1092" s="9">
        <f t="shared" si="121"/>
        <v>4.8649922146064402E-2</v>
      </c>
      <c r="E1092" s="9"/>
      <c r="F1092" s="9"/>
      <c r="G1092" s="9"/>
      <c r="H1092" s="9"/>
      <c r="I1092" s="9"/>
      <c r="J1092" s="9"/>
      <c r="K1092" s="9"/>
      <c r="L1092" s="9"/>
      <c r="M1092" s="5"/>
      <c r="AJ1092" s="2"/>
    </row>
    <row r="1093" spans="1:36" x14ac:dyDescent="0.25">
      <c r="A1093" s="6">
        <v>41374</v>
      </c>
      <c r="B1093" s="7">
        <v>4.4059999999999997</v>
      </c>
      <c r="C1093" s="9">
        <f t="shared" si="122"/>
        <v>5.2177647373709467E-2</v>
      </c>
      <c r="D1093" s="9">
        <f t="shared" si="121"/>
        <v>5.1822174155336569E-2</v>
      </c>
      <c r="E1093" s="9"/>
      <c r="F1093" s="9"/>
      <c r="G1093" s="9"/>
      <c r="H1093" s="9"/>
      <c r="I1093" s="9"/>
      <c r="J1093" s="9"/>
      <c r="K1093" s="9"/>
      <c r="L1093" s="9"/>
      <c r="M1093" s="5"/>
      <c r="AJ1093" s="2"/>
    </row>
    <row r="1094" spans="1:36" x14ac:dyDescent="0.25">
      <c r="A1094" s="6">
        <v>41375</v>
      </c>
      <c r="B1094" s="7">
        <v>4.3579999999999997</v>
      </c>
      <c r="C1094" s="9">
        <f t="shared" si="122"/>
        <v>-1.0954011857723244E-2</v>
      </c>
      <c r="D1094" s="9">
        <f t="shared" si="121"/>
        <v>-1.1309485076096144E-2</v>
      </c>
      <c r="E1094" s="9"/>
      <c r="F1094" s="9"/>
      <c r="G1094" s="9"/>
      <c r="H1094" s="9"/>
      <c r="I1094" s="9"/>
      <c r="J1094" s="9"/>
      <c r="K1094" s="9"/>
      <c r="L1094" s="9"/>
      <c r="M1094" s="5"/>
      <c r="AJ1094" s="2"/>
    </row>
    <row r="1095" spans="1:36" x14ac:dyDescent="0.25">
      <c r="A1095" s="6">
        <v>41376</v>
      </c>
      <c r="B1095" s="7">
        <v>4.3600000000000003</v>
      </c>
      <c r="C1095" s="9">
        <f t="shared" si="122"/>
        <v>4.5882083851499109E-4</v>
      </c>
      <c r="D1095" s="9">
        <f t="shared" si="121"/>
        <v>1.0334762014209116E-4</v>
      </c>
      <c r="E1095" s="9"/>
      <c r="F1095" s="9"/>
      <c r="G1095" s="9"/>
      <c r="H1095" s="9"/>
      <c r="I1095" s="9"/>
      <c r="J1095" s="9"/>
      <c r="K1095" s="9"/>
      <c r="L1095" s="9"/>
      <c r="M1095" s="5"/>
      <c r="AJ1095" s="2"/>
    </row>
    <row r="1096" spans="1:36" x14ac:dyDescent="0.25">
      <c r="A1096" s="6">
        <v>41379</v>
      </c>
      <c r="B1096" s="7">
        <v>4.42</v>
      </c>
      <c r="C1096" s="9">
        <f t="shared" si="122"/>
        <v>1.3667638728663615E-2</v>
      </c>
      <c r="D1096" s="9">
        <f t="shared" si="121"/>
        <v>1.3312165510290715E-2</v>
      </c>
      <c r="E1096" s="9"/>
      <c r="F1096" s="9"/>
      <c r="G1096" s="9"/>
      <c r="H1096" s="9"/>
      <c r="I1096" s="9"/>
      <c r="J1096" s="9"/>
      <c r="K1096" s="9"/>
      <c r="L1096" s="9"/>
      <c r="M1096" s="5"/>
      <c r="AJ1096" s="2"/>
    </row>
    <row r="1097" spans="1:36" x14ac:dyDescent="0.25">
      <c r="A1097" s="6">
        <v>41380</v>
      </c>
      <c r="B1097" s="7">
        <v>4.4580000000000002</v>
      </c>
      <c r="C1097" s="9">
        <f t="shared" si="122"/>
        <v>8.560538874070326E-3</v>
      </c>
      <c r="D1097" s="9">
        <f t="shared" si="121"/>
        <v>8.2050656556974261E-3</v>
      </c>
      <c r="E1097" s="9"/>
      <c r="F1097" s="9"/>
      <c r="G1097" s="9"/>
      <c r="H1097" s="9"/>
      <c r="I1097" s="9"/>
      <c r="J1097" s="9"/>
      <c r="K1097" s="9"/>
      <c r="L1097" s="9"/>
      <c r="M1097" s="5"/>
      <c r="AJ1097" s="2"/>
    </row>
    <row r="1098" spans="1:36" x14ac:dyDescent="0.25">
      <c r="A1098" s="6">
        <v>41381</v>
      </c>
      <c r="B1098" s="7">
        <v>4.4340000000000002</v>
      </c>
      <c r="C1098" s="9">
        <f t="shared" si="122"/>
        <v>-5.3981237695573695E-3</v>
      </c>
      <c r="D1098" s="9">
        <f t="shared" si="121"/>
        <v>-5.7535969879302694E-3</v>
      </c>
      <c r="E1098" s="9"/>
      <c r="F1098" s="9"/>
      <c r="G1098" s="9"/>
      <c r="H1098" s="9"/>
      <c r="I1098" s="9"/>
      <c r="J1098" s="9"/>
      <c r="K1098" s="9"/>
      <c r="L1098" s="9"/>
      <c r="M1098" s="5"/>
      <c r="AJ1098" s="2"/>
    </row>
    <row r="1099" spans="1:36" x14ac:dyDescent="0.25">
      <c r="A1099" s="6">
        <v>41382</v>
      </c>
      <c r="B1099" s="7">
        <v>4.3600000000000003</v>
      </c>
      <c r="C1099" s="9">
        <f t="shared" si="122"/>
        <v>-1.6830053833176782E-2</v>
      </c>
      <c r="D1099" s="9">
        <f t="shared" si="121"/>
        <v>-1.7185527051549684E-2</v>
      </c>
      <c r="E1099" s="9"/>
      <c r="F1099" s="9"/>
      <c r="G1099" s="9"/>
      <c r="H1099" s="9"/>
      <c r="I1099" s="9"/>
      <c r="J1099" s="9"/>
      <c r="K1099" s="9"/>
      <c r="L1099" s="9"/>
      <c r="M1099" s="5"/>
      <c r="AJ1099" s="2"/>
    </row>
    <row r="1100" spans="1:36" x14ac:dyDescent="0.25">
      <c r="A1100" s="6">
        <v>41383</v>
      </c>
      <c r="B1100" s="7">
        <v>4.5839999999999996</v>
      </c>
      <c r="C1100" s="9">
        <f t="shared" si="122"/>
        <v>5.0099922051495278E-2</v>
      </c>
      <c r="D1100" s="9">
        <f t="shared" si="121"/>
        <v>4.974444883312238E-2</v>
      </c>
      <c r="E1100" s="9"/>
      <c r="F1100" s="9"/>
      <c r="G1100" s="9"/>
      <c r="H1100" s="9"/>
      <c r="I1100" s="9"/>
      <c r="J1100" s="9"/>
      <c r="K1100" s="9"/>
      <c r="L1100" s="9"/>
      <c r="M1100" s="5"/>
      <c r="AJ1100" s="2"/>
    </row>
    <row r="1101" spans="1:36" x14ac:dyDescent="0.25">
      <c r="A1101" s="6">
        <v>41386</v>
      </c>
      <c r="B1101" s="7">
        <v>4.6740000000000004</v>
      </c>
      <c r="C1101" s="9">
        <f t="shared" si="122"/>
        <v>1.944325670422797E-2</v>
      </c>
      <c r="D1101" s="9">
        <f t="shared" si="121"/>
        <v>1.9087783485855069E-2</v>
      </c>
      <c r="E1101" s="9"/>
      <c r="F1101" s="9"/>
      <c r="G1101" s="9"/>
      <c r="H1101" s="9"/>
      <c r="I1101" s="9"/>
      <c r="J1101" s="9"/>
      <c r="K1101" s="9"/>
      <c r="L1101" s="9"/>
      <c r="M1101" s="5"/>
      <c r="AJ1101" s="2"/>
    </row>
    <row r="1102" spans="1:36" x14ac:dyDescent="0.25">
      <c r="A1102" s="6">
        <v>41387</v>
      </c>
      <c r="B1102" s="7">
        <v>4.9260000000000002</v>
      </c>
      <c r="C1102" s="9">
        <f t="shared" si="122"/>
        <v>5.2512063581679869E-2</v>
      </c>
      <c r="D1102" s="9">
        <f t="shared" si="121"/>
        <v>5.2156590363306971E-2</v>
      </c>
      <c r="E1102" s="9"/>
      <c r="F1102" s="9"/>
      <c r="G1102" s="9"/>
      <c r="H1102" s="9"/>
      <c r="I1102" s="9"/>
      <c r="J1102" s="9"/>
      <c r="K1102" s="9"/>
      <c r="L1102" s="9"/>
      <c r="M1102" s="5"/>
      <c r="AJ1102" s="2"/>
    </row>
    <row r="1103" spans="1:36" x14ac:dyDescent="0.25">
      <c r="A1103" s="6">
        <v>41388</v>
      </c>
      <c r="B1103" s="7">
        <v>4.7880000000000003</v>
      </c>
      <c r="C1103" s="9">
        <f t="shared" si="122"/>
        <v>-2.8414512002619487E-2</v>
      </c>
      <c r="D1103" s="9">
        <f t="shared" si="121"/>
        <v>-2.8769985220992389E-2</v>
      </c>
      <c r="E1103" s="9"/>
      <c r="F1103" s="9"/>
      <c r="G1103" s="9"/>
      <c r="H1103" s="9"/>
      <c r="I1103" s="9"/>
      <c r="J1103" s="9"/>
      <c r="K1103" s="9"/>
      <c r="L1103" s="9"/>
      <c r="M1103" s="5"/>
      <c r="AJ1103" s="2"/>
    </row>
    <row r="1104" spans="1:36" x14ac:dyDescent="0.25">
      <c r="A1104" s="6">
        <v>41389</v>
      </c>
      <c r="B1104" s="7">
        <v>4.8</v>
      </c>
      <c r="C1104" s="9">
        <f t="shared" si="122"/>
        <v>2.5031302181184748E-3</v>
      </c>
      <c r="D1104" s="9">
        <f t="shared" si="121"/>
        <v>2.1476569997455749E-3</v>
      </c>
      <c r="E1104" s="9"/>
      <c r="F1104" s="9"/>
      <c r="G1104" s="9"/>
      <c r="H1104" s="9"/>
      <c r="I1104" s="9"/>
      <c r="J1104" s="9"/>
      <c r="K1104" s="9"/>
      <c r="L1104" s="9"/>
      <c r="M1104" s="5"/>
      <c r="AJ1104" s="2"/>
    </row>
    <row r="1105" spans="1:36" x14ac:dyDescent="0.25">
      <c r="A1105" s="6">
        <v>41390</v>
      </c>
      <c r="B1105" s="7">
        <v>4.8600000000000003</v>
      </c>
      <c r="C1105" s="9">
        <f t="shared" si="122"/>
        <v>1.2422519998557329E-2</v>
      </c>
      <c r="D1105" s="9">
        <f t="shared" si="121"/>
        <v>1.2067046780184429E-2</v>
      </c>
      <c r="E1105" s="9"/>
      <c r="F1105" s="9"/>
      <c r="G1105" s="9"/>
      <c r="H1105" s="9"/>
      <c r="I1105" s="9"/>
      <c r="J1105" s="9"/>
      <c r="K1105" s="9"/>
      <c r="L1105" s="9"/>
      <c r="M1105" s="5"/>
      <c r="AJ1105" s="2"/>
    </row>
    <row r="1106" spans="1:36" x14ac:dyDescent="0.25">
      <c r="A1106" s="6">
        <v>41393</v>
      </c>
      <c r="B1106" s="7">
        <v>4.95</v>
      </c>
      <c r="C1106" s="9">
        <f t="shared" si="122"/>
        <v>1.8349138668196398E-2</v>
      </c>
      <c r="D1106" s="9">
        <f t="shared" si="121"/>
        <v>1.7993665449823497E-2</v>
      </c>
      <c r="E1106" s="9"/>
      <c r="F1106" s="9"/>
      <c r="G1106" s="9"/>
      <c r="H1106" s="9"/>
      <c r="I1106" s="9"/>
      <c r="J1106" s="9"/>
      <c r="K1106" s="9"/>
      <c r="L1106" s="9"/>
      <c r="M1106" s="5"/>
      <c r="AJ1106" s="2"/>
    </row>
    <row r="1107" spans="1:36" x14ac:dyDescent="0.25">
      <c r="A1107" s="6">
        <v>41394</v>
      </c>
      <c r="B1107" s="7">
        <v>4.8259999999999996</v>
      </c>
      <c r="C1107" s="9">
        <f t="shared" si="122"/>
        <v>-2.536960937775911E-2</v>
      </c>
      <c r="D1107" s="9">
        <f t="shared" si="121"/>
        <v>-2.5725082596132012E-2</v>
      </c>
      <c r="E1107" s="9"/>
      <c r="F1107" s="9"/>
      <c r="G1107" s="9"/>
      <c r="H1107" s="9"/>
      <c r="I1107" s="9"/>
      <c r="J1107" s="9"/>
      <c r="K1107" s="9"/>
      <c r="L1107" s="9"/>
      <c r="M1107" s="5"/>
      <c r="AJ1107" s="2"/>
    </row>
    <row r="1108" spans="1:36" x14ac:dyDescent="0.25">
      <c r="A1108" s="6">
        <v>41396</v>
      </c>
      <c r="B1108" s="7">
        <v>4.82</v>
      </c>
      <c r="C1108" s="9">
        <f t="shared" si="122"/>
        <v>-1.2440391403309226E-3</v>
      </c>
      <c r="D1108" s="9">
        <f t="shared" si="121"/>
        <v>-1.5995123587038225E-3</v>
      </c>
      <c r="E1108" s="9"/>
      <c r="F1108" s="9"/>
      <c r="G1108" s="9"/>
      <c r="H1108" s="9"/>
      <c r="I1108" s="9"/>
      <c r="J1108" s="9"/>
      <c r="K1108" s="9"/>
      <c r="L1108" s="9"/>
      <c r="M1108" s="5"/>
      <c r="AJ1108" s="2"/>
    </row>
    <row r="1109" spans="1:36" x14ac:dyDescent="0.25">
      <c r="A1109" s="6">
        <v>41397</v>
      </c>
      <c r="B1109" s="7">
        <v>4.87</v>
      </c>
      <c r="C1109" s="9">
        <f t="shared" si="122"/>
        <v>1.0320009031989449E-2</v>
      </c>
      <c r="D1109" s="9">
        <f t="shared" ref="D1109:D1172" si="123">C1109-$C$59/252</f>
        <v>9.9645358136165492E-3</v>
      </c>
      <c r="E1109" s="9"/>
      <c r="F1109" s="9"/>
      <c r="G1109" s="9"/>
      <c r="H1109" s="9"/>
      <c r="I1109" s="9"/>
      <c r="J1109" s="9"/>
      <c r="K1109" s="9"/>
      <c r="L1109" s="9"/>
      <c r="M1109" s="5"/>
      <c r="AJ1109" s="2"/>
    </row>
    <row r="1110" spans="1:36" x14ac:dyDescent="0.25">
      <c r="A1110" s="6">
        <v>41400</v>
      </c>
      <c r="B1110" s="7">
        <v>4.87</v>
      </c>
      <c r="C1110" s="9">
        <f t="shared" si="122"/>
        <v>0</v>
      </c>
      <c r="D1110" s="9">
        <f t="shared" si="123"/>
        <v>-3.5547321837289993E-4</v>
      </c>
      <c r="E1110" s="9"/>
      <c r="F1110" s="9"/>
      <c r="G1110" s="9"/>
      <c r="H1110" s="9"/>
      <c r="I1110" s="9"/>
      <c r="J1110" s="9"/>
      <c r="K1110" s="9"/>
      <c r="L1110" s="9"/>
      <c r="M1110" s="5"/>
      <c r="AJ1110" s="2"/>
    </row>
    <row r="1111" spans="1:36" x14ac:dyDescent="0.25">
      <c r="A1111" s="6">
        <v>41401</v>
      </c>
      <c r="B1111" s="7">
        <v>5</v>
      </c>
      <c r="C1111" s="9">
        <f t="shared" si="122"/>
        <v>2.6343975339601852E-2</v>
      </c>
      <c r="D1111" s="9">
        <f t="shared" si="123"/>
        <v>2.5988502121228951E-2</v>
      </c>
      <c r="E1111" s="9"/>
      <c r="F1111" s="9"/>
      <c r="G1111" s="9"/>
      <c r="H1111" s="9"/>
      <c r="I1111" s="9"/>
      <c r="J1111" s="9"/>
      <c r="K1111" s="9"/>
      <c r="L1111" s="9"/>
      <c r="M1111" s="5"/>
      <c r="AJ1111" s="2"/>
    </row>
    <row r="1112" spans="1:36" x14ac:dyDescent="0.25">
      <c r="A1112" s="6">
        <v>41402</v>
      </c>
      <c r="B1112" s="7">
        <v>4.9820000000000002</v>
      </c>
      <c r="C1112" s="9">
        <f t="shared" si="122"/>
        <v>-3.6064955941116326E-3</v>
      </c>
      <c r="D1112" s="9">
        <f t="shared" si="123"/>
        <v>-3.9619688124845325E-3</v>
      </c>
      <c r="E1112" s="9"/>
      <c r="F1112" s="9"/>
      <c r="G1112" s="9"/>
      <c r="H1112" s="9"/>
      <c r="I1112" s="9"/>
      <c r="J1112" s="9"/>
      <c r="K1112" s="9"/>
      <c r="L1112" s="9"/>
      <c r="M1112" s="5"/>
      <c r="AJ1112" s="2"/>
    </row>
    <row r="1113" spans="1:36" x14ac:dyDescent="0.25">
      <c r="A1113" s="6">
        <v>41403</v>
      </c>
      <c r="B1113" s="7">
        <v>4.8440000000000003</v>
      </c>
      <c r="C1113" s="9">
        <f t="shared" si="122"/>
        <v>-2.8090591149142873E-2</v>
      </c>
      <c r="D1113" s="9">
        <f t="shared" si="123"/>
        <v>-2.8446064367515775E-2</v>
      </c>
      <c r="E1113" s="9"/>
      <c r="F1113" s="9"/>
      <c r="G1113" s="9"/>
      <c r="H1113" s="9"/>
      <c r="I1113" s="9"/>
      <c r="J1113" s="9"/>
      <c r="K1113" s="9"/>
      <c r="L1113" s="9"/>
      <c r="M1113" s="5"/>
      <c r="AJ1113" s="2"/>
    </row>
    <row r="1114" spans="1:36" x14ac:dyDescent="0.25">
      <c r="A1114" s="6">
        <v>41404</v>
      </c>
      <c r="B1114" s="7">
        <v>5.12</v>
      </c>
      <c r="C1114" s="9">
        <f t="shared" si="122"/>
        <v>5.5413613360570546E-2</v>
      </c>
      <c r="D1114" s="9">
        <f t="shared" si="123"/>
        <v>5.5058140142197648E-2</v>
      </c>
      <c r="E1114" s="9"/>
      <c r="F1114" s="9"/>
      <c r="G1114" s="9"/>
      <c r="H1114" s="9"/>
      <c r="I1114" s="9"/>
      <c r="J1114" s="9"/>
      <c r="K1114" s="9"/>
      <c r="L1114" s="9"/>
      <c r="M1114" s="5"/>
      <c r="AJ1114" s="2"/>
    </row>
    <row r="1115" spans="1:36" x14ac:dyDescent="0.25">
      <c r="A1115" s="6">
        <v>41407</v>
      </c>
      <c r="B1115" s="7">
        <v>5.12</v>
      </c>
      <c r="C1115" s="9">
        <f t="shared" si="122"/>
        <v>0</v>
      </c>
      <c r="D1115" s="9">
        <f t="shared" si="123"/>
        <v>-3.5547321837289993E-4</v>
      </c>
      <c r="E1115" s="9"/>
      <c r="F1115" s="9"/>
      <c r="G1115" s="9"/>
      <c r="H1115" s="9"/>
      <c r="I1115" s="9"/>
      <c r="J1115" s="9"/>
      <c r="K1115" s="9"/>
      <c r="L1115" s="9"/>
      <c r="M1115" s="5"/>
      <c r="AJ1115" s="2"/>
    </row>
    <row r="1116" spans="1:36" x14ac:dyDescent="0.25">
      <c r="A1116" s="6">
        <v>41408</v>
      </c>
      <c r="B1116" s="7">
        <v>5.14</v>
      </c>
      <c r="C1116" s="9">
        <f t="shared" si="122"/>
        <v>3.8986404156573229E-3</v>
      </c>
      <c r="D1116" s="9">
        <f t="shared" si="123"/>
        <v>3.543167197284423E-3</v>
      </c>
      <c r="E1116" s="9"/>
      <c r="F1116" s="9"/>
      <c r="G1116" s="9"/>
      <c r="H1116" s="9"/>
      <c r="I1116" s="9"/>
      <c r="J1116" s="9"/>
      <c r="K1116" s="9"/>
      <c r="L1116" s="9"/>
      <c r="M1116" s="5"/>
      <c r="AJ1116" s="2"/>
    </row>
    <row r="1117" spans="1:36" x14ac:dyDescent="0.25">
      <c r="A1117" s="6">
        <v>41409</v>
      </c>
      <c r="B1117" s="7">
        <v>5.18</v>
      </c>
      <c r="C1117" s="9">
        <f t="shared" si="122"/>
        <v>7.7519768043179237E-3</v>
      </c>
      <c r="D1117" s="9">
        <f t="shared" si="123"/>
        <v>7.3965035859450239E-3</v>
      </c>
      <c r="E1117" s="9"/>
      <c r="F1117" s="9"/>
      <c r="G1117" s="9"/>
      <c r="H1117" s="9"/>
      <c r="I1117" s="9"/>
      <c r="J1117" s="9"/>
      <c r="K1117" s="9"/>
      <c r="L1117" s="9"/>
      <c r="M1117" s="5"/>
      <c r="AJ1117" s="2"/>
    </row>
    <row r="1118" spans="1:36" x14ac:dyDescent="0.25">
      <c r="A1118" s="6">
        <v>41410</v>
      </c>
      <c r="B1118" s="7">
        <v>5.18</v>
      </c>
      <c r="C1118" s="9">
        <f t="shared" si="122"/>
        <v>0</v>
      </c>
      <c r="D1118" s="9">
        <f t="shared" si="123"/>
        <v>-3.5547321837289993E-4</v>
      </c>
      <c r="E1118" s="9"/>
      <c r="F1118" s="9"/>
      <c r="G1118" s="9"/>
      <c r="H1118" s="9"/>
      <c r="I1118" s="9"/>
      <c r="J1118" s="9"/>
      <c r="K1118" s="9"/>
      <c r="L1118" s="9"/>
      <c r="M1118" s="5"/>
      <c r="AJ1118" s="2"/>
    </row>
    <row r="1119" spans="1:36" x14ac:dyDescent="0.25">
      <c r="A1119" s="6">
        <v>41411</v>
      </c>
      <c r="B1119" s="7">
        <v>5.14</v>
      </c>
      <c r="C1119" s="9">
        <f t="shared" si="122"/>
        <v>-7.7519768043179359E-3</v>
      </c>
      <c r="D1119" s="9">
        <f t="shared" si="123"/>
        <v>-8.1074500226908357E-3</v>
      </c>
      <c r="E1119" s="9"/>
      <c r="F1119" s="9"/>
      <c r="G1119" s="9"/>
      <c r="H1119" s="9"/>
      <c r="I1119" s="9"/>
      <c r="J1119" s="9"/>
      <c r="K1119" s="9"/>
      <c r="L1119" s="9"/>
      <c r="M1119" s="5"/>
      <c r="AJ1119" s="2"/>
    </row>
    <row r="1120" spans="1:36" x14ac:dyDescent="0.25">
      <c r="A1120" s="6">
        <v>41414</v>
      </c>
      <c r="B1120" s="7">
        <v>5.15</v>
      </c>
      <c r="C1120" s="9">
        <f t="shared" si="122"/>
        <v>1.9436352085712523E-3</v>
      </c>
      <c r="D1120" s="9">
        <f t="shared" si="123"/>
        <v>1.5881619901983524E-3</v>
      </c>
      <c r="E1120" s="9"/>
      <c r="F1120" s="9"/>
      <c r="G1120" s="9"/>
      <c r="H1120" s="9"/>
      <c r="I1120" s="9"/>
      <c r="J1120" s="9"/>
      <c r="K1120" s="9"/>
      <c r="L1120" s="9"/>
      <c r="M1120" s="5"/>
      <c r="AJ1120" s="2"/>
    </row>
    <row r="1121" spans="1:36" x14ac:dyDescent="0.25">
      <c r="A1121" s="6">
        <v>41415</v>
      </c>
      <c r="B1121" s="7">
        <v>5.07</v>
      </c>
      <c r="C1121" s="9">
        <f t="shared" si="122"/>
        <v>-1.5655897072553021E-2</v>
      </c>
      <c r="D1121" s="9">
        <f t="shared" si="123"/>
        <v>-1.6011370290925923E-2</v>
      </c>
      <c r="E1121" s="9"/>
      <c r="F1121" s="9"/>
      <c r="G1121" s="9"/>
      <c r="H1121" s="9"/>
      <c r="I1121" s="9"/>
      <c r="J1121" s="9"/>
      <c r="K1121" s="9"/>
      <c r="L1121" s="9"/>
      <c r="M1121" s="5"/>
      <c r="AJ1121" s="2"/>
    </row>
    <row r="1122" spans="1:36" x14ac:dyDescent="0.25">
      <c r="A1122" s="6">
        <v>41416</v>
      </c>
      <c r="B1122" s="7">
        <v>5.12</v>
      </c>
      <c r="C1122" s="9">
        <f t="shared" si="122"/>
        <v>9.8136214483246706E-3</v>
      </c>
      <c r="D1122" s="9">
        <f t="shared" si="123"/>
        <v>9.4581482299517707E-3</v>
      </c>
      <c r="E1122" s="9"/>
      <c r="F1122" s="9"/>
      <c r="G1122" s="9"/>
      <c r="H1122" s="9"/>
      <c r="I1122" s="9"/>
      <c r="J1122" s="9"/>
      <c r="K1122" s="9"/>
      <c r="L1122" s="9"/>
      <c r="M1122" s="5"/>
      <c r="AJ1122" s="2"/>
    </row>
    <row r="1123" spans="1:36" x14ac:dyDescent="0.25">
      <c r="A1123" s="6">
        <v>41417</v>
      </c>
      <c r="B1123" s="7">
        <v>4.8719999999999999</v>
      </c>
      <c r="C1123" s="9">
        <f t="shared" si="122"/>
        <v>-4.9649908643820538E-2</v>
      </c>
      <c r="D1123" s="9">
        <f t="shared" si="123"/>
        <v>-5.0005381862193436E-2</v>
      </c>
      <c r="E1123" s="9"/>
      <c r="F1123" s="9"/>
      <c r="G1123" s="9"/>
      <c r="H1123" s="9"/>
      <c r="I1123" s="9"/>
      <c r="J1123" s="9"/>
      <c r="K1123" s="9"/>
      <c r="L1123" s="9"/>
      <c r="M1123" s="5"/>
      <c r="AJ1123" s="2"/>
    </row>
    <row r="1124" spans="1:36" x14ac:dyDescent="0.25">
      <c r="A1124" s="6">
        <v>41418</v>
      </c>
      <c r="B1124" s="7">
        <v>4.9379999999999997</v>
      </c>
      <c r="C1124" s="9">
        <f t="shared" si="122"/>
        <v>1.3455860515391927E-2</v>
      </c>
      <c r="D1124" s="9">
        <f t="shared" si="123"/>
        <v>1.3100387297019027E-2</v>
      </c>
      <c r="E1124" s="9"/>
      <c r="F1124" s="9"/>
      <c r="G1124" s="9"/>
      <c r="H1124" s="9"/>
      <c r="I1124" s="9"/>
      <c r="J1124" s="9"/>
      <c r="K1124" s="9"/>
      <c r="L1124" s="9"/>
      <c r="M1124" s="5"/>
      <c r="AJ1124" s="2"/>
    </row>
    <row r="1125" spans="1:36" x14ac:dyDescent="0.25">
      <c r="A1125" s="6">
        <v>41421</v>
      </c>
      <c r="B1125" s="7">
        <v>5.0199999999999996</v>
      </c>
      <c r="C1125" s="9">
        <f t="shared" si="122"/>
        <v>1.6469542780649937E-2</v>
      </c>
      <c r="D1125" s="9">
        <f t="shared" si="123"/>
        <v>1.6114069562277036E-2</v>
      </c>
      <c r="E1125" s="9"/>
      <c r="F1125" s="9"/>
      <c r="G1125" s="9"/>
      <c r="H1125" s="9"/>
      <c r="I1125" s="9"/>
      <c r="J1125" s="9"/>
      <c r="K1125" s="9"/>
      <c r="L1125" s="9"/>
      <c r="M1125" s="5"/>
      <c r="AJ1125" s="2"/>
    </row>
    <row r="1126" spans="1:36" x14ac:dyDescent="0.25">
      <c r="A1126" s="6">
        <v>41422</v>
      </c>
      <c r="B1126" s="7">
        <v>5.125</v>
      </c>
      <c r="C1126" s="9">
        <f t="shared" si="122"/>
        <v>2.070059132083403E-2</v>
      </c>
      <c r="D1126" s="9">
        <f t="shared" si="123"/>
        <v>2.0345118102461129E-2</v>
      </c>
      <c r="E1126" s="9"/>
      <c r="F1126" s="9"/>
      <c r="G1126" s="9"/>
      <c r="H1126" s="9"/>
      <c r="I1126" s="9"/>
      <c r="J1126" s="9"/>
      <c r="K1126" s="9"/>
      <c r="L1126" s="9"/>
      <c r="M1126" s="5"/>
      <c r="AJ1126" s="2"/>
    </row>
    <row r="1127" spans="1:36" x14ac:dyDescent="0.25">
      <c r="A1127" s="6">
        <v>41423</v>
      </c>
      <c r="B1127" s="7">
        <v>5.13</v>
      </c>
      <c r="C1127" s="9">
        <f t="shared" si="122"/>
        <v>9.7513415820629139E-4</v>
      </c>
      <c r="D1127" s="9">
        <f t="shared" si="123"/>
        <v>6.1966093983339141E-4</v>
      </c>
      <c r="E1127" s="9"/>
      <c r="F1127" s="9"/>
      <c r="G1127" s="9"/>
      <c r="H1127" s="9"/>
      <c r="I1127" s="9"/>
      <c r="J1127" s="9"/>
      <c r="K1127" s="9"/>
      <c r="L1127" s="9"/>
      <c r="M1127" s="5"/>
      <c r="AJ1127" s="2"/>
    </row>
    <row r="1128" spans="1:36" x14ac:dyDescent="0.25">
      <c r="A1128" s="6">
        <v>41424</v>
      </c>
      <c r="B1128" s="7">
        <v>5.14</v>
      </c>
      <c r="C1128" s="9">
        <f t="shared" si="122"/>
        <v>1.9474202843956288E-3</v>
      </c>
      <c r="D1128" s="9">
        <f t="shared" si="123"/>
        <v>1.591947066022729E-3</v>
      </c>
      <c r="E1128" s="9"/>
      <c r="F1128" s="9"/>
      <c r="G1128" s="9"/>
      <c r="H1128" s="9"/>
      <c r="I1128" s="9"/>
      <c r="J1128" s="9"/>
      <c r="K1128" s="9"/>
      <c r="L1128" s="9"/>
      <c r="M1128" s="5"/>
      <c r="AJ1128" s="2"/>
    </row>
    <row r="1129" spans="1:36" x14ac:dyDescent="0.25">
      <c r="A1129" s="6">
        <v>41425</v>
      </c>
      <c r="B1129" s="7">
        <v>5.12</v>
      </c>
      <c r="C1129" s="9">
        <f t="shared" si="122"/>
        <v>-3.8986404156571976E-3</v>
      </c>
      <c r="D1129" s="9">
        <f t="shared" si="123"/>
        <v>-4.2541136340300979E-3</v>
      </c>
      <c r="E1129" s="9"/>
      <c r="F1129" s="9"/>
      <c r="G1129" s="9"/>
      <c r="H1129" s="9"/>
      <c r="I1129" s="9"/>
      <c r="J1129" s="9"/>
      <c r="K1129" s="9"/>
      <c r="L1129" s="9"/>
      <c r="M1129" s="5"/>
      <c r="AJ1129" s="2"/>
    </row>
    <row r="1130" spans="1:36" x14ac:dyDescent="0.25">
      <c r="A1130" s="6">
        <v>41428</v>
      </c>
      <c r="B1130" s="7">
        <v>5.0999999999999996</v>
      </c>
      <c r="C1130" s="9">
        <f t="shared" si="122"/>
        <v>-3.9138993211364406E-3</v>
      </c>
      <c r="D1130" s="9">
        <f t="shared" si="123"/>
        <v>-4.2693725395093404E-3</v>
      </c>
      <c r="E1130" s="9"/>
      <c r="F1130" s="9"/>
      <c r="G1130" s="9"/>
      <c r="H1130" s="9"/>
      <c r="I1130" s="9"/>
      <c r="J1130" s="9"/>
      <c r="K1130" s="9"/>
      <c r="L1130" s="9"/>
      <c r="M1130" s="5"/>
      <c r="AJ1130" s="2"/>
    </row>
    <row r="1131" spans="1:36" x14ac:dyDescent="0.25">
      <c r="A1131" s="6">
        <v>41429</v>
      </c>
      <c r="B1131" s="7">
        <v>5.1449999999999996</v>
      </c>
      <c r="C1131" s="9">
        <f t="shared" si="122"/>
        <v>8.7848295557328114E-3</v>
      </c>
      <c r="D1131" s="9">
        <f t="shared" si="123"/>
        <v>8.4293563373599115E-3</v>
      </c>
      <c r="E1131" s="9"/>
      <c r="F1131" s="9"/>
      <c r="G1131" s="9"/>
      <c r="H1131" s="9"/>
      <c r="I1131" s="9"/>
      <c r="J1131" s="9"/>
      <c r="K1131" s="9"/>
      <c r="L1131" s="9"/>
      <c r="M1131" s="5"/>
      <c r="AJ1131" s="2"/>
    </row>
    <row r="1132" spans="1:36" x14ac:dyDescent="0.25">
      <c r="A1132" s="6">
        <v>41430</v>
      </c>
      <c r="B1132" s="7">
        <v>5.1050000000000004</v>
      </c>
      <c r="C1132" s="9">
        <f t="shared" si="122"/>
        <v>-7.8049176693838675E-3</v>
      </c>
      <c r="D1132" s="9">
        <f t="shared" si="123"/>
        <v>-8.1603908877567674E-3</v>
      </c>
      <c r="E1132" s="9"/>
      <c r="F1132" s="9"/>
      <c r="G1132" s="9"/>
      <c r="H1132" s="9"/>
      <c r="I1132" s="9"/>
      <c r="J1132" s="9"/>
      <c r="K1132" s="9"/>
      <c r="L1132" s="9"/>
      <c r="M1132" s="5"/>
      <c r="AJ1132" s="2"/>
    </row>
    <row r="1133" spans="1:36" x14ac:dyDescent="0.25">
      <c r="A1133" s="6">
        <v>41431</v>
      </c>
      <c r="B1133" s="7">
        <v>4.91</v>
      </c>
      <c r="C1133" s="9">
        <f t="shared" si="122"/>
        <v>-3.8946509810199752E-2</v>
      </c>
      <c r="D1133" s="9">
        <f t="shared" si="123"/>
        <v>-3.930198302857265E-2</v>
      </c>
      <c r="E1133" s="9"/>
      <c r="F1133" s="9"/>
      <c r="G1133" s="9"/>
      <c r="H1133" s="9"/>
      <c r="I1133" s="9"/>
      <c r="J1133" s="9"/>
      <c r="K1133" s="9"/>
      <c r="L1133" s="9"/>
      <c r="M1133" s="5"/>
      <c r="AJ1133" s="2"/>
    </row>
    <row r="1134" spans="1:36" x14ac:dyDescent="0.25">
      <c r="A1134" s="6">
        <v>41432</v>
      </c>
      <c r="B1134" s="7">
        <v>5.0350000000000001</v>
      </c>
      <c r="C1134" s="9">
        <f t="shared" si="122"/>
        <v>2.5139584364096312E-2</v>
      </c>
      <c r="D1134" s="9">
        <f t="shared" si="123"/>
        <v>2.478411114572341E-2</v>
      </c>
      <c r="E1134" s="9"/>
      <c r="F1134" s="9"/>
      <c r="G1134" s="9"/>
      <c r="H1134" s="9"/>
      <c r="I1134" s="9"/>
      <c r="J1134" s="9"/>
      <c r="K1134" s="9"/>
      <c r="L1134" s="9"/>
      <c r="M1134" s="5"/>
      <c r="AJ1134" s="2"/>
    </row>
    <row r="1135" spans="1:36" x14ac:dyDescent="0.25">
      <c r="A1135" s="6">
        <v>41435</v>
      </c>
      <c r="B1135" s="7">
        <v>4.9559999999999995</v>
      </c>
      <c r="C1135" s="9">
        <f t="shared" si="122"/>
        <v>-1.5814562403629741E-2</v>
      </c>
      <c r="D1135" s="9">
        <f t="shared" si="123"/>
        <v>-1.6170035622002643E-2</v>
      </c>
      <c r="E1135" s="9"/>
      <c r="F1135" s="9"/>
      <c r="G1135" s="9"/>
      <c r="H1135" s="9"/>
      <c r="I1135" s="9"/>
      <c r="J1135" s="9"/>
      <c r="K1135" s="9"/>
      <c r="L1135" s="9"/>
      <c r="M1135" s="5"/>
      <c r="AJ1135" s="2"/>
    </row>
    <row r="1136" spans="1:36" x14ac:dyDescent="0.25">
      <c r="A1136" s="6">
        <v>41436</v>
      </c>
      <c r="B1136" s="7">
        <v>4.9559999999999995</v>
      </c>
      <c r="C1136" s="9">
        <f t="shared" si="122"/>
        <v>0</v>
      </c>
      <c r="D1136" s="9">
        <f t="shared" si="123"/>
        <v>-3.5547321837289993E-4</v>
      </c>
      <c r="E1136" s="9"/>
      <c r="F1136" s="9"/>
      <c r="G1136" s="9"/>
      <c r="H1136" s="9"/>
      <c r="I1136" s="9"/>
      <c r="J1136" s="9"/>
      <c r="K1136" s="9"/>
      <c r="L1136" s="9"/>
      <c r="M1136" s="5"/>
      <c r="AJ1136" s="2"/>
    </row>
    <row r="1137" spans="1:36" x14ac:dyDescent="0.25">
      <c r="A1137" s="6">
        <v>41437</v>
      </c>
      <c r="B1137" s="7">
        <v>4.82</v>
      </c>
      <c r="C1137" s="9">
        <f t="shared" si="122"/>
        <v>-2.7825035704386915E-2</v>
      </c>
      <c r="D1137" s="9">
        <f t="shared" si="123"/>
        <v>-2.8180508922759816E-2</v>
      </c>
      <c r="E1137" s="9"/>
      <c r="F1137" s="9"/>
      <c r="G1137" s="9"/>
      <c r="H1137" s="9"/>
      <c r="I1137" s="9"/>
      <c r="J1137" s="9"/>
      <c r="K1137" s="9"/>
      <c r="L1137" s="9"/>
      <c r="M1137" s="5"/>
      <c r="AJ1137" s="2"/>
    </row>
    <row r="1138" spans="1:36" x14ac:dyDescent="0.25">
      <c r="A1138" s="6">
        <v>41438</v>
      </c>
      <c r="B1138" s="7">
        <v>4.96</v>
      </c>
      <c r="C1138" s="9">
        <f t="shared" si="122"/>
        <v>2.863181267432708E-2</v>
      </c>
      <c r="D1138" s="9">
        <f t="shared" si="123"/>
        <v>2.8276339455954178E-2</v>
      </c>
      <c r="E1138" s="9"/>
      <c r="F1138" s="9"/>
      <c r="G1138" s="9"/>
      <c r="H1138" s="9"/>
      <c r="I1138" s="9"/>
      <c r="J1138" s="9"/>
      <c r="K1138" s="9"/>
      <c r="L1138" s="9"/>
      <c r="M1138" s="5"/>
      <c r="AJ1138" s="2"/>
    </row>
    <row r="1139" spans="1:36" x14ac:dyDescent="0.25">
      <c r="A1139" s="6">
        <v>41439</v>
      </c>
      <c r="B1139" s="7">
        <v>4.8959999999999999</v>
      </c>
      <c r="C1139" s="9">
        <f t="shared" si="122"/>
        <v>-1.298719552681119E-2</v>
      </c>
      <c r="D1139" s="9">
        <f t="shared" si="123"/>
        <v>-1.334266874518409E-2</v>
      </c>
      <c r="E1139" s="9"/>
      <c r="F1139" s="9"/>
      <c r="G1139" s="9"/>
      <c r="H1139" s="9"/>
      <c r="I1139" s="9"/>
      <c r="J1139" s="9"/>
      <c r="K1139" s="9"/>
      <c r="L1139" s="9"/>
      <c r="M1139" s="5"/>
      <c r="AJ1139" s="2"/>
    </row>
    <row r="1140" spans="1:36" x14ac:dyDescent="0.25">
      <c r="A1140" s="6">
        <v>41442</v>
      </c>
      <c r="B1140" s="7">
        <v>5</v>
      </c>
      <c r="C1140" s="9">
        <f t="shared" si="122"/>
        <v>2.1019367224075342E-2</v>
      </c>
      <c r="D1140" s="9">
        <f t="shared" si="123"/>
        <v>2.0663894005702441E-2</v>
      </c>
      <c r="E1140" s="9"/>
      <c r="F1140" s="9"/>
      <c r="G1140" s="9"/>
      <c r="H1140" s="9"/>
      <c r="I1140" s="9"/>
      <c r="J1140" s="9"/>
      <c r="K1140" s="9"/>
      <c r="L1140" s="9"/>
      <c r="M1140" s="5"/>
      <c r="AJ1140" s="2"/>
    </row>
    <row r="1141" spans="1:36" x14ac:dyDescent="0.25">
      <c r="A1141" s="6">
        <v>41443</v>
      </c>
      <c r="B1141" s="7">
        <v>5.085</v>
      </c>
      <c r="C1141" s="9">
        <f t="shared" si="122"/>
        <v>1.6857117066422806E-2</v>
      </c>
      <c r="D1141" s="9">
        <f t="shared" si="123"/>
        <v>1.6501643848049904E-2</v>
      </c>
      <c r="E1141" s="9"/>
      <c r="F1141" s="9"/>
      <c r="G1141" s="9"/>
      <c r="H1141" s="9"/>
      <c r="I1141" s="9"/>
      <c r="J1141" s="9"/>
      <c r="K1141" s="9"/>
      <c r="L1141" s="9"/>
      <c r="M1141" s="5"/>
      <c r="AJ1141" s="2"/>
    </row>
    <row r="1142" spans="1:36" x14ac:dyDescent="0.25">
      <c r="A1142" s="6">
        <v>41444</v>
      </c>
      <c r="B1142" s="7">
        <v>5</v>
      </c>
      <c r="C1142" s="9">
        <f t="shared" si="122"/>
        <v>-1.6857117066422837E-2</v>
      </c>
      <c r="D1142" s="9">
        <f t="shared" si="123"/>
        <v>-1.7212590284795739E-2</v>
      </c>
      <c r="E1142" s="9"/>
      <c r="F1142" s="9"/>
      <c r="G1142" s="9"/>
      <c r="H1142" s="9"/>
      <c r="I1142" s="9"/>
      <c r="J1142" s="9"/>
      <c r="K1142" s="9"/>
      <c r="L1142" s="9"/>
      <c r="M1142" s="5"/>
      <c r="AJ1142" s="2"/>
    </row>
    <row r="1143" spans="1:36" x14ac:dyDescent="0.25">
      <c r="A1143" s="6">
        <v>41445</v>
      </c>
      <c r="B1143" s="7">
        <v>4.8620000000000001</v>
      </c>
      <c r="C1143" s="9">
        <f t="shared" si="122"/>
        <v>-2.7988036540168713E-2</v>
      </c>
      <c r="D1143" s="9">
        <f t="shared" si="123"/>
        <v>-2.8343509758541614E-2</v>
      </c>
      <c r="E1143" s="9"/>
      <c r="F1143" s="9"/>
      <c r="G1143" s="9"/>
      <c r="H1143" s="9"/>
      <c r="I1143" s="9"/>
      <c r="J1143" s="9"/>
      <c r="K1143" s="9"/>
      <c r="L1143" s="9"/>
      <c r="M1143" s="5"/>
      <c r="AJ1143" s="2"/>
    </row>
    <row r="1144" spans="1:36" x14ac:dyDescent="0.25">
      <c r="A1144" s="6">
        <v>41446</v>
      </c>
      <c r="B1144" s="7">
        <v>4.4039999999999999</v>
      </c>
      <c r="C1144" s="9">
        <f t="shared" si="122"/>
        <v>-9.893665703349816E-2</v>
      </c>
      <c r="D1144" s="9">
        <f t="shared" si="123"/>
        <v>-9.9292130251871058E-2</v>
      </c>
      <c r="E1144" s="9"/>
      <c r="F1144" s="9"/>
      <c r="G1144" s="9"/>
      <c r="H1144" s="9"/>
      <c r="I1144" s="9"/>
      <c r="J1144" s="9"/>
      <c r="K1144" s="9"/>
      <c r="L1144" s="9"/>
      <c r="M1144" s="5"/>
      <c r="AJ1144" s="2"/>
    </row>
    <row r="1145" spans="1:36" x14ac:dyDescent="0.25">
      <c r="A1145" s="6">
        <v>41449</v>
      </c>
      <c r="B1145" s="7">
        <v>4.3819999999999997</v>
      </c>
      <c r="C1145" s="9">
        <f t="shared" si="122"/>
        <v>-5.0079776871587694E-3</v>
      </c>
      <c r="D1145" s="9">
        <f t="shared" si="123"/>
        <v>-5.3634509055316693E-3</v>
      </c>
      <c r="E1145" s="9"/>
      <c r="F1145" s="9"/>
      <c r="G1145" s="9"/>
      <c r="H1145" s="9"/>
      <c r="I1145" s="9"/>
      <c r="J1145" s="9"/>
      <c r="K1145" s="9"/>
      <c r="L1145" s="9"/>
      <c r="M1145" s="5"/>
      <c r="AJ1145" s="2"/>
    </row>
    <row r="1146" spans="1:36" x14ac:dyDescent="0.25">
      <c r="A1146" s="6">
        <v>41450</v>
      </c>
      <c r="B1146" s="7">
        <v>4.1639999999999997</v>
      </c>
      <c r="C1146" s="9">
        <f t="shared" si="122"/>
        <v>-5.1029090420552377E-2</v>
      </c>
      <c r="D1146" s="9">
        <f t="shared" si="123"/>
        <v>-5.1384563638925275E-2</v>
      </c>
      <c r="E1146" s="9"/>
      <c r="F1146" s="9"/>
      <c r="G1146" s="9"/>
      <c r="H1146" s="9"/>
      <c r="I1146" s="9"/>
      <c r="J1146" s="9"/>
      <c r="K1146" s="9"/>
      <c r="L1146" s="9"/>
      <c r="M1146" s="5"/>
      <c r="AJ1146" s="2"/>
    </row>
    <row r="1147" spans="1:36" x14ac:dyDescent="0.25">
      <c r="A1147" s="6">
        <v>41451</v>
      </c>
      <c r="B1147" s="7">
        <v>4.2060000000000004</v>
      </c>
      <c r="C1147" s="9">
        <f t="shared" si="122"/>
        <v>1.0035926527785654E-2</v>
      </c>
      <c r="D1147" s="9">
        <f t="shared" si="123"/>
        <v>9.6804533094127544E-3</v>
      </c>
      <c r="E1147" s="9"/>
      <c r="F1147" s="9"/>
      <c r="G1147" s="9"/>
      <c r="H1147" s="9"/>
      <c r="I1147" s="9"/>
      <c r="J1147" s="9"/>
      <c r="K1147" s="9"/>
      <c r="L1147" s="9"/>
      <c r="M1147" s="5"/>
      <c r="AJ1147" s="2"/>
    </row>
    <row r="1148" spans="1:36" x14ac:dyDescent="0.25">
      <c r="A1148" s="6">
        <v>41452</v>
      </c>
      <c r="B1148" s="7">
        <v>4.12</v>
      </c>
      <c r="C1148" s="9">
        <f t="shared" si="122"/>
        <v>-2.0658913919073096E-2</v>
      </c>
      <c r="D1148" s="9">
        <f t="shared" si="123"/>
        <v>-2.1014387137445998E-2</v>
      </c>
      <c r="E1148" s="9"/>
      <c r="F1148" s="9"/>
      <c r="G1148" s="9"/>
      <c r="H1148" s="9"/>
      <c r="I1148" s="9"/>
      <c r="J1148" s="9"/>
      <c r="K1148" s="9"/>
      <c r="L1148" s="9"/>
      <c r="M1148" s="5"/>
      <c r="AJ1148" s="2"/>
    </row>
    <row r="1149" spans="1:36" x14ac:dyDescent="0.25">
      <c r="A1149" s="6">
        <v>41453</v>
      </c>
      <c r="B1149" s="7">
        <v>4</v>
      </c>
      <c r="C1149" s="9">
        <f t="shared" ref="C1149:C1212" si="124">LN(B1149/B1148)</f>
        <v>-2.9558802241544391E-2</v>
      </c>
      <c r="D1149" s="9">
        <f t="shared" si="123"/>
        <v>-2.9914275459917292E-2</v>
      </c>
      <c r="E1149" s="9"/>
      <c r="F1149" s="9"/>
      <c r="G1149" s="9"/>
      <c r="H1149" s="9"/>
      <c r="I1149" s="9"/>
      <c r="J1149" s="9"/>
      <c r="K1149" s="9"/>
      <c r="L1149" s="9"/>
      <c r="M1149" s="5"/>
      <c r="AJ1149" s="2"/>
    </row>
    <row r="1150" spans="1:36" x14ac:dyDescent="0.25">
      <c r="A1150" s="6">
        <v>41456</v>
      </c>
      <c r="B1150" s="7">
        <v>4.2080000000000002</v>
      </c>
      <c r="C1150" s="9">
        <f t="shared" si="124"/>
        <v>5.0693114315518165E-2</v>
      </c>
      <c r="D1150" s="9">
        <f t="shared" si="123"/>
        <v>5.0337641097145266E-2</v>
      </c>
      <c r="E1150" s="9"/>
      <c r="F1150" s="9"/>
      <c r="G1150" s="9"/>
      <c r="H1150" s="9"/>
      <c r="I1150" s="9"/>
      <c r="J1150" s="9"/>
      <c r="K1150" s="9"/>
      <c r="L1150" s="9"/>
      <c r="M1150" s="5"/>
      <c r="AJ1150" s="2"/>
    </row>
    <row r="1151" spans="1:36" x14ac:dyDescent="0.25">
      <c r="A1151" s="6">
        <v>41457</v>
      </c>
      <c r="B1151" s="7">
        <v>4.22</v>
      </c>
      <c r="C1151" s="9">
        <f t="shared" si="124"/>
        <v>2.8476526125116972E-3</v>
      </c>
      <c r="D1151" s="9">
        <f t="shared" si="123"/>
        <v>2.4921793941387973E-3</v>
      </c>
      <c r="E1151" s="9"/>
      <c r="F1151" s="9"/>
      <c r="G1151" s="9"/>
      <c r="H1151" s="9"/>
      <c r="I1151" s="9"/>
      <c r="J1151" s="9"/>
      <c r="K1151" s="9"/>
      <c r="L1151" s="9"/>
      <c r="M1151" s="5"/>
      <c r="AJ1151" s="2"/>
    </row>
    <row r="1152" spans="1:36" x14ac:dyDescent="0.25">
      <c r="A1152" s="6">
        <v>41458</v>
      </c>
      <c r="B1152" s="7">
        <v>4.218</v>
      </c>
      <c r="C1152" s="9">
        <f t="shared" si="124"/>
        <v>-4.7404599133753336E-4</v>
      </c>
      <c r="D1152" s="9">
        <f t="shared" si="123"/>
        <v>-8.2951920971043329E-4</v>
      </c>
      <c r="E1152" s="9"/>
      <c r="F1152" s="9"/>
      <c r="G1152" s="9"/>
      <c r="H1152" s="9"/>
      <c r="I1152" s="9"/>
      <c r="J1152" s="9"/>
      <c r="K1152" s="9"/>
      <c r="L1152" s="9"/>
      <c r="M1152" s="5"/>
      <c r="AJ1152" s="2"/>
    </row>
    <row r="1153" spans="1:36" x14ac:dyDescent="0.25">
      <c r="A1153" s="6">
        <v>41459</v>
      </c>
      <c r="B1153" s="7">
        <v>4.3739999999999997</v>
      </c>
      <c r="C1153" s="9">
        <f t="shared" si="124"/>
        <v>3.6316840197993069E-2</v>
      </c>
      <c r="D1153" s="9">
        <f t="shared" si="123"/>
        <v>3.5961366979620171E-2</v>
      </c>
      <c r="E1153" s="9"/>
      <c r="F1153" s="9"/>
      <c r="G1153" s="9"/>
      <c r="H1153" s="9"/>
      <c r="I1153" s="9"/>
      <c r="J1153" s="9"/>
      <c r="K1153" s="9"/>
      <c r="L1153" s="9"/>
      <c r="M1153" s="5"/>
      <c r="AJ1153" s="2"/>
    </row>
    <row r="1154" spans="1:36" x14ac:dyDescent="0.25">
      <c r="A1154" s="6">
        <v>41460</v>
      </c>
      <c r="B1154" s="7">
        <v>4.3719999999999999</v>
      </c>
      <c r="C1154" s="9">
        <f t="shared" si="124"/>
        <v>-4.5735194028388119E-4</v>
      </c>
      <c r="D1154" s="9">
        <f t="shared" si="123"/>
        <v>-8.1282515865678116E-4</v>
      </c>
      <c r="E1154" s="9"/>
      <c r="F1154" s="9"/>
      <c r="G1154" s="9"/>
      <c r="H1154" s="9"/>
      <c r="I1154" s="9"/>
      <c r="J1154" s="9"/>
      <c r="K1154" s="9"/>
      <c r="L1154" s="9"/>
      <c r="M1154" s="5"/>
      <c r="AJ1154" s="2"/>
    </row>
    <row r="1155" spans="1:36" x14ac:dyDescent="0.25">
      <c r="A1155" s="6">
        <v>41463</v>
      </c>
      <c r="B1155" s="7">
        <v>4.476</v>
      </c>
      <c r="C1155" s="9">
        <f t="shared" si="124"/>
        <v>2.3509220135386751E-2</v>
      </c>
      <c r="D1155" s="9">
        <f t="shared" si="123"/>
        <v>2.315374691701385E-2</v>
      </c>
      <c r="E1155" s="9"/>
      <c r="F1155" s="9"/>
      <c r="G1155" s="9"/>
      <c r="H1155" s="9"/>
      <c r="I1155" s="9"/>
      <c r="J1155" s="9"/>
      <c r="K1155" s="9"/>
      <c r="L1155" s="9"/>
      <c r="M1155" s="5"/>
      <c r="AJ1155" s="2"/>
    </row>
    <row r="1156" spans="1:36" x14ac:dyDescent="0.25">
      <c r="A1156" s="6">
        <v>41464</v>
      </c>
      <c r="B1156" s="7">
        <v>4.4139999999999997</v>
      </c>
      <c r="C1156" s="9">
        <f t="shared" si="124"/>
        <v>-1.3948482615134226E-2</v>
      </c>
      <c r="D1156" s="9">
        <f t="shared" si="123"/>
        <v>-1.4303955833507126E-2</v>
      </c>
      <c r="E1156" s="9"/>
      <c r="F1156" s="9"/>
      <c r="G1156" s="9"/>
      <c r="H1156" s="9"/>
      <c r="I1156" s="9"/>
      <c r="J1156" s="9"/>
      <c r="K1156" s="9"/>
      <c r="L1156" s="9"/>
      <c r="M1156" s="5"/>
      <c r="AJ1156" s="2"/>
    </row>
    <row r="1157" spans="1:36" x14ac:dyDescent="0.25">
      <c r="A1157" s="6">
        <v>41465</v>
      </c>
      <c r="B1157" s="7">
        <v>4.468</v>
      </c>
      <c r="C1157" s="9">
        <f t="shared" si="124"/>
        <v>1.2159573372409589E-2</v>
      </c>
      <c r="D1157" s="9">
        <f t="shared" si="123"/>
        <v>1.1804100154036689E-2</v>
      </c>
      <c r="E1157" s="9"/>
      <c r="F1157" s="9"/>
      <c r="G1157" s="9"/>
      <c r="H1157" s="9"/>
      <c r="I1157" s="9"/>
      <c r="J1157" s="9"/>
      <c r="K1157" s="9"/>
      <c r="L1157" s="9"/>
      <c r="M1157" s="5"/>
      <c r="AJ1157" s="2"/>
    </row>
    <row r="1158" spans="1:36" x14ac:dyDescent="0.25">
      <c r="A1158" s="6">
        <v>41466</v>
      </c>
      <c r="B1158" s="7">
        <v>4.5019999999999998</v>
      </c>
      <c r="C1158" s="9">
        <f t="shared" si="124"/>
        <v>7.5808612775862018E-3</v>
      </c>
      <c r="D1158" s="9">
        <f t="shared" si="123"/>
        <v>7.2253880592133019E-3</v>
      </c>
      <c r="E1158" s="9"/>
      <c r="F1158" s="9"/>
      <c r="G1158" s="9"/>
      <c r="H1158" s="9"/>
      <c r="I1158" s="9"/>
      <c r="J1158" s="9"/>
      <c r="K1158" s="9"/>
      <c r="L1158" s="9"/>
      <c r="M1158" s="5"/>
      <c r="AJ1158" s="2"/>
    </row>
    <row r="1159" spans="1:36" x14ac:dyDescent="0.25">
      <c r="A1159" s="6">
        <v>41467</v>
      </c>
      <c r="B1159" s="7">
        <v>4.4400000000000004</v>
      </c>
      <c r="C1159" s="9">
        <f t="shared" si="124"/>
        <v>-1.3867366040407029E-2</v>
      </c>
      <c r="D1159" s="9">
        <f t="shared" si="123"/>
        <v>-1.4222839258779929E-2</v>
      </c>
      <c r="E1159" s="9"/>
      <c r="F1159" s="9"/>
      <c r="G1159" s="9"/>
      <c r="H1159" s="9"/>
      <c r="I1159" s="9"/>
      <c r="J1159" s="9"/>
      <c r="K1159" s="9"/>
      <c r="L1159" s="9"/>
      <c r="M1159" s="5"/>
      <c r="AJ1159" s="2"/>
    </row>
    <row r="1160" spans="1:36" x14ac:dyDescent="0.25">
      <c r="A1160" s="6">
        <v>41470</v>
      </c>
      <c r="B1160" s="7">
        <v>4.4459999999999997</v>
      </c>
      <c r="C1160" s="9">
        <f t="shared" si="124"/>
        <v>1.3504390978713249E-3</v>
      </c>
      <c r="D1160" s="9">
        <f t="shared" si="123"/>
        <v>9.9496587949842504E-4</v>
      </c>
      <c r="E1160" s="9"/>
      <c r="F1160" s="9"/>
      <c r="G1160" s="9"/>
      <c r="H1160" s="9"/>
      <c r="I1160" s="9"/>
      <c r="J1160" s="9"/>
      <c r="K1160" s="9"/>
      <c r="L1160" s="9"/>
      <c r="M1160" s="5"/>
      <c r="AJ1160" s="2"/>
    </row>
    <row r="1161" spans="1:36" x14ac:dyDescent="0.25">
      <c r="A1161" s="6">
        <v>41471</v>
      </c>
      <c r="B1161" s="7">
        <v>4.38</v>
      </c>
      <c r="C1161" s="9">
        <f t="shared" si="124"/>
        <v>-1.4956091153649992E-2</v>
      </c>
      <c r="D1161" s="9">
        <f t="shared" si="123"/>
        <v>-1.5311564372022891E-2</v>
      </c>
      <c r="E1161" s="9"/>
      <c r="F1161" s="9"/>
      <c r="G1161" s="9"/>
      <c r="H1161" s="9"/>
      <c r="I1161" s="9"/>
      <c r="J1161" s="9"/>
      <c r="K1161" s="9"/>
      <c r="L1161" s="9"/>
      <c r="M1161" s="5"/>
      <c r="AJ1161" s="2"/>
    </row>
    <row r="1162" spans="1:36" x14ac:dyDescent="0.25">
      <c r="A1162" s="6">
        <v>41472</v>
      </c>
      <c r="B1162" s="7">
        <v>4.32</v>
      </c>
      <c r="C1162" s="9">
        <f t="shared" si="124"/>
        <v>-1.3793322132335761E-2</v>
      </c>
      <c r="D1162" s="9">
        <f t="shared" si="123"/>
        <v>-1.414879535070866E-2</v>
      </c>
      <c r="E1162" s="9"/>
      <c r="F1162" s="9"/>
      <c r="G1162" s="9"/>
      <c r="H1162" s="9"/>
      <c r="I1162" s="9"/>
      <c r="J1162" s="9"/>
      <c r="K1162" s="9"/>
      <c r="L1162" s="9"/>
      <c r="M1162" s="5"/>
      <c r="AJ1162" s="2"/>
    </row>
    <row r="1163" spans="1:36" x14ac:dyDescent="0.25">
      <c r="A1163" s="6">
        <v>41473</v>
      </c>
      <c r="B1163" s="7">
        <v>4.4480000000000004</v>
      </c>
      <c r="C1163" s="9">
        <f t="shared" si="124"/>
        <v>2.919915469226235E-2</v>
      </c>
      <c r="D1163" s="9">
        <f t="shared" si="123"/>
        <v>2.8843681473889448E-2</v>
      </c>
      <c r="E1163" s="9"/>
      <c r="F1163" s="9"/>
      <c r="G1163" s="9"/>
      <c r="H1163" s="9"/>
      <c r="I1163" s="9"/>
      <c r="J1163" s="9"/>
      <c r="K1163" s="9"/>
      <c r="L1163" s="9"/>
      <c r="M1163" s="5"/>
      <c r="AJ1163" s="2"/>
    </row>
    <row r="1164" spans="1:36" x14ac:dyDescent="0.25">
      <c r="A1164" s="6">
        <v>41474</v>
      </c>
      <c r="B1164" s="7">
        <v>4.5060000000000002</v>
      </c>
      <c r="C1164" s="9">
        <f t="shared" si="124"/>
        <v>1.2955285061771415E-2</v>
      </c>
      <c r="D1164" s="9">
        <f t="shared" si="123"/>
        <v>1.2599811843398515E-2</v>
      </c>
      <c r="E1164" s="9"/>
      <c r="F1164" s="9"/>
      <c r="G1164" s="9"/>
      <c r="H1164" s="9"/>
      <c r="I1164" s="9"/>
      <c r="J1164" s="9"/>
      <c r="K1164" s="9"/>
      <c r="L1164" s="9"/>
      <c r="M1164" s="5"/>
      <c r="AJ1164" s="2"/>
    </row>
    <row r="1165" spans="1:36" x14ac:dyDescent="0.25">
      <c r="A1165" s="6">
        <v>41477</v>
      </c>
      <c r="B1165" s="7">
        <v>4.516</v>
      </c>
      <c r="C1165" s="9">
        <f t="shared" si="124"/>
        <v>2.2168042773628967E-3</v>
      </c>
      <c r="D1165" s="9">
        <f t="shared" si="123"/>
        <v>1.8613310589899968E-3</v>
      </c>
      <c r="E1165" s="9"/>
      <c r="F1165" s="9"/>
      <c r="G1165" s="9"/>
      <c r="H1165" s="9"/>
      <c r="I1165" s="9"/>
      <c r="J1165" s="9"/>
      <c r="K1165" s="9"/>
      <c r="L1165" s="9"/>
      <c r="M1165" s="5"/>
      <c r="AJ1165" s="2"/>
    </row>
    <row r="1166" spans="1:36" x14ac:dyDescent="0.25">
      <c r="A1166" s="6">
        <v>41478</v>
      </c>
      <c r="B1166" s="7">
        <v>4.49</v>
      </c>
      <c r="C1166" s="9">
        <f t="shared" si="124"/>
        <v>-5.773944533252637E-3</v>
      </c>
      <c r="D1166" s="9">
        <f t="shared" si="123"/>
        <v>-6.1294177516255368E-3</v>
      </c>
      <c r="E1166" s="9"/>
      <c r="F1166" s="9"/>
      <c r="G1166" s="9"/>
      <c r="H1166" s="9"/>
      <c r="I1166" s="9"/>
      <c r="J1166" s="9"/>
      <c r="K1166" s="9"/>
      <c r="L1166" s="9"/>
      <c r="M1166" s="5"/>
      <c r="AJ1166" s="2"/>
    </row>
    <row r="1167" spans="1:36" x14ac:dyDescent="0.25">
      <c r="A1167" s="6">
        <v>41479</v>
      </c>
      <c r="B1167" s="7">
        <v>4.5659999999999998</v>
      </c>
      <c r="C1167" s="9">
        <f t="shared" si="124"/>
        <v>1.6784846353440696E-2</v>
      </c>
      <c r="D1167" s="9">
        <f t="shared" si="123"/>
        <v>1.6429373135067794E-2</v>
      </c>
      <c r="E1167" s="9"/>
      <c r="F1167" s="9"/>
      <c r="G1167" s="9"/>
      <c r="H1167" s="9"/>
      <c r="I1167" s="9"/>
      <c r="J1167" s="9"/>
      <c r="K1167" s="9"/>
      <c r="L1167" s="9"/>
      <c r="M1167" s="5"/>
      <c r="AJ1167" s="2"/>
    </row>
    <row r="1168" spans="1:36" x14ac:dyDescent="0.25">
      <c r="A1168" s="6">
        <v>41480</v>
      </c>
      <c r="B1168" s="7">
        <v>4.6619999999999999</v>
      </c>
      <c r="C1168" s="9">
        <f t="shared" si="124"/>
        <v>2.0806992505961557E-2</v>
      </c>
      <c r="D1168" s="9">
        <f t="shared" si="123"/>
        <v>2.0451519287588656E-2</v>
      </c>
      <c r="E1168" s="9"/>
      <c r="F1168" s="9"/>
      <c r="G1168" s="9"/>
      <c r="H1168" s="9"/>
      <c r="I1168" s="9"/>
      <c r="J1168" s="9"/>
      <c r="K1168" s="9"/>
      <c r="L1168" s="9"/>
      <c r="M1168" s="5"/>
      <c r="AJ1168" s="2"/>
    </row>
    <row r="1169" spans="1:36" x14ac:dyDescent="0.25">
      <c r="A1169" s="6">
        <v>41481</v>
      </c>
      <c r="B1169" s="7">
        <v>4.6740000000000004</v>
      </c>
      <c r="C1169" s="9">
        <f t="shared" si="124"/>
        <v>2.5706955031008917E-3</v>
      </c>
      <c r="D1169" s="9">
        <f t="shared" si="123"/>
        <v>2.2152222847279918E-3</v>
      </c>
      <c r="E1169" s="9"/>
      <c r="F1169" s="9"/>
      <c r="G1169" s="9"/>
      <c r="H1169" s="9"/>
      <c r="I1169" s="9"/>
      <c r="J1169" s="9"/>
      <c r="K1169" s="9"/>
      <c r="L1169" s="9"/>
      <c r="M1169" s="5"/>
      <c r="AJ1169" s="2"/>
    </row>
    <row r="1170" spans="1:36" x14ac:dyDescent="0.25">
      <c r="A1170" s="6">
        <v>41484</v>
      </c>
      <c r="B1170" s="7">
        <v>4.5</v>
      </c>
      <c r="C1170" s="9">
        <f t="shared" si="124"/>
        <v>-3.7937839340392271E-2</v>
      </c>
      <c r="D1170" s="9">
        <f t="shared" si="123"/>
        <v>-3.8293312558765169E-2</v>
      </c>
      <c r="E1170" s="9"/>
      <c r="F1170" s="9"/>
      <c r="G1170" s="9"/>
      <c r="H1170" s="9"/>
      <c r="I1170" s="9"/>
      <c r="J1170" s="9"/>
      <c r="K1170" s="9"/>
      <c r="L1170" s="9"/>
      <c r="M1170" s="5"/>
      <c r="AJ1170" s="2"/>
    </row>
    <row r="1171" spans="1:36" x14ac:dyDescent="0.25">
      <c r="A1171" s="6">
        <v>41485</v>
      </c>
      <c r="B1171" s="7">
        <v>4.59</v>
      </c>
      <c r="C1171" s="9">
        <f t="shared" si="124"/>
        <v>1.980262729617973E-2</v>
      </c>
      <c r="D1171" s="9">
        <f t="shared" si="123"/>
        <v>1.9447154077806828E-2</v>
      </c>
      <c r="E1171" s="9"/>
      <c r="F1171" s="9"/>
      <c r="G1171" s="9"/>
      <c r="H1171" s="9"/>
      <c r="I1171" s="9"/>
      <c r="J1171" s="9"/>
      <c r="K1171" s="9"/>
      <c r="L1171" s="9"/>
      <c r="M1171" s="5"/>
      <c r="AJ1171" s="2"/>
    </row>
    <row r="1172" spans="1:36" x14ac:dyDescent="0.25">
      <c r="A1172" s="6">
        <v>41486</v>
      </c>
      <c r="B1172" s="7">
        <v>4.6139999999999999</v>
      </c>
      <c r="C1172" s="9">
        <f t="shared" si="124"/>
        <v>5.2151356791081188E-3</v>
      </c>
      <c r="D1172" s="9">
        <f t="shared" si="123"/>
        <v>4.8596624607352189E-3</v>
      </c>
      <c r="E1172" s="9"/>
      <c r="F1172" s="9"/>
      <c r="G1172" s="9"/>
      <c r="H1172" s="9"/>
      <c r="I1172" s="9"/>
      <c r="J1172" s="9"/>
      <c r="K1172" s="9"/>
      <c r="L1172" s="9"/>
      <c r="M1172" s="5"/>
      <c r="AJ1172" s="2"/>
    </row>
    <row r="1173" spans="1:36" x14ac:dyDescent="0.25">
      <c r="A1173" s="6">
        <v>41487</v>
      </c>
      <c r="B1173" s="7">
        <v>4.6820000000000004</v>
      </c>
      <c r="C1173" s="9">
        <f t="shared" si="124"/>
        <v>1.4630209317157217E-2</v>
      </c>
      <c r="D1173" s="9">
        <f t="shared" ref="D1173:D1236" si="125">C1173-$C$59/252</f>
        <v>1.4274736098784317E-2</v>
      </c>
      <c r="E1173" s="9"/>
      <c r="F1173" s="9"/>
      <c r="G1173" s="9"/>
      <c r="H1173" s="9"/>
      <c r="I1173" s="9"/>
      <c r="J1173" s="9"/>
      <c r="K1173" s="9"/>
      <c r="L1173" s="9"/>
      <c r="M1173" s="5"/>
      <c r="AJ1173" s="2"/>
    </row>
    <row r="1174" spans="1:36" x14ac:dyDescent="0.25">
      <c r="A1174" s="6">
        <v>41488</v>
      </c>
      <c r="B1174" s="7">
        <v>4.8339999999999996</v>
      </c>
      <c r="C1174" s="9">
        <f t="shared" si="124"/>
        <v>3.1948913212572157E-2</v>
      </c>
      <c r="D1174" s="9">
        <f t="shared" si="125"/>
        <v>3.1593439994199259E-2</v>
      </c>
      <c r="E1174" s="9"/>
      <c r="F1174" s="9"/>
      <c r="G1174" s="9"/>
      <c r="H1174" s="9"/>
      <c r="I1174" s="9"/>
      <c r="J1174" s="9"/>
      <c r="K1174" s="9"/>
      <c r="L1174" s="9"/>
      <c r="M1174" s="5"/>
      <c r="AJ1174" s="2"/>
    </row>
    <row r="1175" spans="1:36" x14ac:dyDescent="0.25">
      <c r="A1175" s="6">
        <v>41491</v>
      </c>
      <c r="B1175" s="7">
        <v>4.8019999999999996</v>
      </c>
      <c r="C1175" s="9">
        <f t="shared" si="124"/>
        <v>-6.6417844822297669E-3</v>
      </c>
      <c r="D1175" s="9">
        <f t="shared" si="125"/>
        <v>-6.9972577006026668E-3</v>
      </c>
      <c r="E1175" s="9"/>
      <c r="F1175" s="9"/>
      <c r="G1175" s="9"/>
      <c r="H1175" s="9"/>
      <c r="I1175" s="9"/>
      <c r="J1175" s="9"/>
      <c r="K1175" s="9"/>
      <c r="L1175" s="9"/>
      <c r="M1175" s="5"/>
      <c r="AJ1175" s="2"/>
    </row>
    <row r="1176" spans="1:36" x14ac:dyDescent="0.25">
      <c r="A1176" s="6">
        <v>41492</v>
      </c>
      <c r="B1176" s="7">
        <v>4.8079999999999998</v>
      </c>
      <c r="C1176" s="9">
        <f t="shared" si="124"/>
        <v>1.2486994338450198E-3</v>
      </c>
      <c r="D1176" s="9">
        <f t="shared" si="125"/>
        <v>8.9322621547211997E-4</v>
      </c>
      <c r="E1176" s="9"/>
      <c r="F1176" s="9"/>
      <c r="G1176" s="9"/>
      <c r="H1176" s="9"/>
      <c r="I1176" s="9"/>
      <c r="J1176" s="9"/>
      <c r="K1176" s="9"/>
      <c r="L1176" s="9"/>
      <c r="M1176" s="5"/>
      <c r="AJ1176" s="2"/>
    </row>
    <row r="1177" spans="1:36" x14ac:dyDescent="0.25">
      <c r="A1177" s="6">
        <v>41493</v>
      </c>
      <c r="B1177" s="7">
        <v>4.9080000000000004</v>
      </c>
      <c r="C1177" s="9">
        <f t="shared" si="124"/>
        <v>2.0585329615758749E-2</v>
      </c>
      <c r="D1177" s="9">
        <f t="shared" si="125"/>
        <v>2.0229856397385847E-2</v>
      </c>
      <c r="E1177" s="9"/>
      <c r="F1177" s="9"/>
      <c r="G1177" s="9"/>
      <c r="H1177" s="9"/>
      <c r="I1177" s="9"/>
      <c r="J1177" s="9"/>
      <c r="K1177" s="9"/>
      <c r="L1177" s="9"/>
      <c r="M1177" s="5"/>
      <c r="AJ1177" s="2"/>
    </row>
    <row r="1178" spans="1:36" x14ac:dyDescent="0.25">
      <c r="A1178" s="6">
        <v>41494</v>
      </c>
      <c r="B1178" s="7">
        <v>5.0750000000000002</v>
      </c>
      <c r="C1178" s="9">
        <f t="shared" si="124"/>
        <v>3.3459998079185975E-2</v>
      </c>
      <c r="D1178" s="9">
        <f t="shared" si="125"/>
        <v>3.3104524860813077E-2</v>
      </c>
      <c r="E1178" s="9"/>
      <c r="F1178" s="9"/>
      <c r="G1178" s="9"/>
      <c r="H1178" s="9"/>
      <c r="I1178" s="9"/>
      <c r="J1178" s="9"/>
      <c r="K1178" s="9"/>
      <c r="L1178" s="9"/>
      <c r="M1178" s="5"/>
      <c r="AJ1178" s="2"/>
    </row>
    <row r="1179" spans="1:36" x14ac:dyDescent="0.25">
      <c r="A1179" s="6">
        <v>41495</v>
      </c>
      <c r="B1179" s="7">
        <v>5.25</v>
      </c>
      <c r="C1179" s="9">
        <f t="shared" si="124"/>
        <v>3.3901551675681416E-2</v>
      </c>
      <c r="D1179" s="9">
        <f t="shared" si="125"/>
        <v>3.3546078457308517E-2</v>
      </c>
      <c r="E1179" s="9"/>
      <c r="F1179" s="9"/>
      <c r="G1179" s="9"/>
      <c r="H1179" s="9"/>
      <c r="I1179" s="9"/>
      <c r="J1179" s="9"/>
      <c r="K1179" s="9"/>
      <c r="L1179" s="9"/>
      <c r="M1179" s="5"/>
      <c r="AJ1179" s="2"/>
    </row>
    <row r="1180" spans="1:36" x14ac:dyDescent="0.25">
      <c r="A1180" s="6">
        <v>41498</v>
      </c>
      <c r="B1180" s="7">
        <v>5.26</v>
      </c>
      <c r="C1180" s="9">
        <f t="shared" si="124"/>
        <v>1.9029501460860636E-3</v>
      </c>
      <c r="D1180" s="9">
        <f t="shared" si="125"/>
        <v>1.5474769277131638E-3</v>
      </c>
      <c r="E1180" s="9"/>
      <c r="F1180" s="9"/>
      <c r="G1180" s="9"/>
      <c r="H1180" s="9"/>
      <c r="I1180" s="9"/>
      <c r="J1180" s="9"/>
      <c r="K1180" s="9"/>
      <c r="L1180" s="9"/>
      <c r="M1180" s="5"/>
      <c r="AJ1180" s="2"/>
    </row>
    <row r="1181" spans="1:36" x14ac:dyDescent="0.25">
      <c r="A1181" s="6">
        <v>41499</v>
      </c>
      <c r="B1181" s="7">
        <v>5.23</v>
      </c>
      <c r="C1181" s="9">
        <f t="shared" si="124"/>
        <v>-5.7197486727868412E-3</v>
      </c>
      <c r="D1181" s="9">
        <f t="shared" si="125"/>
        <v>-6.0752218911597411E-3</v>
      </c>
      <c r="E1181" s="9"/>
      <c r="F1181" s="9"/>
      <c r="G1181" s="9"/>
      <c r="H1181" s="9"/>
      <c r="I1181" s="9"/>
      <c r="J1181" s="9"/>
      <c r="K1181" s="9"/>
      <c r="L1181" s="9"/>
      <c r="M1181" s="5"/>
      <c r="AJ1181" s="2"/>
    </row>
    <row r="1182" spans="1:36" x14ac:dyDescent="0.25">
      <c r="A1182" s="6">
        <v>41500</v>
      </c>
      <c r="B1182" s="7">
        <v>5.2750000000000004</v>
      </c>
      <c r="C1182" s="9">
        <f t="shared" si="124"/>
        <v>8.5674012852985839E-3</v>
      </c>
      <c r="D1182" s="9">
        <f t="shared" si="125"/>
        <v>8.211928066925684E-3</v>
      </c>
      <c r="E1182" s="9"/>
      <c r="F1182" s="9"/>
      <c r="G1182" s="9"/>
      <c r="H1182" s="9"/>
      <c r="I1182" s="9"/>
      <c r="J1182" s="9"/>
      <c r="K1182" s="9"/>
      <c r="L1182" s="9"/>
      <c r="M1182" s="5"/>
      <c r="AJ1182" s="2"/>
    </row>
    <row r="1183" spans="1:36" x14ac:dyDescent="0.25">
      <c r="A1183" s="6">
        <v>41502</v>
      </c>
      <c r="B1183" s="7">
        <v>5.4249999999999998</v>
      </c>
      <c r="C1183" s="9">
        <f t="shared" si="124"/>
        <v>2.8039220064392908E-2</v>
      </c>
      <c r="D1183" s="9">
        <f t="shared" si="125"/>
        <v>2.7683746846020006E-2</v>
      </c>
      <c r="E1183" s="9"/>
      <c r="F1183" s="9"/>
      <c r="G1183" s="9"/>
      <c r="H1183" s="9"/>
      <c r="I1183" s="9"/>
      <c r="J1183" s="9"/>
      <c r="K1183" s="9"/>
      <c r="L1183" s="9"/>
      <c r="M1183" s="5"/>
      <c r="AJ1183" s="2"/>
    </row>
    <row r="1184" spans="1:36" x14ac:dyDescent="0.25">
      <c r="A1184" s="6">
        <v>41505</v>
      </c>
      <c r="B1184" s="7">
        <v>5.21</v>
      </c>
      <c r="C1184" s="9">
        <f t="shared" si="124"/>
        <v>-4.0438043661247702E-2</v>
      </c>
      <c r="D1184" s="9">
        <f t="shared" si="125"/>
        <v>-4.07935168796206E-2</v>
      </c>
      <c r="E1184" s="9"/>
      <c r="F1184" s="9"/>
      <c r="G1184" s="9"/>
      <c r="H1184" s="9"/>
      <c r="I1184" s="9"/>
      <c r="J1184" s="9"/>
      <c r="K1184" s="9"/>
      <c r="L1184" s="9"/>
      <c r="M1184" s="5"/>
      <c r="AJ1184" s="2"/>
    </row>
    <row r="1185" spans="1:36" x14ac:dyDescent="0.25">
      <c r="A1185" s="6">
        <v>41506</v>
      </c>
      <c r="B1185" s="7">
        <v>5.0449999999999999</v>
      </c>
      <c r="C1185" s="9">
        <f t="shared" si="124"/>
        <v>-3.2182201959703262E-2</v>
      </c>
      <c r="D1185" s="9">
        <f t="shared" si="125"/>
        <v>-3.253767517807616E-2</v>
      </c>
      <c r="E1185" s="9"/>
      <c r="F1185" s="9"/>
      <c r="G1185" s="9"/>
      <c r="H1185" s="9"/>
      <c r="I1185" s="9"/>
      <c r="J1185" s="9"/>
      <c r="K1185" s="9"/>
      <c r="L1185" s="9"/>
      <c r="M1185" s="5"/>
      <c r="AJ1185" s="2"/>
    </row>
    <row r="1186" spans="1:36" x14ac:dyDescent="0.25">
      <c r="A1186" s="6">
        <v>41507</v>
      </c>
      <c r="B1186" s="7">
        <v>4.9800000000000004</v>
      </c>
      <c r="C1186" s="9">
        <f t="shared" si="124"/>
        <v>-1.296776276901066E-2</v>
      </c>
      <c r="D1186" s="9">
        <f t="shared" si="125"/>
        <v>-1.332323598738356E-2</v>
      </c>
      <c r="E1186" s="9"/>
      <c r="F1186" s="9"/>
      <c r="G1186" s="9"/>
      <c r="H1186" s="9"/>
      <c r="I1186" s="9"/>
      <c r="J1186" s="9"/>
      <c r="K1186" s="9"/>
      <c r="L1186" s="9"/>
      <c r="M1186" s="5"/>
      <c r="AJ1186" s="2"/>
    </row>
    <row r="1187" spans="1:36" x14ac:dyDescent="0.25">
      <c r="A1187" s="6">
        <v>41508</v>
      </c>
      <c r="B1187" s="7">
        <v>5.1100000000000003</v>
      </c>
      <c r="C1187" s="9">
        <f t="shared" si="124"/>
        <v>2.5769513179051393E-2</v>
      </c>
      <c r="D1187" s="9">
        <f t="shared" si="125"/>
        <v>2.5414039960678491E-2</v>
      </c>
      <c r="E1187" s="9"/>
      <c r="F1187" s="9"/>
      <c r="G1187" s="9"/>
      <c r="H1187" s="9"/>
      <c r="I1187" s="9"/>
      <c r="J1187" s="9"/>
      <c r="K1187" s="9"/>
      <c r="L1187" s="9"/>
      <c r="M1187" s="5"/>
      <c r="AJ1187" s="2"/>
    </row>
    <row r="1188" spans="1:36" x14ac:dyDescent="0.25">
      <c r="A1188" s="6">
        <v>41509</v>
      </c>
      <c r="B1188" s="7">
        <v>4.9660000000000002</v>
      </c>
      <c r="C1188" s="9">
        <f t="shared" si="124"/>
        <v>-2.8584717129638244E-2</v>
      </c>
      <c r="D1188" s="9">
        <f t="shared" si="125"/>
        <v>-2.8940190348011145E-2</v>
      </c>
      <c r="E1188" s="9"/>
      <c r="F1188" s="9"/>
      <c r="G1188" s="9"/>
      <c r="H1188" s="9"/>
      <c r="I1188" s="9"/>
      <c r="J1188" s="9"/>
      <c r="K1188" s="9"/>
      <c r="L1188" s="9"/>
      <c r="M1188" s="5"/>
      <c r="AJ1188" s="2"/>
    </row>
    <row r="1189" spans="1:36" x14ac:dyDescent="0.25">
      <c r="A1189" s="6">
        <v>41512</v>
      </c>
      <c r="B1189" s="7">
        <v>4.7960000000000003</v>
      </c>
      <c r="C1189" s="9">
        <f t="shared" si="124"/>
        <v>-3.4832449920707088E-2</v>
      </c>
      <c r="D1189" s="9">
        <f t="shared" si="125"/>
        <v>-3.5187923139079987E-2</v>
      </c>
      <c r="E1189" s="9"/>
      <c r="F1189" s="9"/>
      <c r="G1189" s="9"/>
      <c r="H1189" s="9"/>
      <c r="I1189" s="9"/>
      <c r="J1189" s="9"/>
      <c r="K1189" s="9"/>
      <c r="L1189" s="9"/>
      <c r="M1189" s="5"/>
      <c r="AJ1189" s="2"/>
    </row>
    <row r="1190" spans="1:36" x14ac:dyDescent="0.25">
      <c r="A1190" s="6">
        <v>41513</v>
      </c>
      <c r="B1190" s="7">
        <v>4.5999999999999996</v>
      </c>
      <c r="C1190" s="9">
        <f t="shared" si="124"/>
        <v>-4.1725933670218596E-2</v>
      </c>
      <c r="D1190" s="9">
        <f t="shared" si="125"/>
        <v>-4.2081406888591494E-2</v>
      </c>
      <c r="E1190" s="9"/>
      <c r="F1190" s="9"/>
      <c r="G1190" s="9"/>
      <c r="H1190" s="9"/>
      <c r="I1190" s="9"/>
      <c r="J1190" s="9"/>
      <c r="K1190" s="9"/>
      <c r="L1190" s="9"/>
      <c r="M1190" s="5"/>
      <c r="AJ1190" s="2"/>
    </row>
    <row r="1191" spans="1:36" x14ac:dyDescent="0.25">
      <c r="A1191" s="6">
        <v>41514</v>
      </c>
      <c r="B1191" s="7">
        <v>4.6639999999999997</v>
      </c>
      <c r="C1191" s="9">
        <f t="shared" si="124"/>
        <v>1.3817145553141903E-2</v>
      </c>
      <c r="D1191" s="9">
        <f t="shared" si="125"/>
        <v>1.3461672334769003E-2</v>
      </c>
      <c r="E1191" s="9"/>
      <c r="F1191" s="9"/>
      <c r="G1191" s="9"/>
      <c r="H1191" s="9"/>
      <c r="I1191" s="9"/>
      <c r="J1191" s="9"/>
      <c r="K1191" s="9"/>
      <c r="L1191" s="9"/>
      <c r="M1191" s="5"/>
      <c r="AJ1191" s="2"/>
    </row>
    <row r="1192" spans="1:36" x14ac:dyDescent="0.25">
      <c r="A1192" s="6">
        <v>41515</v>
      </c>
      <c r="B1192" s="7">
        <v>4.7720000000000002</v>
      </c>
      <c r="C1192" s="9">
        <f t="shared" si="124"/>
        <v>2.2892055187478548E-2</v>
      </c>
      <c r="D1192" s="9">
        <f t="shared" si="125"/>
        <v>2.2536581969105646E-2</v>
      </c>
      <c r="E1192" s="9"/>
      <c r="F1192" s="9"/>
      <c r="G1192" s="9"/>
      <c r="H1192" s="9"/>
      <c r="I1192" s="9"/>
      <c r="J1192" s="9"/>
      <c r="K1192" s="9"/>
      <c r="L1192" s="9"/>
      <c r="M1192" s="5"/>
      <c r="AJ1192" s="2"/>
    </row>
    <row r="1193" spans="1:36" x14ac:dyDescent="0.25">
      <c r="A1193" s="6">
        <v>41516</v>
      </c>
      <c r="B1193" s="7">
        <v>4.7059999999999995</v>
      </c>
      <c r="C1193" s="9">
        <f t="shared" si="124"/>
        <v>-1.3927213930499059E-2</v>
      </c>
      <c r="D1193" s="9">
        <f t="shared" si="125"/>
        <v>-1.4282687148871959E-2</v>
      </c>
      <c r="E1193" s="9"/>
      <c r="F1193" s="9"/>
      <c r="G1193" s="9"/>
      <c r="H1193" s="9"/>
      <c r="I1193" s="9"/>
      <c r="J1193" s="9"/>
      <c r="K1193" s="9"/>
      <c r="L1193" s="9"/>
      <c r="M1193" s="5"/>
      <c r="AJ1193" s="2"/>
    </row>
    <row r="1194" spans="1:36" x14ac:dyDescent="0.25">
      <c r="A1194" s="6">
        <v>41519</v>
      </c>
      <c r="B1194" s="7">
        <v>4.8100000000000005</v>
      </c>
      <c r="C1194" s="9">
        <f t="shared" si="124"/>
        <v>2.1858793812499232E-2</v>
      </c>
      <c r="D1194" s="9">
        <f t="shared" si="125"/>
        <v>2.1503320594126331E-2</v>
      </c>
      <c r="E1194" s="9"/>
      <c r="F1194" s="9"/>
      <c r="G1194" s="9"/>
      <c r="H1194" s="9"/>
      <c r="I1194" s="9"/>
      <c r="J1194" s="9"/>
      <c r="K1194" s="9"/>
      <c r="L1194" s="9"/>
      <c r="M1194" s="5"/>
      <c r="AJ1194" s="2"/>
    </row>
    <row r="1195" spans="1:36" x14ac:dyDescent="0.25">
      <c r="A1195" s="6">
        <v>41520</v>
      </c>
      <c r="B1195" s="7">
        <v>4.7720000000000002</v>
      </c>
      <c r="C1195" s="9">
        <f t="shared" si="124"/>
        <v>-7.9315798820001893E-3</v>
      </c>
      <c r="D1195" s="9">
        <f t="shared" si="125"/>
        <v>-8.2870531003730891E-3</v>
      </c>
      <c r="E1195" s="9"/>
      <c r="F1195" s="9"/>
      <c r="G1195" s="9"/>
      <c r="H1195" s="9"/>
      <c r="I1195" s="9"/>
      <c r="J1195" s="9"/>
      <c r="K1195" s="9"/>
      <c r="L1195" s="9"/>
      <c r="M1195" s="5"/>
      <c r="AJ1195" s="2"/>
    </row>
    <row r="1196" spans="1:36" x14ac:dyDescent="0.25">
      <c r="A1196" s="6">
        <v>41521</v>
      </c>
      <c r="B1196" s="7">
        <v>4.5960000000000001</v>
      </c>
      <c r="C1196" s="9">
        <f t="shared" si="124"/>
        <v>-3.7579144249160486E-2</v>
      </c>
      <c r="D1196" s="9">
        <f t="shared" si="125"/>
        <v>-3.7934617467533384E-2</v>
      </c>
      <c r="E1196" s="9"/>
      <c r="F1196" s="9"/>
      <c r="G1196" s="9"/>
      <c r="H1196" s="9"/>
      <c r="I1196" s="9"/>
      <c r="J1196" s="9"/>
      <c r="K1196" s="9"/>
      <c r="L1196" s="9"/>
      <c r="M1196" s="5"/>
      <c r="AJ1196" s="2"/>
    </row>
    <row r="1197" spans="1:36" x14ac:dyDescent="0.25">
      <c r="A1197" s="6">
        <v>41522</v>
      </c>
      <c r="B1197" s="7">
        <v>4.6879999999999997</v>
      </c>
      <c r="C1197" s="9">
        <f t="shared" si="124"/>
        <v>1.981969228820216E-2</v>
      </c>
      <c r="D1197" s="9">
        <f t="shared" si="125"/>
        <v>1.9464219069829258E-2</v>
      </c>
      <c r="E1197" s="9"/>
      <c r="F1197" s="9"/>
      <c r="G1197" s="9"/>
      <c r="H1197" s="9"/>
      <c r="I1197" s="9"/>
      <c r="J1197" s="9"/>
      <c r="K1197" s="9"/>
      <c r="L1197" s="9"/>
      <c r="M1197" s="5"/>
      <c r="AJ1197" s="2"/>
    </row>
    <row r="1198" spans="1:36" x14ac:dyDescent="0.25">
      <c r="A1198" s="6">
        <v>41523</v>
      </c>
      <c r="B1198" s="7">
        <v>4.7780000000000005</v>
      </c>
      <c r="C1198" s="9">
        <f t="shared" si="124"/>
        <v>1.9015996628906497E-2</v>
      </c>
      <c r="D1198" s="9">
        <f t="shared" si="125"/>
        <v>1.8660523410533595E-2</v>
      </c>
      <c r="E1198" s="9"/>
      <c r="F1198" s="9"/>
      <c r="G1198" s="9"/>
      <c r="H1198" s="9"/>
      <c r="I1198" s="9"/>
      <c r="J1198" s="9"/>
      <c r="K1198" s="9"/>
      <c r="L1198" s="9"/>
      <c r="M1198" s="5"/>
      <c r="AJ1198" s="2"/>
    </row>
    <row r="1199" spans="1:36" x14ac:dyDescent="0.25">
      <c r="A1199" s="6">
        <v>41526</v>
      </c>
      <c r="B1199" s="7">
        <v>4.95</v>
      </c>
      <c r="C1199" s="9">
        <f t="shared" si="124"/>
        <v>3.5365527676981007E-2</v>
      </c>
      <c r="D1199" s="9">
        <f t="shared" si="125"/>
        <v>3.5010054458608109E-2</v>
      </c>
      <c r="E1199" s="9"/>
      <c r="F1199" s="9"/>
      <c r="G1199" s="9"/>
      <c r="H1199" s="9"/>
      <c r="I1199" s="9"/>
      <c r="J1199" s="9"/>
      <c r="K1199" s="9"/>
      <c r="L1199" s="9"/>
      <c r="M1199" s="5"/>
      <c r="AJ1199" s="2"/>
    </row>
    <row r="1200" spans="1:36" x14ac:dyDescent="0.25">
      <c r="A1200" s="6">
        <v>41527</v>
      </c>
      <c r="B1200" s="7">
        <v>4.8739999999999997</v>
      </c>
      <c r="C1200" s="9">
        <f t="shared" si="124"/>
        <v>-1.5472621377584551E-2</v>
      </c>
      <c r="D1200" s="9">
        <f t="shared" si="125"/>
        <v>-1.5828094595957451E-2</v>
      </c>
      <c r="E1200" s="9"/>
      <c r="F1200" s="9"/>
      <c r="G1200" s="9"/>
      <c r="H1200" s="9"/>
      <c r="I1200" s="9"/>
      <c r="J1200" s="9"/>
      <c r="K1200" s="9"/>
      <c r="L1200" s="9"/>
      <c r="M1200" s="5"/>
      <c r="AJ1200" s="2"/>
    </row>
    <row r="1201" spans="1:36" x14ac:dyDescent="0.25">
      <c r="A1201" s="6">
        <v>41528</v>
      </c>
      <c r="B1201" s="7">
        <v>4.9820000000000002</v>
      </c>
      <c r="C1201" s="9">
        <f t="shared" si="124"/>
        <v>2.1916461636974253E-2</v>
      </c>
      <c r="D1201" s="9">
        <f t="shared" si="125"/>
        <v>2.1560988418601351E-2</v>
      </c>
      <c r="E1201" s="9"/>
      <c r="F1201" s="9"/>
      <c r="G1201" s="9"/>
      <c r="H1201" s="9"/>
      <c r="I1201" s="9"/>
      <c r="J1201" s="9"/>
      <c r="K1201" s="9"/>
      <c r="L1201" s="9"/>
      <c r="M1201" s="5"/>
      <c r="AJ1201" s="2"/>
    </row>
    <row r="1202" spans="1:36" x14ac:dyDescent="0.25">
      <c r="A1202" s="6">
        <v>41529</v>
      </c>
      <c r="B1202" s="7">
        <v>4.9859999999999998</v>
      </c>
      <c r="C1202" s="9">
        <f t="shared" si="124"/>
        <v>8.0256826137736239E-4</v>
      </c>
      <c r="D1202" s="9">
        <f t="shared" si="125"/>
        <v>4.4709504300446246E-4</v>
      </c>
      <c r="E1202" s="9"/>
      <c r="F1202" s="9"/>
      <c r="G1202" s="9"/>
      <c r="H1202" s="9"/>
      <c r="I1202" s="9"/>
      <c r="J1202" s="9"/>
      <c r="K1202" s="9"/>
      <c r="L1202" s="9"/>
      <c r="M1202" s="5"/>
      <c r="AJ1202" s="2"/>
    </row>
    <row r="1203" spans="1:36" x14ac:dyDescent="0.25">
      <c r="A1203" s="6">
        <v>41530</v>
      </c>
      <c r="B1203" s="7">
        <v>4.9559999999999995</v>
      </c>
      <c r="C1203" s="9">
        <f t="shared" si="124"/>
        <v>-6.035021334470138E-3</v>
      </c>
      <c r="D1203" s="9">
        <f t="shared" si="125"/>
        <v>-6.3904945528430379E-3</v>
      </c>
      <c r="E1203" s="9"/>
      <c r="F1203" s="9"/>
      <c r="G1203" s="9"/>
      <c r="H1203" s="9"/>
      <c r="I1203" s="9"/>
      <c r="J1203" s="9"/>
      <c r="K1203" s="9"/>
      <c r="L1203" s="9"/>
      <c r="M1203" s="5"/>
      <c r="AJ1203" s="2"/>
    </row>
    <row r="1204" spans="1:36" x14ac:dyDescent="0.25">
      <c r="A1204" s="6">
        <v>41533</v>
      </c>
      <c r="B1204" s="7">
        <v>5.0199999999999996</v>
      </c>
      <c r="C1204" s="9">
        <f t="shared" si="124"/>
        <v>1.2830969936741727E-2</v>
      </c>
      <c r="D1204" s="9">
        <f t="shared" si="125"/>
        <v>1.2475496718368827E-2</v>
      </c>
      <c r="E1204" s="9"/>
      <c r="F1204" s="9"/>
      <c r="G1204" s="9"/>
      <c r="H1204" s="9"/>
      <c r="I1204" s="9"/>
      <c r="J1204" s="9"/>
      <c r="K1204" s="9"/>
      <c r="L1204" s="9"/>
      <c r="M1204" s="5"/>
      <c r="AJ1204" s="2"/>
    </row>
    <row r="1205" spans="1:36" x14ac:dyDescent="0.25">
      <c r="A1205" s="6">
        <v>41534</v>
      </c>
      <c r="B1205" s="7">
        <v>5.1150000000000002</v>
      </c>
      <c r="C1205" s="9">
        <f t="shared" si="124"/>
        <v>1.8747465699952177E-2</v>
      </c>
      <c r="D1205" s="9">
        <f t="shared" si="125"/>
        <v>1.8391992481579276E-2</v>
      </c>
      <c r="E1205" s="9"/>
      <c r="F1205" s="9"/>
      <c r="G1205" s="9"/>
      <c r="H1205" s="9"/>
      <c r="I1205" s="9"/>
      <c r="J1205" s="9"/>
      <c r="K1205" s="9"/>
      <c r="L1205" s="9"/>
      <c r="M1205" s="5"/>
      <c r="AJ1205" s="2"/>
    </row>
    <row r="1206" spans="1:36" x14ac:dyDescent="0.25">
      <c r="A1206" s="6">
        <v>41535</v>
      </c>
      <c r="B1206" s="7">
        <v>5.2450000000000001</v>
      </c>
      <c r="C1206" s="9">
        <f t="shared" si="124"/>
        <v>2.509784244467067E-2</v>
      </c>
      <c r="D1206" s="9">
        <f t="shared" si="125"/>
        <v>2.4742369226297769E-2</v>
      </c>
      <c r="E1206" s="9"/>
      <c r="F1206" s="9"/>
      <c r="G1206" s="9"/>
      <c r="H1206" s="9"/>
      <c r="I1206" s="9"/>
      <c r="J1206" s="9"/>
      <c r="K1206" s="9"/>
      <c r="L1206" s="9"/>
      <c r="M1206" s="5"/>
      <c r="AJ1206" s="2"/>
    </row>
    <row r="1207" spans="1:36" x14ac:dyDescent="0.25">
      <c r="A1207" s="6">
        <v>41536</v>
      </c>
      <c r="B1207" s="7">
        <v>5.3049999999999997</v>
      </c>
      <c r="C1207" s="9">
        <f t="shared" si="124"/>
        <v>1.1374530217685992E-2</v>
      </c>
      <c r="D1207" s="9">
        <f t="shared" si="125"/>
        <v>1.1019056999313092E-2</v>
      </c>
      <c r="E1207" s="9"/>
      <c r="F1207" s="9"/>
      <c r="G1207" s="9"/>
      <c r="H1207" s="9"/>
      <c r="I1207" s="9"/>
      <c r="J1207" s="9"/>
      <c r="K1207" s="9"/>
      <c r="L1207" s="9"/>
      <c r="M1207" s="5"/>
      <c r="AJ1207" s="2"/>
    </row>
    <row r="1208" spans="1:36" x14ac:dyDescent="0.25">
      <c r="A1208" s="6">
        <v>41537</v>
      </c>
      <c r="B1208" s="7">
        <v>5.18</v>
      </c>
      <c r="C1208" s="9">
        <f t="shared" si="124"/>
        <v>-2.3844715794554758E-2</v>
      </c>
      <c r="D1208" s="9">
        <f t="shared" si="125"/>
        <v>-2.4200189012927659E-2</v>
      </c>
      <c r="E1208" s="9"/>
      <c r="F1208" s="9"/>
      <c r="G1208" s="9"/>
      <c r="H1208" s="9"/>
      <c r="I1208" s="9"/>
      <c r="J1208" s="9"/>
      <c r="K1208" s="9"/>
      <c r="L1208" s="9"/>
      <c r="M1208" s="5"/>
      <c r="AJ1208" s="2"/>
    </row>
    <row r="1209" spans="1:36" x14ac:dyDescent="0.25">
      <c r="A1209" s="6">
        <v>41540</v>
      </c>
      <c r="B1209" s="7">
        <v>5.2450000000000001</v>
      </c>
      <c r="C1209" s="9">
        <f t="shared" si="124"/>
        <v>1.2470185576868947E-2</v>
      </c>
      <c r="D1209" s="9">
        <f t="shared" si="125"/>
        <v>1.2114712358496047E-2</v>
      </c>
      <c r="E1209" s="9"/>
      <c r="F1209" s="9"/>
      <c r="G1209" s="9"/>
      <c r="H1209" s="9"/>
      <c r="I1209" s="9"/>
      <c r="J1209" s="9"/>
      <c r="K1209" s="9"/>
      <c r="L1209" s="9"/>
      <c r="M1209" s="5"/>
      <c r="AJ1209" s="2"/>
    </row>
    <row r="1210" spans="1:36" x14ac:dyDescent="0.25">
      <c r="A1210" s="6">
        <v>41541</v>
      </c>
      <c r="B1210" s="7">
        <v>5.4349999999999996</v>
      </c>
      <c r="C1210" s="9">
        <f t="shared" si="124"/>
        <v>3.5584278724912079E-2</v>
      </c>
      <c r="D1210" s="9">
        <f t="shared" si="125"/>
        <v>3.5228805506539181E-2</v>
      </c>
      <c r="E1210" s="9"/>
      <c r="F1210" s="9"/>
      <c r="G1210" s="9"/>
      <c r="H1210" s="9"/>
      <c r="I1210" s="9"/>
      <c r="J1210" s="9"/>
      <c r="K1210" s="9"/>
      <c r="L1210" s="9"/>
      <c r="M1210" s="5"/>
      <c r="AJ1210" s="2"/>
    </row>
    <row r="1211" spans="1:36" x14ac:dyDescent="0.25">
      <c r="A1211" s="6">
        <v>41542</v>
      </c>
      <c r="B1211" s="7">
        <v>5.415</v>
      </c>
      <c r="C1211" s="9">
        <f t="shared" si="124"/>
        <v>-3.6866401202187405E-3</v>
      </c>
      <c r="D1211" s="9">
        <f t="shared" si="125"/>
        <v>-4.0421133385916408E-3</v>
      </c>
      <c r="E1211" s="9"/>
      <c r="F1211" s="9"/>
      <c r="G1211" s="9"/>
      <c r="H1211" s="9"/>
      <c r="I1211" s="9"/>
      <c r="J1211" s="9"/>
      <c r="K1211" s="9"/>
      <c r="L1211" s="9"/>
      <c r="M1211" s="5"/>
      <c r="AJ1211" s="2"/>
    </row>
    <row r="1212" spans="1:36" x14ac:dyDescent="0.25">
      <c r="A1212" s="6">
        <v>41543</v>
      </c>
      <c r="B1212" s="7">
        <v>5.32</v>
      </c>
      <c r="C1212" s="9">
        <f t="shared" si="124"/>
        <v>-1.769957709940086E-2</v>
      </c>
      <c r="D1212" s="9">
        <f t="shared" si="125"/>
        <v>-1.8055050317773762E-2</v>
      </c>
      <c r="E1212" s="9"/>
      <c r="F1212" s="9"/>
      <c r="G1212" s="9"/>
      <c r="H1212" s="9"/>
      <c r="I1212" s="9"/>
      <c r="J1212" s="9"/>
      <c r="K1212" s="9"/>
      <c r="L1212" s="9"/>
      <c r="M1212" s="5"/>
      <c r="AJ1212" s="2"/>
    </row>
    <row r="1213" spans="1:36" x14ac:dyDescent="0.25">
      <c r="A1213" s="6">
        <v>41544</v>
      </c>
      <c r="B1213" s="7">
        <v>5.28</v>
      </c>
      <c r="C1213" s="9">
        <f t="shared" ref="C1213:C1276" si="126">LN(B1213/B1212)</f>
        <v>-7.5472056353829663E-3</v>
      </c>
      <c r="D1213" s="9">
        <f t="shared" si="125"/>
        <v>-7.9026788537558661E-3</v>
      </c>
      <c r="E1213" s="9"/>
      <c r="F1213" s="9"/>
      <c r="G1213" s="9"/>
      <c r="H1213" s="9"/>
      <c r="I1213" s="9"/>
      <c r="J1213" s="9"/>
      <c r="K1213" s="9"/>
      <c r="L1213" s="9"/>
      <c r="M1213" s="5"/>
      <c r="AJ1213" s="2"/>
    </row>
    <row r="1214" spans="1:36" x14ac:dyDescent="0.25">
      <c r="A1214" s="6">
        <v>41547</v>
      </c>
      <c r="B1214" s="7">
        <v>5.1550000000000002</v>
      </c>
      <c r="C1214" s="9">
        <f t="shared" si="126"/>
        <v>-2.3958980249246864E-2</v>
      </c>
      <c r="D1214" s="9">
        <f t="shared" si="125"/>
        <v>-2.4314453467619766E-2</v>
      </c>
      <c r="E1214" s="9"/>
      <c r="F1214" s="9"/>
      <c r="G1214" s="9"/>
      <c r="H1214" s="9"/>
      <c r="I1214" s="9"/>
      <c r="J1214" s="9"/>
      <c r="K1214" s="9"/>
      <c r="L1214" s="9"/>
      <c r="M1214" s="5"/>
      <c r="AJ1214" s="2"/>
    </row>
    <row r="1215" spans="1:36" x14ac:dyDescent="0.25">
      <c r="A1215" s="6">
        <v>41548</v>
      </c>
      <c r="B1215" s="7">
        <v>5.3650000000000002</v>
      </c>
      <c r="C1215" s="9">
        <f t="shared" si="126"/>
        <v>3.9929258613738479E-2</v>
      </c>
      <c r="D1215" s="9">
        <f t="shared" si="125"/>
        <v>3.9573785395365581E-2</v>
      </c>
      <c r="E1215" s="9"/>
      <c r="F1215" s="9"/>
      <c r="G1215" s="9"/>
      <c r="H1215" s="9"/>
      <c r="I1215" s="9"/>
      <c r="J1215" s="9"/>
      <c r="K1215" s="9"/>
      <c r="L1215" s="9"/>
      <c r="M1215" s="5"/>
      <c r="AJ1215" s="2"/>
    </row>
    <row r="1216" spans="1:36" x14ac:dyDescent="0.25">
      <c r="A1216" s="6">
        <v>41549</v>
      </c>
      <c r="B1216" s="7">
        <v>5.6899999999999995</v>
      </c>
      <c r="C1216" s="9">
        <f t="shared" si="126"/>
        <v>5.8813872055577601E-2</v>
      </c>
      <c r="D1216" s="9">
        <f t="shared" si="125"/>
        <v>5.8458398837204703E-2</v>
      </c>
      <c r="E1216" s="9"/>
      <c r="F1216" s="9"/>
      <c r="G1216" s="9"/>
      <c r="H1216" s="9"/>
      <c r="I1216" s="9"/>
      <c r="J1216" s="9"/>
      <c r="K1216" s="9"/>
      <c r="L1216" s="9"/>
      <c r="M1216" s="5"/>
      <c r="AJ1216" s="2"/>
    </row>
    <row r="1217" spans="1:36" x14ac:dyDescent="0.25">
      <c r="A1217" s="6">
        <v>41550</v>
      </c>
      <c r="B1217" s="7">
        <v>5.6550000000000002</v>
      </c>
      <c r="C1217" s="9">
        <f t="shared" si="126"/>
        <v>-6.1701385701556756E-3</v>
      </c>
      <c r="D1217" s="9">
        <f t="shared" si="125"/>
        <v>-6.5256117885285755E-3</v>
      </c>
      <c r="E1217" s="9"/>
      <c r="F1217" s="9"/>
      <c r="G1217" s="9"/>
      <c r="H1217" s="9"/>
      <c r="I1217" s="9"/>
      <c r="J1217" s="9"/>
      <c r="K1217" s="9"/>
      <c r="L1217" s="9"/>
      <c r="M1217" s="5"/>
      <c r="AJ1217" s="2"/>
    </row>
    <row r="1218" spans="1:36" x14ac:dyDescent="0.25">
      <c r="A1218" s="6">
        <v>41551</v>
      </c>
      <c r="B1218" s="7">
        <v>5.9050000000000002</v>
      </c>
      <c r="C1218" s="9">
        <f t="shared" si="126"/>
        <v>4.3259340081241764E-2</v>
      </c>
      <c r="D1218" s="9">
        <f t="shared" si="125"/>
        <v>4.2903866862868865E-2</v>
      </c>
      <c r="E1218" s="9"/>
      <c r="F1218" s="9"/>
      <c r="G1218" s="9"/>
      <c r="H1218" s="9"/>
      <c r="I1218" s="9"/>
      <c r="J1218" s="9"/>
      <c r="K1218" s="9"/>
      <c r="L1218" s="9"/>
      <c r="M1218" s="5"/>
      <c r="AJ1218" s="2"/>
    </row>
    <row r="1219" spans="1:36" x14ac:dyDescent="0.25">
      <c r="A1219" s="6">
        <v>41554</v>
      </c>
      <c r="B1219" s="7">
        <v>5.9350000000000005</v>
      </c>
      <c r="C1219" s="9">
        <f t="shared" si="126"/>
        <v>5.0675784123056641E-3</v>
      </c>
      <c r="D1219" s="9">
        <f t="shared" si="125"/>
        <v>4.7121051939327642E-3</v>
      </c>
      <c r="E1219" s="9"/>
      <c r="F1219" s="9"/>
      <c r="G1219" s="9"/>
      <c r="H1219" s="9"/>
      <c r="I1219" s="9"/>
      <c r="J1219" s="9"/>
      <c r="K1219" s="9"/>
      <c r="L1219" s="9"/>
      <c r="M1219" s="5"/>
      <c r="AJ1219" s="2"/>
    </row>
    <row r="1220" spans="1:36" x14ac:dyDescent="0.25">
      <c r="A1220" s="6">
        <v>41555</v>
      </c>
      <c r="B1220" s="7">
        <v>5.91</v>
      </c>
      <c r="C1220" s="9">
        <f t="shared" si="126"/>
        <v>-4.2211966436246423E-3</v>
      </c>
      <c r="D1220" s="9">
        <f t="shared" si="125"/>
        <v>-4.5766698619975421E-3</v>
      </c>
      <c r="E1220" s="9"/>
      <c r="F1220" s="9"/>
      <c r="G1220" s="9"/>
      <c r="H1220" s="9"/>
      <c r="I1220" s="9"/>
      <c r="J1220" s="9"/>
      <c r="K1220" s="9"/>
      <c r="L1220" s="9"/>
      <c r="M1220" s="5"/>
      <c r="AJ1220" s="2"/>
    </row>
    <row r="1221" spans="1:36" x14ac:dyDescent="0.25">
      <c r="A1221" s="6">
        <v>41556</v>
      </c>
      <c r="B1221" s="7">
        <v>5.97</v>
      </c>
      <c r="C1221" s="9">
        <f t="shared" si="126"/>
        <v>1.0101095986503919E-2</v>
      </c>
      <c r="D1221" s="9">
        <f t="shared" si="125"/>
        <v>9.7456227681310195E-3</v>
      </c>
      <c r="E1221" s="9"/>
      <c r="F1221" s="9"/>
      <c r="G1221" s="9"/>
      <c r="H1221" s="9"/>
      <c r="I1221" s="9"/>
      <c r="J1221" s="9"/>
      <c r="K1221" s="9"/>
      <c r="L1221" s="9"/>
      <c r="M1221" s="5"/>
      <c r="AJ1221" s="2"/>
    </row>
    <row r="1222" spans="1:36" x14ac:dyDescent="0.25">
      <c r="A1222" s="6">
        <v>41557</v>
      </c>
      <c r="B1222" s="7">
        <v>6.15</v>
      </c>
      <c r="C1222" s="9">
        <f t="shared" si="126"/>
        <v>2.9705154413915909E-2</v>
      </c>
      <c r="D1222" s="9">
        <f t="shared" si="125"/>
        <v>2.9349681195543008E-2</v>
      </c>
      <c r="E1222" s="9"/>
      <c r="F1222" s="9"/>
      <c r="G1222" s="9"/>
      <c r="H1222" s="9"/>
      <c r="I1222" s="9"/>
      <c r="J1222" s="9"/>
      <c r="K1222" s="9"/>
      <c r="L1222" s="9"/>
      <c r="M1222" s="5"/>
      <c r="AJ1222" s="2"/>
    </row>
    <row r="1223" spans="1:36" x14ac:dyDescent="0.25">
      <c r="A1223" s="6">
        <v>41558</v>
      </c>
      <c r="B1223" s="7">
        <v>6.1150000000000002</v>
      </c>
      <c r="C1223" s="9">
        <f t="shared" si="126"/>
        <v>-5.7073126792908666E-3</v>
      </c>
      <c r="D1223" s="9">
        <f t="shared" si="125"/>
        <v>-6.0627858976637665E-3</v>
      </c>
      <c r="E1223" s="9"/>
      <c r="F1223" s="9"/>
      <c r="G1223" s="9"/>
      <c r="H1223" s="9"/>
      <c r="I1223" s="9"/>
      <c r="J1223" s="9"/>
      <c r="K1223" s="9"/>
      <c r="L1223" s="9"/>
      <c r="M1223" s="5"/>
      <c r="AJ1223" s="2"/>
    </row>
    <row r="1224" spans="1:36" x14ac:dyDescent="0.25">
      <c r="A1224" s="6">
        <v>41561</v>
      </c>
      <c r="B1224" s="7">
        <v>6.21</v>
      </c>
      <c r="C1224" s="9">
        <f t="shared" si="126"/>
        <v>1.5416126806251694E-2</v>
      </c>
      <c r="D1224" s="9">
        <f t="shared" si="125"/>
        <v>1.5060653587878794E-2</v>
      </c>
      <c r="E1224" s="9"/>
      <c r="F1224" s="9"/>
      <c r="G1224" s="9"/>
      <c r="H1224" s="9"/>
      <c r="I1224" s="9"/>
      <c r="J1224" s="9"/>
      <c r="K1224" s="9"/>
      <c r="L1224" s="9"/>
      <c r="M1224" s="5"/>
      <c r="AJ1224" s="2"/>
    </row>
    <row r="1225" spans="1:36" x14ac:dyDescent="0.25">
      <c r="A1225" s="6">
        <v>41562</v>
      </c>
      <c r="B1225" s="7">
        <v>6.3849999999999998</v>
      </c>
      <c r="C1225" s="9">
        <f t="shared" si="126"/>
        <v>2.7790593539115123E-2</v>
      </c>
      <c r="D1225" s="9">
        <f t="shared" si="125"/>
        <v>2.7435120320742221E-2</v>
      </c>
      <c r="E1225" s="9"/>
      <c r="F1225" s="9"/>
      <c r="G1225" s="9"/>
      <c r="H1225" s="9"/>
      <c r="I1225" s="9"/>
      <c r="J1225" s="9"/>
      <c r="K1225" s="9"/>
      <c r="L1225" s="9"/>
      <c r="M1225" s="5"/>
      <c r="AJ1225" s="2"/>
    </row>
    <row r="1226" spans="1:36" x14ac:dyDescent="0.25">
      <c r="A1226" s="6">
        <v>41563</v>
      </c>
      <c r="B1226" s="7">
        <v>6.4</v>
      </c>
      <c r="C1226" s="9">
        <f t="shared" si="126"/>
        <v>2.3465008811236121E-3</v>
      </c>
      <c r="D1226" s="9">
        <f t="shared" si="125"/>
        <v>1.9910276627507122E-3</v>
      </c>
      <c r="E1226" s="9"/>
      <c r="F1226" s="9"/>
      <c r="G1226" s="9"/>
      <c r="H1226" s="9"/>
      <c r="I1226" s="9"/>
      <c r="J1226" s="9"/>
      <c r="K1226" s="9"/>
      <c r="L1226" s="9"/>
      <c r="M1226" s="5"/>
      <c r="AJ1226" s="2"/>
    </row>
    <row r="1227" spans="1:36" x14ac:dyDescent="0.25">
      <c r="A1227" s="6">
        <v>41564</v>
      </c>
      <c r="B1227" s="7">
        <v>6.37</v>
      </c>
      <c r="C1227" s="9">
        <f t="shared" si="126"/>
        <v>-4.6985207815542608E-3</v>
      </c>
      <c r="D1227" s="9">
        <f t="shared" si="125"/>
        <v>-5.0539939999271607E-3</v>
      </c>
      <c r="E1227" s="9"/>
      <c r="F1227" s="9"/>
      <c r="G1227" s="9"/>
      <c r="H1227" s="9"/>
      <c r="I1227" s="9"/>
      <c r="J1227" s="9"/>
      <c r="K1227" s="9"/>
      <c r="L1227" s="9"/>
      <c r="M1227" s="5"/>
      <c r="AJ1227" s="2"/>
    </row>
    <row r="1228" spans="1:36" x14ac:dyDescent="0.25">
      <c r="A1228" s="6">
        <v>41565</v>
      </c>
      <c r="B1228" s="7">
        <v>6.3550000000000004</v>
      </c>
      <c r="C1228" s="9">
        <f t="shared" si="126"/>
        <v>-2.3575649426545659E-3</v>
      </c>
      <c r="D1228" s="9">
        <f t="shared" si="125"/>
        <v>-2.7130381610274657E-3</v>
      </c>
      <c r="E1228" s="9"/>
      <c r="F1228" s="9"/>
      <c r="G1228" s="9"/>
      <c r="H1228" s="9"/>
      <c r="I1228" s="9"/>
      <c r="J1228" s="9"/>
      <c r="K1228" s="9"/>
      <c r="L1228" s="9"/>
      <c r="M1228" s="5"/>
      <c r="AJ1228" s="2"/>
    </row>
    <row r="1229" spans="1:36" x14ac:dyDescent="0.25">
      <c r="A1229" s="6">
        <v>41568</v>
      </c>
      <c r="B1229" s="7">
        <v>6.415</v>
      </c>
      <c r="C1229" s="9">
        <f t="shared" si="126"/>
        <v>9.3970934261822306E-3</v>
      </c>
      <c r="D1229" s="9">
        <f t="shared" si="125"/>
        <v>9.0416202078093307E-3</v>
      </c>
      <c r="E1229" s="9"/>
      <c r="F1229" s="9"/>
      <c r="G1229" s="9"/>
      <c r="H1229" s="9"/>
      <c r="I1229" s="9"/>
      <c r="J1229" s="9"/>
      <c r="K1229" s="9"/>
      <c r="L1229" s="9"/>
      <c r="M1229" s="5"/>
      <c r="AJ1229" s="2"/>
    </row>
    <row r="1230" spans="1:36" x14ac:dyDescent="0.25">
      <c r="A1230" s="6">
        <v>41569</v>
      </c>
      <c r="B1230" s="7">
        <v>6.4749999999999996</v>
      </c>
      <c r="C1230" s="9">
        <f t="shared" si="126"/>
        <v>9.3096095180017439E-3</v>
      </c>
      <c r="D1230" s="9">
        <f t="shared" si="125"/>
        <v>8.954136299628844E-3</v>
      </c>
      <c r="E1230" s="9"/>
      <c r="F1230" s="9"/>
      <c r="G1230" s="9"/>
      <c r="H1230" s="9"/>
      <c r="I1230" s="9"/>
      <c r="J1230" s="9"/>
      <c r="K1230" s="9"/>
      <c r="L1230" s="9"/>
      <c r="M1230" s="5"/>
      <c r="AJ1230" s="2"/>
    </row>
    <row r="1231" spans="1:36" x14ac:dyDescent="0.25">
      <c r="A1231" s="6">
        <v>41570</v>
      </c>
      <c r="B1231" s="7">
        <v>6.2350000000000003</v>
      </c>
      <c r="C1231" s="9">
        <f t="shared" si="126"/>
        <v>-3.7770028453601528E-2</v>
      </c>
      <c r="D1231" s="9">
        <f t="shared" si="125"/>
        <v>-3.8125501671974427E-2</v>
      </c>
      <c r="E1231" s="9"/>
      <c r="F1231" s="9"/>
      <c r="G1231" s="9"/>
      <c r="H1231" s="9"/>
      <c r="I1231" s="9"/>
      <c r="J1231" s="9"/>
      <c r="K1231" s="9"/>
      <c r="L1231" s="9"/>
      <c r="M1231" s="5"/>
      <c r="AJ1231" s="2"/>
    </row>
    <row r="1232" spans="1:36" x14ac:dyDescent="0.25">
      <c r="A1232" s="6">
        <v>41571</v>
      </c>
      <c r="B1232" s="7">
        <v>6.4450000000000003</v>
      </c>
      <c r="C1232" s="9">
        <f t="shared" si="126"/>
        <v>3.3126057259151021E-2</v>
      </c>
      <c r="D1232" s="9">
        <f t="shared" si="125"/>
        <v>3.2770584040778122E-2</v>
      </c>
      <c r="E1232" s="9"/>
      <c r="F1232" s="9"/>
      <c r="G1232" s="9"/>
      <c r="H1232" s="9"/>
      <c r="I1232" s="9"/>
      <c r="J1232" s="9"/>
      <c r="K1232" s="9"/>
      <c r="L1232" s="9"/>
      <c r="M1232" s="5"/>
      <c r="AJ1232" s="2"/>
    </row>
    <row r="1233" spans="1:36" x14ac:dyDescent="0.25">
      <c r="A1233" s="6">
        <v>41572</v>
      </c>
      <c r="B1233" s="7">
        <v>6.33</v>
      </c>
      <c r="C1233" s="9">
        <f t="shared" si="126"/>
        <v>-1.800440023506595E-2</v>
      </c>
      <c r="D1233" s="9">
        <f t="shared" si="125"/>
        <v>-1.8359873453438851E-2</v>
      </c>
      <c r="E1233" s="9"/>
      <c r="F1233" s="9"/>
      <c r="G1233" s="9"/>
      <c r="H1233" s="9"/>
      <c r="I1233" s="9"/>
      <c r="J1233" s="9"/>
      <c r="K1233" s="9"/>
      <c r="L1233" s="9"/>
      <c r="M1233" s="5"/>
      <c r="AJ1233" s="2"/>
    </row>
    <row r="1234" spans="1:36" x14ac:dyDescent="0.25">
      <c r="A1234" s="6">
        <v>41575</v>
      </c>
      <c r="B1234" s="7">
        <v>6.54</v>
      </c>
      <c r="C1234" s="9">
        <f t="shared" si="126"/>
        <v>3.2636929313022527E-2</v>
      </c>
      <c r="D1234" s="9">
        <f t="shared" si="125"/>
        <v>3.2281456094649628E-2</v>
      </c>
      <c r="E1234" s="9"/>
      <c r="F1234" s="9"/>
      <c r="G1234" s="9"/>
      <c r="H1234" s="9"/>
      <c r="I1234" s="9"/>
      <c r="J1234" s="9"/>
      <c r="K1234" s="9"/>
      <c r="L1234" s="9"/>
      <c r="M1234" s="5"/>
      <c r="AJ1234" s="2"/>
    </row>
    <row r="1235" spans="1:36" x14ac:dyDescent="0.25">
      <c r="A1235" s="6">
        <v>41576</v>
      </c>
      <c r="B1235" s="7">
        <v>6.665</v>
      </c>
      <c r="C1235" s="9">
        <f t="shared" si="126"/>
        <v>1.8932788161564747E-2</v>
      </c>
      <c r="D1235" s="9">
        <f t="shared" si="125"/>
        <v>1.8577314943191845E-2</v>
      </c>
      <c r="E1235" s="9"/>
      <c r="F1235" s="9"/>
      <c r="G1235" s="9"/>
      <c r="H1235" s="9"/>
      <c r="I1235" s="9"/>
      <c r="J1235" s="9"/>
      <c r="K1235" s="9"/>
      <c r="L1235" s="9"/>
      <c r="M1235" s="5"/>
      <c r="AJ1235" s="2"/>
    </row>
    <row r="1236" spans="1:36" x14ac:dyDescent="0.25">
      <c r="A1236" s="6">
        <v>41577</v>
      </c>
      <c r="B1236" s="7">
        <v>6.68</v>
      </c>
      <c r="C1236" s="9">
        <f t="shared" si="126"/>
        <v>2.2480339178823487E-3</v>
      </c>
      <c r="D1236" s="9">
        <f t="shared" si="125"/>
        <v>1.8925606995094488E-3</v>
      </c>
      <c r="E1236" s="9"/>
      <c r="F1236" s="9"/>
      <c r="G1236" s="9"/>
      <c r="H1236" s="9"/>
      <c r="I1236" s="9"/>
      <c r="J1236" s="9"/>
      <c r="K1236" s="9"/>
      <c r="L1236" s="9"/>
      <c r="M1236" s="5"/>
      <c r="AJ1236" s="2"/>
    </row>
    <row r="1237" spans="1:36" x14ac:dyDescent="0.25">
      <c r="A1237" s="6">
        <v>41578</v>
      </c>
      <c r="B1237" s="7">
        <v>6.7249999999999996</v>
      </c>
      <c r="C1237" s="9">
        <f t="shared" si="126"/>
        <v>6.7139379393483739E-3</v>
      </c>
      <c r="D1237" s="9">
        <f t="shared" ref="D1237:D1300" si="127">C1237-$C$59/252</f>
        <v>6.3584647209754741E-3</v>
      </c>
      <c r="E1237" s="9"/>
      <c r="F1237" s="9"/>
      <c r="G1237" s="9"/>
      <c r="H1237" s="9"/>
      <c r="I1237" s="9"/>
      <c r="J1237" s="9"/>
      <c r="K1237" s="9"/>
      <c r="L1237" s="9"/>
      <c r="M1237" s="5"/>
      <c r="AJ1237" s="2"/>
    </row>
    <row r="1238" spans="1:36" x14ac:dyDescent="0.25">
      <c r="A1238" s="6">
        <v>41579</v>
      </c>
      <c r="B1238" s="7">
        <v>6.6150000000000002</v>
      </c>
      <c r="C1238" s="9">
        <f t="shared" si="126"/>
        <v>-1.649212792098367E-2</v>
      </c>
      <c r="D1238" s="9">
        <f t="shared" si="127"/>
        <v>-1.6847601139356572E-2</v>
      </c>
      <c r="E1238" s="9"/>
      <c r="F1238" s="9"/>
      <c r="G1238" s="9"/>
      <c r="H1238" s="9"/>
      <c r="I1238" s="9"/>
      <c r="J1238" s="9"/>
      <c r="K1238" s="9"/>
      <c r="L1238" s="9"/>
      <c r="M1238" s="5"/>
      <c r="AJ1238" s="2"/>
    </row>
    <row r="1239" spans="1:36" x14ac:dyDescent="0.25">
      <c r="A1239" s="6">
        <v>41582</v>
      </c>
      <c r="B1239" s="7">
        <v>6.59</v>
      </c>
      <c r="C1239" s="9">
        <f t="shared" si="126"/>
        <v>-3.786449052503259E-3</v>
      </c>
      <c r="D1239" s="9">
        <f t="shared" si="127"/>
        <v>-4.1419222708761593E-3</v>
      </c>
      <c r="E1239" s="9"/>
      <c r="F1239" s="9"/>
      <c r="G1239" s="9"/>
      <c r="H1239" s="9"/>
      <c r="I1239" s="9"/>
      <c r="J1239" s="9"/>
      <c r="K1239" s="9"/>
      <c r="L1239" s="9"/>
      <c r="M1239" s="5"/>
      <c r="AJ1239" s="2"/>
    </row>
    <row r="1240" spans="1:36" x14ac:dyDescent="0.25">
      <c r="A1240" s="6">
        <v>41583</v>
      </c>
      <c r="B1240" s="7">
        <v>6.52</v>
      </c>
      <c r="C1240" s="9">
        <f t="shared" si="126"/>
        <v>-1.0678972575854255E-2</v>
      </c>
      <c r="D1240" s="9">
        <f t="shared" si="127"/>
        <v>-1.1034445794227155E-2</v>
      </c>
      <c r="E1240" s="9"/>
      <c r="F1240" s="9"/>
      <c r="G1240" s="9"/>
      <c r="H1240" s="9"/>
      <c r="I1240" s="9"/>
      <c r="J1240" s="9"/>
      <c r="K1240" s="9"/>
      <c r="L1240" s="9"/>
      <c r="M1240" s="5"/>
      <c r="AJ1240" s="2"/>
    </row>
    <row r="1241" spans="1:36" x14ac:dyDescent="0.25">
      <c r="A1241" s="6">
        <v>41584</v>
      </c>
      <c r="B1241" s="7">
        <v>6.44</v>
      </c>
      <c r="C1241" s="9">
        <f t="shared" si="126"/>
        <v>-1.2345835822299266E-2</v>
      </c>
      <c r="D1241" s="9">
        <f t="shared" si="127"/>
        <v>-1.2701309040672166E-2</v>
      </c>
      <c r="E1241" s="9"/>
      <c r="F1241" s="9"/>
      <c r="G1241" s="9"/>
      <c r="H1241" s="9"/>
      <c r="I1241" s="9"/>
      <c r="J1241" s="9"/>
      <c r="K1241" s="9"/>
      <c r="L1241" s="9"/>
      <c r="M1241" s="5"/>
      <c r="AJ1241" s="2"/>
    </row>
    <row r="1242" spans="1:36" x14ac:dyDescent="0.25">
      <c r="A1242" s="6">
        <v>41585</v>
      </c>
      <c r="B1242" s="7">
        <v>6.26</v>
      </c>
      <c r="C1242" s="9">
        <f t="shared" si="126"/>
        <v>-2.8348355004255199E-2</v>
      </c>
      <c r="D1242" s="9">
        <f t="shared" si="127"/>
        <v>-2.8703828222628101E-2</v>
      </c>
      <c r="E1242" s="9"/>
      <c r="F1242" s="9"/>
      <c r="G1242" s="9"/>
      <c r="H1242" s="9"/>
      <c r="I1242" s="9"/>
      <c r="J1242" s="9"/>
      <c r="K1242" s="9"/>
      <c r="L1242" s="9"/>
      <c r="M1242" s="5"/>
      <c r="AJ1242" s="2"/>
    </row>
    <row r="1243" spans="1:36" x14ac:dyDescent="0.25">
      <c r="A1243" s="6">
        <v>41586</v>
      </c>
      <c r="B1243" s="7">
        <v>6.26</v>
      </c>
      <c r="C1243" s="9">
        <f t="shared" si="126"/>
        <v>0</v>
      </c>
      <c r="D1243" s="9">
        <f t="shared" si="127"/>
        <v>-3.5547321837289993E-4</v>
      </c>
      <c r="E1243" s="9"/>
      <c r="F1243" s="9"/>
      <c r="G1243" s="9"/>
      <c r="H1243" s="9"/>
      <c r="I1243" s="9"/>
      <c r="J1243" s="9"/>
      <c r="K1243" s="9"/>
      <c r="L1243" s="9"/>
      <c r="M1243" s="5"/>
      <c r="AJ1243" s="2"/>
    </row>
    <row r="1244" spans="1:36" x14ac:dyDescent="0.25">
      <c r="A1244" s="6">
        <v>41589</v>
      </c>
      <c r="B1244" s="7">
        <v>6.33</v>
      </c>
      <c r="C1244" s="9">
        <f t="shared" si="126"/>
        <v>1.112005104407764E-2</v>
      </c>
      <c r="D1244" s="9">
        <f t="shared" si="127"/>
        <v>1.076457782570474E-2</v>
      </c>
      <c r="E1244" s="9"/>
      <c r="F1244" s="9"/>
      <c r="G1244" s="9"/>
      <c r="H1244" s="9"/>
      <c r="I1244" s="9"/>
      <c r="J1244" s="9"/>
      <c r="K1244" s="9"/>
      <c r="L1244" s="9"/>
      <c r="M1244" s="5"/>
      <c r="AJ1244" s="2"/>
    </row>
    <row r="1245" spans="1:36" x14ac:dyDescent="0.25">
      <c r="A1245" s="6">
        <v>41590</v>
      </c>
      <c r="B1245" s="7">
        <v>6.34</v>
      </c>
      <c r="C1245" s="9">
        <f t="shared" si="126"/>
        <v>1.5785322930497896E-3</v>
      </c>
      <c r="D1245" s="9">
        <f t="shared" si="127"/>
        <v>1.2230590746768898E-3</v>
      </c>
      <c r="E1245" s="9"/>
      <c r="F1245" s="9"/>
      <c r="G1245" s="9"/>
      <c r="H1245" s="9"/>
      <c r="I1245" s="9"/>
      <c r="J1245" s="9"/>
      <c r="K1245" s="9"/>
      <c r="L1245" s="9"/>
      <c r="M1245" s="5"/>
      <c r="AJ1245" s="2"/>
    </row>
    <row r="1246" spans="1:36" x14ac:dyDescent="0.25">
      <c r="A1246" s="6">
        <v>41591</v>
      </c>
      <c r="B1246" s="7">
        <v>6.05</v>
      </c>
      <c r="C1246" s="9">
        <f t="shared" si="126"/>
        <v>-4.6820496406384512E-2</v>
      </c>
      <c r="D1246" s="9">
        <f t="shared" si="127"/>
        <v>-4.7175969624757411E-2</v>
      </c>
      <c r="E1246" s="9"/>
      <c r="F1246" s="9"/>
      <c r="G1246" s="9"/>
      <c r="H1246" s="9"/>
      <c r="I1246" s="9"/>
      <c r="J1246" s="9"/>
      <c r="K1246" s="9"/>
      <c r="L1246" s="9"/>
      <c r="M1246" s="5"/>
      <c r="AJ1246" s="2"/>
    </row>
    <row r="1247" spans="1:36" x14ac:dyDescent="0.25">
      <c r="A1247" s="6">
        <v>41592</v>
      </c>
      <c r="B1247" s="7">
        <v>6.11</v>
      </c>
      <c r="C1247" s="9">
        <f t="shared" si="126"/>
        <v>9.8685011407540039E-3</v>
      </c>
      <c r="D1247" s="9">
        <f t="shared" si="127"/>
        <v>9.5130279223811041E-3</v>
      </c>
      <c r="E1247" s="9"/>
      <c r="F1247" s="9"/>
      <c r="G1247" s="9"/>
      <c r="H1247" s="9"/>
      <c r="I1247" s="9"/>
      <c r="J1247" s="9"/>
      <c r="K1247" s="9"/>
      <c r="L1247" s="9"/>
      <c r="M1247" s="5"/>
      <c r="AJ1247" s="2"/>
    </row>
    <row r="1248" spans="1:36" x14ac:dyDescent="0.25">
      <c r="A1248" s="6">
        <v>41593</v>
      </c>
      <c r="B1248" s="7">
        <v>6.13</v>
      </c>
      <c r="C1248" s="9">
        <f t="shared" si="126"/>
        <v>3.267976764616013E-3</v>
      </c>
      <c r="D1248" s="9">
        <f t="shared" si="127"/>
        <v>2.9125035462431131E-3</v>
      </c>
      <c r="E1248" s="9"/>
      <c r="F1248" s="9"/>
      <c r="G1248" s="9"/>
      <c r="H1248" s="9"/>
      <c r="I1248" s="9"/>
      <c r="J1248" s="9"/>
      <c r="K1248" s="9"/>
      <c r="L1248" s="9"/>
      <c r="M1248" s="5"/>
      <c r="AJ1248" s="2"/>
    </row>
    <row r="1249" spans="1:36" x14ac:dyDescent="0.25">
      <c r="A1249" s="6">
        <v>41596</v>
      </c>
      <c r="B1249" s="7">
        <v>6.31</v>
      </c>
      <c r="C1249" s="9">
        <f t="shared" si="126"/>
        <v>2.8940926605001627E-2</v>
      </c>
      <c r="D1249" s="9">
        <f t="shared" si="127"/>
        <v>2.8585453386628726E-2</v>
      </c>
      <c r="E1249" s="9"/>
      <c r="F1249" s="9"/>
      <c r="G1249" s="9"/>
      <c r="H1249" s="9"/>
      <c r="I1249" s="9"/>
      <c r="J1249" s="9"/>
      <c r="K1249" s="9"/>
      <c r="L1249" s="9"/>
      <c r="M1249" s="5"/>
      <c r="AJ1249" s="2"/>
    </row>
    <row r="1250" spans="1:36" x14ac:dyDescent="0.25">
      <c r="A1250" s="6">
        <v>41597</v>
      </c>
      <c r="B1250" s="7">
        <v>6.18</v>
      </c>
      <c r="C1250" s="9">
        <f t="shared" si="126"/>
        <v>-2.0817405083522356E-2</v>
      </c>
      <c r="D1250" s="9">
        <f t="shared" si="127"/>
        <v>-2.1172878301895258E-2</v>
      </c>
      <c r="E1250" s="9"/>
      <c r="F1250" s="9"/>
      <c r="G1250" s="9"/>
      <c r="H1250" s="9"/>
      <c r="I1250" s="9"/>
      <c r="J1250" s="9"/>
      <c r="K1250" s="9"/>
      <c r="L1250" s="9"/>
      <c r="M1250" s="5"/>
      <c r="AJ1250" s="2"/>
    </row>
    <row r="1251" spans="1:36" x14ac:dyDescent="0.25">
      <c r="A1251" s="6">
        <v>41598</v>
      </c>
      <c r="B1251" s="7">
        <v>6.125</v>
      </c>
      <c r="C1251" s="9">
        <f t="shared" si="126"/>
        <v>-8.9395150388086424E-3</v>
      </c>
      <c r="D1251" s="9">
        <f t="shared" si="127"/>
        <v>-9.2949882571815422E-3</v>
      </c>
      <c r="E1251" s="9"/>
      <c r="F1251" s="9"/>
      <c r="G1251" s="9"/>
      <c r="H1251" s="9"/>
      <c r="I1251" s="9"/>
      <c r="J1251" s="9"/>
      <c r="K1251" s="9"/>
      <c r="L1251" s="9"/>
      <c r="M1251" s="5"/>
      <c r="AJ1251" s="2"/>
    </row>
    <row r="1252" spans="1:36" x14ac:dyDescent="0.25">
      <c r="A1252" s="6">
        <v>41599</v>
      </c>
      <c r="B1252" s="7">
        <v>6.085</v>
      </c>
      <c r="C1252" s="9">
        <f t="shared" si="126"/>
        <v>-6.552029991300154E-3</v>
      </c>
      <c r="D1252" s="9">
        <f t="shared" si="127"/>
        <v>-6.9075032096730538E-3</v>
      </c>
      <c r="E1252" s="9"/>
      <c r="F1252" s="9"/>
      <c r="G1252" s="9"/>
      <c r="H1252" s="9"/>
      <c r="I1252" s="9"/>
      <c r="J1252" s="9"/>
      <c r="K1252" s="9"/>
      <c r="L1252" s="9"/>
      <c r="M1252" s="5"/>
      <c r="AJ1252" s="2"/>
    </row>
    <row r="1253" spans="1:36" x14ac:dyDescent="0.25">
      <c r="A1253" s="6">
        <v>41600</v>
      </c>
      <c r="B1253" s="7">
        <v>6.17</v>
      </c>
      <c r="C1253" s="9">
        <f t="shared" si="126"/>
        <v>1.3872111477806044E-2</v>
      </c>
      <c r="D1253" s="9">
        <f t="shared" si="127"/>
        <v>1.3516638259433144E-2</v>
      </c>
      <c r="E1253" s="9"/>
      <c r="F1253" s="9"/>
      <c r="G1253" s="9"/>
      <c r="H1253" s="9"/>
      <c r="I1253" s="9"/>
      <c r="J1253" s="9"/>
      <c r="K1253" s="9"/>
      <c r="L1253" s="9"/>
      <c r="M1253" s="5"/>
      <c r="AJ1253" s="2"/>
    </row>
    <row r="1254" spans="1:36" x14ac:dyDescent="0.25">
      <c r="A1254" s="6">
        <v>41603</v>
      </c>
      <c r="B1254" s="7">
        <v>6.12</v>
      </c>
      <c r="C1254" s="9">
        <f t="shared" si="126"/>
        <v>-8.1367413930617128E-3</v>
      </c>
      <c r="D1254" s="9">
        <f t="shared" si="127"/>
        <v>-8.4922146114346127E-3</v>
      </c>
      <c r="E1254" s="9"/>
      <c r="F1254" s="9"/>
      <c r="G1254" s="9"/>
      <c r="H1254" s="9"/>
      <c r="I1254" s="9"/>
      <c r="J1254" s="9"/>
      <c r="K1254" s="9"/>
      <c r="L1254" s="9"/>
      <c r="M1254" s="5"/>
      <c r="AJ1254" s="2"/>
    </row>
    <row r="1255" spans="1:36" x14ac:dyDescent="0.25">
      <c r="A1255" s="6">
        <v>41604</v>
      </c>
      <c r="B1255" s="7">
        <v>6.1349999999999998</v>
      </c>
      <c r="C1255" s="9">
        <f t="shared" si="126"/>
        <v>2.4479816386400372E-3</v>
      </c>
      <c r="D1255" s="9">
        <f t="shared" si="127"/>
        <v>2.0925084202671374E-3</v>
      </c>
      <c r="E1255" s="9"/>
      <c r="F1255" s="9"/>
      <c r="G1255" s="9"/>
      <c r="H1255" s="9"/>
      <c r="I1255" s="9"/>
      <c r="J1255" s="9"/>
      <c r="K1255" s="9"/>
      <c r="L1255" s="9"/>
      <c r="M1255" s="5"/>
      <c r="AJ1255" s="2"/>
    </row>
    <row r="1256" spans="1:36" x14ac:dyDescent="0.25">
      <c r="A1256" s="6">
        <v>41605</v>
      </c>
      <c r="B1256" s="7">
        <v>6.3</v>
      </c>
      <c r="C1256" s="9">
        <f t="shared" si="126"/>
        <v>2.6539555234612312E-2</v>
      </c>
      <c r="D1256" s="9">
        <f t="shared" si="127"/>
        <v>2.618408201623941E-2</v>
      </c>
      <c r="E1256" s="9"/>
      <c r="F1256" s="9"/>
      <c r="G1256" s="9"/>
      <c r="H1256" s="9"/>
      <c r="I1256" s="9"/>
      <c r="J1256" s="9"/>
      <c r="K1256" s="9"/>
      <c r="L1256" s="9"/>
      <c r="M1256" s="5"/>
      <c r="AJ1256" s="2"/>
    </row>
    <row r="1257" spans="1:36" x14ac:dyDescent="0.25">
      <c r="A1257" s="6">
        <v>41606</v>
      </c>
      <c r="B1257" s="7">
        <v>6.39</v>
      </c>
      <c r="C1257" s="9">
        <f t="shared" si="126"/>
        <v>1.4184634991956381E-2</v>
      </c>
      <c r="D1257" s="9">
        <f t="shared" si="127"/>
        <v>1.3829161773583482E-2</v>
      </c>
      <c r="E1257" s="9"/>
      <c r="F1257" s="9"/>
      <c r="G1257" s="9"/>
      <c r="H1257" s="9"/>
      <c r="I1257" s="9"/>
      <c r="J1257" s="9"/>
      <c r="K1257" s="9"/>
      <c r="L1257" s="9"/>
      <c r="M1257" s="5"/>
      <c r="AJ1257" s="2"/>
    </row>
    <row r="1258" spans="1:36" x14ac:dyDescent="0.25">
      <c r="A1258" s="6">
        <v>41607</v>
      </c>
      <c r="B1258" s="7">
        <v>6.2949999999999999</v>
      </c>
      <c r="C1258" s="9">
        <f t="shared" si="126"/>
        <v>-1.4978600893132939E-2</v>
      </c>
      <c r="D1258" s="9">
        <f t="shared" si="127"/>
        <v>-1.5334074111505839E-2</v>
      </c>
      <c r="E1258" s="9"/>
      <c r="F1258" s="9"/>
      <c r="G1258" s="9"/>
      <c r="H1258" s="9"/>
      <c r="I1258" s="9"/>
      <c r="J1258" s="9"/>
      <c r="K1258" s="9"/>
      <c r="L1258" s="9"/>
      <c r="M1258" s="5"/>
      <c r="AJ1258" s="2"/>
    </row>
    <row r="1259" spans="1:36" x14ac:dyDescent="0.25">
      <c r="A1259" s="6">
        <v>41610</v>
      </c>
      <c r="B1259" s="7">
        <v>6.2249999999999996</v>
      </c>
      <c r="C1259" s="9">
        <f t="shared" si="126"/>
        <v>-1.1182225145539194E-2</v>
      </c>
      <c r="D1259" s="9">
        <f t="shared" si="127"/>
        <v>-1.1537698363912094E-2</v>
      </c>
      <c r="E1259" s="9"/>
      <c r="F1259" s="9"/>
      <c r="G1259" s="9"/>
      <c r="H1259" s="9"/>
      <c r="I1259" s="9"/>
      <c r="J1259" s="9"/>
      <c r="K1259" s="9"/>
      <c r="L1259" s="9"/>
      <c r="M1259" s="5"/>
      <c r="AJ1259" s="2"/>
    </row>
    <row r="1260" spans="1:36" x14ac:dyDescent="0.25">
      <c r="A1260" s="6">
        <v>41611</v>
      </c>
      <c r="B1260" s="7">
        <v>6.07</v>
      </c>
      <c r="C1260" s="9">
        <f t="shared" si="126"/>
        <v>-2.5214837279364258E-2</v>
      </c>
      <c r="D1260" s="9">
        <f t="shared" si="127"/>
        <v>-2.5570310497737159E-2</v>
      </c>
      <c r="E1260" s="9"/>
      <c r="F1260" s="9"/>
      <c r="G1260" s="9"/>
      <c r="H1260" s="9"/>
      <c r="I1260" s="9"/>
      <c r="J1260" s="9"/>
      <c r="K1260" s="9"/>
      <c r="L1260" s="9"/>
      <c r="M1260" s="5"/>
      <c r="AJ1260" s="2"/>
    </row>
    <row r="1261" spans="1:36" x14ac:dyDescent="0.25">
      <c r="A1261" s="6">
        <v>41612</v>
      </c>
      <c r="B1261" s="7">
        <v>5.9950000000000001</v>
      </c>
      <c r="C1261" s="9">
        <f t="shared" si="126"/>
        <v>-1.2432816591929338E-2</v>
      </c>
      <c r="D1261" s="9">
        <f t="shared" si="127"/>
        <v>-1.2788289810302238E-2</v>
      </c>
      <c r="E1261" s="9"/>
      <c r="F1261" s="9"/>
      <c r="G1261" s="9"/>
      <c r="H1261" s="9"/>
      <c r="I1261" s="9"/>
      <c r="J1261" s="9"/>
      <c r="K1261" s="9"/>
      <c r="L1261" s="9"/>
      <c r="M1261" s="5"/>
      <c r="AJ1261" s="2"/>
    </row>
    <row r="1262" spans="1:36" x14ac:dyDescent="0.25">
      <c r="A1262" s="6">
        <v>41613</v>
      </c>
      <c r="B1262" s="7">
        <v>5.9399999999999995</v>
      </c>
      <c r="C1262" s="9">
        <f t="shared" si="126"/>
        <v>-9.2166551049240632E-3</v>
      </c>
      <c r="D1262" s="9">
        <f t="shared" si="127"/>
        <v>-9.572128323296963E-3</v>
      </c>
      <c r="E1262" s="9"/>
      <c r="F1262" s="9"/>
      <c r="G1262" s="9"/>
      <c r="H1262" s="9"/>
      <c r="I1262" s="9"/>
      <c r="J1262" s="9"/>
      <c r="K1262" s="9"/>
      <c r="L1262" s="9"/>
      <c r="M1262" s="5"/>
      <c r="AJ1262" s="2"/>
    </row>
    <row r="1263" spans="1:36" x14ac:dyDescent="0.25">
      <c r="A1263" s="6">
        <v>41614</v>
      </c>
      <c r="B1263" s="7">
        <v>6.06</v>
      </c>
      <c r="C1263" s="9">
        <f t="shared" si="126"/>
        <v>2.000066670666965E-2</v>
      </c>
      <c r="D1263" s="9">
        <f t="shared" si="127"/>
        <v>1.9645193488296749E-2</v>
      </c>
      <c r="E1263" s="9"/>
      <c r="F1263" s="9"/>
      <c r="G1263" s="9"/>
      <c r="H1263" s="9"/>
      <c r="I1263" s="9"/>
      <c r="J1263" s="9"/>
      <c r="K1263" s="9"/>
      <c r="L1263" s="9"/>
      <c r="M1263" s="5"/>
      <c r="AJ1263" s="2"/>
    </row>
    <row r="1264" spans="1:36" x14ac:dyDescent="0.25">
      <c r="A1264" s="6">
        <v>41617</v>
      </c>
      <c r="B1264" s="7">
        <v>6.1150000000000002</v>
      </c>
      <c r="C1264" s="9">
        <f t="shared" si="126"/>
        <v>9.034969057912675E-3</v>
      </c>
      <c r="D1264" s="9">
        <f t="shared" si="127"/>
        <v>8.6794958395397751E-3</v>
      </c>
      <c r="E1264" s="9"/>
      <c r="F1264" s="9"/>
      <c r="G1264" s="9"/>
      <c r="H1264" s="9"/>
      <c r="I1264" s="9"/>
      <c r="J1264" s="9"/>
      <c r="K1264" s="9"/>
      <c r="L1264" s="9"/>
      <c r="M1264" s="5"/>
      <c r="AJ1264" s="2"/>
    </row>
    <row r="1265" spans="1:36" x14ac:dyDescent="0.25">
      <c r="A1265" s="6">
        <v>41618</v>
      </c>
      <c r="B1265" s="7">
        <v>6.12</v>
      </c>
      <c r="C1265" s="9">
        <f t="shared" si="126"/>
        <v>8.1732738509901134E-4</v>
      </c>
      <c r="D1265" s="9">
        <f t="shared" si="127"/>
        <v>4.6185416672611142E-4</v>
      </c>
      <c r="E1265" s="9"/>
      <c r="F1265" s="9"/>
      <c r="G1265" s="9"/>
      <c r="H1265" s="9"/>
      <c r="I1265" s="9"/>
      <c r="J1265" s="9"/>
      <c r="K1265" s="9"/>
      <c r="L1265" s="9"/>
      <c r="M1265" s="5"/>
      <c r="AJ1265" s="2"/>
    </row>
    <row r="1266" spans="1:36" x14ac:dyDescent="0.25">
      <c r="A1266" s="6">
        <v>41619</v>
      </c>
      <c r="B1266" s="7">
        <v>5.98</v>
      </c>
      <c r="C1266" s="9">
        <f t="shared" si="126"/>
        <v>-2.3141528561694262E-2</v>
      </c>
      <c r="D1266" s="9">
        <f t="shared" si="127"/>
        <v>-2.3497001780067164E-2</v>
      </c>
      <c r="E1266" s="9"/>
      <c r="F1266" s="9"/>
      <c r="G1266" s="9"/>
      <c r="H1266" s="9"/>
      <c r="I1266" s="9"/>
      <c r="J1266" s="9"/>
      <c r="K1266" s="9"/>
      <c r="L1266" s="9"/>
      <c r="M1266" s="5"/>
      <c r="AJ1266" s="2"/>
    </row>
    <row r="1267" spans="1:36" x14ac:dyDescent="0.25">
      <c r="A1267" s="6">
        <v>41620</v>
      </c>
      <c r="B1267" s="7">
        <v>5.92</v>
      </c>
      <c r="C1267" s="9">
        <f t="shared" si="126"/>
        <v>-1.008411906662616E-2</v>
      </c>
      <c r="D1267" s="9">
        <f t="shared" si="127"/>
        <v>-1.043959228499906E-2</v>
      </c>
      <c r="E1267" s="9"/>
      <c r="F1267" s="9"/>
      <c r="G1267" s="9"/>
      <c r="H1267" s="9"/>
      <c r="I1267" s="9"/>
      <c r="J1267" s="9"/>
      <c r="K1267" s="9"/>
      <c r="L1267" s="9"/>
      <c r="M1267" s="5"/>
      <c r="AJ1267" s="2"/>
    </row>
    <row r="1268" spans="1:36" x14ac:dyDescent="0.25">
      <c r="A1268" s="6">
        <v>41621</v>
      </c>
      <c r="B1268" s="7">
        <v>6</v>
      </c>
      <c r="C1268" s="9">
        <f t="shared" si="126"/>
        <v>1.3423020332140771E-2</v>
      </c>
      <c r="D1268" s="9">
        <f t="shared" si="127"/>
        <v>1.3067547113767871E-2</v>
      </c>
      <c r="E1268" s="9"/>
      <c r="F1268" s="9"/>
      <c r="G1268" s="9"/>
      <c r="H1268" s="9"/>
      <c r="I1268" s="9"/>
      <c r="J1268" s="9"/>
      <c r="K1268" s="9"/>
      <c r="L1268" s="9"/>
      <c r="M1268" s="5"/>
      <c r="AJ1268" s="2"/>
    </row>
    <row r="1269" spans="1:36" x14ac:dyDescent="0.25">
      <c r="A1269" s="6">
        <v>41624</v>
      </c>
      <c r="B1269" s="7">
        <v>6.0949999999999998</v>
      </c>
      <c r="C1269" s="9">
        <f t="shared" si="126"/>
        <v>1.5709293705179879E-2</v>
      </c>
      <c r="D1269" s="9">
        <f t="shared" si="127"/>
        <v>1.5353820486806979E-2</v>
      </c>
      <c r="E1269" s="9"/>
      <c r="F1269" s="9"/>
      <c r="G1269" s="9"/>
      <c r="H1269" s="9"/>
      <c r="I1269" s="9"/>
      <c r="J1269" s="9"/>
      <c r="K1269" s="9"/>
      <c r="L1269" s="9"/>
      <c r="M1269" s="5"/>
      <c r="AJ1269" s="2"/>
    </row>
    <row r="1270" spans="1:36" x14ac:dyDescent="0.25">
      <c r="A1270" s="6">
        <v>41625</v>
      </c>
      <c r="B1270" s="7">
        <v>5.9850000000000003</v>
      </c>
      <c r="C1270" s="9">
        <f t="shared" si="126"/>
        <v>-1.8212423923298231E-2</v>
      </c>
      <c r="D1270" s="9">
        <f t="shared" si="127"/>
        <v>-1.8567897141671133E-2</v>
      </c>
      <c r="E1270" s="9"/>
      <c r="F1270" s="9"/>
      <c r="G1270" s="9"/>
      <c r="H1270" s="9"/>
      <c r="I1270" s="9"/>
      <c r="J1270" s="9"/>
      <c r="K1270" s="9"/>
      <c r="L1270" s="9"/>
      <c r="M1270" s="5"/>
      <c r="AJ1270" s="2"/>
    </row>
    <row r="1271" spans="1:36" x14ac:dyDescent="0.25">
      <c r="A1271" s="6">
        <v>41626</v>
      </c>
      <c r="B1271" s="7">
        <v>6.125</v>
      </c>
      <c r="C1271" s="9">
        <f t="shared" si="126"/>
        <v>2.3122417420854212E-2</v>
      </c>
      <c r="D1271" s="9">
        <f t="shared" si="127"/>
        <v>2.276694420248131E-2</v>
      </c>
      <c r="E1271" s="9"/>
      <c r="F1271" s="9"/>
      <c r="G1271" s="9"/>
      <c r="H1271" s="9"/>
      <c r="I1271" s="9"/>
      <c r="J1271" s="9"/>
      <c r="K1271" s="9"/>
      <c r="L1271" s="9"/>
      <c r="M1271" s="5"/>
      <c r="AJ1271" s="2"/>
    </row>
    <row r="1272" spans="1:36" x14ac:dyDescent="0.25">
      <c r="A1272" s="6">
        <v>41627</v>
      </c>
      <c r="B1272" s="7">
        <v>6.23</v>
      </c>
      <c r="C1272" s="9">
        <f t="shared" si="126"/>
        <v>1.6997576368571077E-2</v>
      </c>
      <c r="D1272" s="9">
        <f t="shared" si="127"/>
        <v>1.6642103150198175E-2</v>
      </c>
      <c r="E1272" s="9"/>
      <c r="F1272" s="9"/>
      <c r="G1272" s="9"/>
      <c r="H1272" s="9"/>
      <c r="I1272" s="9"/>
      <c r="J1272" s="9"/>
      <c r="K1272" s="9"/>
      <c r="L1272" s="9"/>
      <c r="M1272" s="5"/>
      <c r="AJ1272" s="2"/>
    </row>
    <row r="1273" spans="1:36" x14ac:dyDescent="0.25">
      <c r="A1273" s="6">
        <v>41628</v>
      </c>
      <c r="B1273" s="7">
        <v>6.36</v>
      </c>
      <c r="C1273" s="9">
        <f t="shared" si="126"/>
        <v>2.0652044552668957E-2</v>
      </c>
      <c r="D1273" s="9">
        <f t="shared" si="127"/>
        <v>2.0296571334296055E-2</v>
      </c>
      <c r="E1273" s="9"/>
      <c r="F1273" s="9"/>
      <c r="G1273" s="9"/>
      <c r="H1273" s="9"/>
      <c r="I1273" s="9"/>
      <c r="J1273" s="9"/>
      <c r="K1273" s="9"/>
      <c r="L1273" s="9"/>
      <c r="M1273" s="5"/>
      <c r="AJ1273" s="2"/>
    </row>
    <row r="1274" spans="1:36" x14ac:dyDescent="0.25">
      <c r="A1274" s="6">
        <v>41631</v>
      </c>
      <c r="B1274" s="7">
        <v>6.31</v>
      </c>
      <c r="C1274" s="9">
        <f t="shared" si="126"/>
        <v>-7.8927007989091531E-3</v>
      </c>
      <c r="D1274" s="9">
        <f t="shared" si="127"/>
        <v>-8.248174017282053E-3</v>
      </c>
      <c r="E1274" s="9"/>
      <c r="F1274" s="9"/>
      <c r="G1274" s="9"/>
      <c r="H1274" s="9"/>
      <c r="I1274" s="9"/>
      <c r="J1274" s="9"/>
      <c r="K1274" s="9"/>
      <c r="L1274" s="9"/>
      <c r="M1274" s="5"/>
      <c r="AJ1274" s="2"/>
    </row>
    <row r="1275" spans="1:36" x14ac:dyDescent="0.25">
      <c r="A1275" s="6">
        <v>41635</v>
      </c>
      <c r="B1275" s="7">
        <v>6.36</v>
      </c>
      <c r="C1275" s="9">
        <f t="shared" si="126"/>
        <v>7.8927007989092034E-3</v>
      </c>
      <c r="D1275" s="9">
        <f t="shared" si="127"/>
        <v>7.5372275805363036E-3</v>
      </c>
      <c r="E1275" s="9"/>
      <c r="F1275" s="9"/>
      <c r="G1275" s="9"/>
      <c r="H1275" s="9"/>
      <c r="I1275" s="9"/>
      <c r="J1275" s="9"/>
      <c r="K1275" s="9"/>
      <c r="L1275" s="9"/>
      <c r="M1275" s="5"/>
      <c r="AJ1275" s="2"/>
    </row>
    <row r="1276" spans="1:36" x14ac:dyDescent="0.25">
      <c r="A1276" s="6">
        <v>41638</v>
      </c>
      <c r="B1276" s="7">
        <v>6.36</v>
      </c>
      <c r="C1276" s="9">
        <f t="shared" si="126"/>
        <v>0</v>
      </c>
      <c r="D1276" s="9">
        <f t="shared" si="127"/>
        <v>-3.5547321837289993E-4</v>
      </c>
      <c r="E1276" s="9"/>
      <c r="F1276" s="9"/>
      <c r="G1276" s="9"/>
      <c r="H1276" s="9"/>
      <c r="I1276" s="9"/>
      <c r="J1276" s="9"/>
      <c r="K1276" s="9"/>
      <c r="L1276" s="9"/>
      <c r="M1276" s="5"/>
      <c r="AJ1276" s="2"/>
    </row>
    <row r="1277" spans="1:36" x14ac:dyDescent="0.25">
      <c r="A1277" s="6">
        <v>41641</v>
      </c>
      <c r="B1277" s="7">
        <v>6.31</v>
      </c>
      <c r="C1277" s="9">
        <f t="shared" ref="C1277:C1340" si="128">LN(B1277/B1276)</f>
        <v>-7.8927007989091531E-3</v>
      </c>
      <c r="D1277" s="9">
        <f t="shared" si="127"/>
        <v>-8.248174017282053E-3</v>
      </c>
      <c r="E1277" s="9"/>
      <c r="F1277" s="9"/>
      <c r="G1277" s="9"/>
      <c r="H1277" s="9"/>
      <c r="I1277" s="9"/>
      <c r="J1277" s="9"/>
      <c r="K1277" s="9"/>
      <c r="L1277" s="9"/>
      <c r="M1277" s="5"/>
      <c r="AJ1277" s="2"/>
    </row>
    <row r="1278" spans="1:36" x14ac:dyDescent="0.25">
      <c r="A1278" s="6">
        <v>41642</v>
      </c>
      <c r="B1278" s="7">
        <v>6.38</v>
      </c>
      <c r="C1278" s="9">
        <f t="shared" si="128"/>
        <v>1.103242080357685E-2</v>
      </c>
      <c r="D1278" s="9">
        <f t="shared" si="127"/>
        <v>1.067694758520395E-2</v>
      </c>
      <c r="E1278" s="9"/>
      <c r="F1278" s="9"/>
      <c r="G1278" s="9"/>
      <c r="H1278" s="9"/>
      <c r="I1278" s="9"/>
      <c r="J1278" s="9"/>
      <c r="K1278" s="9"/>
      <c r="L1278" s="9"/>
      <c r="M1278" s="5"/>
      <c r="AJ1278" s="2"/>
    </row>
    <row r="1279" spans="1:36" x14ac:dyDescent="0.25">
      <c r="A1279" s="6">
        <v>41645</v>
      </c>
      <c r="B1279" s="7">
        <v>6.5350000000000001</v>
      </c>
      <c r="C1279" s="9">
        <f t="shared" si="128"/>
        <v>2.4004249719486691E-2</v>
      </c>
      <c r="D1279" s="9">
        <f t="shared" si="127"/>
        <v>2.3648776501113789E-2</v>
      </c>
      <c r="E1279" s="9"/>
      <c r="F1279" s="9"/>
      <c r="G1279" s="9"/>
      <c r="H1279" s="9"/>
      <c r="I1279" s="9"/>
      <c r="J1279" s="9"/>
      <c r="K1279" s="9"/>
      <c r="L1279" s="9"/>
      <c r="M1279" s="5"/>
      <c r="AJ1279" s="2"/>
    </row>
    <row r="1280" spans="1:36" x14ac:dyDescent="0.25">
      <c r="A1280" s="6">
        <v>41646</v>
      </c>
      <c r="B1280" s="7">
        <v>6.88</v>
      </c>
      <c r="C1280" s="9">
        <f t="shared" si="128"/>
        <v>5.1446304869066997E-2</v>
      </c>
      <c r="D1280" s="9">
        <f t="shared" si="127"/>
        <v>5.1090831650694099E-2</v>
      </c>
      <c r="E1280" s="9"/>
      <c r="F1280" s="9"/>
      <c r="G1280" s="9"/>
      <c r="H1280" s="9"/>
      <c r="I1280" s="9"/>
      <c r="J1280" s="9"/>
      <c r="K1280" s="9"/>
      <c r="L1280" s="9"/>
      <c r="M1280" s="5"/>
      <c r="AJ1280" s="2"/>
    </row>
    <row r="1281" spans="1:36" x14ac:dyDescent="0.25">
      <c r="A1281" s="6">
        <v>41647</v>
      </c>
      <c r="B1281" s="7">
        <v>6.9</v>
      </c>
      <c r="C1281" s="9">
        <f t="shared" si="128"/>
        <v>2.9027596579614102E-3</v>
      </c>
      <c r="D1281" s="9">
        <f t="shared" si="127"/>
        <v>2.5472864395885103E-3</v>
      </c>
      <c r="E1281" s="9"/>
      <c r="F1281" s="9"/>
      <c r="G1281" s="9"/>
      <c r="H1281" s="9"/>
      <c r="I1281" s="9"/>
      <c r="J1281" s="9"/>
      <c r="K1281" s="9"/>
      <c r="L1281" s="9"/>
      <c r="M1281" s="5"/>
      <c r="AJ1281" s="2"/>
    </row>
    <row r="1282" spans="1:36" x14ac:dyDescent="0.25">
      <c r="A1282" s="6">
        <v>41648</v>
      </c>
      <c r="B1282" s="7">
        <v>6.9050000000000002</v>
      </c>
      <c r="C1282" s="9">
        <f t="shared" si="128"/>
        <v>7.2437525804170159E-4</v>
      </c>
      <c r="D1282" s="9">
        <f t="shared" si="127"/>
        <v>3.6890203966880166E-4</v>
      </c>
      <c r="E1282" s="9"/>
      <c r="F1282" s="9"/>
      <c r="G1282" s="9"/>
      <c r="H1282" s="9"/>
      <c r="I1282" s="9"/>
      <c r="J1282" s="9"/>
      <c r="K1282" s="9"/>
      <c r="L1282" s="9"/>
      <c r="M1282" s="5"/>
      <c r="AJ1282" s="2"/>
    </row>
    <row r="1283" spans="1:36" x14ac:dyDescent="0.25">
      <c r="A1283" s="6">
        <v>41649</v>
      </c>
      <c r="B1283" s="7">
        <v>6.8149999999999995</v>
      </c>
      <c r="C1283" s="9">
        <f t="shared" si="128"/>
        <v>-1.3119721712759663E-2</v>
      </c>
      <c r="D1283" s="9">
        <f t="shared" si="127"/>
        <v>-1.3475194931132563E-2</v>
      </c>
      <c r="E1283" s="9"/>
      <c r="F1283" s="9"/>
      <c r="G1283" s="9"/>
      <c r="H1283" s="9"/>
      <c r="I1283" s="9"/>
      <c r="J1283" s="9"/>
      <c r="K1283" s="9"/>
      <c r="L1283" s="9"/>
      <c r="M1283" s="5"/>
      <c r="AJ1283" s="2"/>
    </row>
    <row r="1284" spans="1:36" x14ac:dyDescent="0.25">
      <c r="A1284" s="6">
        <v>41652</v>
      </c>
      <c r="B1284" s="7">
        <v>6.9</v>
      </c>
      <c r="C1284" s="9">
        <f t="shared" si="128"/>
        <v>1.2395346454717949E-2</v>
      </c>
      <c r="D1284" s="9">
        <f t="shared" si="127"/>
        <v>1.2039873236345049E-2</v>
      </c>
      <c r="E1284" s="9"/>
      <c r="F1284" s="9"/>
      <c r="G1284" s="9"/>
      <c r="H1284" s="9"/>
      <c r="I1284" s="9"/>
      <c r="J1284" s="9"/>
      <c r="K1284" s="9"/>
      <c r="L1284" s="9"/>
      <c r="M1284" s="5"/>
      <c r="AJ1284" s="2"/>
    </row>
    <row r="1285" spans="1:36" x14ac:dyDescent="0.25">
      <c r="A1285" s="6">
        <v>41653</v>
      </c>
      <c r="B1285" s="7">
        <v>6.97</v>
      </c>
      <c r="C1285" s="9">
        <f t="shared" si="128"/>
        <v>1.0093813169218686E-2</v>
      </c>
      <c r="D1285" s="9">
        <f t="shared" si="127"/>
        <v>9.7383399508457862E-3</v>
      </c>
      <c r="E1285" s="9"/>
      <c r="F1285" s="9"/>
      <c r="G1285" s="9"/>
      <c r="H1285" s="9"/>
      <c r="I1285" s="9"/>
      <c r="J1285" s="9"/>
      <c r="K1285" s="9"/>
      <c r="L1285" s="9"/>
      <c r="M1285" s="5"/>
      <c r="AJ1285" s="2"/>
    </row>
    <row r="1286" spans="1:36" x14ac:dyDescent="0.25">
      <c r="A1286" s="6">
        <v>41654</v>
      </c>
      <c r="B1286" s="7">
        <v>7.18</v>
      </c>
      <c r="C1286" s="9">
        <f t="shared" si="128"/>
        <v>2.968415828770021E-2</v>
      </c>
      <c r="D1286" s="9">
        <f t="shared" si="127"/>
        <v>2.9328685069327308E-2</v>
      </c>
      <c r="E1286" s="9"/>
      <c r="F1286" s="9"/>
      <c r="G1286" s="9"/>
      <c r="H1286" s="9"/>
      <c r="I1286" s="9"/>
      <c r="J1286" s="9"/>
      <c r="K1286" s="9"/>
      <c r="L1286" s="9"/>
      <c r="M1286" s="5"/>
      <c r="AJ1286" s="2"/>
    </row>
    <row r="1287" spans="1:36" x14ac:dyDescent="0.25">
      <c r="A1287" s="6">
        <v>41655</v>
      </c>
      <c r="B1287" s="7">
        <v>6.95</v>
      </c>
      <c r="C1287" s="9">
        <f t="shared" si="128"/>
        <v>-3.2557723483432006E-2</v>
      </c>
      <c r="D1287" s="9">
        <f t="shared" si="127"/>
        <v>-3.2913196701804905E-2</v>
      </c>
      <c r="E1287" s="9"/>
      <c r="F1287" s="9"/>
      <c r="G1287" s="9"/>
      <c r="H1287" s="9"/>
      <c r="I1287" s="9"/>
      <c r="J1287" s="9"/>
      <c r="K1287" s="9"/>
      <c r="L1287" s="9"/>
      <c r="M1287" s="5"/>
      <c r="AJ1287" s="2"/>
    </row>
    <row r="1288" spans="1:36" x14ac:dyDescent="0.25">
      <c r="A1288" s="6">
        <v>41656</v>
      </c>
      <c r="B1288" s="7">
        <v>7.0250000000000004</v>
      </c>
      <c r="C1288" s="9">
        <f t="shared" si="128"/>
        <v>1.0733555643108633E-2</v>
      </c>
      <c r="D1288" s="9">
        <f t="shared" si="127"/>
        <v>1.0378082424735733E-2</v>
      </c>
      <c r="E1288" s="9"/>
      <c r="F1288" s="9"/>
      <c r="G1288" s="9"/>
      <c r="H1288" s="9"/>
      <c r="I1288" s="9"/>
      <c r="J1288" s="9"/>
      <c r="K1288" s="9"/>
      <c r="L1288" s="9"/>
      <c r="M1288" s="5"/>
      <c r="AJ1288" s="2"/>
    </row>
    <row r="1289" spans="1:36" x14ac:dyDescent="0.25">
      <c r="A1289" s="6">
        <v>41659</v>
      </c>
      <c r="B1289" s="7">
        <v>6.85</v>
      </c>
      <c r="C1289" s="9">
        <f t="shared" si="128"/>
        <v>-2.5226562945675685E-2</v>
      </c>
      <c r="D1289" s="9">
        <f t="shared" si="127"/>
        <v>-2.5582036164048586E-2</v>
      </c>
      <c r="E1289" s="9"/>
      <c r="F1289" s="9"/>
      <c r="G1289" s="9"/>
      <c r="H1289" s="9"/>
      <c r="I1289" s="9"/>
      <c r="J1289" s="9"/>
      <c r="K1289" s="9"/>
      <c r="L1289" s="9"/>
      <c r="M1289" s="5"/>
      <c r="AJ1289" s="2"/>
    </row>
    <row r="1290" spans="1:36" x14ac:dyDescent="0.25">
      <c r="A1290" s="6">
        <v>41660</v>
      </c>
      <c r="B1290" s="7">
        <v>6.8250000000000002</v>
      </c>
      <c r="C1290" s="9">
        <f t="shared" si="128"/>
        <v>-3.6563112031104319E-3</v>
      </c>
      <c r="D1290" s="9">
        <f t="shared" si="127"/>
        <v>-4.0117844214833318E-3</v>
      </c>
      <c r="E1290" s="9"/>
      <c r="F1290" s="9"/>
      <c r="G1290" s="9"/>
      <c r="H1290" s="9"/>
      <c r="I1290" s="9"/>
      <c r="J1290" s="9"/>
      <c r="K1290" s="9"/>
      <c r="L1290" s="9"/>
      <c r="M1290" s="5"/>
      <c r="AJ1290" s="2"/>
    </row>
    <row r="1291" spans="1:36" x14ac:dyDescent="0.25">
      <c r="A1291" s="6">
        <v>41661</v>
      </c>
      <c r="B1291" s="7">
        <v>6.8049999999999997</v>
      </c>
      <c r="C1291" s="9">
        <f t="shared" si="128"/>
        <v>-2.9347049675941361E-3</v>
      </c>
      <c r="D1291" s="9">
        <f t="shared" si="127"/>
        <v>-3.290178185967036E-3</v>
      </c>
      <c r="E1291" s="9"/>
      <c r="F1291" s="9"/>
      <c r="G1291" s="9"/>
      <c r="H1291" s="9"/>
      <c r="I1291" s="9"/>
      <c r="J1291" s="9"/>
      <c r="K1291" s="9"/>
      <c r="L1291" s="9"/>
      <c r="M1291" s="5"/>
      <c r="AJ1291" s="2"/>
    </row>
    <row r="1292" spans="1:36" x14ac:dyDescent="0.25">
      <c r="A1292" s="6">
        <v>41662</v>
      </c>
      <c r="B1292" s="7">
        <v>6.72</v>
      </c>
      <c r="C1292" s="9">
        <f t="shared" si="128"/>
        <v>-1.2569481568371219E-2</v>
      </c>
      <c r="D1292" s="9">
        <f t="shared" si="127"/>
        <v>-1.2924954786744118E-2</v>
      </c>
      <c r="E1292" s="9"/>
      <c r="F1292" s="9"/>
      <c r="G1292" s="9"/>
      <c r="H1292" s="9"/>
      <c r="I1292" s="9"/>
      <c r="J1292" s="9"/>
      <c r="K1292" s="9"/>
      <c r="L1292" s="9"/>
      <c r="M1292" s="5"/>
      <c r="AJ1292" s="2"/>
    </row>
    <row r="1293" spans="1:36" x14ac:dyDescent="0.25">
      <c r="A1293" s="6">
        <v>41663</v>
      </c>
      <c r="B1293" s="7">
        <v>6.66</v>
      </c>
      <c r="C1293" s="9">
        <f t="shared" si="128"/>
        <v>-8.9686699827603751E-3</v>
      </c>
      <c r="D1293" s="9">
        <f t="shared" si="127"/>
        <v>-9.324143201133275E-3</v>
      </c>
      <c r="E1293" s="9"/>
      <c r="F1293" s="9"/>
      <c r="G1293" s="9"/>
      <c r="H1293" s="9"/>
      <c r="I1293" s="9"/>
      <c r="J1293" s="9"/>
      <c r="K1293" s="9"/>
      <c r="L1293" s="9"/>
      <c r="M1293" s="5"/>
      <c r="AJ1293" s="2"/>
    </row>
    <row r="1294" spans="1:36" x14ac:dyDescent="0.25">
      <c r="A1294" s="6">
        <v>41666</v>
      </c>
      <c r="B1294" s="7">
        <v>6.6349999999999998</v>
      </c>
      <c r="C1294" s="9">
        <f t="shared" si="128"/>
        <v>-3.7608167681269355E-3</v>
      </c>
      <c r="D1294" s="9">
        <f t="shared" si="127"/>
        <v>-4.1162899864998354E-3</v>
      </c>
      <c r="E1294" s="9"/>
      <c r="F1294" s="9"/>
      <c r="G1294" s="9"/>
      <c r="H1294" s="9"/>
      <c r="I1294" s="9"/>
      <c r="J1294" s="9"/>
      <c r="K1294" s="9"/>
      <c r="L1294" s="9"/>
      <c r="M1294" s="5"/>
      <c r="AJ1294" s="2"/>
    </row>
    <row r="1295" spans="1:36" x14ac:dyDescent="0.25">
      <c r="A1295" s="6">
        <v>41667</v>
      </c>
      <c r="B1295" s="7">
        <v>6.585</v>
      </c>
      <c r="C1295" s="9">
        <f t="shared" si="128"/>
        <v>-7.5643325889264319E-3</v>
      </c>
      <c r="D1295" s="9">
        <f t="shared" si="127"/>
        <v>-7.9198058072993318E-3</v>
      </c>
      <c r="E1295" s="9"/>
      <c r="F1295" s="9"/>
      <c r="G1295" s="9"/>
      <c r="H1295" s="9"/>
      <c r="I1295" s="9"/>
      <c r="J1295" s="9"/>
      <c r="K1295" s="9"/>
      <c r="L1295" s="9"/>
      <c r="M1295" s="5"/>
      <c r="AJ1295" s="2"/>
    </row>
    <row r="1296" spans="1:36" x14ac:dyDescent="0.25">
      <c r="A1296" s="6">
        <v>41668</v>
      </c>
      <c r="B1296" s="7">
        <v>6.72</v>
      </c>
      <c r="C1296" s="9">
        <f t="shared" si="128"/>
        <v>2.0293819339813682E-2</v>
      </c>
      <c r="D1296" s="9">
        <f t="shared" si="127"/>
        <v>1.993834612144078E-2</v>
      </c>
      <c r="E1296" s="9"/>
      <c r="F1296" s="9"/>
      <c r="G1296" s="9"/>
      <c r="H1296" s="9"/>
      <c r="I1296" s="9"/>
      <c r="J1296" s="9"/>
      <c r="K1296" s="9"/>
      <c r="L1296" s="9"/>
      <c r="M1296" s="5"/>
      <c r="AJ1296" s="2"/>
    </row>
    <row r="1297" spans="1:36" x14ac:dyDescent="0.25">
      <c r="A1297" s="6">
        <v>41669</v>
      </c>
      <c r="B1297" s="7">
        <v>6.8250000000000002</v>
      </c>
      <c r="C1297" s="9">
        <f t="shared" si="128"/>
        <v>1.5504186535965254E-2</v>
      </c>
      <c r="D1297" s="9">
        <f t="shared" si="127"/>
        <v>1.5148713317592355E-2</v>
      </c>
      <c r="E1297" s="9"/>
      <c r="F1297" s="9"/>
      <c r="G1297" s="9"/>
      <c r="H1297" s="9"/>
      <c r="I1297" s="9"/>
      <c r="J1297" s="9"/>
      <c r="K1297" s="9"/>
      <c r="L1297" s="9"/>
      <c r="M1297" s="5"/>
      <c r="AJ1297" s="2"/>
    </row>
    <row r="1298" spans="1:36" x14ac:dyDescent="0.25">
      <c r="A1298" s="6">
        <v>41670</v>
      </c>
      <c r="B1298" s="7">
        <v>6.8149999999999995</v>
      </c>
      <c r="C1298" s="9">
        <f t="shared" si="128"/>
        <v>-1.4662759225275992E-3</v>
      </c>
      <c r="D1298" s="9">
        <f t="shared" si="127"/>
        <v>-1.8217491409004991E-3</v>
      </c>
      <c r="E1298" s="9"/>
      <c r="F1298" s="9"/>
      <c r="G1298" s="9"/>
      <c r="H1298" s="9"/>
      <c r="I1298" s="9"/>
      <c r="J1298" s="9"/>
      <c r="K1298" s="9"/>
      <c r="L1298" s="9"/>
      <c r="M1298" s="5"/>
      <c r="AJ1298" s="2"/>
    </row>
    <row r="1299" spans="1:36" x14ac:dyDescent="0.25">
      <c r="A1299" s="6">
        <v>41673</v>
      </c>
      <c r="B1299" s="7">
        <v>6.6</v>
      </c>
      <c r="C1299" s="9">
        <f t="shared" si="128"/>
        <v>-3.2056416116116086E-2</v>
      </c>
      <c r="D1299" s="9">
        <f t="shared" si="127"/>
        <v>-3.2411889334488984E-2</v>
      </c>
      <c r="E1299" s="9"/>
      <c r="F1299" s="9"/>
      <c r="G1299" s="9"/>
      <c r="H1299" s="9"/>
      <c r="I1299" s="9"/>
      <c r="J1299" s="9"/>
      <c r="K1299" s="9"/>
      <c r="L1299" s="9"/>
      <c r="M1299" s="5"/>
      <c r="AJ1299" s="2"/>
    </row>
    <row r="1300" spans="1:36" x14ac:dyDescent="0.25">
      <c r="A1300" s="6">
        <v>41674</v>
      </c>
      <c r="B1300" s="7">
        <v>6.5750000000000002</v>
      </c>
      <c r="C1300" s="9">
        <f t="shared" si="128"/>
        <v>-3.7950709685514979E-3</v>
      </c>
      <c r="D1300" s="9">
        <f t="shared" si="127"/>
        <v>-4.1505441869243978E-3</v>
      </c>
      <c r="E1300" s="9"/>
      <c r="F1300" s="9"/>
      <c r="G1300" s="9"/>
      <c r="H1300" s="9"/>
      <c r="I1300" s="9"/>
      <c r="J1300" s="9"/>
      <c r="K1300" s="9"/>
      <c r="L1300" s="9"/>
      <c r="M1300" s="5"/>
      <c r="AJ1300" s="2"/>
    </row>
    <row r="1301" spans="1:36" x14ac:dyDescent="0.25">
      <c r="A1301" s="6">
        <v>41675</v>
      </c>
      <c r="B1301" s="7">
        <v>6.8049999999999997</v>
      </c>
      <c r="C1301" s="9">
        <f t="shared" si="128"/>
        <v>3.4383058039601046E-2</v>
      </c>
      <c r="D1301" s="9">
        <f t="shared" ref="D1301:D1343" si="129">C1301-$C$59/252</f>
        <v>3.4027584821228148E-2</v>
      </c>
      <c r="E1301" s="9"/>
      <c r="F1301" s="9"/>
      <c r="G1301" s="9"/>
      <c r="H1301" s="9"/>
      <c r="I1301" s="9"/>
      <c r="J1301" s="9"/>
      <c r="K1301" s="9"/>
      <c r="L1301" s="9"/>
      <c r="M1301" s="5"/>
      <c r="AJ1301" s="2"/>
    </row>
    <row r="1302" spans="1:36" x14ac:dyDescent="0.25">
      <c r="A1302" s="6">
        <v>41676</v>
      </c>
      <c r="B1302" s="7">
        <v>7.0549999999999997</v>
      </c>
      <c r="C1302" s="9">
        <f t="shared" si="128"/>
        <v>3.6078949201347882E-2</v>
      </c>
      <c r="D1302" s="9">
        <f t="shared" si="129"/>
        <v>3.5723475982974984E-2</v>
      </c>
      <c r="E1302" s="9"/>
      <c r="F1302" s="9"/>
      <c r="G1302" s="9"/>
      <c r="H1302" s="9"/>
      <c r="I1302" s="9"/>
      <c r="J1302" s="9"/>
      <c r="K1302" s="9"/>
      <c r="L1302" s="9"/>
      <c r="M1302" s="5"/>
      <c r="AJ1302" s="2"/>
    </row>
    <row r="1303" spans="1:36" x14ac:dyDescent="0.25">
      <c r="A1303" s="6">
        <v>41677</v>
      </c>
      <c r="B1303" s="7">
        <v>7.0250000000000004</v>
      </c>
      <c r="C1303" s="9">
        <f t="shared" si="128"/>
        <v>-4.2613700849677399E-3</v>
      </c>
      <c r="D1303" s="9">
        <f t="shared" si="129"/>
        <v>-4.6168433033406397E-3</v>
      </c>
      <c r="E1303" s="9"/>
      <c r="F1303" s="9"/>
      <c r="G1303" s="9"/>
      <c r="H1303" s="9"/>
      <c r="I1303" s="9"/>
      <c r="J1303" s="9"/>
      <c r="K1303" s="9"/>
      <c r="L1303" s="9"/>
      <c r="M1303" s="5"/>
      <c r="AJ1303" s="2"/>
    </row>
    <row r="1304" spans="1:36" x14ac:dyDescent="0.25">
      <c r="A1304" s="6">
        <v>41680</v>
      </c>
      <c r="B1304" s="7">
        <v>7</v>
      </c>
      <c r="C1304" s="9">
        <f t="shared" si="128"/>
        <v>-3.5650661644962569E-3</v>
      </c>
      <c r="D1304" s="9">
        <f t="shared" si="129"/>
        <v>-3.9205393828691572E-3</v>
      </c>
      <c r="E1304" s="9"/>
      <c r="F1304" s="9"/>
      <c r="G1304" s="9"/>
      <c r="H1304" s="9"/>
      <c r="I1304" s="9"/>
      <c r="J1304" s="9"/>
      <c r="K1304" s="9"/>
      <c r="L1304" s="9"/>
      <c r="M1304" s="5"/>
      <c r="AJ1304" s="2"/>
    </row>
    <row r="1305" spans="1:36" x14ac:dyDescent="0.25">
      <c r="A1305" s="6">
        <v>41681</v>
      </c>
      <c r="B1305" s="7">
        <v>7.1349999999999998</v>
      </c>
      <c r="C1305" s="9">
        <f t="shared" si="128"/>
        <v>1.9102101873486498E-2</v>
      </c>
      <c r="D1305" s="9">
        <f t="shared" si="129"/>
        <v>1.8746628655113597E-2</v>
      </c>
      <c r="E1305" s="9"/>
      <c r="L1305" s="9"/>
      <c r="M1305" s="5"/>
      <c r="AJ1305" s="2"/>
    </row>
    <row r="1306" spans="1:36" x14ac:dyDescent="0.25">
      <c r="A1306" s="6">
        <v>41682</v>
      </c>
      <c r="B1306" s="7">
        <v>7.22</v>
      </c>
      <c r="C1306" s="9">
        <f t="shared" si="128"/>
        <v>1.1842701975935158E-2</v>
      </c>
      <c r="D1306" s="9">
        <f t="shared" si="129"/>
        <v>1.1487228757562258E-2</v>
      </c>
      <c r="E1306" s="9"/>
      <c r="M1306" s="5"/>
      <c r="AJ1306" s="2"/>
    </row>
    <row r="1307" spans="1:36" x14ac:dyDescent="0.25">
      <c r="A1307" s="6">
        <v>41683</v>
      </c>
      <c r="B1307" s="7">
        <v>7.12</v>
      </c>
      <c r="C1307" s="9">
        <f t="shared" si="128"/>
        <v>-1.3947227480850441E-2</v>
      </c>
      <c r="D1307" s="9">
        <f t="shared" si="129"/>
        <v>-1.430270069922334E-2</v>
      </c>
      <c r="E1307" s="9"/>
      <c r="M1307" s="5"/>
      <c r="AJ1307" s="2"/>
    </row>
    <row r="1308" spans="1:36" x14ac:dyDescent="0.25">
      <c r="A1308" s="6">
        <v>41684</v>
      </c>
      <c r="B1308" s="7">
        <v>7.2350000000000003</v>
      </c>
      <c r="C1308" s="9">
        <f t="shared" si="128"/>
        <v>1.6022634659562756E-2</v>
      </c>
      <c r="D1308" s="9">
        <f t="shared" si="129"/>
        <v>1.5667161441189854E-2</v>
      </c>
      <c r="E1308" s="9"/>
      <c r="M1308" s="5"/>
      <c r="AJ1308" s="2"/>
    </row>
    <row r="1309" spans="1:36" x14ac:dyDescent="0.25">
      <c r="A1309" s="6">
        <v>41687</v>
      </c>
      <c r="B1309" s="7">
        <v>7.3550000000000004</v>
      </c>
      <c r="C1309" s="9">
        <f t="shared" si="128"/>
        <v>1.6449993969953752E-2</v>
      </c>
      <c r="D1309" s="9">
        <f t="shared" si="129"/>
        <v>1.6094520751580851E-2</v>
      </c>
      <c r="E1309" s="9"/>
      <c r="M1309" s="5"/>
      <c r="AJ1309" s="2"/>
    </row>
    <row r="1310" spans="1:36" x14ac:dyDescent="0.25">
      <c r="A1310" s="6">
        <v>41688</v>
      </c>
      <c r="B1310" s="7">
        <v>7.2850000000000001</v>
      </c>
      <c r="C1310" s="9">
        <f t="shared" si="128"/>
        <v>-9.5629144062327667E-3</v>
      </c>
      <c r="D1310" s="9">
        <f t="shared" si="129"/>
        <v>-9.9183876246056665E-3</v>
      </c>
      <c r="E1310" s="9"/>
      <c r="M1310" s="5"/>
      <c r="AJ1310" s="2"/>
    </row>
    <row r="1311" spans="1:36" x14ac:dyDescent="0.25">
      <c r="A1311" s="6">
        <v>41689</v>
      </c>
      <c r="B1311" s="7">
        <v>7.27</v>
      </c>
      <c r="C1311" s="9">
        <f t="shared" si="128"/>
        <v>-2.0611481017402643E-3</v>
      </c>
      <c r="D1311" s="9">
        <f t="shared" si="129"/>
        <v>-2.4166213201131641E-3</v>
      </c>
      <c r="E1311" s="9"/>
      <c r="M1311" s="5"/>
      <c r="AJ1311" s="2"/>
    </row>
    <row r="1312" spans="1:36" x14ac:dyDescent="0.25">
      <c r="A1312" s="6">
        <v>41690</v>
      </c>
      <c r="B1312" s="7">
        <v>7.1849999999999996</v>
      </c>
      <c r="C1312" s="9">
        <f t="shared" si="128"/>
        <v>-1.1760772014439739E-2</v>
      </c>
      <c r="D1312" s="9">
        <f t="shared" si="129"/>
        <v>-1.2116245232812638E-2</v>
      </c>
      <c r="E1312" s="9"/>
      <c r="M1312" s="5"/>
      <c r="AJ1312" s="2"/>
    </row>
    <row r="1313" spans="1:36" x14ac:dyDescent="0.25">
      <c r="A1313" s="6">
        <v>41691</v>
      </c>
      <c r="B1313" s="7">
        <v>7.1550000000000002</v>
      </c>
      <c r="C1313" s="9">
        <f t="shared" si="128"/>
        <v>-4.1841065225739849E-3</v>
      </c>
      <c r="D1313" s="9">
        <f t="shared" si="129"/>
        <v>-4.5395797409468848E-3</v>
      </c>
      <c r="E1313" s="9"/>
      <c r="M1313" s="5"/>
      <c r="AJ1313" s="2"/>
    </row>
    <row r="1314" spans="1:36" x14ac:dyDescent="0.25">
      <c r="A1314" s="6">
        <v>41694</v>
      </c>
      <c r="B1314" s="7">
        <v>7.15</v>
      </c>
      <c r="C1314" s="9">
        <f t="shared" si="128"/>
        <v>-6.990563024978823E-4</v>
      </c>
      <c r="D1314" s="9">
        <f t="shared" si="129"/>
        <v>-1.0545295208707823E-3</v>
      </c>
      <c r="E1314" s="9"/>
      <c r="M1314" s="5"/>
      <c r="AJ1314" s="2"/>
    </row>
    <row r="1315" spans="1:36" x14ac:dyDescent="0.25">
      <c r="A1315" s="6">
        <v>41695</v>
      </c>
      <c r="B1315" s="7">
        <v>7.29</v>
      </c>
      <c r="C1315" s="9">
        <f t="shared" si="128"/>
        <v>1.9391189314650364E-2</v>
      </c>
      <c r="D1315" s="9">
        <f t="shared" si="129"/>
        <v>1.9035716096277463E-2</v>
      </c>
      <c r="E1315" s="9"/>
      <c r="M1315" s="5"/>
      <c r="AJ1315" s="2"/>
    </row>
    <row r="1316" spans="1:36" x14ac:dyDescent="0.25">
      <c r="A1316" s="6">
        <v>41696</v>
      </c>
      <c r="B1316" s="7">
        <v>7.1550000000000002</v>
      </c>
      <c r="C1316" s="9">
        <f t="shared" si="128"/>
        <v>-1.8692133012152522E-2</v>
      </c>
      <c r="D1316" s="9">
        <f t="shared" si="129"/>
        <v>-1.9047606230525423E-2</v>
      </c>
      <c r="E1316" s="9"/>
      <c r="M1316" s="5"/>
      <c r="AJ1316" s="2"/>
    </row>
    <row r="1317" spans="1:36" x14ac:dyDescent="0.25">
      <c r="A1317" s="6">
        <v>41697</v>
      </c>
      <c r="B1317" s="7">
        <v>7.25</v>
      </c>
      <c r="C1317" s="9">
        <f t="shared" si="128"/>
        <v>1.3190055858169224E-2</v>
      </c>
      <c r="D1317" s="9">
        <f t="shared" si="129"/>
        <v>1.2834582639796324E-2</v>
      </c>
      <c r="E1317" s="9"/>
      <c r="M1317" s="5"/>
      <c r="AJ1317" s="2"/>
    </row>
    <row r="1318" spans="1:36" x14ac:dyDescent="0.25">
      <c r="A1318" s="6">
        <v>41698</v>
      </c>
      <c r="B1318" s="7">
        <v>7.2249999999999996</v>
      </c>
      <c r="C1318" s="9">
        <f t="shared" si="128"/>
        <v>-3.4542348680875576E-3</v>
      </c>
      <c r="D1318" s="9">
        <f t="shared" si="129"/>
        <v>-3.8097080864604575E-3</v>
      </c>
      <c r="E1318" s="9"/>
      <c r="M1318" s="5"/>
      <c r="AJ1318" s="2"/>
    </row>
    <row r="1319" spans="1:36" x14ac:dyDescent="0.25">
      <c r="A1319" s="6">
        <v>41701</v>
      </c>
      <c r="B1319" s="7">
        <v>7.0149999999999997</v>
      </c>
      <c r="C1319" s="9">
        <f t="shared" si="128"/>
        <v>-2.9496520444071597E-2</v>
      </c>
      <c r="D1319" s="9">
        <f t="shared" si="129"/>
        <v>-2.9851993662444499E-2</v>
      </c>
      <c r="E1319" s="9"/>
      <c r="M1319" s="5"/>
      <c r="AJ1319" s="2"/>
    </row>
    <row r="1320" spans="1:36" x14ac:dyDescent="0.25">
      <c r="A1320" s="6">
        <v>41702</v>
      </c>
      <c r="B1320" s="7">
        <v>7.2850000000000001</v>
      </c>
      <c r="C1320" s="9">
        <f t="shared" si="128"/>
        <v>3.7766726092744007E-2</v>
      </c>
      <c r="D1320" s="9">
        <f t="shared" si="129"/>
        <v>3.7411252874371109E-2</v>
      </c>
      <c r="E1320" s="9"/>
      <c r="M1320" s="5"/>
      <c r="AJ1320" s="2"/>
    </row>
    <row r="1321" spans="1:36" x14ac:dyDescent="0.25">
      <c r="A1321" s="6">
        <v>41703</v>
      </c>
      <c r="B1321" s="7">
        <v>7.59</v>
      </c>
      <c r="C1321" s="9">
        <f t="shared" si="128"/>
        <v>4.1014151760370286E-2</v>
      </c>
      <c r="D1321" s="9">
        <f t="shared" si="129"/>
        <v>4.0658678541997388E-2</v>
      </c>
      <c r="E1321" s="9"/>
      <c r="M1321" s="5"/>
      <c r="AJ1321" s="2"/>
    </row>
    <row r="1322" spans="1:36" x14ac:dyDescent="0.25">
      <c r="A1322" s="6">
        <v>41704</v>
      </c>
      <c r="B1322" s="7">
        <v>7.7350000000000003</v>
      </c>
      <c r="C1322" s="9">
        <f t="shared" si="128"/>
        <v>1.8923892617490851E-2</v>
      </c>
      <c r="D1322" s="9">
        <f t="shared" si="129"/>
        <v>1.856841939911795E-2</v>
      </c>
      <c r="E1322" s="9"/>
      <c r="M1322" s="5"/>
      <c r="AJ1322" s="2"/>
    </row>
    <row r="1323" spans="1:36" x14ac:dyDescent="0.25">
      <c r="A1323" s="6">
        <v>41705</v>
      </c>
      <c r="B1323" s="7">
        <v>7.65</v>
      </c>
      <c r="C1323" s="9">
        <f t="shared" si="128"/>
        <v>-1.1049836186584935E-2</v>
      </c>
      <c r="D1323" s="9">
        <f t="shared" si="129"/>
        <v>-1.1405309404957835E-2</v>
      </c>
      <c r="E1323" s="9"/>
      <c r="M1323" s="5"/>
      <c r="AJ1323" s="2"/>
    </row>
    <row r="1324" spans="1:36" x14ac:dyDescent="0.25">
      <c r="A1324" s="6">
        <v>41708</v>
      </c>
      <c r="B1324" s="7">
        <v>7.71</v>
      </c>
      <c r="C1324" s="9">
        <f t="shared" si="128"/>
        <v>7.8125397367936247E-3</v>
      </c>
      <c r="D1324" s="9">
        <f t="shared" si="129"/>
        <v>7.4570665184207248E-3</v>
      </c>
      <c r="E1324" s="9"/>
      <c r="M1324" s="5"/>
      <c r="AJ1324" s="2"/>
    </row>
    <row r="1325" spans="1:36" x14ac:dyDescent="0.25">
      <c r="A1325" s="6">
        <v>41709</v>
      </c>
      <c r="B1325" s="7">
        <v>7.71</v>
      </c>
      <c r="C1325" s="9">
        <f t="shared" si="128"/>
        <v>0</v>
      </c>
      <c r="D1325" s="9">
        <f t="shared" si="129"/>
        <v>-3.5547321837289993E-4</v>
      </c>
      <c r="E1325" s="9"/>
      <c r="M1325" s="5"/>
      <c r="AJ1325" s="2"/>
    </row>
    <row r="1326" spans="1:36" x14ac:dyDescent="0.25">
      <c r="A1326" s="6">
        <v>41710</v>
      </c>
      <c r="B1326" s="7">
        <v>7.5949999999999998</v>
      </c>
      <c r="C1326" s="9">
        <f t="shared" si="128"/>
        <v>-1.5028051527502003E-2</v>
      </c>
      <c r="D1326" s="9">
        <f t="shared" si="129"/>
        <v>-1.5383524745874903E-2</v>
      </c>
      <c r="E1326" s="9"/>
      <c r="M1326" s="5"/>
      <c r="AJ1326" s="2"/>
    </row>
    <row r="1327" spans="1:36" x14ac:dyDescent="0.25">
      <c r="A1327" s="6">
        <v>41711</v>
      </c>
      <c r="B1327" s="7">
        <v>7.72</v>
      </c>
      <c r="C1327" s="9">
        <f t="shared" si="128"/>
        <v>1.6324227988948663E-2</v>
      </c>
      <c r="D1327" s="9">
        <f t="shared" si="129"/>
        <v>1.5968754770575761E-2</v>
      </c>
      <c r="E1327" s="9"/>
      <c r="M1327" s="5"/>
      <c r="AJ1327" s="2"/>
    </row>
    <row r="1328" spans="1:36" x14ac:dyDescent="0.25">
      <c r="A1328" s="6">
        <v>41712</v>
      </c>
      <c r="B1328" s="7">
        <v>7.55</v>
      </c>
      <c r="C1328" s="9">
        <f t="shared" si="128"/>
        <v>-2.2266800775751435E-2</v>
      </c>
      <c r="D1328" s="9">
        <f t="shared" si="129"/>
        <v>-2.2622273994124337E-2</v>
      </c>
      <c r="E1328" s="9"/>
      <c r="M1328" s="5"/>
      <c r="AJ1328" s="2"/>
    </row>
    <row r="1329" spans="1:36" x14ac:dyDescent="0.25">
      <c r="A1329" s="6">
        <v>41715</v>
      </c>
      <c r="B1329" s="7">
        <v>7.67</v>
      </c>
      <c r="C1329" s="9">
        <f t="shared" si="128"/>
        <v>1.5769052118231434E-2</v>
      </c>
      <c r="D1329" s="9">
        <f t="shared" si="129"/>
        <v>1.5413578899858534E-2</v>
      </c>
      <c r="E1329" s="9"/>
      <c r="M1329" s="5"/>
      <c r="AJ1329" s="2"/>
    </row>
    <row r="1330" spans="1:36" x14ac:dyDescent="0.25">
      <c r="A1330" s="6">
        <v>41716</v>
      </c>
      <c r="B1330" s="7">
        <v>7.8250000000000002</v>
      </c>
      <c r="C1330" s="9">
        <f t="shared" si="128"/>
        <v>2.0007121047052143E-2</v>
      </c>
      <c r="D1330" s="9">
        <f t="shared" si="129"/>
        <v>1.9651647828679241E-2</v>
      </c>
      <c r="E1330" s="9"/>
      <c r="M1330" s="5"/>
      <c r="AJ1330" s="2"/>
    </row>
    <row r="1331" spans="1:36" x14ac:dyDescent="0.25">
      <c r="A1331" s="6">
        <v>41717</v>
      </c>
      <c r="B1331" s="7">
        <v>7.7850000000000001</v>
      </c>
      <c r="C1331" s="9">
        <f t="shared" si="128"/>
        <v>-5.124931140255239E-3</v>
      </c>
      <c r="D1331" s="9">
        <f t="shared" si="129"/>
        <v>-5.4804043586281388E-3</v>
      </c>
      <c r="E1331" s="9"/>
      <c r="M1331" s="5"/>
      <c r="AJ1331" s="2"/>
    </row>
    <row r="1332" spans="1:36" x14ac:dyDescent="0.25">
      <c r="A1332" s="6">
        <v>41718</v>
      </c>
      <c r="B1332" s="7">
        <v>7.9950000000000001</v>
      </c>
      <c r="C1332" s="9">
        <f t="shared" si="128"/>
        <v>2.6617540999955926E-2</v>
      </c>
      <c r="D1332" s="9">
        <f t="shared" si="129"/>
        <v>2.6262067781583024E-2</v>
      </c>
      <c r="E1332" s="9"/>
      <c r="M1332" s="5"/>
      <c r="AJ1332" s="2"/>
    </row>
    <row r="1333" spans="1:36" x14ac:dyDescent="0.25">
      <c r="A1333" s="6">
        <v>41719</v>
      </c>
      <c r="B1333" s="7">
        <v>7.835</v>
      </c>
      <c r="C1333" s="9">
        <f t="shared" si="128"/>
        <v>-2.0215470477933376E-2</v>
      </c>
      <c r="D1333" s="9">
        <f t="shared" si="129"/>
        <v>-2.0570943696306278E-2</v>
      </c>
      <c r="E1333" s="9"/>
      <c r="M1333" s="5"/>
      <c r="AJ1333" s="2"/>
    </row>
    <row r="1334" spans="1:36" x14ac:dyDescent="0.25">
      <c r="A1334" s="6">
        <v>41722</v>
      </c>
      <c r="B1334" s="7">
        <v>7.68</v>
      </c>
      <c r="C1334" s="9">
        <f t="shared" si="128"/>
        <v>-1.9981328648403338E-2</v>
      </c>
      <c r="D1334" s="9">
        <f t="shared" si="129"/>
        <v>-2.0336801866776239E-2</v>
      </c>
      <c r="E1334" s="9"/>
      <c r="M1334" s="5"/>
      <c r="AJ1334" s="2"/>
    </row>
    <row r="1335" spans="1:36" x14ac:dyDescent="0.25">
      <c r="A1335" s="6">
        <v>41723</v>
      </c>
      <c r="B1335" s="7">
        <v>7.77</v>
      </c>
      <c r="C1335" s="9">
        <f t="shared" si="128"/>
        <v>1.1650617219975274E-2</v>
      </c>
      <c r="D1335" s="9">
        <f t="shared" si="129"/>
        <v>1.1295144001602375E-2</v>
      </c>
      <c r="E1335" s="9"/>
      <c r="AJ1335" s="2"/>
    </row>
    <row r="1336" spans="1:36" x14ac:dyDescent="0.25">
      <c r="A1336" s="6">
        <v>41724</v>
      </c>
      <c r="B1336" s="7">
        <v>7.82</v>
      </c>
      <c r="C1336" s="9">
        <f t="shared" si="128"/>
        <v>6.4143901776637004E-3</v>
      </c>
      <c r="D1336" s="9">
        <f t="shared" si="129"/>
        <v>6.0589169592908006E-3</v>
      </c>
      <c r="E1336" s="9"/>
      <c r="AJ1336" s="2"/>
    </row>
    <row r="1337" spans="1:36" x14ac:dyDescent="0.25">
      <c r="A1337" s="6">
        <v>41725</v>
      </c>
      <c r="B1337" s="7">
        <v>7.91</v>
      </c>
      <c r="C1337" s="9">
        <f t="shared" si="128"/>
        <v>1.1443227222342714E-2</v>
      </c>
      <c r="D1337" s="9">
        <f t="shared" si="129"/>
        <v>1.1087754003969814E-2</v>
      </c>
      <c r="E1337" s="9"/>
      <c r="AJ1337" s="2"/>
    </row>
    <row r="1338" spans="1:36" x14ac:dyDescent="0.25">
      <c r="A1338" s="6">
        <v>41726</v>
      </c>
      <c r="B1338" s="7">
        <v>7.98</v>
      </c>
      <c r="C1338" s="9">
        <f t="shared" si="128"/>
        <v>8.8106296821549059E-3</v>
      </c>
      <c r="D1338" s="9">
        <f t="shared" si="129"/>
        <v>8.455156463782006E-3</v>
      </c>
      <c r="E1338" s="9"/>
      <c r="AJ1338" s="2"/>
    </row>
    <row r="1339" spans="1:36" x14ac:dyDescent="0.25">
      <c r="A1339" s="6">
        <v>41729</v>
      </c>
      <c r="B1339" s="7">
        <v>8.3000000000000007</v>
      </c>
      <c r="C1339" s="9">
        <f t="shared" si="128"/>
        <v>3.9317103340834839E-2</v>
      </c>
      <c r="D1339" s="9">
        <f t="shared" si="129"/>
        <v>3.896163012246194E-2</v>
      </c>
      <c r="E1339" s="9"/>
    </row>
    <row r="1340" spans="1:36" x14ac:dyDescent="0.25">
      <c r="A1340" s="6">
        <v>41730</v>
      </c>
      <c r="B1340" s="7">
        <v>8.41</v>
      </c>
      <c r="C1340" s="9">
        <f t="shared" si="128"/>
        <v>1.3165959182304303E-2</v>
      </c>
      <c r="D1340" s="9">
        <f t="shared" si="129"/>
        <v>1.2810485963931403E-2</v>
      </c>
      <c r="E1340" s="9"/>
    </row>
    <row r="1341" spans="1:36" x14ac:dyDescent="0.25">
      <c r="A1341" s="6">
        <v>41731</v>
      </c>
      <c r="B1341" s="7">
        <v>8.125</v>
      </c>
      <c r="C1341" s="9">
        <f t="shared" ref="C1341:C1343" si="130">LN(B1341/B1340)</f>
        <v>-3.4475745769055557E-2</v>
      </c>
      <c r="D1341" s="9">
        <f t="shared" si="129"/>
        <v>-3.4831218987428456E-2</v>
      </c>
      <c r="E1341" s="9"/>
    </row>
    <row r="1342" spans="1:36" x14ac:dyDescent="0.25">
      <c r="A1342" s="6">
        <v>41732</v>
      </c>
      <c r="B1342" s="7">
        <v>8.2799999999999994</v>
      </c>
      <c r="C1342" s="9">
        <f t="shared" si="130"/>
        <v>1.8897240181367059E-2</v>
      </c>
      <c r="D1342" s="9">
        <f t="shared" si="129"/>
        <v>1.8541766962994158E-2</v>
      </c>
      <c r="E1342" s="9"/>
    </row>
    <row r="1343" spans="1:36" x14ac:dyDescent="0.25">
      <c r="A1343" s="6">
        <v>41733</v>
      </c>
      <c r="B1343" s="7">
        <v>8.3800000000000008</v>
      </c>
      <c r="C1343" s="9">
        <f t="shared" si="130"/>
        <v>1.2004946096823621E-2</v>
      </c>
      <c r="D1343" s="9">
        <f t="shared" si="129"/>
        <v>1.1649472878450721E-2</v>
      </c>
      <c r="E1343" s="9"/>
    </row>
    <row r="1344" spans="1:36" x14ac:dyDescent="0.25">
      <c r="A1344" s="32">
        <v>41736</v>
      </c>
      <c r="B1344" s="2">
        <v>8.2349999999999994</v>
      </c>
    </row>
    <row r="1345" spans="1:2" x14ac:dyDescent="0.25">
      <c r="A1345" s="32">
        <v>41737</v>
      </c>
      <c r="B1345" s="2">
        <v>7.9550000000000001</v>
      </c>
    </row>
    <row r="1346" spans="1:2" x14ac:dyDescent="0.25">
      <c r="A1346" s="32">
        <v>41738</v>
      </c>
      <c r="B1346" s="2">
        <v>7.875</v>
      </c>
    </row>
    <row r="1347" spans="1:2" x14ac:dyDescent="0.25">
      <c r="A1347" s="32">
        <v>41739</v>
      </c>
      <c r="B1347" s="2">
        <v>7.72</v>
      </c>
    </row>
    <row r="1348" spans="1:2" x14ac:dyDescent="0.25">
      <c r="A1348" s="32">
        <v>41740</v>
      </c>
      <c r="B1348" s="2">
        <v>7.59</v>
      </c>
    </row>
    <row r="1349" spans="1:2" x14ac:dyDescent="0.25">
      <c r="A1349" s="32">
        <v>41743</v>
      </c>
      <c r="B1349" s="2">
        <v>7.64</v>
      </c>
    </row>
    <row r="1350" spans="1:2" x14ac:dyDescent="0.25">
      <c r="A1350" s="32">
        <v>41744</v>
      </c>
      <c r="B1350" s="2">
        <v>7.4249999999999998</v>
      </c>
    </row>
    <row r="1351" spans="1:2" x14ac:dyDescent="0.25">
      <c r="A1351" s="32">
        <v>41745</v>
      </c>
      <c r="B1351" s="2">
        <v>7.82</v>
      </c>
    </row>
    <row r="1352" spans="1:2" x14ac:dyDescent="0.25">
      <c r="A1352" s="32">
        <v>41746</v>
      </c>
      <c r="B1352" s="2">
        <v>8.0150000000000006</v>
      </c>
    </row>
    <row r="1353" spans="1:2" x14ac:dyDescent="0.25">
      <c r="A1353" s="32">
        <v>41751</v>
      </c>
      <c r="B1353" s="2">
        <v>8.1449999999999996</v>
      </c>
    </row>
    <row r="1354" spans="1:2" x14ac:dyDescent="0.25">
      <c r="A1354" s="32">
        <v>41752</v>
      </c>
      <c r="B1354" s="2">
        <v>7.9550000000000001</v>
      </c>
    </row>
    <row r="1355" spans="1:2" x14ac:dyDescent="0.25">
      <c r="A1355" s="32">
        <v>41753</v>
      </c>
      <c r="B1355" s="2">
        <v>7.9649999999999999</v>
      </c>
    </row>
    <row r="1356" spans="1:2" x14ac:dyDescent="0.25">
      <c r="A1356" s="32">
        <v>41754</v>
      </c>
      <c r="B1356" s="2">
        <v>7.8149999999999995</v>
      </c>
    </row>
    <row r="1357" spans="1:2" x14ac:dyDescent="0.25">
      <c r="A1357" s="32">
        <v>41757</v>
      </c>
      <c r="B1357" s="2">
        <v>7.9</v>
      </c>
    </row>
    <row r="1358" spans="1:2" x14ac:dyDescent="0.25">
      <c r="A1358" s="32">
        <v>41758</v>
      </c>
      <c r="B1358" s="2">
        <v>8.0050000000000008</v>
      </c>
    </row>
    <row r="1359" spans="1:2" x14ac:dyDescent="0.25">
      <c r="A1359" s="32">
        <v>41759</v>
      </c>
      <c r="B1359" s="2">
        <v>7.98</v>
      </c>
    </row>
    <row r="1360" spans="1:2" x14ac:dyDescent="0.25">
      <c r="A1360" s="32">
        <v>41761</v>
      </c>
      <c r="B1360" s="2">
        <v>7.8949999999999996</v>
      </c>
    </row>
    <row r="1361" spans="1:2" x14ac:dyDescent="0.25">
      <c r="A1361" s="32">
        <v>41764</v>
      </c>
      <c r="B1361" s="2">
        <v>7.7149999999999999</v>
      </c>
    </row>
    <row r="1362" spans="1:2" x14ac:dyDescent="0.25">
      <c r="A1362" s="32">
        <v>41765</v>
      </c>
      <c r="B1362" s="2">
        <v>7.63</v>
      </c>
    </row>
    <row r="1363" spans="1:2" x14ac:dyDescent="0.25">
      <c r="A1363" s="32">
        <v>41766</v>
      </c>
      <c r="B1363" s="2">
        <v>7.46</v>
      </c>
    </row>
    <row r="1364" spans="1:2" x14ac:dyDescent="0.25">
      <c r="A1364" s="32">
        <v>41767</v>
      </c>
      <c r="B1364" s="2">
        <v>7.61</v>
      </c>
    </row>
    <row r="1365" spans="1:2" x14ac:dyDescent="0.25">
      <c r="A1365" s="32">
        <v>41768</v>
      </c>
      <c r="B1365" s="2">
        <v>7.2</v>
      </c>
    </row>
    <row r="1366" spans="1:2" x14ac:dyDescent="0.25">
      <c r="A1366" s="32">
        <v>41771</v>
      </c>
      <c r="B1366" s="2">
        <v>7.13</v>
      </c>
    </row>
    <row r="1367" spans="1:2" x14ac:dyDescent="0.25">
      <c r="A1367" s="32">
        <v>41772</v>
      </c>
      <c r="B1367" s="2">
        <v>7.1050000000000004</v>
      </c>
    </row>
    <row r="1368" spans="1:2" x14ac:dyDescent="0.25">
      <c r="A1368" s="32">
        <v>41773</v>
      </c>
      <c r="B1368" s="2">
        <v>6.88</v>
      </c>
    </row>
    <row r="1369" spans="1:2" x14ac:dyDescent="0.25">
      <c r="A1369" s="32">
        <v>41774</v>
      </c>
      <c r="B1369" s="2">
        <v>6.58</v>
      </c>
    </row>
    <row r="1370" spans="1:2" x14ac:dyDescent="0.25">
      <c r="A1370" s="32">
        <v>41775</v>
      </c>
      <c r="B1370" s="2">
        <v>6.71</v>
      </c>
    </row>
    <row r="1371" spans="1:2" x14ac:dyDescent="0.25">
      <c r="A1371" s="32">
        <v>41778</v>
      </c>
      <c r="B1371" s="2">
        <v>6.6850000000000005</v>
      </c>
    </row>
    <row r="1372" spans="1:2" x14ac:dyDescent="0.25">
      <c r="A1372" s="32">
        <v>41779</v>
      </c>
      <c r="B1372" s="2">
        <v>6.86</v>
      </c>
    </row>
    <row r="1373" spans="1:2" x14ac:dyDescent="0.25">
      <c r="A1373" s="32">
        <v>41780</v>
      </c>
      <c r="B1373" s="2">
        <v>6.8650000000000002</v>
      </c>
    </row>
    <row r="1374" spans="1:2" x14ac:dyDescent="0.25">
      <c r="A1374" s="32">
        <v>41781</v>
      </c>
      <c r="B1374" s="2">
        <v>6.67</v>
      </c>
    </row>
    <row r="1375" spans="1:2" x14ac:dyDescent="0.25">
      <c r="A1375" s="32">
        <v>41782</v>
      </c>
      <c r="B1375" s="2">
        <v>6.89</v>
      </c>
    </row>
    <row r="1376" spans="1:2" x14ac:dyDescent="0.25">
      <c r="A1376" s="32">
        <v>41785</v>
      </c>
      <c r="B1376" s="2">
        <v>7.17</v>
      </c>
    </row>
    <row r="1377" spans="1:2" x14ac:dyDescent="0.25">
      <c r="A1377" s="32">
        <v>41786</v>
      </c>
      <c r="B1377" s="2">
        <v>7.1849999999999996</v>
      </c>
    </row>
    <row r="1378" spans="1:2" x14ac:dyDescent="0.25">
      <c r="A1378" s="32">
        <v>41787</v>
      </c>
      <c r="B1378" s="2">
        <v>7.2249999999999996</v>
      </c>
    </row>
    <row r="1379" spans="1:2" x14ac:dyDescent="0.25">
      <c r="A1379" s="32">
        <v>41788</v>
      </c>
      <c r="B1379" s="2">
        <v>7.1749999999999998</v>
      </c>
    </row>
    <row r="1380" spans="1:2" x14ac:dyDescent="0.25">
      <c r="A1380" s="32">
        <v>41789</v>
      </c>
      <c r="B1380" s="2">
        <v>7.35</v>
      </c>
    </row>
    <row r="1381" spans="1:2" x14ac:dyDescent="0.25">
      <c r="A1381" s="32">
        <v>41792</v>
      </c>
      <c r="B1381" s="2">
        <v>7.41</v>
      </c>
    </row>
    <row r="1382" spans="1:2" x14ac:dyDescent="0.25">
      <c r="A1382" s="32">
        <v>41793</v>
      </c>
      <c r="B1382" s="2">
        <v>7.2850000000000001</v>
      </c>
    </row>
    <row r="1383" spans="1:2" x14ac:dyDescent="0.25">
      <c r="A1383" s="32">
        <v>41794</v>
      </c>
      <c r="B1383" s="2">
        <v>7.35</v>
      </c>
    </row>
    <row r="1384" spans="1:2" x14ac:dyDescent="0.25">
      <c r="A1384" s="32">
        <v>41795</v>
      </c>
      <c r="B1384" s="2">
        <v>7.6449999999999996</v>
      </c>
    </row>
    <row r="1385" spans="1:2" x14ac:dyDescent="0.25">
      <c r="A1385" s="32">
        <v>41796</v>
      </c>
      <c r="B1385" s="2">
        <v>8.0150000000000006</v>
      </c>
    </row>
    <row r="1386" spans="1:2" x14ac:dyDescent="0.25">
      <c r="A1386" s="32">
        <v>41799</v>
      </c>
      <c r="B1386" s="2">
        <v>7.98</v>
      </c>
    </row>
    <row r="1387" spans="1:2" x14ac:dyDescent="0.25">
      <c r="A1387" s="32">
        <v>41800</v>
      </c>
      <c r="B1387" s="2">
        <v>7.98</v>
      </c>
    </row>
    <row r="1388" spans="1:2" x14ac:dyDescent="0.25">
      <c r="A1388" s="32">
        <v>41801</v>
      </c>
      <c r="B1388" s="2">
        <v>7.75</v>
      </c>
    </row>
    <row r="1389" spans="1:2" x14ac:dyDescent="0.25">
      <c r="A1389" s="32">
        <v>41802</v>
      </c>
      <c r="B1389" s="2">
        <v>7.7549999999999999</v>
      </c>
    </row>
    <row r="1390" spans="1:2" x14ac:dyDescent="0.25">
      <c r="A1390" s="32">
        <v>41803</v>
      </c>
      <c r="B1390" s="2">
        <v>7.82</v>
      </c>
    </row>
    <row r="1391" spans="1:2" x14ac:dyDescent="0.25">
      <c r="A1391" s="32">
        <v>41806</v>
      </c>
      <c r="B1391" s="2">
        <v>7.6950000000000003</v>
      </c>
    </row>
    <row r="1392" spans="1:2" x14ac:dyDescent="0.25">
      <c r="A1392" s="32">
        <v>41807</v>
      </c>
      <c r="B1392" s="2">
        <v>7.665</v>
      </c>
    </row>
    <row r="1393" spans="1:2" x14ac:dyDescent="0.25">
      <c r="A1393" s="32">
        <v>41808</v>
      </c>
      <c r="B1393" s="2">
        <v>7.6950000000000003</v>
      </c>
    </row>
    <row r="1394" spans="1:2" x14ac:dyDescent="0.25">
      <c r="A1394" s="32">
        <v>41809</v>
      </c>
      <c r="B1394" s="2">
        <v>7.8250000000000002</v>
      </c>
    </row>
    <row r="1395" spans="1:2" x14ac:dyDescent="0.25">
      <c r="A1395" s="32">
        <v>41810</v>
      </c>
      <c r="B1395" s="2">
        <v>7.5949999999999998</v>
      </c>
    </row>
    <row r="1396" spans="1:2" x14ac:dyDescent="0.25">
      <c r="A1396" s="32">
        <v>41813</v>
      </c>
      <c r="B1396" s="2">
        <v>7.5600000000000005</v>
      </c>
    </row>
    <row r="1397" spans="1:2" x14ac:dyDescent="0.25">
      <c r="A1397" s="32">
        <v>41814</v>
      </c>
      <c r="B1397" s="2">
        <v>7.47</v>
      </c>
    </row>
    <row r="1398" spans="1:2" x14ac:dyDescent="0.25">
      <c r="A1398" s="32">
        <v>41815</v>
      </c>
      <c r="B1398" s="2">
        <v>7.3849999999999998</v>
      </c>
    </row>
    <row r="1399" spans="1:2" x14ac:dyDescent="0.25">
      <c r="A1399" s="32">
        <v>41816</v>
      </c>
      <c r="B1399" s="2">
        <v>7.43</v>
      </c>
    </row>
    <row r="1400" spans="1:2" x14ac:dyDescent="0.25">
      <c r="A1400" s="32">
        <v>41817</v>
      </c>
      <c r="B1400" s="2">
        <v>7.39</v>
      </c>
    </row>
    <row r="1401" spans="1:2" x14ac:dyDescent="0.25">
      <c r="A1401" s="32">
        <v>41820</v>
      </c>
      <c r="B1401" s="2">
        <v>7.28</v>
      </c>
    </row>
    <row r="1402" spans="1:2" x14ac:dyDescent="0.25">
      <c r="A1402" s="32">
        <v>41821</v>
      </c>
      <c r="B1402" s="2">
        <v>7.3550000000000004</v>
      </c>
    </row>
    <row r="1403" spans="1:2" x14ac:dyDescent="0.25">
      <c r="A1403" s="32">
        <v>41822</v>
      </c>
      <c r="B1403" s="2">
        <v>7.4249999999999998</v>
      </c>
    </row>
    <row r="1404" spans="1:2" x14ac:dyDescent="0.25">
      <c r="A1404" s="32">
        <v>41823</v>
      </c>
      <c r="B1404" s="2">
        <v>7.49</v>
      </c>
    </row>
    <row r="1405" spans="1:2" x14ac:dyDescent="0.25">
      <c r="A1405" s="32">
        <v>41824</v>
      </c>
      <c r="B1405" s="2">
        <v>7.38</v>
      </c>
    </row>
    <row r="1406" spans="1:2" x14ac:dyDescent="0.25">
      <c r="A1406" s="32">
        <v>41827</v>
      </c>
      <c r="B1406" s="2">
        <v>7.17</v>
      </c>
    </row>
    <row r="1407" spans="1:2" x14ac:dyDescent="0.25">
      <c r="A1407" s="32">
        <v>41828</v>
      </c>
      <c r="B1407" s="2">
        <v>6.915</v>
      </c>
    </row>
    <row r="1408" spans="1:2" x14ac:dyDescent="0.25">
      <c r="A1408" s="32">
        <v>41829</v>
      </c>
      <c r="B1408" s="2">
        <v>7.08</v>
      </c>
    </row>
    <row r="1409" spans="1:2" x14ac:dyDescent="0.25">
      <c r="A1409" s="32">
        <v>41830</v>
      </c>
      <c r="B1409" s="2">
        <v>6.9749999999999996</v>
      </c>
    </row>
    <row r="1410" spans="1:2" x14ac:dyDescent="0.25">
      <c r="A1410" s="32">
        <v>41831</v>
      </c>
      <c r="B1410" s="2">
        <v>7.0149999999999997</v>
      </c>
    </row>
    <row r="1411" spans="1:2" x14ac:dyDescent="0.25">
      <c r="A1411" s="32">
        <v>41834</v>
      </c>
      <c r="B1411" s="2">
        <v>7.07</v>
      </c>
    </row>
    <row r="1412" spans="1:2" x14ac:dyDescent="0.25">
      <c r="A1412" s="32">
        <v>41835</v>
      </c>
      <c r="B1412" s="2">
        <v>6.76</v>
      </c>
    </row>
    <row r="1413" spans="1:2" x14ac:dyDescent="0.25">
      <c r="A1413" s="32">
        <v>41836</v>
      </c>
      <c r="B1413" s="2">
        <v>7.0149999999999997</v>
      </c>
    </row>
    <row r="1414" spans="1:2" x14ac:dyDescent="0.25">
      <c r="A1414" s="32">
        <v>41837</v>
      </c>
      <c r="B1414" s="2">
        <v>6.7649999999999997</v>
      </c>
    </row>
    <row r="1415" spans="1:2" x14ac:dyDescent="0.25">
      <c r="A1415" s="32">
        <v>41838</v>
      </c>
      <c r="B1415" s="2">
        <v>6.8250000000000002</v>
      </c>
    </row>
    <row r="1416" spans="1:2" x14ac:dyDescent="0.25">
      <c r="A1416" s="32">
        <v>41841</v>
      </c>
      <c r="B1416" s="2">
        <v>6.7450000000000001</v>
      </c>
    </row>
    <row r="1417" spans="1:2" x14ac:dyDescent="0.25">
      <c r="A1417" s="32">
        <v>41842</v>
      </c>
      <c r="B1417" s="2">
        <v>6.8449999999999998</v>
      </c>
    </row>
    <row r="1418" spans="1:2" x14ac:dyDescent="0.25">
      <c r="A1418" s="32">
        <v>41843</v>
      </c>
      <c r="B1418" s="2">
        <v>6.85</v>
      </c>
    </row>
    <row r="1419" spans="1:2" x14ac:dyDescent="0.25">
      <c r="A1419" s="32">
        <v>41844</v>
      </c>
      <c r="B1419" s="2">
        <v>7.05</v>
      </c>
    </row>
    <row r="1420" spans="1:2" x14ac:dyDescent="0.25">
      <c r="A1420" s="32">
        <v>41845</v>
      </c>
      <c r="B1420" s="2">
        <v>7.1</v>
      </c>
    </row>
    <row r="1421" spans="1:2" x14ac:dyDescent="0.25">
      <c r="A1421" s="32">
        <v>41848</v>
      </c>
      <c r="B1421" s="2">
        <v>6.85</v>
      </c>
    </row>
    <row r="1422" spans="1:2" x14ac:dyDescent="0.25">
      <c r="A1422" s="32">
        <v>41849</v>
      </c>
      <c r="B1422" s="2">
        <v>6.88</v>
      </c>
    </row>
    <row r="1423" spans="1:2" x14ac:dyDescent="0.25">
      <c r="A1423" s="32">
        <v>41850</v>
      </c>
      <c r="B1423" s="2">
        <v>6.79</v>
      </c>
    </row>
    <row r="1424" spans="1:2" x14ac:dyDescent="0.25">
      <c r="A1424" s="32">
        <v>41851</v>
      </c>
      <c r="B1424" s="2">
        <v>6.625</v>
      </c>
    </row>
    <row r="1425" spans="1:2" x14ac:dyDescent="0.25">
      <c r="A1425" s="32">
        <v>41852</v>
      </c>
      <c r="B1425" s="2">
        <v>6.57</v>
      </c>
    </row>
    <row r="1426" spans="1:2" x14ac:dyDescent="0.25">
      <c r="A1426" s="32">
        <v>41855</v>
      </c>
      <c r="B1426" s="2">
        <v>6.44</v>
      </c>
    </row>
    <row r="1427" spans="1:2" x14ac:dyDescent="0.25">
      <c r="A1427" s="32">
        <v>41856</v>
      </c>
      <c r="B1427" s="2">
        <v>6.2850000000000001</v>
      </c>
    </row>
    <row r="1428" spans="1:2" x14ac:dyDescent="0.25">
      <c r="A1428" s="32">
        <v>41857</v>
      </c>
      <c r="B1428" s="2">
        <v>5.98</v>
      </c>
    </row>
    <row r="1429" spans="1:2" x14ac:dyDescent="0.25">
      <c r="A1429" s="32">
        <v>41858</v>
      </c>
      <c r="B1429" s="2">
        <v>5.915</v>
      </c>
    </row>
    <row r="1430" spans="1:2" x14ac:dyDescent="0.25">
      <c r="A1430" s="32">
        <v>41859</v>
      </c>
      <c r="B1430" s="2">
        <v>6.02</v>
      </c>
    </row>
    <row r="1431" spans="1:2" x14ac:dyDescent="0.25">
      <c r="A1431" s="32">
        <v>41862</v>
      </c>
      <c r="B1431" s="2">
        <v>5.9649999999999999</v>
      </c>
    </row>
    <row r="1432" spans="1:2" x14ac:dyDescent="0.25">
      <c r="A1432" s="32">
        <v>41863</v>
      </c>
      <c r="B1432" s="2">
        <v>6.06</v>
      </c>
    </row>
    <row r="1433" spans="1:2" x14ac:dyDescent="0.25">
      <c r="A1433" s="32">
        <v>41864</v>
      </c>
      <c r="B1433" s="2">
        <v>6.09</v>
      </c>
    </row>
    <row r="1434" spans="1:2" x14ac:dyDescent="0.25">
      <c r="A1434" s="32">
        <v>41865</v>
      </c>
      <c r="B1434" s="2">
        <v>6.1749999999999998</v>
      </c>
    </row>
    <row r="1435" spans="1:2" x14ac:dyDescent="0.25">
      <c r="A1435" s="32">
        <v>41869</v>
      </c>
      <c r="B1435" s="2">
        <v>6.31</v>
      </c>
    </row>
    <row r="1436" spans="1:2" x14ac:dyDescent="0.25">
      <c r="A1436" s="32">
        <v>41870</v>
      </c>
      <c r="B1436" s="2">
        <v>6.39</v>
      </c>
    </row>
    <row r="1437" spans="1:2" x14ac:dyDescent="0.25">
      <c r="A1437" s="32">
        <v>41871</v>
      </c>
      <c r="B1437" s="2">
        <v>6.37</v>
      </c>
    </row>
    <row r="1438" spans="1:2" x14ac:dyDescent="0.25">
      <c r="A1438" s="32">
        <v>41872</v>
      </c>
      <c r="B1438" s="2">
        <v>6.55</v>
      </c>
    </row>
    <row r="1439" spans="1:2" x14ac:dyDescent="0.25">
      <c r="A1439" s="32">
        <v>41873</v>
      </c>
      <c r="B1439" s="2">
        <v>6.5750000000000002</v>
      </c>
    </row>
    <row r="1440" spans="1:2" x14ac:dyDescent="0.25">
      <c r="A1440" s="32">
        <v>41876</v>
      </c>
      <c r="B1440" s="2">
        <v>6.6850000000000005</v>
      </c>
    </row>
    <row r="1441" spans="1:2" x14ac:dyDescent="0.25">
      <c r="A1441" s="32">
        <v>41877</v>
      </c>
      <c r="B1441" s="2">
        <v>6.85</v>
      </c>
    </row>
    <row r="1442" spans="1:2" x14ac:dyDescent="0.25">
      <c r="A1442" s="32">
        <v>41878</v>
      </c>
      <c r="B1442" s="2">
        <v>6.8949999999999996</v>
      </c>
    </row>
    <row r="1443" spans="1:2" x14ac:dyDescent="0.25">
      <c r="A1443" s="32">
        <v>41879</v>
      </c>
      <c r="B1443" s="2">
        <v>6.72</v>
      </c>
    </row>
    <row r="1444" spans="1:2" x14ac:dyDescent="0.25">
      <c r="A1444" s="32">
        <v>41880</v>
      </c>
      <c r="B1444" s="2">
        <v>6.65</v>
      </c>
    </row>
    <row r="1445" spans="1:2" x14ac:dyDescent="0.25">
      <c r="A1445" s="32">
        <v>41883</v>
      </c>
      <c r="B1445" s="2">
        <v>6.5449999999999999</v>
      </c>
    </row>
    <row r="1446" spans="1:2" x14ac:dyDescent="0.25">
      <c r="A1446" s="32">
        <v>41884</v>
      </c>
      <c r="B1446" s="2">
        <v>6.5250000000000004</v>
      </c>
    </row>
    <row r="1447" spans="1:2" x14ac:dyDescent="0.25">
      <c r="A1447" s="32">
        <v>41885</v>
      </c>
      <c r="B1447" s="2">
        <v>6.7949999999999999</v>
      </c>
    </row>
    <row r="1448" spans="1:2" x14ac:dyDescent="0.25">
      <c r="A1448" s="32">
        <v>41886</v>
      </c>
      <c r="B1448" s="2">
        <v>7.11</v>
      </c>
    </row>
    <row r="1449" spans="1:2" x14ac:dyDescent="0.25">
      <c r="A1449" s="32">
        <v>41887</v>
      </c>
      <c r="B1449" s="2">
        <v>7.24</v>
      </c>
    </row>
    <row r="1450" spans="1:2" x14ac:dyDescent="0.25">
      <c r="A1450" s="32">
        <v>41890</v>
      </c>
      <c r="B1450" s="2">
        <v>7.22</v>
      </c>
    </row>
    <row r="1451" spans="1:2" x14ac:dyDescent="0.25">
      <c r="A1451" s="32">
        <v>41891</v>
      </c>
      <c r="B1451" s="2">
        <v>7.1</v>
      </c>
    </row>
    <row r="1452" spans="1:2" x14ac:dyDescent="0.25">
      <c r="A1452" s="32">
        <v>41892</v>
      </c>
      <c r="B1452" s="2">
        <v>7.13</v>
      </c>
    </row>
    <row r="1453" spans="1:2" x14ac:dyDescent="0.25">
      <c r="A1453" s="32">
        <v>41893</v>
      </c>
      <c r="B1453" s="2">
        <v>7</v>
      </c>
    </row>
    <row r="1454" spans="1:2" x14ac:dyDescent="0.25">
      <c r="A1454" s="32">
        <v>41894</v>
      </c>
      <c r="B1454" s="2">
        <v>7.0449999999999999</v>
      </c>
    </row>
    <row r="1455" spans="1:2" x14ac:dyDescent="0.25">
      <c r="A1455" s="32">
        <v>41897</v>
      </c>
      <c r="B1455" s="2">
        <v>6.9350000000000005</v>
      </c>
    </row>
    <row r="1456" spans="1:2" x14ac:dyDescent="0.25">
      <c r="A1456" s="32">
        <v>41898</v>
      </c>
      <c r="B1456" s="2">
        <v>6.8250000000000002</v>
      </c>
    </row>
    <row r="1457" spans="1:2" x14ac:dyDescent="0.25">
      <c r="A1457" s="32">
        <v>41899</v>
      </c>
      <c r="B1457" s="2">
        <v>7.01</v>
      </c>
    </row>
    <row r="1458" spans="1:2" x14ac:dyDescent="0.25">
      <c r="A1458" s="32">
        <v>41900</v>
      </c>
      <c r="B1458" s="2">
        <v>7.0750000000000002</v>
      </c>
    </row>
    <row r="1459" spans="1:2" x14ac:dyDescent="0.25">
      <c r="A1459" s="32">
        <v>41901</v>
      </c>
      <c r="B1459" s="2">
        <v>7.09</v>
      </c>
    </row>
    <row r="1460" spans="1:2" x14ac:dyDescent="0.25">
      <c r="A1460" s="32">
        <v>41904</v>
      </c>
      <c r="B1460" s="2">
        <v>6.88</v>
      </c>
    </row>
    <row r="1461" spans="1:2" x14ac:dyDescent="0.25">
      <c r="A1461" s="32">
        <v>41905</v>
      </c>
      <c r="B1461" s="2">
        <v>6.7949999999999999</v>
      </c>
    </row>
    <row r="1462" spans="1:2" x14ac:dyDescent="0.25">
      <c r="A1462" s="32">
        <v>41906</v>
      </c>
      <c r="B1462" s="2">
        <v>6.71</v>
      </c>
    </row>
    <row r="1463" spans="1:2" x14ac:dyDescent="0.25">
      <c r="A1463" s="32">
        <v>41907</v>
      </c>
      <c r="B1463" s="2">
        <v>6.6550000000000002</v>
      </c>
    </row>
    <row r="1464" spans="1:2" x14ac:dyDescent="0.25">
      <c r="A1464" s="32">
        <v>41908</v>
      </c>
      <c r="B1464" s="2">
        <v>6.77</v>
      </c>
    </row>
    <row r="1465" spans="1:2" x14ac:dyDescent="0.25">
      <c r="A1465" s="32">
        <v>41911</v>
      </c>
      <c r="B1465" s="2">
        <v>6.5949999999999998</v>
      </c>
    </row>
    <row r="1466" spans="1:2" x14ac:dyDescent="0.25">
      <c r="A1466" s="32">
        <v>41912</v>
      </c>
      <c r="B1466" s="2">
        <v>6.8100000000000005</v>
      </c>
    </row>
    <row r="1467" spans="1:2" x14ac:dyDescent="0.25">
      <c r="A1467" s="32">
        <v>41913</v>
      </c>
      <c r="B1467" s="2">
        <v>6.91</v>
      </c>
    </row>
    <row r="1468" spans="1:2" x14ac:dyDescent="0.25">
      <c r="A1468" s="32">
        <v>41914</v>
      </c>
      <c r="B1468" s="2">
        <v>6.64</v>
      </c>
    </row>
    <row r="1469" spans="1:2" x14ac:dyDescent="0.25">
      <c r="A1469" s="32">
        <v>41915</v>
      </c>
      <c r="B1469" s="2">
        <v>6.7949999999999999</v>
      </c>
    </row>
    <row r="1470" spans="1:2" x14ac:dyDescent="0.25">
      <c r="A1470" s="32">
        <v>41918</v>
      </c>
      <c r="B1470" s="2">
        <v>6.8100000000000005</v>
      </c>
    </row>
    <row r="1471" spans="1:2" x14ac:dyDescent="0.25">
      <c r="A1471" s="32">
        <v>41919</v>
      </c>
      <c r="B1471" s="2">
        <v>6.67</v>
      </c>
    </row>
    <row r="1472" spans="1:2" x14ac:dyDescent="0.25">
      <c r="A1472" s="32">
        <v>41920</v>
      </c>
      <c r="B1472" s="2">
        <v>6.6449999999999996</v>
      </c>
    </row>
    <row r="1473" spans="1:2" x14ac:dyDescent="0.25">
      <c r="A1473" s="32">
        <v>41921</v>
      </c>
      <c r="B1473" s="2">
        <v>6.49</v>
      </c>
    </row>
    <row r="1474" spans="1:2" x14ac:dyDescent="0.25">
      <c r="A1474" s="32">
        <v>41922</v>
      </c>
      <c r="B1474" s="2">
        <v>6.48</v>
      </c>
    </row>
    <row r="1475" spans="1:2" x14ac:dyDescent="0.25">
      <c r="A1475" s="32">
        <v>41925</v>
      </c>
      <c r="B1475" s="2">
        <v>6.4450000000000003</v>
      </c>
    </row>
    <row r="1476" spans="1:2" x14ac:dyDescent="0.25">
      <c r="A1476" s="32">
        <v>41926</v>
      </c>
      <c r="B1476" s="2">
        <v>6.415</v>
      </c>
    </row>
    <row r="1477" spans="1:2" x14ac:dyDescent="0.25">
      <c r="A1477" s="32">
        <v>41927</v>
      </c>
      <c r="B1477" s="2">
        <v>6.0449999999999999</v>
      </c>
    </row>
    <row r="1478" spans="1:2" x14ac:dyDescent="0.25">
      <c r="A1478" s="32">
        <v>41928</v>
      </c>
      <c r="B1478" s="2">
        <v>5.99</v>
      </c>
    </row>
    <row r="1479" spans="1:2" x14ac:dyDescent="0.25">
      <c r="A1479" s="32">
        <v>41929</v>
      </c>
      <c r="B1479" s="2">
        <v>6.3</v>
      </c>
    </row>
    <row r="1480" spans="1:2" x14ac:dyDescent="0.25">
      <c r="A1480" s="32">
        <v>41932</v>
      </c>
      <c r="B1480" s="2">
        <v>6.3550000000000004</v>
      </c>
    </row>
    <row r="1481" spans="1:2" x14ac:dyDescent="0.25">
      <c r="A1481" s="32">
        <v>41933</v>
      </c>
      <c r="B1481" s="2">
        <v>6.63</v>
      </c>
    </row>
    <row r="1482" spans="1:2" x14ac:dyDescent="0.25">
      <c r="A1482" s="32">
        <v>41934</v>
      </c>
      <c r="B1482" s="2">
        <v>6.665</v>
      </c>
    </row>
    <row r="1483" spans="1:2" x14ac:dyDescent="0.25">
      <c r="A1483" s="32">
        <v>41935</v>
      </c>
      <c r="B1483" s="2">
        <v>6.7549999999999999</v>
      </c>
    </row>
    <row r="1484" spans="1:2" x14ac:dyDescent="0.25">
      <c r="A1484" s="32">
        <v>41936</v>
      </c>
      <c r="B1484" s="2">
        <v>6.8650000000000002</v>
      </c>
    </row>
    <row r="1485" spans="1:2" x14ac:dyDescent="0.25">
      <c r="A1485" s="32">
        <v>41939</v>
      </c>
      <c r="B1485" s="2">
        <v>6.6349999999999998</v>
      </c>
    </row>
    <row r="1486" spans="1:2" x14ac:dyDescent="0.25">
      <c r="A1486" s="32">
        <v>41940</v>
      </c>
      <c r="B1486" s="2">
        <v>6.9450000000000003</v>
      </c>
    </row>
    <row r="1487" spans="1:2" x14ac:dyDescent="0.25">
      <c r="A1487" s="32">
        <v>41941</v>
      </c>
      <c r="B1487" s="2">
        <v>6.8100000000000005</v>
      </c>
    </row>
    <row r="1488" spans="1:2" x14ac:dyDescent="0.25">
      <c r="A1488" s="32">
        <v>41942</v>
      </c>
      <c r="B1488" s="2">
        <v>6.835</v>
      </c>
    </row>
    <row r="1489" spans="1:2" x14ac:dyDescent="0.25">
      <c r="A1489" s="32">
        <v>41943</v>
      </c>
      <c r="B1489" s="2">
        <v>7.02</v>
      </c>
    </row>
    <row r="1490" spans="1:2" x14ac:dyDescent="0.25">
      <c r="A1490" s="32">
        <v>41946</v>
      </c>
      <c r="B1490" s="2">
        <v>6.9450000000000003</v>
      </c>
    </row>
    <row r="1491" spans="1:2" x14ac:dyDescent="0.25">
      <c r="A1491" s="32">
        <v>41947</v>
      </c>
      <c r="B1491" s="2">
        <v>6.82</v>
      </c>
    </row>
    <row r="1492" spans="1:2" x14ac:dyDescent="0.25">
      <c r="A1492" s="32">
        <v>41948</v>
      </c>
      <c r="B1492" s="2">
        <v>7.0049999999999999</v>
      </c>
    </row>
    <row r="1493" spans="1:2" x14ac:dyDescent="0.25">
      <c r="A1493" s="32">
        <v>41949</v>
      </c>
      <c r="B1493" s="2">
        <v>6.8849999999999998</v>
      </c>
    </row>
    <row r="1494" spans="1:2" x14ac:dyDescent="0.25">
      <c r="A1494" s="32">
        <v>41950</v>
      </c>
      <c r="B1494" s="2">
        <v>6.835</v>
      </c>
    </row>
    <row r="1495" spans="1:2" x14ac:dyDescent="0.25">
      <c r="A1495" s="32">
        <v>41953</v>
      </c>
      <c r="B1495" s="2">
        <v>6.7949999999999999</v>
      </c>
    </row>
    <row r="1496" spans="1:2" x14ac:dyDescent="0.25">
      <c r="A1496" s="32">
        <v>41954</v>
      </c>
      <c r="B1496" s="2">
        <v>6.84</v>
      </c>
    </row>
    <row r="1497" spans="1:2" x14ac:dyDescent="0.25">
      <c r="A1497" s="32">
        <v>41955</v>
      </c>
      <c r="B1497" s="2">
        <v>6.6050000000000004</v>
      </c>
    </row>
    <row r="1498" spans="1:2" x14ac:dyDescent="0.25">
      <c r="A1498" s="32">
        <v>41956</v>
      </c>
      <c r="B1498" s="2">
        <v>6.67</v>
      </c>
    </row>
    <row r="1499" spans="1:2" x14ac:dyDescent="0.25">
      <c r="A1499" s="32">
        <v>41957</v>
      </c>
      <c r="B1499" s="2">
        <v>6.72</v>
      </c>
    </row>
    <row r="1500" spans="1:2" x14ac:dyDescent="0.25">
      <c r="A1500" s="32">
        <v>41960</v>
      </c>
      <c r="B1500" s="2">
        <v>6.8250000000000002</v>
      </c>
    </row>
    <row r="1501" spans="1:2" x14ac:dyDescent="0.25">
      <c r="A1501" s="32">
        <v>41961</v>
      </c>
      <c r="B1501" s="2">
        <v>6.8250000000000002</v>
      </c>
    </row>
    <row r="1502" spans="1:2" x14ac:dyDescent="0.25">
      <c r="A1502" s="32">
        <v>41962</v>
      </c>
      <c r="B1502" s="2">
        <v>6.915</v>
      </c>
    </row>
    <row r="1503" spans="1:2" x14ac:dyDescent="0.25">
      <c r="A1503" s="32">
        <v>41963</v>
      </c>
      <c r="B1503" s="2">
        <v>6.83</v>
      </c>
    </row>
    <row r="1504" spans="1:2" x14ac:dyDescent="0.25">
      <c r="A1504" s="32">
        <v>41964</v>
      </c>
      <c r="B1504" s="2">
        <v>7.06</v>
      </c>
    </row>
    <row r="1505" spans="1:2" x14ac:dyDescent="0.25">
      <c r="A1505" s="32">
        <v>41967</v>
      </c>
      <c r="B1505" s="2">
        <v>7.0049999999999999</v>
      </c>
    </row>
    <row r="1506" spans="1:2" x14ac:dyDescent="0.25">
      <c r="A1506" s="32">
        <v>41968</v>
      </c>
      <c r="B1506" s="2">
        <v>7.0750000000000002</v>
      </c>
    </row>
    <row r="1507" spans="1:2" x14ac:dyDescent="0.25">
      <c r="A1507" s="32">
        <v>41969</v>
      </c>
      <c r="B1507" s="2">
        <v>7.085</v>
      </c>
    </row>
    <row r="1508" spans="1:2" x14ac:dyDescent="0.25">
      <c r="A1508" s="32">
        <v>41970</v>
      </c>
      <c r="B1508" s="2">
        <v>7.24</v>
      </c>
    </row>
    <row r="1509" spans="1:2" x14ac:dyDescent="0.25">
      <c r="A1509" s="32">
        <v>41971</v>
      </c>
      <c r="B1509" s="2">
        <v>7.2</v>
      </c>
    </row>
    <row r="1510" spans="1:2" x14ac:dyDescent="0.25">
      <c r="A1510" s="32">
        <v>41974</v>
      </c>
      <c r="B1510" s="2">
        <v>7.19</v>
      </c>
    </row>
    <row r="1511" spans="1:2" x14ac:dyDescent="0.25">
      <c r="A1511" s="32">
        <v>41975</v>
      </c>
      <c r="B1511" s="2">
        <v>7.19</v>
      </c>
    </row>
    <row r="1512" spans="1:2" x14ac:dyDescent="0.25">
      <c r="A1512" s="32">
        <v>41976</v>
      </c>
      <c r="B1512" s="2">
        <v>7.31</v>
      </c>
    </row>
    <row r="1513" spans="1:2" x14ac:dyDescent="0.25">
      <c r="A1513" s="32">
        <v>41977</v>
      </c>
      <c r="B1513" s="2">
        <v>7.02</v>
      </c>
    </row>
    <row r="1514" spans="1:2" x14ac:dyDescent="0.25">
      <c r="A1514" s="32">
        <v>41978</v>
      </c>
      <c r="B1514" s="2">
        <v>7.38</v>
      </c>
    </row>
    <row r="1515" spans="1:2" x14ac:dyDescent="0.25">
      <c r="A1515" s="32">
        <v>41981</v>
      </c>
      <c r="B1515" s="2">
        <v>7.41</v>
      </c>
    </row>
    <row r="1516" spans="1:2" x14ac:dyDescent="0.25">
      <c r="A1516" s="32">
        <v>41982</v>
      </c>
      <c r="B1516" s="2">
        <v>7.1749999999999998</v>
      </c>
    </row>
    <row r="1517" spans="1:2" x14ac:dyDescent="0.25">
      <c r="A1517" s="32">
        <v>41983</v>
      </c>
      <c r="B1517" s="2">
        <v>7.0250000000000004</v>
      </c>
    </row>
    <row r="1518" spans="1:2" x14ac:dyDescent="0.25">
      <c r="A1518" s="32">
        <v>41984</v>
      </c>
      <c r="B1518" s="2">
        <v>6.82</v>
      </c>
    </row>
    <row r="1519" spans="1:2" x14ac:dyDescent="0.25">
      <c r="A1519" s="32">
        <v>41985</v>
      </c>
      <c r="B1519" s="2">
        <v>6.625</v>
      </c>
    </row>
    <row r="1520" spans="1:2" x14ac:dyDescent="0.25">
      <c r="A1520" s="32">
        <v>41988</v>
      </c>
      <c r="B1520" s="2">
        <v>6.4249999999999998</v>
      </c>
    </row>
    <row r="1521" spans="1:2" x14ac:dyDescent="0.25">
      <c r="A1521" s="32">
        <v>41989</v>
      </c>
      <c r="B1521" s="2">
        <v>6.7050000000000001</v>
      </c>
    </row>
    <row r="1522" spans="1:2" x14ac:dyDescent="0.25">
      <c r="A1522" s="32">
        <v>41990</v>
      </c>
      <c r="B1522" s="2">
        <v>6.6850000000000005</v>
      </c>
    </row>
    <row r="1523" spans="1:2" x14ac:dyDescent="0.25">
      <c r="A1523" s="32">
        <v>41991</v>
      </c>
      <c r="B1523" s="2">
        <v>6.8449999999999998</v>
      </c>
    </row>
    <row r="1524" spans="1:2" x14ac:dyDescent="0.25">
      <c r="A1524" s="32">
        <v>41992</v>
      </c>
      <c r="B1524" s="2">
        <v>6.73</v>
      </c>
    </row>
    <row r="1525" spans="1:2" x14ac:dyDescent="0.25">
      <c r="A1525" s="32">
        <v>41995</v>
      </c>
      <c r="B1525" s="2">
        <v>6.7949999999999999</v>
      </c>
    </row>
    <row r="1526" spans="1:2" x14ac:dyDescent="0.25">
      <c r="A1526" s="32">
        <v>41996</v>
      </c>
      <c r="B1526" s="2">
        <v>6.86</v>
      </c>
    </row>
    <row r="1527" spans="1:2" x14ac:dyDescent="0.25">
      <c r="A1527" s="32">
        <v>42002</v>
      </c>
      <c r="B1527" s="2">
        <v>6.76</v>
      </c>
    </row>
    <row r="1528" spans="1:2" x14ac:dyDescent="0.25">
      <c r="A1528" s="32">
        <v>42003</v>
      </c>
      <c r="B1528" s="2">
        <v>6.77</v>
      </c>
    </row>
    <row r="1529" spans="1:2" x14ac:dyDescent="0.25">
      <c r="A1529" s="32">
        <v>42006</v>
      </c>
      <c r="B1529" s="2">
        <v>6.8650000000000002</v>
      </c>
    </row>
    <row r="1530" spans="1:2" x14ac:dyDescent="0.25">
      <c r="A1530" s="32">
        <v>42009</v>
      </c>
      <c r="B1530" s="2">
        <v>6.5649999999999995</v>
      </c>
    </row>
    <row r="1531" spans="1:2" x14ac:dyDescent="0.25">
      <c r="A1531" s="32">
        <v>42010</v>
      </c>
      <c r="B1531" s="2">
        <v>6.4749999999999996</v>
      </c>
    </row>
    <row r="1532" spans="1:2" x14ac:dyDescent="0.25">
      <c r="A1532" s="32">
        <v>42011</v>
      </c>
      <c r="B1532" s="2">
        <v>6.4749999999999996</v>
      </c>
    </row>
    <row r="1533" spans="1:2" x14ac:dyDescent="0.25">
      <c r="A1533" s="32">
        <v>42012</v>
      </c>
      <c r="B1533" s="2">
        <v>6.79</v>
      </c>
    </row>
    <row r="1534" spans="1:2" x14ac:dyDescent="0.25">
      <c r="A1534" s="32">
        <v>42013</v>
      </c>
      <c r="B1534" s="2">
        <v>6.4649999999999999</v>
      </c>
    </row>
    <row r="1535" spans="1:2" x14ac:dyDescent="0.25">
      <c r="A1535" s="32">
        <v>42016</v>
      </c>
      <c r="B1535" s="2">
        <v>6.54</v>
      </c>
    </row>
    <row r="1536" spans="1:2" x14ac:dyDescent="0.25">
      <c r="A1536" s="32">
        <v>42017</v>
      </c>
      <c r="B1536" s="2">
        <v>6.64</v>
      </c>
    </row>
    <row r="1537" spans="1:2" x14ac:dyDescent="0.25">
      <c r="A1537" s="32">
        <v>42018</v>
      </c>
      <c r="B1537" s="2">
        <v>6.5949999999999998</v>
      </c>
    </row>
    <row r="1538" spans="1:2" x14ac:dyDescent="0.25">
      <c r="A1538" s="32">
        <v>42019</v>
      </c>
      <c r="B1538" s="2">
        <v>6.7249999999999996</v>
      </c>
    </row>
    <row r="1539" spans="1:2" x14ac:dyDescent="0.25">
      <c r="A1539" s="32">
        <v>42020</v>
      </c>
      <c r="B1539" s="2">
        <v>6.8250000000000002</v>
      </c>
    </row>
    <row r="1540" spans="1:2" x14ac:dyDescent="0.25">
      <c r="A1540" s="32">
        <v>42023</v>
      </c>
      <c r="B1540" s="2">
        <v>7.1349999999999998</v>
      </c>
    </row>
    <row r="1541" spans="1:2" x14ac:dyDescent="0.25">
      <c r="A1541" s="32">
        <v>42024</v>
      </c>
      <c r="B1541" s="2">
        <v>7.13</v>
      </c>
    </row>
    <row r="1542" spans="1:2" x14ac:dyDescent="0.25">
      <c r="A1542" s="32">
        <v>42025</v>
      </c>
      <c r="B1542" s="2">
        <v>7.23</v>
      </c>
    </row>
    <row r="1543" spans="1:2" x14ac:dyDescent="0.25">
      <c r="A1543" s="32">
        <v>42026</v>
      </c>
      <c r="B1543" s="2">
        <v>7.36</v>
      </c>
    </row>
    <row r="1544" spans="1:2" x14ac:dyDescent="0.25">
      <c r="A1544" s="32">
        <v>42027</v>
      </c>
      <c r="B1544" s="2">
        <v>7.34</v>
      </c>
    </row>
    <row r="1545" spans="1:2" x14ac:dyDescent="0.25">
      <c r="A1545" s="32">
        <v>42030</v>
      </c>
      <c r="B1545" s="2">
        <v>7.5649999999999995</v>
      </c>
    </row>
    <row r="1546" spans="1:2" x14ac:dyDescent="0.25">
      <c r="A1546" s="32">
        <v>42031</v>
      </c>
      <c r="B1546" s="2">
        <v>7.72</v>
      </c>
    </row>
    <row r="1547" spans="1:2" x14ac:dyDescent="0.25">
      <c r="A1547" s="32">
        <v>42032</v>
      </c>
      <c r="B1547" s="2">
        <v>7.55</v>
      </c>
    </row>
    <row r="1548" spans="1:2" x14ac:dyDescent="0.25">
      <c r="A1548" s="32">
        <v>42033</v>
      </c>
      <c r="B1548" s="2">
        <v>7.72</v>
      </c>
    </row>
    <row r="1549" spans="1:2" x14ac:dyDescent="0.25">
      <c r="A1549" s="32">
        <v>42034</v>
      </c>
      <c r="B1549" s="2">
        <v>7.6899999999999995</v>
      </c>
    </row>
    <row r="1550" spans="1:2" x14ac:dyDescent="0.25">
      <c r="A1550" s="32">
        <v>42037</v>
      </c>
      <c r="B1550" s="2">
        <v>7.7050000000000001</v>
      </c>
    </row>
    <row r="1551" spans="1:2" x14ac:dyDescent="0.25">
      <c r="A1551" s="32">
        <v>42038</v>
      </c>
      <c r="B1551" s="2">
        <v>7.85</v>
      </c>
    </row>
    <row r="1552" spans="1:2" x14ac:dyDescent="0.25">
      <c r="A1552" s="32">
        <v>42039</v>
      </c>
      <c r="B1552" s="2">
        <v>7.8550000000000004</v>
      </c>
    </row>
    <row r="1553" spans="1:2" x14ac:dyDescent="0.25">
      <c r="A1553" s="32">
        <v>42040</v>
      </c>
      <c r="B1553" s="2">
        <v>7.6749999999999998</v>
      </c>
    </row>
    <row r="1554" spans="1:2" x14ac:dyDescent="0.25">
      <c r="A1554" s="32">
        <v>42041</v>
      </c>
      <c r="B1554" s="2">
        <v>7.6749999999999998</v>
      </c>
    </row>
    <row r="1555" spans="1:2" x14ac:dyDescent="0.25">
      <c r="A1555" s="32">
        <v>42044</v>
      </c>
      <c r="B1555" s="2">
        <v>7.4950000000000001</v>
      </c>
    </row>
    <row r="1556" spans="1:2" x14ac:dyDescent="0.25">
      <c r="A1556" s="32">
        <v>42045</v>
      </c>
      <c r="B1556" s="2">
        <v>7.83</v>
      </c>
    </row>
    <row r="1557" spans="1:2" x14ac:dyDescent="0.25">
      <c r="A1557" s="32">
        <v>42046</v>
      </c>
      <c r="B1557" s="2">
        <v>7.7350000000000003</v>
      </c>
    </row>
    <row r="1558" spans="1:2" x14ac:dyDescent="0.25">
      <c r="A1558" s="32">
        <v>42047</v>
      </c>
      <c r="B1558" s="2">
        <v>7.9950000000000001</v>
      </c>
    </row>
    <row r="1559" spans="1:2" x14ac:dyDescent="0.25">
      <c r="A1559" s="32">
        <v>42048</v>
      </c>
      <c r="B1559" s="2">
        <v>7.9450000000000003</v>
      </c>
    </row>
    <row r="1560" spans="1:2" x14ac:dyDescent="0.25">
      <c r="A1560" s="32">
        <v>42051</v>
      </c>
      <c r="B1560" s="2">
        <v>8.0850000000000009</v>
      </c>
    </row>
    <row r="1561" spans="1:2" x14ac:dyDescent="0.25">
      <c r="A1561" s="32">
        <v>42052</v>
      </c>
      <c r="B1561" s="2">
        <v>8.0649999999999995</v>
      </c>
    </row>
    <row r="1562" spans="1:2" x14ac:dyDescent="0.25">
      <c r="A1562" s="32">
        <v>42053</v>
      </c>
      <c r="B1562" s="2">
        <v>8.1449999999999996</v>
      </c>
    </row>
    <row r="1563" spans="1:2" x14ac:dyDescent="0.25">
      <c r="A1563" s="32">
        <v>42054</v>
      </c>
      <c r="B1563" s="2">
        <v>8.1750000000000007</v>
      </c>
    </row>
    <row r="1564" spans="1:2" x14ac:dyDescent="0.25">
      <c r="A1564" s="32">
        <v>42055</v>
      </c>
      <c r="B1564" s="2">
        <v>8.2050000000000001</v>
      </c>
    </row>
    <row r="1565" spans="1:2" x14ac:dyDescent="0.25">
      <c r="A1565" s="32">
        <v>42058</v>
      </c>
      <c r="B1565" s="2">
        <v>8.2650000000000006</v>
      </c>
    </row>
    <row r="1566" spans="1:2" x14ac:dyDescent="0.25">
      <c r="A1566" s="32">
        <v>42059</v>
      </c>
      <c r="B1566" s="2">
        <v>8.2850000000000001</v>
      </c>
    </row>
    <row r="1567" spans="1:2" x14ac:dyDescent="0.25">
      <c r="A1567" s="32">
        <v>42060</v>
      </c>
      <c r="B1567" s="2">
        <v>8.0649999999999995</v>
      </c>
    </row>
    <row r="1568" spans="1:2" x14ac:dyDescent="0.25">
      <c r="A1568" s="32">
        <v>42061</v>
      </c>
      <c r="B1568" s="2">
        <v>8.2249999999999996</v>
      </c>
    </row>
    <row r="1569" spans="1:2" x14ac:dyDescent="0.25">
      <c r="A1569" s="32">
        <v>42062</v>
      </c>
      <c r="B1569" s="2">
        <v>8.2349999999999994</v>
      </c>
    </row>
    <row r="1570" spans="1:2" x14ac:dyDescent="0.25">
      <c r="A1570" s="32">
        <v>42065</v>
      </c>
      <c r="B1570" s="2">
        <v>8.2200000000000006</v>
      </c>
    </row>
    <row r="1571" spans="1:2" x14ac:dyDescent="0.25">
      <c r="A1571" s="32">
        <v>42066</v>
      </c>
      <c r="B1571" s="2">
        <v>8.1</v>
      </c>
    </row>
    <row r="1572" spans="1:2" x14ac:dyDescent="0.25">
      <c r="A1572" s="32">
        <v>42067</v>
      </c>
      <c r="B1572" s="2">
        <v>8.1999999999999993</v>
      </c>
    </row>
    <row r="1573" spans="1:2" x14ac:dyDescent="0.25">
      <c r="A1573" s="32">
        <v>42068</v>
      </c>
      <c r="B1573" s="2">
        <v>8.4250000000000007</v>
      </c>
    </row>
    <row r="1574" spans="1:2" x14ac:dyDescent="0.25">
      <c r="A1574" s="32">
        <v>42069</v>
      </c>
      <c r="B1574" s="2">
        <v>8.3450000000000006</v>
      </c>
    </row>
    <row r="1575" spans="1:2" x14ac:dyDescent="0.25">
      <c r="A1575" s="32">
        <v>42072</v>
      </c>
      <c r="B1575" s="2">
        <v>8.3249999999999993</v>
      </c>
    </row>
    <row r="1576" spans="1:2" x14ac:dyDescent="0.25">
      <c r="A1576" s="32">
        <v>42073</v>
      </c>
      <c r="B1576" s="2">
        <v>8.2799999999999994</v>
      </c>
    </row>
    <row r="1577" spans="1:2" x14ac:dyDescent="0.25">
      <c r="A1577" s="32">
        <v>42074</v>
      </c>
      <c r="B1577" s="2">
        <v>8.4550000000000001</v>
      </c>
    </row>
    <row r="1578" spans="1:2" x14ac:dyDescent="0.25">
      <c r="A1578" s="32">
        <v>42075</v>
      </c>
      <c r="B1578" s="2">
        <v>8.4849999999999994</v>
      </c>
    </row>
    <row r="1579" spans="1:2" x14ac:dyDescent="0.25">
      <c r="A1579" s="32">
        <v>42076</v>
      </c>
      <c r="B1579" s="2">
        <v>8.7750000000000004</v>
      </c>
    </row>
    <row r="1580" spans="1:2" x14ac:dyDescent="0.25">
      <c r="A1580" s="32">
        <v>42079</v>
      </c>
      <c r="B1580" s="2">
        <v>8.7449999999999992</v>
      </c>
    </row>
    <row r="1581" spans="1:2" x14ac:dyDescent="0.25">
      <c r="A1581" s="32">
        <v>42080</v>
      </c>
      <c r="B1581" s="2">
        <v>8.6349999999999998</v>
      </c>
    </row>
    <row r="1582" spans="1:2" x14ac:dyDescent="0.25">
      <c r="A1582" s="32">
        <v>42081</v>
      </c>
      <c r="B1582" s="2">
        <v>8.56</v>
      </c>
    </row>
    <row r="1583" spans="1:2" x14ac:dyDescent="0.25">
      <c r="A1583" s="32">
        <v>42082</v>
      </c>
      <c r="B1583" s="2">
        <v>8.69</v>
      </c>
    </row>
    <row r="1584" spans="1:2" x14ac:dyDescent="0.25">
      <c r="A1584" s="32">
        <v>42083</v>
      </c>
      <c r="B1584" s="2">
        <v>8.7200000000000006</v>
      </c>
    </row>
    <row r="1585" spans="1:2" x14ac:dyDescent="0.25">
      <c r="A1585" s="32">
        <v>42086</v>
      </c>
      <c r="B1585" s="2">
        <v>8.7149999999999999</v>
      </c>
    </row>
    <row r="1586" spans="1:2" x14ac:dyDescent="0.25">
      <c r="A1586" s="32">
        <v>42087</v>
      </c>
      <c r="B1586" s="2">
        <v>8.9600000000000009</v>
      </c>
    </row>
    <row r="1587" spans="1:2" x14ac:dyDescent="0.25">
      <c r="A1587" s="32">
        <v>42088</v>
      </c>
      <c r="B1587" s="2">
        <v>8.94</v>
      </c>
    </row>
    <row r="1588" spans="1:2" x14ac:dyDescent="0.25">
      <c r="A1588" s="32">
        <v>42089</v>
      </c>
      <c r="B1588" s="2">
        <v>8.6999999999999993</v>
      </c>
    </row>
    <row r="1589" spans="1:2" x14ac:dyDescent="0.25">
      <c r="A1589" s="32">
        <v>42090</v>
      </c>
      <c r="B1589" s="2">
        <v>8.7949999999999999</v>
      </c>
    </row>
    <row r="1590" spans="1:2" x14ac:dyDescent="0.25">
      <c r="A1590" s="32">
        <v>42093</v>
      </c>
      <c r="B1590" s="2">
        <v>9</v>
      </c>
    </row>
    <row r="1591" spans="1:2" x14ac:dyDescent="0.25">
      <c r="A1591" s="32">
        <v>42094</v>
      </c>
      <c r="B1591" s="2">
        <v>8.9350000000000005</v>
      </c>
    </row>
    <row r="1592" spans="1:2" x14ac:dyDescent="0.25">
      <c r="A1592" s="32">
        <v>42095</v>
      </c>
      <c r="B1592" s="2">
        <v>8.9450000000000003</v>
      </c>
    </row>
    <row r="1593" spans="1:2" x14ac:dyDescent="0.25">
      <c r="A1593" s="32">
        <v>42096</v>
      </c>
      <c r="B1593" s="2">
        <v>8.9250000000000007</v>
      </c>
    </row>
    <row r="1594" spans="1:2" x14ac:dyDescent="0.25">
      <c r="A1594" s="32">
        <v>42101</v>
      </c>
      <c r="B1594" s="2">
        <v>9.0649999999999995</v>
      </c>
    </row>
    <row r="1595" spans="1:2" x14ac:dyDescent="0.25">
      <c r="A1595" s="32">
        <v>42102</v>
      </c>
      <c r="B1595" s="2">
        <v>8.9499999999999993</v>
      </c>
    </row>
    <row r="1596" spans="1:2" x14ac:dyDescent="0.25">
      <c r="A1596" s="32">
        <v>42103</v>
      </c>
      <c r="B1596" s="2">
        <v>9.1300000000000008</v>
      </c>
    </row>
    <row r="1597" spans="1:2" x14ac:dyDescent="0.25">
      <c r="A1597" s="32">
        <v>42104</v>
      </c>
      <c r="B1597" s="2">
        <v>9.1300000000000008</v>
      </c>
    </row>
    <row r="1598" spans="1:2" x14ac:dyDescent="0.25">
      <c r="A1598" s="32">
        <v>42107</v>
      </c>
      <c r="B1598" s="2">
        <v>9.0850000000000009</v>
      </c>
    </row>
    <row r="1599" spans="1:2" x14ac:dyDescent="0.25">
      <c r="A1599" s="32">
        <v>42108</v>
      </c>
      <c r="B1599" s="2">
        <v>8.9</v>
      </c>
    </row>
    <row r="1600" spans="1:2" x14ac:dyDescent="0.25">
      <c r="A1600" s="32">
        <v>42109</v>
      </c>
      <c r="B1600" s="2">
        <v>8.9700000000000006</v>
      </c>
    </row>
    <row r="1601" spans="1:2" x14ac:dyDescent="0.25">
      <c r="A1601" s="32">
        <v>42110</v>
      </c>
      <c r="B1601" s="2">
        <v>8.8049999999999997</v>
      </c>
    </row>
    <row r="1602" spans="1:2" x14ac:dyDescent="0.25">
      <c r="A1602" s="32">
        <v>42111</v>
      </c>
      <c r="B1602" s="2">
        <v>8.5299999999999994</v>
      </c>
    </row>
    <row r="1603" spans="1:2" x14ac:dyDescent="0.25">
      <c r="A1603" s="32">
        <v>42114</v>
      </c>
      <c r="B1603" s="2">
        <v>8.6199999999999992</v>
      </c>
    </row>
    <row r="1604" spans="1:2" x14ac:dyDescent="0.25">
      <c r="A1604" s="32">
        <v>42115</v>
      </c>
      <c r="B1604" s="2">
        <v>8.5850000000000009</v>
      </c>
    </row>
    <row r="1605" spans="1:2" x14ac:dyDescent="0.25">
      <c r="A1605" s="32">
        <v>42116</v>
      </c>
      <c r="B1605" s="2">
        <v>8.5500000000000007</v>
      </c>
    </row>
    <row r="1606" spans="1:2" x14ac:dyDescent="0.25">
      <c r="A1606" s="32">
        <v>42117</v>
      </c>
      <c r="B1606" s="2">
        <v>8.49</v>
      </c>
    </row>
    <row r="1607" spans="1:2" x14ac:dyDescent="0.25">
      <c r="A1607" s="32">
        <v>42118</v>
      </c>
      <c r="B1607" s="2">
        <v>8.5</v>
      </c>
    </row>
    <row r="1608" spans="1:2" x14ac:dyDescent="0.25">
      <c r="A1608" s="32">
        <v>42121</v>
      </c>
      <c r="B1608" s="2">
        <v>8.8000000000000007</v>
      </c>
    </row>
    <row r="1609" spans="1:2" x14ac:dyDescent="0.25">
      <c r="A1609" s="32">
        <v>42122</v>
      </c>
      <c r="B1609" s="2">
        <v>8.6</v>
      </c>
    </row>
    <row r="1610" spans="1:2" x14ac:dyDescent="0.25">
      <c r="A1610" s="32">
        <v>42123</v>
      </c>
      <c r="B1610" s="2">
        <v>8.5050000000000008</v>
      </c>
    </row>
    <row r="1611" spans="1:2" x14ac:dyDescent="0.25">
      <c r="A1611" s="32">
        <v>42124</v>
      </c>
      <c r="B1611" s="2">
        <v>8.7200000000000006</v>
      </c>
    </row>
    <row r="1612" spans="1:2" x14ac:dyDescent="0.25">
      <c r="A1612" s="32">
        <v>42128</v>
      </c>
      <c r="B1612" s="2">
        <v>8.77</v>
      </c>
    </row>
    <row r="1613" spans="1:2" x14ac:dyDescent="0.25">
      <c r="A1613" s="32">
        <v>42129</v>
      </c>
      <c r="B1613" s="2">
        <v>8.5050000000000008</v>
      </c>
    </row>
    <row r="1614" spans="1:2" x14ac:dyDescent="0.25">
      <c r="A1614" s="32">
        <v>42130</v>
      </c>
      <c r="B1614" s="2">
        <v>8.6199999999999992</v>
      </c>
    </row>
    <row r="1615" spans="1:2" x14ac:dyDescent="0.25">
      <c r="A1615" s="32">
        <v>42131</v>
      </c>
      <c r="B1615" s="2">
        <v>8.6</v>
      </c>
    </row>
    <row r="1616" spans="1:2" x14ac:dyDescent="0.25">
      <c r="A1616" s="32">
        <v>42132</v>
      </c>
      <c r="B1616" s="2">
        <v>8.9600000000000009</v>
      </c>
    </row>
    <row r="1617" spans="1:2" x14ac:dyDescent="0.25">
      <c r="A1617" s="32">
        <v>42135</v>
      </c>
      <c r="B1617" s="2">
        <v>8.9649999999999999</v>
      </c>
    </row>
    <row r="1618" spans="1:2" x14ac:dyDescent="0.25">
      <c r="A1618" s="32">
        <v>42136</v>
      </c>
      <c r="B1618" s="2">
        <v>8.9250000000000007</v>
      </c>
    </row>
    <row r="1619" spans="1:2" x14ac:dyDescent="0.25">
      <c r="A1619" s="32">
        <v>42137</v>
      </c>
      <c r="B1619" s="2">
        <v>9.0649999999999995</v>
      </c>
    </row>
    <row r="1620" spans="1:2" x14ac:dyDescent="0.25">
      <c r="A1620" s="32">
        <v>42138</v>
      </c>
      <c r="B1620" s="2">
        <v>9.2200000000000006</v>
      </c>
    </row>
    <row r="1621" spans="1:2" x14ac:dyDescent="0.25">
      <c r="A1621" s="32">
        <v>42139</v>
      </c>
      <c r="B1621" s="2">
        <v>9.25</v>
      </c>
    </row>
    <row r="1622" spans="1:2" x14ac:dyDescent="0.25">
      <c r="A1622" s="32">
        <v>42142</v>
      </c>
      <c r="B1622" s="2">
        <v>9.1750000000000007</v>
      </c>
    </row>
    <row r="1623" spans="1:2" x14ac:dyDescent="0.25">
      <c r="A1623" s="32">
        <v>42143</v>
      </c>
      <c r="B1623" s="2">
        <v>9.48</v>
      </c>
    </row>
    <row r="1624" spans="1:2" x14ac:dyDescent="0.25">
      <c r="A1624" s="32">
        <v>42144</v>
      </c>
      <c r="B1624" s="2">
        <v>9.4949999999999992</v>
      </c>
    </row>
    <row r="1625" spans="1:2" x14ac:dyDescent="0.25">
      <c r="A1625" s="32">
        <v>42145</v>
      </c>
      <c r="B1625" s="2">
        <v>9.33</v>
      </c>
    </row>
    <row r="1626" spans="1:2" x14ac:dyDescent="0.25">
      <c r="A1626" s="32">
        <v>42146</v>
      </c>
      <c r="B1626" s="2">
        <v>9.3800000000000008</v>
      </c>
    </row>
    <row r="1627" spans="1:2" x14ac:dyDescent="0.25">
      <c r="A1627" s="32">
        <v>42149</v>
      </c>
      <c r="B1627" s="2">
        <v>9.2100000000000009</v>
      </c>
    </row>
    <row r="1628" spans="1:2" x14ac:dyDescent="0.25">
      <c r="A1628" s="32">
        <v>42150</v>
      </c>
      <c r="B1628" s="2">
        <v>9.24</v>
      </c>
    </row>
    <row r="1629" spans="1:2" x14ac:dyDescent="0.25">
      <c r="A1629" s="32">
        <v>42151</v>
      </c>
      <c r="B1629" s="2">
        <v>9.5549999999999997</v>
      </c>
    </row>
    <row r="1630" spans="1:2" x14ac:dyDescent="0.25">
      <c r="A1630" s="32">
        <v>42152</v>
      </c>
      <c r="B1630" s="2">
        <v>9.4450000000000003</v>
      </c>
    </row>
    <row r="1631" spans="1:2" x14ac:dyDescent="0.25">
      <c r="A1631" s="32">
        <v>42153</v>
      </c>
      <c r="B1631" s="2">
        <v>9.3699999999999992</v>
      </c>
    </row>
    <row r="1632" spans="1:2" x14ac:dyDescent="0.25">
      <c r="A1632" s="32">
        <v>42156</v>
      </c>
      <c r="B1632" s="2">
        <v>9.3249999999999993</v>
      </c>
    </row>
    <row r="1633" spans="1:2" x14ac:dyDescent="0.25">
      <c r="A1633" s="32">
        <v>42157</v>
      </c>
      <c r="B1633" s="2">
        <v>9.4</v>
      </c>
    </row>
    <row r="1634" spans="1:2" x14ac:dyDescent="0.25">
      <c r="A1634" s="32">
        <v>42158</v>
      </c>
      <c r="B1634" s="2">
        <v>9.4</v>
      </c>
    </row>
    <row r="1635" spans="1:2" x14ac:dyDescent="0.25">
      <c r="A1635" s="32">
        <v>42159</v>
      </c>
      <c r="B1635" s="2">
        <v>9.4600000000000009</v>
      </c>
    </row>
    <row r="1636" spans="1:2" x14ac:dyDescent="0.25">
      <c r="A1636" s="32">
        <v>42160</v>
      </c>
      <c r="B1636" s="2">
        <v>9.1300000000000008</v>
      </c>
    </row>
    <row r="1637" spans="1:2" x14ac:dyDescent="0.25">
      <c r="A1637" s="32">
        <v>42163</v>
      </c>
      <c r="B1637" s="2">
        <v>8.875</v>
      </c>
    </row>
    <row r="1638" spans="1:2" x14ac:dyDescent="0.25">
      <c r="A1638" s="32">
        <v>42164</v>
      </c>
      <c r="B1638" s="2">
        <v>8.8249999999999993</v>
      </c>
    </row>
    <row r="1639" spans="1:2" x14ac:dyDescent="0.25">
      <c r="A1639" s="32">
        <v>42165</v>
      </c>
      <c r="B1639" s="2">
        <v>9.0500000000000007</v>
      </c>
    </row>
    <row r="1640" spans="1:2" x14ac:dyDescent="0.25">
      <c r="A1640" s="32">
        <v>42166</v>
      </c>
      <c r="B1640" s="2">
        <v>9.0150000000000006</v>
      </c>
    </row>
    <row r="1641" spans="1:2" x14ac:dyDescent="0.25">
      <c r="A1641" s="32">
        <v>42167</v>
      </c>
      <c r="B1641" s="2">
        <v>8.9550000000000001</v>
      </c>
    </row>
    <row r="1642" spans="1:2" x14ac:dyDescent="0.25">
      <c r="A1642" s="32">
        <v>42170</v>
      </c>
      <c r="B1642" s="2">
        <v>8.6649999999999991</v>
      </c>
    </row>
    <row r="1643" spans="1:2" x14ac:dyDescent="0.25">
      <c r="A1643" s="32">
        <v>42171</v>
      </c>
      <c r="B1643" s="2">
        <v>8.7200000000000006</v>
      </c>
    </row>
    <row r="1644" spans="1:2" x14ac:dyDescent="0.25">
      <c r="A1644" s="32">
        <v>42172</v>
      </c>
      <c r="B1644" s="2">
        <v>8.6150000000000002</v>
      </c>
    </row>
    <row r="1645" spans="1:2" x14ac:dyDescent="0.25">
      <c r="A1645" s="32">
        <v>42173</v>
      </c>
      <c r="B1645" s="2">
        <v>8.6549999999999994</v>
      </c>
    </row>
    <row r="1646" spans="1:2" x14ac:dyDescent="0.25">
      <c r="A1646" s="32">
        <v>42174</v>
      </c>
      <c r="B1646" s="2">
        <v>8.7750000000000004</v>
      </c>
    </row>
    <row r="1647" spans="1:2" x14ac:dyDescent="0.25">
      <c r="A1647" s="32">
        <v>42177</v>
      </c>
      <c r="B1647" s="2">
        <v>9.3000000000000007</v>
      </c>
    </row>
    <row r="1648" spans="1:2" x14ac:dyDescent="0.25">
      <c r="A1648" s="32">
        <v>42178</v>
      </c>
      <c r="B1648" s="2">
        <v>9.2349999999999994</v>
      </c>
    </row>
    <row r="1649" spans="1:2" x14ac:dyDescent="0.25">
      <c r="A1649" s="32">
        <v>42179</v>
      </c>
      <c r="B1649" s="2">
        <v>9.2349999999999994</v>
      </c>
    </row>
    <row r="1650" spans="1:2" x14ac:dyDescent="0.25">
      <c r="A1650" s="32">
        <v>42180</v>
      </c>
      <c r="B1650" s="2">
        <v>9.3800000000000008</v>
      </c>
    </row>
    <row r="1651" spans="1:2" x14ac:dyDescent="0.25">
      <c r="A1651" s="32">
        <v>42181</v>
      </c>
      <c r="B1651" s="2">
        <v>9.4550000000000001</v>
      </c>
    </row>
    <row r="1652" spans="1:2" x14ac:dyDescent="0.25">
      <c r="A1652" s="32">
        <v>42184</v>
      </c>
      <c r="B1652" s="2">
        <v>8.8350000000000009</v>
      </c>
    </row>
    <row r="1653" spans="1:2" x14ac:dyDescent="0.25">
      <c r="A1653" s="32">
        <v>42185</v>
      </c>
      <c r="B1653" s="2">
        <v>8.7949999999999999</v>
      </c>
    </row>
    <row r="1654" spans="1:2" x14ac:dyDescent="0.25">
      <c r="A1654" s="32">
        <v>42186</v>
      </c>
      <c r="B1654" s="2">
        <v>9.0299999999999994</v>
      </c>
    </row>
    <row r="1655" spans="1:2" x14ac:dyDescent="0.25">
      <c r="A1655" s="32">
        <v>42187</v>
      </c>
      <c r="B1655" s="2">
        <v>8.85</v>
      </c>
    </row>
    <row r="1656" spans="1:2" x14ac:dyDescent="0.25">
      <c r="A1656" s="32">
        <v>42188</v>
      </c>
      <c r="B1656" s="2">
        <v>8.75</v>
      </c>
    </row>
    <row r="1657" spans="1:2" x14ac:dyDescent="0.25">
      <c r="A1657" s="32">
        <v>42191</v>
      </c>
      <c r="B1657" s="2">
        <v>8.4600000000000009</v>
      </c>
    </row>
    <row r="1658" spans="1:2" x14ac:dyDescent="0.25">
      <c r="A1658" s="32">
        <v>42192</v>
      </c>
      <c r="B1658" s="2">
        <v>8.1649999999999991</v>
      </c>
    </row>
    <row r="1659" spans="1:2" x14ac:dyDescent="0.25">
      <c r="A1659" s="32">
        <v>42193</v>
      </c>
      <c r="B1659" s="2">
        <v>8.4250000000000007</v>
      </c>
    </row>
    <row r="1660" spans="1:2" x14ac:dyDescent="0.25">
      <c r="A1660" s="32">
        <v>42194</v>
      </c>
      <c r="B1660" s="2">
        <v>8.7100000000000009</v>
      </c>
    </row>
    <row r="1661" spans="1:2" x14ac:dyDescent="0.25">
      <c r="A1661" s="32">
        <v>42195</v>
      </c>
      <c r="B1661" s="2">
        <v>8.84</v>
      </c>
    </row>
    <row r="1662" spans="1:2" x14ac:dyDescent="0.25">
      <c r="A1662" s="32">
        <v>42198</v>
      </c>
      <c r="B1662" s="2">
        <v>8.9</v>
      </c>
    </row>
    <row r="1663" spans="1:2" x14ac:dyDescent="0.25">
      <c r="A1663" s="32">
        <v>42199</v>
      </c>
      <c r="B1663" s="2">
        <v>8.8450000000000006</v>
      </c>
    </row>
    <row r="1664" spans="1:2" x14ac:dyDescent="0.25">
      <c r="A1664" s="32">
        <v>42200</v>
      </c>
      <c r="B1664" s="2">
        <v>8.9499999999999993</v>
      </c>
    </row>
    <row r="1665" spans="1:2" x14ac:dyDescent="0.25">
      <c r="A1665" s="32">
        <v>42201</v>
      </c>
      <c r="B1665" s="2">
        <v>9.1300000000000008</v>
      </c>
    </row>
    <row r="1666" spans="1:2" x14ac:dyDescent="0.25">
      <c r="A1666" s="32">
        <v>42202</v>
      </c>
      <c r="B1666" s="2">
        <v>9.1</v>
      </c>
    </row>
    <row r="1667" spans="1:2" x14ac:dyDescent="0.25">
      <c r="A1667" s="32">
        <v>42205</v>
      </c>
      <c r="B1667" s="2">
        <v>9.4749999999999996</v>
      </c>
    </row>
    <row r="1668" spans="1:2" x14ac:dyDescent="0.25">
      <c r="A1668" s="32">
        <v>42206</v>
      </c>
      <c r="B1668" s="2">
        <v>9.36</v>
      </c>
    </row>
    <row r="1669" spans="1:2" x14ac:dyDescent="0.25">
      <c r="A1669" s="32">
        <v>42207</v>
      </c>
      <c r="B1669" s="2">
        <v>9.51</v>
      </c>
    </row>
    <row r="1670" spans="1:2" x14ac:dyDescent="0.25">
      <c r="A1670" s="32">
        <v>42208</v>
      </c>
      <c r="B1670" s="2">
        <v>9.6449999999999996</v>
      </c>
    </row>
    <row r="1671" spans="1:2" x14ac:dyDescent="0.25">
      <c r="A1671" s="32">
        <v>42209</v>
      </c>
      <c r="B1671" s="2">
        <v>9.5399999999999991</v>
      </c>
    </row>
    <row r="1672" spans="1:2" x14ac:dyDescent="0.25">
      <c r="A1672" s="32">
        <v>42212</v>
      </c>
      <c r="B1672" s="2">
        <v>9.1999999999999993</v>
      </c>
    </row>
    <row r="1673" spans="1:2" x14ac:dyDescent="0.25">
      <c r="A1673" s="32">
        <v>42213</v>
      </c>
      <c r="B1673" s="2">
        <v>9.5500000000000007</v>
      </c>
    </row>
    <row r="1674" spans="1:2" x14ac:dyDescent="0.25">
      <c r="A1674" s="32">
        <v>42214</v>
      </c>
      <c r="B1674" s="2">
        <v>9.61</v>
      </c>
    </row>
    <row r="1675" spans="1:2" x14ac:dyDescent="0.25">
      <c r="A1675" s="32">
        <v>42215</v>
      </c>
      <c r="B1675" s="2">
        <v>9.6150000000000002</v>
      </c>
    </row>
    <row r="1676" spans="1:2" x14ac:dyDescent="0.25">
      <c r="A1676" s="32">
        <v>42216</v>
      </c>
      <c r="B1676" s="2">
        <v>9.9149999999999991</v>
      </c>
    </row>
    <row r="1677" spans="1:2" x14ac:dyDescent="0.25">
      <c r="A1677" s="32">
        <v>42219</v>
      </c>
      <c r="B1677" s="2">
        <v>9.8949999999999996</v>
      </c>
    </row>
    <row r="1678" spans="1:2" x14ac:dyDescent="0.25">
      <c r="A1678" s="32">
        <v>42220</v>
      </c>
      <c r="B1678" s="2">
        <v>9.76</v>
      </c>
    </row>
    <row r="1679" spans="1:2" x14ac:dyDescent="0.25">
      <c r="A1679" s="32">
        <v>42221</v>
      </c>
      <c r="B1679" s="2">
        <v>9.94</v>
      </c>
    </row>
    <row r="1680" spans="1:2" x14ac:dyDescent="0.25">
      <c r="A1680" s="32">
        <v>42222</v>
      </c>
      <c r="B1680" s="2">
        <v>9.82</v>
      </c>
    </row>
    <row r="1681" spans="1:2" x14ac:dyDescent="0.25">
      <c r="A1681" s="32">
        <v>42223</v>
      </c>
      <c r="B1681" s="2">
        <v>9.6199999999999992</v>
      </c>
    </row>
    <row r="1682" spans="1:2" x14ac:dyDescent="0.25">
      <c r="A1682" s="32">
        <v>42226</v>
      </c>
      <c r="B1682" s="2">
        <v>9.75</v>
      </c>
    </row>
    <row r="1683" spans="1:2" x14ac:dyDescent="0.25">
      <c r="A1683" s="32">
        <v>42227</v>
      </c>
      <c r="B1683" s="2">
        <v>9.73</v>
      </c>
    </row>
    <row r="1684" spans="1:2" x14ac:dyDescent="0.25">
      <c r="A1684" s="32">
        <v>42228</v>
      </c>
      <c r="B1684" s="2">
        <v>9.43</v>
      </c>
    </row>
    <row r="1685" spans="1:2" x14ac:dyDescent="0.25">
      <c r="A1685" s="32">
        <v>42229</v>
      </c>
      <c r="B1685" s="2">
        <v>9.7149999999999999</v>
      </c>
    </row>
    <row r="1686" spans="1:2" x14ac:dyDescent="0.25">
      <c r="A1686" s="32">
        <v>42230</v>
      </c>
      <c r="B1686" s="2">
        <v>9.7449999999999992</v>
      </c>
    </row>
    <row r="1687" spans="1:2" x14ac:dyDescent="0.25">
      <c r="A1687" s="32">
        <v>42233</v>
      </c>
      <c r="B1687" s="2">
        <v>9.7949999999999999</v>
      </c>
    </row>
    <row r="1688" spans="1:2" x14ac:dyDescent="0.25">
      <c r="A1688" s="32">
        <v>42234</v>
      </c>
      <c r="B1688" s="2">
        <v>9.8550000000000004</v>
      </c>
    </row>
    <row r="1689" spans="1:2" x14ac:dyDescent="0.25">
      <c r="A1689" s="32">
        <v>42235</v>
      </c>
      <c r="B1689" s="2">
        <v>9.6750000000000007</v>
      </c>
    </row>
    <row r="1690" spans="1:2" x14ac:dyDescent="0.25">
      <c r="A1690" s="32">
        <v>42236</v>
      </c>
      <c r="B1690" s="2">
        <v>9.4550000000000001</v>
      </c>
    </row>
    <row r="1691" spans="1:2" x14ac:dyDescent="0.25">
      <c r="A1691" s="32">
        <v>42237</v>
      </c>
      <c r="B1691" s="2">
        <v>9.0150000000000006</v>
      </c>
    </row>
    <row r="1692" spans="1:2" x14ac:dyDescent="0.25">
      <c r="A1692" s="32">
        <v>42240</v>
      </c>
      <c r="B1692" s="2">
        <v>8.4949999999999992</v>
      </c>
    </row>
    <row r="1693" spans="1:2" x14ac:dyDescent="0.25">
      <c r="A1693" s="32">
        <v>42241</v>
      </c>
      <c r="B1693" s="2">
        <v>8.84</v>
      </c>
    </row>
    <row r="1694" spans="1:2" x14ac:dyDescent="0.25">
      <c r="A1694" s="32">
        <v>42242</v>
      </c>
      <c r="B1694" s="2">
        <v>8.8650000000000002</v>
      </c>
    </row>
    <row r="1695" spans="1:2" x14ac:dyDescent="0.25">
      <c r="A1695" s="32">
        <v>42243</v>
      </c>
      <c r="B1695" s="2">
        <v>9.1199999999999992</v>
      </c>
    </row>
    <row r="1696" spans="1:2" x14ac:dyDescent="0.25">
      <c r="A1696" s="32">
        <v>42244</v>
      </c>
      <c r="B1696" s="2">
        <v>9.0250000000000004</v>
      </c>
    </row>
    <row r="1697" spans="1:2" x14ac:dyDescent="0.25">
      <c r="A1697" s="32">
        <v>42247</v>
      </c>
      <c r="B1697" s="2">
        <v>8.9499999999999993</v>
      </c>
    </row>
    <row r="1698" spans="1:2" x14ac:dyDescent="0.25">
      <c r="A1698" s="32">
        <v>42248</v>
      </c>
      <c r="B1698" s="2">
        <v>8.7249999999999996</v>
      </c>
    </row>
    <row r="1699" spans="1:2" x14ac:dyDescent="0.25">
      <c r="A1699" s="32">
        <v>42249</v>
      </c>
      <c r="B1699" s="2">
        <v>8.81</v>
      </c>
    </row>
    <row r="1700" spans="1:2" x14ac:dyDescent="0.25">
      <c r="A1700" s="32">
        <v>42250</v>
      </c>
      <c r="B1700" s="2">
        <v>9.0749999999999993</v>
      </c>
    </row>
    <row r="1701" spans="1:2" x14ac:dyDescent="0.25">
      <c r="A1701" s="32">
        <v>42251</v>
      </c>
      <c r="B1701" s="2">
        <v>8.7149999999999999</v>
      </c>
    </row>
    <row r="1702" spans="1:2" x14ac:dyDescent="0.25">
      <c r="A1702" s="32">
        <v>42254</v>
      </c>
      <c r="B1702" s="2">
        <v>8.7050000000000001</v>
      </c>
    </row>
    <row r="1703" spans="1:2" x14ac:dyDescent="0.25">
      <c r="A1703" s="32">
        <v>42255</v>
      </c>
      <c r="B1703" s="2">
        <v>8.9350000000000005</v>
      </c>
    </row>
    <row r="1704" spans="1:2" x14ac:dyDescent="0.25">
      <c r="A1704" s="32">
        <v>42256</v>
      </c>
      <c r="B1704" s="2">
        <v>8.9649999999999999</v>
      </c>
    </row>
    <row r="1705" spans="1:2" x14ac:dyDescent="0.25">
      <c r="A1705" s="32">
        <v>42257</v>
      </c>
      <c r="B1705" s="2">
        <v>8.98</v>
      </c>
    </row>
    <row r="1706" spans="1:2" x14ac:dyDescent="0.25">
      <c r="A1706" s="32">
        <v>42258</v>
      </c>
      <c r="B1706" s="2">
        <v>8.8699999999999992</v>
      </c>
    </row>
    <row r="1707" spans="1:2" x14ac:dyDescent="0.25">
      <c r="A1707" s="32">
        <v>42261</v>
      </c>
      <c r="B1707" s="2">
        <v>8.7850000000000001</v>
      </c>
    </row>
    <row r="1708" spans="1:2" x14ac:dyDescent="0.25">
      <c r="A1708" s="32">
        <v>42262</v>
      </c>
      <c r="B1708" s="2">
        <v>8.9049999999999994</v>
      </c>
    </row>
    <row r="1709" spans="1:2" x14ac:dyDescent="0.25">
      <c r="A1709" s="32">
        <v>42263</v>
      </c>
      <c r="B1709" s="2">
        <v>8.9649999999999999</v>
      </c>
    </row>
    <row r="1710" spans="1:2" x14ac:dyDescent="0.25">
      <c r="A1710" s="32">
        <v>42264</v>
      </c>
      <c r="B1710" s="2">
        <v>9.0350000000000001</v>
      </c>
    </row>
    <row r="1711" spans="1:2" x14ac:dyDescent="0.25">
      <c r="A1711" s="32">
        <v>42265</v>
      </c>
      <c r="B1711" s="2">
        <v>8.83</v>
      </c>
    </row>
    <row r="1712" spans="1:2" x14ac:dyDescent="0.25">
      <c r="A1712" s="32">
        <v>42268</v>
      </c>
      <c r="B1712" s="2">
        <v>8.9550000000000001</v>
      </c>
    </row>
    <row r="1713" spans="1:2" x14ac:dyDescent="0.25">
      <c r="A1713" s="32">
        <v>42269</v>
      </c>
      <c r="B1713" s="2">
        <v>8.6199999999999992</v>
      </c>
    </row>
    <row r="1714" spans="1:2" x14ac:dyDescent="0.25">
      <c r="A1714" s="32">
        <v>42270</v>
      </c>
      <c r="B1714" s="2">
        <v>8.52</v>
      </c>
    </row>
    <row r="1715" spans="1:2" x14ac:dyDescent="0.25">
      <c r="A1715" s="32">
        <v>42271</v>
      </c>
      <c r="B1715" s="2">
        <v>8.5299999999999994</v>
      </c>
    </row>
    <row r="1716" spans="1:2" x14ac:dyDescent="0.25">
      <c r="A1716" s="32">
        <v>42272</v>
      </c>
      <c r="B1716" s="2">
        <v>8.8249999999999993</v>
      </c>
    </row>
    <row r="1717" spans="1:2" x14ac:dyDescent="0.25">
      <c r="A1717" s="32">
        <v>42275</v>
      </c>
      <c r="B1717" s="2">
        <v>8.7799999999999994</v>
      </c>
    </row>
    <row r="1718" spans="1:2" x14ac:dyDescent="0.25">
      <c r="A1718" s="32">
        <v>42276</v>
      </c>
      <c r="B1718" s="2">
        <v>8.66</v>
      </c>
    </row>
    <row r="1719" spans="1:2" x14ac:dyDescent="0.25">
      <c r="A1719" s="32">
        <v>42277</v>
      </c>
      <c r="B1719" s="2">
        <v>8.7899999999999991</v>
      </c>
    </row>
    <row r="1720" spans="1:2" x14ac:dyDescent="0.25">
      <c r="A1720" s="32">
        <v>42278</v>
      </c>
      <c r="B1720" s="2">
        <v>8.7949999999999999</v>
      </c>
    </row>
    <row r="1721" spans="1:2" x14ac:dyDescent="0.25">
      <c r="A1721" s="32">
        <v>42279</v>
      </c>
      <c r="B1721" s="2">
        <v>8.9149999999999991</v>
      </c>
    </row>
    <row r="1722" spans="1:2" x14ac:dyDescent="0.25">
      <c r="A1722" s="32">
        <v>42282</v>
      </c>
      <c r="B1722" s="2">
        <v>9.25</v>
      </c>
    </row>
    <row r="1723" spans="1:2" x14ac:dyDescent="0.25">
      <c r="A1723" s="32">
        <v>42283</v>
      </c>
      <c r="B1723" s="2">
        <v>9.34</v>
      </c>
    </row>
    <row r="1724" spans="1:2" x14ac:dyDescent="0.25">
      <c r="A1724" s="32">
        <v>42284</v>
      </c>
      <c r="B1724" s="2">
        <v>9.1850000000000005</v>
      </c>
    </row>
    <row r="1725" spans="1:2" x14ac:dyDescent="0.25">
      <c r="A1725" s="32">
        <v>42285</v>
      </c>
      <c r="B1725" s="2">
        <v>9.1199999999999992</v>
      </c>
    </row>
    <row r="1726" spans="1:2" x14ac:dyDescent="0.25">
      <c r="A1726" s="32">
        <v>42286</v>
      </c>
      <c r="B1726" s="2">
        <v>9.02</v>
      </c>
    </row>
    <row r="1727" spans="1:2" x14ac:dyDescent="0.25">
      <c r="A1727" s="32">
        <v>42289</v>
      </c>
      <c r="B1727" s="2">
        <v>8.8450000000000006</v>
      </c>
    </row>
    <row r="1728" spans="1:2" x14ac:dyDescent="0.25">
      <c r="A1728" s="32">
        <v>42290</v>
      </c>
      <c r="B1728" s="2">
        <v>8.92</v>
      </c>
    </row>
    <row r="1729" spans="1:2" x14ac:dyDescent="0.25">
      <c r="A1729" s="32">
        <v>42291</v>
      </c>
      <c r="B1729" s="2">
        <v>8.77</v>
      </c>
    </row>
    <row r="1730" spans="1:2" x14ac:dyDescent="0.25">
      <c r="A1730" s="32">
        <v>42292</v>
      </c>
      <c r="B1730" s="2">
        <v>8.89</v>
      </c>
    </row>
    <row r="1731" spans="1:2" x14ac:dyDescent="0.25">
      <c r="A1731" s="32">
        <v>42293</v>
      </c>
      <c r="B1731" s="2">
        <v>8.99</v>
      </c>
    </row>
    <row r="1732" spans="1:2" x14ac:dyDescent="0.25">
      <c r="A1732" s="32">
        <v>42296</v>
      </c>
      <c r="B1732" s="2">
        <v>9.1999999999999993</v>
      </c>
    </row>
    <row r="1733" spans="1:2" x14ac:dyDescent="0.25">
      <c r="A1733" s="32">
        <v>42297</v>
      </c>
      <c r="B1733" s="2">
        <v>9.16</v>
      </c>
    </row>
    <row r="1734" spans="1:2" x14ac:dyDescent="0.25">
      <c r="A1734" s="32">
        <v>42298</v>
      </c>
      <c r="B1734" s="2">
        <v>9.14</v>
      </c>
    </row>
    <row r="1735" spans="1:2" x14ac:dyDescent="0.25">
      <c r="A1735" s="32">
        <v>42299</v>
      </c>
      <c r="B1735" s="2">
        <v>9.2550000000000008</v>
      </c>
    </row>
    <row r="1736" spans="1:2" x14ac:dyDescent="0.25">
      <c r="A1736" s="32">
        <v>42300</v>
      </c>
      <c r="B1736" s="2">
        <v>9.32</v>
      </c>
    </row>
    <row r="1737" spans="1:2" x14ac:dyDescent="0.25">
      <c r="A1737" s="32">
        <v>42303</v>
      </c>
      <c r="B1737" s="2">
        <v>9.1300000000000008</v>
      </c>
    </row>
    <row r="1738" spans="1:2" x14ac:dyDescent="0.25">
      <c r="A1738" s="32">
        <v>42304</v>
      </c>
      <c r="B1738" s="2">
        <v>9.15</v>
      </c>
    </row>
    <row r="1739" spans="1:2" x14ac:dyDescent="0.25">
      <c r="A1739" s="32">
        <v>42305</v>
      </c>
      <c r="B1739" s="2">
        <v>9.2850000000000001</v>
      </c>
    </row>
    <row r="1740" spans="1:2" x14ac:dyDescent="0.25">
      <c r="A1740" s="32">
        <v>42306</v>
      </c>
      <c r="B1740" s="2">
        <v>9.15</v>
      </c>
    </row>
    <row r="1741" spans="1:2" x14ac:dyDescent="0.25">
      <c r="A1741" s="32">
        <v>42307</v>
      </c>
      <c r="B1741" s="2">
        <v>9.15</v>
      </c>
    </row>
    <row r="1742" spans="1:2" x14ac:dyDescent="0.25">
      <c r="A1742" s="32">
        <v>42310</v>
      </c>
      <c r="B1742" s="2">
        <v>9.23</v>
      </c>
    </row>
    <row r="1743" spans="1:2" x14ac:dyDescent="0.25">
      <c r="A1743" s="32">
        <v>42311</v>
      </c>
      <c r="B1743" s="2">
        <v>9.33</v>
      </c>
    </row>
    <row r="1744" spans="1:2" x14ac:dyDescent="0.25">
      <c r="A1744" s="32">
        <v>42312</v>
      </c>
      <c r="B1744" s="2">
        <v>9.2100000000000009</v>
      </c>
    </row>
    <row r="1745" spans="1:2" x14ac:dyDescent="0.25">
      <c r="A1745" s="32">
        <v>42313</v>
      </c>
      <c r="B1745" s="2">
        <v>9.1449999999999996</v>
      </c>
    </row>
    <row r="1746" spans="1:2" x14ac:dyDescent="0.25">
      <c r="A1746" s="32">
        <v>42314</v>
      </c>
      <c r="B1746" s="2">
        <v>9.2949999999999999</v>
      </c>
    </row>
    <row r="1747" spans="1:2" x14ac:dyDescent="0.25">
      <c r="A1747" s="32">
        <v>42317</v>
      </c>
      <c r="B1747" s="2">
        <v>9.1300000000000008</v>
      </c>
    </row>
    <row r="1748" spans="1:2" x14ac:dyDescent="0.25">
      <c r="A1748" s="32">
        <v>42318</v>
      </c>
      <c r="B1748" s="2">
        <v>9.16</v>
      </c>
    </row>
    <row r="1749" spans="1:2" x14ac:dyDescent="0.25">
      <c r="A1749" s="32">
        <v>42319</v>
      </c>
      <c r="B1749" s="2">
        <v>9.2799999999999994</v>
      </c>
    </row>
    <row r="1750" spans="1:2" x14ac:dyDescent="0.25">
      <c r="A1750" s="32">
        <v>42320</v>
      </c>
      <c r="B1750" s="2">
        <v>9.1449999999999996</v>
      </c>
    </row>
    <row r="1751" spans="1:2" x14ac:dyDescent="0.25">
      <c r="A1751" s="32">
        <v>42321</v>
      </c>
      <c r="B1751" s="2">
        <v>9.1349999999999998</v>
      </c>
    </row>
    <row r="1752" spans="1:2" x14ac:dyDescent="0.25">
      <c r="A1752" s="32">
        <v>42324</v>
      </c>
      <c r="B1752" s="2">
        <v>9.1449999999999996</v>
      </c>
    </row>
    <row r="1753" spans="1:2" x14ac:dyDescent="0.25">
      <c r="A1753" s="32">
        <v>42325</v>
      </c>
      <c r="B1753" s="2">
        <v>9.31</v>
      </c>
    </row>
    <row r="1754" spans="1:2" x14ac:dyDescent="0.25">
      <c r="A1754" s="32">
        <v>42326</v>
      </c>
      <c r="B1754" s="2">
        <v>9.19</v>
      </c>
    </row>
    <row r="1755" spans="1:2" x14ac:dyDescent="0.25">
      <c r="A1755" s="32">
        <v>42327</v>
      </c>
      <c r="B1755" s="2">
        <v>9.3450000000000006</v>
      </c>
    </row>
    <row r="1756" spans="1:2" x14ac:dyDescent="0.25">
      <c r="A1756" s="32">
        <v>42328</v>
      </c>
      <c r="B1756" s="2">
        <v>9.2050000000000001</v>
      </c>
    </row>
    <row r="1757" spans="1:2" x14ac:dyDescent="0.25">
      <c r="A1757" s="32">
        <v>42331</v>
      </c>
      <c r="B1757" s="2">
        <v>9.15</v>
      </c>
    </row>
    <row r="1758" spans="1:2" x14ac:dyDescent="0.25">
      <c r="A1758" s="32">
        <v>42332</v>
      </c>
      <c r="B1758" s="2">
        <v>8.9749999999999996</v>
      </c>
    </row>
    <row r="1759" spans="1:2" x14ac:dyDescent="0.25">
      <c r="A1759" s="32">
        <v>42333</v>
      </c>
      <c r="B1759" s="2">
        <v>9.07</v>
      </c>
    </row>
    <row r="1760" spans="1:2" x14ac:dyDescent="0.25">
      <c r="A1760" s="32">
        <v>42334</v>
      </c>
      <c r="B1760" s="2">
        <v>9.1050000000000004</v>
      </c>
    </row>
    <row r="1761" spans="1:2" x14ac:dyDescent="0.25">
      <c r="A1761" s="32">
        <v>42335</v>
      </c>
      <c r="B1761" s="2">
        <v>9.0350000000000001</v>
      </c>
    </row>
    <row r="1762" spans="1:2" x14ac:dyDescent="0.25">
      <c r="A1762" s="32">
        <v>42338</v>
      </c>
      <c r="B1762" s="2">
        <v>9.07</v>
      </c>
    </row>
    <row r="1763" spans="1:2" x14ac:dyDescent="0.25">
      <c r="A1763" s="32">
        <v>42339</v>
      </c>
      <c r="B1763" s="2">
        <v>9.0749999999999993</v>
      </c>
    </row>
    <row r="1764" spans="1:2" x14ac:dyDescent="0.25">
      <c r="A1764" s="32">
        <v>42340</v>
      </c>
      <c r="B1764" s="2">
        <v>9.0950000000000006</v>
      </c>
    </row>
    <row r="1765" spans="1:2" x14ac:dyDescent="0.25">
      <c r="A1765" s="32">
        <v>42341</v>
      </c>
      <c r="B1765" s="2">
        <v>9.0399999999999991</v>
      </c>
    </row>
    <row r="1766" spans="1:2" x14ac:dyDescent="0.25">
      <c r="A1766" s="32">
        <v>42342</v>
      </c>
      <c r="B1766" s="2">
        <v>8.9949999999999992</v>
      </c>
    </row>
    <row r="1767" spans="1:2" x14ac:dyDescent="0.25">
      <c r="A1767" s="32">
        <v>42345</v>
      </c>
      <c r="B1767" s="2">
        <v>8.9700000000000006</v>
      </c>
    </row>
    <row r="1768" spans="1:2" x14ac:dyDescent="0.25">
      <c r="A1768" s="32">
        <v>42346</v>
      </c>
      <c r="B1768" s="2">
        <v>8.73</v>
      </c>
    </row>
    <row r="1769" spans="1:2" x14ac:dyDescent="0.25">
      <c r="A1769" s="32">
        <v>42347</v>
      </c>
      <c r="B1769" s="2">
        <v>8.6300000000000008</v>
      </c>
    </row>
    <row r="1770" spans="1:2" x14ac:dyDescent="0.25">
      <c r="A1770" s="32">
        <v>42348</v>
      </c>
      <c r="B1770" s="2">
        <v>8.6150000000000002</v>
      </c>
    </row>
    <row r="1771" spans="1:2" x14ac:dyDescent="0.25">
      <c r="A1771" s="32">
        <v>42349</v>
      </c>
      <c r="B1771" s="2">
        <v>8.43</v>
      </c>
    </row>
    <row r="1772" spans="1:2" x14ac:dyDescent="0.25">
      <c r="A1772" s="32">
        <v>42352</v>
      </c>
      <c r="B1772" s="2">
        <v>8.2449999999999992</v>
      </c>
    </row>
    <row r="1773" spans="1:2" x14ac:dyDescent="0.25">
      <c r="A1773" s="32">
        <v>42353</v>
      </c>
      <c r="B1773" s="2">
        <v>8.58</v>
      </c>
    </row>
    <row r="1774" spans="1:2" x14ac:dyDescent="0.25">
      <c r="A1774" s="32">
        <v>42354</v>
      </c>
      <c r="B1774" s="2">
        <v>8.6199999999999992</v>
      </c>
    </row>
    <row r="1775" spans="1:2" x14ac:dyDescent="0.25">
      <c r="A1775" s="32">
        <v>42355</v>
      </c>
      <c r="B1775" s="2">
        <v>8.81</v>
      </c>
    </row>
    <row r="1776" spans="1:2" x14ac:dyDescent="0.25">
      <c r="A1776" s="32">
        <v>42356</v>
      </c>
      <c r="B1776" s="2">
        <v>8.7349999999999994</v>
      </c>
    </row>
    <row r="1777" spans="1:2" x14ac:dyDescent="0.25">
      <c r="A1777" s="32">
        <v>42359</v>
      </c>
      <c r="B1777" s="2">
        <v>8.7750000000000004</v>
      </c>
    </row>
    <row r="1778" spans="1:2" x14ac:dyDescent="0.25">
      <c r="A1778" s="32">
        <v>42360</v>
      </c>
      <c r="B1778" s="2">
        <v>8.6999999999999993</v>
      </c>
    </row>
    <row r="1779" spans="1:2" x14ac:dyDescent="0.25">
      <c r="A1779" s="32">
        <v>42361</v>
      </c>
      <c r="B1779" s="2">
        <v>8.8350000000000009</v>
      </c>
    </row>
    <row r="1780" spans="1:2" x14ac:dyDescent="0.25">
      <c r="A1780" s="32">
        <v>42366</v>
      </c>
      <c r="B1780" s="2">
        <v>8.84</v>
      </c>
    </row>
    <row r="1781" spans="1:2" x14ac:dyDescent="0.25">
      <c r="A1781" s="32">
        <v>42367</v>
      </c>
      <c r="B1781" s="2">
        <v>8.9450000000000003</v>
      </c>
    </row>
    <row r="1782" spans="1:2" x14ac:dyDescent="0.25">
      <c r="A1782" s="32">
        <v>42368</v>
      </c>
      <c r="B1782" s="2">
        <v>8.8849999999999998</v>
      </c>
    </row>
    <row r="1783" spans="1:2" x14ac:dyDescent="0.25">
      <c r="A1783" s="32">
        <v>42373</v>
      </c>
      <c r="B1783" s="2">
        <v>8.59</v>
      </c>
    </row>
    <row r="1784" spans="1:2" x14ac:dyDescent="0.25">
      <c r="A1784" s="32">
        <v>42374</v>
      </c>
      <c r="B1784" s="2">
        <v>8.58</v>
      </c>
    </row>
    <row r="1785" spans="1:2" x14ac:dyDescent="0.25">
      <c r="A1785" s="32">
        <v>42375</v>
      </c>
      <c r="B1785" s="2">
        <v>8.3650000000000002</v>
      </c>
    </row>
    <row r="1786" spans="1:2" x14ac:dyDescent="0.25">
      <c r="A1786" s="32">
        <v>42376</v>
      </c>
      <c r="B1786" s="2">
        <v>8.2050000000000001</v>
      </c>
    </row>
    <row r="1787" spans="1:2" x14ac:dyDescent="0.25">
      <c r="A1787" s="32">
        <v>42377</v>
      </c>
      <c r="B1787" s="2">
        <v>8.0050000000000008</v>
      </c>
    </row>
    <row r="1788" spans="1:2" x14ac:dyDescent="0.25">
      <c r="A1788" s="32">
        <v>42380</v>
      </c>
      <c r="B1788" s="2">
        <v>7.96</v>
      </c>
    </row>
    <row r="1789" spans="1:2" x14ac:dyDescent="0.25">
      <c r="A1789" s="32">
        <v>42381</v>
      </c>
      <c r="B1789" s="2">
        <v>8.15</v>
      </c>
    </row>
    <row r="1790" spans="1:2" x14ac:dyDescent="0.25">
      <c r="A1790" s="32">
        <v>42382</v>
      </c>
      <c r="B1790" s="2">
        <v>8.24</v>
      </c>
    </row>
    <row r="1791" spans="1:2" x14ac:dyDescent="0.25">
      <c r="A1791" s="32">
        <v>42383</v>
      </c>
      <c r="B1791" s="2">
        <v>8.14</v>
      </c>
    </row>
    <row r="1792" spans="1:2" x14ac:dyDescent="0.25">
      <c r="A1792" s="32">
        <v>42384</v>
      </c>
      <c r="B1792" s="2">
        <v>7.83</v>
      </c>
    </row>
    <row r="1793" spans="1:2" x14ac:dyDescent="0.25">
      <c r="A1793" s="32">
        <v>42387</v>
      </c>
      <c r="B1793" s="2">
        <v>7.4550000000000001</v>
      </c>
    </row>
    <row r="1794" spans="1:2" x14ac:dyDescent="0.25">
      <c r="A1794" s="32">
        <v>42388</v>
      </c>
      <c r="B1794" s="2">
        <v>7.61</v>
      </c>
    </row>
    <row r="1795" spans="1:2" x14ac:dyDescent="0.25">
      <c r="A1795" s="32">
        <v>42389</v>
      </c>
      <c r="B1795" s="2">
        <v>7.3049999999999997</v>
      </c>
    </row>
    <row r="1796" spans="1:2" x14ac:dyDescent="0.25">
      <c r="A1796" s="32">
        <v>42390</v>
      </c>
      <c r="B1796" s="2">
        <v>7.71</v>
      </c>
    </row>
    <row r="1797" spans="1:2" x14ac:dyDescent="0.25">
      <c r="A1797" s="32">
        <v>42391</v>
      </c>
      <c r="B1797" s="2">
        <v>7.7350000000000003</v>
      </c>
    </row>
    <row r="1798" spans="1:2" x14ac:dyDescent="0.25">
      <c r="A1798" s="32">
        <v>42394</v>
      </c>
      <c r="B1798" s="2">
        <v>7.4850000000000003</v>
      </c>
    </row>
    <row r="1799" spans="1:2" x14ac:dyDescent="0.25">
      <c r="A1799" s="32">
        <v>42395</v>
      </c>
      <c r="B1799" s="2">
        <v>7.6050000000000004</v>
      </c>
    </row>
    <row r="1800" spans="1:2" x14ac:dyDescent="0.25">
      <c r="A1800" s="32">
        <v>42396</v>
      </c>
      <c r="B1800" s="2">
        <v>7.49</v>
      </c>
    </row>
    <row r="1801" spans="1:2" x14ac:dyDescent="0.25">
      <c r="A1801" s="32">
        <v>42397</v>
      </c>
      <c r="B1801" s="2">
        <v>7.08</v>
      </c>
    </row>
    <row r="1802" spans="1:2" x14ac:dyDescent="0.25">
      <c r="A1802" s="32">
        <v>42398</v>
      </c>
      <c r="B1802" s="2">
        <v>7.3650000000000002</v>
      </c>
    </row>
    <row r="1803" spans="1:2" x14ac:dyDescent="0.25">
      <c r="A1803" s="32">
        <v>42401</v>
      </c>
      <c r="B1803" s="2">
        <v>7.1349999999999998</v>
      </c>
    </row>
    <row r="1804" spans="1:2" x14ac:dyDescent="0.25">
      <c r="A1804" s="32">
        <v>42402</v>
      </c>
      <c r="B1804" s="2">
        <v>6.9399999999999995</v>
      </c>
    </row>
    <row r="1805" spans="1:2" x14ac:dyDescent="0.25">
      <c r="A1805" s="32">
        <v>42403</v>
      </c>
      <c r="B1805" s="2">
        <v>6.625</v>
      </c>
    </row>
    <row r="1806" spans="1:2" x14ac:dyDescent="0.25">
      <c r="A1806" s="32">
        <v>42404</v>
      </c>
      <c r="B1806" s="2">
        <v>6.77</v>
      </c>
    </row>
    <row r="1807" spans="1:2" x14ac:dyDescent="0.25">
      <c r="A1807" s="32">
        <v>42405</v>
      </c>
      <c r="B1807" s="2">
        <v>6.6</v>
      </c>
    </row>
    <row r="1808" spans="1:2" x14ac:dyDescent="0.25">
      <c r="A1808" s="32">
        <v>42408</v>
      </c>
      <c r="B1808" s="2">
        <v>5.9850000000000003</v>
      </c>
    </row>
    <row r="1809" spans="1:2" x14ac:dyDescent="0.25">
      <c r="A1809" s="32">
        <v>42409</v>
      </c>
      <c r="B1809" s="2">
        <v>5.65</v>
      </c>
    </row>
    <row r="1810" spans="1:2" x14ac:dyDescent="0.25">
      <c r="A1810" s="32">
        <v>42410</v>
      </c>
      <c r="B1810" s="2">
        <v>6.0750000000000002</v>
      </c>
    </row>
    <row r="1811" spans="1:2" x14ac:dyDescent="0.25">
      <c r="A1811" s="32">
        <v>42411</v>
      </c>
      <c r="B1811" s="2">
        <v>5.7549999999999999</v>
      </c>
    </row>
    <row r="1812" spans="1:2" x14ac:dyDescent="0.25">
      <c r="A1812" s="32">
        <v>42412</v>
      </c>
      <c r="B1812" s="2">
        <v>5.8650000000000002</v>
      </c>
    </row>
    <row r="1813" spans="1:2" x14ac:dyDescent="0.25">
      <c r="A1813" s="32">
        <v>42415</v>
      </c>
      <c r="B1813" s="2">
        <v>6.0350000000000001</v>
      </c>
    </row>
    <row r="1814" spans="1:2" x14ac:dyDescent="0.25">
      <c r="A1814" s="32">
        <v>42416</v>
      </c>
      <c r="B1814" s="2">
        <v>6.09</v>
      </c>
    </row>
    <row r="1815" spans="1:2" x14ac:dyDescent="0.25">
      <c r="A1815" s="32">
        <v>42417</v>
      </c>
      <c r="B1815" s="2">
        <v>6.2050000000000001</v>
      </c>
    </row>
    <row r="1816" spans="1:2" x14ac:dyDescent="0.25">
      <c r="A1816" s="32">
        <v>42418</v>
      </c>
      <c r="B1816" s="2">
        <v>6.0250000000000004</v>
      </c>
    </row>
    <row r="1817" spans="1:2" x14ac:dyDescent="0.25">
      <c r="A1817" s="32">
        <v>42419</v>
      </c>
      <c r="B1817" s="2">
        <v>5.9749999999999996</v>
      </c>
    </row>
    <row r="1818" spans="1:2" x14ac:dyDescent="0.25">
      <c r="A1818" s="32">
        <v>42422</v>
      </c>
      <c r="B1818" s="2">
        <v>6.2149999999999999</v>
      </c>
    </row>
    <row r="1819" spans="1:2" x14ac:dyDescent="0.25">
      <c r="A1819" s="32">
        <v>42423</v>
      </c>
      <c r="B1819" s="2">
        <v>6.06</v>
      </c>
    </row>
    <row r="1820" spans="1:2" x14ac:dyDescent="0.25">
      <c r="A1820" s="32">
        <v>42424</v>
      </c>
      <c r="B1820" s="2">
        <v>5.9950000000000001</v>
      </c>
    </row>
    <row r="1821" spans="1:2" x14ac:dyDescent="0.25">
      <c r="A1821" s="32">
        <v>42425</v>
      </c>
      <c r="B1821" s="2">
        <v>6.08</v>
      </c>
    </row>
    <row r="1822" spans="1:2" x14ac:dyDescent="0.25">
      <c r="A1822" s="32">
        <v>42426</v>
      </c>
      <c r="B1822" s="2">
        <v>6.2350000000000003</v>
      </c>
    </row>
    <row r="1823" spans="1:2" x14ac:dyDescent="0.25">
      <c r="A1823" s="32">
        <v>42429</v>
      </c>
      <c r="B1823" s="2">
        <v>6.26</v>
      </c>
    </row>
    <row r="1824" spans="1:2" x14ac:dyDescent="0.25">
      <c r="A1824" s="32">
        <v>42430</v>
      </c>
      <c r="B1824" s="2">
        <v>6.5149999999999997</v>
      </c>
    </row>
    <row r="1825" spans="1:2" x14ac:dyDescent="0.25">
      <c r="A1825" s="32">
        <v>42431</v>
      </c>
      <c r="B1825" s="2">
        <v>6.7649999999999997</v>
      </c>
    </row>
    <row r="1826" spans="1:2" x14ac:dyDescent="0.25">
      <c r="A1826" s="32">
        <v>42432</v>
      </c>
      <c r="B1826" s="2">
        <v>6.79</v>
      </c>
    </row>
    <row r="1827" spans="1:2" x14ac:dyDescent="0.25">
      <c r="A1827" s="32">
        <v>42433</v>
      </c>
      <c r="B1827" s="2">
        <v>6.66</v>
      </c>
    </row>
    <row r="1828" spans="1:2" x14ac:dyDescent="0.25">
      <c r="A1828" s="32">
        <v>42436</v>
      </c>
      <c r="B1828" s="2">
        <v>6.47</v>
      </c>
    </row>
    <row r="1829" spans="1:2" x14ac:dyDescent="0.25">
      <c r="A1829" s="32">
        <v>42437</v>
      </c>
      <c r="B1829" s="2">
        <v>6.5549999999999997</v>
      </c>
    </row>
    <row r="1830" spans="1:2" x14ac:dyDescent="0.25">
      <c r="A1830" s="32">
        <v>42438</v>
      </c>
      <c r="B1830" s="2">
        <v>6.5750000000000002</v>
      </c>
    </row>
    <row r="1831" spans="1:2" x14ac:dyDescent="0.25">
      <c r="A1831" s="32">
        <v>42439</v>
      </c>
      <c r="B1831" s="2">
        <v>6.6749999999999998</v>
      </c>
    </row>
    <row r="1832" spans="1:2" x14ac:dyDescent="0.25">
      <c r="A1832" s="32">
        <v>42440</v>
      </c>
      <c r="B1832" s="2">
        <v>7.2549999999999999</v>
      </c>
    </row>
    <row r="1833" spans="1:2" x14ac:dyDescent="0.25">
      <c r="A1833" s="32">
        <v>42443</v>
      </c>
      <c r="B1833" s="2">
        <v>7.33</v>
      </c>
    </row>
    <row r="1834" spans="1:2" x14ac:dyDescent="0.25">
      <c r="A1834" s="32">
        <v>42444</v>
      </c>
      <c r="B1834" s="2">
        <v>7.085</v>
      </c>
    </row>
    <row r="1835" spans="1:2" x14ac:dyDescent="0.25">
      <c r="A1835" s="32">
        <v>42445</v>
      </c>
      <c r="B1835" s="2">
        <v>7.1150000000000002</v>
      </c>
    </row>
    <row r="1836" spans="1:2" x14ac:dyDescent="0.25">
      <c r="A1836" s="32">
        <v>42446</v>
      </c>
      <c r="B1836" s="2">
        <v>6.68</v>
      </c>
    </row>
    <row r="1837" spans="1:2" x14ac:dyDescent="0.25">
      <c r="A1837" s="32">
        <v>42447</v>
      </c>
      <c r="B1837" s="2">
        <v>6.74</v>
      </c>
    </row>
    <row r="1838" spans="1:2" x14ac:dyDescent="0.25">
      <c r="A1838" s="32">
        <v>42450</v>
      </c>
      <c r="B1838" s="2">
        <v>6.7750000000000004</v>
      </c>
    </row>
    <row r="1839" spans="1:2" x14ac:dyDescent="0.25">
      <c r="A1839" s="32">
        <v>42451</v>
      </c>
      <c r="B1839" s="2">
        <v>6.65</v>
      </c>
    </row>
    <row r="1840" spans="1:2" x14ac:dyDescent="0.25">
      <c r="A1840" s="32">
        <v>42452</v>
      </c>
      <c r="B1840" s="2">
        <v>6.6050000000000004</v>
      </c>
    </row>
    <row r="1841" spans="1:2" x14ac:dyDescent="0.25">
      <c r="A1841" s="32">
        <v>42453</v>
      </c>
      <c r="B1841" s="2">
        <v>6.42</v>
      </c>
    </row>
    <row r="1842" spans="1:2" x14ac:dyDescent="0.25">
      <c r="A1842" s="32">
        <v>42458</v>
      </c>
      <c r="B1842" s="2">
        <v>6.46</v>
      </c>
    </row>
    <row r="1843" spans="1:2" x14ac:dyDescent="0.25">
      <c r="A1843" s="32">
        <v>42459</v>
      </c>
      <c r="B1843" s="2">
        <v>6.33</v>
      </c>
    </row>
    <row r="1844" spans="1:2" x14ac:dyDescent="0.25">
      <c r="A1844" s="32">
        <v>42460</v>
      </c>
      <c r="B1844" s="2">
        <v>6.33</v>
      </c>
    </row>
    <row r="1845" spans="1:2" x14ac:dyDescent="0.25">
      <c r="A1845" s="32">
        <v>42461</v>
      </c>
      <c r="B1845" s="2">
        <v>6.2750000000000004</v>
      </c>
    </row>
    <row r="1846" spans="1:2" x14ac:dyDescent="0.25">
      <c r="A1846" s="32">
        <v>42464</v>
      </c>
      <c r="B1846" s="2">
        <v>6.34</v>
      </c>
    </row>
    <row r="1847" spans="1:2" x14ac:dyDescent="0.25">
      <c r="A1847" s="32">
        <v>42465</v>
      </c>
      <c r="B1847" s="2">
        <v>6.22</v>
      </c>
    </row>
    <row r="1848" spans="1:2" x14ac:dyDescent="0.25">
      <c r="A1848" s="32">
        <v>42466</v>
      </c>
      <c r="B1848" s="2">
        <v>6.28</v>
      </c>
    </row>
    <row r="1849" spans="1:2" x14ac:dyDescent="0.25">
      <c r="A1849" s="32">
        <v>42467</v>
      </c>
      <c r="B1849" s="2">
        <v>5.9649999999999999</v>
      </c>
    </row>
    <row r="1850" spans="1:2" x14ac:dyDescent="0.25">
      <c r="A1850" s="32">
        <v>42468</v>
      </c>
      <c r="B1850" s="2">
        <v>6.31</v>
      </c>
    </row>
    <row r="1851" spans="1:2" x14ac:dyDescent="0.25">
      <c r="A1851" s="32">
        <v>42471</v>
      </c>
      <c r="B1851" s="2">
        <v>6.38</v>
      </c>
    </row>
    <row r="1852" spans="1:2" x14ac:dyDescent="0.25">
      <c r="A1852" s="32">
        <v>42472</v>
      </c>
      <c r="B1852" s="2">
        <v>6.2450000000000001</v>
      </c>
    </row>
    <row r="1853" spans="1:2" x14ac:dyDescent="0.25">
      <c r="A1853" s="32">
        <v>42473</v>
      </c>
      <c r="B1853" s="2">
        <v>6.57</v>
      </c>
    </row>
    <row r="1854" spans="1:2" x14ac:dyDescent="0.25">
      <c r="A1854" s="32">
        <v>42474</v>
      </c>
      <c r="B1854" s="2">
        <v>6.6899999999999995</v>
      </c>
    </row>
    <row r="1855" spans="1:2" x14ac:dyDescent="0.25">
      <c r="A1855" s="32">
        <v>42475</v>
      </c>
      <c r="B1855" s="2">
        <v>6.57</v>
      </c>
    </row>
    <row r="1856" spans="1:2" x14ac:dyDescent="0.25">
      <c r="A1856" s="32">
        <v>42478</v>
      </c>
      <c r="B1856" s="2">
        <v>6.68</v>
      </c>
    </row>
    <row r="1857" spans="1:2" x14ac:dyDescent="0.25">
      <c r="A1857" s="32">
        <v>42479</v>
      </c>
      <c r="B1857" s="2">
        <v>6.58</v>
      </c>
    </row>
    <row r="1858" spans="1:2" x14ac:dyDescent="0.25">
      <c r="A1858" s="32">
        <v>42480</v>
      </c>
      <c r="B1858" s="2">
        <v>6.79</v>
      </c>
    </row>
    <row r="1859" spans="1:2" x14ac:dyDescent="0.25">
      <c r="A1859" s="32">
        <v>42481</v>
      </c>
      <c r="B1859" s="2">
        <v>7</v>
      </c>
    </row>
    <row r="1860" spans="1:2" x14ac:dyDescent="0.25">
      <c r="A1860" s="32">
        <v>42482</v>
      </c>
      <c r="B1860" s="2">
        <v>7.3049999999999997</v>
      </c>
    </row>
    <row r="1861" spans="1:2" x14ac:dyDescent="0.25">
      <c r="A1861" s="32">
        <v>42485</v>
      </c>
      <c r="B1861" s="2">
        <v>7.0049999999999999</v>
      </c>
    </row>
    <row r="1862" spans="1:2" x14ac:dyDescent="0.25">
      <c r="A1862" s="32">
        <v>42486</v>
      </c>
      <c r="B1862" s="2">
        <v>7.23</v>
      </c>
    </row>
    <row r="1863" spans="1:2" x14ac:dyDescent="0.25">
      <c r="A1863" s="32">
        <v>42487</v>
      </c>
      <c r="B1863" s="2">
        <v>7.26</v>
      </c>
    </row>
    <row r="1864" spans="1:2" x14ac:dyDescent="0.25">
      <c r="A1864" s="32">
        <v>42488</v>
      </c>
      <c r="B1864" s="2">
        <v>7.2750000000000004</v>
      </c>
    </row>
    <row r="1865" spans="1:2" x14ac:dyDescent="0.25">
      <c r="A1865" s="32">
        <v>42489</v>
      </c>
      <c r="B1865" s="2">
        <v>7.1749999999999998</v>
      </c>
    </row>
    <row r="1866" spans="1:2" x14ac:dyDescent="0.25">
      <c r="A1866" s="32">
        <v>42492</v>
      </c>
      <c r="B1866" s="2">
        <v>6.97</v>
      </c>
    </row>
    <row r="1867" spans="1:2" x14ac:dyDescent="0.25">
      <c r="A1867" s="32">
        <v>42493</v>
      </c>
      <c r="B1867" s="2">
        <v>6.7050000000000001</v>
      </c>
    </row>
    <row r="1868" spans="1:2" x14ac:dyDescent="0.25">
      <c r="A1868" s="32">
        <v>42494</v>
      </c>
      <c r="B1868" s="2">
        <v>6.65</v>
      </c>
    </row>
    <row r="1869" spans="1:2" x14ac:dyDescent="0.25">
      <c r="A1869" s="32">
        <v>42495</v>
      </c>
      <c r="B1869" s="2">
        <v>6.43</v>
      </c>
    </row>
    <row r="1870" spans="1:2" x14ac:dyDescent="0.25">
      <c r="A1870" s="32">
        <v>42496</v>
      </c>
      <c r="B1870" s="2">
        <v>6.375</v>
      </c>
    </row>
    <row r="1871" spans="1:2" x14ac:dyDescent="0.25">
      <c r="A1871" s="32">
        <v>42499</v>
      </c>
      <c r="B1871" s="2">
        <v>6.2450000000000001</v>
      </c>
    </row>
    <row r="1872" spans="1:2" x14ac:dyDescent="0.25">
      <c r="A1872" s="32">
        <v>42500</v>
      </c>
      <c r="B1872" s="2">
        <v>6.2949999999999999</v>
      </c>
    </row>
    <row r="1873" spans="1:2" x14ac:dyDescent="0.25">
      <c r="A1873" s="32">
        <v>42501</v>
      </c>
      <c r="B1873" s="2">
        <v>6.4050000000000002</v>
      </c>
    </row>
    <row r="1874" spans="1:2" x14ac:dyDescent="0.25">
      <c r="A1874" s="32">
        <v>42502</v>
      </c>
      <c r="B1874" s="2">
        <v>6.45</v>
      </c>
    </row>
    <row r="1875" spans="1:2" x14ac:dyDescent="0.25">
      <c r="A1875" s="32">
        <v>42503</v>
      </c>
      <c r="B1875" s="2">
        <v>6.51</v>
      </c>
    </row>
    <row r="1876" spans="1:2" x14ac:dyDescent="0.25">
      <c r="A1876" s="32">
        <v>42506</v>
      </c>
      <c r="B1876" s="2">
        <v>6.49</v>
      </c>
    </row>
    <row r="1877" spans="1:2" x14ac:dyDescent="0.25">
      <c r="A1877" s="32">
        <v>42507</v>
      </c>
      <c r="B1877" s="2">
        <v>6.4649999999999999</v>
      </c>
    </row>
    <row r="1878" spans="1:2" x14ac:dyDescent="0.25">
      <c r="A1878" s="32">
        <v>42508</v>
      </c>
      <c r="B1878" s="2">
        <v>6.585</v>
      </c>
    </row>
    <row r="1879" spans="1:2" x14ac:dyDescent="0.25">
      <c r="A1879" s="32">
        <v>42509</v>
      </c>
      <c r="B1879" s="2">
        <v>6.585</v>
      </c>
    </row>
    <row r="1880" spans="1:2" x14ac:dyDescent="0.25">
      <c r="A1880" s="32">
        <v>42510</v>
      </c>
      <c r="B1880" s="2">
        <v>6.6449999999999996</v>
      </c>
    </row>
    <row r="1881" spans="1:2" x14ac:dyDescent="0.25">
      <c r="A1881" s="32">
        <v>42513</v>
      </c>
      <c r="B1881" s="2">
        <v>6.58</v>
      </c>
    </row>
    <row r="1882" spans="1:2" x14ac:dyDescent="0.25">
      <c r="A1882" s="32">
        <v>42514</v>
      </c>
      <c r="B1882" s="2">
        <v>6.98</v>
      </c>
    </row>
    <row r="1883" spans="1:2" x14ac:dyDescent="0.25">
      <c r="A1883" s="32">
        <v>42515</v>
      </c>
      <c r="B1883" s="2">
        <v>7.14</v>
      </c>
    </row>
    <row r="1884" spans="1:2" x14ac:dyDescent="0.25">
      <c r="A1884" s="32">
        <v>42516</v>
      </c>
      <c r="B1884" s="2">
        <v>7.125</v>
      </c>
    </row>
    <row r="1885" spans="1:2" x14ac:dyDescent="0.25">
      <c r="A1885" s="32">
        <v>42517</v>
      </c>
      <c r="B1885" s="2">
        <v>7.21</v>
      </c>
    </row>
    <row r="1886" spans="1:2" x14ac:dyDescent="0.25">
      <c r="A1886" s="32">
        <v>42520</v>
      </c>
      <c r="B1886" s="2">
        <v>7.19</v>
      </c>
    </row>
    <row r="1887" spans="1:2" x14ac:dyDescent="0.25">
      <c r="A1887" s="32">
        <v>42521</v>
      </c>
      <c r="B1887" s="2">
        <v>6.97</v>
      </c>
    </row>
    <row r="1888" spans="1:2" x14ac:dyDescent="0.25">
      <c r="A1888" s="32">
        <v>42522</v>
      </c>
      <c r="B1888" s="2">
        <v>6.84</v>
      </c>
    </row>
    <row r="1889" spans="1:2" x14ac:dyDescent="0.25">
      <c r="A1889" s="32">
        <v>42523</v>
      </c>
      <c r="B1889" s="2">
        <v>6.7949999999999999</v>
      </c>
    </row>
    <row r="1890" spans="1:2" x14ac:dyDescent="0.25">
      <c r="A1890" s="32">
        <v>42524</v>
      </c>
      <c r="B1890" s="2">
        <v>6.62</v>
      </c>
    </row>
    <row r="1891" spans="1:2" x14ac:dyDescent="0.25">
      <c r="A1891" s="32">
        <v>42527</v>
      </c>
      <c r="B1891" s="2">
        <v>6.57</v>
      </c>
    </row>
    <row r="1892" spans="1:2" x14ac:dyDescent="0.25">
      <c r="A1892" s="32">
        <v>42528</v>
      </c>
      <c r="B1892" s="2">
        <v>6.68</v>
      </c>
    </row>
    <row r="1893" spans="1:2" x14ac:dyDescent="0.25">
      <c r="A1893" s="32">
        <v>42529</v>
      </c>
      <c r="B1893" s="2">
        <v>6.5949999999999998</v>
      </c>
    </row>
    <row r="1894" spans="1:2" x14ac:dyDescent="0.25">
      <c r="A1894" s="32">
        <v>42530</v>
      </c>
      <c r="B1894" s="2">
        <v>6.48</v>
      </c>
    </row>
    <row r="1895" spans="1:2" x14ac:dyDescent="0.25">
      <c r="A1895" s="32">
        <v>42531</v>
      </c>
      <c r="B1895" s="2">
        <v>6.125</v>
      </c>
    </row>
    <row r="1896" spans="1:2" x14ac:dyDescent="0.25">
      <c r="A1896" s="32">
        <v>42534</v>
      </c>
      <c r="B1896" s="2">
        <v>5.8250000000000002</v>
      </c>
    </row>
    <row r="1897" spans="1:2" x14ac:dyDescent="0.25">
      <c r="A1897" s="32">
        <v>42535</v>
      </c>
      <c r="B1897" s="2">
        <v>5.6050000000000004</v>
      </c>
    </row>
    <row r="1898" spans="1:2" x14ac:dyDescent="0.25">
      <c r="A1898" s="32">
        <v>42536</v>
      </c>
      <c r="B1898" s="2">
        <v>5.76</v>
      </c>
    </row>
    <row r="1899" spans="1:2" x14ac:dyDescent="0.25">
      <c r="A1899" s="32">
        <v>42537</v>
      </c>
      <c r="B1899" s="2">
        <v>5.74</v>
      </c>
    </row>
    <row r="1900" spans="1:2" x14ac:dyDescent="0.25">
      <c r="A1900" s="32">
        <v>42538</v>
      </c>
      <c r="B1900" s="2">
        <v>5.97</v>
      </c>
    </row>
    <row r="1901" spans="1:2" x14ac:dyDescent="0.25">
      <c r="A1901" s="32">
        <v>42541</v>
      </c>
      <c r="B1901" s="2">
        <v>6.3</v>
      </c>
    </row>
    <row r="1902" spans="1:2" x14ac:dyDescent="0.25">
      <c r="A1902" s="32">
        <v>42542</v>
      </c>
      <c r="B1902" s="2">
        <v>6.3849999999999998</v>
      </c>
    </row>
    <row r="1903" spans="1:2" x14ac:dyDescent="0.25">
      <c r="A1903" s="32">
        <v>42543</v>
      </c>
      <c r="B1903" s="2">
        <v>6.3449999999999998</v>
      </c>
    </row>
    <row r="1904" spans="1:2" x14ac:dyDescent="0.25">
      <c r="A1904" s="32">
        <v>42544</v>
      </c>
      <c r="B1904" s="2">
        <v>6.74</v>
      </c>
    </row>
    <row r="1905" spans="1:2" x14ac:dyDescent="0.25">
      <c r="A1905" s="32">
        <v>42545</v>
      </c>
      <c r="B1905" s="2">
        <v>5.31</v>
      </c>
    </row>
    <row r="1906" spans="1:2" x14ac:dyDescent="0.25">
      <c r="A1906" s="32">
        <v>42548</v>
      </c>
      <c r="B1906" s="2">
        <v>4.6319999999999997</v>
      </c>
    </row>
    <row r="1907" spans="1:2" x14ac:dyDescent="0.25">
      <c r="A1907" s="32">
        <v>42549</v>
      </c>
      <c r="B1907" s="2">
        <v>4.9000000000000004</v>
      </c>
    </row>
    <row r="1908" spans="1:2" x14ac:dyDescent="0.25">
      <c r="A1908" s="32">
        <v>42550</v>
      </c>
      <c r="B1908" s="2">
        <v>5.07</v>
      </c>
    </row>
    <row r="1909" spans="1:2" x14ac:dyDescent="0.25">
      <c r="A1909" s="32">
        <v>42551</v>
      </c>
      <c r="B1909" s="2">
        <v>5.1550000000000002</v>
      </c>
    </row>
    <row r="1910" spans="1:2" x14ac:dyDescent="0.25">
      <c r="A1910" s="32">
        <v>42552</v>
      </c>
      <c r="B1910" s="2">
        <v>5.2050000000000001</v>
      </c>
    </row>
    <row r="1911" spans="1:2" x14ac:dyDescent="0.25">
      <c r="A1911" s="32">
        <v>42555</v>
      </c>
      <c r="B1911" s="2">
        <v>4.9859999999999998</v>
      </c>
    </row>
    <row r="1912" spans="1:2" x14ac:dyDescent="0.25">
      <c r="A1912" s="32">
        <v>42556</v>
      </c>
      <c r="B1912" s="2">
        <v>4.8259999999999996</v>
      </c>
    </row>
    <row r="1913" spans="1:2" x14ac:dyDescent="0.25">
      <c r="A1913" s="32">
        <v>42557</v>
      </c>
      <c r="B1913" s="2">
        <v>4.7119999999999997</v>
      </c>
    </row>
    <row r="1914" spans="1:2" x14ac:dyDescent="0.25">
      <c r="A1914" s="32">
        <v>42558</v>
      </c>
      <c r="B1914" s="2">
        <v>4.8739999999999997</v>
      </c>
    </row>
    <row r="1915" spans="1:2" x14ac:dyDescent="0.25">
      <c r="A1915" s="32">
        <v>42559</v>
      </c>
      <c r="B1915" s="2">
        <v>5.29</v>
      </c>
    </row>
    <row r="1916" spans="1:2" x14ac:dyDescent="0.25">
      <c r="A1916" s="32">
        <v>42562</v>
      </c>
      <c r="B1916" s="2">
        <v>5.31</v>
      </c>
    </row>
    <row r="1917" spans="1:2" x14ac:dyDescent="0.25">
      <c r="A1917" s="32">
        <v>42563</v>
      </c>
      <c r="B1917" s="2">
        <v>5.7</v>
      </c>
    </row>
    <row r="1918" spans="1:2" x14ac:dyDescent="0.25">
      <c r="A1918" s="32">
        <v>42564</v>
      </c>
      <c r="B1918" s="2">
        <v>5.7450000000000001</v>
      </c>
    </row>
    <row r="1919" spans="1:2" x14ac:dyDescent="0.25">
      <c r="A1919" s="32">
        <v>42565</v>
      </c>
      <c r="B1919" s="2">
        <v>5.92</v>
      </c>
    </row>
    <row r="1920" spans="1:2" x14ac:dyDescent="0.25">
      <c r="A1920" s="32">
        <v>42566</v>
      </c>
      <c r="B1920" s="2">
        <v>5.835</v>
      </c>
    </row>
    <row r="1921" spans="1:2" x14ac:dyDescent="0.25">
      <c r="A1921" s="32">
        <v>42569</v>
      </c>
      <c r="B1921" s="2">
        <v>5.9350000000000005</v>
      </c>
    </row>
    <row r="1922" spans="1:2" x14ac:dyDescent="0.25">
      <c r="A1922" s="32">
        <v>42570</v>
      </c>
      <c r="B1922" s="2">
        <v>5.88</v>
      </c>
    </row>
    <row r="1923" spans="1:2" x14ac:dyDescent="0.25">
      <c r="A1923" s="32">
        <v>42571</v>
      </c>
      <c r="B1923" s="2">
        <v>5.95</v>
      </c>
    </row>
    <row r="1924" spans="1:2" x14ac:dyDescent="0.25">
      <c r="A1924" s="32">
        <v>42572</v>
      </c>
      <c r="B1924" s="2">
        <v>5.9950000000000001</v>
      </c>
    </row>
    <row r="1925" spans="1:2" x14ac:dyDescent="0.25">
      <c r="A1925" s="32">
        <v>42573</v>
      </c>
      <c r="B1925" s="2">
        <v>5.9399999999999995</v>
      </c>
    </row>
    <row r="1926" spans="1:2" x14ac:dyDescent="0.25">
      <c r="A1926" s="32">
        <v>42576</v>
      </c>
      <c r="B1926" s="2">
        <v>5.99</v>
      </c>
    </row>
    <row r="1927" spans="1:2" x14ac:dyDescent="0.25">
      <c r="A1927" s="32">
        <v>42577</v>
      </c>
      <c r="B1927" s="2">
        <v>5.85</v>
      </c>
    </row>
    <row r="1928" spans="1:2" x14ac:dyDescent="0.25">
      <c r="A1928" s="32">
        <v>42578</v>
      </c>
      <c r="B1928" s="2">
        <v>6.0549999999999997</v>
      </c>
    </row>
    <row r="1929" spans="1:2" x14ac:dyDescent="0.25">
      <c r="A1929" s="32">
        <v>42579</v>
      </c>
      <c r="B1929" s="2">
        <v>5.98</v>
      </c>
    </row>
    <row r="1930" spans="1:2" x14ac:dyDescent="0.25">
      <c r="A1930" s="32">
        <v>42580</v>
      </c>
      <c r="B1930" s="2">
        <v>6.2649999999999997</v>
      </c>
    </row>
    <row r="1931" spans="1:2" x14ac:dyDescent="0.25">
      <c r="A1931" s="32">
        <v>42583</v>
      </c>
      <c r="B1931" s="2">
        <v>6.1449999999999996</v>
      </c>
    </row>
    <row r="1932" spans="1:2" x14ac:dyDescent="0.25">
      <c r="A1932" s="32">
        <v>42584</v>
      </c>
      <c r="B1932" s="2">
        <v>5.64</v>
      </c>
    </row>
    <row r="1933" spans="1:2" x14ac:dyDescent="0.25">
      <c r="A1933" s="32">
        <v>42585</v>
      </c>
      <c r="B1933" s="2">
        <v>5.6050000000000004</v>
      </c>
    </row>
    <row r="1934" spans="1:2" x14ac:dyDescent="0.25">
      <c r="A1934" s="32">
        <v>42586</v>
      </c>
      <c r="B1934" s="2">
        <v>5.66</v>
      </c>
    </row>
    <row r="1935" spans="1:2" x14ac:dyDescent="0.25">
      <c r="A1935" s="32">
        <v>42587</v>
      </c>
      <c r="B1935" s="2">
        <v>6.1550000000000002</v>
      </c>
    </row>
    <row r="1936" spans="1:2" x14ac:dyDescent="0.25">
      <c r="A1936" s="32">
        <v>42590</v>
      </c>
      <c r="B1936" s="2">
        <v>6.34</v>
      </c>
    </row>
    <row r="1937" spans="1:2" x14ac:dyDescent="0.25">
      <c r="A1937" s="32">
        <v>42591</v>
      </c>
      <c r="B1937" s="2">
        <v>6.5649999999999995</v>
      </c>
    </row>
    <row r="1938" spans="1:2" x14ac:dyDescent="0.25">
      <c r="A1938" s="32">
        <v>42592</v>
      </c>
      <c r="B1938" s="2">
        <v>6.52</v>
      </c>
    </row>
    <row r="1939" spans="1:2" x14ac:dyDescent="0.25">
      <c r="A1939" s="32">
        <v>42593</v>
      </c>
      <c r="B1939" s="2">
        <v>6.4550000000000001</v>
      </c>
    </row>
    <row r="1940" spans="1:2" x14ac:dyDescent="0.25">
      <c r="A1940" s="32">
        <v>42594</v>
      </c>
      <c r="B1940" s="2">
        <v>6.4749999999999996</v>
      </c>
    </row>
    <row r="1941" spans="1:2" x14ac:dyDescent="0.25">
      <c r="A1941" s="32">
        <v>42598</v>
      </c>
      <c r="B1941" s="2">
        <v>6.37</v>
      </c>
    </row>
    <row r="1942" spans="1:2" x14ac:dyDescent="0.25">
      <c r="A1942" s="32">
        <v>42599</v>
      </c>
      <c r="B1942" s="2">
        <v>6.3150000000000004</v>
      </c>
    </row>
    <row r="1943" spans="1:2" x14ac:dyDescent="0.25">
      <c r="A1943" s="32">
        <v>42600</v>
      </c>
      <c r="B1943" s="2">
        <v>6.29</v>
      </c>
    </row>
    <row r="1944" spans="1:2" x14ac:dyDescent="0.25">
      <c r="A1944" s="32">
        <v>42601</v>
      </c>
      <c r="B1944" s="2">
        <v>6.1150000000000002</v>
      </c>
    </row>
    <row r="1945" spans="1:2" x14ac:dyDescent="0.25">
      <c r="A1945" s="32">
        <v>42604</v>
      </c>
      <c r="B1945" s="2">
        <v>6.17</v>
      </c>
    </row>
    <row r="1946" spans="1:2" x14ac:dyDescent="0.25">
      <c r="A1946" s="32">
        <v>42605</v>
      </c>
      <c r="B1946" s="2">
        <v>6.4950000000000001</v>
      </c>
    </row>
    <row r="1947" spans="1:2" x14ac:dyDescent="0.25">
      <c r="A1947" s="32">
        <v>42606</v>
      </c>
      <c r="B1947" s="2">
        <v>6.51</v>
      </c>
    </row>
    <row r="1948" spans="1:2" x14ac:dyDescent="0.25">
      <c r="A1948" s="32">
        <v>42607</v>
      </c>
      <c r="B1948" s="2">
        <v>6.4450000000000003</v>
      </c>
    </row>
    <row r="1949" spans="1:2" x14ac:dyDescent="0.25">
      <c r="A1949" s="32">
        <v>42608</v>
      </c>
      <c r="B1949" s="2">
        <v>6.49</v>
      </c>
    </row>
    <row r="1950" spans="1:2" x14ac:dyDescent="0.25">
      <c r="A1950" s="32">
        <v>42611</v>
      </c>
      <c r="B1950" s="2">
        <v>6.38</v>
      </c>
    </row>
    <row r="1951" spans="1:2" x14ac:dyDescent="0.25">
      <c r="A1951" s="32">
        <v>42612</v>
      </c>
      <c r="B1951" s="2">
        <v>6.54</v>
      </c>
    </row>
    <row r="1952" spans="1:2" x14ac:dyDescent="0.25">
      <c r="A1952" s="32">
        <v>42613</v>
      </c>
      <c r="B1952" s="2">
        <v>6.65</v>
      </c>
    </row>
    <row r="1953" spans="1:2" x14ac:dyDescent="0.25">
      <c r="A1953" s="32">
        <v>42614</v>
      </c>
      <c r="B1953" s="2">
        <v>6.7</v>
      </c>
    </row>
    <row r="1954" spans="1:2" x14ac:dyDescent="0.25">
      <c r="A1954" s="32">
        <v>42615</v>
      </c>
      <c r="B1954" s="2">
        <v>6.84</v>
      </c>
    </row>
    <row r="1955" spans="1:2" x14ac:dyDescent="0.25">
      <c r="A1955" s="32">
        <v>42618</v>
      </c>
      <c r="B1955" s="2">
        <v>6.8550000000000004</v>
      </c>
    </row>
    <row r="1956" spans="1:2" x14ac:dyDescent="0.25">
      <c r="A1956" s="32">
        <v>42619</v>
      </c>
      <c r="B1956" s="2">
        <v>6.75</v>
      </c>
    </row>
    <row r="1957" spans="1:2" x14ac:dyDescent="0.25">
      <c r="A1957" s="32">
        <v>42620</v>
      </c>
      <c r="B1957" s="2">
        <v>6.84</v>
      </c>
    </row>
    <row r="1958" spans="1:2" x14ac:dyDescent="0.25">
      <c r="A1958" s="32">
        <v>42621</v>
      </c>
      <c r="B1958" s="2">
        <v>6.9350000000000005</v>
      </c>
    </row>
    <row r="1959" spans="1:2" x14ac:dyDescent="0.25">
      <c r="A1959" s="32">
        <v>42622</v>
      </c>
      <c r="B1959" s="2">
        <v>6.875</v>
      </c>
    </row>
    <row r="1960" spans="1:2" x14ac:dyDescent="0.25">
      <c r="A1960" s="32">
        <v>42625</v>
      </c>
      <c r="B1960" s="2">
        <v>6.75</v>
      </c>
    </row>
    <row r="1961" spans="1:2" x14ac:dyDescent="0.25">
      <c r="A1961" s="32">
        <v>42626</v>
      </c>
      <c r="B1961" s="2">
        <v>6.7149999999999999</v>
      </c>
    </row>
    <row r="1962" spans="1:2" x14ac:dyDescent="0.25">
      <c r="A1962" s="32">
        <v>42627</v>
      </c>
      <c r="B1962" s="2">
        <v>6.68</v>
      </c>
    </row>
    <row r="1963" spans="1:2" x14ac:dyDescent="0.25">
      <c r="A1963" s="32">
        <v>42628</v>
      </c>
      <c r="B1963" s="2">
        <v>6.5549999999999997</v>
      </c>
    </row>
    <row r="1964" spans="1:2" x14ac:dyDescent="0.25">
      <c r="A1964" s="32">
        <v>42629</v>
      </c>
      <c r="B1964" s="2">
        <v>6.1749999999999998</v>
      </c>
    </row>
    <row r="1965" spans="1:2" x14ac:dyDescent="0.25">
      <c r="A1965" s="32">
        <v>42632</v>
      </c>
      <c r="B1965" s="2">
        <v>6.27</v>
      </c>
    </row>
    <row r="1966" spans="1:2" x14ac:dyDescent="0.25">
      <c r="A1966" s="32">
        <v>42633</v>
      </c>
      <c r="B1966" s="2">
        <v>6.1</v>
      </c>
    </row>
    <row r="1967" spans="1:2" x14ac:dyDescent="0.25">
      <c r="A1967" s="32">
        <v>42634</v>
      </c>
      <c r="B1967" s="2">
        <v>6.24</v>
      </c>
    </row>
    <row r="1968" spans="1:2" x14ac:dyDescent="0.25">
      <c r="A1968" s="32">
        <v>42635</v>
      </c>
      <c r="B1968" s="2">
        <v>6.25</v>
      </c>
    </row>
    <row r="1969" spans="1:2" x14ac:dyDescent="0.25">
      <c r="A1969" s="32">
        <v>42636</v>
      </c>
      <c r="B1969" s="2">
        <v>6.1749999999999998</v>
      </c>
    </row>
    <row r="1970" spans="1:2" x14ac:dyDescent="0.25">
      <c r="A1970" s="32">
        <v>42639</v>
      </c>
      <c r="B1970" s="2">
        <v>5.9350000000000005</v>
      </c>
    </row>
    <row r="1971" spans="1:2" x14ac:dyDescent="0.25">
      <c r="A1971" s="32">
        <v>42640</v>
      </c>
      <c r="B1971" s="2">
        <v>5.7850000000000001</v>
      </c>
    </row>
    <row r="1972" spans="1:2" x14ac:dyDescent="0.25">
      <c r="A1972" s="32">
        <v>42641</v>
      </c>
      <c r="B1972" s="2">
        <v>5.86</v>
      </c>
    </row>
    <row r="1973" spans="1:2" x14ac:dyDescent="0.25">
      <c r="A1973" s="32">
        <v>42642</v>
      </c>
      <c r="B1973" s="2">
        <v>5.75</v>
      </c>
    </row>
    <row r="1974" spans="1:2" x14ac:dyDescent="0.25">
      <c r="A1974" s="32">
        <v>42643</v>
      </c>
      <c r="B1974" s="2">
        <v>5.79</v>
      </c>
    </row>
    <row r="1975" spans="1:2" x14ac:dyDescent="0.25">
      <c r="A1975" s="32">
        <v>42646</v>
      </c>
      <c r="B1975" s="2">
        <v>5.7750000000000004</v>
      </c>
    </row>
    <row r="1976" spans="1:2" x14ac:dyDescent="0.25">
      <c r="A1976" s="32">
        <v>42647</v>
      </c>
      <c r="B1976" s="2">
        <v>5.78</v>
      </c>
    </row>
    <row r="1977" spans="1:2" x14ac:dyDescent="0.25">
      <c r="A1977" s="32">
        <v>42648</v>
      </c>
      <c r="B1977" s="2">
        <v>5.9950000000000001</v>
      </c>
    </row>
    <row r="1978" spans="1:2" x14ac:dyDescent="0.25">
      <c r="A1978" s="32">
        <v>42649</v>
      </c>
      <c r="B1978" s="2">
        <v>6.0949999999999998</v>
      </c>
    </row>
    <row r="1979" spans="1:2" x14ac:dyDescent="0.25">
      <c r="A1979" s="32">
        <v>42650</v>
      </c>
      <c r="B1979" s="2">
        <v>6.09</v>
      </c>
    </row>
    <row r="1980" spans="1:2" x14ac:dyDescent="0.25">
      <c r="A1980" s="32">
        <v>42653</v>
      </c>
      <c r="B1980" s="2">
        <v>6.1749999999999998</v>
      </c>
    </row>
    <row r="1981" spans="1:2" x14ac:dyDescent="0.25">
      <c r="A1981" s="32">
        <v>42654</v>
      </c>
      <c r="B1981" s="2">
        <v>6.17</v>
      </c>
    </row>
    <row r="1982" spans="1:2" x14ac:dyDescent="0.25">
      <c r="A1982" s="32">
        <v>42655</v>
      </c>
      <c r="B1982" s="2">
        <v>6.2549999999999999</v>
      </c>
    </row>
    <row r="1983" spans="1:2" x14ac:dyDescent="0.25">
      <c r="A1983" s="32">
        <v>42656</v>
      </c>
      <c r="B1983" s="2">
        <v>6.0449999999999999</v>
      </c>
    </row>
    <row r="1984" spans="1:2" x14ac:dyDescent="0.25">
      <c r="A1984" s="32">
        <v>42657</v>
      </c>
      <c r="B1984" s="2">
        <v>6.1950000000000003</v>
      </c>
    </row>
    <row r="1985" spans="1:2" x14ac:dyDescent="0.25">
      <c r="A1985" s="32">
        <v>42660</v>
      </c>
      <c r="B1985" s="2">
        <v>6.2750000000000004</v>
      </c>
    </row>
    <row r="1986" spans="1:2" x14ac:dyDescent="0.25">
      <c r="A1986" s="32">
        <v>42661</v>
      </c>
      <c r="B1986" s="2">
        <v>6.41</v>
      </c>
    </row>
    <row r="1987" spans="1:2" x14ac:dyDescent="0.25">
      <c r="A1987" s="32">
        <v>42662</v>
      </c>
      <c r="B1987" s="2">
        <v>6.61</v>
      </c>
    </row>
    <row r="1988" spans="1:2" x14ac:dyDescent="0.25">
      <c r="A1988" s="32">
        <v>42663</v>
      </c>
      <c r="B1988" s="2">
        <v>6.6449999999999996</v>
      </c>
    </row>
    <row r="1989" spans="1:2" x14ac:dyDescent="0.25">
      <c r="A1989" s="32">
        <v>42664</v>
      </c>
      <c r="B1989" s="2">
        <v>6.6899999999999995</v>
      </c>
    </row>
    <row r="1990" spans="1:2" x14ac:dyDescent="0.25">
      <c r="A1990" s="32">
        <v>42667</v>
      </c>
      <c r="B1990" s="2">
        <v>6.8550000000000004</v>
      </c>
    </row>
    <row r="1991" spans="1:2" x14ac:dyDescent="0.25">
      <c r="A1991" s="32">
        <v>42668</v>
      </c>
      <c r="B1991" s="2">
        <v>6.8</v>
      </c>
    </row>
    <row r="1992" spans="1:2" x14ac:dyDescent="0.25">
      <c r="A1992" s="32">
        <v>42669</v>
      </c>
      <c r="B1992" s="2">
        <v>6.88</v>
      </c>
    </row>
    <row r="1993" spans="1:2" x14ac:dyDescent="0.25">
      <c r="A1993" s="32">
        <v>42670</v>
      </c>
      <c r="B1993" s="2">
        <v>6.9399999999999995</v>
      </c>
    </row>
    <row r="1994" spans="1:2" x14ac:dyDescent="0.25">
      <c r="A1994" s="32">
        <v>42671</v>
      </c>
      <c r="B1994" s="2">
        <v>7.01</v>
      </c>
    </row>
    <row r="1995" spans="1:2" x14ac:dyDescent="0.25">
      <c r="A1995" s="32">
        <v>42674</v>
      </c>
      <c r="B1995" s="2">
        <v>6.6749999999999998</v>
      </c>
    </row>
    <row r="1996" spans="1:2" x14ac:dyDescent="0.25">
      <c r="A1996" s="32">
        <v>42675</v>
      </c>
      <c r="B1996" s="2">
        <v>6.72</v>
      </c>
    </row>
    <row r="1997" spans="1:2" x14ac:dyDescent="0.25">
      <c r="A1997" s="32">
        <v>42676</v>
      </c>
      <c r="B1997" s="2">
        <v>6.45</v>
      </c>
    </row>
    <row r="1998" spans="1:2" x14ac:dyDescent="0.25">
      <c r="A1998" s="32">
        <v>42677</v>
      </c>
      <c r="B1998" s="2">
        <v>6.46</v>
      </c>
    </row>
    <row r="1999" spans="1:2" x14ac:dyDescent="0.25">
      <c r="A1999" s="32">
        <v>42678</v>
      </c>
      <c r="B1999" s="2">
        <v>6.36</v>
      </c>
    </row>
    <row r="2000" spans="1:2" x14ac:dyDescent="0.25">
      <c r="A2000" s="32">
        <v>42681</v>
      </c>
      <c r="B2000" s="2">
        <v>6.6349999999999998</v>
      </c>
    </row>
    <row r="2001" spans="1:2" x14ac:dyDescent="0.25">
      <c r="A2001" s="32">
        <v>42682</v>
      </c>
      <c r="B2001" s="2">
        <v>6.75</v>
      </c>
    </row>
    <row r="2002" spans="1:2" x14ac:dyDescent="0.25">
      <c r="A2002" s="32">
        <v>42683</v>
      </c>
      <c r="B2002" s="2">
        <v>6.86</v>
      </c>
    </row>
    <row r="2003" spans="1:2" x14ac:dyDescent="0.25">
      <c r="A2003" s="32">
        <v>42684</v>
      </c>
      <c r="B2003" s="2">
        <v>6.85</v>
      </c>
    </row>
    <row r="2004" spans="1:2" x14ac:dyDescent="0.25">
      <c r="A2004" s="32">
        <v>42685</v>
      </c>
      <c r="B2004" s="2">
        <v>7.01</v>
      </c>
    </row>
    <row r="2005" spans="1:2" x14ac:dyDescent="0.25">
      <c r="A2005" s="32">
        <v>42688</v>
      </c>
      <c r="B2005" s="2">
        <v>7.04</v>
      </c>
    </row>
    <row r="2006" spans="1:2" x14ac:dyDescent="0.25">
      <c r="A2006" s="32">
        <v>42689</v>
      </c>
      <c r="B2006" s="2">
        <v>7.0650000000000004</v>
      </c>
    </row>
    <row r="2007" spans="1:2" x14ac:dyDescent="0.25">
      <c r="A2007" s="32">
        <v>42690</v>
      </c>
      <c r="B2007" s="2">
        <v>6.96</v>
      </c>
    </row>
    <row r="2008" spans="1:2" x14ac:dyDescent="0.25">
      <c r="A2008" s="32">
        <v>42691</v>
      </c>
      <c r="B2008" s="2">
        <v>6.8049999999999997</v>
      </c>
    </row>
    <row r="2009" spans="1:2" x14ac:dyDescent="0.25">
      <c r="A2009" s="32">
        <v>42692</v>
      </c>
      <c r="B2009" s="2">
        <v>6.53</v>
      </c>
    </row>
    <row r="2010" spans="1:2" x14ac:dyDescent="0.25">
      <c r="A2010" s="32">
        <v>42695</v>
      </c>
      <c r="B2010" s="2">
        <v>6.335</v>
      </c>
    </row>
    <row r="2011" spans="1:2" x14ac:dyDescent="0.25">
      <c r="A2011" s="32">
        <v>42696</v>
      </c>
      <c r="B2011" s="2">
        <v>6.4450000000000003</v>
      </c>
    </row>
    <row r="2012" spans="1:2" x14ac:dyDescent="0.25">
      <c r="A2012" s="32">
        <v>42697</v>
      </c>
      <c r="B2012" s="2">
        <v>6.35</v>
      </c>
    </row>
    <row r="2013" spans="1:2" x14ac:dyDescent="0.25">
      <c r="A2013" s="32">
        <v>42698</v>
      </c>
      <c r="B2013" s="2">
        <v>6.2850000000000001</v>
      </c>
    </row>
    <row r="2014" spans="1:2" x14ac:dyDescent="0.25">
      <c r="A2014" s="32">
        <v>42699</v>
      </c>
      <c r="B2014" s="2">
        <v>6.2</v>
      </c>
    </row>
    <row r="2015" spans="1:2" x14ac:dyDescent="0.25">
      <c r="A2015" s="32">
        <v>42702</v>
      </c>
      <c r="B2015" s="2">
        <v>6.02</v>
      </c>
    </row>
    <row r="2016" spans="1:2" x14ac:dyDescent="0.25">
      <c r="A2016" s="32">
        <v>42703</v>
      </c>
      <c r="B2016" s="2">
        <v>6.2750000000000004</v>
      </c>
    </row>
    <row r="2017" spans="1:2" x14ac:dyDescent="0.25">
      <c r="A2017" s="32">
        <v>42704</v>
      </c>
      <c r="B2017" s="2">
        <v>6.51</v>
      </c>
    </row>
    <row r="2018" spans="1:2" x14ac:dyDescent="0.25">
      <c r="A2018" s="32">
        <v>42705</v>
      </c>
      <c r="B2018" s="2">
        <v>6.7149999999999999</v>
      </c>
    </row>
    <row r="2019" spans="1:2" x14ac:dyDescent="0.25">
      <c r="A2019" s="32">
        <v>42706</v>
      </c>
      <c r="B2019" s="2">
        <v>6.7249999999999996</v>
      </c>
    </row>
    <row r="2020" spans="1:2" x14ac:dyDescent="0.25">
      <c r="A2020" s="32">
        <v>42709</v>
      </c>
      <c r="B2020" s="2">
        <v>6.44</v>
      </c>
    </row>
    <row r="2021" spans="1:2" x14ac:dyDescent="0.25">
      <c r="A2021" s="32">
        <v>42710</v>
      </c>
      <c r="B2021" s="2">
        <v>7.08</v>
      </c>
    </row>
    <row r="2022" spans="1:2" x14ac:dyDescent="0.25">
      <c r="A2022" s="32">
        <v>42711</v>
      </c>
      <c r="B2022" s="2">
        <v>7.42</v>
      </c>
    </row>
    <row r="2023" spans="1:2" x14ac:dyDescent="0.25">
      <c r="A2023" s="32">
        <v>42712</v>
      </c>
      <c r="B2023" s="2">
        <v>7.625</v>
      </c>
    </row>
    <row r="2024" spans="1:2" x14ac:dyDescent="0.25">
      <c r="A2024" s="32">
        <v>42713</v>
      </c>
      <c r="B2024" s="2">
        <v>7.41</v>
      </c>
    </row>
    <row r="2025" spans="1:2" x14ac:dyDescent="0.25">
      <c r="A2025" s="32">
        <v>42716</v>
      </c>
      <c r="B2025" s="2">
        <v>7.45</v>
      </c>
    </row>
    <row r="2026" spans="1:2" x14ac:dyDescent="0.25">
      <c r="A2026" s="32">
        <v>42717</v>
      </c>
      <c r="B2026" s="2">
        <v>7.53</v>
      </c>
    </row>
    <row r="2027" spans="1:2" x14ac:dyDescent="0.25">
      <c r="A2027" s="32">
        <v>42718</v>
      </c>
      <c r="B2027" s="2">
        <v>7.6</v>
      </c>
    </row>
    <row r="2028" spans="1:2" x14ac:dyDescent="0.25">
      <c r="A2028" s="32">
        <v>42719</v>
      </c>
      <c r="B2028" s="2">
        <v>7.8550000000000004</v>
      </c>
    </row>
    <row r="2029" spans="1:2" x14ac:dyDescent="0.25">
      <c r="A2029" s="32">
        <v>42720</v>
      </c>
      <c r="B2029" s="2">
        <v>7.7649999999999997</v>
      </c>
    </row>
    <row r="2030" spans="1:2" x14ac:dyDescent="0.25">
      <c r="A2030" s="32">
        <v>42723</v>
      </c>
      <c r="B2030" s="2">
        <v>7.8</v>
      </c>
    </row>
    <row r="2031" spans="1:2" x14ac:dyDescent="0.25">
      <c r="A2031" s="32">
        <v>42724</v>
      </c>
      <c r="B2031" s="2">
        <v>7.915</v>
      </c>
    </row>
    <row r="2032" spans="1:2" x14ac:dyDescent="0.25">
      <c r="A2032" s="32">
        <v>42725</v>
      </c>
      <c r="B2032" s="2">
        <v>7.86</v>
      </c>
    </row>
    <row r="2033" spans="1:2" x14ac:dyDescent="0.25">
      <c r="A2033" s="32">
        <v>42726</v>
      </c>
      <c r="B2033" s="2">
        <v>7.835</v>
      </c>
    </row>
    <row r="2034" spans="1:2" x14ac:dyDescent="0.25">
      <c r="A2034" s="32">
        <v>42727</v>
      </c>
      <c r="B2034" s="2">
        <v>7.9350000000000005</v>
      </c>
    </row>
    <row r="2035" spans="1:2" x14ac:dyDescent="0.25">
      <c r="A2035" s="32">
        <v>42731</v>
      </c>
      <c r="B2035" s="2">
        <v>7.93</v>
      </c>
    </row>
    <row r="2036" spans="1:2" x14ac:dyDescent="0.25">
      <c r="A2036" s="32">
        <v>42732</v>
      </c>
      <c r="B2036" s="2">
        <v>7.83</v>
      </c>
    </row>
    <row r="2037" spans="1:2" x14ac:dyDescent="0.25">
      <c r="A2037" s="32">
        <v>42733</v>
      </c>
      <c r="B2037" s="2">
        <v>7.77</v>
      </c>
    </row>
    <row r="2038" spans="1:2" x14ac:dyDescent="0.25">
      <c r="A2038" s="32">
        <v>42734</v>
      </c>
      <c r="B2038" s="2">
        <v>7.7549999999999999</v>
      </c>
    </row>
    <row r="2039" spans="1:2" x14ac:dyDescent="0.25">
      <c r="A2039" s="32">
        <v>42737</v>
      </c>
      <c r="B2039" s="2">
        <v>7.92</v>
      </c>
    </row>
    <row r="2040" spans="1:2" x14ac:dyDescent="0.25">
      <c r="A2040" s="32">
        <v>42738</v>
      </c>
      <c r="B2040" s="2">
        <v>8.15</v>
      </c>
    </row>
    <row r="2041" spans="1:2" x14ac:dyDescent="0.25">
      <c r="A2041" s="32">
        <v>42739</v>
      </c>
      <c r="B2041" s="2">
        <v>8.1999999999999993</v>
      </c>
    </row>
    <row r="2042" spans="1:2" x14ac:dyDescent="0.25">
      <c r="A2042" s="32">
        <v>42740</v>
      </c>
      <c r="B2042" s="2">
        <v>8.16</v>
      </c>
    </row>
    <row r="2043" spans="1:2" x14ac:dyDescent="0.25">
      <c r="A2043" s="32">
        <v>42741</v>
      </c>
      <c r="B2043" s="2">
        <v>8.19</v>
      </c>
    </row>
    <row r="2044" spans="1:2" x14ac:dyDescent="0.25">
      <c r="A2044" s="32">
        <v>42744</v>
      </c>
      <c r="B2044" s="2">
        <v>7.82</v>
      </c>
    </row>
    <row r="2045" spans="1:2" x14ac:dyDescent="0.25">
      <c r="A2045" s="32">
        <v>42745</v>
      </c>
      <c r="B2045" s="2">
        <v>7.9050000000000002</v>
      </c>
    </row>
    <row r="2046" spans="1:2" x14ac:dyDescent="0.25">
      <c r="A2046" s="32">
        <v>42746</v>
      </c>
      <c r="B2046" s="2">
        <v>7.9</v>
      </c>
    </row>
    <row r="2047" spans="1:2" x14ac:dyDescent="0.25">
      <c r="A2047" s="32">
        <v>42747</v>
      </c>
      <c r="B2047" s="2">
        <v>7.7149999999999999</v>
      </c>
    </row>
    <row r="2048" spans="1:2" x14ac:dyDescent="0.25">
      <c r="A2048" s="32">
        <v>42748</v>
      </c>
      <c r="B2048" s="2">
        <v>8.0250000000000004</v>
      </c>
    </row>
    <row r="2049" spans="1:2" x14ac:dyDescent="0.25">
      <c r="A2049" s="32">
        <v>42751</v>
      </c>
      <c r="B2049" s="2">
        <v>7.9950000000000001</v>
      </c>
    </row>
    <row r="2050" spans="1:2" x14ac:dyDescent="0.25">
      <c r="A2050" s="32">
        <v>42752</v>
      </c>
      <c r="B2050" s="2">
        <v>7.9</v>
      </c>
    </row>
    <row r="2051" spans="1:2" x14ac:dyDescent="0.25">
      <c r="A2051" s="32">
        <v>42753</v>
      </c>
      <c r="B2051" s="2">
        <v>7.9399999999999995</v>
      </c>
    </row>
    <row r="2052" spans="1:2" x14ac:dyDescent="0.25">
      <c r="A2052" s="32">
        <v>42754</v>
      </c>
      <c r="B2052" s="2">
        <v>8.0649999999999995</v>
      </c>
    </row>
    <row r="2053" spans="1:2" x14ac:dyDescent="0.25">
      <c r="A2053" s="32">
        <v>42755</v>
      </c>
      <c r="B2053" s="2">
        <v>7.95</v>
      </c>
    </row>
    <row r="2054" spans="1:2" x14ac:dyDescent="0.25">
      <c r="A2054" s="32">
        <v>42758</v>
      </c>
      <c r="B2054" s="2">
        <v>8.07</v>
      </c>
    </row>
    <row r="2055" spans="1:2" x14ac:dyDescent="0.25">
      <c r="A2055" s="32">
        <v>42759</v>
      </c>
      <c r="B2055" s="2">
        <v>8.52</v>
      </c>
    </row>
    <row r="2056" spans="1:2" x14ac:dyDescent="0.25">
      <c r="A2056" s="32">
        <v>42760</v>
      </c>
      <c r="B2056" s="2">
        <v>8.7850000000000001</v>
      </c>
    </row>
    <row r="2057" spans="1:2" x14ac:dyDescent="0.25">
      <c r="A2057" s="32">
        <v>42761</v>
      </c>
      <c r="B2057" s="2">
        <v>8.5050000000000008</v>
      </c>
    </row>
    <row r="2058" spans="1:2" x14ac:dyDescent="0.25">
      <c r="A2058" s="32">
        <v>42762</v>
      </c>
      <c r="B2058" s="2">
        <v>8.4</v>
      </c>
    </row>
    <row r="2059" spans="1:2" x14ac:dyDescent="0.25">
      <c r="A2059" s="32">
        <v>42765</v>
      </c>
      <c r="B2059" s="2">
        <v>8.1750000000000007</v>
      </c>
    </row>
    <row r="2060" spans="1:2" x14ac:dyDescent="0.25">
      <c r="A2060" s="32">
        <v>42766</v>
      </c>
      <c r="B2060" s="2">
        <v>7.9550000000000001</v>
      </c>
    </row>
    <row r="2061" spans="1:2" x14ac:dyDescent="0.25">
      <c r="A2061" s="32">
        <v>42767</v>
      </c>
      <c r="B2061" s="2">
        <v>8.0250000000000004</v>
      </c>
    </row>
    <row r="2062" spans="1:2" x14ac:dyDescent="0.25">
      <c r="A2062" s="32">
        <v>42768</v>
      </c>
      <c r="B2062" s="2">
        <v>8.15</v>
      </c>
    </row>
    <row r="2063" spans="1:2" x14ac:dyDescent="0.25">
      <c r="A2063" s="32">
        <v>42769</v>
      </c>
      <c r="B2063" s="2">
        <v>8.1449999999999996</v>
      </c>
    </row>
    <row r="2064" spans="1:2" x14ac:dyDescent="0.25">
      <c r="A2064" s="32">
        <v>42772</v>
      </c>
      <c r="B2064" s="2">
        <v>7.8100000000000005</v>
      </c>
    </row>
    <row r="2065" spans="1:2" x14ac:dyDescent="0.25">
      <c r="A2065" s="32">
        <v>42773</v>
      </c>
      <c r="B2065" s="2">
        <v>7.6449999999999996</v>
      </c>
    </row>
    <row r="2066" spans="1:2" x14ac:dyDescent="0.25">
      <c r="A2066" s="32">
        <v>42774</v>
      </c>
      <c r="B2066" s="2">
        <v>7.7549999999999999</v>
      </c>
    </row>
    <row r="2067" spans="1:2" x14ac:dyDescent="0.25">
      <c r="A2067" s="32">
        <v>42775</v>
      </c>
      <c r="B2067" s="2">
        <v>7.88</v>
      </c>
    </row>
    <row r="2068" spans="1:2" x14ac:dyDescent="0.25">
      <c r="A2068" s="32">
        <v>42776</v>
      </c>
      <c r="B2068" s="2">
        <v>7.79</v>
      </c>
    </row>
    <row r="2069" spans="1:2" x14ac:dyDescent="0.25">
      <c r="A2069" s="32">
        <v>42779</v>
      </c>
      <c r="B2069" s="2">
        <v>8.02</v>
      </c>
    </row>
    <row r="2070" spans="1:2" x14ac:dyDescent="0.25">
      <c r="A2070" s="32">
        <v>42780</v>
      </c>
      <c r="B2070" s="2">
        <v>8.2100000000000009</v>
      </c>
    </row>
    <row r="2071" spans="1:2" x14ac:dyDescent="0.25">
      <c r="A2071" s="32">
        <v>42781</v>
      </c>
      <c r="B2071" s="2">
        <v>8.1649999999999991</v>
      </c>
    </row>
    <row r="2072" spans="1:2" x14ac:dyDescent="0.25">
      <c r="A2072" s="32">
        <v>42782</v>
      </c>
      <c r="B2072" s="2">
        <v>8.1199999999999992</v>
      </c>
    </row>
    <row r="2073" spans="1:2" x14ac:dyDescent="0.25">
      <c r="A2073" s="32">
        <v>42783</v>
      </c>
      <c r="B2073" s="2">
        <v>8.0449999999999999</v>
      </c>
    </row>
    <row r="2074" spans="1:2" x14ac:dyDescent="0.25">
      <c r="A2074" s="32">
        <v>42786</v>
      </c>
      <c r="B2074" s="2">
        <v>7.97</v>
      </c>
    </row>
    <row r="2075" spans="1:2" x14ac:dyDescent="0.25">
      <c r="A2075" s="32">
        <v>42787</v>
      </c>
      <c r="B2075" s="2">
        <v>7.89</v>
      </c>
    </row>
    <row r="2076" spans="1:2" x14ac:dyDescent="0.25">
      <c r="A2076" s="32">
        <v>42788</v>
      </c>
      <c r="B2076" s="2">
        <v>7.625</v>
      </c>
    </row>
    <row r="2077" spans="1:2" x14ac:dyDescent="0.25">
      <c r="A2077" s="32">
        <v>42789</v>
      </c>
      <c r="B2077" s="2">
        <v>7.66</v>
      </c>
    </row>
    <row r="2078" spans="1:2" x14ac:dyDescent="0.25">
      <c r="A2078" s="32">
        <v>42790</v>
      </c>
      <c r="B2078" s="2">
        <v>7.4450000000000003</v>
      </c>
    </row>
    <row r="2079" spans="1:2" x14ac:dyDescent="0.25">
      <c r="A2079" s="32">
        <v>42793</v>
      </c>
      <c r="B2079" s="2">
        <v>7.5</v>
      </c>
    </row>
    <row r="2080" spans="1:2" x14ac:dyDescent="0.25">
      <c r="A2080" s="32">
        <v>42794</v>
      </c>
      <c r="B2080" s="2">
        <v>7.5649999999999995</v>
      </c>
    </row>
    <row r="2081" spans="1:2" x14ac:dyDescent="0.25">
      <c r="A2081" s="32">
        <v>42795</v>
      </c>
      <c r="B2081" s="2">
        <v>7.8550000000000004</v>
      </c>
    </row>
    <row r="2082" spans="1:2" x14ac:dyDescent="0.25">
      <c r="A2082" s="32">
        <v>42796</v>
      </c>
      <c r="B2082" s="2">
        <v>7.85</v>
      </c>
    </row>
    <row r="2083" spans="1:2" x14ac:dyDescent="0.25">
      <c r="A2083" s="32">
        <v>42797</v>
      </c>
      <c r="B2083" s="2">
        <v>8.07</v>
      </c>
    </row>
    <row r="2084" spans="1:2" x14ac:dyDescent="0.25">
      <c r="A2084" s="32">
        <v>42800</v>
      </c>
      <c r="B2084" s="2">
        <v>7.9249999999999998</v>
      </c>
    </row>
    <row r="2085" spans="1:2" x14ac:dyDescent="0.25">
      <c r="A2085" s="32">
        <v>42801</v>
      </c>
      <c r="B2085" s="2">
        <v>7.92</v>
      </c>
    </row>
    <row r="2086" spans="1:2" x14ac:dyDescent="0.25">
      <c r="A2086" s="32">
        <v>42802</v>
      </c>
      <c r="B2086" s="2">
        <v>7.9950000000000001</v>
      </c>
    </row>
    <row r="2087" spans="1:2" x14ac:dyDescent="0.25">
      <c r="A2087" s="32">
        <v>42803</v>
      </c>
      <c r="B2087" s="2">
        <v>8.2050000000000001</v>
      </c>
    </row>
    <row r="2088" spans="1:2" x14ac:dyDescent="0.25">
      <c r="A2088" s="32">
        <v>42804</v>
      </c>
      <c r="B2088" s="2">
        <v>8.4</v>
      </c>
    </row>
    <row r="2089" spans="1:2" x14ac:dyDescent="0.25">
      <c r="A2089" s="32">
        <v>42807</v>
      </c>
      <c r="B2089" s="2">
        <v>8.2750000000000004</v>
      </c>
    </row>
    <row r="2090" spans="1:2" x14ac:dyDescent="0.25">
      <c r="A2090" s="32">
        <v>42808</v>
      </c>
      <c r="B2090" s="2">
        <v>8.15</v>
      </c>
    </row>
    <row r="2091" spans="1:2" x14ac:dyDescent="0.25">
      <c r="A2091" s="32">
        <v>42809</v>
      </c>
      <c r="B2091" s="2">
        <v>8.2899999999999991</v>
      </c>
    </row>
    <row r="2092" spans="1:2" x14ac:dyDescent="0.25">
      <c r="A2092" s="32">
        <v>42810</v>
      </c>
      <c r="B2092" s="2">
        <v>8.41</v>
      </c>
    </row>
    <row r="2093" spans="1:2" x14ac:dyDescent="0.25">
      <c r="A2093" s="32">
        <v>42811</v>
      </c>
      <c r="B2093" s="2">
        <v>8.3249999999999993</v>
      </c>
    </row>
    <row r="2094" spans="1:2" x14ac:dyDescent="0.25">
      <c r="A2094" s="32">
        <v>42814</v>
      </c>
      <c r="B2094" s="2">
        <v>8.3049999999999997</v>
      </c>
    </row>
    <row r="2095" spans="1:2" x14ac:dyDescent="0.25">
      <c r="A2095" s="32">
        <v>42815</v>
      </c>
      <c r="B2095" s="2">
        <v>8.33</v>
      </c>
    </row>
    <row r="2096" spans="1:2" x14ac:dyDescent="0.25">
      <c r="A2096" s="32">
        <v>42816</v>
      </c>
      <c r="B2096" s="2">
        <v>8.3450000000000006</v>
      </c>
    </row>
    <row r="2097" spans="1:2" x14ac:dyDescent="0.25">
      <c r="A2097" s="32">
        <v>42817</v>
      </c>
      <c r="B2097" s="2">
        <v>8.4450000000000003</v>
      </c>
    </row>
    <row r="2098" spans="1:2" x14ac:dyDescent="0.25">
      <c r="A2098" s="32">
        <v>42818</v>
      </c>
      <c r="B2098" s="2">
        <v>8.4649999999999999</v>
      </c>
    </row>
    <row r="2099" spans="1:2" x14ac:dyDescent="0.25">
      <c r="A2099" s="32">
        <v>42821</v>
      </c>
      <c r="B2099" s="2">
        <v>8.375</v>
      </c>
    </row>
    <row r="2100" spans="1:2" x14ac:dyDescent="0.25">
      <c r="A2100" s="32">
        <v>42822</v>
      </c>
      <c r="B2100" s="2">
        <v>8.4700000000000006</v>
      </c>
    </row>
    <row r="2101" spans="1:2" x14ac:dyDescent="0.25">
      <c r="A2101" s="32">
        <v>42823</v>
      </c>
      <c r="B2101" s="2">
        <v>8.4350000000000005</v>
      </c>
    </row>
    <row r="2102" spans="1:2" x14ac:dyDescent="0.25">
      <c r="A2102" s="32">
        <v>42824</v>
      </c>
      <c r="B2102" s="2">
        <v>8.49</v>
      </c>
    </row>
    <row r="2103" spans="1:2" x14ac:dyDescent="0.25">
      <c r="A2103" s="32">
        <v>42825</v>
      </c>
      <c r="B2103" s="2">
        <v>8.4499999999999993</v>
      </c>
    </row>
    <row r="2104" spans="1:2" x14ac:dyDescent="0.25">
      <c r="A2104" s="32">
        <v>42828</v>
      </c>
      <c r="B2104" s="2">
        <v>8.2449999999999992</v>
      </c>
    </row>
    <row r="2105" spans="1:2" x14ac:dyDescent="0.25">
      <c r="A2105" s="32">
        <v>42829</v>
      </c>
      <c r="B2105" s="2">
        <v>8.26</v>
      </c>
    </row>
    <row r="2106" spans="1:2" x14ac:dyDescent="0.25">
      <c r="A2106" s="32">
        <v>42830</v>
      </c>
      <c r="B2106" s="2">
        <v>8.2550000000000008</v>
      </c>
    </row>
    <row r="2107" spans="1:2" x14ac:dyDescent="0.25">
      <c r="A2107" s="32">
        <v>42831</v>
      </c>
      <c r="B2107" s="2">
        <v>8.2100000000000009</v>
      </c>
    </row>
    <row r="2108" spans="1:2" x14ac:dyDescent="0.25">
      <c r="A2108" s="32">
        <v>42832</v>
      </c>
      <c r="B2108" s="2">
        <v>8.31</v>
      </c>
    </row>
    <row r="2109" spans="1:2" x14ac:dyDescent="0.25">
      <c r="A2109" s="32">
        <v>42835</v>
      </c>
      <c r="B2109" s="2">
        <v>8.14</v>
      </c>
    </row>
    <row r="2110" spans="1:2" x14ac:dyDescent="0.25">
      <c r="A2110" s="32">
        <v>42836</v>
      </c>
      <c r="B2110" s="2">
        <v>8.06</v>
      </c>
    </row>
    <row r="2111" spans="1:2" x14ac:dyDescent="0.25">
      <c r="A2111" s="32">
        <v>42837</v>
      </c>
      <c r="B2111" s="2">
        <v>7.85</v>
      </c>
    </row>
    <row r="2112" spans="1:2" x14ac:dyDescent="0.25">
      <c r="A2112" s="32">
        <v>42838</v>
      </c>
      <c r="B2112" s="2">
        <v>7.79</v>
      </c>
    </row>
    <row r="2113" spans="1:2" x14ac:dyDescent="0.25">
      <c r="A2113" s="32">
        <v>42843</v>
      </c>
      <c r="B2113" s="2">
        <v>7.6950000000000003</v>
      </c>
    </row>
    <row r="2114" spans="1:2" x14ac:dyDescent="0.25">
      <c r="A2114" s="32">
        <v>42844</v>
      </c>
      <c r="B2114" s="2">
        <v>7.9</v>
      </c>
    </row>
    <row r="2115" spans="1:2" x14ac:dyDescent="0.25">
      <c r="A2115" s="32">
        <v>42845</v>
      </c>
      <c r="B2115" s="2">
        <v>8.07</v>
      </c>
    </row>
    <row r="2116" spans="1:2" x14ac:dyDescent="0.25">
      <c r="A2116" s="32">
        <v>42846</v>
      </c>
      <c r="B2116" s="2">
        <v>8.1199999999999992</v>
      </c>
    </row>
    <row r="2117" spans="1:2" x14ac:dyDescent="0.25">
      <c r="A2117" s="32">
        <v>42849</v>
      </c>
      <c r="B2117" s="2">
        <v>8.5399999999999991</v>
      </c>
    </row>
    <row r="2118" spans="1:2" x14ac:dyDescent="0.25">
      <c r="A2118" s="32">
        <v>42850</v>
      </c>
      <c r="B2118" s="2">
        <v>8.67</v>
      </c>
    </row>
    <row r="2119" spans="1:2" x14ac:dyDescent="0.25">
      <c r="A2119" s="32">
        <v>42851</v>
      </c>
      <c r="B2119" s="2">
        <v>8.5500000000000007</v>
      </c>
    </row>
    <row r="2120" spans="1:2" x14ac:dyDescent="0.25">
      <c r="A2120" s="32">
        <v>42852</v>
      </c>
      <c r="B2120" s="2">
        <v>8.4949999999999992</v>
      </c>
    </row>
    <row r="2121" spans="1:2" x14ac:dyDescent="0.25">
      <c r="A2121" s="32">
        <v>42853</v>
      </c>
      <c r="B2121" s="2">
        <v>8.8249999999999993</v>
      </c>
    </row>
    <row r="2122" spans="1:2" x14ac:dyDescent="0.25">
      <c r="A2122" s="32">
        <v>42857</v>
      </c>
      <c r="B2122" s="2">
        <v>8.85</v>
      </c>
    </row>
    <row r="2123" spans="1:2" x14ac:dyDescent="0.25">
      <c r="A2123" s="32">
        <v>42858</v>
      </c>
      <c r="B2123" s="2">
        <v>8.8800000000000008</v>
      </c>
    </row>
    <row r="2124" spans="1:2" x14ac:dyDescent="0.25">
      <c r="A2124" s="32">
        <v>42859</v>
      </c>
      <c r="B2124" s="2">
        <v>9.0549999999999997</v>
      </c>
    </row>
    <row r="2125" spans="1:2" x14ac:dyDescent="0.25">
      <c r="A2125" s="32">
        <v>42860</v>
      </c>
      <c r="B2125" s="2">
        <v>9.18</v>
      </c>
    </row>
    <row r="2126" spans="1:2" x14ac:dyDescent="0.25">
      <c r="A2126" s="32">
        <v>42863</v>
      </c>
      <c r="B2126" s="2">
        <v>9.125</v>
      </c>
    </row>
    <row r="2127" spans="1:2" x14ac:dyDescent="0.25">
      <c r="A2127" s="32">
        <v>42864</v>
      </c>
      <c r="B2127" s="2">
        <v>9.1</v>
      </c>
    </row>
    <row r="2128" spans="1:2" x14ac:dyDescent="0.25">
      <c r="A2128" s="32">
        <v>42865</v>
      </c>
      <c r="B2128" s="2">
        <v>9.0749999999999993</v>
      </c>
    </row>
    <row r="2129" spans="1:2" x14ac:dyDescent="0.25">
      <c r="A2129" s="32">
        <v>42866</v>
      </c>
      <c r="B2129" s="2">
        <v>9.19</v>
      </c>
    </row>
    <row r="2130" spans="1:2" x14ac:dyDescent="0.25">
      <c r="A2130" s="32">
        <v>42867</v>
      </c>
      <c r="B2130" s="2">
        <v>9.14</v>
      </c>
    </row>
    <row r="2131" spans="1:2" x14ac:dyDescent="0.25">
      <c r="A2131" s="32">
        <v>42870</v>
      </c>
      <c r="B2131" s="2">
        <v>9.1750000000000007</v>
      </c>
    </row>
    <row r="2132" spans="1:2" x14ac:dyDescent="0.25">
      <c r="A2132" s="32">
        <v>42871</v>
      </c>
      <c r="B2132" s="2">
        <v>9.0749999999999993</v>
      </c>
    </row>
    <row r="2133" spans="1:2" x14ac:dyDescent="0.25">
      <c r="A2133" s="32">
        <v>42872</v>
      </c>
      <c r="B2133" s="2">
        <v>8.92</v>
      </c>
    </row>
    <row r="2134" spans="1:2" x14ac:dyDescent="0.25">
      <c r="A2134" s="32">
        <v>42873</v>
      </c>
      <c r="B2134" s="2">
        <v>8.9499999999999993</v>
      </c>
    </row>
    <row r="2135" spans="1:2" x14ac:dyDescent="0.25">
      <c r="A2135" s="32">
        <v>42874</v>
      </c>
      <c r="B2135" s="2">
        <v>9.0250000000000004</v>
      </c>
    </row>
    <row r="2136" spans="1:2" x14ac:dyDescent="0.25">
      <c r="A2136" s="32">
        <v>42877</v>
      </c>
      <c r="B2136" s="2">
        <v>9.09</v>
      </c>
    </row>
    <row r="2137" spans="1:2" x14ac:dyDescent="0.25">
      <c r="A2137" s="32">
        <v>42878</v>
      </c>
      <c r="B2137" s="2">
        <v>9.15</v>
      </c>
    </row>
    <row r="2138" spans="1:2" x14ac:dyDescent="0.25">
      <c r="A2138" s="32">
        <v>42879</v>
      </c>
      <c r="B2138" s="2">
        <v>9.1050000000000004</v>
      </c>
    </row>
    <row r="2139" spans="1:2" x14ac:dyDescent="0.25">
      <c r="A2139" s="32">
        <v>42880</v>
      </c>
      <c r="B2139" s="2">
        <v>9.0649999999999995</v>
      </c>
    </row>
    <row r="2140" spans="1:2" x14ac:dyDescent="0.25">
      <c r="A2140" s="32">
        <v>42881</v>
      </c>
      <c r="B2140" s="2">
        <v>8.93</v>
      </c>
    </row>
    <row r="2141" spans="1:2" x14ac:dyDescent="0.25">
      <c r="A2141" s="32">
        <v>42884</v>
      </c>
      <c r="B2141" s="2">
        <v>8.65</v>
      </c>
    </row>
    <row r="2142" spans="1:2" x14ac:dyDescent="0.25">
      <c r="A2142" s="32">
        <v>42885</v>
      </c>
      <c r="B2142" s="2">
        <v>8.65</v>
      </c>
    </row>
    <row r="2143" spans="1:2" x14ac:dyDescent="0.25">
      <c r="A2143" s="32">
        <v>42886</v>
      </c>
      <c r="B2143" s="2">
        <v>8.44</v>
      </c>
    </row>
    <row r="2144" spans="1:2" x14ac:dyDescent="0.25">
      <c r="A2144" s="32">
        <v>42887</v>
      </c>
      <c r="B2144" s="2">
        <v>8.4749999999999996</v>
      </c>
    </row>
    <row r="2145" spans="1:2" x14ac:dyDescent="0.25">
      <c r="A2145" s="32">
        <v>42888</v>
      </c>
      <c r="B2145" s="2">
        <v>8.41</v>
      </c>
    </row>
    <row r="2146" spans="1:2" x14ac:dyDescent="0.25">
      <c r="A2146" s="32">
        <v>42891</v>
      </c>
      <c r="B2146" s="2">
        <v>8.3350000000000009</v>
      </c>
    </row>
    <row r="2147" spans="1:2" x14ac:dyDescent="0.25">
      <c r="A2147" s="32">
        <v>42892</v>
      </c>
      <c r="B2147" s="2">
        <v>8.2899999999999991</v>
      </c>
    </row>
    <row r="2148" spans="1:2" x14ac:dyDescent="0.25">
      <c r="A2148" s="32">
        <v>42893</v>
      </c>
      <c r="B2148" s="2">
        <v>8.3650000000000002</v>
      </c>
    </row>
    <row r="2149" spans="1:2" x14ac:dyDescent="0.25">
      <c r="A2149" s="32">
        <v>42894</v>
      </c>
      <c r="B2149" s="2">
        <v>8.51</v>
      </c>
    </row>
    <row r="2150" spans="1:2" x14ac:dyDescent="0.25">
      <c r="A2150" s="32">
        <v>42895</v>
      </c>
      <c r="B2150" s="2">
        <v>8.59</v>
      </c>
    </row>
    <row r="2151" spans="1:2" x14ac:dyDescent="0.25">
      <c r="A2151" s="32">
        <v>42898</v>
      </c>
      <c r="B2151" s="2">
        <v>8.56</v>
      </c>
    </row>
    <row r="2152" spans="1:2" x14ac:dyDescent="0.25">
      <c r="A2152" s="32">
        <v>42899</v>
      </c>
      <c r="B2152" s="2">
        <v>8.6449999999999996</v>
      </c>
    </row>
    <row r="2153" spans="1:2" x14ac:dyDescent="0.25">
      <c r="A2153" s="32">
        <v>42900</v>
      </c>
      <c r="B2153" s="2">
        <v>8.5250000000000004</v>
      </c>
    </row>
    <row r="2154" spans="1:2" x14ac:dyDescent="0.25">
      <c r="A2154" s="32">
        <v>42901</v>
      </c>
      <c r="B2154" s="2">
        <v>8.49</v>
      </c>
    </row>
    <row r="2155" spans="1:2" x14ac:dyDescent="0.25">
      <c r="A2155" s="32">
        <v>42902</v>
      </c>
      <c r="B2155" s="2">
        <v>8.5549999999999997</v>
      </c>
    </row>
    <row r="2156" spans="1:2" x14ac:dyDescent="0.25">
      <c r="A2156" s="32">
        <v>42905</v>
      </c>
      <c r="B2156" s="2">
        <v>8.56</v>
      </c>
    </row>
    <row r="2157" spans="1:2" x14ac:dyDescent="0.25">
      <c r="A2157" s="32">
        <v>42906</v>
      </c>
      <c r="B2157" s="2">
        <v>8.3949999999999996</v>
      </c>
    </row>
    <row r="2158" spans="1:2" x14ac:dyDescent="0.25">
      <c r="A2158" s="32">
        <v>42907</v>
      </c>
      <c r="B2158" s="2">
        <v>8.4749999999999996</v>
      </c>
    </row>
    <row r="2159" spans="1:2" x14ac:dyDescent="0.25">
      <c r="A2159" s="32">
        <v>42908</v>
      </c>
      <c r="B2159" s="2">
        <v>8.4</v>
      </c>
    </row>
    <row r="2160" spans="1:2" x14ac:dyDescent="0.25">
      <c r="A2160" s="32">
        <v>42909</v>
      </c>
      <c r="B2160" s="2">
        <v>8.2650000000000006</v>
      </c>
    </row>
    <row r="2161" spans="1:2" x14ac:dyDescent="0.25">
      <c r="A2161" s="32">
        <v>42912</v>
      </c>
      <c r="B2161" s="2">
        <v>8.5</v>
      </c>
    </row>
    <row r="2162" spans="1:2" x14ac:dyDescent="0.25">
      <c r="A2162" s="32">
        <v>42913</v>
      </c>
      <c r="B2162" s="2">
        <v>8.48</v>
      </c>
    </row>
    <row r="2163" spans="1:2" x14ac:dyDescent="0.25">
      <c r="A2163" s="32">
        <v>42914</v>
      </c>
      <c r="B2163" s="2">
        <v>8.6950000000000003</v>
      </c>
    </row>
    <row r="2164" spans="1:2" x14ac:dyDescent="0.25">
      <c r="A2164" s="32">
        <v>42915</v>
      </c>
      <c r="B2164" s="2">
        <v>8.6750000000000007</v>
      </c>
    </row>
    <row r="2165" spans="1:2" x14ac:dyDescent="0.25">
      <c r="A2165" s="32">
        <v>42916</v>
      </c>
      <c r="B2165" s="2">
        <v>8.64</v>
      </c>
    </row>
    <row r="2166" spans="1:2" x14ac:dyDescent="0.25">
      <c r="A2166" s="32">
        <v>42919</v>
      </c>
      <c r="B2166" s="2">
        <v>8.8000000000000007</v>
      </c>
    </row>
    <row r="2167" spans="1:2" x14ac:dyDescent="0.25">
      <c r="A2167" s="32">
        <v>42920</v>
      </c>
      <c r="B2167" s="2">
        <v>8.875</v>
      </c>
    </row>
    <row r="2168" spans="1:2" x14ac:dyDescent="0.25">
      <c r="A2168" s="32">
        <v>42921</v>
      </c>
      <c r="B2168" s="2">
        <v>8.7650000000000006</v>
      </c>
    </row>
    <row r="2169" spans="1:2" x14ac:dyDescent="0.25">
      <c r="A2169" s="32">
        <v>42922</v>
      </c>
      <c r="B2169" s="2">
        <v>8.85</v>
      </c>
    </row>
    <row r="2170" spans="1:2" x14ac:dyDescent="0.25">
      <c r="A2170" s="32">
        <v>42923</v>
      </c>
      <c r="B2170" s="2">
        <v>8.82</v>
      </c>
    </row>
    <row r="2171" spans="1:2" x14ac:dyDescent="0.25">
      <c r="A2171" s="32">
        <v>42926</v>
      </c>
      <c r="B2171" s="2">
        <v>8.8699999999999992</v>
      </c>
    </row>
    <row r="2172" spans="1:2" x14ac:dyDescent="0.25">
      <c r="A2172" s="32">
        <v>42927</v>
      </c>
      <c r="B2172" s="2">
        <v>8.98</v>
      </c>
    </row>
    <row r="2173" spans="1:2" x14ac:dyDescent="0.25">
      <c r="A2173" s="32">
        <v>42928</v>
      </c>
      <c r="B2173" s="2">
        <v>9.09</v>
      </c>
    </row>
    <row r="2174" spans="1:2" x14ac:dyDescent="0.25">
      <c r="A2174" s="32">
        <v>42929</v>
      </c>
      <c r="B2174" s="2">
        <v>9.07</v>
      </c>
    </row>
    <row r="2175" spans="1:2" x14ac:dyDescent="0.25">
      <c r="A2175" s="32">
        <v>42930</v>
      </c>
      <c r="B2175" s="2">
        <v>9</v>
      </c>
    </row>
    <row r="2176" spans="1:2" x14ac:dyDescent="0.25">
      <c r="A2176" s="32">
        <v>42933</v>
      </c>
      <c r="B2176" s="2">
        <v>9.0050000000000008</v>
      </c>
    </row>
    <row r="2177" spans="1:2" x14ac:dyDescent="0.25">
      <c r="A2177" s="32">
        <v>42934</v>
      </c>
      <c r="B2177" s="2">
        <v>8.82</v>
      </c>
    </row>
    <row r="2178" spans="1:2" x14ac:dyDescent="0.25">
      <c r="A2178" s="32">
        <v>42935</v>
      </c>
      <c r="B2178" s="2">
        <v>8.82</v>
      </c>
    </row>
    <row r="2179" spans="1:2" x14ac:dyDescent="0.25">
      <c r="A2179" s="32">
        <v>42936</v>
      </c>
      <c r="B2179" s="2">
        <v>8.7850000000000001</v>
      </c>
    </row>
    <row r="2180" spans="1:2" x14ac:dyDescent="0.25">
      <c r="A2180" s="32">
        <v>42937</v>
      </c>
      <c r="B2180" s="2">
        <v>8.6750000000000007</v>
      </c>
    </row>
    <row r="2181" spans="1:2" x14ac:dyDescent="0.25">
      <c r="A2181" s="32">
        <v>42940</v>
      </c>
      <c r="B2181" s="2">
        <v>8.7100000000000009</v>
      </c>
    </row>
    <row r="2182" spans="1:2" x14ac:dyDescent="0.25">
      <c r="A2182" s="32">
        <v>42941</v>
      </c>
      <c r="B2182" s="2">
        <v>8.74</v>
      </c>
    </row>
    <row r="2183" spans="1:2" x14ac:dyDescent="0.25">
      <c r="A2183" s="32">
        <v>42942</v>
      </c>
      <c r="B2183" s="2">
        <v>8.8350000000000009</v>
      </c>
    </row>
    <row r="2184" spans="1:2" x14ac:dyDescent="0.25">
      <c r="A2184" s="32">
        <v>42943</v>
      </c>
      <c r="B2184" s="2">
        <v>8.8949999999999996</v>
      </c>
    </row>
    <row r="2185" spans="1:2" x14ac:dyDescent="0.25">
      <c r="A2185" s="32">
        <v>42944</v>
      </c>
      <c r="B2185" s="2">
        <v>8.8550000000000004</v>
      </c>
    </row>
    <row r="2186" spans="1:2" x14ac:dyDescent="0.25">
      <c r="A2186" s="32">
        <v>42947</v>
      </c>
      <c r="B2186" s="2">
        <v>8.8149999999999995</v>
      </c>
    </row>
    <row r="2187" spans="1:2" x14ac:dyDescent="0.25">
      <c r="A2187" s="32">
        <v>42948</v>
      </c>
      <c r="B2187" s="2">
        <v>8.7949999999999999</v>
      </c>
    </row>
    <row r="2188" spans="1:2" x14ac:dyDescent="0.25">
      <c r="A2188" s="32">
        <v>42949</v>
      </c>
      <c r="B2188" s="2">
        <v>8.8800000000000008</v>
      </c>
    </row>
    <row r="2189" spans="1:2" x14ac:dyDescent="0.25">
      <c r="A2189" s="32">
        <v>42950</v>
      </c>
      <c r="B2189" s="2">
        <v>9.01</v>
      </c>
    </row>
    <row r="2190" spans="1:2" x14ac:dyDescent="0.25">
      <c r="A2190" s="32">
        <v>42951</v>
      </c>
      <c r="B2190" s="2">
        <v>8.9949999999999992</v>
      </c>
    </row>
    <row r="2191" spans="1:2" x14ac:dyDescent="0.25">
      <c r="A2191" s="32">
        <v>42954</v>
      </c>
      <c r="B2191" s="2">
        <v>9.09</v>
      </c>
    </row>
    <row r="2192" spans="1:2" x14ac:dyDescent="0.25">
      <c r="A2192" s="32">
        <v>42955</v>
      </c>
      <c r="B2192" s="2">
        <v>9.0649999999999995</v>
      </c>
    </row>
    <row r="2193" spans="1:2" x14ac:dyDescent="0.25">
      <c r="A2193" s="32">
        <v>42956</v>
      </c>
      <c r="B2193" s="2">
        <v>8.9</v>
      </c>
    </row>
    <row r="2194" spans="1:2" x14ac:dyDescent="0.25">
      <c r="A2194" s="32">
        <v>42957</v>
      </c>
      <c r="B2194" s="2">
        <v>8.8800000000000008</v>
      </c>
    </row>
    <row r="2195" spans="1:2" x14ac:dyDescent="0.25">
      <c r="A2195" s="32">
        <v>42958</v>
      </c>
      <c r="B2195" s="2">
        <v>8.6999999999999993</v>
      </c>
    </row>
    <row r="2196" spans="1:2" x14ac:dyDescent="0.25">
      <c r="A2196" s="32">
        <v>42961</v>
      </c>
      <c r="B2196" s="2">
        <v>8.7949999999999999</v>
      </c>
    </row>
    <row r="2197" spans="1:2" x14ac:dyDescent="0.25">
      <c r="A2197" s="32">
        <v>42963</v>
      </c>
      <c r="B2197" s="2">
        <v>8.875</v>
      </c>
    </row>
    <row r="2198" spans="1:2" x14ac:dyDescent="0.25">
      <c r="A2198" s="32">
        <v>42964</v>
      </c>
      <c r="B2198" s="2">
        <v>8.7799999999999994</v>
      </c>
    </row>
    <row r="2199" spans="1:2" x14ac:dyDescent="0.25">
      <c r="A2199" s="32">
        <v>42965</v>
      </c>
      <c r="B2199" s="2">
        <v>8.8550000000000004</v>
      </c>
    </row>
    <row r="2200" spans="1:2" x14ac:dyDescent="0.25">
      <c r="A2200" s="32">
        <v>42968</v>
      </c>
      <c r="B2200" s="2">
        <v>8.77</v>
      </c>
    </row>
    <row r="2201" spans="1:2" x14ac:dyDescent="0.25">
      <c r="A2201" s="32">
        <v>42969</v>
      </c>
      <c r="B2201" s="2">
        <v>8.6850000000000005</v>
      </c>
    </row>
    <row r="2202" spans="1:2" x14ac:dyDescent="0.25">
      <c r="A2202" s="32">
        <v>42970</v>
      </c>
      <c r="B2202" s="2">
        <v>8.56</v>
      </c>
    </row>
    <row r="2203" spans="1:2" x14ac:dyDescent="0.25">
      <c r="A2203" s="32">
        <v>42971</v>
      </c>
      <c r="B2203" s="2">
        <v>8.59</v>
      </c>
    </row>
    <row r="2204" spans="1:2" x14ac:dyDescent="0.25">
      <c r="A2204" s="32">
        <v>42972</v>
      </c>
      <c r="B2204" s="2">
        <v>8.5350000000000001</v>
      </c>
    </row>
    <row r="2205" spans="1:2" x14ac:dyDescent="0.25">
      <c r="A2205" s="32">
        <v>42975</v>
      </c>
      <c r="B2205" s="2">
        <v>8.59</v>
      </c>
    </row>
    <row r="2206" spans="1:2" x14ac:dyDescent="0.25">
      <c r="A2206" s="32">
        <v>42976</v>
      </c>
      <c r="B2206" s="2">
        <v>8.4649999999999999</v>
      </c>
    </row>
    <row r="2207" spans="1:2" x14ac:dyDescent="0.25">
      <c r="A2207" s="32">
        <v>42977</v>
      </c>
      <c r="B2207" s="2">
        <v>8.5050000000000008</v>
      </c>
    </row>
    <row r="2208" spans="1:2" x14ac:dyDescent="0.25">
      <c r="A2208" s="32">
        <v>42978</v>
      </c>
      <c r="B2208" s="2">
        <v>8.6199999999999992</v>
      </c>
    </row>
    <row r="2209" spans="1:2" x14ac:dyDescent="0.25">
      <c r="A2209" s="32">
        <v>42979</v>
      </c>
      <c r="B2209" s="2">
        <v>8.64</v>
      </c>
    </row>
    <row r="2210" spans="1:2" x14ac:dyDescent="0.25">
      <c r="A2210" s="32">
        <v>42982</v>
      </c>
      <c r="B2210" s="2">
        <v>8.6199999999999992</v>
      </c>
    </row>
    <row r="2211" spans="1:2" x14ac:dyDescent="0.25">
      <c r="A2211" s="32">
        <v>42983</v>
      </c>
      <c r="B2211" s="2">
        <v>8.4749999999999996</v>
      </c>
    </row>
    <row r="2212" spans="1:2" x14ac:dyDescent="0.25">
      <c r="A2212" s="32">
        <v>42984</v>
      </c>
      <c r="B2212" s="2">
        <v>8.44</v>
      </c>
    </row>
    <row r="2213" spans="1:2" x14ac:dyDescent="0.25">
      <c r="A2213" s="32">
        <v>42985</v>
      </c>
      <c r="B2213" s="2">
        <v>8.33</v>
      </c>
    </row>
    <row r="2214" spans="1:2" x14ac:dyDescent="0.25">
      <c r="A2214" s="32">
        <v>42986</v>
      </c>
      <c r="B2214" s="2">
        <v>8.4550000000000001</v>
      </c>
    </row>
    <row r="2215" spans="1:2" x14ac:dyDescent="0.25">
      <c r="A2215" s="32">
        <v>42989</v>
      </c>
      <c r="B2215" s="2">
        <v>8.64</v>
      </c>
    </row>
    <row r="2216" spans="1:2" x14ac:dyDescent="0.25">
      <c r="A2216" s="32">
        <v>42990</v>
      </c>
      <c r="B2216" s="2">
        <v>8.7249999999999996</v>
      </c>
    </row>
    <row r="2217" spans="1:2" x14ac:dyDescent="0.25">
      <c r="A2217" s="32">
        <v>42991</v>
      </c>
      <c r="B2217" s="2">
        <v>8.7799999999999994</v>
      </c>
    </row>
    <row r="2218" spans="1:2" x14ac:dyDescent="0.25">
      <c r="A2218" s="32">
        <v>42992</v>
      </c>
      <c r="B2218" s="2">
        <v>8.83</v>
      </c>
    </row>
    <row r="2219" spans="1:2" x14ac:dyDescent="0.25">
      <c r="A2219" s="32">
        <v>42993</v>
      </c>
      <c r="B2219" s="2">
        <v>8.7349999999999994</v>
      </c>
    </row>
    <row r="2220" spans="1:2" x14ac:dyDescent="0.25">
      <c r="A2220" s="32">
        <v>42996</v>
      </c>
      <c r="B2220" s="2">
        <v>8.75</v>
      </c>
    </row>
    <row r="2221" spans="1:2" x14ac:dyDescent="0.25">
      <c r="A2221" s="32">
        <v>42997</v>
      </c>
      <c r="B2221" s="2">
        <v>8.8000000000000007</v>
      </c>
    </row>
    <row r="2222" spans="1:2" x14ac:dyDescent="0.25">
      <c r="A2222" s="32">
        <v>42998</v>
      </c>
      <c r="B2222" s="2">
        <v>8.86</v>
      </c>
    </row>
    <row r="2223" spans="1:2" x14ac:dyDescent="0.25">
      <c r="A2223" s="32">
        <v>42999</v>
      </c>
      <c r="B2223" s="2">
        <v>8.99</v>
      </c>
    </row>
    <row r="2224" spans="1:2" x14ac:dyDescent="0.25">
      <c r="A2224" s="32">
        <v>43000</v>
      </c>
      <c r="B2224" s="2">
        <v>8.9700000000000006</v>
      </c>
    </row>
    <row r="2225" spans="1:2" x14ac:dyDescent="0.25">
      <c r="A2225" s="32">
        <v>43003</v>
      </c>
      <c r="B2225" s="2">
        <v>8.8949999999999996</v>
      </c>
    </row>
    <row r="2226" spans="1:2" x14ac:dyDescent="0.25">
      <c r="A2226" s="32">
        <v>43004</v>
      </c>
      <c r="B2226" s="2">
        <v>8.92</v>
      </c>
    </row>
    <row r="2227" spans="1:2" x14ac:dyDescent="0.25">
      <c r="A2227" s="32">
        <v>43005</v>
      </c>
      <c r="B2227" s="2">
        <v>9.07</v>
      </c>
    </row>
    <row r="2228" spans="1:2" x14ac:dyDescent="0.25">
      <c r="A2228" s="32">
        <v>43006</v>
      </c>
      <c r="B2228" s="2">
        <v>9.0299999999999994</v>
      </c>
    </row>
    <row r="2229" spans="1:2" x14ac:dyDescent="0.25">
      <c r="A2229" s="32">
        <v>43007</v>
      </c>
      <c r="B2229" s="2">
        <v>9.08</v>
      </c>
    </row>
    <row r="2230" spans="1:2" x14ac:dyDescent="0.25">
      <c r="A2230" s="32">
        <v>43010</v>
      </c>
      <c r="B2230" s="2">
        <v>9.1</v>
      </c>
    </row>
    <row r="2231" spans="1:2" x14ac:dyDescent="0.25">
      <c r="A2231" s="32">
        <v>43011</v>
      </c>
      <c r="B2231" s="2">
        <v>9.1349999999999998</v>
      </c>
    </row>
    <row r="2232" spans="1:2" x14ac:dyDescent="0.25">
      <c r="A2232" s="32">
        <v>43012</v>
      </c>
      <c r="B2232" s="2">
        <v>9.06</v>
      </c>
    </row>
    <row r="2233" spans="1:2" x14ac:dyDescent="0.25">
      <c r="A2233" s="32">
        <v>43013</v>
      </c>
      <c r="B2233" s="2">
        <v>9.06</v>
      </c>
    </row>
    <row r="2234" spans="1:2" x14ac:dyDescent="0.25">
      <c r="A2234" s="32">
        <v>43014</v>
      </c>
      <c r="B2234" s="2">
        <v>9.15</v>
      </c>
    </row>
    <row r="2235" spans="1:2" x14ac:dyDescent="0.25">
      <c r="A2235" s="32">
        <v>43017</v>
      </c>
      <c r="B2235" s="2">
        <v>9.1999999999999993</v>
      </c>
    </row>
    <row r="2236" spans="1:2" x14ac:dyDescent="0.25">
      <c r="A2236" s="32">
        <v>43018</v>
      </c>
      <c r="B2236" s="2">
        <v>9.1150000000000002</v>
      </c>
    </row>
    <row r="2237" spans="1:2" x14ac:dyDescent="0.25">
      <c r="A2237" s="32">
        <v>43019</v>
      </c>
      <c r="B2237" s="2">
        <v>9.16</v>
      </c>
    </row>
    <row r="2238" spans="1:2" x14ac:dyDescent="0.25">
      <c r="A2238" s="32">
        <v>43020</v>
      </c>
      <c r="B2238" s="2">
        <v>9.1150000000000002</v>
      </c>
    </row>
    <row r="2239" spans="1:2" x14ac:dyDescent="0.25">
      <c r="A2239" s="32">
        <v>43021</v>
      </c>
      <c r="B2239" s="2">
        <v>9.1199999999999992</v>
      </c>
    </row>
    <row r="2240" spans="1:2" x14ac:dyDescent="0.25">
      <c r="A2240" s="32">
        <v>43024</v>
      </c>
      <c r="B2240" s="2">
        <v>9.1649999999999991</v>
      </c>
    </row>
    <row r="2241" spans="1:2" x14ac:dyDescent="0.25">
      <c r="A2241" s="32">
        <v>43025</v>
      </c>
      <c r="B2241" s="2">
        <v>9.17</v>
      </c>
    </row>
    <row r="2242" spans="1:2" x14ac:dyDescent="0.25">
      <c r="A2242" s="32">
        <v>43026</v>
      </c>
      <c r="B2242" s="2">
        <v>9.1549999999999994</v>
      </c>
    </row>
    <row r="2243" spans="1:2" x14ac:dyDescent="0.25">
      <c r="A2243" s="32">
        <v>43027</v>
      </c>
      <c r="B2243" s="2">
        <v>9.0649999999999995</v>
      </c>
    </row>
    <row r="2244" spans="1:2" x14ac:dyDescent="0.25">
      <c r="A2244" s="32">
        <v>43028</v>
      </c>
      <c r="B2244" s="2">
        <v>9.125</v>
      </c>
    </row>
    <row r="2245" spans="1:2" x14ac:dyDescent="0.25">
      <c r="A2245" s="32">
        <v>43031</v>
      </c>
      <c r="B2245" s="2">
        <v>9.1</v>
      </c>
    </row>
    <row r="2246" spans="1:2" x14ac:dyDescent="0.25">
      <c r="A2246" s="32">
        <v>43032</v>
      </c>
      <c r="B2246" s="2">
        <v>9.19</v>
      </c>
    </row>
    <row r="2247" spans="1:2" x14ac:dyDescent="0.25">
      <c r="A2247" s="32">
        <v>43033</v>
      </c>
      <c r="B2247" s="2">
        <v>9.17</v>
      </c>
    </row>
    <row r="2248" spans="1:2" x14ac:dyDescent="0.25">
      <c r="A2248" s="32">
        <v>43034</v>
      </c>
      <c r="B2248" s="2">
        <v>9.23</v>
      </c>
    </row>
    <row r="2249" spans="1:2" x14ac:dyDescent="0.25">
      <c r="A2249" s="32">
        <v>43035</v>
      </c>
      <c r="B2249" s="2">
        <v>9.3849999999999998</v>
      </c>
    </row>
    <row r="2250" spans="1:2" x14ac:dyDescent="0.25">
      <c r="A2250" s="32">
        <v>43038</v>
      </c>
      <c r="B2250" s="2">
        <v>9.48</v>
      </c>
    </row>
    <row r="2251" spans="1:2" x14ac:dyDescent="0.25">
      <c r="A2251" s="32">
        <v>43039</v>
      </c>
      <c r="B2251" s="2">
        <v>9.41</v>
      </c>
    </row>
    <row r="2252" spans="1:2" x14ac:dyDescent="0.25">
      <c r="A2252" s="32">
        <v>43040</v>
      </c>
      <c r="B2252" s="2">
        <v>9.5399999999999991</v>
      </c>
    </row>
    <row r="2253" spans="1:2" x14ac:dyDescent="0.25">
      <c r="A2253" s="32">
        <v>43041</v>
      </c>
      <c r="B2253" s="2">
        <v>9.64</v>
      </c>
    </row>
    <row r="2254" spans="1:2" x14ac:dyDescent="0.25">
      <c r="A2254" s="32">
        <v>43042</v>
      </c>
      <c r="B2254" s="2">
        <v>9.6</v>
      </c>
    </row>
    <row r="2255" spans="1:2" x14ac:dyDescent="0.25">
      <c r="A2255" s="32">
        <v>43045</v>
      </c>
      <c r="B2255" s="2">
        <v>9.57</v>
      </c>
    </row>
    <row r="2256" spans="1:2" x14ac:dyDescent="0.25">
      <c r="A2256" s="32">
        <v>43046</v>
      </c>
      <c r="B2256" s="2">
        <v>9.69</v>
      </c>
    </row>
    <row r="2257" spans="1:2" x14ac:dyDescent="0.25">
      <c r="A2257" s="32">
        <v>43047</v>
      </c>
      <c r="B2257" s="2">
        <v>9.68</v>
      </c>
    </row>
    <row r="2258" spans="1:2" x14ac:dyDescent="0.25">
      <c r="A2258" s="32">
        <v>43048</v>
      </c>
      <c r="B2258" s="2">
        <v>9.8849999999999998</v>
      </c>
    </row>
    <row r="2259" spans="1:2" x14ac:dyDescent="0.25">
      <c r="A2259" s="32">
        <v>43049</v>
      </c>
      <c r="B2259" s="2">
        <v>9.86</v>
      </c>
    </row>
    <row r="2260" spans="1:2" x14ac:dyDescent="0.25">
      <c r="A2260" s="32">
        <v>43052</v>
      </c>
      <c r="B2260" s="2">
        <v>9.875</v>
      </c>
    </row>
    <row r="2261" spans="1:2" x14ac:dyDescent="0.25">
      <c r="A2261" s="32">
        <v>43053</v>
      </c>
      <c r="B2261" s="2">
        <v>9.8650000000000002</v>
      </c>
    </row>
    <row r="2262" spans="1:2" x14ac:dyDescent="0.25">
      <c r="A2262" s="32">
        <v>43054</v>
      </c>
      <c r="B2262" s="2">
        <v>9.8350000000000009</v>
      </c>
    </row>
    <row r="2263" spans="1:2" x14ac:dyDescent="0.25">
      <c r="A2263" s="32">
        <v>43055</v>
      </c>
      <c r="B2263" s="2">
        <v>9.8849999999999998</v>
      </c>
    </row>
    <row r="2264" spans="1:2" x14ac:dyDescent="0.25">
      <c r="A2264" s="32">
        <v>43056</v>
      </c>
      <c r="B2264" s="2">
        <v>9.875</v>
      </c>
    </row>
    <row r="2265" spans="1:2" x14ac:dyDescent="0.25">
      <c r="A2265" s="32">
        <v>43059</v>
      </c>
      <c r="B2265" s="2">
        <v>9.5150000000000006</v>
      </c>
    </row>
    <row r="2266" spans="1:2" x14ac:dyDescent="0.25">
      <c r="A2266" s="32">
        <v>43060</v>
      </c>
      <c r="B2266" s="2">
        <v>9.3650000000000002</v>
      </c>
    </row>
    <row r="2267" spans="1:2" x14ac:dyDescent="0.25">
      <c r="A2267" s="32">
        <v>43061</v>
      </c>
      <c r="B2267" s="2">
        <v>9.48</v>
      </c>
    </row>
    <row r="2268" spans="1:2" x14ac:dyDescent="0.25">
      <c r="A2268" s="32">
        <v>43062</v>
      </c>
      <c r="B2268" s="2">
        <v>9.4749999999999996</v>
      </c>
    </row>
    <row r="2269" spans="1:2" x14ac:dyDescent="0.25">
      <c r="A2269" s="32">
        <v>43063</v>
      </c>
      <c r="B2269" s="2">
        <v>9.42</v>
      </c>
    </row>
    <row r="2270" spans="1:2" x14ac:dyDescent="0.25">
      <c r="A2270" s="32">
        <v>43066</v>
      </c>
      <c r="B2270" s="2">
        <v>9.31</v>
      </c>
    </row>
    <row r="2271" spans="1:2" x14ac:dyDescent="0.25">
      <c r="A2271" s="32">
        <v>43067</v>
      </c>
      <c r="B2271" s="2">
        <v>9.42</v>
      </c>
    </row>
    <row r="2272" spans="1:2" x14ac:dyDescent="0.25">
      <c r="A2272" s="32">
        <v>43068</v>
      </c>
      <c r="B2272" s="2">
        <v>9.51</v>
      </c>
    </row>
    <row r="2273" spans="1:2" x14ac:dyDescent="0.25">
      <c r="A2273" s="32">
        <v>43069</v>
      </c>
      <c r="B2273" s="2">
        <v>9.6950000000000003</v>
      </c>
    </row>
    <row r="2274" spans="1:2" x14ac:dyDescent="0.25">
      <c r="A2274" s="32">
        <v>43070</v>
      </c>
      <c r="B2274" s="2">
        <v>9.6</v>
      </c>
    </row>
    <row r="2275" spans="1:2" x14ac:dyDescent="0.25">
      <c r="A2275" s="32">
        <v>43073</v>
      </c>
      <c r="B2275" s="2">
        <v>9.67</v>
      </c>
    </row>
    <row r="2276" spans="1:2" x14ac:dyDescent="0.25">
      <c r="A2276" s="32">
        <v>43074</v>
      </c>
      <c r="B2276" s="2">
        <v>9.61</v>
      </c>
    </row>
    <row r="2277" spans="1:2" x14ac:dyDescent="0.25">
      <c r="A2277" s="32">
        <v>43075</v>
      </c>
      <c r="B2277" s="2">
        <v>9.4649999999999999</v>
      </c>
    </row>
    <row r="2278" spans="1:2" x14ac:dyDescent="0.25">
      <c r="A2278" s="32">
        <v>43076</v>
      </c>
      <c r="B2278" s="2">
        <v>9.5</v>
      </c>
    </row>
    <row r="2279" spans="1:2" x14ac:dyDescent="0.25">
      <c r="A2279" s="32">
        <v>43077</v>
      </c>
      <c r="B2279" s="2">
        <v>9.625</v>
      </c>
    </row>
    <row r="2280" spans="1:2" x14ac:dyDescent="0.25">
      <c r="A2280" s="32">
        <v>43080</v>
      </c>
      <c r="B2280" s="2">
        <v>9.59</v>
      </c>
    </row>
    <row r="2281" spans="1:2" x14ac:dyDescent="0.25">
      <c r="A2281" s="32">
        <v>43081</v>
      </c>
      <c r="B2281" s="2">
        <v>9.5950000000000006</v>
      </c>
    </row>
    <row r="2282" spans="1:2" x14ac:dyDescent="0.25">
      <c r="A2282" s="32">
        <v>43082</v>
      </c>
      <c r="B2282" s="2">
        <v>9.5500000000000007</v>
      </c>
    </row>
    <row r="2283" spans="1:2" x14ac:dyDescent="0.25">
      <c r="A2283" s="32">
        <v>43083</v>
      </c>
      <c r="B2283" s="2">
        <v>9.5399999999999991</v>
      </c>
    </row>
    <row r="2284" spans="1:2" x14ac:dyDescent="0.25">
      <c r="A2284" s="32">
        <v>43084</v>
      </c>
      <c r="B2284" s="2">
        <v>9.35</v>
      </c>
    </row>
    <row r="2285" spans="1:2" x14ac:dyDescent="0.25">
      <c r="A2285" s="32">
        <v>43087</v>
      </c>
      <c r="B2285" s="2">
        <v>9.4</v>
      </c>
    </row>
    <row r="2286" spans="1:2" x14ac:dyDescent="0.25">
      <c r="A2286" s="32">
        <v>43088</v>
      </c>
      <c r="B2286" s="2">
        <v>9.4450000000000003</v>
      </c>
    </row>
    <row r="2287" spans="1:2" x14ac:dyDescent="0.25">
      <c r="A2287" s="32">
        <v>43089</v>
      </c>
      <c r="B2287" s="2">
        <v>9.48</v>
      </c>
    </row>
    <row r="2288" spans="1:2" x14ac:dyDescent="0.25">
      <c r="A2288" s="32">
        <v>43090</v>
      </c>
      <c r="B2288" s="2">
        <v>9.5299999999999994</v>
      </c>
    </row>
    <row r="2289" spans="1:2" x14ac:dyDescent="0.25">
      <c r="A2289" s="32">
        <v>43091</v>
      </c>
      <c r="B2289" s="2">
        <v>9.5399999999999991</v>
      </c>
    </row>
    <row r="2290" spans="1:2" x14ac:dyDescent="0.25">
      <c r="A2290" s="32">
        <v>43096</v>
      </c>
      <c r="B2290" s="2">
        <v>9.5649999999999995</v>
      </c>
    </row>
    <row r="2291" spans="1:2" x14ac:dyDescent="0.25">
      <c r="A2291" s="32">
        <v>43097</v>
      </c>
      <c r="B2291" s="2">
        <v>9.56</v>
      </c>
    </row>
    <row r="2292" spans="1:2" x14ac:dyDescent="0.25">
      <c r="A2292" s="32">
        <v>43098</v>
      </c>
      <c r="B2292" s="2">
        <v>9.4600000000000009</v>
      </c>
    </row>
    <row r="2293" spans="1:2" x14ac:dyDescent="0.25">
      <c r="A2293" s="32">
        <v>43102</v>
      </c>
      <c r="B2293" s="2">
        <v>9.42</v>
      </c>
    </row>
    <row r="2294" spans="1:2" x14ac:dyDescent="0.25">
      <c r="A2294" s="32">
        <v>43103</v>
      </c>
      <c r="B2294" s="2">
        <v>9.3849999999999998</v>
      </c>
    </row>
    <row r="2295" spans="1:2" x14ac:dyDescent="0.25">
      <c r="A2295" s="32">
        <v>43104</v>
      </c>
      <c r="B2295" s="2">
        <v>9.4749999999999996</v>
      </c>
    </row>
    <row r="2296" spans="1:2" x14ac:dyDescent="0.25">
      <c r="A2296" s="32">
        <v>43105</v>
      </c>
      <c r="B2296" s="2">
        <v>9.5150000000000006</v>
      </c>
    </row>
    <row r="2297" spans="1:2" x14ac:dyDescent="0.25">
      <c r="A2297" s="32">
        <v>43108</v>
      </c>
      <c r="B2297" s="2">
        <v>9.59</v>
      </c>
    </row>
    <row r="2298" spans="1:2" x14ac:dyDescent="0.25">
      <c r="A2298" s="32">
        <v>43109</v>
      </c>
      <c r="B2298" s="2">
        <v>9.5749999999999993</v>
      </c>
    </row>
    <row r="2299" spans="1:2" x14ac:dyDescent="0.25">
      <c r="A2299" s="32">
        <v>43110</v>
      </c>
      <c r="B2299" s="2">
        <v>9.8000000000000007</v>
      </c>
    </row>
    <row r="2300" spans="1:2" x14ac:dyDescent="0.25">
      <c r="A2300" s="32">
        <v>43111</v>
      </c>
      <c r="B2300" s="2">
        <v>9.8000000000000007</v>
      </c>
    </row>
    <row r="2301" spans="1:2" x14ac:dyDescent="0.25">
      <c r="A2301" s="32">
        <v>43112</v>
      </c>
      <c r="B2301" s="2">
        <v>9.77</v>
      </c>
    </row>
    <row r="2302" spans="1:2" x14ac:dyDescent="0.25">
      <c r="A2302" s="32">
        <v>43115</v>
      </c>
      <c r="B2302" s="2">
        <v>9.7750000000000004</v>
      </c>
    </row>
    <row r="2303" spans="1:2" x14ac:dyDescent="0.25">
      <c r="A2303" s="32">
        <v>43116</v>
      </c>
      <c r="B2303" s="2">
        <v>9.76</v>
      </c>
    </row>
    <row r="2304" spans="1:2" x14ac:dyDescent="0.25">
      <c r="A2304" s="32">
        <v>43117</v>
      </c>
      <c r="B2304" s="2">
        <v>9.7899999999999991</v>
      </c>
    </row>
    <row r="2305" spans="1:2" x14ac:dyDescent="0.25">
      <c r="A2305" s="32">
        <v>43118</v>
      </c>
      <c r="B2305" s="2">
        <v>9.9149999999999991</v>
      </c>
    </row>
    <row r="2306" spans="1:2" x14ac:dyDescent="0.25">
      <c r="A2306" s="32">
        <v>43119</v>
      </c>
      <c r="B2306" s="2">
        <v>9.9550000000000001</v>
      </c>
    </row>
    <row r="2307" spans="1:2" x14ac:dyDescent="0.25">
      <c r="A2307" s="32">
        <v>43122</v>
      </c>
      <c r="B2307" s="2">
        <v>10.039999999999999</v>
      </c>
    </row>
    <row r="2308" spans="1:2" x14ac:dyDescent="0.25">
      <c r="A2308" s="32">
        <v>43123</v>
      </c>
      <c r="B2308" s="2">
        <v>9.9749999999999996</v>
      </c>
    </row>
    <row r="2309" spans="1:2" x14ac:dyDescent="0.25">
      <c r="A2309" s="32">
        <v>43124</v>
      </c>
      <c r="B2309" s="2">
        <v>9.9700000000000006</v>
      </c>
    </row>
    <row r="2310" spans="1:2" x14ac:dyDescent="0.25">
      <c r="A2310" s="32">
        <v>43125</v>
      </c>
      <c r="B2310" s="2">
        <v>9.9049999999999994</v>
      </c>
    </row>
    <row r="2311" spans="1:2" x14ac:dyDescent="0.25">
      <c r="A2311" s="32">
        <v>43126</v>
      </c>
      <c r="B2311" s="2">
        <v>9.83</v>
      </c>
    </row>
    <row r="2312" spans="1:2" x14ac:dyDescent="0.25">
      <c r="A2312" s="32">
        <v>43129</v>
      </c>
      <c r="B2312" s="2">
        <v>9.8539999999999992</v>
      </c>
    </row>
    <row r="2313" spans="1:2" x14ac:dyDescent="0.25">
      <c r="A2313" s="32">
        <v>43130</v>
      </c>
      <c r="B2313" s="2">
        <v>9.7200000000000006</v>
      </c>
    </row>
    <row r="2314" spans="1:2" x14ac:dyDescent="0.25">
      <c r="A2314" s="32">
        <v>43131</v>
      </c>
      <c r="B2314" s="2">
        <v>9.7919999999999998</v>
      </c>
    </row>
    <row r="2315" spans="1:2" x14ac:dyDescent="0.25">
      <c r="A2315" s="32">
        <v>43132</v>
      </c>
      <c r="B2315" s="2">
        <v>9.8879999999999999</v>
      </c>
    </row>
    <row r="2316" spans="1:2" x14ac:dyDescent="0.25">
      <c r="A2316" s="32">
        <v>43133</v>
      </c>
      <c r="B2316" s="2">
        <v>9.9459999999999997</v>
      </c>
    </row>
    <row r="2317" spans="1:2" x14ac:dyDescent="0.25">
      <c r="A2317" s="32">
        <v>43136</v>
      </c>
      <c r="B2317" s="2">
        <v>9.8580000000000005</v>
      </c>
    </row>
    <row r="2318" spans="1:2" x14ac:dyDescent="0.25">
      <c r="A2318" s="32">
        <v>43137</v>
      </c>
      <c r="B2318" s="2">
        <v>9.57</v>
      </c>
    </row>
    <row r="2319" spans="1:2" x14ac:dyDescent="0.25">
      <c r="A2319" s="32">
        <v>43138</v>
      </c>
      <c r="B2319" s="2">
        <v>9.7259999999999991</v>
      </c>
    </row>
    <row r="2320" spans="1:2" x14ac:dyDescent="0.25">
      <c r="A2320" s="32">
        <v>43139</v>
      </c>
      <c r="B2320" s="2">
        <v>9.65</v>
      </c>
    </row>
    <row r="2321" spans="1:2" x14ac:dyDescent="0.25">
      <c r="A2321" s="32">
        <v>43140</v>
      </c>
      <c r="B2321" s="2">
        <v>9.718</v>
      </c>
    </row>
    <row r="2322" spans="1:2" x14ac:dyDescent="0.25">
      <c r="A2322" s="32">
        <v>43143</v>
      </c>
      <c r="B2322" s="2">
        <v>9.8000000000000007</v>
      </c>
    </row>
    <row r="2323" spans="1:2" x14ac:dyDescent="0.25">
      <c r="A2323" s="32">
        <v>43144</v>
      </c>
      <c r="B2323" s="2">
        <v>9.7959999999999994</v>
      </c>
    </row>
    <row r="2324" spans="1:2" x14ac:dyDescent="0.25">
      <c r="A2324" s="32">
        <v>43145</v>
      </c>
      <c r="B2324" s="2">
        <v>9.718</v>
      </c>
    </row>
    <row r="2325" spans="1:2" x14ac:dyDescent="0.25">
      <c r="A2325" s="32">
        <v>43146</v>
      </c>
      <c r="B2325" s="2">
        <v>9.8559999999999999</v>
      </c>
    </row>
    <row r="2326" spans="1:2" x14ac:dyDescent="0.25">
      <c r="A2326" s="32">
        <v>43147</v>
      </c>
      <c r="B2326" s="2">
        <v>9.8819999999999997</v>
      </c>
    </row>
    <row r="2327" spans="1:2" x14ac:dyDescent="0.25">
      <c r="A2327" s="32">
        <v>43150</v>
      </c>
      <c r="B2327" s="2">
        <v>9.8420000000000005</v>
      </c>
    </row>
    <row r="2328" spans="1:2" x14ac:dyDescent="0.25">
      <c r="A2328" s="32">
        <v>43151</v>
      </c>
      <c r="B2328" s="2">
        <v>9.8740000000000006</v>
      </c>
    </row>
    <row r="2329" spans="1:2" x14ac:dyDescent="0.25">
      <c r="A2329" s="32">
        <v>43152</v>
      </c>
      <c r="B2329" s="2">
        <v>9.8919999999999995</v>
      </c>
    </row>
    <row r="2330" spans="1:2" x14ac:dyDescent="0.25">
      <c r="A2330" s="32">
        <v>43153</v>
      </c>
      <c r="B2330" s="2">
        <v>9.7720000000000002</v>
      </c>
    </row>
    <row r="2331" spans="1:2" x14ac:dyDescent="0.25">
      <c r="A2331" s="32">
        <v>43154</v>
      </c>
      <c r="B2331" s="2">
        <v>9.8659999999999997</v>
      </c>
    </row>
    <row r="2332" spans="1:2" x14ac:dyDescent="0.25">
      <c r="A2332" s="32">
        <v>43157</v>
      </c>
      <c r="B2332" s="2">
        <v>9.8859999999999992</v>
      </c>
    </row>
    <row r="2333" spans="1:2" x14ac:dyDescent="0.25">
      <c r="A2333" s="32">
        <v>43158</v>
      </c>
      <c r="B2333" s="2">
        <v>9.94</v>
      </c>
    </row>
    <row r="2334" spans="1:2" x14ac:dyDescent="0.25">
      <c r="A2334" s="32">
        <v>43159</v>
      </c>
      <c r="B2334" s="2">
        <v>9.8539999999999992</v>
      </c>
    </row>
    <row r="2335" spans="1:2" x14ac:dyDescent="0.25">
      <c r="A2335" s="32">
        <v>43160</v>
      </c>
      <c r="B2335" s="2">
        <v>9.8019999999999996</v>
      </c>
    </row>
    <row r="2336" spans="1:2" x14ac:dyDescent="0.25">
      <c r="A2336" s="32">
        <v>43161</v>
      </c>
      <c r="B2336" s="2">
        <v>9.66</v>
      </c>
    </row>
    <row r="2337" spans="1:2" x14ac:dyDescent="0.25">
      <c r="A2337" s="32">
        <v>43164</v>
      </c>
      <c r="B2337" s="2">
        <v>9.4819999999999993</v>
      </c>
    </row>
    <row r="2338" spans="1:2" x14ac:dyDescent="0.25">
      <c r="A2338" s="32">
        <v>43165</v>
      </c>
      <c r="B2338" s="2">
        <v>9.6359999999999992</v>
      </c>
    </row>
    <row r="2339" spans="1:2" x14ac:dyDescent="0.25">
      <c r="A2339" s="32">
        <v>43166</v>
      </c>
      <c r="B2339" s="2">
        <v>9.8000000000000007</v>
      </c>
    </row>
    <row r="2340" spans="1:2" x14ac:dyDescent="0.25">
      <c r="A2340" s="32">
        <v>43167</v>
      </c>
      <c r="B2340" s="2">
        <v>9.84</v>
      </c>
    </row>
    <row r="2341" spans="1:2" x14ac:dyDescent="0.25">
      <c r="A2341" s="32">
        <v>43168</v>
      </c>
      <c r="B2341" s="2">
        <v>9.8819999999999997</v>
      </c>
    </row>
    <row r="2342" spans="1:2" x14ac:dyDescent="0.25">
      <c r="A2342" s="32">
        <v>43171</v>
      </c>
      <c r="B2342" s="2">
        <v>9.8719999999999999</v>
      </c>
    </row>
    <row r="2343" spans="1:2" x14ac:dyDescent="0.25">
      <c r="A2343" s="32">
        <v>43172</v>
      </c>
      <c r="B2343" s="2">
        <v>9.8620000000000001</v>
      </c>
    </row>
    <row r="2344" spans="1:2" x14ac:dyDescent="0.25">
      <c r="A2344" s="32">
        <v>43173</v>
      </c>
      <c r="B2344" s="2">
        <v>9.7680000000000007</v>
      </c>
    </row>
    <row r="2345" spans="1:2" x14ac:dyDescent="0.25">
      <c r="A2345" s="32">
        <v>43174</v>
      </c>
      <c r="B2345" s="2">
        <v>9.81</v>
      </c>
    </row>
    <row r="2346" spans="1:2" x14ac:dyDescent="0.25">
      <c r="A2346" s="32">
        <v>43175</v>
      </c>
      <c r="B2346" s="2">
        <v>9.86</v>
      </c>
    </row>
    <row r="2347" spans="1:2" x14ac:dyDescent="0.25">
      <c r="A2347" s="32">
        <v>43178</v>
      </c>
      <c r="B2347" s="2">
        <v>9.782</v>
      </c>
    </row>
    <row r="2348" spans="1:2" x14ac:dyDescent="0.25">
      <c r="A2348" s="32">
        <v>43179</v>
      </c>
      <c r="B2348" s="2">
        <v>9.89</v>
      </c>
    </row>
    <row r="2349" spans="1:2" x14ac:dyDescent="0.25">
      <c r="A2349" s="32">
        <v>43180</v>
      </c>
      <c r="B2349" s="2">
        <v>9.89</v>
      </c>
    </row>
    <row r="2350" spans="1:2" x14ac:dyDescent="0.25">
      <c r="A2350" s="32">
        <v>43181</v>
      </c>
      <c r="B2350" s="2">
        <v>9.7959999999999994</v>
      </c>
    </row>
    <row r="2351" spans="1:2" x14ac:dyDescent="0.25">
      <c r="A2351" s="32">
        <v>43182</v>
      </c>
      <c r="B2351" s="2">
        <v>9.7319999999999993</v>
      </c>
    </row>
    <row r="2352" spans="1:2" x14ac:dyDescent="0.25">
      <c r="A2352" s="32">
        <v>43185</v>
      </c>
      <c r="B2352" s="2">
        <v>9.5540000000000003</v>
      </c>
    </row>
    <row r="2353" spans="1:2" x14ac:dyDescent="0.25">
      <c r="A2353" s="32">
        <v>43186</v>
      </c>
      <c r="B2353" s="2">
        <v>9.4920000000000009</v>
      </c>
    </row>
    <row r="2354" spans="1:2" x14ac:dyDescent="0.25">
      <c r="A2354" s="32">
        <v>43187</v>
      </c>
      <c r="B2354" s="2">
        <v>9.5380000000000003</v>
      </c>
    </row>
    <row r="2355" spans="1:2" x14ac:dyDescent="0.25">
      <c r="A2355" s="32">
        <v>43188</v>
      </c>
      <c r="B2355" s="2">
        <v>9.548</v>
      </c>
    </row>
    <row r="2356" spans="1:2" x14ac:dyDescent="0.25">
      <c r="A2356" s="32">
        <v>43193</v>
      </c>
      <c r="B2356" s="2">
        <v>9.5860000000000003</v>
      </c>
    </row>
    <row r="2357" spans="1:2" x14ac:dyDescent="0.25">
      <c r="A2357" s="32">
        <v>43194</v>
      </c>
      <c r="B2357" s="2">
        <v>9.59</v>
      </c>
    </row>
    <row r="2358" spans="1:2" x14ac:dyDescent="0.25">
      <c r="A2358" s="32">
        <v>43195</v>
      </c>
      <c r="B2358" s="2">
        <v>9.6999999999999993</v>
      </c>
    </row>
    <row r="2359" spans="1:2" x14ac:dyDescent="0.25">
      <c r="A2359" s="32">
        <v>43196</v>
      </c>
      <c r="B2359" s="2">
        <v>9.6880000000000006</v>
      </c>
    </row>
    <row r="2360" spans="1:2" x14ac:dyDescent="0.25">
      <c r="A2360" s="32">
        <v>43199</v>
      </c>
      <c r="B2360" s="2">
        <v>9.7200000000000006</v>
      </c>
    </row>
    <row r="2361" spans="1:2" x14ac:dyDescent="0.25">
      <c r="A2361" s="32">
        <v>43200</v>
      </c>
      <c r="B2361" s="2">
        <v>9.8420000000000005</v>
      </c>
    </row>
    <row r="2362" spans="1:2" x14ac:dyDescent="0.25">
      <c r="A2362" s="32">
        <v>43201</v>
      </c>
      <c r="B2362" s="2">
        <v>9.798</v>
      </c>
    </row>
    <row r="2363" spans="1:2" x14ac:dyDescent="0.25">
      <c r="A2363" s="32">
        <v>43202</v>
      </c>
      <c r="B2363" s="2">
        <v>9.8420000000000005</v>
      </c>
    </row>
    <row r="2364" spans="1:2" x14ac:dyDescent="0.25">
      <c r="A2364" s="32">
        <v>43203</v>
      </c>
      <c r="B2364" s="2">
        <v>9.7620000000000005</v>
      </c>
    </row>
    <row r="2365" spans="1:2" x14ac:dyDescent="0.25">
      <c r="A2365" s="32">
        <v>43206</v>
      </c>
      <c r="B2365" s="2">
        <v>9.7259999999999991</v>
      </c>
    </row>
    <row r="2366" spans="1:2" x14ac:dyDescent="0.25">
      <c r="A2366" s="32">
        <v>43207</v>
      </c>
      <c r="B2366" s="2">
        <v>9.8919999999999995</v>
      </c>
    </row>
    <row r="2367" spans="1:2" x14ac:dyDescent="0.25">
      <c r="A2367" s="32">
        <v>43208</v>
      </c>
      <c r="B2367" s="2">
        <v>9.9979999999999993</v>
      </c>
    </row>
    <row r="2368" spans="1:2" x14ac:dyDescent="0.25">
      <c r="A2368" s="32">
        <v>43209</v>
      </c>
      <c r="B2368" s="2">
        <v>10.130000000000001</v>
      </c>
    </row>
    <row r="2369" spans="1:2" x14ac:dyDescent="0.25">
      <c r="A2369" s="32">
        <v>43210</v>
      </c>
      <c r="B2369" s="2">
        <v>10.17</v>
      </c>
    </row>
    <row r="2370" spans="1:2" x14ac:dyDescent="0.25">
      <c r="A2370" s="32">
        <v>43213</v>
      </c>
      <c r="B2370" s="2">
        <v>10.375</v>
      </c>
    </row>
    <row r="2371" spans="1:2" x14ac:dyDescent="0.25">
      <c r="A2371" s="32">
        <v>43214</v>
      </c>
      <c r="B2371" s="2">
        <v>10.45</v>
      </c>
    </row>
    <row r="2372" spans="1:2" x14ac:dyDescent="0.25">
      <c r="A2372" s="32">
        <v>43215</v>
      </c>
      <c r="B2372" s="2">
        <v>10.24</v>
      </c>
    </row>
    <row r="2373" spans="1:2" x14ac:dyDescent="0.25">
      <c r="A2373" s="32">
        <v>43216</v>
      </c>
      <c r="B2373" s="2">
        <v>10.220000000000001</v>
      </c>
    </row>
    <row r="2374" spans="1:2" x14ac:dyDescent="0.25">
      <c r="A2374" s="32">
        <v>43217</v>
      </c>
      <c r="B2374" s="2">
        <v>10.130000000000001</v>
      </c>
    </row>
    <row r="2375" spans="1:2" x14ac:dyDescent="0.25">
      <c r="A2375" s="32">
        <v>43220</v>
      </c>
      <c r="B2375" s="2">
        <v>10.065</v>
      </c>
    </row>
    <row r="2376" spans="1:2" x14ac:dyDescent="0.25">
      <c r="A2376" s="32">
        <v>43222</v>
      </c>
      <c r="B2376" s="2">
        <v>10.19</v>
      </c>
    </row>
    <row r="2377" spans="1:2" x14ac:dyDescent="0.25">
      <c r="A2377" s="32">
        <v>43223</v>
      </c>
      <c r="B2377" s="2">
        <v>10.015000000000001</v>
      </c>
    </row>
    <row r="2378" spans="1:2" x14ac:dyDescent="0.25">
      <c r="A2378" s="32">
        <v>43224</v>
      </c>
      <c r="B2378" s="2">
        <v>10.225</v>
      </c>
    </row>
    <row r="2379" spans="1:2" x14ac:dyDescent="0.25">
      <c r="A2379" s="32">
        <v>43227</v>
      </c>
      <c r="B2379" s="2">
        <v>10.275</v>
      </c>
    </row>
    <row r="2380" spans="1:2" x14ac:dyDescent="0.25">
      <c r="A2380" s="32">
        <v>43228</v>
      </c>
      <c r="B2380" s="2">
        <v>9.9700000000000006</v>
      </c>
    </row>
    <row r="2381" spans="1:2" x14ac:dyDescent="0.25">
      <c r="A2381" s="32">
        <v>43229</v>
      </c>
      <c r="B2381" s="2">
        <v>10</v>
      </c>
    </row>
    <row r="2382" spans="1:2" x14ac:dyDescent="0.25">
      <c r="A2382" s="32">
        <v>43230</v>
      </c>
      <c r="B2382" s="2">
        <v>9.8699999999999992</v>
      </c>
    </row>
    <row r="2383" spans="1:2" x14ac:dyDescent="0.25">
      <c r="A2383" s="32">
        <v>43231</v>
      </c>
      <c r="B2383" s="2">
        <v>9.9480000000000004</v>
      </c>
    </row>
    <row r="2384" spans="1:2" x14ac:dyDescent="0.25">
      <c r="A2384" s="32">
        <v>43234</v>
      </c>
      <c r="B2384" s="2">
        <v>10.029999999999999</v>
      </c>
    </row>
    <row r="2385" spans="1:2" x14ac:dyDescent="0.25">
      <c r="A2385" s="32">
        <v>43235</v>
      </c>
      <c r="B2385" s="2">
        <v>9.9580000000000002</v>
      </c>
    </row>
    <row r="2386" spans="1:2" x14ac:dyDescent="0.25">
      <c r="A2386" s="32">
        <v>43236</v>
      </c>
      <c r="B2386" s="2">
        <v>9.56</v>
      </c>
    </row>
    <row r="2387" spans="1:2" x14ac:dyDescent="0.25">
      <c r="A2387" s="32">
        <v>43237</v>
      </c>
      <c r="B2387" s="2">
        <v>9.4779999999999998</v>
      </c>
    </row>
    <row r="2388" spans="1:2" x14ac:dyDescent="0.25">
      <c r="A2388" s="32">
        <v>43238</v>
      </c>
      <c r="B2388" s="2">
        <v>9.1839999999999993</v>
      </c>
    </row>
    <row r="2389" spans="1:2" x14ac:dyDescent="0.25">
      <c r="A2389" s="32">
        <v>43241</v>
      </c>
      <c r="B2389" s="2">
        <v>9.032</v>
      </c>
    </row>
    <row r="2390" spans="1:2" x14ac:dyDescent="0.25">
      <c r="A2390" s="32">
        <v>43242</v>
      </c>
      <c r="B2390" s="2">
        <v>9.1839999999999993</v>
      </c>
    </row>
    <row r="2391" spans="1:2" x14ac:dyDescent="0.25">
      <c r="A2391" s="32">
        <v>43243</v>
      </c>
      <c r="B2391" s="2">
        <v>9.09</v>
      </c>
    </row>
    <row r="2392" spans="1:2" x14ac:dyDescent="0.25">
      <c r="A2392" s="32">
        <v>43244</v>
      </c>
      <c r="B2392" s="2">
        <v>8.8759999999999994</v>
      </c>
    </row>
    <row r="2393" spans="1:2" x14ac:dyDescent="0.25">
      <c r="A2393" s="32">
        <v>43245</v>
      </c>
      <c r="B2393" s="2">
        <v>8.52</v>
      </c>
    </row>
    <row r="2394" spans="1:2" x14ac:dyDescent="0.25">
      <c r="A2394" s="32">
        <v>43248</v>
      </c>
      <c r="B2394" s="2">
        <v>8.0020000000000007</v>
      </c>
    </row>
    <row r="2395" spans="1:2" x14ac:dyDescent="0.25">
      <c r="A2395" s="32">
        <v>43249</v>
      </c>
      <c r="B2395" s="2">
        <v>7.6820000000000004</v>
      </c>
    </row>
    <row r="2396" spans="1:2" x14ac:dyDescent="0.25">
      <c r="A2396" s="32">
        <v>43250</v>
      </c>
      <c r="B2396" s="2">
        <v>8.2240000000000002</v>
      </c>
    </row>
    <row r="2397" spans="1:2" x14ac:dyDescent="0.25">
      <c r="A2397" s="32">
        <v>43251</v>
      </c>
      <c r="B2397" s="2">
        <v>8.0679999999999996</v>
      </c>
    </row>
    <row r="2398" spans="1:2" x14ac:dyDescent="0.25">
      <c r="A2398" s="32">
        <v>43252</v>
      </c>
      <c r="B2398" s="2">
        <v>8.2780000000000005</v>
      </c>
    </row>
    <row r="2399" spans="1:2" x14ac:dyDescent="0.25">
      <c r="A2399" s="32">
        <v>43255</v>
      </c>
      <c r="B2399" s="2">
        <v>8.1359999999999992</v>
      </c>
    </row>
    <row r="2400" spans="1:2" x14ac:dyDescent="0.25">
      <c r="A2400" s="32">
        <v>43256</v>
      </c>
      <c r="B2400" s="2">
        <v>7.9279999999999999</v>
      </c>
    </row>
    <row r="2401" spans="1:2" x14ac:dyDescent="0.25">
      <c r="A2401" s="32">
        <v>43257</v>
      </c>
      <c r="B2401" s="2">
        <v>8.1820000000000004</v>
      </c>
    </row>
    <row r="2402" spans="1:2" x14ac:dyDescent="0.25">
      <c r="A2402" s="32">
        <v>43258</v>
      </c>
      <c r="B2402" s="2">
        <v>7.9980000000000002</v>
      </c>
    </row>
    <row r="2403" spans="1:2" x14ac:dyDescent="0.25">
      <c r="A2403" s="32">
        <v>43259</v>
      </c>
      <c r="B2403" s="2">
        <v>7.8280000000000003</v>
      </c>
    </row>
    <row r="2404" spans="1:2" x14ac:dyDescent="0.25">
      <c r="A2404" s="32">
        <v>43262</v>
      </c>
      <c r="B2404" s="2">
        <v>8.2100000000000009</v>
      </c>
    </row>
    <row r="2405" spans="1:2" x14ac:dyDescent="0.25">
      <c r="A2405" s="32">
        <v>43263</v>
      </c>
      <c r="B2405" s="2">
        <v>8.1</v>
      </c>
    </row>
    <row r="2406" spans="1:2" x14ac:dyDescent="0.25">
      <c r="A2406" s="32">
        <v>43264</v>
      </c>
      <c r="B2406" s="2">
        <v>8.25</v>
      </c>
    </row>
    <row r="2407" spans="1:2" x14ac:dyDescent="0.25">
      <c r="A2407" s="32">
        <v>43265</v>
      </c>
      <c r="B2407" s="2">
        <v>8.1660000000000004</v>
      </c>
    </row>
    <row r="2408" spans="1:2" x14ac:dyDescent="0.25">
      <c r="A2408" s="32">
        <v>43266</v>
      </c>
      <c r="B2408" s="2">
        <v>8.0660000000000007</v>
      </c>
    </row>
    <row r="2409" spans="1:2" x14ac:dyDescent="0.25">
      <c r="A2409" s="32">
        <v>43269</v>
      </c>
      <c r="B2409" s="2">
        <v>8.032</v>
      </c>
    </row>
    <row r="2410" spans="1:2" x14ac:dyDescent="0.25">
      <c r="A2410" s="32">
        <v>43270</v>
      </c>
      <c r="B2410" s="2">
        <v>8.1359999999999992</v>
      </c>
    </row>
    <row r="2411" spans="1:2" x14ac:dyDescent="0.25">
      <c r="A2411" s="32">
        <v>43271</v>
      </c>
      <c r="B2411" s="2">
        <v>8.31</v>
      </c>
    </row>
    <row r="2412" spans="1:2" x14ac:dyDescent="0.25">
      <c r="A2412" s="32">
        <v>43272</v>
      </c>
      <c r="B2412" s="2">
        <v>8.2260000000000009</v>
      </c>
    </row>
    <row r="2413" spans="1:2" x14ac:dyDescent="0.25">
      <c r="A2413" s="32">
        <v>43273</v>
      </c>
      <c r="B2413" s="2">
        <v>8.4339999999999993</v>
      </c>
    </row>
    <row r="2414" spans="1:2" x14ac:dyDescent="0.25">
      <c r="A2414" s="32">
        <v>43276</v>
      </c>
      <c r="B2414" s="2">
        <v>8.1419999999999995</v>
      </c>
    </row>
    <row r="2415" spans="1:2" x14ac:dyDescent="0.25">
      <c r="A2415" s="32">
        <v>43277</v>
      </c>
      <c r="B2415" s="2">
        <v>8.09</v>
      </c>
    </row>
    <row r="2416" spans="1:2" x14ac:dyDescent="0.25">
      <c r="A2416" s="32">
        <v>43278</v>
      </c>
      <c r="B2416" s="2">
        <v>7.9660000000000002</v>
      </c>
    </row>
    <row r="2417" spans="1:2" x14ac:dyDescent="0.25">
      <c r="A2417" s="32">
        <v>43279</v>
      </c>
      <c r="B2417" s="2">
        <v>7.9139999999999997</v>
      </c>
    </row>
    <row r="2418" spans="1:2" x14ac:dyDescent="0.25">
      <c r="A2418" s="32">
        <v>43280</v>
      </c>
      <c r="B2418" s="2">
        <v>7.9619999999999997</v>
      </c>
    </row>
    <row r="2419" spans="1:2" x14ac:dyDescent="0.25">
      <c r="A2419" s="32">
        <v>43283</v>
      </c>
      <c r="B2419" s="2">
        <v>7.9219999999999997</v>
      </c>
    </row>
    <row r="2420" spans="1:2" x14ac:dyDescent="0.25">
      <c r="A2420" s="32">
        <v>43284</v>
      </c>
      <c r="B2420" s="2">
        <v>8.0180000000000007</v>
      </c>
    </row>
    <row r="2421" spans="1:2" x14ac:dyDescent="0.25">
      <c r="A2421" s="32">
        <v>43285</v>
      </c>
      <c r="B2421" s="2">
        <v>8.1259999999999994</v>
      </c>
    </row>
    <row r="2422" spans="1:2" x14ac:dyDescent="0.25">
      <c r="A2422" s="32">
        <v>43286</v>
      </c>
      <c r="B2422" s="2">
        <v>8.2319999999999993</v>
      </c>
    </row>
    <row r="2423" spans="1:2" x14ac:dyDescent="0.25">
      <c r="A2423" s="32">
        <v>43287</v>
      </c>
      <c r="B2423" s="2">
        <v>8.1020000000000003</v>
      </c>
    </row>
    <row r="2424" spans="1:2" x14ac:dyDescent="0.25">
      <c r="A2424" s="32">
        <v>43290</v>
      </c>
      <c r="B2424" s="2">
        <v>8.1539999999999999</v>
      </c>
    </row>
    <row r="2425" spans="1:2" x14ac:dyDescent="0.25">
      <c r="A2425" s="32">
        <v>43291</v>
      </c>
      <c r="B2425" s="2">
        <v>8.0440000000000005</v>
      </c>
    </row>
    <row r="2426" spans="1:2" x14ac:dyDescent="0.25">
      <c r="A2426" s="32">
        <v>43292</v>
      </c>
      <c r="B2426" s="2">
        <v>7.9080000000000004</v>
      </c>
    </row>
    <row r="2427" spans="1:2" x14ac:dyDescent="0.25">
      <c r="A2427" s="32">
        <v>43293</v>
      </c>
      <c r="B2427" s="2">
        <v>7.9420000000000002</v>
      </c>
    </row>
    <row r="2428" spans="1:2" x14ac:dyDescent="0.25">
      <c r="A2428" s="32">
        <v>43294</v>
      </c>
      <c r="B2428" s="2">
        <v>8.048</v>
      </c>
    </row>
    <row r="2429" spans="1:2" x14ac:dyDescent="0.25">
      <c r="A2429" s="32">
        <v>43297</v>
      </c>
      <c r="B2429" s="2">
        <v>8.0760000000000005</v>
      </c>
    </row>
    <row r="2430" spans="1:2" x14ac:dyDescent="0.25">
      <c r="A2430" s="32">
        <v>43298</v>
      </c>
      <c r="B2430" s="2">
        <v>8.15</v>
      </c>
    </row>
    <row r="2431" spans="1:2" x14ac:dyDescent="0.25">
      <c r="A2431" s="32">
        <v>43299</v>
      </c>
      <c r="B2431" s="2">
        <v>8.1</v>
      </c>
    </row>
    <row r="2432" spans="1:2" x14ac:dyDescent="0.25">
      <c r="A2432" s="32">
        <v>43300</v>
      </c>
      <c r="B2432" s="2">
        <v>8.1300000000000008</v>
      </c>
    </row>
    <row r="2433" spans="1:2" x14ac:dyDescent="0.25">
      <c r="A2433" s="32">
        <v>43301</v>
      </c>
      <c r="B2433" s="2">
        <v>8.0679999999999996</v>
      </c>
    </row>
    <row r="2434" spans="1:2" x14ac:dyDescent="0.25">
      <c r="A2434" s="32">
        <v>43304</v>
      </c>
      <c r="B2434" s="2">
        <v>8.1780000000000008</v>
      </c>
    </row>
    <row r="2435" spans="1:2" x14ac:dyDescent="0.25">
      <c r="A2435" s="32">
        <v>43305</v>
      </c>
      <c r="B2435" s="2">
        <v>8.4179999999999993</v>
      </c>
    </row>
    <row r="2436" spans="1:2" x14ac:dyDescent="0.25">
      <c r="A2436" s="32">
        <v>43306</v>
      </c>
      <c r="B2436" s="2">
        <v>8.5139999999999993</v>
      </c>
    </row>
    <row r="2437" spans="1:2" x14ac:dyDescent="0.25">
      <c r="A2437" s="32">
        <v>43307</v>
      </c>
      <c r="B2437" s="2">
        <v>8.5939999999999994</v>
      </c>
    </row>
    <row r="2438" spans="1:2" x14ac:dyDescent="0.25">
      <c r="A2438" s="32">
        <v>43308</v>
      </c>
      <c r="B2438" s="2">
        <v>8.7520000000000007</v>
      </c>
    </row>
    <row r="2439" spans="1:2" x14ac:dyDescent="0.25">
      <c r="A2439" s="32">
        <v>43311</v>
      </c>
      <c r="B2439" s="2">
        <v>8.6739999999999995</v>
      </c>
    </row>
    <row r="2440" spans="1:2" x14ac:dyDescent="0.25">
      <c r="A2440" s="32">
        <v>43312</v>
      </c>
      <c r="B2440" s="2">
        <v>8.8840000000000003</v>
      </c>
    </row>
    <row r="2441" spans="1:2" x14ac:dyDescent="0.25">
      <c r="A2441" s="32">
        <v>43313</v>
      </c>
      <c r="B2441" s="2">
        <v>8.7740000000000009</v>
      </c>
    </row>
    <row r="2442" spans="1:2" x14ac:dyDescent="0.25">
      <c r="A2442" s="32">
        <v>43314</v>
      </c>
      <c r="B2442" s="2">
        <v>8.6839999999999993</v>
      </c>
    </row>
    <row r="2443" spans="1:2" x14ac:dyDescent="0.25">
      <c r="A2443" s="32">
        <v>43315</v>
      </c>
      <c r="B2443" s="2">
        <v>8.8260000000000005</v>
      </c>
    </row>
    <row r="2444" spans="1:2" x14ac:dyDescent="0.25">
      <c r="A2444" s="32">
        <v>43318</v>
      </c>
      <c r="B2444" s="2">
        <v>8.68</v>
      </c>
    </row>
    <row r="2445" spans="1:2" x14ac:dyDescent="0.25">
      <c r="A2445" s="32">
        <v>43319</v>
      </c>
      <c r="B2445" s="2">
        <v>8.7940000000000005</v>
      </c>
    </row>
    <row r="2446" spans="1:2" x14ac:dyDescent="0.25">
      <c r="A2446" s="32">
        <v>43320</v>
      </c>
      <c r="B2446" s="2">
        <v>8.7880000000000003</v>
      </c>
    </row>
    <row r="2447" spans="1:2" x14ac:dyDescent="0.25">
      <c r="A2447" s="32">
        <v>43321</v>
      </c>
      <c r="B2447" s="2">
        <v>8.8060000000000009</v>
      </c>
    </row>
    <row r="2448" spans="1:2" x14ac:dyDescent="0.25">
      <c r="A2448" s="32">
        <v>43322</v>
      </c>
      <c r="B2448" s="2">
        <v>8.7159999999999993</v>
      </c>
    </row>
    <row r="2449" spans="1:2" x14ac:dyDescent="0.25">
      <c r="A2449" s="32">
        <v>43325</v>
      </c>
      <c r="B2449" s="2">
        <v>8.5440000000000005</v>
      </c>
    </row>
    <row r="2450" spans="1:2" x14ac:dyDescent="0.25">
      <c r="A2450" s="32">
        <v>43326</v>
      </c>
      <c r="B2450" s="2">
        <v>8.32</v>
      </c>
    </row>
    <row r="2451" spans="1:2" x14ac:dyDescent="0.25">
      <c r="A2451" s="32">
        <v>43328</v>
      </c>
      <c r="B2451" s="2">
        <v>8.4960000000000004</v>
      </c>
    </row>
    <row r="2452" spans="1:2" x14ac:dyDescent="0.25">
      <c r="A2452" s="32">
        <v>43329</v>
      </c>
      <c r="B2452" s="2">
        <v>8.4019999999999992</v>
      </c>
    </row>
    <row r="2453" spans="1:2" x14ac:dyDescent="0.25">
      <c r="A2453" s="32">
        <v>43332</v>
      </c>
      <c r="B2453" s="2">
        <v>8.4280000000000008</v>
      </c>
    </row>
    <row r="2454" spans="1:2" x14ac:dyDescent="0.25">
      <c r="A2454" s="32">
        <v>43333</v>
      </c>
      <c r="B2454" s="2">
        <v>8.5660000000000007</v>
      </c>
    </row>
    <row r="2455" spans="1:2" x14ac:dyDescent="0.25">
      <c r="A2455" s="32">
        <v>43334</v>
      </c>
      <c r="B2455" s="2">
        <v>8.3940000000000001</v>
      </c>
    </row>
    <row r="2456" spans="1:2" x14ac:dyDescent="0.25">
      <c r="A2456" s="32">
        <v>43335</v>
      </c>
      <c r="B2456" s="2">
        <v>8.2959999999999994</v>
      </c>
    </row>
    <row r="2457" spans="1:2" x14ac:dyDescent="0.25">
      <c r="A2457" s="32">
        <v>43336</v>
      </c>
      <c r="B2457" s="2">
        <v>8.3040000000000003</v>
      </c>
    </row>
    <row r="2458" spans="1:2" x14ac:dyDescent="0.25">
      <c r="A2458" s="32">
        <v>43339</v>
      </c>
      <c r="B2458" s="2">
        <v>8.2880000000000003</v>
      </c>
    </row>
    <row r="2459" spans="1:2" x14ac:dyDescent="0.25">
      <c r="A2459" s="32">
        <v>43340</v>
      </c>
      <c r="B2459" s="2">
        <v>8.2379999999999995</v>
      </c>
    </row>
    <row r="2460" spans="1:2" x14ac:dyDescent="0.25">
      <c r="A2460" s="32">
        <v>43341</v>
      </c>
      <c r="B2460" s="2">
        <v>8.2740000000000009</v>
      </c>
    </row>
    <row r="2461" spans="1:2" x14ac:dyDescent="0.25">
      <c r="A2461" s="32">
        <v>43342</v>
      </c>
      <c r="B2461" s="2">
        <v>8.1539999999999999</v>
      </c>
    </row>
    <row r="2462" spans="1:2" x14ac:dyDescent="0.25">
      <c r="A2462" s="32">
        <v>43343</v>
      </c>
      <c r="B2462" s="2">
        <v>8.016</v>
      </c>
    </row>
    <row r="2463" spans="1:2" x14ac:dyDescent="0.25">
      <c r="A2463" s="32">
        <v>43346</v>
      </c>
      <c r="B2463" s="2">
        <v>8.2379999999999995</v>
      </c>
    </row>
    <row r="2464" spans="1:2" x14ac:dyDescent="0.25">
      <c r="A2464" s="32">
        <v>43347</v>
      </c>
      <c r="B2464" s="2">
        <v>8.4819999999999993</v>
      </c>
    </row>
    <row r="2465" spans="1:2" x14ac:dyDescent="0.25">
      <c r="A2465" s="32">
        <v>43348</v>
      </c>
      <c r="B2465" s="2">
        <v>8.7579999999999991</v>
      </c>
    </row>
    <row r="2466" spans="1:2" x14ac:dyDescent="0.25">
      <c r="A2466" s="32">
        <v>43349</v>
      </c>
      <c r="B2466" s="2">
        <v>8.6820000000000004</v>
      </c>
    </row>
    <row r="2467" spans="1:2" x14ac:dyDescent="0.25">
      <c r="A2467" s="32">
        <v>43350</v>
      </c>
      <c r="B2467" s="2">
        <v>8.6839999999999993</v>
      </c>
    </row>
    <row r="2468" spans="1:2" x14ac:dyDescent="0.25">
      <c r="A2468" s="32">
        <v>43353</v>
      </c>
      <c r="B2468" s="2">
        <v>9.0660000000000007</v>
      </c>
    </row>
    <row r="2469" spans="1:2" x14ac:dyDescent="0.25">
      <c r="A2469" s="32">
        <v>43354</v>
      </c>
      <c r="B2469" s="2">
        <v>9.0180000000000007</v>
      </c>
    </row>
    <row r="2470" spans="1:2" x14ac:dyDescent="0.25">
      <c r="A2470" s="32">
        <v>43355</v>
      </c>
      <c r="B2470" s="2">
        <v>9.0640000000000001</v>
      </c>
    </row>
    <row r="2471" spans="1:2" x14ac:dyDescent="0.25">
      <c r="A2471" s="32">
        <v>43356</v>
      </c>
      <c r="B2471" s="2">
        <v>9.0039999999999996</v>
      </c>
    </row>
    <row r="2472" spans="1:2" x14ac:dyDescent="0.25">
      <c r="A2472" s="32">
        <v>43357</v>
      </c>
      <c r="B2472" s="2">
        <v>9.0280000000000005</v>
      </c>
    </row>
    <row r="2473" spans="1:2" x14ac:dyDescent="0.25">
      <c r="A2473" s="32">
        <v>43360</v>
      </c>
      <c r="B2473" s="2">
        <v>9.1820000000000004</v>
      </c>
    </row>
    <row r="2474" spans="1:2" x14ac:dyDescent="0.25">
      <c r="A2474" s="32">
        <v>43361</v>
      </c>
      <c r="B2474" s="2">
        <v>9.2119999999999997</v>
      </c>
    </row>
    <row r="2475" spans="1:2" x14ac:dyDescent="0.25">
      <c r="A2475" s="32">
        <v>43362</v>
      </c>
      <c r="B2475" s="2">
        <v>9.3079999999999998</v>
      </c>
    </row>
    <row r="2476" spans="1:2" x14ac:dyDescent="0.25">
      <c r="A2476" s="32">
        <v>43363</v>
      </c>
      <c r="B2476" s="2">
        <v>9.1739999999999995</v>
      </c>
    </row>
    <row r="2477" spans="1:2" x14ac:dyDescent="0.25">
      <c r="A2477" s="32">
        <v>43364</v>
      </c>
      <c r="B2477" s="2">
        <v>9.1720000000000006</v>
      </c>
    </row>
    <row r="2478" spans="1:2" x14ac:dyDescent="0.25">
      <c r="A2478" s="32">
        <v>43367</v>
      </c>
      <c r="B2478" s="2">
        <v>9.1059999999999999</v>
      </c>
    </row>
    <row r="2479" spans="1:2" x14ac:dyDescent="0.25">
      <c r="A2479" s="32">
        <v>43368</v>
      </c>
      <c r="B2479" s="2">
        <v>9.2759999999999998</v>
      </c>
    </row>
    <row r="2480" spans="1:2" x14ac:dyDescent="0.25">
      <c r="A2480" s="32">
        <v>43369</v>
      </c>
      <c r="B2480" s="2">
        <v>9.26</v>
      </c>
    </row>
    <row r="2481" spans="1:2" x14ac:dyDescent="0.25">
      <c r="A2481" s="32">
        <v>43370</v>
      </c>
      <c r="B2481" s="2">
        <v>9.1679999999999993</v>
      </c>
    </row>
    <row r="2482" spans="1:2" x14ac:dyDescent="0.25">
      <c r="A2482" s="32">
        <v>43371</v>
      </c>
      <c r="B2482" s="2">
        <v>8.6039999999999992</v>
      </c>
    </row>
    <row r="2483" spans="1:2" x14ac:dyDescent="0.25">
      <c r="A2483" s="32">
        <v>43374</v>
      </c>
      <c r="B2483" s="2">
        <v>8.3420000000000005</v>
      </c>
    </row>
    <row r="2484" spans="1:2" x14ac:dyDescent="0.25">
      <c r="A2484" s="32">
        <v>43375</v>
      </c>
      <c r="B2484" s="2">
        <v>8.3040000000000003</v>
      </c>
    </row>
    <row r="2485" spans="1:2" x14ac:dyDescent="0.25">
      <c r="A2485" s="32">
        <v>43376</v>
      </c>
      <c r="B2485" s="2">
        <v>8.3800000000000008</v>
      </c>
    </row>
    <row r="2486" spans="1:2" x14ac:dyDescent="0.25">
      <c r="A2486" s="32">
        <v>43377</v>
      </c>
      <c r="B2486" s="2">
        <v>8.3680000000000003</v>
      </c>
    </row>
    <row r="2487" spans="1:2" x14ac:dyDescent="0.25">
      <c r="A2487" s="32">
        <v>43378</v>
      </c>
      <c r="B2487" s="2">
        <v>8.2279999999999998</v>
      </c>
    </row>
    <row r="2488" spans="1:2" x14ac:dyDescent="0.25">
      <c r="A2488" s="32">
        <v>43381</v>
      </c>
      <c r="B2488" s="2">
        <v>7.8440000000000003</v>
      </c>
    </row>
    <row r="2489" spans="1:2" x14ac:dyDescent="0.25">
      <c r="A2489" s="32">
        <v>43382</v>
      </c>
      <c r="B2489" s="2">
        <v>7.91</v>
      </c>
    </row>
    <row r="2490" spans="1:2" x14ac:dyDescent="0.25">
      <c r="A2490" s="32">
        <v>43383</v>
      </c>
      <c r="B2490" s="2">
        <v>7.8440000000000003</v>
      </c>
    </row>
    <row r="2491" spans="1:2" x14ac:dyDescent="0.25">
      <c r="A2491" s="32">
        <v>43384</v>
      </c>
      <c r="B2491" s="2">
        <v>7.7439999999999998</v>
      </c>
    </row>
    <row r="2492" spans="1:2" x14ac:dyDescent="0.25">
      <c r="A2492" s="32">
        <v>43385</v>
      </c>
      <c r="B2492" s="2">
        <v>7.6779999999999999</v>
      </c>
    </row>
    <row r="2493" spans="1:2" x14ac:dyDescent="0.25">
      <c r="A2493" s="32">
        <v>43388</v>
      </c>
      <c r="B2493" s="2">
        <v>7.6879999999999997</v>
      </c>
    </row>
    <row r="2494" spans="1:2" x14ac:dyDescent="0.25">
      <c r="A2494" s="32">
        <v>43389</v>
      </c>
      <c r="B2494" s="2">
        <v>7.8079999999999998</v>
      </c>
    </row>
    <row r="2495" spans="1:2" x14ac:dyDescent="0.25">
      <c r="A2495" s="32">
        <v>43390</v>
      </c>
      <c r="B2495" s="2">
        <v>7.718</v>
      </c>
    </row>
    <row r="2496" spans="1:2" x14ac:dyDescent="0.25">
      <c r="A2496" s="32">
        <v>43391</v>
      </c>
      <c r="B2496" s="2">
        <v>7.6440000000000001</v>
      </c>
    </row>
    <row r="2497" spans="1:2" x14ac:dyDescent="0.25">
      <c r="A2497" s="32">
        <v>43392</v>
      </c>
      <c r="B2497" s="2">
        <v>7.8780000000000001</v>
      </c>
    </row>
    <row r="2498" spans="1:2" x14ac:dyDescent="0.25">
      <c r="A2498" s="32">
        <v>43395</v>
      </c>
      <c r="B2498" s="2">
        <v>7.7359999999999998</v>
      </c>
    </row>
    <row r="2499" spans="1:2" x14ac:dyDescent="0.25">
      <c r="A2499" s="32">
        <v>43396</v>
      </c>
      <c r="B2499" s="2">
        <v>7.7539999999999996</v>
      </c>
    </row>
    <row r="2500" spans="1:2" x14ac:dyDescent="0.25">
      <c r="A2500" s="32">
        <v>43397</v>
      </c>
      <c r="B2500" s="2">
        <v>7.492</v>
      </c>
    </row>
    <row r="2501" spans="1:2" x14ac:dyDescent="0.25">
      <c r="A2501" s="32">
        <v>43398</v>
      </c>
      <c r="B2501" s="2">
        <v>7.78</v>
      </c>
    </row>
    <row r="2502" spans="1:2" x14ac:dyDescent="0.25">
      <c r="A2502" s="32">
        <v>43399</v>
      </c>
      <c r="B2502" s="2">
        <v>7.57</v>
      </c>
    </row>
    <row r="2503" spans="1:2" x14ac:dyDescent="0.25">
      <c r="A2503" s="32">
        <v>43402</v>
      </c>
      <c r="B2503" s="2">
        <v>7.7859999999999996</v>
      </c>
    </row>
    <row r="2504" spans="1:2" x14ac:dyDescent="0.25">
      <c r="A2504" s="32">
        <v>43403</v>
      </c>
      <c r="B2504" s="2">
        <v>7.806</v>
      </c>
    </row>
    <row r="2505" spans="1:2" x14ac:dyDescent="0.25">
      <c r="A2505" s="32">
        <v>43404</v>
      </c>
      <c r="B2505" s="2">
        <v>7.7519999999999998</v>
      </c>
    </row>
    <row r="2506" spans="1:2" x14ac:dyDescent="0.25">
      <c r="A2506" s="32">
        <v>43405</v>
      </c>
      <c r="B2506" s="2">
        <v>7.8280000000000003</v>
      </c>
    </row>
    <row r="2507" spans="1:2" x14ac:dyDescent="0.25">
      <c r="A2507" s="32">
        <v>43406</v>
      </c>
      <c r="B2507" s="2">
        <v>7.9320000000000004</v>
      </c>
    </row>
    <row r="2508" spans="1:2" x14ac:dyDescent="0.25">
      <c r="A2508" s="32">
        <v>43409</v>
      </c>
      <c r="B2508" s="2">
        <v>7.8419999999999996</v>
      </c>
    </row>
    <row r="2509" spans="1:2" x14ac:dyDescent="0.25">
      <c r="A2509" s="32">
        <v>43410</v>
      </c>
      <c r="B2509" s="2">
        <v>7.8120000000000003</v>
      </c>
    </row>
    <row r="2510" spans="1:2" x14ac:dyDescent="0.25">
      <c r="A2510" s="32">
        <v>43411</v>
      </c>
      <c r="B2510" s="2">
        <v>7.8460000000000001</v>
      </c>
    </row>
    <row r="2511" spans="1:2" x14ac:dyDescent="0.25">
      <c r="A2511" s="32">
        <v>43412</v>
      </c>
      <c r="B2511" s="2">
        <v>7.8680000000000003</v>
      </c>
    </row>
    <row r="2512" spans="1:2" x14ac:dyDescent="0.25">
      <c r="A2512" s="32">
        <v>43413</v>
      </c>
      <c r="B2512" s="2">
        <v>7.8620000000000001</v>
      </c>
    </row>
    <row r="2513" spans="1:2" x14ac:dyDescent="0.25">
      <c r="A2513" s="32">
        <v>43416</v>
      </c>
      <c r="B2513" s="2">
        <v>7.8680000000000003</v>
      </c>
    </row>
    <row r="2514" spans="1:2" x14ac:dyDescent="0.25">
      <c r="A2514" s="32">
        <v>43417</v>
      </c>
      <c r="B2514" s="2">
        <v>7.9080000000000004</v>
      </c>
    </row>
    <row r="2515" spans="1:2" x14ac:dyDescent="0.25">
      <c r="A2515" s="32">
        <v>43418</v>
      </c>
      <c r="B2515" s="2">
        <v>7.8419999999999996</v>
      </c>
    </row>
    <row r="2516" spans="1:2" x14ac:dyDescent="0.25">
      <c r="A2516" s="32">
        <v>43419</v>
      </c>
      <c r="B2516" s="2">
        <v>7.758</v>
      </c>
    </row>
    <row r="2517" spans="1:2" x14ac:dyDescent="0.25">
      <c r="A2517" s="32">
        <v>43420</v>
      </c>
      <c r="B2517" s="2">
        <v>7.78</v>
      </c>
    </row>
    <row r="2518" spans="1:2" x14ac:dyDescent="0.25">
      <c r="A2518" s="32">
        <v>43423</v>
      </c>
      <c r="B2518" s="2">
        <v>7.4</v>
      </c>
    </row>
    <row r="2519" spans="1:2" x14ac:dyDescent="0.25">
      <c r="A2519" s="32">
        <v>43424</v>
      </c>
      <c r="B2519" s="2">
        <v>7.226</v>
      </c>
    </row>
    <row r="2520" spans="1:2" x14ac:dyDescent="0.25">
      <c r="A2520" s="32">
        <v>43425</v>
      </c>
      <c r="B2520" s="2">
        <v>7.3019999999999996</v>
      </c>
    </row>
    <row r="2521" spans="1:2" x14ac:dyDescent="0.25">
      <c r="A2521" s="32">
        <v>43426</v>
      </c>
      <c r="B2521" s="2">
        <v>7.2880000000000003</v>
      </c>
    </row>
    <row r="2522" spans="1:2" x14ac:dyDescent="0.25">
      <c r="A2522" s="32">
        <v>43427</v>
      </c>
      <c r="B2522" s="2">
        <v>7.3419999999999996</v>
      </c>
    </row>
    <row r="2523" spans="1:2" x14ac:dyDescent="0.25">
      <c r="A2523" s="32">
        <v>43430</v>
      </c>
      <c r="B2523" s="2">
        <v>7.6680000000000001</v>
      </c>
    </row>
    <row r="2524" spans="1:2" x14ac:dyDescent="0.25">
      <c r="A2524" s="32">
        <v>43431</v>
      </c>
      <c r="B2524" s="2">
        <v>7.7</v>
      </c>
    </row>
    <row r="2525" spans="1:2" x14ac:dyDescent="0.25">
      <c r="A2525" s="32">
        <v>43432</v>
      </c>
      <c r="B2525" s="2">
        <v>7.734</v>
      </c>
    </row>
    <row r="2526" spans="1:2" x14ac:dyDescent="0.25">
      <c r="A2526" s="32">
        <v>43433</v>
      </c>
      <c r="B2526" s="2">
        <v>7.8079999999999998</v>
      </c>
    </row>
    <row r="2527" spans="1:2" x14ac:dyDescent="0.25">
      <c r="A2527" s="32">
        <v>43434</v>
      </c>
      <c r="B2527" s="2">
        <v>7.806</v>
      </c>
    </row>
    <row r="2528" spans="1:2" x14ac:dyDescent="0.25">
      <c r="A2528" s="32">
        <v>43437</v>
      </c>
      <c r="B2528" s="2">
        <v>7.8559999999999999</v>
      </c>
    </row>
    <row r="2529" spans="1:2" x14ac:dyDescent="0.25">
      <c r="A2529" s="32">
        <v>43438</v>
      </c>
      <c r="B2529" s="2">
        <v>7.7140000000000004</v>
      </c>
    </row>
    <row r="2530" spans="1:2" x14ac:dyDescent="0.25">
      <c r="A2530" s="32">
        <v>43439</v>
      </c>
      <c r="B2530" s="2">
        <v>7.73</v>
      </c>
    </row>
    <row r="2531" spans="1:2" x14ac:dyDescent="0.25">
      <c r="A2531" s="32">
        <v>43440</v>
      </c>
      <c r="B2531" s="2">
        <v>7.4980000000000002</v>
      </c>
    </row>
    <row r="2532" spans="1:2" x14ac:dyDescent="0.25">
      <c r="A2532" s="32">
        <v>43441</v>
      </c>
      <c r="B2532" s="2">
        <v>7.492</v>
      </c>
    </row>
    <row r="2533" spans="1:2" x14ac:dyDescent="0.25">
      <c r="A2533" s="32">
        <v>43444</v>
      </c>
      <c r="B2533" s="2">
        <v>7.32</v>
      </c>
    </row>
    <row r="2534" spans="1:2" x14ac:dyDescent="0.25">
      <c r="A2534" s="32">
        <v>43445</v>
      </c>
      <c r="B2534" s="2">
        <v>7.2839999999999998</v>
      </c>
    </row>
    <row r="2535" spans="1:2" x14ac:dyDescent="0.25">
      <c r="A2535" s="32">
        <v>43446</v>
      </c>
      <c r="B2535" s="2">
        <v>7.524</v>
      </c>
    </row>
    <row r="2536" spans="1:2" x14ac:dyDescent="0.25">
      <c r="A2536" s="32">
        <v>43447</v>
      </c>
      <c r="B2536" s="2">
        <v>7.5540000000000003</v>
      </c>
    </row>
    <row r="2537" spans="1:2" x14ac:dyDescent="0.25">
      <c r="A2537" s="32">
        <v>43448</v>
      </c>
      <c r="B2537" s="2">
        <v>7.6219999999999999</v>
      </c>
    </row>
    <row r="2538" spans="1:2" x14ac:dyDescent="0.25">
      <c r="A2538" s="32">
        <v>43451</v>
      </c>
      <c r="B2538" s="2">
        <v>7.5039999999999996</v>
      </c>
    </row>
    <row r="2539" spans="1:2" x14ac:dyDescent="0.25">
      <c r="A2539" s="32">
        <v>43452</v>
      </c>
      <c r="B2539" s="2">
        <v>7.57</v>
      </c>
    </row>
    <row r="2540" spans="1:2" x14ac:dyDescent="0.25">
      <c r="A2540" s="32">
        <v>43453</v>
      </c>
      <c r="B2540" s="2">
        <v>7.7080000000000002</v>
      </c>
    </row>
    <row r="2541" spans="1:2" x14ac:dyDescent="0.25">
      <c r="A2541" s="32">
        <v>43454</v>
      </c>
      <c r="B2541" s="2">
        <v>7.54</v>
      </c>
    </row>
    <row r="2542" spans="1:2" x14ac:dyDescent="0.25">
      <c r="A2542" s="32">
        <v>43455</v>
      </c>
      <c r="B2542" s="2">
        <v>7.3559999999999999</v>
      </c>
    </row>
    <row r="2543" spans="1:2" x14ac:dyDescent="0.25">
      <c r="A2543" s="32">
        <v>43461</v>
      </c>
      <c r="B2543" s="2">
        <v>7.2439999999999998</v>
      </c>
    </row>
    <row r="2544" spans="1:2" x14ac:dyDescent="0.25">
      <c r="A2544" s="32">
        <v>43462</v>
      </c>
      <c r="B2544" s="2">
        <v>7.3760000000000003</v>
      </c>
    </row>
    <row r="2545" spans="1:2" x14ac:dyDescent="0.25">
      <c r="A2545" s="32">
        <v>43467</v>
      </c>
      <c r="B2545" s="2">
        <v>7.3040000000000003</v>
      </c>
    </row>
    <row r="2546" spans="1:2" x14ac:dyDescent="0.25">
      <c r="A2546" s="32">
        <v>43468</v>
      </c>
      <c r="B2546" s="2">
        <v>7.298</v>
      </c>
    </row>
    <row r="2547" spans="1:2" x14ac:dyDescent="0.25">
      <c r="A2547" s="32">
        <v>43469</v>
      </c>
      <c r="B2547" s="2">
        <v>7.7320000000000002</v>
      </c>
    </row>
    <row r="2548" spans="1:2" x14ac:dyDescent="0.25">
      <c r="A2548" s="32">
        <v>43472</v>
      </c>
      <c r="B2548" s="2">
        <v>7.718</v>
      </c>
    </row>
    <row r="2549" spans="1:2" x14ac:dyDescent="0.25">
      <c r="A2549" s="32">
        <v>43473</v>
      </c>
      <c r="B2549" s="2">
        <v>7.694</v>
      </c>
    </row>
    <row r="2550" spans="1:2" x14ac:dyDescent="0.25">
      <c r="A2550" s="32">
        <v>43474</v>
      </c>
      <c r="B2550" s="2">
        <v>7.6539999999999999</v>
      </c>
    </row>
    <row r="2551" spans="1:2" x14ac:dyDescent="0.25">
      <c r="A2551" s="32">
        <v>43475</v>
      </c>
      <c r="B2551" s="2">
        <v>7.6580000000000004</v>
      </c>
    </row>
    <row r="2552" spans="1:2" x14ac:dyDescent="0.25">
      <c r="A2552" s="32">
        <v>43476</v>
      </c>
      <c r="B2552" s="2">
        <v>7.7539999999999996</v>
      </c>
    </row>
    <row r="2553" spans="1:2" x14ac:dyDescent="0.25">
      <c r="A2553" s="32">
        <v>43479</v>
      </c>
      <c r="B2553" s="2">
        <v>7.67</v>
      </c>
    </row>
    <row r="2554" spans="1:2" x14ac:dyDescent="0.25">
      <c r="A2554" s="32">
        <v>43480</v>
      </c>
      <c r="B2554" s="2">
        <v>7.66</v>
      </c>
    </row>
    <row r="2555" spans="1:2" x14ac:dyDescent="0.25">
      <c r="A2555" s="32">
        <v>43481</v>
      </c>
      <c r="B2555" s="2">
        <v>7.8360000000000003</v>
      </c>
    </row>
    <row r="2556" spans="1:2" x14ac:dyDescent="0.25">
      <c r="A2556" s="32">
        <v>43482</v>
      </c>
      <c r="B2556" s="2">
        <v>7.8460000000000001</v>
      </c>
    </row>
    <row r="2557" spans="1:2" x14ac:dyDescent="0.25">
      <c r="A2557" s="32">
        <v>43483</v>
      </c>
      <c r="B2557" s="2">
        <v>7.8780000000000001</v>
      </c>
    </row>
    <row r="2558" spans="1:2" x14ac:dyDescent="0.25">
      <c r="A2558" s="32">
        <v>43486</v>
      </c>
      <c r="B2558" s="2">
        <v>7.9</v>
      </c>
    </row>
    <row r="2559" spans="1:2" x14ac:dyDescent="0.25">
      <c r="A2559" s="32">
        <v>43487</v>
      </c>
      <c r="B2559" s="2">
        <v>7.8739999999999997</v>
      </c>
    </row>
    <row r="2560" spans="1:2" x14ac:dyDescent="0.25">
      <c r="A2560" s="32">
        <v>43488</v>
      </c>
      <c r="B2560" s="2">
        <v>7.88</v>
      </c>
    </row>
    <row r="2561" spans="1:2" x14ac:dyDescent="0.25">
      <c r="A2561" s="32">
        <v>43489</v>
      </c>
      <c r="B2561" s="2">
        <v>7.8940000000000001</v>
      </c>
    </row>
    <row r="2562" spans="1:2" x14ac:dyDescent="0.25">
      <c r="A2562" s="32">
        <v>43490</v>
      </c>
      <c r="B2562" s="2">
        <v>7.976</v>
      </c>
    </row>
    <row r="2563" spans="1:2" x14ac:dyDescent="0.25">
      <c r="A2563" s="32">
        <v>43493</v>
      </c>
      <c r="B2563" s="2">
        <v>7.8760000000000003</v>
      </c>
    </row>
    <row r="2564" spans="1:2" x14ac:dyDescent="0.25">
      <c r="A2564" s="32">
        <v>43494</v>
      </c>
      <c r="B2564" s="2">
        <v>7.8159999999999998</v>
      </c>
    </row>
    <row r="2565" spans="1:2" x14ac:dyDescent="0.25">
      <c r="A2565" s="32">
        <v>43495</v>
      </c>
      <c r="B2565" s="2">
        <v>7.8319999999999999</v>
      </c>
    </row>
    <row r="2566" spans="1:2" x14ac:dyDescent="0.25">
      <c r="A2566" s="32">
        <v>43496</v>
      </c>
      <c r="B2566" s="2">
        <v>7.5960000000000001</v>
      </c>
    </row>
    <row r="2567" spans="1:2" x14ac:dyDescent="0.25">
      <c r="A2567" s="32">
        <v>43497</v>
      </c>
      <c r="B2567" s="2">
        <v>7.38</v>
      </c>
    </row>
    <row r="2568" spans="1:2" x14ac:dyDescent="0.25">
      <c r="A2568" s="32">
        <v>43500</v>
      </c>
      <c r="B2568" s="2">
        <v>7.3339999999999996</v>
      </c>
    </row>
    <row r="2569" spans="1:2" x14ac:dyDescent="0.25">
      <c r="A2569" s="32">
        <v>43501</v>
      </c>
      <c r="B2569" s="2">
        <v>7.5819999999999999</v>
      </c>
    </row>
    <row r="2570" spans="1:2" x14ac:dyDescent="0.25">
      <c r="A2570" s="32">
        <v>43502</v>
      </c>
      <c r="B2570" s="2">
        <v>7.7439999999999998</v>
      </c>
    </row>
    <row r="2571" spans="1:2" x14ac:dyDescent="0.25">
      <c r="A2571" s="32">
        <v>43503</v>
      </c>
      <c r="B2571" s="2">
        <v>7.718</v>
      </c>
    </row>
    <row r="2572" spans="1:2" x14ac:dyDescent="0.25">
      <c r="A2572" s="32">
        <v>43504</v>
      </c>
      <c r="B2572" s="2">
        <v>7.7519999999999998</v>
      </c>
    </row>
    <row r="2573" spans="1:2" x14ac:dyDescent="0.25">
      <c r="A2573" s="32">
        <v>43507</v>
      </c>
      <c r="B2573" s="2">
        <v>7.8879999999999999</v>
      </c>
    </row>
    <row r="2574" spans="1:2" x14ac:dyDescent="0.25">
      <c r="A2574" s="32">
        <v>43508</v>
      </c>
      <c r="B2574" s="2">
        <v>7.9279999999999999</v>
      </c>
    </row>
    <row r="2575" spans="1:2" x14ac:dyDescent="0.25">
      <c r="A2575" s="32">
        <v>43509</v>
      </c>
      <c r="B2575" s="2">
        <v>8.07</v>
      </c>
    </row>
    <row r="2576" spans="1:2" x14ac:dyDescent="0.25">
      <c r="A2576" s="32">
        <v>43510</v>
      </c>
      <c r="B2576" s="2">
        <v>8.02</v>
      </c>
    </row>
    <row r="2577" spans="1:2" x14ac:dyDescent="0.25">
      <c r="A2577" s="32">
        <v>43511</v>
      </c>
      <c r="B2577" s="2">
        <v>8.3059999999999992</v>
      </c>
    </row>
    <row r="2578" spans="1:2" x14ac:dyDescent="0.25">
      <c r="A2578" s="32">
        <v>43514</v>
      </c>
      <c r="B2578" s="2">
        <v>8.3260000000000005</v>
      </c>
    </row>
    <row r="2579" spans="1:2" x14ac:dyDescent="0.25">
      <c r="A2579" s="32">
        <v>43515</v>
      </c>
      <c r="B2579" s="2">
        <v>8.2880000000000003</v>
      </c>
    </row>
    <row r="2580" spans="1:2" x14ac:dyDescent="0.25">
      <c r="A2580" s="32">
        <v>43516</v>
      </c>
      <c r="B2580" s="2">
        <v>8.3179999999999996</v>
      </c>
    </row>
    <row r="2581" spans="1:2" x14ac:dyDescent="0.25">
      <c r="A2581" s="32">
        <v>43517</v>
      </c>
      <c r="B2581" s="2">
        <v>8.234</v>
      </c>
    </row>
    <row r="2582" spans="1:2" x14ac:dyDescent="0.25">
      <c r="A2582" s="32">
        <v>43518</v>
      </c>
      <c r="B2582" s="2">
        <v>8.2560000000000002</v>
      </c>
    </row>
    <row r="2583" spans="1:2" x14ac:dyDescent="0.25">
      <c r="A2583" s="32">
        <v>43521</v>
      </c>
      <c r="B2583" s="2">
        <v>8.36</v>
      </c>
    </row>
    <row r="2584" spans="1:2" x14ac:dyDescent="0.25">
      <c r="A2584" s="32">
        <v>43522</v>
      </c>
      <c r="B2584" s="2">
        <v>8.49</v>
      </c>
    </row>
    <row r="2585" spans="1:2" x14ac:dyDescent="0.25">
      <c r="A2585" s="32">
        <v>43523</v>
      </c>
      <c r="B2585" s="2">
        <v>8.58</v>
      </c>
    </row>
    <row r="2586" spans="1:2" x14ac:dyDescent="0.25">
      <c r="A2586" s="32">
        <v>43524</v>
      </c>
      <c r="B2586" s="2">
        <v>8.8219999999999992</v>
      </c>
    </row>
    <row r="2587" spans="1:2" x14ac:dyDescent="0.25">
      <c r="A2587" s="32">
        <v>43525</v>
      </c>
      <c r="B2587" s="2">
        <v>8.6440000000000001</v>
      </c>
    </row>
    <row r="2588" spans="1:2" x14ac:dyDescent="0.25">
      <c r="A2588" s="32">
        <v>43528</v>
      </c>
      <c r="B2588" s="2">
        <v>8.7219999999999995</v>
      </c>
    </row>
    <row r="2589" spans="1:2" x14ac:dyDescent="0.25">
      <c r="A2589" s="32">
        <v>43529</v>
      </c>
      <c r="B2589" s="2">
        <v>8.7360000000000007</v>
      </c>
    </row>
    <row r="2590" spans="1:2" x14ac:dyDescent="0.25">
      <c r="A2590" s="32">
        <v>43530</v>
      </c>
      <c r="B2590" s="2">
        <v>8.9</v>
      </c>
    </row>
    <row r="2591" spans="1:2" x14ac:dyDescent="0.25">
      <c r="A2591" s="32">
        <v>43531</v>
      </c>
      <c r="B2591" s="2">
        <v>8.7520000000000007</v>
      </c>
    </row>
    <row r="2592" spans="1:2" x14ac:dyDescent="0.25">
      <c r="A2592" s="32">
        <v>43532</v>
      </c>
      <c r="B2592" s="2">
        <v>8.6620000000000008</v>
      </c>
    </row>
    <row r="2593" spans="1:2" x14ac:dyDescent="0.25">
      <c r="A2593" s="32">
        <v>43535</v>
      </c>
      <c r="B2593" s="2">
        <v>8.7859999999999996</v>
      </c>
    </row>
    <row r="2594" spans="1:2" x14ac:dyDescent="0.25">
      <c r="A2594" s="32">
        <v>43536</v>
      </c>
      <c r="B2594" s="2">
        <v>8.7560000000000002</v>
      </c>
    </row>
    <row r="2595" spans="1:2" x14ac:dyDescent="0.25">
      <c r="A2595" s="32">
        <v>43537</v>
      </c>
      <c r="B2595" s="2">
        <v>8.8800000000000008</v>
      </c>
    </row>
    <row r="2596" spans="1:2" x14ac:dyDescent="0.25">
      <c r="A2596" s="32">
        <v>43538</v>
      </c>
      <c r="B2596" s="2">
        <v>8.9179999999999993</v>
      </c>
    </row>
    <row r="2597" spans="1:2" x14ac:dyDescent="0.25">
      <c r="A2597" s="32">
        <v>43539</v>
      </c>
      <c r="B2597" s="2">
        <v>8.9879999999999995</v>
      </c>
    </row>
    <row r="2598" spans="1:2" x14ac:dyDescent="0.25">
      <c r="A2598" s="32">
        <v>43542</v>
      </c>
      <c r="B2598" s="2">
        <v>9.18</v>
      </c>
    </row>
    <row r="2599" spans="1:2" x14ac:dyDescent="0.25">
      <c r="A2599" s="32"/>
    </row>
    <row r="2600" spans="1:2" x14ac:dyDescent="0.25">
      <c r="A2600" s="32"/>
    </row>
    <row r="2601" spans="1:2" x14ac:dyDescent="0.25">
      <c r="A2601" s="32"/>
    </row>
    <row r="2602" spans="1:2" x14ac:dyDescent="0.25">
      <c r="A2602" s="32"/>
    </row>
    <row r="2603" spans="1:2" x14ac:dyDescent="0.25">
      <c r="A2603" s="32"/>
    </row>
    <row r="2604" spans="1:2" x14ac:dyDescent="0.25">
      <c r="A2604" s="32"/>
    </row>
    <row r="2605" spans="1:2" x14ac:dyDescent="0.25">
      <c r="A2605" s="32"/>
    </row>
    <row r="2606" spans="1:2" x14ac:dyDescent="0.25">
      <c r="A2606" s="32"/>
    </row>
    <row r="2607" spans="1:2" x14ac:dyDescent="0.25">
      <c r="A2607" s="32"/>
    </row>
    <row r="2608" spans="1:2" x14ac:dyDescent="0.25">
      <c r="A2608" s="32"/>
    </row>
    <row r="2609" spans="1:1" x14ac:dyDescent="0.25">
      <c r="A2609" s="32"/>
    </row>
    <row r="2610" spans="1:1" x14ac:dyDescent="0.25">
      <c r="A2610" s="32"/>
    </row>
    <row r="2611" spans="1:1" x14ac:dyDescent="0.25">
      <c r="A2611" s="32"/>
    </row>
    <row r="2612" spans="1:1" x14ac:dyDescent="0.25">
      <c r="A2612" s="32"/>
    </row>
    <row r="2613" spans="1:1" x14ac:dyDescent="0.25">
      <c r="A2613" s="32"/>
    </row>
    <row r="2614" spans="1:1" x14ac:dyDescent="0.25">
      <c r="A2614" s="32"/>
    </row>
    <row r="2615" spans="1:1" x14ac:dyDescent="0.25">
      <c r="A2615" s="32"/>
    </row>
    <row r="2616" spans="1:1" x14ac:dyDescent="0.25">
      <c r="A2616" s="32"/>
    </row>
    <row r="2617" spans="1:1" x14ac:dyDescent="0.25">
      <c r="A2617" s="32"/>
    </row>
    <row r="2618" spans="1:1" x14ac:dyDescent="0.25">
      <c r="A2618" s="32"/>
    </row>
    <row r="2619" spans="1:1" x14ac:dyDescent="0.25">
      <c r="A2619" s="32"/>
    </row>
    <row r="2620" spans="1:1" x14ac:dyDescent="0.25">
      <c r="A2620" s="32"/>
    </row>
    <row r="2621" spans="1:1" x14ac:dyDescent="0.25">
      <c r="A2621" s="32"/>
    </row>
    <row r="2622" spans="1:1" x14ac:dyDescent="0.25">
      <c r="A2622" s="32"/>
    </row>
    <row r="2623" spans="1:1" x14ac:dyDescent="0.25">
      <c r="A2623" s="32"/>
    </row>
    <row r="2624" spans="1:1" x14ac:dyDescent="0.25">
      <c r="A2624" s="32"/>
    </row>
    <row r="2625" spans="1:1" x14ac:dyDescent="0.25">
      <c r="A2625" s="32"/>
    </row>
  </sheetData>
  <mergeCells count="52">
    <mergeCell ref="P79:U79"/>
    <mergeCell ref="X5:Y5"/>
    <mergeCell ref="AA5:AB5"/>
    <mergeCell ref="O5:P5"/>
    <mergeCell ref="R5:S5"/>
    <mergeCell ref="U5:V5"/>
    <mergeCell ref="P70:X70"/>
    <mergeCell ref="P69:AL69"/>
    <mergeCell ref="Z70:AB70"/>
    <mergeCell ref="AJ5:AK5"/>
    <mergeCell ref="AD5:AE5"/>
    <mergeCell ref="J50:J59"/>
    <mergeCell ref="AG5:AH5"/>
    <mergeCell ref="Y51:BK51"/>
    <mergeCell ref="J19:L19"/>
    <mergeCell ref="AM5:AN5"/>
    <mergeCell ref="AP5:AQ5"/>
    <mergeCell ref="P50:AA50"/>
    <mergeCell ref="P51:W51"/>
    <mergeCell ref="P57:W57"/>
    <mergeCell ref="AS5:AT5"/>
    <mergeCell ref="AV5:AW5"/>
    <mergeCell ref="AY5:AZ5"/>
    <mergeCell ref="BB5:BC5"/>
    <mergeCell ref="CX5:CY5"/>
    <mergeCell ref="DP5:DQ5"/>
    <mergeCell ref="DA5:DB5"/>
    <mergeCell ref="DD5:DE5"/>
    <mergeCell ref="DG5:DH5"/>
    <mergeCell ref="DJ5:DK5"/>
    <mergeCell ref="DM5:DN5"/>
    <mergeCell ref="A1:K1"/>
    <mergeCell ref="F3:H3"/>
    <mergeCell ref="J3:K3"/>
    <mergeCell ref="O2:AC2"/>
    <mergeCell ref="AD2:DS2"/>
    <mergeCell ref="O1:AD1"/>
    <mergeCell ref="CL5:CM5"/>
    <mergeCell ref="CO5:CP5"/>
    <mergeCell ref="CR5:CS5"/>
    <mergeCell ref="CU5:CV5"/>
    <mergeCell ref="BE5:BF5"/>
    <mergeCell ref="CI5:CJ5"/>
    <mergeCell ref="BH5:BI5"/>
    <mergeCell ref="BK5:BL5"/>
    <mergeCell ref="BN5:BO5"/>
    <mergeCell ref="BQ5:BR5"/>
    <mergeCell ref="BT5:BU5"/>
    <mergeCell ref="BW5:BX5"/>
    <mergeCell ref="BZ5:CA5"/>
    <mergeCell ref="CC5:CD5"/>
    <mergeCell ref="CF5:CG5"/>
  </mergeCells>
  <conditionalFormatting sqref="Q4">
    <cfRule type="cellIs" dxfId="38" priority="45" operator="equal">
      <formula>1</formula>
    </cfRule>
  </conditionalFormatting>
  <conditionalFormatting sqref="T4">
    <cfRule type="cellIs" dxfId="37" priority="44" operator="equal">
      <formula>1</formula>
    </cfRule>
  </conditionalFormatting>
  <conditionalFormatting sqref="W4">
    <cfRule type="cellIs" dxfId="36" priority="43" operator="equal">
      <formula>1</formula>
    </cfRule>
  </conditionalFormatting>
  <conditionalFormatting sqref="Z4">
    <cfRule type="cellIs" dxfId="35" priority="42" operator="equal">
      <formula>1</formula>
    </cfRule>
  </conditionalFormatting>
  <conditionalFormatting sqref="AC4">
    <cfRule type="cellIs" dxfId="34" priority="41" operator="equal">
      <formula>1</formula>
    </cfRule>
  </conditionalFormatting>
  <conditionalFormatting sqref="AI4">
    <cfRule type="cellIs" dxfId="33" priority="34" operator="equal">
      <formula>1</formula>
    </cfRule>
  </conditionalFormatting>
  <conditionalFormatting sqref="AL4">
    <cfRule type="cellIs" dxfId="32" priority="33" operator="equal">
      <formula>1</formula>
    </cfRule>
  </conditionalFormatting>
  <conditionalFormatting sqref="AO4">
    <cfRule type="cellIs" dxfId="31" priority="32" operator="equal">
      <formula>1</formula>
    </cfRule>
  </conditionalFormatting>
  <conditionalFormatting sqref="AR4">
    <cfRule type="cellIs" dxfId="30" priority="31" operator="equal">
      <formula>1</formula>
    </cfRule>
  </conditionalFormatting>
  <conditionalFormatting sqref="AU4">
    <cfRule type="cellIs" dxfId="29" priority="30" operator="equal">
      <formula>1</formula>
    </cfRule>
  </conditionalFormatting>
  <conditionalFormatting sqref="AX4">
    <cfRule type="cellIs" dxfId="28" priority="29" operator="equal">
      <formula>1</formula>
    </cfRule>
  </conditionalFormatting>
  <conditionalFormatting sqref="BA4">
    <cfRule type="cellIs" dxfId="27" priority="28" operator="equal">
      <formula>1</formula>
    </cfRule>
  </conditionalFormatting>
  <conditionalFormatting sqref="BD4">
    <cfRule type="cellIs" dxfId="26" priority="27" operator="equal">
      <formula>1</formula>
    </cfRule>
  </conditionalFormatting>
  <conditionalFormatting sqref="BG4">
    <cfRule type="cellIs" dxfId="25" priority="26" operator="equal">
      <formula>1</formula>
    </cfRule>
  </conditionalFormatting>
  <conditionalFormatting sqref="BJ4">
    <cfRule type="cellIs" dxfId="24" priority="25" operator="equal">
      <formula>1</formula>
    </cfRule>
  </conditionalFormatting>
  <conditionalFormatting sqref="BM4">
    <cfRule type="cellIs" dxfId="23" priority="24" operator="equal">
      <formula>1</formula>
    </cfRule>
  </conditionalFormatting>
  <conditionalFormatting sqref="BP4">
    <cfRule type="cellIs" dxfId="22" priority="23" operator="equal">
      <formula>1</formula>
    </cfRule>
  </conditionalFormatting>
  <conditionalFormatting sqref="BS4">
    <cfRule type="cellIs" dxfId="21" priority="22" operator="equal">
      <formula>1</formula>
    </cfRule>
  </conditionalFormatting>
  <conditionalFormatting sqref="BV4">
    <cfRule type="cellIs" dxfId="20" priority="21" operator="equal">
      <formula>1</formula>
    </cfRule>
  </conditionalFormatting>
  <conditionalFormatting sqref="BY4">
    <cfRule type="cellIs" dxfId="19" priority="20" operator="equal">
      <formula>1</formula>
    </cfRule>
  </conditionalFormatting>
  <conditionalFormatting sqref="CB4">
    <cfRule type="cellIs" dxfId="18" priority="19" operator="equal">
      <formula>1</formula>
    </cfRule>
  </conditionalFormatting>
  <conditionalFormatting sqref="CE4">
    <cfRule type="cellIs" dxfId="17" priority="18" operator="equal">
      <formula>1</formula>
    </cfRule>
  </conditionalFormatting>
  <conditionalFormatting sqref="CH4">
    <cfRule type="cellIs" dxfId="16" priority="17" operator="equal">
      <formula>1</formula>
    </cfRule>
  </conditionalFormatting>
  <conditionalFormatting sqref="CK4">
    <cfRule type="cellIs" dxfId="15" priority="16" operator="equal">
      <formula>1</formula>
    </cfRule>
  </conditionalFormatting>
  <conditionalFormatting sqref="CN4">
    <cfRule type="cellIs" dxfId="14" priority="15" operator="equal">
      <formula>1</formula>
    </cfRule>
  </conditionalFormatting>
  <conditionalFormatting sqref="CQ4">
    <cfRule type="cellIs" dxfId="13" priority="14" operator="equal">
      <formula>1</formula>
    </cfRule>
  </conditionalFormatting>
  <conditionalFormatting sqref="CT4">
    <cfRule type="cellIs" dxfId="12" priority="13" operator="equal">
      <formula>1</formula>
    </cfRule>
  </conditionalFormatting>
  <conditionalFormatting sqref="CW4">
    <cfRule type="cellIs" dxfId="11" priority="12" operator="equal">
      <formula>1</formula>
    </cfRule>
  </conditionalFormatting>
  <conditionalFormatting sqref="CZ4">
    <cfRule type="cellIs" dxfId="10" priority="11" operator="equal">
      <formula>1</formula>
    </cfRule>
  </conditionalFormatting>
  <conditionalFormatting sqref="DC4">
    <cfRule type="cellIs" dxfId="9" priority="10" operator="equal">
      <formula>1</formula>
    </cfRule>
  </conditionalFormatting>
  <conditionalFormatting sqref="DF4">
    <cfRule type="cellIs" dxfId="8" priority="9" operator="equal">
      <formula>1</formula>
    </cfRule>
  </conditionalFormatting>
  <conditionalFormatting sqref="DI4">
    <cfRule type="cellIs" dxfId="7" priority="8" operator="equal">
      <formula>1</formula>
    </cfRule>
  </conditionalFormatting>
  <conditionalFormatting sqref="DL4">
    <cfRule type="cellIs" dxfId="6" priority="7" operator="equal">
      <formula>1</formula>
    </cfRule>
  </conditionalFormatting>
  <conditionalFormatting sqref="DO4">
    <cfRule type="cellIs" dxfId="5" priority="6" operator="equal">
      <formula>1</formula>
    </cfRule>
  </conditionalFormatting>
  <conditionalFormatting sqref="DR4">
    <cfRule type="cellIs" dxfId="4" priority="5" operator="equal">
      <formula>1</formula>
    </cfRule>
  </conditionalFormatting>
  <conditionalFormatting sqref="X52:X56">
    <cfRule type="cellIs" dxfId="3" priority="4" operator="equal">
      <formula>1</formula>
    </cfRule>
  </conditionalFormatting>
  <conditionalFormatting sqref="Y71:Y78">
    <cfRule type="cellIs" dxfId="2" priority="3" operator="equal">
      <formula>1</formula>
    </cfRule>
  </conditionalFormatting>
  <conditionalFormatting sqref="Y80:Y84">
    <cfRule type="cellIs" dxfId="1" priority="2" operator="equal">
      <formula>1</formula>
    </cfRule>
  </conditionalFormatting>
  <conditionalFormatting sqref="AF4">
    <cfRule type="cellIs" dxfId="0" priority="1" operator="equal">
      <formula>1</formula>
    </cfRule>
  </conditionalFormatting>
  <pageMargins left="0.25" right="0.25" top="0.75" bottom="0.75" header="0.3" footer="0.3"/>
  <pageSetup paperSize="9" orientation="portrait" r:id="rId1"/>
  <ignoredErrors>
    <ignoredError sqref="B15"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A1:CL50"/>
  <sheetViews>
    <sheetView tabSelected="1" zoomScaleNormal="100" workbookViewId="0"/>
  </sheetViews>
  <sheetFormatPr defaultRowHeight="11.25" x14ac:dyDescent="0.25"/>
  <cols>
    <col min="1" max="1" width="3.85546875" style="51" customWidth="1"/>
    <col min="2" max="3" width="9.140625" style="51"/>
    <col min="4" max="4" width="2.5703125" style="51" customWidth="1"/>
    <col min="5" max="35" width="7.140625" style="51" customWidth="1"/>
    <col min="36" max="36" width="11.42578125" style="51" bestFit="1" customWidth="1"/>
    <col min="37" max="37" width="2.5703125" style="51" customWidth="1"/>
    <col min="38" max="38" width="10.28515625" style="51" bestFit="1" customWidth="1"/>
    <col min="39" max="40" width="7.42578125" style="51" bestFit="1" customWidth="1"/>
    <col min="41" max="41" width="5.28515625" style="51" customWidth="1"/>
    <col min="42" max="42" width="9.7109375" style="50" bestFit="1" customWidth="1"/>
    <col min="43" max="43" width="7.42578125" style="51" bestFit="1" customWidth="1"/>
    <col min="44" max="44" width="2.5703125" style="51" customWidth="1"/>
    <col min="45" max="85" width="7.140625" style="51" customWidth="1"/>
    <col min="86" max="16384" width="9.140625" style="51"/>
  </cols>
  <sheetData>
    <row r="1" spans="1:90" x14ac:dyDescent="0.25">
      <c r="A1" s="73"/>
      <c r="B1" s="73"/>
      <c r="C1" s="73"/>
      <c r="D1" s="73"/>
      <c r="E1" s="73"/>
      <c r="F1" s="101"/>
      <c r="G1" s="101"/>
      <c r="H1" s="101"/>
      <c r="I1" s="73"/>
      <c r="J1" s="73"/>
      <c r="K1" s="73"/>
      <c r="L1" s="73"/>
      <c r="M1" s="73"/>
      <c r="N1" s="73"/>
      <c r="O1" s="73"/>
      <c r="P1" s="105"/>
      <c r="Q1" s="105"/>
      <c r="R1" s="105"/>
      <c r="S1" s="105"/>
      <c r="T1" s="105"/>
      <c r="U1" s="105"/>
      <c r="V1" s="105"/>
      <c r="W1" s="105"/>
      <c r="X1" s="105"/>
      <c r="Y1" s="105"/>
      <c r="Z1" s="105"/>
      <c r="AA1" s="105"/>
      <c r="AB1" s="105"/>
      <c r="AC1" s="105"/>
      <c r="AD1" s="105"/>
      <c r="AE1" s="105"/>
      <c r="AF1" s="105"/>
      <c r="AG1" s="73"/>
      <c r="AH1" s="73"/>
      <c r="AI1" s="73"/>
      <c r="AJ1" s="73"/>
      <c r="AK1" s="73"/>
      <c r="AL1" s="73"/>
      <c r="AM1" s="73"/>
      <c r="BD1" s="50"/>
    </row>
    <row r="2" spans="1:90" x14ac:dyDescent="0.25">
      <c r="A2" s="73"/>
      <c r="B2" s="163" t="str">
        <f>CONCATENATE(SLABP_MB_IM_3Y!B3," ON ",SLABP_MB_IM_3Y!B5," ",SLABP_MB_IM_3Y!B6,"Y")</f>
        <v>STANDARD LONG AUTOCALLABLE BARRIER (SLAB) ON Mediobanca S.p.a. 3Y</v>
      </c>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Y2" s="51">
        <f>[1]!Mlgetfigure(1,1)</f>
        <v>0</v>
      </c>
    </row>
    <row r="3" spans="1:90" x14ac:dyDescent="0.25">
      <c r="A3" s="73"/>
      <c r="B3" s="114"/>
      <c r="C3" s="114"/>
      <c r="D3" s="114"/>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c r="AN3" s="115"/>
      <c r="AO3" s="115"/>
      <c r="BD3" s="50"/>
      <c r="BP3" s="107"/>
      <c r="BQ3" s="108"/>
    </row>
    <row r="4" spans="1:90" x14ac:dyDescent="0.25">
      <c r="A4" s="73"/>
      <c r="B4" s="163" t="s">
        <v>21</v>
      </c>
      <c r="C4" s="163"/>
      <c r="D4" s="163"/>
      <c r="E4" s="163"/>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row>
    <row r="5" spans="1:90" ht="11.25" customHeight="1" x14ac:dyDescent="0.25">
      <c r="A5" s="73"/>
      <c r="B5" s="54"/>
      <c r="C5" s="54"/>
      <c r="D5" s="55"/>
      <c r="E5" s="164" t="s">
        <v>70</v>
      </c>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6"/>
      <c r="AS5" s="160" t="s">
        <v>71</v>
      </c>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161"/>
      <c r="BU5" s="161"/>
      <c r="BV5" s="161"/>
      <c r="BW5" s="162"/>
    </row>
    <row r="6" spans="1:90" ht="11.25" customHeight="1" x14ac:dyDescent="0.25">
      <c r="A6" s="73"/>
      <c r="B6" s="56"/>
      <c r="C6" s="57"/>
      <c r="D6" s="57"/>
      <c r="E6" s="143" t="s">
        <v>165</v>
      </c>
      <c r="F6" s="143" t="s">
        <v>104</v>
      </c>
      <c r="G6" s="143" t="s">
        <v>105</v>
      </c>
      <c r="H6" s="143" t="s">
        <v>106</v>
      </c>
      <c r="I6" s="143" t="s">
        <v>107</v>
      </c>
      <c r="J6" s="143" t="s">
        <v>108</v>
      </c>
      <c r="K6" s="143" t="s">
        <v>109</v>
      </c>
      <c r="L6" s="143" t="s">
        <v>110</v>
      </c>
      <c r="M6" s="143" t="s">
        <v>111</v>
      </c>
      <c r="N6" s="143" t="s">
        <v>112</v>
      </c>
      <c r="O6" s="143" t="s">
        <v>113</v>
      </c>
      <c r="P6" s="143" t="s">
        <v>114</v>
      </c>
      <c r="Q6" s="143" t="s">
        <v>115</v>
      </c>
      <c r="R6" s="143" t="s">
        <v>116</v>
      </c>
      <c r="S6" s="143" t="s">
        <v>117</v>
      </c>
      <c r="T6" s="143" t="s">
        <v>118</v>
      </c>
      <c r="U6" s="143" t="s">
        <v>119</v>
      </c>
      <c r="V6" s="143" t="s">
        <v>120</v>
      </c>
      <c r="W6" s="143" t="s">
        <v>121</v>
      </c>
      <c r="X6" s="143" t="s">
        <v>122</v>
      </c>
      <c r="Y6" s="143" t="s">
        <v>123</v>
      </c>
      <c r="Z6" s="143" t="s">
        <v>124</v>
      </c>
      <c r="AA6" s="143" t="s">
        <v>125</v>
      </c>
      <c r="AB6" s="143" t="s">
        <v>126</v>
      </c>
      <c r="AC6" s="143" t="s">
        <v>127</v>
      </c>
      <c r="AD6" s="143" t="s">
        <v>128</v>
      </c>
      <c r="AE6" s="143" t="s">
        <v>129</v>
      </c>
      <c r="AF6" s="143" t="s">
        <v>130</v>
      </c>
      <c r="AG6" s="143" t="s">
        <v>131</v>
      </c>
      <c r="AH6" s="143" t="s">
        <v>132</v>
      </c>
      <c r="AI6" s="143" t="s">
        <v>133</v>
      </c>
      <c r="AJ6" s="158" t="s">
        <v>166</v>
      </c>
      <c r="AK6" s="50"/>
      <c r="AL6" s="157" t="str">
        <f>CONCATENATE(AI6," = DET")</f>
        <v>IRR 36M = DET</v>
      </c>
      <c r="AM6" s="157"/>
      <c r="AN6" s="157"/>
      <c r="AO6" s="75"/>
      <c r="AP6" s="157" t="str">
        <f>CONCATENATE(AI6," = 0")</f>
        <v>IRR 36M = 0</v>
      </c>
      <c r="AQ6" s="157"/>
      <c r="AR6" s="73"/>
      <c r="AS6" s="157" t="s">
        <v>34</v>
      </c>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row>
    <row r="7" spans="1:90" ht="11.25" customHeight="1" x14ac:dyDescent="0.25">
      <c r="A7" s="73"/>
      <c r="B7" s="168" t="s">
        <v>89</v>
      </c>
      <c r="C7" s="168"/>
      <c r="D7" s="57"/>
      <c r="E7" s="144"/>
      <c r="F7" s="144"/>
      <c r="G7" s="144"/>
      <c r="H7" s="144"/>
      <c r="I7" s="144"/>
      <c r="J7" s="144"/>
      <c r="K7" s="144"/>
      <c r="L7" s="144"/>
      <c r="M7" s="144"/>
      <c r="N7" s="144"/>
      <c r="O7" s="144"/>
      <c r="P7" s="144"/>
      <c r="Q7" s="144"/>
      <c r="R7" s="144"/>
      <c r="S7" s="144"/>
      <c r="T7" s="144"/>
      <c r="U7" s="144"/>
      <c r="V7" s="144"/>
      <c r="W7" s="144"/>
      <c r="X7" s="144"/>
      <c r="Y7" s="144"/>
      <c r="Z7" s="144"/>
      <c r="AA7" s="144"/>
      <c r="AB7" s="144"/>
      <c r="AC7" s="144"/>
      <c r="AD7" s="144"/>
      <c r="AE7" s="144"/>
      <c r="AF7" s="144"/>
      <c r="AG7" s="144"/>
      <c r="AH7" s="144"/>
      <c r="AI7" s="144"/>
      <c r="AJ7" s="159"/>
      <c r="AK7" s="50"/>
      <c r="AL7" s="80" t="s">
        <v>35</v>
      </c>
      <c r="AM7" s="80" t="s">
        <v>36</v>
      </c>
      <c r="AN7" s="80" t="s">
        <v>37</v>
      </c>
      <c r="AO7" s="80"/>
      <c r="AP7" s="80" t="s">
        <v>35</v>
      </c>
      <c r="AQ7" s="80" t="s">
        <v>92</v>
      </c>
      <c r="AR7" s="73"/>
      <c r="AS7" s="81" t="s">
        <v>167</v>
      </c>
      <c r="AT7" s="81" t="s">
        <v>135</v>
      </c>
      <c r="AU7" s="81" t="s">
        <v>136</v>
      </c>
      <c r="AV7" s="81" t="s">
        <v>137</v>
      </c>
      <c r="AW7" s="81" t="s">
        <v>138</v>
      </c>
      <c r="AX7" s="117" t="s">
        <v>139</v>
      </c>
      <c r="AY7" s="117" t="s">
        <v>140</v>
      </c>
      <c r="AZ7" s="117" t="s">
        <v>141</v>
      </c>
      <c r="BA7" s="117" t="s">
        <v>142</v>
      </c>
      <c r="BB7" s="117" t="s">
        <v>143</v>
      </c>
      <c r="BC7" s="117" t="s">
        <v>144</v>
      </c>
      <c r="BD7" s="117" t="s">
        <v>145</v>
      </c>
      <c r="BE7" s="117" t="s">
        <v>146</v>
      </c>
      <c r="BF7" s="117" t="s">
        <v>147</v>
      </c>
      <c r="BG7" s="117" t="s">
        <v>148</v>
      </c>
      <c r="BH7" s="117" t="s">
        <v>149</v>
      </c>
      <c r="BI7" s="117" t="s">
        <v>150</v>
      </c>
      <c r="BJ7" s="117" t="s">
        <v>151</v>
      </c>
      <c r="BK7" s="117" t="s">
        <v>152</v>
      </c>
      <c r="BL7" s="117" t="s">
        <v>153</v>
      </c>
      <c r="BM7" s="117" t="s">
        <v>154</v>
      </c>
      <c r="BN7" s="117" t="s">
        <v>155</v>
      </c>
      <c r="BO7" s="117" t="s">
        <v>156</v>
      </c>
      <c r="BP7" s="117" t="s">
        <v>157</v>
      </c>
      <c r="BQ7" s="117" t="s">
        <v>158</v>
      </c>
      <c r="BR7" s="117" t="s">
        <v>159</v>
      </c>
      <c r="BS7" s="117" t="s">
        <v>160</v>
      </c>
      <c r="BT7" s="117" t="s">
        <v>161</v>
      </c>
      <c r="BU7" s="117" t="s">
        <v>162</v>
      </c>
      <c r="BV7" s="117" t="s">
        <v>163</v>
      </c>
      <c r="BW7" s="117" t="s">
        <v>164</v>
      </c>
    </row>
    <row r="8" spans="1:90" ht="11.25" customHeight="1" x14ac:dyDescent="0.25">
      <c r="A8" s="73"/>
      <c r="B8" s="155" t="s">
        <v>77</v>
      </c>
      <c r="C8" s="155"/>
      <c r="D8" s="57"/>
      <c r="E8" s="91">
        <f>SLABP_MB_IM_3Y!AE4</f>
        <v>7.8016986056597834E-2</v>
      </c>
      <c r="F8" s="91">
        <f>SLABP_MB_IM_3Y!AH4</f>
        <v>7.9131378494482707E-2</v>
      </c>
      <c r="G8" s="91">
        <f>SLABP_MB_IM_3Y!AK4</f>
        <v>7.7704181643301423E-2</v>
      </c>
      <c r="H8" s="91">
        <f>SLABP_MB_IM_3Y!AN4</f>
        <v>7.8302874596562391E-2</v>
      </c>
      <c r="I8" s="91">
        <f>SLABP_MB_IM_3Y!AQ4</f>
        <v>7.8788483446871907E-2</v>
      </c>
      <c r="J8" s="91">
        <f>SLABP_MB_IM_3Y!AT4</f>
        <v>7.8253557473410437E-2</v>
      </c>
      <c r="K8" s="91">
        <f>SLABP_MB_IM_3Y!AW4</f>
        <v>7.8658697720893622E-2</v>
      </c>
      <c r="L8" s="91">
        <f>SLABP_MB_IM_3Y!AZ4</f>
        <v>7.880696825759996E-2</v>
      </c>
      <c r="M8" s="91">
        <f>SLABP_MB_IM_3Y!BC4</f>
        <v>7.8569755092296342E-2</v>
      </c>
      <c r="N8" s="91">
        <f>SLABP_MB_IM_3Y!BF4</f>
        <v>7.8872599564190488E-2</v>
      </c>
      <c r="O8" s="91">
        <f>SLABP_MB_IM_3Y!BI4</f>
        <v>7.8820561482925891E-2</v>
      </c>
      <c r="P8" s="91">
        <f>SLABP_MB_IM_3Y!BL4</f>
        <v>7.8626170656641889E-2</v>
      </c>
      <c r="Q8" s="91">
        <f>SLABP_MB_IM_3Y!BO4</f>
        <v>7.8873298438296879E-2</v>
      </c>
      <c r="R8" s="91">
        <f>SLABP_MB_IM_3Y!BR4</f>
        <v>7.8962560763193135E-2</v>
      </c>
      <c r="S8" s="91">
        <f>SLABP_MB_IM_3Y!BU4</f>
        <v>7.8791616910366583E-2</v>
      </c>
      <c r="T8" s="91">
        <f>SLABP_MB_IM_3Y!BX4</f>
        <v>7.887532809929243E-2</v>
      </c>
      <c r="U8" s="91">
        <f>SLABP_MB_IM_3Y!CA4</f>
        <v>7.9179527802787544E-2</v>
      </c>
      <c r="V8" s="91">
        <f>SLABP_MB_IM_3Y!CD4</f>
        <v>7.8914297588922613E-2</v>
      </c>
      <c r="W8" s="91">
        <f>SLABP_MB_IM_3Y!CG4</f>
        <v>7.9189990871062085E-2</v>
      </c>
      <c r="X8" s="91">
        <f>SLABP_MB_IM_3Y!CJ4</f>
        <v>7.9145595928281645E-2</v>
      </c>
      <c r="Y8" s="91">
        <f>SLABP_MB_IM_3Y!CM4</f>
        <v>7.9009499512070203E-2</v>
      </c>
      <c r="Z8" s="91">
        <f>SLABP_MB_IM_3Y!CP4</f>
        <v>7.9157700812520382E-2</v>
      </c>
      <c r="AA8" s="91">
        <f>SLABP_MB_IM_3Y!CS4</f>
        <v>7.8944064552858642E-2</v>
      </c>
      <c r="AB8" s="91">
        <f>SLABP_MB_IM_3Y!CV4</f>
        <v>7.9082959970272634E-2</v>
      </c>
      <c r="AC8" s="91">
        <f>SLABP_MB_IM_3Y!CY4</f>
        <v>7.9131373419489656E-2</v>
      </c>
      <c r="AD8" s="91">
        <f>SLABP_MB_IM_3Y!DB4</f>
        <v>7.9019510122603873E-2</v>
      </c>
      <c r="AE8" s="91">
        <f>SLABP_MB_IM_3Y!DE4</f>
        <v>7.9142222703105308E-2</v>
      </c>
      <c r="AF8" s="91">
        <f>SLABP_MB_IM_3Y!DH4</f>
        <v>7.9110800885620586E-2</v>
      </c>
      <c r="AG8" s="91">
        <f>SLABP_MB_IM_3Y!DK4</f>
        <v>7.9294617415807317E-2</v>
      </c>
      <c r="AH8" s="91">
        <f>SLABP_MB_IM_3Y!DN4</f>
        <v>7.9192240177374265E-2</v>
      </c>
      <c r="AI8" s="91">
        <f>SLABP_MB_IM_3Y!P4</f>
        <v>7.9430083968539567E-2</v>
      </c>
      <c r="AJ8" s="91">
        <f>SLABP_MB_IM_3Y!Q42^(1/(SLABP_MB_IM_3Y!$N42-SLABP_MB_IM_3Y!$N$6))-1</f>
        <v>0.15419027896643045</v>
      </c>
      <c r="AK8" s="50"/>
      <c r="AL8" s="92">
        <f>IF(SLABP_MB_IM_3Y!S52+SLABP_MB_IM_3Y!S58=0,"-",SLABP_MB_IM_3Y!S52)</f>
        <v>-0.14928712686567169</v>
      </c>
      <c r="AM8" s="92">
        <f>IF(SLABP_MB_IM_3Y!T52+SLABP_MB_IM_3Y!T58=0,"-",SLABP_MB_IM_3Y!T52)</f>
        <v>7.9400000000000012E-2</v>
      </c>
      <c r="AN8" s="92" t="str">
        <f>IF(SLABP_MB_IM_3Y!U52+SLABP_MB_IM_3Y!U58=0,"-",SLABP_MB_IM_3Y!U52)</f>
        <v>-</v>
      </c>
      <c r="AO8" s="92"/>
      <c r="AP8" s="92">
        <f>IF(SLABP_MB_IM_3Y!V52+SLABP_MB_IM_3Y!V58=0,"-",SLABP_MB_IM_3Y!V52)</f>
        <v>-0.21171479046836494</v>
      </c>
      <c r="AQ8" s="92">
        <f>IF(SLABP_MB_IM_3Y!W52+SLABP_MB_IM_3Y!W58=0,"-",SLABP_MB_IM_3Y!W52)</f>
        <v>4.6127227722772224E-2</v>
      </c>
      <c r="AR8" s="73"/>
      <c r="AS8" s="73"/>
      <c r="AT8" s="73"/>
      <c r="AU8" s="73"/>
      <c r="AV8" s="101"/>
      <c r="AW8" s="101"/>
      <c r="AX8" s="101"/>
      <c r="BK8" s="107"/>
      <c r="BL8" s="108"/>
      <c r="BM8" s="50"/>
    </row>
    <row r="9" spans="1:90" ht="11.25" customHeight="1" x14ac:dyDescent="0.25">
      <c r="A9" s="73"/>
      <c r="B9" s="83"/>
      <c r="C9" s="83"/>
      <c r="D9" s="57"/>
      <c r="E9" s="57"/>
      <c r="F9" s="105"/>
      <c r="G9" s="101"/>
      <c r="H9" s="105"/>
      <c r="I9" s="73"/>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73"/>
      <c r="AJ9" s="73"/>
      <c r="AK9" s="50"/>
      <c r="AL9" s="85" t="str">
        <f>IF(SLABP_MB_IM_3Y!S52+SLABP_MB_IM_3Y!S58=0,"-",CONCATENATE("(",TEXT(SLABP_MB_IM_3Y!S58,"0,0%"),")"))</f>
        <v>(99,2%)</v>
      </c>
      <c r="AM9" s="85" t="str">
        <f>IF(SLABP_MB_IM_3Y!T52+SLABP_MB_IM_3Y!T58=0,"-",CONCATENATE("(",TEXT(SLABP_MB_IM_3Y!T58,"0,0%"),")"))</f>
        <v>(0,8%)</v>
      </c>
      <c r="AN9" s="85" t="str">
        <f>IF(SLABP_MB_IM_3Y!U52+SLABP_MB_IM_3Y!U58=0,"-",CONCATENATE("(",TEXT(SLABP_MB_IM_3Y!U58,"0%"),")"))</f>
        <v>-</v>
      </c>
      <c r="AO9" s="85"/>
      <c r="AP9" s="85" t="str">
        <f>IF(SLABP_MB_IM_3Y!V52+SLABP_MB_IM_3Y!V58=0,"-",CONCATENATE("(",TEXT(SLABP_MB_IM_3Y!V58,"0,0%"),")"))</f>
        <v>(75,1%)</v>
      </c>
      <c r="AQ9" s="85" t="str">
        <f>IF(SLABP_MB_IM_3Y!W52+SLABP_MB_IM_3Y!W58=0,"-",CONCATENATE("(",TEXT(SLABP_MB_IM_3Y!W58,"0,0%"),")"))</f>
        <v>(24,9%)</v>
      </c>
      <c r="AR9" s="86"/>
      <c r="AS9" s="85" t="str">
        <f>CONCATENATE("(",TEXT(SLABP_MB_IM_3Y!Y52,"0,0%"),")")</f>
        <v>(51,3%)</v>
      </c>
      <c r="AT9" s="85" t="str">
        <f>CONCATENATE("(",TEXT(SLABP_MB_IM_3Y!Z52,"0,0%"),")")</f>
        <v>(0,0%)</v>
      </c>
      <c r="AU9" s="85" t="str">
        <f>CONCATENATE("(",TEXT(SLABP_MB_IM_3Y!AA52,"0,0%"),")")</f>
        <v>(0,0%)</v>
      </c>
      <c r="AV9" s="85" t="str">
        <f>CONCATENATE("(",TEXT(SLABP_MB_IM_3Y!AB52,"0,0%"),")")</f>
        <v>(0,0%)</v>
      </c>
      <c r="AW9" s="85" t="str">
        <f>CONCATENATE("(",TEXT(SLABP_MB_IM_3Y!AC52,"0,0%"),")")</f>
        <v>(0,0%)</v>
      </c>
      <c r="AX9" s="85" t="str">
        <f>CONCATENATE("(",TEXT(SLABP_MB_IM_3Y!AD52,"0,0%"),")")</f>
        <v>(0,0%)</v>
      </c>
      <c r="AY9" s="85" t="str">
        <f>CONCATENATE("(",TEXT(SLABP_MB_IM_3Y!AE52,"0,0%"),")")</f>
        <v>(0,0%)</v>
      </c>
      <c r="AZ9" s="85" t="str">
        <f>CONCATENATE("(",TEXT(SLABP_MB_IM_3Y!AF52,"0,0%"),")")</f>
        <v>(0,0%)</v>
      </c>
      <c r="BA9" s="85" t="str">
        <f>CONCATENATE("(",TEXT(SLABP_MB_IM_3Y!AG52,"0,0%"),")")</f>
        <v>(0,0%)</v>
      </c>
      <c r="BB9" s="85" t="str">
        <f>CONCATENATE("(",TEXT(SLABP_MB_IM_3Y!AH52,"0,0%"),")")</f>
        <v>(0,0%)</v>
      </c>
      <c r="BC9" s="85" t="str">
        <f>CONCATENATE("(",TEXT(SLABP_MB_IM_3Y!AI52,"0,0%"),")")</f>
        <v>(0,0%)</v>
      </c>
      <c r="BD9" s="85" t="str">
        <f>CONCATENATE("(",TEXT(SLABP_MB_IM_3Y!AJ52,"0,0%"),")")</f>
        <v>(0,0%)</v>
      </c>
      <c r="BE9" s="85" t="str">
        <f>CONCATENATE("(",TEXT(SLABP_MB_IM_3Y!AK52,"0,0%"),")")</f>
        <v>(0,0%)</v>
      </c>
      <c r="BF9" s="85" t="str">
        <f>CONCATENATE("(",TEXT(SLABP_MB_IM_3Y!AL52,"0,0%"),")")</f>
        <v>(0,0%)</v>
      </c>
      <c r="BG9" s="85" t="str">
        <f>CONCATENATE("(",TEXT(SLABP_MB_IM_3Y!AM52,"0,0%"),")")</f>
        <v>(0,0%)</v>
      </c>
      <c r="BH9" s="85" t="str">
        <f>CONCATENATE("(",TEXT(SLABP_MB_IM_3Y!AN52,"0,0%"),")")</f>
        <v>(0,0%)</v>
      </c>
      <c r="BI9" s="85" t="str">
        <f>CONCATENATE("(",TEXT(SLABP_MB_IM_3Y!AO52,"0,0%"),")")</f>
        <v>(0,0%)</v>
      </c>
      <c r="BJ9" s="85" t="str">
        <f>CONCATENATE("(",TEXT(SLABP_MB_IM_3Y!AP52,"0,0%"),")")</f>
        <v>(0,0%)</v>
      </c>
      <c r="BK9" s="85" t="str">
        <f>CONCATENATE("(",TEXT(SLABP_MB_IM_3Y!AQ52,"0,0%"),")")</f>
        <v>(0,0%)</v>
      </c>
      <c r="BL9" s="85" t="str">
        <f>CONCATENATE("(",TEXT(SLABP_MB_IM_3Y!AR52,"0,0%"),")")</f>
        <v>(0,0%)</v>
      </c>
      <c r="BM9" s="85" t="str">
        <f>CONCATENATE("(",TEXT(SLABP_MB_IM_3Y!AS52,"0,0%"),")")</f>
        <v>(0,0%)</v>
      </c>
      <c r="BN9" s="85" t="str">
        <f>CONCATENATE("(",TEXT(SLABP_MB_IM_3Y!AT52,"0,0%"),")")</f>
        <v>(0,0%)</v>
      </c>
      <c r="BO9" s="85" t="str">
        <f>CONCATENATE("(",TEXT(SLABP_MB_IM_3Y!AU52,"0,0%"),")")</f>
        <v>(0,0%)</v>
      </c>
      <c r="BP9" s="85" t="str">
        <f>CONCATENATE("(",TEXT(SLABP_MB_IM_3Y!AV52,"0,0%"),")")</f>
        <v>(0,0%)</v>
      </c>
      <c r="BQ9" s="85" t="str">
        <f>CONCATENATE("(",TEXT(SLABP_MB_IM_3Y!AW52,"0,0%"),")")</f>
        <v>(0,0%)</v>
      </c>
      <c r="BR9" s="85" t="str">
        <f>CONCATENATE("(",TEXT(SLABP_MB_IM_3Y!AX52,"0,0%"),")")</f>
        <v>(0,0%)</v>
      </c>
      <c r="BS9" s="85" t="str">
        <f>CONCATENATE("(",TEXT(SLABP_MB_IM_3Y!AY52,"0,0%"),")")</f>
        <v>(0,0%)</v>
      </c>
      <c r="BT9" s="85" t="str">
        <f>CONCATENATE("(",TEXT(SLABP_MB_IM_3Y!AZ52,"0,0%"),")")</f>
        <v>(0,0%)</v>
      </c>
      <c r="BU9" s="85" t="str">
        <f>CONCATENATE("(",TEXT(SLABP_MB_IM_3Y!BA52,"0,0%"),")")</f>
        <v>(0,0%)</v>
      </c>
      <c r="BV9" s="85" t="str">
        <f>CONCATENATE("(",TEXT(SLABP_MB_IM_3Y!BB52,"0,0%"),")")</f>
        <v>(0,0%)</v>
      </c>
      <c r="BW9" s="85" t="str">
        <f>CONCATENATE("(",TEXT(SLABP_MB_IM_3Y!BC52,"0,0%"),")")</f>
        <v>(16,2%)</v>
      </c>
      <c r="CJ9" s="85"/>
      <c r="CK9" s="85"/>
      <c r="CL9" s="85"/>
    </row>
    <row r="10" spans="1:90" ht="11.25" customHeight="1" x14ac:dyDescent="0.25">
      <c r="A10" s="73"/>
      <c r="B10" s="155" t="s">
        <v>16</v>
      </c>
      <c r="C10" s="155"/>
      <c r="D10" s="57"/>
      <c r="E10" s="91">
        <f t="shared" ref="E10:AH10" si="0">E8</f>
        <v>7.8016986056597834E-2</v>
      </c>
      <c r="F10" s="91">
        <f t="shared" si="0"/>
        <v>7.9131378494482707E-2</v>
      </c>
      <c r="G10" s="91">
        <f t="shared" si="0"/>
        <v>7.7704181643301423E-2</v>
      </c>
      <c r="H10" s="91">
        <f t="shared" si="0"/>
        <v>7.8302874596562391E-2</v>
      </c>
      <c r="I10" s="91">
        <f t="shared" si="0"/>
        <v>7.8788483446871907E-2</v>
      </c>
      <c r="J10" s="91">
        <f t="shared" si="0"/>
        <v>7.8253557473410437E-2</v>
      </c>
      <c r="K10" s="91">
        <f t="shared" si="0"/>
        <v>7.8658697720893622E-2</v>
      </c>
      <c r="L10" s="91">
        <f t="shared" si="0"/>
        <v>7.880696825759996E-2</v>
      </c>
      <c r="M10" s="91">
        <f t="shared" si="0"/>
        <v>7.8569755092296342E-2</v>
      </c>
      <c r="N10" s="91">
        <f t="shared" si="0"/>
        <v>7.8872599564190488E-2</v>
      </c>
      <c r="O10" s="91">
        <f t="shared" si="0"/>
        <v>7.8820561482925891E-2</v>
      </c>
      <c r="P10" s="91">
        <f t="shared" si="0"/>
        <v>7.8626170656641889E-2</v>
      </c>
      <c r="Q10" s="91">
        <f t="shared" si="0"/>
        <v>7.8873298438296879E-2</v>
      </c>
      <c r="R10" s="91">
        <f t="shared" si="0"/>
        <v>7.8962560763193135E-2</v>
      </c>
      <c r="S10" s="91">
        <f t="shared" si="0"/>
        <v>7.8791616910366583E-2</v>
      </c>
      <c r="T10" s="91">
        <f t="shared" si="0"/>
        <v>7.887532809929243E-2</v>
      </c>
      <c r="U10" s="91">
        <f t="shared" si="0"/>
        <v>7.9179527802787544E-2</v>
      </c>
      <c r="V10" s="91">
        <f t="shared" si="0"/>
        <v>7.8914297588922613E-2</v>
      </c>
      <c r="W10" s="91">
        <f t="shared" si="0"/>
        <v>7.9189990871062085E-2</v>
      </c>
      <c r="X10" s="91">
        <f t="shared" si="0"/>
        <v>7.9145595928281645E-2</v>
      </c>
      <c r="Y10" s="91">
        <f t="shared" si="0"/>
        <v>7.9009499512070203E-2</v>
      </c>
      <c r="Z10" s="91">
        <f t="shared" si="0"/>
        <v>7.9157700812520382E-2</v>
      </c>
      <c r="AA10" s="91">
        <f t="shared" si="0"/>
        <v>7.8944064552858642E-2</v>
      </c>
      <c r="AB10" s="91">
        <f t="shared" si="0"/>
        <v>7.9082959970272634E-2</v>
      </c>
      <c r="AC10" s="91">
        <f t="shared" si="0"/>
        <v>7.9131373419489656E-2</v>
      </c>
      <c r="AD10" s="91">
        <f t="shared" si="0"/>
        <v>7.9019510122603873E-2</v>
      </c>
      <c r="AE10" s="91">
        <f t="shared" si="0"/>
        <v>7.9142222703105308E-2</v>
      </c>
      <c r="AF10" s="91">
        <f t="shared" si="0"/>
        <v>7.9110800885620586E-2</v>
      </c>
      <c r="AG10" s="91">
        <f t="shared" si="0"/>
        <v>7.9294617415807317E-2</v>
      </c>
      <c r="AH10" s="91">
        <f t="shared" si="0"/>
        <v>7.9192240177374265E-2</v>
      </c>
      <c r="AI10" s="91">
        <f>SLABP_MB_IM_3Y!S4</f>
        <v>7.9430083968539567E-2</v>
      </c>
      <c r="AJ10" s="91">
        <f>SLABP_MB_IM_3Y!T42^(1/(SLABP_MB_IM_3Y!$N42-SLABP_MB_IM_3Y!$N$6))-1</f>
        <v>0</v>
      </c>
      <c r="AK10" s="50"/>
      <c r="AL10" s="92">
        <f>IF(SLABP_MB_IM_3Y!S53+SLABP_MB_IM_3Y!S59=0,"-",SLABP_MB_IM_3Y!S53)</f>
        <v>-0.154131111111111</v>
      </c>
      <c r="AM10" s="92">
        <f>IF(SLABP_MB_IM_3Y!T53+SLABP_MB_IM_3Y!T59=0,"-",SLABP_MB_IM_3Y!T53)</f>
        <v>7.9400000000000012E-2</v>
      </c>
      <c r="AN10" s="92" t="str">
        <f>IF(SLABP_MB_IM_3Y!U53+SLABP_MB_IM_3Y!U59=0,"-",SLABP_MB_IM_3Y!U53)</f>
        <v>-</v>
      </c>
      <c r="AO10" s="92"/>
      <c r="AP10" s="92">
        <f>IF(SLABP_MB_IM_3Y!V53+SLABP_MB_IM_3Y!V59=0,"-",SLABP_MB_IM_3Y!V53)</f>
        <v>-0.21501641221374063</v>
      </c>
      <c r="AQ10" s="92">
        <f>IF(SLABP_MB_IM_3Y!W53+SLABP_MB_IM_3Y!W59=0,"-",SLABP_MB_IM_3Y!W53)</f>
        <v>4.6181751824817513E-2</v>
      </c>
      <c r="AR10" s="73"/>
      <c r="AS10" s="73"/>
      <c r="AT10" s="73"/>
      <c r="AU10" s="73"/>
      <c r="AV10" s="101"/>
      <c r="AW10" s="101"/>
      <c r="AX10" s="101"/>
      <c r="BK10" s="107"/>
      <c r="BL10" s="108"/>
      <c r="BM10" s="50"/>
    </row>
    <row r="11" spans="1:90" ht="11.25" customHeight="1" x14ac:dyDescent="0.25">
      <c r="A11" s="73"/>
      <c r="B11" s="83"/>
      <c r="C11" s="83"/>
      <c r="D11" s="57"/>
      <c r="E11" s="57"/>
      <c r="F11" s="105"/>
      <c r="G11" s="101"/>
      <c r="H11" s="105"/>
      <c r="I11" s="73"/>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73"/>
      <c r="AJ11" s="73"/>
      <c r="AK11" s="50"/>
      <c r="AL11" s="85" t="str">
        <f>IF(SLABP_MB_IM_3Y!S53+SLABP_MB_IM_3Y!S59=0,"-",CONCATENATE("(",TEXT(SLABP_MB_IM_3Y!S59,"0,0%"),")"))</f>
        <v>(99,4%)</v>
      </c>
      <c r="AM11" s="85" t="str">
        <f>IF(SLABP_MB_IM_3Y!T53+SLABP_MB_IM_3Y!T59=0,"-",CONCATENATE("(",TEXT(SLABP_MB_IM_3Y!T59,"0,0%"),")"))</f>
        <v>(0,6%)</v>
      </c>
      <c r="AN11" s="85" t="str">
        <f>IF(SLABP_MB_IM_3Y!U53+SLABP_MB_IM_3Y!U59=0,"-",CONCATENATE("(",TEXT(SLABP_MB_IM_3Y!U59,"0%"),")"))</f>
        <v>-</v>
      </c>
      <c r="AO11" s="85"/>
      <c r="AP11" s="85" t="str">
        <f>IF(SLABP_MB_IM_3Y!V53+SLABP_MB_IM_3Y!V59=0,"-",CONCATENATE("(",TEXT(SLABP_MB_IM_3Y!V59,"0,0%"),")"))</f>
        <v>(76,1%)</v>
      </c>
      <c r="AQ11" s="85" t="str">
        <f>IF(SLABP_MB_IM_3Y!W53+SLABP_MB_IM_3Y!W59=0,"-",CONCATENATE("(",TEXT(SLABP_MB_IM_3Y!W59,"0,0%"),")"))</f>
        <v>(23,9%)</v>
      </c>
      <c r="AR11" s="86"/>
      <c r="AS11" s="85" t="str">
        <f>CONCATENATE("(",TEXT(SLABP_MB_IM_3Y!Y53,"0,0%"),")")</f>
        <v>(50,6%)</v>
      </c>
      <c r="AT11" s="85" t="str">
        <f>CONCATENATE("(",TEXT(SLABP_MB_IM_3Y!Z53,"0,0%"),")")</f>
        <v>(0,0%)</v>
      </c>
      <c r="AU11" s="85" t="str">
        <f>CONCATENATE("(",TEXT(SLABP_MB_IM_3Y!AA53,"0,0%"),")")</f>
        <v>(0,0%)</v>
      </c>
      <c r="AV11" s="85" t="str">
        <f>CONCATENATE("(",TEXT(SLABP_MB_IM_3Y!AB53,"0,0%"),")")</f>
        <v>(0,0%)</v>
      </c>
      <c r="AW11" s="85" t="str">
        <f>CONCATENATE("(",TEXT(SLABP_MB_IM_3Y!AC53,"0,0%"),")")</f>
        <v>(0,0%)</v>
      </c>
      <c r="AX11" s="85" t="str">
        <f>CONCATENATE("(",TEXT(SLABP_MB_IM_3Y!AD53,"0,0%"),")")</f>
        <v>(0,0%)</v>
      </c>
      <c r="AY11" s="85" t="str">
        <f>CONCATENATE("(",TEXT(SLABP_MB_IM_3Y!AE53,"0,0%"),")")</f>
        <v>(0,0%)</v>
      </c>
      <c r="AZ11" s="85" t="str">
        <f>CONCATENATE("(",TEXT(SLABP_MB_IM_3Y!AF53,"0,0%"),")")</f>
        <v>(0,0%)</v>
      </c>
      <c r="BA11" s="85" t="str">
        <f>CONCATENATE("(",TEXT(SLABP_MB_IM_3Y!AG53,"0,0%"),")")</f>
        <v>(0,0%)</v>
      </c>
      <c r="BB11" s="85" t="str">
        <f>CONCATENATE("(",TEXT(SLABP_MB_IM_3Y!AH53,"0,0%"),")")</f>
        <v>(0,0%)</v>
      </c>
      <c r="BC11" s="85" t="str">
        <f>CONCATENATE("(",TEXT(SLABP_MB_IM_3Y!AI53,"0,0%"),")")</f>
        <v>(0,0%)</v>
      </c>
      <c r="BD11" s="85" t="str">
        <f>CONCATENATE("(",TEXT(SLABP_MB_IM_3Y!AJ53,"0,0%"),")")</f>
        <v>(0,0%)</v>
      </c>
      <c r="BE11" s="85" t="str">
        <f>CONCATENATE("(",TEXT(SLABP_MB_IM_3Y!AK53,"0,0%"),")")</f>
        <v>(0,0%)</v>
      </c>
      <c r="BF11" s="85" t="str">
        <f>CONCATENATE("(",TEXT(SLABP_MB_IM_3Y!AL53,"0,0%"),")")</f>
        <v>(0,0%)</v>
      </c>
      <c r="BG11" s="85" t="str">
        <f>CONCATENATE("(",TEXT(SLABP_MB_IM_3Y!AM53,"0,0%"),")")</f>
        <v>(0,0%)</v>
      </c>
      <c r="BH11" s="85" t="str">
        <f>CONCATENATE("(",TEXT(SLABP_MB_IM_3Y!AN53,"0,0%"),")")</f>
        <v>(0,0%)</v>
      </c>
      <c r="BI11" s="85" t="str">
        <f>CONCATENATE("(",TEXT(SLABP_MB_IM_3Y!AO53,"0,0%"),")")</f>
        <v>(0,0%)</v>
      </c>
      <c r="BJ11" s="85" t="str">
        <f>CONCATENATE("(",TEXT(SLABP_MB_IM_3Y!AP53,"0,0%"),")")</f>
        <v>(0,0%)</v>
      </c>
      <c r="BK11" s="85" t="str">
        <f>CONCATENATE("(",TEXT(SLABP_MB_IM_3Y!AQ53,"0,0%"),")")</f>
        <v>(0,0%)</v>
      </c>
      <c r="BL11" s="85" t="str">
        <f>CONCATENATE("(",TEXT(SLABP_MB_IM_3Y!AR53,"0,0%"),")")</f>
        <v>(0,0%)</v>
      </c>
      <c r="BM11" s="85" t="str">
        <f>CONCATENATE("(",TEXT(SLABP_MB_IM_3Y!AS53,"0,0%"),")")</f>
        <v>(0,0%)</v>
      </c>
      <c r="BN11" s="85" t="str">
        <f>CONCATENATE("(",TEXT(SLABP_MB_IM_3Y!AT53,"0,0%"),")")</f>
        <v>(0,0%)</v>
      </c>
      <c r="BO11" s="85" t="str">
        <f>CONCATENATE("(",TEXT(SLABP_MB_IM_3Y!AU53,"0,0%"),")")</f>
        <v>(0,0%)</v>
      </c>
      <c r="BP11" s="85" t="str">
        <f>CONCATENATE("(",TEXT(SLABP_MB_IM_3Y!AV53,"0,0%"),")")</f>
        <v>(0,0%)</v>
      </c>
      <c r="BQ11" s="85" t="str">
        <f>CONCATENATE("(",TEXT(SLABP_MB_IM_3Y!AW53,"0,0%"),")")</f>
        <v>(0,0%)</v>
      </c>
      <c r="BR11" s="85" t="str">
        <f>CONCATENATE("(",TEXT(SLABP_MB_IM_3Y!AX53,"0,0%"),")")</f>
        <v>(0,0%)</v>
      </c>
      <c r="BS11" s="85" t="str">
        <f>CONCATENATE("(",TEXT(SLABP_MB_IM_3Y!AY53,"0,0%"),")")</f>
        <v>(0,0%)</v>
      </c>
      <c r="BT11" s="85" t="str">
        <f>CONCATENATE("(",TEXT(SLABP_MB_IM_3Y!AZ53,"0,0%"),")")</f>
        <v>(0,0%)</v>
      </c>
      <c r="BU11" s="85" t="str">
        <f>CONCATENATE("(",TEXT(SLABP_MB_IM_3Y!BA53,"0,0%"),")")</f>
        <v>(0,0%)</v>
      </c>
      <c r="BV11" s="85" t="str">
        <f>CONCATENATE("(",TEXT(SLABP_MB_IM_3Y!BB53,"0,0%"),")")</f>
        <v>(0,0%)</v>
      </c>
      <c r="BW11" s="85" t="str">
        <f>CONCATENATE("(",TEXT(SLABP_MB_IM_3Y!BC53,"0,0%"),")")</f>
        <v>(17,2%)</v>
      </c>
    </row>
    <row r="12" spans="1:90" ht="11.25" customHeight="1" x14ac:dyDescent="0.25">
      <c r="A12" s="73"/>
      <c r="B12" s="155" t="s">
        <v>78</v>
      </c>
      <c r="C12" s="155"/>
      <c r="D12" s="57"/>
      <c r="E12" s="91" t="s">
        <v>5</v>
      </c>
      <c r="F12" s="91" t="s">
        <v>5</v>
      </c>
      <c r="G12" s="91" t="s">
        <v>5</v>
      </c>
      <c r="H12" s="91" t="s">
        <v>5</v>
      </c>
      <c r="I12" s="91" t="s">
        <v>5</v>
      </c>
      <c r="J12" s="91" t="s">
        <v>5</v>
      </c>
      <c r="K12" s="91" t="s">
        <v>5</v>
      </c>
      <c r="L12" s="91" t="s">
        <v>5</v>
      </c>
      <c r="M12" s="91" t="s">
        <v>5</v>
      </c>
      <c r="N12" s="91" t="s">
        <v>5</v>
      </c>
      <c r="O12" s="91" t="s">
        <v>5</v>
      </c>
      <c r="P12" s="91" t="s">
        <v>5</v>
      </c>
      <c r="Q12" s="91" t="s">
        <v>5</v>
      </c>
      <c r="R12" s="91" t="s">
        <v>5</v>
      </c>
      <c r="S12" s="91" t="s">
        <v>5</v>
      </c>
      <c r="T12" s="91" t="s">
        <v>5</v>
      </c>
      <c r="U12" s="91" t="s">
        <v>5</v>
      </c>
      <c r="V12" s="91" t="s">
        <v>5</v>
      </c>
      <c r="W12" s="91" t="s">
        <v>5</v>
      </c>
      <c r="X12" s="91" t="s">
        <v>5</v>
      </c>
      <c r="Y12" s="91" t="s">
        <v>5</v>
      </c>
      <c r="Z12" s="91" t="s">
        <v>5</v>
      </c>
      <c r="AA12" s="91" t="s">
        <v>5</v>
      </c>
      <c r="AB12" s="91" t="s">
        <v>5</v>
      </c>
      <c r="AC12" s="91" t="s">
        <v>5</v>
      </c>
      <c r="AD12" s="91" t="s">
        <v>5</v>
      </c>
      <c r="AE12" s="91" t="s">
        <v>5</v>
      </c>
      <c r="AF12" s="91" t="s">
        <v>5</v>
      </c>
      <c r="AG12" s="91" t="s">
        <v>5</v>
      </c>
      <c r="AH12" s="91" t="s">
        <v>5</v>
      </c>
      <c r="AI12" s="91">
        <f>SLABP_MB_IM_3Y!V4</f>
        <v>-6.1745524230238984E-2</v>
      </c>
      <c r="AJ12" s="91">
        <f>SLABP_MB_IM_3Y!W42^(1/(SLABP_MB_IM_3Y!$N42-SLABP_MB_IM_3Y!$N$6))-1</f>
        <v>-0.13215796382061007</v>
      </c>
      <c r="AK12" s="50"/>
      <c r="AL12" s="92">
        <f>IF(SLABP_MB_IM_3Y!S54+SLABP_MB_IM_3Y!S60=0,"-",SLABP_MB_IM_3Y!S54)</f>
        <v>-0.21856865248226934</v>
      </c>
      <c r="AM12" s="92" t="str">
        <f>IF(SLABP_MB_IM_3Y!T54+SLABP_MB_IM_3Y!T60=0,"-",SLABP_MB_IM_3Y!T54)</f>
        <v>-</v>
      </c>
      <c r="AN12" s="92">
        <f>IF(SLABP_MB_IM_3Y!U54+SLABP_MB_IM_3Y!U60=0,"-",SLABP_MB_IM_3Y!U54)</f>
        <v>4.1338515081206506E-2</v>
      </c>
      <c r="AO12" s="92"/>
      <c r="AP12" s="92">
        <f>IF(SLABP_MB_IM_3Y!V54+SLABP_MB_IM_3Y!V60=0,"-",SLABP_MB_IM_3Y!V54)</f>
        <v>-0.21610440251572308</v>
      </c>
      <c r="AQ12" s="92">
        <f>IF(SLABP_MB_IM_3Y!W54+SLABP_MB_IM_3Y!W60=0,"-",SLABP_MB_IM_3Y!W54)</f>
        <v>4.6050000000000035E-2</v>
      </c>
      <c r="AR12" s="73"/>
      <c r="AS12" s="73"/>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c r="BS12" s="116"/>
      <c r="BT12" s="116"/>
      <c r="BU12" s="116"/>
      <c r="BV12" s="116"/>
      <c r="BW12" s="119"/>
    </row>
    <row r="13" spans="1:90" ht="11.25" customHeight="1" x14ac:dyDescent="0.25">
      <c r="A13" s="73"/>
      <c r="B13" s="54"/>
      <c r="C13" s="89"/>
      <c r="D13" s="57"/>
      <c r="E13" s="57"/>
      <c r="F13" s="105"/>
      <c r="G13" s="101"/>
      <c r="H13" s="105"/>
      <c r="I13" s="73"/>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55"/>
      <c r="AJ13" s="58"/>
      <c r="AK13" s="50"/>
      <c r="AL13" s="85" t="str">
        <f>IF(SLABP_MB_IM_3Y!S54+SLABP_MB_IM_3Y!S60=0,"-",CONCATENATE("(",TEXT(SLABP_MB_IM_3Y!S60,"0,0%"),")"))</f>
        <v>(76,6%)</v>
      </c>
      <c r="AM13" s="85" t="str">
        <f>IF(SLABP_MB_IM_3Y!T54+SLABP_MB_IM_3Y!T60=0,"-",CONCATENATE("(",TEXT(SLABP_MB_IM_3Y!T60,"0,0%"),")"))</f>
        <v>-</v>
      </c>
      <c r="AN13" s="85" t="str">
        <f>IF(SLABP_MB_IM_3Y!U54+SLABP_MB_IM_3Y!U60=0,"-",CONCATENATE("(",TEXT(SLABP_MB_IM_3Y!U60,"0,0%"),")"))</f>
        <v>(23,4%)</v>
      </c>
      <c r="AO13" s="85"/>
      <c r="AP13" s="85" t="str">
        <f>IF(SLABP_MB_IM_3Y!V54+SLABP_MB_IM_3Y!V60=0,"-",CONCATENATE("(",TEXT(SLABP_MB_IM_3Y!V60,"0,0%"),")"))</f>
        <v>(77,7%)</v>
      </c>
      <c r="AQ13" s="85" t="str">
        <f>IF(SLABP_MB_IM_3Y!W54+SLABP_MB_IM_3Y!W60=0,"-",CONCATENATE("(",TEXT(SLABP_MB_IM_3Y!W60,"0,0%"),")"))</f>
        <v>(22,3%)</v>
      </c>
      <c r="AR13" s="86"/>
      <c r="AS13" s="85" t="str">
        <f>CONCATENATE("(",TEXT(SLABP_MB_IM_3Y!Y54,"0,0%"),")")</f>
        <v>(49,6%)</v>
      </c>
      <c r="AT13" s="85" t="str">
        <f>CONCATENATE("(",TEXT(SLABP_MB_IM_3Y!Z54,"0,0%"),")")</f>
        <v>(0,0%)</v>
      </c>
      <c r="AU13" s="85" t="str">
        <f>CONCATENATE("(",TEXT(SLABP_MB_IM_3Y!AA54,"0,0%"),")")</f>
        <v>(0,0%)</v>
      </c>
      <c r="AV13" s="85" t="str">
        <f>CONCATENATE("(",TEXT(SLABP_MB_IM_3Y!AB54,"0,0%"),")")</f>
        <v>(0,0%)</v>
      </c>
      <c r="AW13" s="85" t="str">
        <f>CONCATENATE("(",TEXT(SLABP_MB_IM_3Y!AC54,"0,0%"),")")</f>
        <v>(0,0%)</v>
      </c>
      <c r="AX13" s="85" t="str">
        <f>CONCATENATE("(",TEXT(SLABP_MB_IM_3Y!AD54,"0,0%"),")")</f>
        <v>(0,0%)</v>
      </c>
      <c r="AY13" s="85" t="str">
        <f>CONCATENATE("(",TEXT(SLABP_MB_IM_3Y!AE54,"0,0%"),")")</f>
        <v>(0,0%)</v>
      </c>
      <c r="AZ13" s="85" t="str">
        <f>CONCATENATE("(",TEXT(SLABP_MB_IM_3Y!AF54,"0,0%"),")")</f>
        <v>(0,0%)</v>
      </c>
      <c r="BA13" s="85" t="str">
        <f>CONCATENATE("(",TEXT(SLABP_MB_IM_3Y!AG54,"0,0%"),")")</f>
        <v>(0,0%)</v>
      </c>
      <c r="BB13" s="85" t="str">
        <f>CONCATENATE("(",TEXT(SLABP_MB_IM_3Y!AH54,"0,0%"),")")</f>
        <v>(0,0%)</v>
      </c>
      <c r="BC13" s="85" t="str">
        <f>CONCATENATE("(",TEXT(SLABP_MB_IM_3Y!AI54,"0,0%"),")")</f>
        <v>(0,0%)</v>
      </c>
      <c r="BD13" s="85" t="str">
        <f>CONCATENATE("(",TEXT(SLABP_MB_IM_3Y!AJ54,"0,0%"),")")</f>
        <v>(0,0%)</v>
      </c>
      <c r="BE13" s="85" t="str">
        <f>CONCATENATE("(",TEXT(SLABP_MB_IM_3Y!AK54,"0,0%"),")")</f>
        <v>(0,0%)</v>
      </c>
      <c r="BF13" s="85" t="str">
        <f>CONCATENATE("(",TEXT(SLABP_MB_IM_3Y!AL54,"0,0%"),")")</f>
        <v>(0,0%)</v>
      </c>
      <c r="BG13" s="85" t="str">
        <f>CONCATENATE("(",TEXT(SLABP_MB_IM_3Y!AM54,"0,0%"),")")</f>
        <v>(0,0%)</v>
      </c>
      <c r="BH13" s="85" t="str">
        <f>CONCATENATE("(",TEXT(SLABP_MB_IM_3Y!AN54,"0,0%"),")")</f>
        <v>(0,0%)</v>
      </c>
      <c r="BI13" s="85" t="str">
        <f>CONCATENATE("(",TEXT(SLABP_MB_IM_3Y!AO54,"0,0%"),")")</f>
        <v>(0,0%)</v>
      </c>
      <c r="BJ13" s="85" t="str">
        <f>CONCATENATE("(",TEXT(SLABP_MB_IM_3Y!AP54,"0,0%"),")")</f>
        <v>(0,0%)</v>
      </c>
      <c r="BK13" s="85" t="str">
        <f>CONCATENATE("(",TEXT(SLABP_MB_IM_3Y!AQ54,"0,0%"),")")</f>
        <v>(0,0%)</v>
      </c>
      <c r="BL13" s="85" t="str">
        <f>CONCATENATE("(",TEXT(SLABP_MB_IM_3Y!AR54,"0,0%"),")")</f>
        <v>(0,0%)</v>
      </c>
      <c r="BM13" s="85" t="str">
        <f>CONCATENATE("(",TEXT(SLABP_MB_IM_3Y!AS54,"0,0%"),")")</f>
        <v>(0,0%)</v>
      </c>
      <c r="BN13" s="85" t="str">
        <f>CONCATENATE("(",TEXT(SLABP_MB_IM_3Y!AT54,"0,0%"),")")</f>
        <v>(0,0%)</v>
      </c>
      <c r="BO13" s="85" t="str">
        <f>CONCATENATE("(",TEXT(SLABP_MB_IM_3Y!AU54,"0,0%"),")")</f>
        <v>(0,0%)</v>
      </c>
      <c r="BP13" s="85" t="str">
        <f>CONCATENATE("(",TEXT(SLABP_MB_IM_3Y!AV54,"0,0%"),")")</f>
        <v>(0,0%)</v>
      </c>
      <c r="BQ13" s="85" t="str">
        <f>CONCATENATE("(",TEXT(SLABP_MB_IM_3Y!AW54,"0,0%"),")")</f>
        <v>(0,0%)</v>
      </c>
      <c r="BR13" s="85" t="str">
        <f>CONCATENATE("(",TEXT(SLABP_MB_IM_3Y!AX54,"0,0%"),")")</f>
        <v>(0,0%)</v>
      </c>
      <c r="BS13" s="85" t="str">
        <f>CONCATENATE("(",TEXT(SLABP_MB_IM_3Y!AY54,"0,0%"),")")</f>
        <v>(0,0%)</v>
      </c>
      <c r="BT13" s="85" t="str">
        <f>CONCATENATE("(",TEXT(SLABP_MB_IM_3Y!AZ54,"0,0%"),")")</f>
        <v>(0,0%)</v>
      </c>
      <c r="BU13" s="85" t="str">
        <f>CONCATENATE("(",TEXT(SLABP_MB_IM_3Y!BA54,"0,0%"),")")</f>
        <v>(0,0%)</v>
      </c>
      <c r="BV13" s="85" t="str">
        <f>CONCATENATE("(",TEXT(SLABP_MB_IM_3Y!BB54,"0,0%"),")")</f>
        <v>(0,0%)</v>
      </c>
      <c r="BW13" s="85" t="str">
        <f>CONCATENATE("(",TEXT(SLABP_MB_IM_3Y!BC54,"0,0%"),")")</f>
        <v>(18,4%)</v>
      </c>
    </row>
    <row r="14" spans="1:90" ht="11.25" customHeight="1" x14ac:dyDescent="0.25">
      <c r="A14" s="73"/>
      <c r="B14" s="167" t="s">
        <v>90</v>
      </c>
      <c r="C14" s="167"/>
      <c r="D14" s="57"/>
      <c r="E14" s="77"/>
      <c r="F14" s="77"/>
      <c r="G14" s="77"/>
      <c r="H14" s="77"/>
      <c r="I14" s="77"/>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8"/>
      <c r="AK14" s="50"/>
      <c r="AL14" s="79"/>
      <c r="AM14" s="79"/>
      <c r="AN14" s="79"/>
      <c r="AO14" s="79"/>
      <c r="AP14" s="79"/>
      <c r="AQ14" s="79"/>
      <c r="AR14" s="73"/>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row>
    <row r="15" spans="1:90" ht="11.25" customHeight="1" x14ac:dyDescent="0.25">
      <c r="A15" s="73"/>
      <c r="B15" s="155" t="s">
        <v>17</v>
      </c>
      <c r="C15" s="155"/>
      <c r="D15" s="57"/>
      <c r="E15" s="91">
        <f t="shared" ref="E15:AH15" si="1">E8</f>
        <v>7.8016986056597834E-2</v>
      </c>
      <c r="F15" s="91">
        <f t="shared" si="1"/>
        <v>7.9131378494482707E-2</v>
      </c>
      <c r="G15" s="91">
        <f t="shared" si="1"/>
        <v>7.7704181643301423E-2</v>
      </c>
      <c r="H15" s="91">
        <f t="shared" si="1"/>
        <v>7.8302874596562391E-2</v>
      </c>
      <c r="I15" s="91">
        <f t="shared" si="1"/>
        <v>7.8788483446871907E-2</v>
      </c>
      <c r="J15" s="91">
        <f t="shared" si="1"/>
        <v>7.8253557473410437E-2</v>
      </c>
      <c r="K15" s="91">
        <f t="shared" si="1"/>
        <v>7.8658697720893622E-2</v>
      </c>
      <c r="L15" s="91">
        <f t="shared" si="1"/>
        <v>7.880696825759996E-2</v>
      </c>
      <c r="M15" s="91">
        <f t="shared" si="1"/>
        <v>7.8569755092296342E-2</v>
      </c>
      <c r="N15" s="91">
        <f t="shared" si="1"/>
        <v>7.8872599564190488E-2</v>
      </c>
      <c r="O15" s="91">
        <f t="shared" si="1"/>
        <v>7.8820561482925891E-2</v>
      </c>
      <c r="P15" s="91">
        <f t="shared" si="1"/>
        <v>7.8626170656641889E-2</v>
      </c>
      <c r="Q15" s="91">
        <f t="shared" si="1"/>
        <v>7.8873298438296879E-2</v>
      </c>
      <c r="R15" s="91">
        <f t="shared" si="1"/>
        <v>7.8962560763193135E-2</v>
      </c>
      <c r="S15" s="91">
        <f t="shared" si="1"/>
        <v>7.8791616910366583E-2</v>
      </c>
      <c r="T15" s="91">
        <f t="shared" si="1"/>
        <v>7.887532809929243E-2</v>
      </c>
      <c r="U15" s="91">
        <f t="shared" si="1"/>
        <v>7.9179527802787544E-2</v>
      </c>
      <c r="V15" s="91">
        <f t="shared" si="1"/>
        <v>7.8914297588922613E-2</v>
      </c>
      <c r="W15" s="91">
        <f t="shared" si="1"/>
        <v>7.9189990871062085E-2</v>
      </c>
      <c r="X15" s="91">
        <f t="shared" si="1"/>
        <v>7.9145595928281645E-2</v>
      </c>
      <c r="Y15" s="91">
        <f t="shared" si="1"/>
        <v>7.9009499512070203E-2</v>
      </c>
      <c r="Z15" s="91">
        <f t="shared" si="1"/>
        <v>7.9157700812520382E-2</v>
      </c>
      <c r="AA15" s="91">
        <f t="shared" si="1"/>
        <v>7.8944064552858642E-2</v>
      </c>
      <c r="AB15" s="91">
        <f t="shared" si="1"/>
        <v>7.9082959970272634E-2</v>
      </c>
      <c r="AC15" s="91">
        <f t="shared" si="1"/>
        <v>7.9131373419489656E-2</v>
      </c>
      <c r="AD15" s="91">
        <f t="shared" si="1"/>
        <v>7.9019510122603873E-2</v>
      </c>
      <c r="AE15" s="91">
        <f t="shared" si="1"/>
        <v>7.9142222703105308E-2</v>
      </c>
      <c r="AF15" s="91">
        <f t="shared" si="1"/>
        <v>7.9110800885620586E-2</v>
      </c>
      <c r="AG15" s="91">
        <f t="shared" si="1"/>
        <v>7.9294617415807317E-2</v>
      </c>
      <c r="AH15" s="91">
        <f t="shared" si="1"/>
        <v>7.9192240177374265E-2</v>
      </c>
      <c r="AI15" s="91">
        <f>SLABP_MB_IM_3Y!Y4</f>
        <v>7.9430083968539567E-2</v>
      </c>
      <c r="AJ15" s="91">
        <f>SLABP_MB_IM_3Y!Z42^(1/(SLABP_MB_IM_3Y!$N42-SLABP_MB_IM_3Y!$N$6))-1</f>
        <v>0.64398801737323086</v>
      </c>
      <c r="AK15" s="50"/>
      <c r="AL15" s="92">
        <f>IF(SLABP_MB_IM_3Y!S55+SLABP_MB_IM_3Y!S61=0,"-",SLABP_MB_IM_3Y!S55)</f>
        <v>-0.14039384272997057</v>
      </c>
      <c r="AM15" s="92">
        <f>IF(SLABP_MB_IM_3Y!T55+SLABP_MB_IM_3Y!T61=0,"-",SLABP_MB_IM_3Y!T55)</f>
        <v>7.9399999999999998E-2</v>
      </c>
      <c r="AN15" s="92" t="str">
        <f>IF(SLABP_MB_IM_3Y!U55+SLABP_MB_IM_3Y!U61=0,"-",SLABP_MB_IM_3Y!U55)</f>
        <v>-</v>
      </c>
      <c r="AO15" s="92"/>
      <c r="AP15" s="92">
        <f>IF(SLABP_MB_IM_3Y!V55+SLABP_MB_IM_3Y!V61=0,"-",SLABP_MB_IM_3Y!V55)</f>
        <v>-0.20562362362362399</v>
      </c>
      <c r="AQ15" s="92">
        <f>IF(SLABP_MB_IM_3Y!W55+SLABP_MB_IM_3Y!W61=0,"-",SLABP_MB_IM_3Y!W55)</f>
        <v>4.660596590909092E-2</v>
      </c>
      <c r="AR15" s="73"/>
      <c r="AS15" s="73"/>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9"/>
    </row>
    <row r="16" spans="1:90" ht="11.25" customHeight="1" x14ac:dyDescent="0.25">
      <c r="A16" s="73"/>
      <c r="B16" s="89"/>
      <c r="C16" s="89"/>
      <c r="D16" s="57"/>
      <c r="E16" s="57"/>
      <c r="F16" s="91"/>
      <c r="G16" s="91"/>
      <c r="H16" s="91"/>
      <c r="I16" s="91"/>
      <c r="J16" s="91"/>
      <c r="K16" s="91"/>
      <c r="L16" s="91"/>
      <c r="M16" s="91"/>
      <c r="N16" s="91"/>
      <c r="O16" s="91"/>
      <c r="P16" s="91"/>
      <c r="Q16" s="91"/>
      <c r="R16" s="91"/>
      <c r="S16" s="91"/>
      <c r="T16" s="91"/>
      <c r="U16" s="91"/>
      <c r="V16" s="91"/>
      <c r="W16" s="91"/>
      <c r="X16" s="91"/>
      <c r="Y16" s="91"/>
      <c r="Z16" s="91"/>
      <c r="AA16" s="91"/>
      <c r="AB16" s="91"/>
      <c r="AC16" s="91"/>
      <c r="AD16" s="91"/>
      <c r="AE16" s="91"/>
      <c r="AF16" s="91"/>
      <c r="AG16" s="91"/>
      <c r="AH16" s="91"/>
      <c r="AI16" s="91"/>
      <c r="AJ16" s="91"/>
      <c r="AK16" s="50"/>
      <c r="AL16" s="85" t="str">
        <f>IF(SLABP_MB_IM_3Y!S55+SLABP_MB_IM_3Y!S61=0,"-",CONCATENATE("(",TEXT(SLABP_MB_IM_3Y!S61,"0,0%"),")"))</f>
        <v>(99,8%)</v>
      </c>
      <c r="AM16" s="85" t="str">
        <f>IF(SLABP_MB_IM_3Y!T55+SLABP_MB_IM_3Y!T61=0,"-",CONCATENATE("(",TEXT(SLABP_MB_IM_3Y!T61,"0,0%"),")"))</f>
        <v>(0,2%)</v>
      </c>
      <c r="AN16" s="85" t="str">
        <f>IF(SLABP_MB_IM_3Y!U55+SLABP_MB_IM_3Y!U61=0,"-",CONCATENATE("(",TEXT(SLABP_MB_IM_3Y!U61,"0%"),")"))</f>
        <v>-</v>
      </c>
      <c r="AO16" s="85"/>
      <c r="AP16" s="85" t="str">
        <f>IF(SLABP_MB_IM_3Y!V55+SLABP_MB_IM_3Y!V61=0,"-",CONCATENATE("(",TEXT(SLABP_MB_IM_3Y!V61,"0%"),")"))</f>
        <v>(74%)</v>
      </c>
      <c r="AQ16" s="85" t="str">
        <f>IF(SLABP_MB_IM_3Y!W55+SLABP_MB_IM_3Y!W61=0,"-",CONCATENATE("(",TEXT(SLABP_MB_IM_3Y!W61,"0%"),")"))</f>
        <v>(26%)</v>
      </c>
      <c r="AR16" s="86"/>
      <c r="AS16" s="85" t="str">
        <f>CONCATENATE("(",TEXT(SLABP_MB_IM_3Y!Y55,"0,0%"),")")</f>
        <v>(53,9%)</v>
      </c>
      <c r="AT16" s="85" t="str">
        <f>CONCATENATE("(",TEXT(SLABP_MB_IM_3Y!Z55,"0,0%"),")")</f>
        <v>(0,0%)</v>
      </c>
      <c r="AU16" s="85" t="str">
        <f>CONCATENATE("(",TEXT(SLABP_MB_IM_3Y!AA55,"0,0%"),")")</f>
        <v>(0,0%)</v>
      </c>
      <c r="AV16" s="85" t="str">
        <f>CONCATENATE("(",TEXT(SLABP_MB_IM_3Y!AB55,"0,0%"),")")</f>
        <v>(0,0%)</v>
      </c>
      <c r="AW16" s="85" t="str">
        <f>CONCATENATE("(",TEXT(SLABP_MB_IM_3Y!AC55,"0,0%"),")")</f>
        <v>(0,0%)</v>
      </c>
      <c r="AX16" s="85" t="str">
        <f>CONCATENATE("(",TEXT(SLABP_MB_IM_3Y!AD55,"0,0%"),")")</f>
        <v>(0,0%)</v>
      </c>
      <c r="AY16" s="85" t="str">
        <f>CONCATENATE("(",TEXT(SLABP_MB_IM_3Y!AE55,"0,0%"),")")</f>
        <v>(0,0%)</v>
      </c>
      <c r="AZ16" s="85" t="str">
        <f>CONCATENATE("(",TEXT(SLABP_MB_IM_3Y!AF55,"0,0%"),")")</f>
        <v>(0,0%)</v>
      </c>
      <c r="BA16" s="85" t="str">
        <f>CONCATENATE("(",TEXT(SLABP_MB_IM_3Y!AG55,"0,0%"),")")</f>
        <v>(0,0%)</v>
      </c>
      <c r="BB16" s="85" t="str">
        <f>CONCATENATE("(",TEXT(SLABP_MB_IM_3Y!AH55,"0,0%"),")")</f>
        <v>(0,0%)</v>
      </c>
      <c r="BC16" s="85" t="str">
        <f>CONCATENATE("(",TEXT(SLABP_MB_IM_3Y!AI55,"0,0%"),")")</f>
        <v>(0,0%)</v>
      </c>
      <c r="BD16" s="85" t="str">
        <f>CONCATENATE("(",TEXT(SLABP_MB_IM_3Y!AJ55,"0,0%"),")")</f>
        <v>(0,0%)</v>
      </c>
      <c r="BE16" s="85" t="str">
        <f>CONCATENATE("(",TEXT(SLABP_MB_IM_3Y!AK55,"0,0%"),")")</f>
        <v>(0,0%)</v>
      </c>
      <c r="BF16" s="85" t="str">
        <f>CONCATENATE("(",TEXT(SLABP_MB_IM_3Y!AL55,"0,0%"),")")</f>
        <v>(0,0%)</v>
      </c>
      <c r="BG16" s="85" t="str">
        <f>CONCATENATE("(",TEXT(SLABP_MB_IM_3Y!AM55,"0,0%"),")")</f>
        <v>(0,0%)</v>
      </c>
      <c r="BH16" s="85" t="str">
        <f>CONCATENATE("(",TEXT(SLABP_MB_IM_3Y!AN55,"0,0%"),")")</f>
        <v>(0,0%)</v>
      </c>
      <c r="BI16" s="85" t="str">
        <f>CONCATENATE("(",TEXT(SLABP_MB_IM_3Y!AO55,"0,0%"),")")</f>
        <v>(0,0%)</v>
      </c>
      <c r="BJ16" s="85" t="str">
        <f>CONCATENATE("(",TEXT(SLABP_MB_IM_3Y!AP55,"0,0%"),")")</f>
        <v>(0,0%)</v>
      </c>
      <c r="BK16" s="85" t="str">
        <f>CONCATENATE("(",TEXT(SLABP_MB_IM_3Y!AQ55,"0,0%"),")")</f>
        <v>(0,0%)</v>
      </c>
      <c r="BL16" s="85" t="str">
        <f>CONCATENATE("(",TEXT(SLABP_MB_IM_3Y!AR55,"0,0%"),")")</f>
        <v>(0,0%)</v>
      </c>
      <c r="BM16" s="85" t="str">
        <f>CONCATENATE("(",TEXT(SLABP_MB_IM_3Y!AS55,"0,0%"),")")</f>
        <v>(0,0%)</v>
      </c>
      <c r="BN16" s="85" t="str">
        <f>CONCATENATE("(",TEXT(SLABP_MB_IM_3Y!AT55,"0,0%"),")")</f>
        <v>(0,0%)</v>
      </c>
      <c r="BO16" s="85" t="str">
        <f>CONCATENATE("(",TEXT(SLABP_MB_IM_3Y!AU55,"0,0%"),")")</f>
        <v>(0,0%)</v>
      </c>
      <c r="BP16" s="85" t="str">
        <f>CONCATENATE("(",TEXT(SLABP_MB_IM_3Y!AV55,"0,0%"),")")</f>
        <v>(0,0%)</v>
      </c>
      <c r="BQ16" s="85" t="str">
        <f>CONCATENATE("(",TEXT(SLABP_MB_IM_3Y!AW55,"0,0%"),")")</f>
        <v>(0,0%)</v>
      </c>
      <c r="BR16" s="85" t="str">
        <f>CONCATENATE("(",TEXT(SLABP_MB_IM_3Y!AX55,"0,0%"),")")</f>
        <v>(0,0%)</v>
      </c>
      <c r="BS16" s="85" t="str">
        <f>CONCATENATE("(",TEXT(SLABP_MB_IM_3Y!AY55,"0,0%"),")")</f>
        <v>(0,0%)</v>
      </c>
      <c r="BT16" s="85" t="str">
        <f>CONCATENATE("(",TEXT(SLABP_MB_IM_3Y!AZ55,"0,0%"),")")</f>
        <v>(0,0%)</v>
      </c>
      <c r="BU16" s="85" t="str">
        <f>CONCATENATE("(",TEXT(SLABP_MB_IM_3Y!BA55,"0,0%"),")")</f>
        <v>(0,0%)</v>
      </c>
      <c r="BV16" s="85" t="str">
        <f>CONCATENATE("(",TEXT(SLABP_MB_IM_3Y!BB55,"0,0%"),")")</f>
        <v>(0,0%)</v>
      </c>
      <c r="BW16" s="85" t="str">
        <f>CONCATENATE("(",TEXT(SLABP_MB_IM_3Y!BC55,"0,0%"),")")</f>
        <v>(13,5%)</v>
      </c>
    </row>
    <row r="17" spans="1:75" ht="11.25" customHeight="1" x14ac:dyDescent="0.25">
      <c r="A17" s="73"/>
      <c r="B17" s="155" t="s">
        <v>18</v>
      </c>
      <c r="C17" s="155"/>
      <c r="D17" s="57"/>
      <c r="E17" s="91" t="str">
        <f t="shared" ref="E17:AH17" si="2">E12</f>
        <v>-</v>
      </c>
      <c r="F17" s="91" t="str">
        <f t="shared" si="2"/>
        <v>-</v>
      </c>
      <c r="G17" s="91" t="str">
        <f t="shared" si="2"/>
        <v>-</v>
      </c>
      <c r="H17" s="91" t="str">
        <f t="shared" si="2"/>
        <v>-</v>
      </c>
      <c r="I17" s="91" t="str">
        <f t="shared" si="2"/>
        <v>-</v>
      </c>
      <c r="J17" s="91" t="str">
        <f t="shared" si="2"/>
        <v>-</v>
      </c>
      <c r="K17" s="91" t="str">
        <f t="shared" si="2"/>
        <v>-</v>
      </c>
      <c r="L17" s="91" t="str">
        <f t="shared" si="2"/>
        <v>-</v>
      </c>
      <c r="M17" s="91" t="str">
        <f t="shared" si="2"/>
        <v>-</v>
      </c>
      <c r="N17" s="91" t="str">
        <f t="shared" si="2"/>
        <v>-</v>
      </c>
      <c r="O17" s="91" t="str">
        <f t="shared" si="2"/>
        <v>-</v>
      </c>
      <c r="P17" s="91" t="str">
        <f t="shared" si="2"/>
        <v>-</v>
      </c>
      <c r="Q17" s="91" t="str">
        <f t="shared" si="2"/>
        <v>-</v>
      </c>
      <c r="R17" s="91" t="str">
        <f t="shared" si="2"/>
        <v>-</v>
      </c>
      <c r="S17" s="91" t="str">
        <f t="shared" si="2"/>
        <v>-</v>
      </c>
      <c r="T17" s="91" t="str">
        <f t="shared" si="2"/>
        <v>-</v>
      </c>
      <c r="U17" s="91" t="str">
        <f t="shared" si="2"/>
        <v>-</v>
      </c>
      <c r="V17" s="91" t="str">
        <f t="shared" si="2"/>
        <v>-</v>
      </c>
      <c r="W17" s="91" t="str">
        <f t="shared" si="2"/>
        <v>-</v>
      </c>
      <c r="X17" s="91" t="str">
        <f t="shared" si="2"/>
        <v>-</v>
      </c>
      <c r="Y17" s="91" t="str">
        <f t="shared" si="2"/>
        <v>-</v>
      </c>
      <c r="Z17" s="91" t="str">
        <f t="shared" si="2"/>
        <v>-</v>
      </c>
      <c r="AA17" s="91" t="str">
        <f t="shared" si="2"/>
        <v>-</v>
      </c>
      <c r="AB17" s="91" t="str">
        <f t="shared" si="2"/>
        <v>-</v>
      </c>
      <c r="AC17" s="91" t="str">
        <f t="shared" si="2"/>
        <v>-</v>
      </c>
      <c r="AD17" s="91" t="str">
        <f t="shared" si="2"/>
        <v>-</v>
      </c>
      <c r="AE17" s="91" t="str">
        <f t="shared" si="2"/>
        <v>-</v>
      </c>
      <c r="AF17" s="91" t="str">
        <f t="shared" si="2"/>
        <v>-</v>
      </c>
      <c r="AG17" s="91" t="str">
        <f t="shared" si="2"/>
        <v>-</v>
      </c>
      <c r="AH17" s="91" t="str">
        <f t="shared" si="2"/>
        <v>-</v>
      </c>
      <c r="AI17" s="91">
        <f>SLABP_MB_IM_3Y!AB4</f>
        <v>-0.3780028999457285</v>
      </c>
      <c r="AJ17" s="91">
        <f>SLABP_MB_IM_3Y!AC42^(1/(SLABP_MB_IM_3Y!$N42-SLABP_MB_IM_3Y!$N$6))-1</f>
        <v>-0.39103198806972106</v>
      </c>
      <c r="AK17" s="50"/>
      <c r="AL17" s="92">
        <f>IF(SLABP_MB_IM_3Y!S56+SLABP_MB_IM_3Y!S62=0,"-",SLABP_MB_IM_3Y!S56)</f>
        <v>-0.42452241379310368</v>
      </c>
      <c r="AM17" s="92" t="str">
        <f>IF(SLABP_MB_IM_3Y!T56+SLABP_MB_IM_3Y!T62=0,"-",SLABP_MB_IM_3Y!T56)</f>
        <v>-</v>
      </c>
      <c r="AN17" s="92">
        <f>IF(SLABP_MB_IM_3Y!U56+SLABP_MB_IM_3Y!U62=0,"-",SLABP_MB_IM_3Y!U56)</f>
        <v>-0.15853890801770759</v>
      </c>
      <c r="AO17" s="92"/>
      <c r="AP17" s="92">
        <f>IF(SLABP_MB_IM_3Y!V56+SLABP_MB_IM_3Y!V62=0,"-",SLABP_MB_IM_3Y!V56)</f>
        <v>-0.22200552077404689</v>
      </c>
      <c r="AQ17" s="92">
        <f>IF(SLABP_MB_IM_3Y!W56+SLABP_MB_IM_3Y!W62=0,"-",SLABP_MB_IM_3Y!W56)</f>
        <v>4.721811224489797E-2</v>
      </c>
      <c r="AR17" s="73"/>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c r="BS17" s="59"/>
      <c r="BT17" s="59"/>
      <c r="BU17" s="59"/>
      <c r="BV17" s="59"/>
      <c r="BW17" s="59"/>
    </row>
    <row r="18" spans="1:75" ht="11.25" customHeight="1" x14ac:dyDescent="0.25">
      <c r="A18" s="73"/>
      <c r="B18" s="89"/>
      <c r="C18" s="89"/>
      <c r="D18" s="57"/>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85" t="str">
        <f>IF(SLABP_MB_IM_3Y!S56+SLABP_MB_IM_3Y!S62=0,"-",CONCATENATE("(",TEXT(SLABP_MB_IM_3Y!S62,"0,0%"),")"))</f>
        <v>(5,4%)</v>
      </c>
      <c r="AM18" s="85" t="str">
        <f>IF(SLABP_MB_IM_3Y!T56+SLABP_MB_IM_3Y!T62=0,"-",CONCATENATE("(",TEXT(SLABP_MB_IM_3Y!T62,"0,0%"),")"))</f>
        <v>-</v>
      </c>
      <c r="AN18" s="85" t="str">
        <f>IF(SLABP_MB_IM_3Y!U56+SLABP_MB_IM_3Y!U62=0,"-",CONCATENATE("(",TEXT(SLABP_MB_IM_3Y!U62,"0,0%"),")"))</f>
        <v>(94,6%)</v>
      </c>
      <c r="AO18" s="85"/>
      <c r="AP18" s="85" t="str">
        <f>IF(SLABP_MB_IM_3Y!V56+SLABP_MB_IM_3Y!V62=0,"-",CONCATENATE("(",TEXT(SLABP_MB_IM_3Y!V62,"0,0%"),")"))</f>
        <v>(81,8%)</v>
      </c>
      <c r="AQ18" s="85" t="str">
        <f>IF(SLABP_MB_IM_3Y!W56+SLABP_MB_IM_3Y!W62=0,"-",CONCATENATE("(",TEXT(SLABP_MB_IM_3Y!W62,"0,0%"),")"))</f>
        <v>(18,2%)</v>
      </c>
      <c r="AR18" s="86"/>
      <c r="AS18" s="85" t="str">
        <f>CONCATENATE("(",TEXT(SLABP_MB_IM_3Y!Y56,"0,0%"),")")</f>
        <v>(47,3%)</v>
      </c>
      <c r="AT18" s="85" t="str">
        <f>CONCATENATE("(",TEXT(SLABP_MB_IM_3Y!Z56,"0,0%"),")")</f>
        <v>(0,0%)</v>
      </c>
      <c r="AU18" s="85" t="str">
        <f>CONCATENATE("(",TEXT(SLABP_MB_IM_3Y!AA56,"0,0%"),")")</f>
        <v>(0,0%)</v>
      </c>
      <c r="AV18" s="85" t="str">
        <f>CONCATENATE("(",TEXT(SLABP_MB_IM_3Y!AB56,"0,0%"),")")</f>
        <v>(0,0%)</v>
      </c>
      <c r="AW18" s="85" t="str">
        <f>CONCATENATE("(",TEXT(SLABP_MB_IM_3Y!AC56,"0,0%"),")")</f>
        <v>(0,0%)</v>
      </c>
      <c r="AX18" s="85" t="str">
        <f>CONCATENATE("(",TEXT(SLABP_MB_IM_3Y!AD56,"0,0%"),")")</f>
        <v>(0,0%)</v>
      </c>
      <c r="AY18" s="85" t="str">
        <f>CONCATENATE("(",TEXT(SLABP_MB_IM_3Y!AE56,"0,0%"),")")</f>
        <v>(0,0%)</v>
      </c>
      <c r="AZ18" s="85" t="str">
        <f>CONCATENATE("(",TEXT(SLABP_MB_IM_3Y!AF56,"0,0%"),")")</f>
        <v>(0,0%)</v>
      </c>
      <c r="BA18" s="85" t="str">
        <f>CONCATENATE("(",TEXT(SLABP_MB_IM_3Y!AG56,"0,0%"),")")</f>
        <v>(0,0%)</v>
      </c>
      <c r="BB18" s="85" t="str">
        <f>CONCATENATE("(",TEXT(SLABP_MB_IM_3Y!AH56,"0,0%"),")")</f>
        <v>(0,0%)</v>
      </c>
      <c r="BC18" s="85" t="str">
        <f>CONCATENATE("(",TEXT(SLABP_MB_IM_3Y!AI56,"0,0%"),")")</f>
        <v>(0,0%)</v>
      </c>
      <c r="BD18" s="85" t="str">
        <f>CONCATENATE("(",TEXT(SLABP_MB_IM_3Y!AJ56,"0,0%"),")")</f>
        <v>(0,0%)</v>
      </c>
      <c r="BE18" s="85" t="str">
        <f>CONCATENATE("(",TEXT(SLABP_MB_IM_3Y!AK56,"0,0%"),")")</f>
        <v>(0,0%)</v>
      </c>
      <c r="BF18" s="85" t="str">
        <f>CONCATENATE("(",TEXT(SLABP_MB_IM_3Y!AL56,"0,0%"),")")</f>
        <v>(0,0%)</v>
      </c>
      <c r="BG18" s="85" t="str">
        <f>CONCATENATE("(",TEXT(SLABP_MB_IM_3Y!AM56,"0,0%"),")")</f>
        <v>(0,0%)</v>
      </c>
      <c r="BH18" s="85" t="str">
        <f>CONCATENATE("(",TEXT(SLABP_MB_IM_3Y!AN56,"0,0%"),")")</f>
        <v>(0,0%)</v>
      </c>
      <c r="BI18" s="85" t="str">
        <f>CONCATENATE("(",TEXT(SLABP_MB_IM_3Y!AO56,"0,0%"),")")</f>
        <v>(0,0%)</v>
      </c>
      <c r="BJ18" s="85" t="str">
        <f>CONCATENATE("(",TEXT(SLABP_MB_IM_3Y!AP56,"0,0%"),")")</f>
        <v>(0,0%)</v>
      </c>
      <c r="BK18" s="85" t="str">
        <f>CONCATENATE("(",TEXT(SLABP_MB_IM_3Y!AQ56,"0,0%"),")")</f>
        <v>(0,0%)</v>
      </c>
      <c r="BL18" s="85" t="str">
        <f>CONCATENATE("(",TEXT(SLABP_MB_IM_3Y!AR56,"0,0%"),")")</f>
        <v>(0,0%)</v>
      </c>
      <c r="BM18" s="85" t="str">
        <f>CONCATENATE("(",TEXT(SLABP_MB_IM_3Y!AS56,"0,0%"),")")</f>
        <v>(0,0%)</v>
      </c>
      <c r="BN18" s="85" t="str">
        <f>CONCATENATE("(",TEXT(SLABP_MB_IM_3Y!AT56,"0,0%"),")")</f>
        <v>(0,0%)</v>
      </c>
      <c r="BO18" s="85" t="str">
        <f>CONCATENATE("(",TEXT(SLABP_MB_IM_3Y!AU56,"0,0%"),")")</f>
        <v>(0,0%)</v>
      </c>
      <c r="BP18" s="85" t="str">
        <f>CONCATENATE("(",TEXT(SLABP_MB_IM_3Y!AV56,"0,0%"),")")</f>
        <v>(0,0%)</v>
      </c>
      <c r="BQ18" s="85" t="str">
        <f>CONCATENATE("(",TEXT(SLABP_MB_IM_3Y!AW56,"0,0%"),")")</f>
        <v>(0,0%)</v>
      </c>
      <c r="BR18" s="85" t="str">
        <f>CONCATENATE("(",TEXT(SLABP_MB_IM_3Y!AX56,"0,0%"),")")</f>
        <v>(0,0%)</v>
      </c>
      <c r="BS18" s="85" t="str">
        <f>CONCATENATE("(",TEXT(SLABP_MB_IM_3Y!AY56,"0,0%"),")")</f>
        <v>(0,0%)</v>
      </c>
      <c r="BT18" s="85" t="str">
        <f>CONCATENATE("(",TEXT(SLABP_MB_IM_3Y!AZ56,"0,0%"),")")</f>
        <v>(0,0%)</v>
      </c>
      <c r="BU18" s="85" t="str">
        <f>CONCATENATE("(",TEXT(SLABP_MB_IM_3Y!BA56,"0,0%"),")")</f>
        <v>(0,0%)</v>
      </c>
      <c r="BV18" s="85" t="str">
        <f>CONCATENATE("(",TEXT(SLABP_MB_IM_3Y!BB56,"0,0%"),")")</f>
        <v>(0,0%)</v>
      </c>
      <c r="BW18" s="85" t="str">
        <f>CONCATENATE("(",TEXT(SLABP_MB_IM_3Y!BC56,"0,0%"),")")</f>
        <v>(21,5%)</v>
      </c>
    </row>
    <row r="19" spans="1:75" x14ac:dyDescent="0.25">
      <c r="A19" s="73"/>
      <c r="B19" s="54"/>
      <c r="C19" s="89"/>
      <c r="D19" s="53"/>
      <c r="E19" s="73"/>
      <c r="F19" s="73"/>
      <c r="G19" s="73"/>
      <c r="H19" s="73"/>
      <c r="I19" s="73"/>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73"/>
      <c r="AJ19" s="73"/>
      <c r="AK19" s="73"/>
      <c r="AL19" s="73"/>
      <c r="AM19" s="73"/>
      <c r="AN19" s="73"/>
      <c r="AP19" s="51"/>
      <c r="BF19" s="50"/>
      <c r="BJ19" s="107"/>
      <c r="BK19" s="108"/>
    </row>
    <row r="20" spans="1:75" x14ac:dyDescent="0.25">
      <c r="A20" s="73"/>
      <c r="B20" s="156" t="s">
        <v>69</v>
      </c>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row>
    <row r="21" spans="1:75" ht="11.25" customHeight="1" x14ac:dyDescent="0.25">
      <c r="A21" s="73"/>
      <c r="B21" s="76"/>
      <c r="C21" s="76"/>
      <c r="D21" s="54"/>
      <c r="E21" s="148" t="s">
        <v>72</v>
      </c>
      <c r="F21" s="148" t="s">
        <v>84</v>
      </c>
      <c r="G21" s="148" t="s">
        <v>85</v>
      </c>
      <c r="H21" s="84"/>
      <c r="AL21" s="157" t="str">
        <f>E21</f>
        <v>IRR MEAN***</v>
      </c>
      <c r="AM21" s="157"/>
      <c r="AN21" s="157"/>
      <c r="AO21" s="75"/>
      <c r="AP21" s="157" t="s">
        <v>93</v>
      </c>
      <c r="AQ21" s="157"/>
      <c r="AS21" s="157" t="s">
        <v>87</v>
      </c>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c r="BS21" s="157"/>
      <c r="BT21" s="157"/>
      <c r="BU21" s="157"/>
      <c r="BV21" s="157"/>
      <c r="BW21" s="157"/>
    </row>
    <row r="22" spans="1:75" ht="11.25" customHeight="1" x14ac:dyDescent="0.25">
      <c r="A22" s="60">
        <v>0</v>
      </c>
      <c r="B22" s="152" t="s">
        <v>86</v>
      </c>
      <c r="C22" s="152"/>
      <c r="D22" s="73"/>
      <c r="E22" s="149"/>
      <c r="F22" s="149"/>
      <c r="G22" s="149"/>
      <c r="H22" s="84"/>
      <c r="AL22" s="106" t="str">
        <f>AL7</f>
        <v>(Prob &lt;)</v>
      </c>
      <c r="AM22" s="106" t="str">
        <f>AM7</f>
        <v>(Prob =)</v>
      </c>
      <c r="AN22" s="106" t="str">
        <f>AN7</f>
        <v>(Prob &gt;)</v>
      </c>
      <c r="AO22" s="106"/>
      <c r="AP22" s="106" t="str">
        <f>AP7</f>
        <v>(Prob &lt;)</v>
      </c>
      <c r="AQ22" s="106" t="str">
        <f>AQ7</f>
        <v>(Prob &gt;=)</v>
      </c>
      <c r="AS22" s="81" t="s">
        <v>167</v>
      </c>
      <c r="AT22" s="81" t="s">
        <v>135</v>
      </c>
      <c r="AU22" s="81" t="s">
        <v>136</v>
      </c>
      <c r="AV22" s="81" t="s">
        <v>137</v>
      </c>
      <c r="AW22" s="81" t="s">
        <v>138</v>
      </c>
      <c r="AX22" s="117" t="s">
        <v>139</v>
      </c>
      <c r="AY22" s="117" t="s">
        <v>140</v>
      </c>
      <c r="AZ22" s="117" t="s">
        <v>141</v>
      </c>
      <c r="BA22" s="117" t="s">
        <v>142</v>
      </c>
      <c r="BB22" s="117" t="s">
        <v>143</v>
      </c>
      <c r="BC22" s="117" t="s">
        <v>144</v>
      </c>
      <c r="BD22" s="117" t="s">
        <v>145</v>
      </c>
      <c r="BE22" s="117" t="s">
        <v>146</v>
      </c>
      <c r="BF22" s="117" t="s">
        <v>147</v>
      </c>
      <c r="BG22" s="117" t="s">
        <v>148</v>
      </c>
      <c r="BH22" s="117" t="s">
        <v>149</v>
      </c>
      <c r="BI22" s="117" t="s">
        <v>150</v>
      </c>
      <c r="BJ22" s="117" t="s">
        <v>151</v>
      </c>
      <c r="BK22" s="117" t="s">
        <v>152</v>
      </c>
      <c r="BL22" s="117" t="s">
        <v>153</v>
      </c>
      <c r="BM22" s="117" t="s">
        <v>154</v>
      </c>
      <c r="BN22" s="117" t="s">
        <v>155</v>
      </c>
      <c r="BO22" s="117" t="s">
        <v>156</v>
      </c>
      <c r="BP22" s="117" t="s">
        <v>157</v>
      </c>
      <c r="BQ22" s="117" t="s">
        <v>158</v>
      </c>
      <c r="BR22" s="117" t="s">
        <v>159</v>
      </c>
      <c r="BS22" s="117" t="s">
        <v>160</v>
      </c>
      <c r="BT22" s="117" t="s">
        <v>161</v>
      </c>
      <c r="BU22" s="117" t="s">
        <v>162</v>
      </c>
      <c r="BV22" s="117" t="s">
        <v>163</v>
      </c>
      <c r="BW22" s="117" t="s">
        <v>164</v>
      </c>
    </row>
    <row r="23" spans="1:75" ht="11.25" customHeight="1" x14ac:dyDescent="0.25">
      <c r="A23" s="60">
        <v>1</v>
      </c>
      <c r="B23" s="74" t="str">
        <f>CONCATENATE(SLABP_MB_IM_3Y!X71," giorni")</f>
        <v>201 giorni</v>
      </c>
      <c r="C23" s="90" t="str">
        <f>CONCATENATE(YEAR(SLABP_MB_IM_3Y!$B$54)+A22,"-",YEAR(SLABP_MB_IM_3Y!$B$54)+A23)</f>
        <v>2009-2010</v>
      </c>
      <c r="D23" s="73"/>
      <c r="E23" s="84">
        <f>SLABP_MB_IM_3Y!P71</f>
        <v>-8.1900000000000001E-2</v>
      </c>
      <c r="F23" s="84">
        <f>SLABP_MB_IM_3Y!Q71</f>
        <v>-0.2954</v>
      </c>
      <c r="G23" s="84">
        <f>SLABP_MB_IM_3Y!R71</f>
        <v>7.9100000000000004E-2</v>
      </c>
      <c r="H23" s="84"/>
      <c r="AL23" s="87" t="str">
        <f>CONCATENATE("(",TEXT(SLABP_MB_IM_3Y!S71,"0,0%"),")")</f>
        <v>(59,2%)</v>
      </c>
      <c r="AM23" s="87" t="str">
        <f>CONCATENATE("(",TEXT(SLABP_MB_IM_3Y!T71,"0,0%"),")")</f>
        <v>(0,0%)</v>
      </c>
      <c r="AN23" s="87" t="str">
        <f>CONCATENATE("(",TEXT(SLABP_MB_IM_3Y!U71,"0,0%"),")")</f>
        <v>(40,8%)</v>
      </c>
      <c r="AO23" s="87"/>
      <c r="AP23" s="87" t="str">
        <f>CONCATENATE("(",TEXT(SLABP_MB_IM_3Y!V71,"0,0%"),")")</f>
        <v>(59,2%)</v>
      </c>
      <c r="AQ23" s="87" t="str">
        <f>CONCATENATE("(",TEXT(SLABP_MB_IM_3Y!W71,"0,0%"),")")</f>
        <v>(40,8%)</v>
      </c>
      <c r="AS23" s="87" t="str">
        <f>CONCATENATE("(",TEXT(SLABP_MB_IM_3Y!Z71,"0,0%"),")")</f>
        <v>(35,3%)</v>
      </c>
      <c r="AT23" s="87" t="str">
        <f>CONCATENATE("(",TEXT(SLABP_MB_IM_3Y!AA71,"0,0%"),")")</f>
        <v>(5,0%)</v>
      </c>
      <c r="AU23" s="87" t="str">
        <f>CONCATENATE("(",TEXT(SLABP_MB_IM_3Y!AB71,"0,0%"),")")</f>
        <v>(0,0%)</v>
      </c>
      <c r="AV23" s="87" t="str">
        <f>CONCATENATE("(",TEXT(SLABP_MB_IM_3Y!AC71,"0,0%"),")")</f>
        <v>(0,0%)</v>
      </c>
      <c r="AW23" s="87" t="str">
        <f>CONCATENATE("(",TEXT(SLABP_MB_IM_3Y!AD71,"0,0%"),")")</f>
        <v>(0,0%)</v>
      </c>
      <c r="AX23" s="87" t="str">
        <f>CONCATENATE("(",TEXT(SLABP_MB_IM_3Y!AE71,"0,0%"),")")</f>
        <v>(0,0%)</v>
      </c>
      <c r="AY23" s="87" t="str">
        <f>CONCATENATE("(",TEXT(SLABP_MB_IM_3Y!AF71,"0,0%"),")")</f>
        <v>(0,0%)</v>
      </c>
      <c r="AZ23" s="87" t="str">
        <f>CONCATENATE("(",TEXT(SLABP_MB_IM_3Y!AG71,"0,0%"),")")</f>
        <v>(0,0%)</v>
      </c>
      <c r="BA23" s="87" t="str">
        <f>CONCATENATE("(",TEXT(SLABP_MB_IM_3Y!AH71,"0,0%"),")")</f>
        <v>(0,5%)</v>
      </c>
      <c r="BB23" s="87" t="str">
        <f>CONCATENATE("(",TEXT(SLABP_MB_IM_3Y!AI71,"0,0%"),")")</f>
        <v>(0,0%)</v>
      </c>
      <c r="BC23" s="87" t="str">
        <f>CONCATENATE("(",TEXT(SLABP_MB_IM_3Y!AJ71,"0,0%"),")")</f>
        <v>(0,0%)</v>
      </c>
      <c r="BD23" s="87" t="str">
        <f>CONCATENATE("(",TEXT(SLABP_MB_IM_3Y!AK71,"0,0%"),")")</f>
        <v>(0,0%)</v>
      </c>
      <c r="BE23" s="87" t="str">
        <f>CONCATENATE("(",TEXT(SLABP_MB_IM_3Y!AL71,"0,0%"),")")</f>
        <v>(0,0%)</v>
      </c>
      <c r="BF23" s="87" t="str">
        <f>CONCATENATE("(",TEXT(SLABP_MB_IM_3Y!AM71,"0,0%"),")")</f>
        <v>(0,0%)</v>
      </c>
      <c r="BG23" s="87" t="str">
        <f>CONCATENATE("(",TEXT(SLABP_MB_IM_3Y!AN71,"0,0%"),")")</f>
        <v>(0,0%)</v>
      </c>
      <c r="BH23" s="87" t="str">
        <f>CONCATENATE("(",TEXT(SLABP_MB_IM_3Y!AO71,"0,0%"),")")</f>
        <v>(0,0%)</v>
      </c>
      <c r="BI23" s="87" t="str">
        <f>CONCATENATE("(",TEXT(SLABP_MB_IM_3Y!AP71,"0,0%"),")")</f>
        <v>(0,0%)</v>
      </c>
      <c r="BJ23" s="87" t="str">
        <f>CONCATENATE("(",TEXT(SLABP_MB_IM_3Y!AQ71,"0,0%"),")")</f>
        <v>(0,0%)</v>
      </c>
      <c r="BK23" s="87" t="str">
        <f>CONCATENATE("(",TEXT(SLABP_MB_IM_3Y!AR71,"0,0%"),")")</f>
        <v>(0,0%)</v>
      </c>
      <c r="BL23" s="87" t="str">
        <f>CONCATENATE("(",TEXT(SLABP_MB_IM_3Y!AS71,"0,0%"),")")</f>
        <v>(0,0%)</v>
      </c>
      <c r="BM23" s="87" t="str">
        <f>CONCATENATE("(",TEXT(SLABP_MB_IM_3Y!AT71,"0,0%"),")")</f>
        <v>(0,0%)</v>
      </c>
      <c r="BN23" s="87" t="str">
        <f>CONCATENATE("(",TEXT(SLABP_MB_IM_3Y!AU71,"0,0%"),")")</f>
        <v>(0,0%)</v>
      </c>
      <c r="BO23" s="87" t="str">
        <f>CONCATENATE("(",TEXT(SLABP_MB_IM_3Y!AV71,"0,0%"),")")</f>
        <v>(0,0%)</v>
      </c>
      <c r="BP23" s="87" t="str">
        <f>CONCATENATE("(",TEXT(SLABP_MB_IM_3Y!AW71,"0,0%"),")")</f>
        <v>(0,0%)</v>
      </c>
      <c r="BQ23" s="87" t="str">
        <f>CONCATENATE("(",TEXT(SLABP_MB_IM_3Y!AX71,"0,0%"),")")</f>
        <v>(0,0%)</v>
      </c>
      <c r="BR23" s="87" t="str">
        <f>CONCATENATE("(",TEXT(SLABP_MB_IM_3Y!AY71,"0,0%"),")")</f>
        <v>(0,0%)</v>
      </c>
      <c r="BS23" s="87" t="str">
        <f>CONCATENATE("(",TEXT(SLABP_MB_IM_3Y!AZ71,"0,0%"),")")</f>
        <v>(0,0%)</v>
      </c>
      <c r="BT23" s="87" t="str">
        <f>CONCATENATE("(",TEXT(SLABP_MB_IM_3Y!BA71,"0,0%"),")")</f>
        <v>(0,0%)</v>
      </c>
      <c r="BU23" s="87" t="str">
        <f>CONCATENATE("(",TEXT(SLABP_MB_IM_3Y!BB71,"0,0%"),")")</f>
        <v>(0,0%)</v>
      </c>
      <c r="BV23" s="87" t="str">
        <f>CONCATENATE("(",TEXT(SLABP_MB_IM_3Y!BC71,"0,0%"),")")</f>
        <v>(0,0%)</v>
      </c>
      <c r="BW23" s="87" t="str">
        <f>CONCATENATE("(",TEXT(SLABP_MB_IM_3Y!BD71,"0,0%"),")")</f>
        <v>(59,2%)</v>
      </c>
    </row>
    <row r="24" spans="1:75" ht="11.25" customHeight="1" x14ac:dyDescent="0.25">
      <c r="A24" s="60">
        <v>2</v>
      </c>
      <c r="B24" s="74" t="str">
        <f>CONCATENATE(SLABP_MB_IM_3Y!X72," giorni")</f>
        <v>256 giorni</v>
      </c>
      <c r="C24" s="90" t="str">
        <f>CONCATENATE(YEAR(SLABP_MB_IM_3Y!$B$54)+A23,"-",YEAR(SLABP_MB_IM_3Y!$B$54)+A24)</f>
        <v>2010-2011</v>
      </c>
      <c r="D24" s="73"/>
      <c r="E24" s="84">
        <f>SLABP_MB_IM_3Y!P72</f>
        <v>3.4299999999999997E-2</v>
      </c>
      <c r="F24" s="84">
        <f>SLABP_MB_IM_3Y!Q72</f>
        <v>-0.17910000000000001</v>
      </c>
      <c r="G24" s="84">
        <f>SLABP_MB_IM_3Y!R72</f>
        <v>7.9100000000000004E-2</v>
      </c>
      <c r="H24" s="84"/>
      <c r="AL24" s="87" t="str">
        <f>CONCATENATE("(",TEXT(SLABP_MB_IM_3Y!S72,"0,0%"),")")</f>
        <v>(21,5%)</v>
      </c>
      <c r="AM24" s="87" t="str">
        <f>CONCATENATE("(",TEXT(SLABP_MB_IM_3Y!T72,"0,0%"),")")</f>
        <v>(0,0%)</v>
      </c>
      <c r="AN24" s="87" t="str">
        <f>CONCATENATE("(",TEXT(SLABP_MB_IM_3Y!U72,"0,0%"),")")</f>
        <v>(78,5%)</v>
      </c>
      <c r="AO24" s="87"/>
      <c r="AP24" s="87" t="str">
        <f>CONCATENATE("(",TEXT(SLABP_MB_IM_3Y!V72,"0,0%"),")")</f>
        <v>(20,7%)</v>
      </c>
      <c r="AQ24" s="87" t="str">
        <f>CONCATENATE("(",TEXT(SLABP_MB_IM_3Y!W72,"0,0%"),")")</f>
        <v>(79,3%)</v>
      </c>
      <c r="AS24" s="87" t="str">
        <f>CONCATENATE("(",TEXT(SLABP_MB_IM_3Y!Z72,"0,0%"),")")</f>
        <v>(65,6%)</v>
      </c>
      <c r="AT24" s="87" t="str">
        <f>CONCATENATE("(",TEXT(SLABP_MB_IM_3Y!AA72,"0,0%"),")")</f>
        <v>(1,2%)</v>
      </c>
      <c r="AU24" s="87" t="str">
        <f>CONCATENATE("(",TEXT(SLABP_MB_IM_3Y!AB72,"0,0%"),")")</f>
        <v>(0,0%)</v>
      </c>
      <c r="AV24" s="87" t="str">
        <f>CONCATENATE("(",TEXT(SLABP_MB_IM_3Y!AC72,"0,0%"),")")</f>
        <v>(0,4%)</v>
      </c>
      <c r="AW24" s="87" t="str">
        <f>CONCATENATE("(",TEXT(SLABP_MB_IM_3Y!AD72,"0,0%"),")")</f>
        <v>(0,8%)</v>
      </c>
      <c r="AX24" s="87" t="str">
        <f>CONCATENATE("(",TEXT(SLABP_MB_IM_3Y!AE72,"0,0%"),")")</f>
        <v>(1,6%)</v>
      </c>
      <c r="AY24" s="87" t="str">
        <f>CONCATENATE("(",TEXT(SLABP_MB_IM_3Y!AF72,"0,0%"),")")</f>
        <v>(5,5%)</v>
      </c>
      <c r="AZ24" s="87" t="str">
        <f>CONCATENATE("(",TEXT(SLABP_MB_IM_3Y!AG72,"0,0%"),")")</f>
        <v>(0,0%)</v>
      </c>
      <c r="BA24" s="87" t="str">
        <f>CONCATENATE("(",TEXT(SLABP_MB_IM_3Y!AH72,"0,0%"),")")</f>
        <v>(0,4%)</v>
      </c>
      <c r="BB24" s="87" t="str">
        <f>CONCATENATE("(",TEXT(SLABP_MB_IM_3Y!AI72,"0,0%"),")")</f>
        <v>(0,4%)</v>
      </c>
      <c r="BC24" s="87" t="str">
        <f>CONCATENATE("(",TEXT(SLABP_MB_IM_3Y!AJ72,"0,0%"),")")</f>
        <v>(0,0%)</v>
      </c>
      <c r="BD24" s="87" t="str">
        <f>CONCATENATE("(",TEXT(SLABP_MB_IM_3Y!AK72,"0,0%"),")")</f>
        <v>(0,0%)</v>
      </c>
      <c r="BE24" s="87" t="str">
        <f>CONCATENATE("(",TEXT(SLABP_MB_IM_3Y!AL72,"0,0%"),")")</f>
        <v>(0,0%)</v>
      </c>
      <c r="BF24" s="87" t="str">
        <f>CONCATENATE("(",TEXT(SLABP_MB_IM_3Y!AM72,"0,0%"),")")</f>
        <v>(0,0%)</v>
      </c>
      <c r="BG24" s="87" t="str">
        <f>CONCATENATE("(",TEXT(SLABP_MB_IM_3Y!AN72,"0,0%"),")")</f>
        <v>(0,0%)</v>
      </c>
      <c r="BH24" s="87" t="str">
        <f>CONCATENATE("(",TEXT(SLABP_MB_IM_3Y!AO72,"0,0%"),")")</f>
        <v>(0,0%)</v>
      </c>
      <c r="BI24" s="87" t="str">
        <f>CONCATENATE("(",TEXT(SLABP_MB_IM_3Y!AP72,"0,0%"),")")</f>
        <v>(0,0%)</v>
      </c>
      <c r="BJ24" s="87" t="str">
        <f>CONCATENATE("(",TEXT(SLABP_MB_IM_3Y!AQ72,"0,0%"),")")</f>
        <v>(0,0%)</v>
      </c>
      <c r="BK24" s="87" t="str">
        <f>CONCATENATE("(",TEXT(SLABP_MB_IM_3Y!AR72,"0,0%"),")")</f>
        <v>(0,0%)</v>
      </c>
      <c r="BL24" s="87" t="str">
        <f>CONCATENATE("(",TEXT(SLABP_MB_IM_3Y!AS72,"0,0%"),")")</f>
        <v>(0,0%)</v>
      </c>
      <c r="BM24" s="87" t="str">
        <f>CONCATENATE("(",TEXT(SLABP_MB_IM_3Y!AT72,"0,0%"),")")</f>
        <v>(0,0%)</v>
      </c>
      <c r="BN24" s="87" t="str">
        <f>CONCATENATE("(",TEXT(SLABP_MB_IM_3Y!AU72,"0,0%"),")")</f>
        <v>(0,0%)</v>
      </c>
      <c r="BO24" s="87" t="str">
        <f>CONCATENATE("(",TEXT(SLABP_MB_IM_3Y!AV72,"0,0%"),")")</f>
        <v>(0,0%)</v>
      </c>
      <c r="BP24" s="87" t="str">
        <f>CONCATENATE("(",TEXT(SLABP_MB_IM_3Y!AW72,"0,0%"),")")</f>
        <v>(0,0%)</v>
      </c>
      <c r="BQ24" s="87" t="str">
        <f>CONCATENATE("(",TEXT(SLABP_MB_IM_3Y!AX72,"0,0%"),")")</f>
        <v>(0,0%)</v>
      </c>
      <c r="BR24" s="87" t="str">
        <f>CONCATENATE("(",TEXT(SLABP_MB_IM_3Y!AY72,"0,0%"),")")</f>
        <v>(0,0%)</v>
      </c>
      <c r="BS24" s="87" t="str">
        <f>CONCATENATE("(",TEXT(SLABP_MB_IM_3Y!AZ72,"0,0%"),")")</f>
        <v>(0,0%)</v>
      </c>
      <c r="BT24" s="87" t="str">
        <f>CONCATENATE("(",TEXT(SLABP_MB_IM_3Y!BA72,"0,0%"),")")</f>
        <v>(0,0%)</v>
      </c>
      <c r="BU24" s="87" t="str">
        <f>CONCATENATE("(",TEXT(SLABP_MB_IM_3Y!BB72,"0,0%"),")")</f>
        <v>(0,0%)</v>
      </c>
      <c r="BV24" s="87" t="str">
        <f>CONCATENATE("(",TEXT(SLABP_MB_IM_3Y!BC72,"0,0%"),")")</f>
        <v>(0,0%)</v>
      </c>
      <c r="BW24" s="87" t="str">
        <f>CONCATENATE("(",TEXT(SLABP_MB_IM_3Y!BD72,"0,0%"),")")</f>
        <v>(24,2%)</v>
      </c>
    </row>
    <row r="25" spans="1:75" ht="11.25" customHeight="1" x14ac:dyDescent="0.25">
      <c r="A25" s="60">
        <v>3</v>
      </c>
      <c r="B25" s="74" t="str">
        <f>CONCATENATE(SLABP_MB_IM_3Y!X73," giorni")</f>
        <v>256 giorni</v>
      </c>
      <c r="C25" s="90" t="str">
        <f>CONCATENATE(YEAR(SLABP_MB_IM_3Y!$B$54)+A24,"-",YEAR(SLABP_MB_IM_3Y!$B$54)+A25)</f>
        <v>2011-2012</v>
      </c>
      <c r="D25" s="73"/>
      <c r="E25" s="84">
        <f>SLABP_MB_IM_3Y!P73</f>
        <v>4.4400000000000002E-2</v>
      </c>
      <c r="F25" s="84">
        <f>SLABP_MB_IM_3Y!Q73</f>
        <v>2.5000000000000001E-2</v>
      </c>
      <c r="G25" s="84">
        <f>SLABP_MB_IM_3Y!R73</f>
        <v>7.2499999999999995E-2</v>
      </c>
      <c r="H25" s="84"/>
      <c r="AL25" s="87" t="str">
        <f>CONCATENATE("(",TEXT(SLABP_MB_IM_3Y!S73,"0,0%"),")")</f>
        <v>(53,1%)</v>
      </c>
      <c r="AM25" s="87" t="str">
        <f>CONCATENATE("(",TEXT(SLABP_MB_IM_3Y!T73,"0,0%"),")")</f>
        <v>(0,0%)</v>
      </c>
      <c r="AN25" s="87" t="str">
        <f>CONCATENATE("(",TEXT(SLABP_MB_IM_3Y!U73,"0,0%"),")")</f>
        <v>(46,9%)</v>
      </c>
      <c r="AO25" s="87"/>
      <c r="AP25" s="87" t="str">
        <f>CONCATENATE("(",TEXT(SLABP_MB_IM_3Y!V73,"0,0%"),")")</f>
        <v>(0,0%)</v>
      </c>
      <c r="AQ25" s="87" t="str">
        <f>CONCATENATE("(",TEXT(SLABP_MB_IM_3Y!W73,"0,0%"),")")</f>
        <v>(100,0%)</v>
      </c>
      <c r="AS25" s="87" t="str">
        <f>CONCATENATE("(",TEXT(SLABP_MB_IM_3Y!Z73,"0,0%"),")")</f>
        <v>(0,0%)</v>
      </c>
      <c r="AT25" s="87" t="str">
        <f>CONCATENATE("(",TEXT(SLABP_MB_IM_3Y!AA73,"0,0%"),")")</f>
        <v>(0,0%)</v>
      </c>
      <c r="AU25" s="87" t="str">
        <f>CONCATENATE("(",TEXT(SLABP_MB_IM_3Y!AB73,"0,0%"),")")</f>
        <v>(0,0%)</v>
      </c>
      <c r="AV25" s="87" t="str">
        <f>CONCATENATE("(",TEXT(SLABP_MB_IM_3Y!AC73,"0,0%"),")")</f>
        <v>(0,4%)</v>
      </c>
      <c r="AW25" s="87" t="str">
        <f>CONCATENATE("(",TEXT(SLABP_MB_IM_3Y!AD73,"0,0%"),")")</f>
        <v>(2,3%)</v>
      </c>
      <c r="AX25" s="87" t="str">
        <f>CONCATENATE("(",TEXT(SLABP_MB_IM_3Y!AE73,"0,0%"),")")</f>
        <v>(1,6%)</v>
      </c>
      <c r="AY25" s="87" t="str">
        <f>CONCATENATE("(",TEXT(SLABP_MB_IM_3Y!AF73,"0,0%"),")")</f>
        <v>(0,4%)</v>
      </c>
      <c r="AZ25" s="87" t="str">
        <f>CONCATENATE("(",TEXT(SLABP_MB_IM_3Y!AG73,"0,0%"),")")</f>
        <v>(5,5%)</v>
      </c>
      <c r="BA25" s="87" t="str">
        <f>CONCATENATE("(",TEXT(SLABP_MB_IM_3Y!AH73,"0,0%"),")")</f>
        <v>(2,0%)</v>
      </c>
      <c r="BB25" s="87" t="str">
        <f>CONCATENATE("(",TEXT(SLABP_MB_IM_3Y!AI73,"0,0%"),")")</f>
        <v>(0,0%)</v>
      </c>
      <c r="BC25" s="87" t="str">
        <f>CONCATENATE("(",TEXT(SLABP_MB_IM_3Y!AJ73,"0,0%"),")")</f>
        <v>(0,4%)</v>
      </c>
      <c r="BD25" s="87" t="str">
        <f>CONCATENATE("(",TEXT(SLABP_MB_IM_3Y!AK73,"0,0%"),")")</f>
        <v>(0,4%)</v>
      </c>
      <c r="BE25" s="87" t="str">
        <f>CONCATENATE("(",TEXT(SLABP_MB_IM_3Y!AL73,"0,0%"),")")</f>
        <v>(0,0%)</v>
      </c>
      <c r="BF25" s="87" t="str">
        <f>CONCATENATE("(",TEXT(SLABP_MB_IM_3Y!AM73,"0,0%"),")")</f>
        <v>(0,0%)</v>
      </c>
      <c r="BG25" s="87" t="str">
        <f>CONCATENATE("(",TEXT(SLABP_MB_IM_3Y!AN73,"0,0%"),")")</f>
        <v>(0,0%)</v>
      </c>
      <c r="BH25" s="87" t="str">
        <f>CONCATENATE("(",TEXT(SLABP_MB_IM_3Y!AO73,"0,0%"),")")</f>
        <v>(0,0%)</v>
      </c>
      <c r="BI25" s="87" t="str">
        <f>CONCATENATE("(",TEXT(SLABP_MB_IM_3Y!AP73,"0,0%"),")")</f>
        <v>(0,0%)</v>
      </c>
      <c r="BJ25" s="87" t="str">
        <f>CONCATENATE("(",TEXT(SLABP_MB_IM_3Y!AQ73,"0,0%"),")")</f>
        <v>(5,1%)</v>
      </c>
      <c r="BK25" s="87" t="str">
        <f>CONCATENATE("(",TEXT(SLABP_MB_IM_3Y!AR73,"0,0%"),")")</f>
        <v>(7,4%)</v>
      </c>
      <c r="BL25" s="87" t="str">
        <f>CONCATENATE("(",TEXT(SLABP_MB_IM_3Y!AS73,"0,0%"),")")</f>
        <v>(6,2%)</v>
      </c>
      <c r="BM25" s="87" t="str">
        <f>CONCATENATE("(",TEXT(SLABP_MB_IM_3Y!AT73,"0,0%"),")")</f>
        <v>(9,4%)</v>
      </c>
      <c r="BN25" s="87" t="str">
        <f>CONCATENATE("(",TEXT(SLABP_MB_IM_3Y!AU73,"0,0%"),")")</f>
        <v>(4,7%)</v>
      </c>
      <c r="BO25" s="87" t="str">
        <f>CONCATENATE("(",TEXT(SLABP_MB_IM_3Y!AV73,"0,0%"),")")</f>
        <v>(1,6%)</v>
      </c>
      <c r="BP25" s="87" t="str">
        <f>CONCATENATE("(",TEXT(SLABP_MB_IM_3Y!AW73,"0,0%"),")")</f>
        <v>(0,4%)</v>
      </c>
      <c r="BQ25" s="87" t="str">
        <f>CONCATENATE("(",TEXT(SLABP_MB_IM_3Y!AX73,"0,0%"),")")</f>
        <v>(2,0%)</v>
      </c>
      <c r="BR25" s="87" t="str">
        <f>CONCATENATE("(",TEXT(SLABP_MB_IM_3Y!AY73,"0,0%"),")")</f>
        <v>(1,6%)</v>
      </c>
      <c r="BS25" s="87" t="str">
        <f>CONCATENATE("(",TEXT(SLABP_MB_IM_3Y!AZ73,"0,0%"),")")</f>
        <v>(5,1%)</v>
      </c>
      <c r="BT25" s="87" t="str">
        <f>CONCATENATE("(",TEXT(SLABP_MB_IM_3Y!BA73,"0,0%"),")")</f>
        <v>(2,7%)</v>
      </c>
      <c r="BU25" s="87" t="str">
        <f>CONCATENATE("(",TEXT(SLABP_MB_IM_3Y!BB73,"0,0%"),")")</f>
        <v>(6,6%)</v>
      </c>
      <c r="BV25" s="87" t="str">
        <f>CONCATENATE("(",TEXT(SLABP_MB_IM_3Y!BC73,"0,0%"),")")</f>
        <v>(9,8%)</v>
      </c>
      <c r="BW25" s="87" t="str">
        <f>CONCATENATE("(",TEXT(SLABP_MB_IM_3Y!BD73,"0,0%"),")")</f>
        <v>(24,7%)</v>
      </c>
    </row>
    <row r="26" spans="1:75" ht="11.25" customHeight="1" x14ac:dyDescent="0.25">
      <c r="A26" s="60">
        <v>4</v>
      </c>
      <c r="B26" s="74" t="str">
        <f>CONCATENATE(SLABP_MB_IM_3Y!X74," giorni")</f>
        <v>253 giorni</v>
      </c>
      <c r="C26" s="90" t="str">
        <f>CONCATENATE(YEAR(SLABP_MB_IM_3Y!$B$54)+A25,"-",YEAR(SLABP_MB_IM_3Y!$B$54)+A26)</f>
        <v>2012-2013</v>
      </c>
      <c r="D26" s="73"/>
      <c r="E26" s="84">
        <f>SLABP_MB_IM_3Y!P74</f>
        <v>7.2099999999999997E-2</v>
      </c>
      <c r="F26" s="84">
        <f>SLABP_MB_IM_3Y!Q74</f>
        <v>4.2900000000000001E-2</v>
      </c>
      <c r="G26" s="84">
        <f>SLABP_MB_IM_3Y!R74</f>
        <v>7.9100000000000004E-2</v>
      </c>
      <c r="H26" s="84"/>
      <c r="AL26" s="87" t="str">
        <f>CONCATENATE("(",TEXT(SLABP_MB_IM_3Y!S74,"0,0%"),")")</f>
        <v>(26,5%)</v>
      </c>
      <c r="AM26" s="87" t="str">
        <f>CONCATENATE("(",TEXT(SLABP_MB_IM_3Y!T74,"0,0%"),")")</f>
        <v>(0,0%)</v>
      </c>
      <c r="AN26" s="87" t="str">
        <f>CONCATENATE("(",TEXT(SLABP_MB_IM_3Y!U74,"0,0%"),")")</f>
        <v>(73,5%)</v>
      </c>
      <c r="AO26" s="87"/>
      <c r="AP26" s="87" t="str">
        <f>CONCATENATE("(",TEXT(SLABP_MB_IM_3Y!V74,"0,0%"),")")</f>
        <v>(0,0%)</v>
      </c>
      <c r="AQ26" s="87" t="str">
        <f>CONCATENATE("(",TEXT(SLABP_MB_IM_3Y!W74,"0,0%"),")")</f>
        <v>(100,0%)</v>
      </c>
      <c r="AS26" s="87" t="str">
        <f>CONCATENATE("(",TEXT(SLABP_MB_IM_3Y!Z74,"0,0%"),")")</f>
        <v>(66,0%)</v>
      </c>
      <c r="AT26" s="87" t="str">
        <f>CONCATENATE("(",TEXT(SLABP_MB_IM_3Y!AA74,"0,0%"),")")</f>
        <v>(6,7%)</v>
      </c>
      <c r="AU26" s="87" t="str">
        <f>CONCATENATE("(",TEXT(SLABP_MB_IM_3Y!AB74,"0,0%"),")")</f>
        <v>(4,3%)</v>
      </c>
      <c r="AV26" s="87" t="str">
        <f>CONCATENATE("(",TEXT(SLABP_MB_IM_3Y!AC74,"0,0%"),")")</f>
        <v>(4,0%)</v>
      </c>
      <c r="AW26" s="87" t="str">
        <f>CONCATENATE("(",TEXT(SLABP_MB_IM_3Y!AD74,"0,0%"),")")</f>
        <v>(7,1%)</v>
      </c>
      <c r="AX26" s="87" t="str">
        <f>CONCATENATE("(",TEXT(SLABP_MB_IM_3Y!AE74,"0,0%"),")")</f>
        <v>(9,1%)</v>
      </c>
      <c r="AY26" s="87" t="str">
        <f>CONCATENATE("(",TEXT(SLABP_MB_IM_3Y!AF74,"0,0%"),")")</f>
        <v>(2,8%)</v>
      </c>
      <c r="AZ26" s="87" t="str">
        <f>CONCATENATE("(",TEXT(SLABP_MB_IM_3Y!AG74,"0,0%"),")")</f>
        <v>(0,0%)</v>
      </c>
      <c r="BA26" s="87" t="str">
        <f>CONCATENATE("(",TEXT(SLABP_MB_IM_3Y!AH74,"0,0%"),")")</f>
        <v>(0,0%)</v>
      </c>
      <c r="BB26" s="87" t="str">
        <f>CONCATENATE("(",TEXT(SLABP_MB_IM_3Y!AI74,"0,0%"),")")</f>
        <v>(0,0%)</v>
      </c>
      <c r="BC26" s="87" t="str">
        <f>CONCATENATE("(",TEXT(SLABP_MB_IM_3Y!AJ74,"0,0%"),")")</f>
        <v>(0,0%)</v>
      </c>
      <c r="BD26" s="87" t="str">
        <f>CONCATENATE("(",TEXT(SLABP_MB_IM_3Y!AK74,"0,0%"),")")</f>
        <v>(0,0%)</v>
      </c>
      <c r="BE26" s="87" t="str">
        <f>CONCATENATE("(",TEXT(SLABP_MB_IM_3Y!AL74,"0,0%"),")")</f>
        <v>(0,0%)</v>
      </c>
      <c r="BF26" s="87" t="str">
        <f>CONCATENATE("(",TEXT(SLABP_MB_IM_3Y!AM74,"0,0%"),")")</f>
        <v>(0,0%)</v>
      </c>
      <c r="BG26" s="87" t="str">
        <f>CONCATENATE("(",TEXT(SLABP_MB_IM_3Y!AN74,"0,0%"),")")</f>
        <v>(0,0%)</v>
      </c>
      <c r="BH26" s="87" t="str">
        <f>CONCATENATE("(",TEXT(SLABP_MB_IM_3Y!AO74,"0,0%"),")")</f>
        <v>(0,0%)</v>
      </c>
      <c r="BI26" s="87" t="str">
        <f>CONCATENATE("(",TEXT(SLABP_MB_IM_3Y!AP74,"0,0%"),")")</f>
        <v>(0,0%)</v>
      </c>
      <c r="BJ26" s="87" t="str">
        <f>CONCATENATE("(",TEXT(SLABP_MB_IM_3Y!AQ74,"0,0%"),")")</f>
        <v>(0,0%)</v>
      </c>
      <c r="BK26" s="87" t="str">
        <f>CONCATENATE("(",TEXT(SLABP_MB_IM_3Y!AR74,"0,0%"),")")</f>
        <v>(0,0%)</v>
      </c>
      <c r="BL26" s="87" t="str">
        <f>CONCATENATE("(",TEXT(SLABP_MB_IM_3Y!AS74,"0,0%"),")")</f>
        <v>(0,0%)</v>
      </c>
      <c r="BM26" s="87" t="str">
        <f>CONCATENATE("(",TEXT(SLABP_MB_IM_3Y!AT74,"0,0%"),")")</f>
        <v>(0,0%)</v>
      </c>
      <c r="BN26" s="87" t="str">
        <f>CONCATENATE("(",TEXT(SLABP_MB_IM_3Y!AU74,"0,0%"),")")</f>
        <v>(0,0%)</v>
      </c>
      <c r="BO26" s="87" t="str">
        <f>CONCATENATE("(",TEXT(SLABP_MB_IM_3Y!AV74,"0,0%"),")")</f>
        <v>(0,0%)</v>
      </c>
      <c r="BP26" s="87" t="str">
        <f>CONCATENATE("(",TEXT(SLABP_MB_IM_3Y!AW74,"0,0%"),")")</f>
        <v>(0,0%)</v>
      </c>
      <c r="BQ26" s="87" t="str">
        <f>CONCATENATE("(",TEXT(SLABP_MB_IM_3Y!AX74,"0,0%"),")")</f>
        <v>(0,0%)</v>
      </c>
      <c r="BR26" s="87" t="str">
        <f>CONCATENATE("(",TEXT(SLABP_MB_IM_3Y!AY74,"0,0%"),")")</f>
        <v>(0,0%)</v>
      </c>
      <c r="BS26" s="87" t="str">
        <f>CONCATENATE("(",TEXT(SLABP_MB_IM_3Y!AZ74,"0,0%"),")")</f>
        <v>(0,0%)</v>
      </c>
      <c r="BT26" s="87" t="str">
        <f>CONCATENATE("(",TEXT(SLABP_MB_IM_3Y!BA74,"0,0%"),")")</f>
        <v>(0,0%)</v>
      </c>
      <c r="BU26" s="87" t="str">
        <f>CONCATENATE("(",TEXT(SLABP_MB_IM_3Y!BB74,"0,0%"),")")</f>
        <v>(0,0%)</v>
      </c>
      <c r="BV26" s="87" t="str">
        <f>CONCATENATE("(",TEXT(SLABP_MB_IM_3Y!BC74,"0,0%"),")")</f>
        <v>(0,0%)</v>
      </c>
      <c r="BW26" s="87" t="str">
        <f>CONCATENATE("(",TEXT(SLABP_MB_IM_3Y!BD74,"0,0%"),")")</f>
        <v>(0,0%)</v>
      </c>
    </row>
    <row r="27" spans="1:75" ht="11.25" customHeight="1" x14ac:dyDescent="0.25">
      <c r="A27" s="60">
        <v>5</v>
      </c>
      <c r="B27" s="74" t="str">
        <f>CONCATENATE(SLABP_MB_IM_3Y!X75," giorni")</f>
        <v>252 giorni</v>
      </c>
      <c r="C27" s="90" t="str">
        <f>CONCATENATE(YEAR(SLABP_MB_IM_3Y!$B$54)+A26,"-",YEAR(SLABP_MB_IM_3Y!$B$54)+A27)</f>
        <v>2013-2014</v>
      </c>
      <c r="D27" s="73"/>
      <c r="E27" s="84">
        <f>SLABP_MB_IM_3Y!P75</f>
        <v>7.7899999999999997E-2</v>
      </c>
      <c r="F27" s="84">
        <f>SLABP_MB_IM_3Y!Q75</f>
        <v>6.7599999999999993E-2</v>
      </c>
      <c r="G27" s="84">
        <f>SLABP_MB_IM_3Y!R75</f>
        <v>7.9100000000000004E-2</v>
      </c>
      <c r="H27" s="84"/>
      <c r="AL27" s="87" t="str">
        <f>CONCATENATE("(",TEXT(SLABP_MB_IM_3Y!S75,"0,0%"),")")</f>
        <v>(6,3%)</v>
      </c>
      <c r="AM27" s="87" t="str">
        <f>CONCATENATE("(",TEXT(SLABP_MB_IM_3Y!T75,"0,0%"),")")</f>
        <v>(0,0%)</v>
      </c>
      <c r="AN27" s="87" t="str">
        <f>CONCATENATE("(",TEXT(SLABP_MB_IM_3Y!U75,"0,0%"),")")</f>
        <v>(93,7%)</v>
      </c>
      <c r="AO27" s="87"/>
      <c r="AP27" s="87" t="str">
        <f>CONCATENATE("(",TEXT(SLABP_MB_IM_3Y!V75,"0,0%"),")")</f>
        <v>(0,0%)</v>
      </c>
      <c r="AQ27" s="87" t="str">
        <f>CONCATENATE("(",TEXT(SLABP_MB_IM_3Y!W75,"0,0%"),")")</f>
        <v>(100,0%)</v>
      </c>
      <c r="AS27" s="87" t="str">
        <f>CONCATENATE("(",TEXT(SLABP_MB_IM_3Y!Z75,"0,0%"),")")</f>
        <v>(86,5%)</v>
      </c>
      <c r="AT27" s="87" t="str">
        <f>CONCATENATE("(",TEXT(SLABP_MB_IM_3Y!AA75,"0,0%"),")")</f>
        <v>(2,4%)</v>
      </c>
      <c r="AU27" s="87" t="str">
        <f>CONCATENATE("(",TEXT(SLABP_MB_IM_3Y!AB75,"0,0%"),")")</f>
        <v>(6,3%)</v>
      </c>
      <c r="AV27" s="87" t="str">
        <f>CONCATENATE("(",TEXT(SLABP_MB_IM_3Y!AC75,"0,0%"),")")</f>
        <v>(4,8%)</v>
      </c>
      <c r="AW27" s="87" t="str">
        <f>CONCATENATE("(",TEXT(SLABP_MB_IM_3Y!AD75,"0,0%"),")")</f>
        <v>(0,0%)</v>
      </c>
      <c r="AX27" s="87" t="str">
        <f>CONCATENATE("(",TEXT(SLABP_MB_IM_3Y!AE75,"0,0%"),")")</f>
        <v>(0,0%)</v>
      </c>
      <c r="AY27" s="87" t="str">
        <f>CONCATENATE("(",TEXT(SLABP_MB_IM_3Y!AF75,"0,0%"),")")</f>
        <v>(0,0%)</v>
      </c>
      <c r="AZ27" s="87" t="str">
        <f>CONCATENATE("(",TEXT(SLABP_MB_IM_3Y!AG75,"0,0%"),")")</f>
        <v>(0,0%)</v>
      </c>
      <c r="BA27" s="87" t="str">
        <f>CONCATENATE("(",TEXT(SLABP_MB_IM_3Y!AH75,"0,0%"),")")</f>
        <v>(0,0%)</v>
      </c>
      <c r="BB27" s="87" t="str">
        <f>CONCATENATE("(",TEXT(SLABP_MB_IM_3Y!AI75,"0,0%"),")")</f>
        <v>(0,0%)</v>
      </c>
      <c r="BC27" s="87" t="str">
        <f>CONCATENATE("(",TEXT(SLABP_MB_IM_3Y!AJ75,"0,0%"),")")</f>
        <v>(0,0%)</v>
      </c>
      <c r="BD27" s="87" t="str">
        <f>CONCATENATE("(",TEXT(SLABP_MB_IM_3Y!AK75,"0,0%"),")")</f>
        <v>(0,0%)</v>
      </c>
      <c r="BE27" s="87" t="str">
        <f>CONCATENATE("(",TEXT(SLABP_MB_IM_3Y!AL75,"0,0%"),")")</f>
        <v>(0,0%)</v>
      </c>
      <c r="BF27" s="87" t="str">
        <f>CONCATENATE("(",TEXT(SLABP_MB_IM_3Y!AM75,"0,0%"),")")</f>
        <v>(0,0%)</v>
      </c>
      <c r="BG27" s="87" t="str">
        <f>CONCATENATE("(",TEXT(SLABP_MB_IM_3Y!AN75,"0,0%"),")")</f>
        <v>(0,0%)</v>
      </c>
      <c r="BH27" s="87" t="str">
        <f>CONCATENATE("(",TEXT(SLABP_MB_IM_3Y!AO75,"0,0%"),")")</f>
        <v>(0,0%)</v>
      </c>
      <c r="BI27" s="87" t="str">
        <f>CONCATENATE("(",TEXT(SLABP_MB_IM_3Y!AP75,"0,0%"),")")</f>
        <v>(0,0%)</v>
      </c>
      <c r="BJ27" s="87" t="str">
        <f>CONCATENATE("(",TEXT(SLABP_MB_IM_3Y!AQ75,"0,0%"),")")</f>
        <v>(0,0%)</v>
      </c>
      <c r="BK27" s="87" t="str">
        <f>CONCATENATE("(",TEXT(SLABP_MB_IM_3Y!AR75,"0,0%"),")")</f>
        <v>(0,0%)</v>
      </c>
      <c r="BL27" s="87" t="str">
        <f>CONCATENATE("(",TEXT(SLABP_MB_IM_3Y!AS75,"0,0%"),")")</f>
        <v>(0,0%)</v>
      </c>
      <c r="BM27" s="87" t="str">
        <f>CONCATENATE("(",TEXT(SLABP_MB_IM_3Y!AT75,"0,0%"),")")</f>
        <v>(0,0%)</v>
      </c>
      <c r="BN27" s="87" t="str">
        <f>CONCATENATE("(",TEXT(SLABP_MB_IM_3Y!AU75,"0,0%"),")")</f>
        <v>(0,0%)</v>
      </c>
      <c r="BO27" s="87" t="str">
        <f>CONCATENATE("(",TEXT(SLABP_MB_IM_3Y!AV75,"0,0%"),")")</f>
        <v>(0,0%)</v>
      </c>
      <c r="BP27" s="87" t="str">
        <f>CONCATENATE("(",TEXT(SLABP_MB_IM_3Y!AW75,"0,0%"),")")</f>
        <v>(0,0%)</v>
      </c>
      <c r="BQ27" s="87" t="str">
        <f>CONCATENATE("(",TEXT(SLABP_MB_IM_3Y!AX75,"0,0%"),")")</f>
        <v>(0,0%)</v>
      </c>
      <c r="BR27" s="87" t="str">
        <f>CONCATENATE("(",TEXT(SLABP_MB_IM_3Y!AY75,"0,0%"),")")</f>
        <v>(0,0%)</v>
      </c>
      <c r="BS27" s="87" t="str">
        <f>CONCATENATE("(",TEXT(SLABP_MB_IM_3Y!AZ75,"0,0%"),")")</f>
        <v>(0,0%)</v>
      </c>
      <c r="BT27" s="87" t="str">
        <f>CONCATENATE("(",TEXT(SLABP_MB_IM_3Y!BA75,"0,0%"),")")</f>
        <v>(0,0%)</v>
      </c>
      <c r="BU27" s="87" t="str">
        <f>CONCATENATE("(",TEXT(SLABP_MB_IM_3Y!BB75,"0,0%"),")")</f>
        <v>(0,0%)</v>
      </c>
      <c r="BV27" s="87" t="str">
        <f>CONCATENATE("(",TEXT(SLABP_MB_IM_3Y!BC75,"0,0%"),")")</f>
        <v>(0,0%)</v>
      </c>
      <c r="BW27" s="87" t="str">
        <f>CONCATENATE("(",TEXT(SLABP_MB_IM_3Y!BD75,"0,0%"),")")</f>
        <v>(0,0%)</v>
      </c>
    </row>
    <row r="28" spans="1:75" ht="11.25" customHeight="1" x14ac:dyDescent="0.25">
      <c r="A28" s="60">
        <v>6</v>
      </c>
      <c r="B28" s="74" t="str">
        <f>CONCATENATE(SLABP_MB_IM_3Y!X76," giorni")</f>
        <v>252 giorni</v>
      </c>
      <c r="C28" s="90" t="str">
        <f>CONCATENATE(YEAR(SLABP_MB_IM_3Y!$B$54)+A27,"-",YEAR(SLABP_MB_IM_3Y!$B$54)+A28)</f>
        <v>2014-2015</v>
      </c>
      <c r="D28" s="73"/>
      <c r="E28" s="84">
        <f>SLABP_MB_IM_3Y!P76</f>
        <v>7.8200000000000006E-2</v>
      </c>
      <c r="F28" s="84">
        <f>SLABP_MB_IM_3Y!Q76</f>
        <v>7.7700000000000005E-2</v>
      </c>
      <c r="G28" s="84">
        <f>SLABP_MB_IM_3Y!R76</f>
        <v>7.9100000000000004E-2</v>
      </c>
      <c r="H28" s="84"/>
      <c r="AL28" s="87" t="str">
        <f>CONCATENATE("(",TEXT(SLABP_MB_IM_3Y!S76,"0,0%"),")")</f>
        <v>(63,5%)</v>
      </c>
      <c r="AM28" s="87" t="str">
        <f>CONCATENATE("(",TEXT(SLABP_MB_IM_3Y!T76,"0,0%"),")")</f>
        <v>(0,0%)</v>
      </c>
      <c r="AN28" s="87" t="str">
        <f>CONCATENATE("(",TEXT(SLABP_MB_IM_3Y!U76,"0,0%"),")")</f>
        <v>(36,5%)</v>
      </c>
      <c r="AO28" s="87"/>
      <c r="AP28" s="87" t="str">
        <f>CONCATENATE("(",TEXT(SLABP_MB_IM_3Y!V76,"0,0%"),")")</f>
        <v>(0,0%)</v>
      </c>
      <c r="AQ28" s="87" t="str">
        <f>CONCATENATE("(",TEXT(SLABP_MB_IM_3Y!W76,"0,0%"),")")</f>
        <v>(100,0%)</v>
      </c>
      <c r="AS28" s="87" t="str">
        <f>CONCATENATE("(",TEXT(SLABP_MB_IM_3Y!Z76,"0,0%"),")")</f>
        <v>(56,0%)</v>
      </c>
      <c r="AT28" s="87" t="str">
        <f>CONCATENATE("(",TEXT(SLABP_MB_IM_3Y!AA76,"0,0%"),")")</f>
        <v>(8,7%)</v>
      </c>
      <c r="AU28" s="87" t="str">
        <f>CONCATENATE("(",TEXT(SLABP_MB_IM_3Y!AB76,"0,0%"),")")</f>
        <v>(7,5%)</v>
      </c>
      <c r="AV28" s="87" t="str">
        <f>CONCATENATE("(",TEXT(SLABP_MB_IM_3Y!AC76,"0,0%"),")")</f>
        <v>(4,8%)</v>
      </c>
      <c r="AW28" s="87" t="str">
        <f>CONCATENATE("(",TEXT(SLABP_MB_IM_3Y!AD76,"0,0%"),")")</f>
        <v>(6,7%)</v>
      </c>
      <c r="AX28" s="87" t="str">
        <f>CONCATENATE("(",TEXT(SLABP_MB_IM_3Y!AE76,"0,0%"),")")</f>
        <v>(11,9%)</v>
      </c>
      <c r="AY28" s="87" t="str">
        <f>CONCATENATE("(",TEXT(SLABP_MB_IM_3Y!AF76,"0,0%"),")")</f>
        <v>(4,0%)</v>
      </c>
      <c r="AZ28" s="87" t="str">
        <f>CONCATENATE("(",TEXT(SLABP_MB_IM_3Y!AG76,"0,0%"),")")</f>
        <v>(0,4%)</v>
      </c>
      <c r="BA28" s="87" t="str">
        <f>CONCATENATE("(",TEXT(SLABP_MB_IM_3Y!AH76,"0,0%"),")")</f>
        <v>(0,0%)</v>
      </c>
      <c r="BB28" s="87" t="str">
        <f>CONCATENATE("(",TEXT(SLABP_MB_IM_3Y!AI76,"0,0%"),")")</f>
        <v>(0,0%)</v>
      </c>
      <c r="BC28" s="87" t="str">
        <f>CONCATENATE("(",TEXT(SLABP_MB_IM_3Y!AJ76,"0,0%"),")")</f>
        <v>(0,0%)</v>
      </c>
      <c r="BD28" s="87" t="str">
        <f>CONCATENATE("(",TEXT(SLABP_MB_IM_3Y!AK76,"0,0%"),")")</f>
        <v>(0,0%)</v>
      </c>
      <c r="BE28" s="87" t="str">
        <f>CONCATENATE("(",TEXT(SLABP_MB_IM_3Y!AL76,"0,0%"),")")</f>
        <v>(0,0%)</v>
      </c>
      <c r="BF28" s="87" t="str">
        <f>CONCATENATE("(",TEXT(SLABP_MB_IM_3Y!AM76,"0,0%"),")")</f>
        <v>(0,0%)</v>
      </c>
      <c r="BG28" s="87" t="str">
        <f>CONCATENATE("(",TEXT(SLABP_MB_IM_3Y!AN76,"0,0%"),")")</f>
        <v>(0,0%)</v>
      </c>
      <c r="BH28" s="87" t="str">
        <f>CONCATENATE("(",TEXT(SLABP_MB_IM_3Y!AO76,"0,0%"),")")</f>
        <v>(0,0%)</v>
      </c>
      <c r="BI28" s="87" t="str">
        <f>CONCATENATE("(",TEXT(SLABP_MB_IM_3Y!AP76,"0,0%"),")")</f>
        <v>(0,0%)</v>
      </c>
      <c r="BJ28" s="87" t="str">
        <f>CONCATENATE("(",TEXT(SLABP_MB_IM_3Y!AQ76,"0,0%"),")")</f>
        <v>(0,0%)</v>
      </c>
      <c r="BK28" s="87" t="str">
        <f>CONCATENATE("(",TEXT(SLABP_MB_IM_3Y!AR76,"0,0%"),")")</f>
        <v>(0,0%)</v>
      </c>
      <c r="BL28" s="87" t="str">
        <f>CONCATENATE("(",TEXT(SLABP_MB_IM_3Y!AS76,"0,0%"),")")</f>
        <v>(0,0%)</v>
      </c>
      <c r="BM28" s="87" t="str">
        <f>CONCATENATE("(",TEXT(SLABP_MB_IM_3Y!AT76,"0,0%"),")")</f>
        <v>(0,0%)</v>
      </c>
      <c r="BN28" s="87" t="str">
        <f>CONCATENATE("(",TEXT(SLABP_MB_IM_3Y!AU76,"0,0%"),")")</f>
        <v>(0,0%)</v>
      </c>
      <c r="BO28" s="87" t="str">
        <f>CONCATENATE("(",TEXT(SLABP_MB_IM_3Y!AV76,"0,0%"),")")</f>
        <v>(0,0%)</v>
      </c>
      <c r="BP28" s="87" t="str">
        <f>CONCATENATE("(",TEXT(SLABP_MB_IM_3Y!AW76,"0,0%"),")")</f>
        <v>(0,0%)</v>
      </c>
      <c r="BQ28" s="87" t="str">
        <f>CONCATENATE("(",TEXT(SLABP_MB_IM_3Y!AX76,"0,0%"),")")</f>
        <v>(0,0%)</v>
      </c>
      <c r="BR28" s="87" t="str">
        <f>CONCATENATE("(",TEXT(SLABP_MB_IM_3Y!AY76,"0,0%"),")")</f>
        <v>(0,0%)</v>
      </c>
      <c r="BS28" s="87" t="str">
        <f>CONCATENATE("(",TEXT(SLABP_MB_IM_3Y!AZ76,"0,0%"),")")</f>
        <v>(0,0%)</v>
      </c>
      <c r="BT28" s="87" t="str">
        <f>CONCATENATE("(",TEXT(SLABP_MB_IM_3Y!BA76,"0,0%"),")")</f>
        <v>(0,0%)</v>
      </c>
      <c r="BU28" s="87" t="str">
        <f>CONCATENATE("(",TEXT(SLABP_MB_IM_3Y!BB76,"0,0%"),")")</f>
        <v>(0,0%)</v>
      </c>
      <c r="BV28" s="87" t="str">
        <f>CONCATENATE("(",TEXT(SLABP_MB_IM_3Y!BC76,"0,0%"),")")</f>
        <v>(0,0%)</v>
      </c>
      <c r="BW28" s="87" t="str">
        <f>CONCATENATE("(",TEXT(SLABP_MB_IM_3Y!BD76,"0,0%"),")")</f>
        <v>(0,0%)</v>
      </c>
    </row>
    <row r="29" spans="1:75" ht="11.25" customHeight="1" x14ac:dyDescent="0.25">
      <c r="A29" s="60">
        <v>7</v>
      </c>
      <c r="B29" s="74" t="str">
        <f>CONCATENATE(SLABP_MB_IM_3Y!X77," giorni")</f>
        <v>254 giorni</v>
      </c>
      <c r="C29" s="90" t="str">
        <f>CONCATENATE(YEAR(SLABP_MB_IM_3Y!$B$54)+A28,"-",YEAR(SLABP_MB_IM_3Y!$B$54)+A29)</f>
        <v>2015-2016</v>
      </c>
      <c r="D29" s="73"/>
      <c r="E29" s="84">
        <f>SLABP_MB_IM_3Y!P77</f>
        <v>6.8400000000000002E-2</v>
      </c>
      <c r="F29" s="84">
        <f>SLABP_MB_IM_3Y!Q77</f>
        <v>4.9000000000000002E-2</v>
      </c>
      <c r="G29" s="84">
        <f>SLABP_MB_IM_3Y!R77</f>
        <v>7.9100000000000004E-2</v>
      </c>
      <c r="H29" s="84"/>
      <c r="AL29" s="87" t="str">
        <f>CONCATENATE("(",TEXT(SLABP_MB_IM_3Y!S77,"0,0%"),")")</f>
        <v>(50,8%)</v>
      </c>
      <c r="AM29" s="87" t="str">
        <f>CONCATENATE("(",TEXT(SLABP_MB_IM_3Y!T77,"0,0%"),")")</f>
        <v>(0,0%)</v>
      </c>
      <c r="AN29" s="87" t="str">
        <f>CONCATENATE("(",TEXT(SLABP_MB_IM_3Y!U77,"0,0%"),")")</f>
        <v>(49,2%)</v>
      </c>
      <c r="AO29" s="87"/>
      <c r="AP29" s="87" t="str">
        <f>CONCATENATE("(",TEXT(SLABP_MB_IM_3Y!V77,"0,0%"),")")</f>
        <v>(0,0%)</v>
      </c>
      <c r="AQ29" s="87" t="str">
        <f>CONCATENATE("(",TEXT(SLABP_MB_IM_3Y!W77,"0,0%"),")")</f>
        <v>(100,0%)</v>
      </c>
      <c r="AS29" s="87" t="str">
        <f>CONCATENATE("(",TEXT(SLABP_MB_IM_3Y!Z77,"0,0%"),")")</f>
        <v>(34,3%)</v>
      </c>
      <c r="AT29" s="87" t="str">
        <f>CONCATENATE("(",TEXT(SLABP_MB_IM_3Y!AA77,"0,0%"),")")</f>
        <v>(3,9%)</v>
      </c>
      <c r="AU29" s="87" t="str">
        <f>CONCATENATE("(",TEXT(SLABP_MB_IM_3Y!AB77,"0,0%"),")")</f>
        <v>(0,0%)</v>
      </c>
      <c r="AV29" s="87" t="str">
        <f>CONCATENATE("(",TEXT(SLABP_MB_IM_3Y!AC77,"0,0%"),")")</f>
        <v>(0,0%)</v>
      </c>
      <c r="AW29" s="87" t="str">
        <f>CONCATENATE("(",TEXT(SLABP_MB_IM_3Y!AD77,"0,0%"),")")</f>
        <v>(0,0%)</v>
      </c>
      <c r="AX29" s="87" t="str">
        <f>CONCATENATE("(",TEXT(SLABP_MB_IM_3Y!AE77,"0,0%"),")")</f>
        <v>(0,0%)</v>
      </c>
      <c r="AY29" s="87" t="str">
        <f>CONCATENATE("(",TEXT(SLABP_MB_IM_3Y!AF77,"0,0%"),")")</f>
        <v>(0,0%)</v>
      </c>
      <c r="AZ29" s="87" t="str">
        <f>CONCATENATE("(",TEXT(SLABP_MB_IM_3Y!AG77,"0,0%"),")")</f>
        <v>(0,0%)</v>
      </c>
      <c r="BA29" s="87" t="str">
        <f>CONCATENATE("(",TEXT(SLABP_MB_IM_3Y!AH77,"0,0%"),")")</f>
        <v>(0,0%)</v>
      </c>
      <c r="BB29" s="87" t="str">
        <f>CONCATENATE("(",TEXT(SLABP_MB_IM_3Y!AI77,"0,0%"),")")</f>
        <v>(0,4%)</v>
      </c>
      <c r="BC29" s="87" t="str">
        <f>CONCATENATE("(",TEXT(SLABP_MB_IM_3Y!AJ77,"0,0%"),")")</f>
        <v>(1,2%)</v>
      </c>
      <c r="BD29" s="87" t="str">
        <f>CONCATENATE("(",TEXT(SLABP_MB_IM_3Y!AK77,"0,0%"),")")</f>
        <v>(5,5%)</v>
      </c>
      <c r="BE29" s="87" t="str">
        <f>CONCATENATE("(",TEXT(SLABP_MB_IM_3Y!AL77,"0,0%"),")")</f>
        <v>(0,8%)</v>
      </c>
      <c r="BF29" s="87" t="str">
        <f>CONCATENATE("(",TEXT(SLABP_MB_IM_3Y!AM77,"0,0%"),")")</f>
        <v>(6,7%)</v>
      </c>
      <c r="BG29" s="87" t="str">
        <f>CONCATENATE("(",TEXT(SLABP_MB_IM_3Y!AN77,"0,0%"),")")</f>
        <v>(7,5%)</v>
      </c>
      <c r="BH29" s="87" t="str">
        <f>CONCATENATE("(",TEXT(SLABP_MB_IM_3Y!AO77,"0,0%"),")")</f>
        <v>(0,8%)</v>
      </c>
      <c r="BI29" s="87" t="str">
        <f>CONCATENATE("(",TEXT(SLABP_MB_IM_3Y!AP77,"0,0%"),")")</f>
        <v>(4,7%)</v>
      </c>
      <c r="BJ29" s="87" t="str">
        <f>CONCATENATE("(",TEXT(SLABP_MB_IM_3Y!AQ77,"0,0%"),")")</f>
        <v>(3,9%)</v>
      </c>
      <c r="BK29" s="87" t="str">
        <f>CONCATENATE("(",TEXT(SLABP_MB_IM_3Y!AR77,"0,0%"),")")</f>
        <v>(6,7%)</v>
      </c>
      <c r="BL29" s="87" t="str">
        <f>CONCATENATE("(",TEXT(SLABP_MB_IM_3Y!AS77,"0,0%"),")")</f>
        <v>(3,9%)</v>
      </c>
      <c r="BM29" s="87" t="str">
        <f>CONCATENATE("(",TEXT(SLABP_MB_IM_3Y!AT77,"0,0%"),")")</f>
        <v>(1,2%)</v>
      </c>
      <c r="BN29" s="87" t="str">
        <f>CONCATENATE("(",TEXT(SLABP_MB_IM_3Y!AU77,"0,0%"),")")</f>
        <v>(3,9%)</v>
      </c>
      <c r="BO29" s="87" t="str">
        <f>CONCATENATE("(",TEXT(SLABP_MB_IM_3Y!AV77,"0,0%"),")")</f>
        <v>(3,1%)</v>
      </c>
      <c r="BP29" s="87" t="str">
        <f>CONCATENATE("(",TEXT(SLABP_MB_IM_3Y!AW77,"0,0%"),")")</f>
        <v>(6,3%)</v>
      </c>
      <c r="BQ29" s="87" t="str">
        <f>CONCATENATE("(",TEXT(SLABP_MB_IM_3Y!AX77,"0,0%"),")")</f>
        <v>(2,4%)</v>
      </c>
      <c r="BR29" s="87" t="str">
        <f>CONCATENATE("(",TEXT(SLABP_MB_IM_3Y!AY77,"0,0%"),")")</f>
        <v>(1,6%)</v>
      </c>
      <c r="BS29" s="87" t="str">
        <f>CONCATENATE("(",TEXT(SLABP_MB_IM_3Y!AZ77,"0,0%"),")")</f>
        <v>(0,4%)</v>
      </c>
      <c r="BT29" s="87" t="str">
        <f>CONCATENATE("(",TEXT(SLABP_MB_IM_3Y!BA77,"0,0%"),")")</f>
        <v>(0,4%)</v>
      </c>
      <c r="BU29" s="87" t="str">
        <f>CONCATENATE("(",TEXT(SLABP_MB_IM_3Y!BB77,"0,0%"),")")</f>
        <v>(0,0%)</v>
      </c>
      <c r="BV29" s="87" t="str">
        <f>CONCATENATE("(",TEXT(SLABP_MB_IM_3Y!BC77,"0,0%"),")")</f>
        <v>(0,0%)</v>
      </c>
      <c r="BW29" s="87" t="str">
        <f>CONCATENATE("(",TEXT(SLABP_MB_IM_3Y!BD77,"0,0%"),")")</f>
        <v>(0,4%)</v>
      </c>
    </row>
    <row r="30" spans="1:75" ht="11.25" customHeight="1" x14ac:dyDescent="0.25">
      <c r="A30" s="60">
        <v>8</v>
      </c>
      <c r="B30" s="74" t="str">
        <f>CONCATENATE(SLABP_MB_IM_3Y!X78," giorni")</f>
        <v>54 giorni</v>
      </c>
      <c r="C30" s="90" t="str">
        <f>CONCATENATE(YEAR(SLABP_MB_IM_3Y!$B$54)+A29,"-",YEAR(SLABP_MB_IM_3Y!$B$54)+A30)</f>
        <v>2016-2017</v>
      </c>
      <c r="D30" s="96"/>
      <c r="E30" s="84">
        <f>SLABP_MB_IM_3Y!P78</f>
        <v>7.6799999999999993E-2</v>
      </c>
      <c r="F30" s="84">
        <f>SLABP_MB_IM_3Y!Q78</f>
        <v>6.7500000000000004E-2</v>
      </c>
      <c r="G30" s="84">
        <f>SLABP_MB_IM_3Y!R78</f>
        <v>7.9100000000000004E-2</v>
      </c>
      <c r="H30" s="84"/>
      <c r="AL30" s="87" t="str">
        <f>CONCATENATE("(",TEXT(SLABP_MB_IM_3Y!S78,"0,0%"),")")</f>
        <v>(20,4%)</v>
      </c>
      <c r="AM30" s="87" t="str">
        <f>CONCATENATE("(",TEXT(SLABP_MB_IM_3Y!T78,"0,0%"),")")</f>
        <v>(0,0%)</v>
      </c>
      <c r="AN30" s="87" t="str">
        <f>CONCATENATE("(",TEXT(SLABP_MB_IM_3Y!U78,"0,0%"),")")</f>
        <v>(79,6%)</v>
      </c>
      <c r="AO30" s="87"/>
      <c r="AP30" s="87" t="str">
        <f>CONCATENATE("(",TEXT(SLABP_MB_IM_3Y!V78,"0,0%"),")")</f>
        <v>(0,0%)</v>
      </c>
      <c r="AQ30" s="87" t="str">
        <f>CONCATENATE("(",TEXT(SLABP_MB_IM_3Y!W78,"0,0%"),")")</f>
        <v>(100,0%)</v>
      </c>
      <c r="AS30" s="87" t="str">
        <f>CONCATENATE("(",TEXT(SLABP_MB_IM_3Y!Z78,"0,0%"),")")</f>
        <v>(42,6%)</v>
      </c>
      <c r="AT30" s="87" t="str">
        <f>CONCATENATE("(",TEXT(SLABP_MB_IM_3Y!AA78,"0,0%"),")")</f>
        <v>(7,4%)</v>
      </c>
      <c r="AU30" s="87" t="str">
        <f>CONCATENATE("(",TEXT(SLABP_MB_IM_3Y!AB78,"0,0%"),")")</f>
        <v>(0,0%)</v>
      </c>
      <c r="AV30" s="87" t="str">
        <f>CONCATENATE("(",TEXT(SLABP_MB_IM_3Y!AC78,"0,0%"),")")</f>
        <v>(9,3%)</v>
      </c>
      <c r="AW30" s="87" t="str">
        <f>CONCATENATE("(",TEXT(SLABP_MB_IM_3Y!AD78,"0,0%"),")")</f>
        <v>(0,0%)</v>
      </c>
      <c r="AX30" s="87" t="str">
        <f>CONCATENATE("(",TEXT(SLABP_MB_IM_3Y!AE78,"0,0%"),")")</f>
        <v>(24,1%)</v>
      </c>
      <c r="AY30" s="87" t="str">
        <f>CONCATENATE("(",TEXT(SLABP_MB_IM_3Y!AF78,"0,0%"),")")</f>
        <v>(1,9%)</v>
      </c>
      <c r="AZ30" s="87" t="str">
        <f>CONCATENATE("(",TEXT(SLABP_MB_IM_3Y!AG78,"0,0%"),")")</f>
        <v>(1,9%)</v>
      </c>
      <c r="BA30" s="87" t="str">
        <f>CONCATENATE("(",TEXT(SLABP_MB_IM_3Y!AH78,"0,0%"),")")</f>
        <v>(7,4%)</v>
      </c>
      <c r="BB30" s="87" t="str">
        <f>CONCATENATE("(",TEXT(SLABP_MB_IM_3Y!AI78,"0,0%"),")")</f>
        <v>(0,0%)</v>
      </c>
      <c r="BC30" s="87" t="str">
        <f>CONCATENATE("(",TEXT(SLABP_MB_IM_3Y!AJ78,"0,0%"),")")</f>
        <v>(5,6%)</v>
      </c>
      <c r="BD30" s="87" t="str">
        <f>CONCATENATE("(",TEXT(SLABP_MB_IM_3Y!AK78,"0,0%"),")")</f>
        <v>(0,0%)</v>
      </c>
      <c r="BE30" s="87" t="str">
        <f>CONCATENATE("(",TEXT(SLABP_MB_IM_3Y!AL78,"0,0%"),")")</f>
        <v>(0,0%)</v>
      </c>
      <c r="BF30" s="87" t="str">
        <f>CONCATENATE("(",TEXT(SLABP_MB_IM_3Y!AM78,"0,0%"),")")</f>
        <v>(0,0%)</v>
      </c>
      <c r="BG30" s="87" t="str">
        <f>CONCATENATE("(",TEXT(SLABP_MB_IM_3Y!AN78,"0,0%"),")")</f>
        <v>(0,0%)</v>
      </c>
      <c r="BH30" s="87" t="str">
        <f>CONCATENATE("(",TEXT(SLABP_MB_IM_3Y!AO78,"0,0%"),")")</f>
        <v>(0,0%)</v>
      </c>
      <c r="BI30" s="87" t="str">
        <f>CONCATENATE("(",TEXT(SLABP_MB_IM_3Y!AP78,"0,0%"),")")</f>
        <v>(0,0%)</v>
      </c>
      <c r="BJ30" s="87" t="str">
        <f>CONCATENATE("(",TEXT(SLABP_MB_IM_3Y!AQ78,"0,0%"),")")</f>
        <v>(0,0%)</v>
      </c>
      <c r="BK30" s="87" t="str">
        <f>CONCATENATE("(",TEXT(SLABP_MB_IM_3Y!AR78,"0,0%"),")")</f>
        <v>(0,0%)</v>
      </c>
      <c r="BL30" s="87" t="str">
        <f>CONCATENATE("(",TEXT(SLABP_MB_IM_3Y!AS78,"0,0%"),")")</f>
        <v>(0,0%)</v>
      </c>
      <c r="BM30" s="87" t="str">
        <f>CONCATENATE("(",TEXT(SLABP_MB_IM_3Y!AT78,"0,0%"),")")</f>
        <v>(0,0%)</v>
      </c>
      <c r="BN30" s="87" t="str">
        <f>CONCATENATE("(",TEXT(SLABP_MB_IM_3Y!AU78,"0,0%"),")")</f>
        <v>(0,0%)</v>
      </c>
      <c r="BO30" s="87" t="str">
        <f>CONCATENATE("(",TEXT(SLABP_MB_IM_3Y!AV78,"0,0%"),")")</f>
        <v>(0,0%)</v>
      </c>
      <c r="BP30" s="87" t="str">
        <f>CONCATENATE("(",TEXT(SLABP_MB_IM_3Y!AW78,"0,0%"),")")</f>
        <v>(0,0%)</v>
      </c>
      <c r="BQ30" s="87" t="str">
        <f>CONCATENATE("(",TEXT(SLABP_MB_IM_3Y!AX78,"0,0%"),")")</f>
        <v>(0,0%)</v>
      </c>
      <c r="BR30" s="87" t="str">
        <f>CONCATENATE("(",TEXT(SLABP_MB_IM_3Y!AY78,"0,0%"),")")</f>
        <v>(0,0%)</v>
      </c>
      <c r="BS30" s="87" t="str">
        <f>CONCATENATE("(",TEXT(SLABP_MB_IM_3Y!AZ78,"0,0%"),")")</f>
        <v>(0,0%)</v>
      </c>
      <c r="BT30" s="87" t="str">
        <f>CONCATENATE("(",TEXT(SLABP_MB_IM_3Y!BA78,"0,0%"),")")</f>
        <v>(0,0%)</v>
      </c>
      <c r="BU30" s="87" t="str">
        <f>CONCATENATE("(",TEXT(SLABP_MB_IM_3Y!BB78,"0,0%"),")")</f>
        <v>(0,0%)</v>
      </c>
      <c r="BV30" s="87" t="str">
        <f>CONCATENATE("(",TEXT(SLABP_MB_IM_3Y!BC78,"0,0%"),")")</f>
        <v>(0,0%)</v>
      </c>
      <c r="BW30" s="87" t="str">
        <f>CONCATENATE("(",TEXT(SLABP_MB_IM_3Y!BD78,"0,0%"),")")</f>
        <v>(0,0%)</v>
      </c>
    </row>
    <row r="31" spans="1:75" ht="11.25" customHeight="1" x14ac:dyDescent="0.25">
      <c r="C31" s="52"/>
      <c r="D31" s="73"/>
      <c r="E31" s="61"/>
      <c r="F31" s="73"/>
      <c r="G31" s="73"/>
      <c r="H31" s="84"/>
      <c r="AL31" s="62"/>
      <c r="AM31" s="62"/>
      <c r="AN31" s="62"/>
      <c r="AO31" s="62"/>
      <c r="AP31" s="62"/>
      <c r="AQ31" s="62"/>
      <c r="AS31" s="62"/>
      <c r="AT31" s="62"/>
      <c r="AU31" s="62"/>
      <c r="AY31" s="105"/>
      <c r="AZ31" s="105"/>
      <c r="BA31" s="105"/>
      <c r="BB31" s="105"/>
      <c r="BC31" s="105"/>
      <c r="BD31" s="105"/>
      <c r="BE31" s="105"/>
      <c r="BF31" s="105"/>
      <c r="BG31" s="105"/>
      <c r="BH31" s="105"/>
      <c r="BI31" s="105"/>
      <c r="BS31" s="50"/>
    </row>
    <row r="32" spans="1:75" ht="11.25" customHeight="1" x14ac:dyDescent="0.25">
      <c r="A32" s="60"/>
      <c r="B32" s="154" t="str">
        <f>CONCATENATE("All (",YEAR(SLABP_MB_IM_3Y!$B$54)+A22,"-",YEAR(SLABP_MB_IM_3Y!$B$54)+A29,")")</f>
        <v>All (2009-2016)</v>
      </c>
      <c r="C32" s="154"/>
      <c r="D32" s="73"/>
      <c r="E32" s="150" t="str">
        <f>CONCATENATE("DET ",AI6)</f>
        <v>DET IRR 36M</v>
      </c>
      <c r="F32" s="148" t="s">
        <v>84</v>
      </c>
      <c r="G32" s="148" t="s">
        <v>85</v>
      </c>
      <c r="H32" s="84"/>
      <c r="AL32" s="157" t="str">
        <f>AL6</f>
        <v>IRR 36M = DET</v>
      </c>
      <c r="AM32" s="157"/>
      <c r="AN32" s="157"/>
      <c r="AO32" s="75"/>
      <c r="AP32" s="157" t="str">
        <f>AP6</f>
        <v>IRR 36M = 0</v>
      </c>
      <c r="AQ32" s="157"/>
      <c r="AS32" s="157" t="s">
        <v>87</v>
      </c>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c r="BS32" s="157"/>
      <c r="BT32" s="157"/>
      <c r="BU32" s="157"/>
      <c r="BV32" s="157"/>
      <c r="BW32" s="157"/>
    </row>
    <row r="33" spans="1:76" ht="11.25" customHeight="1" x14ac:dyDescent="0.25">
      <c r="A33" s="60"/>
      <c r="B33" s="153" t="s">
        <v>79</v>
      </c>
      <c r="C33" s="153"/>
      <c r="D33" s="73"/>
      <c r="E33" s="151"/>
      <c r="F33" s="149"/>
      <c r="G33" s="149"/>
      <c r="H33" s="84"/>
      <c r="AL33" s="106" t="str">
        <f>AL22</f>
        <v>(Prob &lt;)</v>
      </c>
      <c r="AM33" s="106" t="str">
        <f>AM22</f>
        <v>(Prob =)</v>
      </c>
      <c r="AN33" s="106" t="str">
        <f>AN22</f>
        <v>(Prob &gt;)</v>
      </c>
      <c r="AO33" s="106"/>
      <c r="AP33" s="106" t="str">
        <f>AP22</f>
        <v>(Prob &lt;)</v>
      </c>
      <c r="AQ33" s="106" t="str">
        <f>AQ22</f>
        <v>(Prob &gt;=)</v>
      </c>
      <c r="AS33" s="81" t="s">
        <v>167</v>
      </c>
      <c r="AT33" s="81" t="s">
        <v>135</v>
      </c>
      <c r="AU33" s="81" t="s">
        <v>136</v>
      </c>
      <c r="AV33" s="81" t="s">
        <v>137</v>
      </c>
      <c r="AW33" s="81" t="s">
        <v>138</v>
      </c>
      <c r="AX33" s="117" t="s">
        <v>139</v>
      </c>
      <c r="AY33" s="117" t="s">
        <v>140</v>
      </c>
      <c r="AZ33" s="117" t="s">
        <v>141</v>
      </c>
      <c r="BA33" s="117" t="s">
        <v>142</v>
      </c>
      <c r="BB33" s="117" t="s">
        <v>143</v>
      </c>
      <c r="BC33" s="117" t="s">
        <v>144</v>
      </c>
      <c r="BD33" s="117" t="s">
        <v>145</v>
      </c>
      <c r="BE33" s="117" t="s">
        <v>146</v>
      </c>
      <c r="BF33" s="117" t="s">
        <v>147</v>
      </c>
      <c r="BG33" s="117" t="s">
        <v>148</v>
      </c>
      <c r="BH33" s="117" t="s">
        <v>149</v>
      </c>
      <c r="BI33" s="117" t="s">
        <v>150</v>
      </c>
      <c r="BJ33" s="117" t="s">
        <v>151</v>
      </c>
      <c r="BK33" s="117" t="s">
        <v>152</v>
      </c>
      <c r="BL33" s="117" t="s">
        <v>153</v>
      </c>
      <c r="BM33" s="117" t="s">
        <v>154</v>
      </c>
      <c r="BN33" s="117" t="s">
        <v>155</v>
      </c>
      <c r="BO33" s="117" t="s">
        <v>156</v>
      </c>
      <c r="BP33" s="117" t="s">
        <v>157</v>
      </c>
      <c r="BQ33" s="117" t="s">
        <v>158</v>
      </c>
      <c r="BR33" s="117" t="s">
        <v>159</v>
      </c>
      <c r="BS33" s="117" t="s">
        <v>160</v>
      </c>
      <c r="BT33" s="117" t="s">
        <v>161</v>
      </c>
      <c r="BU33" s="117" t="s">
        <v>162</v>
      </c>
      <c r="BV33" s="117" t="s">
        <v>163</v>
      </c>
      <c r="BW33" s="117" t="s">
        <v>164</v>
      </c>
    </row>
    <row r="34" spans="1:76" ht="11.25" customHeight="1" x14ac:dyDescent="0.25">
      <c r="A34" s="73"/>
      <c r="B34" s="147" t="s">
        <v>20</v>
      </c>
      <c r="C34" s="147"/>
      <c r="D34" s="73"/>
      <c r="E34" s="84">
        <f>AI8</f>
        <v>7.9430083968539567E-2</v>
      </c>
      <c r="F34" s="84">
        <f>MIN(F23:G29)</f>
        <v>-0.2954</v>
      </c>
      <c r="G34" s="84">
        <f>MAX(F23:G29)</f>
        <v>7.9100000000000004E-2</v>
      </c>
      <c r="H34" s="84"/>
      <c r="AL34" s="87" t="str">
        <f>CONCATENATE("(",TEXT(SLABP_MB_IM_3Y!Q80,"0,0%"),")")</f>
        <v>(100,0%)</v>
      </c>
      <c r="AM34" s="87" t="str">
        <f>CONCATENATE("(",TEXT(SLABP_MB_IM_3Y!R80,"0,0%"),")")</f>
        <v>(0,0%)</v>
      </c>
      <c r="AN34" s="87" t="str">
        <f>CONCATENATE("(",TEXT(SLABP_MB_IM_3Y!S80,"0,0%"),")")</f>
        <v>(0,0%)</v>
      </c>
      <c r="AO34" s="88"/>
      <c r="AP34" s="87" t="str">
        <f>CONCATENATE("(",TEXT(SLABP_MB_IM_3Y!T80,"0,0%"),")")</f>
        <v>(9,7%)</v>
      </c>
      <c r="AQ34" s="87" t="str">
        <f>CONCATENATE("(",TEXT(SLABP_MB_IM_3Y!U80,"0,0%"),")")</f>
        <v>(90,3%)</v>
      </c>
      <c r="AS34" s="87" t="str">
        <f>CONCATENATE("(",TEXT(SLABP_MB_IM_3Y!Z80,"0,0%"),")")</f>
        <v>(49,2%)</v>
      </c>
      <c r="AT34" s="87" t="str">
        <f>CONCATENATE("(",TEXT(SLABP_MB_IM_3Y!AA80,"0,0%"),")")</f>
        <v>(4,0%)</v>
      </c>
      <c r="AU34" s="87" t="str">
        <f>CONCATENATE("(",TEXT(SLABP_MB_IM_3Y!AB80,"0,0%"),")")</f>
        <v>(2,6%)</v>
      </c>
      <c r="AV34" s="87" t="str">
        <f>CONCATENATE("(",TEXT(SLABP_MB_IM_3Y!AC80,"0,0%"),")")</f>
        <v>(2,3%)</v>
      </c>
      <c r="AW34" s="87" t="str">
        <f>CONCATENATE("(",TEXT(SLABP_MB_IM_3Y!AD80,"0,0%"),")")</f>
        <v>(2,4%)</v>
      </c>
      <c r="AX34" s="87" t="str">
        <f>CONCATENATE("(",TEXT(SLABP_MB_IM_3Y!AE80,"0,0%"),")")</f>
        <v>(4,2%)</v>
      </c>
      <c r="AY34" s="87" t="str">
        <f>CONCATENATE("(",TEXT(SLABP_MB_IM_3Y!AF80,"0,0%"),")")</f>
        <v>(1,9%)</v>
      </c>
      <c r="AZ34" s="87" t="str">
        <f>CONCATENATE("(",TEXT(SLABP_MB_IM_3Y!AG80,"0,0%"),")")</f>
        <v>(0,9%)</v>
      </c>
      <c r="BA34" s="87" t="str">
        <f>CONCATENATE("(",TEXT(SLABP_MB_IM_3Y!AH80,"0,0%"),")")</f>
        <v>(0,6%)</v>
      </c>
      <c r="BB34" s="87" t="str">
        <f>CONCATENATE("(",TEXT(SLABP_MB_IM_3Y!AI80,"0,0%"),")")</f>
        <v>(0,1%)</v>
      </c>
      <c r="BC34" s="87" t="str">
        <f>CONCATENATE("(",TEXT(SLABP_MB_IM_3Y!AJ80,"0,0%"),")")</f>
        <v>(0,4%)</v>
      </c>
      <c r="BD34" s="87" t="str">
        <f>CONCATENATE("(",TEXT(SLABP_MB_IM_3Y!AK80,"0,0%"),")")</f>
        <v>(0,8%)</v>
      </c>
      <c r="BE34" s="87" t="str">
        <f>CONCATENATE("(",TEXT(SLABP_MB_IM_3Y!AL80,"0,0%"),")")</f>
        <v>(0,1%)</v>
      </c>
      <c r="BF34" s="87" t="str">
        <f>CONCATENATE("(",TEXT(SLABP_MB_IM_3Y!AM80,"0,0%"),")")</f>
        <v>(1,0%)</v>
      </c>
      <c r="BG34" s="87" t="str">
        <f>CONCATENATE("(",TEXT(SLABP_MB_IM_3Y!AN80,"0,0%"),")")</f>
        <v>(1,1%)</v>
      </c>
      <c r="BH34" s="87" t="str">
        <f>CONCATENATE("(",TEXT(SLABP_MB_IM_3Y!AO80,"0,0%"),")")</f>
        <v>(0,1%)</v>
      </c>
      <c r="BI34" s="87" t="str">
        <f>CONCATENATE("(",TEXT(SLABP_MB_IM_3Y!AP80,"0,0%"),")")</f>
        <v>(0,7%)</v>
      </c>
      <c r="BJ34" s="87" t="str">
        <f>CONCATENATE("(",TEXT(SLABP_MB_IM_3Y!AQ80,"0,0%"),")")</f>
        <v>(1,3%)</v>
      </c>
      <c r="BK34" s="87" t="str">
        <f>CONCATENATE("(",TEXT(SLABP_MB_IM_3Y!AR80,"0,0%"),")")</f>
        <v>(2,0%)</v>
      </c>
      <c r="BL34" s="87" t="str">
        <f>CONCATENATE("(",TEXT(SLABP_MB_IM_3Y!AS80,"0,0%"),")")</f>
        <v>(1,5%)</v>
      </c>
      <c r="BM34" s="87" t="str">
        <f>CONCATENATE("(",TEXT(SLABP_MB_IM_3Y!AT80,"0,0%"),")")</f>
        <v>(1,5%)</v>
      </c>
      <c r="BN34" s="87" t="str">
        <f>CONCATENATE("(",TEXT(SLABP_MB_IM_3Y!AU80,"0,0%"),")")</f>
        <v>(1,2%)</v>
      </c>
      <c r="BO34" s="87" t="str">
        <f>CONCATENATE("(",TEXT(SLABP_MB_IM_3Y!AV80,"0,0%"),")")</f>
        <v>(0,7%)</v>
      </c>
      <c r="BP34" s="87" t="str">
        <f>CONCATENATE("(",TEXT(SLABP_MB_IM_3Y!AW80,"0,0%"),")")</f>
        <v>(1,0%)</v>
      </c>
      <c r="BQ34" s="87" t="str">
        <f>CONCATENATE("(",TEXT(SLABP_MB_IM_3Y!AX80,"0,0%"),")")</f>
        <v>(0,6%)</v>
      </c>
      <c r="BR34" s="87" t="str">
        <f>CONCATENATE("(",TEXT(SLABP_MB_IM_3Y!AY80,"0,0%"),")")</f>
        <v>(0,4%)</v>
      </c>
      <c r="BS34" s="87" t="str">
        <f>CONCATENATE("(",TEXT(SLABP_MB_IM_3Y!AZ80,"0,0%"),")")</f>
        <v>(0,8%)</v>
      </c>
      <c r="BT34" s="87" t="str">
        <f>CONCATENATE("(",TEXT(SLABP_MB_IM_3Y!BA80,"0,0%"),")")</f>
        <v>(0,4%)</v>
      </c>
      <c r="BU34" s="87" t="str">
        <f>CONCATENATE("(",TEXT(SLABP_MB_IM_3Y!BB80,"0,0%"),")")</f>
        <v>(1,0%)</v>
      </c>
      <c r="BV34" s="87" t="str">
        <f>CONCATENATE("(",TEXT(SLABP_MB_IM_3Y!BC80,"0,0%"),")")</f>
        <v>(1,4%)</v>
      </c>
      <c r="BW34" s="87" t="str">
        <f>CONCATENATE("(",TEXT(SLABP_MB_IM_3Y!BD80,"0,0%"),")")</f>
        <v>(13,8%)</v>
      </c>
    </row>
    <row r="35" spans="1:76" ht="11.25" customHeight="1" x14ac:dyDescent="0.25">
      <c r="A35" s="73"/>
      <c r="B35" s="147" t="s">
        <v>16</v>
      </c>
      <c r="C35" s="147"/>
      <c r="D35" s="73"/>
      <c r="E35" s="84">
        <f>AI10</f>
        <v>7.9430083968539567E-2</v>
      </c>
      <c r="F35" s="84"/>
      <c r="G35" s="84"/>
      <c r="H35" s="84"/>
      <c r="AL35" s="87" t="str">
        <f>CONCATENATE("(",TEXT(SLABP_MB_IM_3Y!Q81,"0,0%"),")")</f>
        <v>(100,0%)</v>
      </c>
      <c r="AM35" s="87" t="str">
        <f>CONCATENATE("(",TEXT(SLABP_MB_IM_3Y!R81,"0,0%"),")")</f>
        <v>(0,0%)</v>
      </c>
      <c r="AN35" s="87" t="str">
        <f>CONCATENATE("(",TEXT(SLABP_MB_IM_3Y!S81,"0,0%"),")")</f>
        <v>(0,0%)</v>
      </c>
      <c r="AO35" s="87"/>
      <c r="AP35" s="87"/>
      <c r="AQ35" s="87"/>
      <c r="AW35" s="86"/>
      <c r="AX35" s="86"/>
      <c r="AY35" s="86"/>
      <c r="AZ35" s="86"/>
      <c r="BA35" s="86"/>
      <c r="BB35" s="86"/>
      <c r="BC35" s="86"/>
      <c r="BD35" s="86"/>
      <c r="BE35" s="86"/>
      <c r="BF35" s="86"/>
      <c r="BG35" s="86"/>
      <c r="BH35" s="86"/>
      <c r="BI35" s="86"/>
      <c r="BJ35" s="86"/>
      <c r="BK35" s="86"/>
      <c r="BL35" s="86"/>
      <c r="BM35" s="86"/>
      <c r="BN35" s="86"/>
      <c r="BO35" s="87"/>
      <c r="BP35" s="87"/>
      <c r="BQ35" s="87"/>
      <c r="BX35" s="50"/>
    </row>
    <row r="36" spans="1:76" ht="11.25" customHeight="1" x14ac:dyDescent="0.25">
      <c r="A36" s="73"/>
      <c r="B36" s="147" t="s">
        <v>19</v>
      </c>
      <c r="C36" s="147"/>
      <c r="D36" s="73"/>
      <c r="E36" s="84">
        <f>AI12</f>
        <v>-6.1745524230238984E-2</v>
      </c>
      <c r="F36" s="84"/>
      <c r="G36" s="84"/>
      <c r="H36" s="84"/>
      <c r="AL36" s="87" t="str">
        <f>CONCATENATE("(",TEXT(SLABP_MB_IM_3Y!Q82,"0,0%"),")")</f>
        <v>(9,7%)</v>
      </c>
      <c r="AM36" s="87" t="str">
        <f>CONCATENATE("(",TEXT(SLABP_MB_IM_3Y!R82,"0,0%"),")")</f>
        <v>(0,0%)</v>
      </c>
      <c r="AN36" s="87" t="str">
        <f>CONCATENATE("(",TEXT(SLABP_MB_IM_3Y!S82,"0,0%"),")")</f>
        <v>(90,3%)</v>
      </c>
      <c r="AO36" s="87"/>
      <c r="AP36" s="87"/>
      <c r="AQ36" s="87"/>
      <c r="AW36" s="86"/>
      <c r="AX36" s="86"/>
      <c r="AY36" s="86"/>
      <c r="AZ36" s="86"/>
      <c r="BA36" s="86"/>
      <c r="BB36" s="86"/>
      <c r="BC36" s="86"/>
      <c r="BD36" s="86"/>
      <c r="BE36" s="86"/>
      <c r="BF36" s="86"/>
      <c r="BG36" s="86"/>
      <c r="BH36" s="86"/>
      <c r="BI36" s="86"/>
      <c r="BJ36" s="86"/>
      <c r="BK36" s="86"/>
      <c r="BL36" s="86"/>
      <c r="BM36" s="86"/>
      <c r="BN36" s="86"/>
      <c r="BO36" s="87"/>
      <c r="BP36" s="87"/>
      <c r="BQ36" s="87"/>
      <c r="BX36" s="50"/>
    </row>
    <row r="37" spans="1:76" ht="11.25" customHeight="1" x14ac:dyDescent="0.25">
      <c r="A37" s="73"/>
      <c r="B37" s="147" t="s">
        <v>17</v>
      </c>
      <c r="C37" s="147"/>
      <c r="D37" s="73"/>
      <c r="E37" s="84">
        <f>AI15</f>
        <v>7.9430083968539567E-2</v>
      </c>
      <c r="F37" s="84"/>
      <c r="G37" s="84"/>
      <c r="H37" s="84"/>
      <c r="AL37" s="87" t="str">
        <f>CONCATENATE("(",TEXT(SLABP_MB_IM_3Y!Q83,"0,0%"),")")</f>
        <v>(100,0%)</v>
      </c>
      <c r="AM37" s="87" t="str">
        <f>CONCATENATE("(",TEXT(SLABP_MB_IM_3Y!R83,"0,0%"),")")</f>
        <v>(0,0%)</v>
      </c>
      <c r="AN37" s="87" t="str">
        <f>CONCATENATE("(",TEXT(SLABP_MB_IM_3Y!S83,"0,0%"),")")</f>
        <v>(0,0%)</v>
      </c>
      <c r="AO37" s="87"/>
      <c r="AP37" s="87"/>
      <c r="AQ37" s="87"/>
      <c r="AW37" s="86"/>
      <c r="AX37" s="86"/>
      <c r="AY37" s="86"/>
      <c r="AZ37" s="86"/>
      <c r="BA37" s="86"/>
      <c r="BB37" s="86"/>
      <c r="BC37" s="86"/>
      <c r="BD37" s="86"/>
      <c r="BE37" s="86"/>
      <c r="BF37" s="86"/>
      <c r="BG37" s="86"/>
      <c r="BH37" s="86"/>
      <c r="BI37" s="86"/>
      <c r="BJ37" s="86"/>
      <c r="BK37" s="86"/>
      <c r="BL37" s="86"/>
      <c r="BM37" s="86"/>
      <c r="BN37" s="86"/>
      <c r="BO37" s="87"/>
      <c r="BP37" s="87"/>
      <c r="BQ37" s="87"/>
      <c r="BX37" s="50"/>
    </row>
    <row r="38" spans="1:76" ht="11.25" customHeight="1" x14ac:dyDescent="0.25">
      <c r="A38" s="73"/>
      <c r="B38" s="147" t="s">
        <v>18</v>
      </c>
      <c r="C38" s="147"/>
      <c r="D38" s="73"/>
      <c r="E38" s="84">
        <f>AI17</f>
        <v>-0.3780028999457285</v>
      </c>
      <c r="F38" s="84"/>
      <c r="G38" s="84"/>
      <c r="H38" s="84"/>
      <c r="AL38" s="87" t="str">
        <f>CONCATENATE("(",TEXT(SLABP_MB_IM_3Y!Q84,"0,0%"),")")</f>
        <v>(0,0%)</v>
      </c>
      <c r="AM38" s="87" t="str">
        <f>CONCATENATE("(",TEXT(SLABP_MB_IM_3Y!R84,"0,0%"),")")</f>
        <v>(0,0%)</v>
      </c>
      <c r="AN38" s="87" t="str">
        <f>CONCATENATE("(",TEXT(SLABP_MB_IM_3Y!S84,"0,0%"),")")</f>
        <v>(100,0%)</v>
      </c>
      <c r="AO38" s="87"/>
      <c r="AP38" s="87"/>
      <c r="AQ38" s="87"/>
      <c r="AW38" s="124"/>
      <c r="AX38" s="86"/>
      <c r="AY38" s="86"/>
      <c r="AZ38" s="86"/>
      <c r="BA38" s="86"/>
      <c r="BB38" s="86"/>
      <c r="BC38" s="86"/>
      <c r="BD38" s="86"/>
      <c r="BE38" s="86"/>
      <c r="BF38" s="86"/>
      <c r="BG38" s="86"/>
      <c r="BH38" s="86"/>
      <c r="BI38" s="86"/>
      <c r="BJ38" s="86"/>
      <c r="BK38" s="86"/>
      <c r="BL38" s="86"/>
      <c r="BM38" s="86"/>
      <c r="BN38" s="86"/>
      <c r="BO38" s="87"/>
      <c r="BP38" s="87"/>
      <c r="BQ38" s="87"/>
      <c r="BX38" s="50"/>
    </row>
    <row r="39" spans="1:76" x14ac:dyDescent="0.25">
      <c r="A39" s="73"/>
      <c r="B39" s="73"/>
      <c r="C39" s="73"/>
      <c r="D39" s="73"/>
      <c r="E39" s="73"/>
      <c r="F39" s="101"/>
      <c r="G39" s="101"/>
      <c r="H39" s="101"/>
      <c r="I39" s="73"/>
      <c r="J39" s="73"/>
      <c r="K39" s="73"/>
      <c r="L39" s="73"/>
      <c r="M39" s="73"/>
      <c r="N39" s="73"/>
      <c r="O39" s="73"/>
      <c r="P39" s="105"/>
      <c r="Q39" s="105"/>
      <c r="R39" s="105"/>
      <c r="S39" s="105"/>
      <c r="T39" s="105"/>
      <c r="U39" s="105"/>
      <c r="V39" s="105"/>
      <c r="W39" s="105"/>
      <c r="X39" s="105"/>
      <c r="Y39" s="105"/>
      <c r="Z39" s="105"/>
      <c r="AA39" s="105"/>
      <c r="AB39" s="105"/>
      <c r="AC39" s="105"/>
      <c r="AD39" s="105"/>
      <c r="AE39" s="105"/>
      <c r="AF39" s="105"/>
      <c r="AG39" s="73"/>
      <c r="AH39" s="73"/>
      <c r="AI39" s="73"/>
      <c r="AJ39" s="73"/>
      <c r="AK39" s="73"/>
      <c r="AL39" s="73"/>
      <c r="AM39" s="73"/>
      <c r="BD39" s="107"/>
      <c r="BE39" s="108"/>
    </row>
    <row r="40" spans="1:76" x14ac:dyDescent="0.25">
      <c r="B40" s="73"/>
      <c r="C40" s="146" t="s">
        <v>76</v>
      </c>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BD40" s="107"/>
      <c r="BE40" s="108"/>
    </row>
    <row r="41" spans="1:76" x14ac:dyDescent="0.25">
      <c r="B41" s="73"/>
      <c r="C41" s="146" t="s">
        <v>94</v>
      </c>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BD41" s="107"/>
      <c r="BE41" s="108"/>
    </row>
    <row r="42" spans="1:76" x14ac:dyDescent="0.25">
      <c r="B42" s="73"/>
      <c r="C42" s="73"/>
      <c r="D42" s="73"/>
      <c r="E42" s="73"/>
      <c r="F42" s="101"/>
      <c r="G42" s="101"/>
      <c r="H42" s="101"/>
      <c r="I42" s="73"/>
      <c r="J42" s="73"/>
      <c r="K42" s="73"/>
      <c r="L42" s="73"/>
      <c r="M42" s="73"/>
      <c r="N42" s="73"/>
      <c r="O42" s="73"/>
      <c r="P42" s="105"/>
      <c r="Q42" s="105"/>
      <c r="R42" s="105"/>
      <c r="S42" s="105"/>
      <c r="T42" s="105"/>
      <c r="U42" s="105"/>
      <c r="V42" s="105"/>
      <c r="W42" s="105"/>
      <c r="X42" s="105"/>
      <c r="Y42" s="105"/>
      <c r="Z42" s="105"/>
      <c r="AA42" s="105"/>
      <c r="AB42" s="105"/>
      <c r="AC42" s="105"/>
      <c r="AD42" s="105"/>
      <c r="AE42" s="105"/>
      <c r="AF42" s="105"/>
      <c r="AG42" s="73"/>
      <c r="AH42" s="73"/>
      <c r="AI42" s="73"/>
      <c r="AJ42" s="73"/>
      <c r="AK42" s="73"/>
      <c r="AL42" s="73"/>
      <c r="AM42" s="73"/>
    </row>
    <row r="43" spans="1:76" x14ac:dyDescent="0.25">
      <c r="B43" s="82" t="s">
        <v>73</v>
      </c>
      <c r="C43" s="146" t="str">
        <f>CONCATENATE("Ogni colonna riporta il rendimento (Internal Rate of Return, IRR) in caso di rimborso annuale del contratto, ipotizzando che il rendimento atteso annuale del sottostante (",SLABP_MB_IM_3Y!B5,", ",SLABP_MB_IM_3Y!C5,") sia quello indicato nell'ultima colonna.")</f>
        <v>Ogni colonna riporta il rendimento (Internal Rate of Return, IRR) in caso di rimborso annuale del contratto, ipotizzando che il rendimento atteso annuale del sottostante (Mediobanca S.p.a., MB IM) sia quello indicato nell'ultima colonna.</v>
      </c>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row>
    <row r="44" spans="1:76" x14ac:dyDescent="0.25">
      <c r="B44" s="82" t="s">
        <v>74</v>
      </c>
      <c r="C44" s="145" t="str">
        <f>CONCATENATE("I dati relativi alle colonne ",AL6,", riportano i rendimenti medi condizionati del prodotto, e le rispettive probabilità di accadimento (..), ","nell'ipotesi di simulazione del sottostante con rendimento atteso pari a ciascun scenario deterministico. 
Le simulazioni tengono conto dei soli casi in cui il prodotto non è stato oggetto di autocallability."," Le rispettive probabilità di rimborso ad ogni anno sono riportate nelle colonne relative a AUTOCALLABILITY (PROB)")</f>
        <v>I dati relativi alle colonne IRR 36M = DET, riportano i rendimenti medi condizionati del prodotto, e le rispettive probabilità di accadimento (..), nell'ipotesi di simulazione del sottostante con rendimento atteso pari a ciascun scenario deterministico. 
Le simulazioni tengono conto dei soli casi in cui il prodotto non è stato oggetto di autocallability. Le rispettive probabilità di rimborso ad ogni anno sono riportate nelle colonne relative a AUTOCALLABILITY (PROB)</v>
      </c>
      <c r="D44" s="145"/>
      <c r="E44" s="145"/>
      <c r="F44" s="145"/>
      <c r="G44" s="145"/>
      <c r="H44" s="145"/>
      <c r="I44" s="145"/>
      <c r="J44" s="145"/>
      <c r="K44" s="145"/>
      <c r="L44" s="145"/>
      <c r="M44" s="14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row>
    <row r="45" spans="1:76" x14ac:dyDescent="0.25">
      <c r="B45" s="82"/>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row>
    <row r="46" spans="1:76" x14ac:dyDescent="0.25">
      <c r="B46" s="82" t="s">
        <v>75</v>
      </c>
      <c r="C46" s="146" t="s">
        <v>81</v>
      </c>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row>
    <row r="47" spans="1:76" ht="11.25" customHeight="1" x14ac:dyDescent="0.25">
      <c r="B47" s="82" t="s">
        <v>80</v>
      </c>
      <c r="C47" s="145" t="s">
        <v>88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row>
    <row r="48" spans="1:76" ht="11.25" customHeight="1" x14ac:dyDescent="0.25">
      <c r="B48" s="82"/>
      <c r="C48" s="14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row>
    <row r="49" spans="1:39" x14ac:dyDescent="0.25">
      <c r="B49" s="82"/>
      <c r="C49" s="14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row>
    <row r="50" spans="1:39" x14ac:dyDescent="0.25">
      <c r="A50" s="73"/>
      <c r="B50" s="73"/>
      <c r="C50" s="73"/>
      <c r="D50" s="73"/>
      <c r="E50" s="73"/>
      <c r="F50" s="101"/>
      <c r="G50" s="101"/>
      <c r="H50" s="101"/>
      <c r="I50" s="73"/>
      <c r="J50" s="73"/>
      <c r="K50" s="73"/>
      <c r="L50" s="73"/>
      <c r="M50" s="73"/>
      <c r="N50" s="73"/>
      <c r="O50" s="73"/>
      <c r="P50" s="105"/>
      <c r="Q50" s="105"/>
      <c r="R50" s="105"/>
      <c r="S50" s="105"/>
      <c r="T50" s="105"/>
      <c r="U50" s="105"/>
      <c r="V50" s="105"/>
      <c r="W50" s="105"/>
      <c r="X50" s="105"/>
      <c r="Y50" s="105"/>
      <c r="Z50" s="105"/>
      <c r="AA50" s="105"/>
      <c r="AB50" s="105"/>
      <c r="AC50" s="105"/>
      <c r="AD50" s="105"/>
      <c r="AE50" s="105"/>
      <c r="AF50" s="105"/>
      <c r="AG50" s="73"/>
      <c r="AH50" s="73"/>
      <c r="AI50" s="73"/>
      <c r="AJ50" s="73"/>
      <c r="AK50" s="73"/>
      <c r="AL50" s="73"/>
      <c r="AM50" s="73"/>
    </row>
  </sheetData>
  <mergeCells count="73">
    <mergeCell ref="AS5:BW5"/>
    <mergeCell ref="B4:BW4"/>
    <mergeCell ref="B2:BW2"/>
    <mergeCell ref="AL32:AN32"/>
    <mergeCell ref="AP32:AQ32"/>
    <mergeCell ref="AP21:AQ21"/>
    <mergeCell ref="AL21:AN21"/>
    <mergeCell ref="AS32:BW32"/>
    <mergeCell ref="AS21:BW21"/>
    <mergeCell ref="E5:AQ5"/>
    <mergeCell ref="E6:E7"/>
    <mergeCell ref="AS6:BW6"/>
    <mergeCell ref="B14:C14"/>
    <mergeCell ref="B7:C7"/>
    <mergeCell ref="B8:C8"/>
    <mergeCell ref="B10:C10"/>
    <mergeCell ref="B12:C12"/>
    <mergeCell ref="AP6:AQ6"/>
    <mergeCell ref="AL6:AN6"/>
    <mergeCell ref="G6:G7"/>
    <mergeCell ref="F6:F7"/>
    <mergeCell ref="AD6:AD7"/>
    <mergeCell ref="W6:W7"/>
    <mergeCell ref="AJ6:AJ7"/>
    <mergeCell ref="X6:X7"/>
    <mergeCell ref="Y6:Y7"/>
    <mergeCell ref="Z6:Z7"/>
    <mergeCell ref="AA6:AA7"/>
    <mergeCell ref="J6:J7"/>
    <mergeCell ref="K6:K7"/>
    <mergeCell ref="L6:L7"/>
    <mergeCell ref="F32:F33"/>
    <mergeCell ref="G32:G33"/>
    <mergeCell ref="B33:C33"/>
    <mergeCell ref="B32:C32"/>
    <mergeCell ref="B15:C15"/>
    <mergeCell ref="B17:C17"/>
    <mergeCell ref="B20:BW20"/>
    <mergeCell ref="C47:AM49"/>
    <mergeCell ref="C46:AM46"/>
    <mergeCell ref="B36:C36"/>
    <mergeCell ref="E21:E22"/>
    <mergeCell ref="E32:E33"/>
    <mergeCell ref="B34:C34"/>
    <mergeCell ref="B35:C35"/>
    <mergeCell ref="B22:C22"/>
    <mergeCell ref="F21:F22"/>
    <mergeCell ref="G21:G22"/>
    <mergeCell ref="C44:AM45"/>
    <mergeCell ref="C40:AM40"/>
    <mergeCell ref="C43:AM43"/>
    <mergeCell ref="B38:C38"/>
    <mergeCell ref="B37:C37"/>
    <mergeCell ref="C41:AM41"/>
    <mergeCell ref="AG6:AG7"/>
    <mergeCell ref="AH6:AH7"/>
    <mergeCell ref="AI6:AI7"/>
    <mergeCell ref="AE6:AE7"/>
    <mergeCell ref="AF6:AF7"/>
    <mergeCell ref="H6:H7"/>
    <mergeCell ref="I6:I7"/>
    <mergeCell ref="AB6:AB7"/>
    <mergeCell ref="AC6:AC7"/>
    <mergeCell ref="V6:V7"/>
    <mergeCell ref="M6:M7"/>
    <mergeCell ref="R6:R7"/>
    <mergeCell ref="S6:S7"/>
    <mergeCell ref="T6:T7"/>
    <mergeCell ref="U6:U7"/>
    <mergeCell ref="N6:N7"/>
    <mergeCell ref="O6:O7"/>
    <mergeCell ref="P6:P7"/>
    <mergeCell ref="Q6:Q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SLABP_MB_IM_3Y</vt:lpstr>
      <vt:lpstr>OUTPUT TESTING</vt:lpstr>
    </vt:vector>
  </TitlesOfParts>
  <Company>Intesa-Sanpaolo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Laspia Massimo</dc:creator>
  <cp:lastModifiedBy>Umberto Merlino</cp:lastModifiedBy>
  <cp:lastPrinted>2015-10-29T08:15:42Z</cp:lastPrinted>
  <dcterms:created xsi:type="dcterms:W3CDTF">2015-10-23T13:12:11Z</dcterms:created>
  <dcterms:modified xsi:type="dcterms:W3CDTF">2019-03-26T10:06:13Z</dcterms:modified>
</cp:coreProperties>
</file>