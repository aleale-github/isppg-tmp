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profili\U392620\Desktop\"/>
    </mc:Choice>
  </mc:AlternateContent>
  <xr:revisionPtr revIDLastSave="0" documentId="13_ncr:1_{DC48BC41-E1BC-4643-894B-992D2ECDF6FF}" xr6:coauthVersionLast="36" xr6:coauthVersionMax="36" xr10:uidLastSave="{00000000-0000-0000-0000-000000000000}"/>
  <bookViews>
    <workbookView xWindow="0" yWindow="0" windowWidth="13897" windowHeight="3709" tabRatio="866" activeTab="2" xr2:uid="{00000000-000D-0000-FFFF-FFFF00000000}"/>
  </bookViews>
  <sheets>
    <sheet name="UNDERLYING INFO" sheetId="35" r:id="rId1"/>
    <sheet name="PRODUCT INFO" sheetId="16" r:id="rId2"/>
    <sheet name="CONTROL PANEL" sheetId="37" r:id="rId3"/>
    <sheet name="Modelity Check" sheetId="39" r:id="rId4"/>
    <sheet name="BLOOMBERG ASSETS" sheetId="33" r:id="rId5"/>
    <sheet name="BLOOMBERG CURRENCY" sheetId="34" r:id="rId6"/>
    <sheet name="BLOOMBERG DIVIDENDS" sheetId="32" r:id="rId7"/>
    <sheet name="BLOOMBERG INTEREST RATE CURVE" sheetId="24" r:id="rId8"/>
    <sheet name="BLOOMBERG PRICES" sheetId="31" r:id="rId9"/>
    <sheet name="Appoggio" sheetId="25" r:id="rId10"/>
    <sheet name="Legenda" sheetId="38" r:id="rId11"/>
  </sheets>
  <externalReferences>
    <externalReference r:id="rId12"/>
    <externalReference r:id="rId13"/>
  </externalReferences>
  <definedNames>
    <definedName name="A001IRCEUR">'BLOOMBERG INTEREST RATE CURVE'!$E$25:$F$43</definedName>
    <definedName name="A002IRCEUR">'BLOOMBERG INTEREST RATE CURVE'!$E$47:$F$65</definedName>
    <definedName name="A003IRCEUR">'BLOOMBERG INTEREST RATE CURVE'!$E$69:$F$87</definedName>
    <definedName name="Asset">'BLOOMBERG ASSETS'!$A$11:$D$3000</definedName>
    <definedName name="BlpProdPrice">'BLOOMBERG PRICES'!$B$10</definedName>
    <definedName name="Cat">'PRODUCT INFO'!$C$5</definedName>
    <definedName name="CouponFreq">'PRODUCT INFO'!$J$3</definedName>
    <definedName name="Currency">'BLOOMBERG CURRENCY'!$A$11:$D$3000</definedName>
    <definedName name="DataType">'UNDERLYING INFO'!$B$8:$D$12</definedName>
    <definedName name="DistrFee">'PRODUCT INFO'!$C$9</definedName>
    <definedName name="Dividends">'BLOOMBERG DIVIDENDS'!$A$11:$D$3000</definedName>
    <definedName name="ExitFee">'PRODUCT INFO'!$C$12</definedName>
    <definedName name="Figure">'PRODUCT INFO'!$T$10</definedName>
    <definedName name="FixingDate">'PRODUCT INFO'!$F$3:$F$27</definedName>
    <definedName name="FixingType">'PRODUCT INFO'!$G$3:$G$27</definedName>
    <definedName name="Freq">'UNDERLYING INFO'!$B$7:$D$7</definedName>
    <definedName name="Inv">'PRODUCT INFO'!$C$13</definedName>
    <definedName name="ManagFee">'PRODUCT INFO'!$C$10</definedName>
    <definedName name="NumSim">'PRODUCT INFO'!$T$3</definedName>
    <definedName name="ParaProd">'PRODUCT INFO'!$M$3:$M$148</definedName>
    <definedName name="PathDep">'PRODUCT INFO'!$T$5</definedName>
    <definedName name="PaymentFixDate">'PRODUCT INFO'!$I$3:$I$27</definedName>
    <definedName name="PaymentFloatDate">'PRODUCT INFO'!$H$3:$H$27</definedName>
    <definedName name="PercPerf">'PRODUCT INFO'!$T$7:$T$9</definedName>
    <definedName name="PricingDate">'PRODUCT INFO'!$E$3</definedName>
    <definedName name="ProductType">'PRODUCT INFO'!$C$4</definedName>
    <definedName name="PxProd0">'PRODUCT INFO'!$C$7</definedName>
    <definedName name="Rating">'PRODUCT INFO'!$C$6</definedName>
    <definedName name="RunningFee">'PRODUCT INFO'!$C$11</definedName>
    <definedName name="SimType">'PRODUCT INFO'!$T$4</definedName>
    <definedName name="StressSim">'PRODUCT INFO'!$T$6</definedName>
    <definedName name="UnderlyingName">'UNDERLYING INFO'!$B$4:$D$4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87" i="24" l="1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B77" i="24"/>
  <c r="B86" i="24"/>
  <c r="B70" i="24"/>
  <c r="B79" i="24"/>
  <c r="B72" i="24"/>
  <c r="B51" i="24"/>
  <c r="B54" i="24"/>
  <c r="B41" i="24"/>
  <c r="B27" i="24"/>
  <c r="B80" i="24"/>
  <c r="B47" i="24"/>
  <c r="B37" i="24"/>
  <c r="B40" i="24"/>
  <c r="B71" i="24"/>
  <c r="B60" i="24"/>
  <c r="B39" i="24"/>
  <c r="B85" i="24"/>
  <c r="B81" i="24"/>
  <c r="B84" i="24"/>
  <c r="B74" i="24"/>
  <c r="B83" i="24"/>
  <c r="B76" i="24"/>
  <c r="B55" i="24"/>
  <c r="B58" i="24"/>
  <c r="B56" i="24"/>
  <c r="B61" i="24"/>
  <c r="B50" i="24"/>
  <c r="B29" i="24"/>
  <c r="B31" i="24"/>
  <c r="B38" i="24"/>
  <c r="B35" i="24"/>
  <c r="B52" i="24"/>
  <c r="B57" i="24"/>
  <c r="B25" i="24"/>
  <c r="B36" i="24"/>
  <c r="B34" i="24"/>
  <c r="B73" i="24"/>
  <c r="B82" i="24"/>
  <c r="B75" i="24"/>
  <c r="B63" i="24"/>
  <c r="B64" i="24"/>
  <c r="B48" i="24"/>
  <c r="B53" i="24"/>
  <c r="B43" i="24"/>
  <c r="B28" i="24"/>
  <c r="B30" i="24"/>
  <c r="B69" i="24"/>
  <c r="B78" i="24"/>
  <c r="B87" i="24"/>
  <c r="B59" i="24"/>
  <c r="B62" i="24"/>
  <c r="B65" i="24"/>
  <c r="B49" i="24"/>
  <c r="B33" i="24"/>
  <c r="B42" i="24"/>
  <c r="B26" i="24"/>
  <c r="B32" i="24"/>
  <c r="M76" i="16" l="1"/>
  <c r="B31" i="16"/>
  <c r="B30" i="16"/>
  <c r="C9" i="16" l="1"/>
  <c r="D8" i="32" l="1"/>
  <c r="C8" i="32"/>
  <c r="D6" i="32"/>
  <c r="D5" i="32"/>
  <c r="D2" i="32"/>
  <c r="C8" i="34"/>
  <c r="D5" i="34"/>
  <c r="D2" i="34"/>
  <c r="C8" i="33"/>
  <c r="D6" i="33"/>
  <c r="D5" i="33"/>
  <c r="W21" i="24"/>
  <c r="W15" i="24"/>
  <c r="P13" i="24"/>
  <c r="P5" i="24"/>
  <c r="B6" i="24"/>
  <c r="P4" i="24"/>
  <c r="B9" i="24"/>
  <c r="I7" i="24"/>
  <c r="I21" i="24"/>
  <c r="I16" i="24"/>
  <c r="P16" i="24"/>
  <c r="B15" i="24"/>
  <c r="B12" i="24"/>
  <c r="P11" i="24"/>
  <c r="I5" i="24"/>
  <c r="W11" i="24"/>
  <c r="P3" i="24"/>
  <c r="I20" i="24"/>
  <c r="P19" i="24"/>
  <c r="I4" i="24"/>
  <c r="I8" i="24"/>
  <c r="W3" i="24"/>
  <c r="W18" i="24"/>
  <c r="W20" i="24"/>
  <c r="I14" i="24"/>
  <c r="P17" i="24"/>
  <c r="W13" i="24"/>
  <c r="B7" i="24"/>
  <c r="I18" i="24"/>
  <c r="P21" i="24"/>
  <c r="W14" i="24"/>
  <c r="W16" i="24"/>
  <c r="W10" i="24"/>
  <c r="B4" i="24"/>
  <c r="B13" i="24"/>
  <c r="I15" i="24"/>
  <c r="W9" i="24"/>
  <c r="I3" i="24"/>
  <c r="I17" i="24"/>
  <c r="W8" i="24"/>
  <c r="I9" i="24"/>
  <c r="W19" i="24"/>
  <c r="W7" i="24"/>
  <c r="P6" i="24"/>
  <c r="P14" i="24"/>
  <c r="I19" i="24"/>
  <c r="W6" i="24"/>
  <c r="W17" i="24"/>
  <c r="W4" i="24"/>
  <c r="W12" i="24"/>
  <c r="P15" i="24"/>
  <c r="P7" i="24"/>
  <c r="B3" i="24"/>
  <c r="W5" i="24"/>
  <c r="B14" i="24"/>
  <c r="B17" i="24"/>
  <c r="B5" i="24"/>
  <c r="B8" i="24"/>
  <c r="P10" i="24"/>
  <c r="I12" i="24"/>
  <c r="P20" i="24"/>
  <c r="B16" i="24"/>
  <c r="I11" i="24"/>
  <c r="B11" i="24"/>
  <c r="P18" i="24"/>
  <c r="P8" i="24"/>
  <c r="I13" i="24"/>
  <c r="I6" i="24"/>
  <c r="P12" i="24"/>
  <c r="P9" i="24"/>
  <c r="I10" i="24"/>
  <c r="B10" i="24"/>
  <c r="F3" i="24" l="1"/>
  <c r="F4" i="24"/>
  <c r="F5" i="24"/>
  <c r="F6" i="24"/>
  <c r="F7" i="24"/>
  <c r="F8" i="24"/>
  <c r="F9" i="24"/>
  <c r="F10" i="24"/>
  <c r="F11" i="24"/>
  <c r="F12" i="24"/>
  <c r="F13" i="24"/>
  <c r="F14" i="24"/>
  <c r="F15" i="24"/>
  <c r="F16" i="24"/>
  <c r="F17" i="24"/>
  <c r="F18" i="24"/>
  <c r="F19" i="24"/>
  <c r="F20" i="24"/>
  <c r="F21" i="24"/>
  <c r="B18" i="24"/>
  <c r="B19" i="24"/>
  <c r="B20" i="24"/>
  <c r="B21" i="24"/>
  <c r="C7" i="16" l="1"/>
  <c r="C3" i="16" l="1"/>
  <c r="L4" i="37" l="1"/>
  <c r="N53" i="38"/>
  <c r="M53" i="38"/>
  <c r="L53" i="38"/>
  <c r="K53" i="38"/>
  <c r="J53" i="38"/>
  <c r="I53" i="38"/>
  <c r="H53" i="38"/>
  <c r="G53" i="38"/>
  <c r="F53" i="38"/>
  <c r="E53" i="38"/>
  <c r="D53" i="38"/>
  <c r="C53" i="38"/>
  <c r="B53" i="38"/>
  <c r="A53" i="38"/>
  <c r="N52" i="38"/>
  <c r="M52" i="38"/>
  <c r="L52" i="38"/>
  <c r="K52" i="38"/>
  <c r="J52" i="38"/>
  <c r="I52" i="38"/>
  <c r="H52" i="38"/>
  <c r="G52" i="38"/>
  <c r="F52" i="38"/>
  <c r="E52" i="38"/>
  <c r="D52" i="38"/>
  <c r="C52" i="38"/>
  <c r="B52" i="38"/>
  <c r="A52" i="38"/>
  <c r="N51" i="38"/>
  <c r="M51" i="38"/>
  <c r="L51" i="38"/>
  <c r="K51" i="38"/>
  <c r="J51" i="38"/>
  <c r="I51" i="38"/>
  <c r="H51" i="38"/>
  <c r="G51" i="38"/>
  <c r="F51" i="38"/>
  <c r="E51" i="38"/>
  <c r="D51" i="38"/>
  <c r="C51" i="38"/>
  <c r="B51" i="38"/>
  <c r="A51" i="38"/>
  <c r="N50" i="38"/>
  <c r="M50" i="38"/>
  <c r="L50" i="38"/>
  <c r="K50" i="38"/>
  <c r="J50" i="38"/>
  <c r="I50" i="38"/>
  <c r="H50" i="38"/>
  <c r="G50" i="38"/>
  <c r="F50" i="38"/>
  <c r="E50" i="38"/>
  <c r="D50" i="38"/>
  <c r="C50" i="38"/>
  <c r="B50" i="38"/>
  <c r="A50" i="38"/>
  <c r="N49" i="38"/>
  <c r="M49" i="38"/>
  <c r="L49" i="38"/>
  <c r="K49" i="38"/>
  <c r="J49" i="38"/>
  <c r="I49" i="38"/>
  <c r="H49" i="38"/>
  <c r="G49" i="38"/>
  <c r="F49" i="38"/>
  <c r="E49" i="38"/>
  <c r="D49" i="38"/>
  <c r="C49" i="38"/>
  <c r="B49" i="38"/>
  <c r="A49" i="38"/>
  <c r="N48" i="38"/>
  <c r="M48" i="38"/>
  <c r="L48" i="38"/>
  <c r="K48" i="38"/>
  <c r="J48" i="38"/>
  <c r="I48" i="38"/>
  <c r="H48" i="38"/>
  <c r="G48" i="38"/>
  <c r="F48" i="38"/>
  <c r="E48" i="38"/>
  <c r="D48" i="38"/>
  <c r="C48" i="38"/>
  <c r="B48" i="38"/>
  <c r="A48" i="38"/>
  <c r="N47" i="38"/>
  <c r="M47" i="38"/>
  <c r="L47" i="38"/>
  <c r="K47" i="38"/>
  <c r="J47" i="38"/>
  <c r="I47" i="38"/>
  <c r="H47" i="38"/>
  <c r="G47" i="38"/>
  <c r="F47" i="38"/>
  <c r="E47" i="38"/>
  <c r="D47" i="38"/>
  <c r="C47" i="38"/>
  <c r="B47" i="38"/>
  <c r="A47" i="38"/>
  <c r="N46" i="38"/>
  <c r="M46" i="38"/>
  <c r="L46" i="38"/>
  <c r="K46" i="38"/>
  <c r="J46" i="38"/>
  <c r="I46" i="38"/>
  <c r="H46" i="38"/>
  <c r="G46" i="38"/>
  <c r="F46" i="38"/>
  <c r="E46" i="38"/>
  <c r="D46" i="38"/>
  <c r="C46" i="38"/>
  <c r="B46" i="38"/>
  <c r="A46" i="38"/>
  <c r="N45" i="38"/>
  <c r="M45" i="38"/>
  <c r="L45" i="38"/>
  <c r="K45" i="38"/>
  <c r="J45" i="38"/>
  <c r="I45" i="38"/>
  <c r="H45" i="38"/>
  <c r="G45" i="38"/>
  <c r="F45" i="38"/>
  <c r="E45" i="38"/>
  <c r="D45" i="38"/>
  <c r="C45" i="38"/>
  <c r="B45" i="38"/>
  <c r="A45" i="38"/>
  <c r="N44" i="38"/>
  <c r="M44" i="38"/>
  <c r="L44" i="38"/>
  <c r="K44" i="38"/>
  <c r="J44" i="38"/>
  <c r="I44" i="38"/>
  <c r="H44" i="38"/>
  <c r="G44" i="38"/>
  <c r="F44" i="38"/>
  <c r="E44" i="38"/>
  <c r="D44" i="38"/>
  <c r="C44" i="38"/>
  <c r="B44" i="38"/>
  <c r="A44" i="38"/>
  <c r="N43" i="38"/>
  <c r="M43" i="38"/>
  <c r="L43" i="38"/>
  <c r="K43" i="38"/>
  <c r="J43" i="38"/>
  <c r="I43" i="38"/>
  <c r="H43" i="38"/>
  <c r="G43" i="38"/>
  <c r="F43" i="38"/>
  <c r="E43" i="38"/>
  <c r="D43" i="38"/>
  <c r="C43" i="38"/>
  <c r="B43" i="38"/>
  <c r="A43" i="38"/>
  <c r="N42" i="38"/>
  <c r="M42" i="38"/>
  <c r="L42" i="38"/>
  <c r="K42" i="38"/>
  <c r="J42" i="38"/>
  <c r="I42" i="38"/>
  <c r="H42" i="38"/>
  <c r="G42" i="38"/>
  <c r="F42" i="38"/>
  <c r="E42" i="38"/>
  <c r="D42" i="38"/>
  <c r="C42" i="38"/>
  <c r="B42" i="38"/>
  <c r="A42" i="38"/>
  <c r="N41" i="38"/>
  <c r="M41" i="38"/>
  <c r="L41" i="38"/>
  <c r="K41" i="38"/>
  <c r="J41" i="38"/>
  <c r="I41" i="38"/>
  <c r="H41" i="38"/>
  <c r="G41" i="38"/>
  <c r="F41" i="38"/>
  <c r="E41" i="38"/>
  <c r="D41" i="38"/>
  <c r="C41" i="38"/>
  <c r="B41" i="38"/>
  <c r="A41" i="38"/>
  <c r="N40" i="38"/>
  <c r="M40" i="38"/>
  <c r="L40" i="38"/>
  <c r="K40" i="38"/>
  <c r="J40" i="38"/>
  <c r="I40" i="38"/>
  <c r="H40" i="38"/>
  <c r="G40" i="38"/>
  <c r="F40" i="38"/>
  <c r="E40" i="38"/>
  <c r="D40" i="38"/>
  <c r="C40" i="38"/>
  <c r="B40" i="38"/>
  <c r="A40" i="38"/>
  <c r="N39" i="38"/>
  <c r="M39" i="38"/>
  <c r="L39" i="38"/>
  <c r="K39" i="38"/>
  <c r="J39" i="38"/>
  <c r="I39" i="38"/>
  <c r="H39" i="38"/>
  <c r="G39" i="38"/>
  <c r="F39" i="38"/>
  <c r="E39" i="38"/>
  <c r="D39" i="38"/>
  <c r="C39" i="38"/>
  <c r="B39" i="38"/>
  <c r="A39" i="38"/>
  <c r="N38" i="38"/>
  <c r="M38" i="38"/>
  <c r="L38" i="38"/>
  <c r="K38" i="38"/>
  <c r="J38" i="38"/>
  <c r="I38" i="38"/>
  <c r="H38" i="38"/>
  <c r="G38" i="38"/>
  <c r="F38" i="38"/>
  <c r="E38" i="38"/>
  <c r="D38" i="38"/>
  <c r="C38" i="38"/>
  <c r="B38" i="38"/>
  <c r="A38" i="38"/>
  <c r="N37" i="38"/>
  <c r="M37" i="38"/>
  <c r="L37" i="38"/>
  <c r="K37" i="38"/>
  <c r="J37" i="38"/>
  <c r="I37" i="38"/>
  <c r="H37" i="38"/>
  <c r="G37" i="38"/>
  <c r="F37" i="38"/>
  <c r="E37" i="38"/>
  <c r="D37" i="38"/>
  <c r="C37" i="38"/>
  <c r="B37" i="38"/>
  <c r="A37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A36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A35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A34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A33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A32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A31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A30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A29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A28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A27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A26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A25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A24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A23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A22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A21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A20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A19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A18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A17" i="38"/>
  <c r="N16" i="38"/>
  <c r="M16" i="38"/>
  <c r="L16" i="38"/>
  <c r="K16" i="38"/>
  <c r="J16" i="38"/>
  <c r="I16" i="38"/>
  <c r="H16" i="38"/>
  <c r="G16" i="38"/>
  <c r="F16" i="38"/>
  <c r="E16" i="38"/>
  <c r="D16" i="38"/>
  <c r="C16" i="38"/>
  <c r="B16" i="38"/>
  <c r="A16" i="38"/>
  <c r="N15" i="38"/>
  <c r="M15" i="38"/>
  <c r="L15" i="38"/>
  <c r="K15" i="38"/>
  <c r="J15" i="38"/>
  <c r="I15" i="38"/>
  <c r="H15" i="38"/>
  <c r="G15" i="38"/>
  <c r="F15" i="38"/>
  <c r="E15" i="38"/>
  <c r="D15" i="38"/>
  <c r="C15" i="38"/>
  <c r="B15" i="38"/>
  <c r="A15" i="38"/>
  <c r="N14" i="38"/>
  <c r="M14" i="38"/>
  <c r="L14" i="38"/>
  <c r="K14" i="38"/>
  <c r="J14" i="38"/>
  <c r="I14" i="38"/>
  <c r="H14" i="38"/>
  <c r="G14" i="38"/>
  <c r="F14" i="38"/>
  <c r="E14" i="38"/>
  <c r="D14" i="38"/>
  <c r="C14" i="38"/>
  <c r="B14" i="38"/>
  <c r="A14" i="38"/>
  <c r="N13" i="38"/>
  <c r="M13" i="38"/>
  <c r="L13" i="38"/>
  <c r="K13" i="38"/>
  <c r="J13" i="38"/>
  <c r="I13" i="38"/>
  <c r="H13" i="38"/>
  <c r="G13" i="38"/>
  <c r="F13" i="38"/>
  <c r="E13" i="38"/>
  <c r="D13" i="38"/>
  <c r="C13" i="38"/>
  <c r="B13" i="38"/>
  <c r="A13" i="38"/>
  <c r="N12" i="38"/>
  <c r="M12" i="38"/>
  <c r="L12" i="38"/>
  <c r="K12" i="38"/>
  <c r="J12" i="38"/>
  <c r="I12" i="38"/>
  <c r="H12" i="38"/>
  <c r="G12" i="38"/>
  <c r="F12" i="38"/>
  <c r="E12" i="38"/>
  <c r="D12" i="38"/>
  <c r="C12" i="38"/>
  <c r="B12" i="38"/>
  <c r="A12" i="38"/>
  <c r="N11" i="38"/>
  <c r="M11" i="38"/>
  <c r="L11" i="38"/>
  <c r="K11" i="38"/>
  <c r="J11" i="38"/>
  <c r="I11" i="38"/>
  <c r="H11" i="38"/>
  <c r="G11" i="38"/>
  <c r="F11" i="38"/>
  <c r="E11" i="38"/>
  <c r="D11" i="38"/>
  <c r="C11" i="38"/>
  <c r="B11" i="38"/>
  <c r="A11" i="38"/>
  <c r="N10" i="38"/>
  <c r="M10" i="38"/>
  <c r="L10" i="38"/>
  <c r="K10" i="38"/>
  <c r="J10" i="38"/>
  <c r="I10" i="38"/>
  <c r="H10" i="38"/>
  <c r="G10" i="38"/>
  <c r="F10" i="38"/>
  <c r="E10" i="38"/>
  <c r="D10" i="38"/>
  <c r="C10" i="38"/>
  <c r="B10" i="38"/>
  <c r="A10" i="38"/>
  <c r="N9" i="38"/>
  <c r="M9" i="38"/>
  <c r="L9" i="38"/>
  <c r="K9" i="38"/>
  <c r="J9" i="38"/>
  <c r="I9" i="38"/>
  <c r="H9" i="38"/>
  <c r="G9" i="38"/>
  <c r="F9" i="38"/>
  <c r="E9" i="38"/>
  <c r="D9" i="38"/>
  <c r="C9" i="38"/>
  <c r="B9" i="38"/>
  <c r="A9" i="38"/>
  <c r="N8" i="38"/>
  <c r="M8" i="38"/>
  <c r="L8" i="38"/>
  <c r="K8" i="38"/>
  <c r="J8" i="38"/>
  <c r="I8" i="38"/>
  <c r="H8" i="38"/>
  <c r="G8" i="38"/>
  <c r="F8" i="38"/>
  <c r="E8" i="38"/>
  <c r="D8" i="38"/>
  <c r="C8" i="38"/>
  <c r="B8" i="38"/>
  <c r="A8" i="38"/>
  <c r="N7" i="38"/>
  <c r="M7" i="38"/>
  <c r="L7" i="38"/>
  <c r="K7" i="38"/>
  <c r="J7" i="38"/>
  <c r="I7" i="38"/>
  <c r="H7" i="38"/>
  <c r="G7" i="38"/>
  <c r="F7" i="38"/>
  <c r="E7" i="38"/>
  <c r="D7" i="38"/>
  <c r="C7" i="38"/>
  <c r="B7" i="38"/>
  <c r="A7" i="38"/>
  <c r="N6" i="38"/>
  <c r="M6" i="38"/>
  <c r="L6" i="38"/>
  <c r="K6" i="38"/>
  <c r="J6" i="38"/>
  <c r="I6" i="38"/>
  <c r="H6" i="38"/>
  <c r="G6" i="38"/>
  <c r="F6" i="38"/>
  <c r="E6" i="38"/>
  <c r="D6" i="38"/>
  <c r="C6" i="38"/>
  <c r="B6" i="38"/>
  <c r="A6" i="38"/>
  <c r="N5" i="38"/>
  <c r="M5" i="38"/>
  <c r="L5" i="38"/>
  <c r="K5" i="38"/>
  <c r="J5" i="38"/>
  <c r="I5" i="38"/>
  <c r="H5" i="38"/>
  <c r="G5" i="38"/>
  <c r="F5" i="38"/>
  <c r="E5" i="38"/>
  <c r="D5" i="38"/>
  <c r="C5" i="38"/>
  <c r="B5" i="38"/>
  <c r="A5" i="38"/>
  <c r="N4" i="38"/>
  <c r="M4" i="38"/>
  <c r="L4" i="38"/>
  <c r="K4" i="38"/>
  <c r="J4" i="38"/>
  <c r="I4" i="38"/>
  <c r="H4" i="38"/>
  <c r="G4" i="38"/>
  <c r="F4" i="38"/>
  <c r="E4" i="38"/>
  <c r="D4" i="38"/>
  <c r="C4" i="38"/>
  <c r="B4" i="38"/>
  <c r="A4" i="38"/>
  <c r="N3" i="38"/>
  <c r="M3" i="38"/>
  <c r="L3" i="38"/>
  <c r="K3" i="38"/>
  <c r="J3" i="38"/>
  <c r="I3" i="38"/>
  <c r="H3" i="38"/>
  <c r="G3" i="38"/>
  <c r="F3" i="38"/>
  <c r="E3" i="38"/>
  <c r="D3" i="38"/>
  <c r="C3" i="38"/>
  <c r="B3" i="38"/>
  <c r="A3" i="38"/>
  <c r="N2" i="38"/>
  <c r="M2" i="38"/>
  <c r="L2" i="38"/>
  <c r="K2" i="38"/>
  <c r="J2" i="38"/>
  <c r="I2" i="38"/>
  <c r="H2" i="38"/>
  <c r="G2" i="38"/>
  <c r="F2" i="38"/>
  <c r="E2" i="38"/>
  <c r="D2" i="38"/>
  <c r="C2" i="38"/>
  <c r="B2" i="38"/>
  <c r="A2" i="38"/>
  <c r="P87" i="25"/>
  <c r="O87" i="25"/>
  <c r="N87" i="25"/>
  <c r="M87" i="25"/>
  <c r="L87" i="25"/>
  <c r="K87" i="25"/>
  <c r="J87" i="25"/>
  <c r="I87" i="25"/>
  <c r="H87" i="25"/>
  <c r="G87" i="25"/>
  <c r="F87" i="25"/>
  <c r="E87" i="25"/>
  <c r="D87" i="25"/>
  <c r="C87" i="25"/>
  <c r="B87" i="25"/>
  <c r="A87" i="25"/>
  <c r="P86" i="25"/>
  <c r="O86" i="25"/>
  <c r="N86" i="25"/>
  <c r="M86" i="25"/>
  <c r="L86" i="25"/>
  <c r="K86" i="25"/>
  <c r="J86" i="25"/>
  <c r="I86" i="25"/>
  <c r="H86" i="25"/>
  <c r="G86" i="25"/>
  <c r="F86" i="25"/>
  <c r="E86" i="25"/>
  <c r="D86" i="25"/>
  <c r="C86" i="25"/>
  <c r="B86" i="25"/>
  <c r="A86" i="25"/>
  <c r="P85" i="25"/>
  <c r="O85" i="25"/>
  <c r="N85" i="25"/>
  <c r="M85" i="25"/>
  <c r="L85" i="25"/>
  <c r="K85" i="25"/>
  <c r="J85" i="25"/>
  <c r="I85" i="25"/>
  <c r="H85" i="25"/>
  <c r="G85" i="25"/>
  <c r="F85" i="25"/>
  <c r="E85" i="25"/>
  <c r="D85" i="25"/>
  <c r="C85" i="25"/>
  <c r="B85" i="25"/>
  <c r="A85" i="25"/>
  <c r="P84" i="25"/>
  <c r="O84" i="25"/>
  <c r="N84" i="25"/>
  <c r="M84" i="25"/>
  <c r="L84" i="25"/>
  <c r="K84" i="25"/>
  <c r="J84" i="25"/>
  <c r="I84" i="25"/>
  <c r="H84" i="25"/>
  <c r="G84" i="25"/>
  <c r="F84" i="25"/>
  <c r="E84" i="25"/>
  <c r="D84" i="25"/>
  <c r="C84" i="25"/>
  <c r="B84" i="25"/>
  <c r="A84" i="25"/>
  <c r="P83" i="25"/>
  <c r="O83" i="25"/>
  <c r="N83" i="25"/>
  <c r="M83" i="25"/>
  <c r="L83" i="25"/>
  <c r="K83" i="25"/>
  <c r="J83" i="25"/>
  <c r="I83" i="25"/>
  <c r="H83" i="25"/>
  <c r="G83" i="25"/>
  <c r="F83" i="25"/>
  <c r="E83" i="25"/>
  <c r="D83" i="25"/>
  <c r="C83" i="25"/>
  <c r="B83" i="25"/>
  <c r="A83" i="25"/>
  <c r="P82" i="25"/>
  <c r="O82" i="25"/>
  <c r="N82" i="25"/>
  <c r="M82" i="25"/>
  <c r="L82" i="25"/>
  <c r="K82" i="25"/>
  <c r="J82" i="25"/>
  <c r="I82" i="25"/>
  <c r="H82" i="25"/>
  <c r="G82" i="25"/>
  <c r="F82" i="25"/>
  <c r="E82" i="25"/>
  <c r="D82" i="25"/>
  <c r="C82" i="25"/>
  <c r="B82" i="25"/>
  <c r="A82" i="25"/>
  <c r="P81" i="25"/>
  <c r="O81" i="25"/>
  <c r="N81" i="25"/>
  <c r="M81" i="25"/>
  <c r="L81" i="25"/>
  <c r="K81" i="25"/>
  <c r="J81" i="25"/>
  <c r="I81" i="25"/>
  <c r="H81" i="25"/>
  <c r="G81" i="25"/>
  <c r="F81" i="25"/>
  <c r="E81" i="25"/>
  <c r="D81" i="25"/>
  <c r="C81" i="25"/>
  <c r="B81" i="25"/>
  <c r="A81" i="25"/>
  <c r="P80" i="25"/>
  <c r="O80" i="25"/>
  <c r="N80" i="25"/>
  <c r="M80" i="25"/>
  <c r="L80" i="25"/>
  <c r="K80" i="25"/>
  <c r="J80" i="25"/>
  <c r="I80" i="25"/>
  <c r="H80" i="25"/>
  <c r="G80" i="25"/>
  <c r="F80" i="25"/>
  <c r="E80" i="25"/>
  <c r="D80" i="25"/>
  <c r="C80" i="25"/>
  <c r="B80" i="25"/>
  <c r="A80" i="25"/>
  <c r="P79" i="25"/>
  <c r="O79" i="25"/>
  <c r="N79" i="25"/>
  <c r="M79" i="25"/>
  <c r="L79" i="25"/>
  <c r="K79" i="25"/>
  <c r="J79" i="25"/>
  <c r="I79" i="25"/>
  <c r="H79" i="25"/>
  <c r="G79" i="25"/>
  <c r="F79" i="25"/>
  <c r="E79" i="25"/>
  <c r="D79" i="25"/>
  <c r="C79" i="25"/>
  <c r="B79" i="25"/>
  <c r="A79" i="25"/>
  <c r="P78" i="25"/>
  <c r="O78" i="25"/>
  <c r="N78" i="25"/>
  <c r="M78" i="25"/>
  <c r="L78" i="25"/>
  <c r="K78" i="25"/>
  <c r="J78" i="25"/>
  <c r="I78" i="25"/>
  <c r="H78" i="25"/>
  <c r="G78" i="25"/>
  <c r="F78" i="25"/>
  <c r="E78" i="25"/>
  <c r="D78" i="25"/>
  <c r="C78" i="25"/>
  <c r="B78" i="25"/>
  <c r="A78" i="25"/>
  <c r="P77" i="25"/>
  <c r="O77" i="25"/>
  <c r="N77" i="25"/>
  <c r="M77" i="25"/>
  <c r="L77" i="25"/>
  <c r="K77" i="25"/>
  <c r="J77" i="25"/>
  <c r="I77" i="25"/>
  <c r="H77" i="25"/>
  <c r="G77" i="25"/>
  <c r="F77" i="25"/>
  <c r="E77" i="25"/>
  <c r="D77" i="25"/>
  <c r="C77" i="25"/>
  <c r="B77" i="25"/>
  <c r="A77" i="25"/>
  <c r="P76" i="25"/>
  <c r="O76" i="25"/>
  <c r="N76" i="25"/>
  <c r="M76" i="25"/>
  <c r="L76" i="25"/>
  <c r="K76" i="25"/>
  <c r="J76" i="25"/>
  <c r="I76" i="25"/>
  <c r="H76" i="25"/>
  <c r="G76" i="25"/>
  <c r="F76" i="25"/>
  <c r="E76" i="25"/>
  <c r="D76" i="25"/>
  <c r="C76" i="25"/>
  <c r="B76" i="25"/>
  <c r="A76" i="25"/>
  <c r="P75" i="25"/>
  <c r="O75" i="25"/>
  <c r="N75" i="25"/>
  <c r="M75" i="25"/>
  <c r="L75" i="25"/>
  <c r="K75" i="25"/>
  <c r="J75" i="25"/>
  <c r="I75" i="25"/>
  <c r="H75" i="25"/>
  <c r="G75" i="25"/>
  <c r="F75" i="25"/>
  <c r="E75" i="25"/>
  <c r="D75" i="25"/>
  <c r="C75" i="25"/>
  <c r="B75" i="25"/>
  <c r="A75" i="25"/>
  <c r="P74" i="25"/>
  <c r="O74" i="25"/>
  <c r="N74" i="25"/>
  <c r="M74" i="25"/>
  <c r="L74" i="25"/>
  <c r="K74" i="25"/>
  <c r="J74" i="25"/>
  <c r="I74" i="25"/>
  <c r="H74" i="25"/>
  <c r="G74" i="25"/>
  <c r="F74" i="25"/>
  <c r="E74" i="25"/>
  <c r="D74" i="25"/>
  <c r="C74" i="25"/>
  <c r="B74" i="25"/>
  <c r="A74" i="25"/>
  <c r="P73" i="25"/>
  <c r="O73" i="25"/>
  <c r="N73" i="25"/>
  <c r="M73" i="25"/>
  <c r="L73" i="25"/>
  <c r="K73" i="25"/>
  <c r="J73" i="25"/>
  <c r="I73" i="25"/>
  <c r="H73" i="25"/>
  <c r="G73" i="25"/>
  <c r="F73" i="25"/>
  <c r="E73" i="25"/>
  <c r="D73" i="25"/>
  <c r="C73" i="25"/>
  <c r="B73" i="25"/>
  <c r="A73" i="25"/>
  <c r="P72" i="25"/>
  <c r="O72" i="25"/>
  <c r="N72" i="25"/>
  <c r="M72" i="25"/>
  <c r="L72" i="25"/>
  <c r="K72" i="25"/>
  <c r="J72" i="25"/>
  <c r="I72" i="25"/>
  <c r="H72" i="25"/>
  <c r="G72" i="25"/>
  <c r="F72" i="25"/>
  <c r="E72" i="25"/>
  <c r="D72" i="25"/>
  <c r="C72" i="25"/>
  <c r="B72" i="25"/>
  <c r="A72" i="25"/>
  <c r="P71" i="25"/>
  <c r="O71" i="25"/>
  <c r="N71" i="25"/>
  <c r="M71" i="25"/>
  <c r="L71" i="25"/>
  <c r="K71" i="25"/>
  <c r="J71" i="25"/>
  <c r="I71" i="25"/>
  <c r="H71" i="25"/>
  <c r="G71" i="25"/>
  <c r="F71" i="25"/>
  <c r="E71" i="25"/>
  <c r="D71" i="25"/>
  <c r="C71" i="25"/>
  <c r="B71" i="25"/>
  <c r="A71" i="25"/>
  <c r="P70" i="25"/>
  <c r="O70" i="25"/>
  <c r="N70" i="25"/>
  <c r="M70" i="25"/>
  <c r="L70" i="25"/>
  <c r="K70" i="25"/>
  <c r="J70" i="25"/>
  <c r="I70" i="25"/>
  <c r="H70" i="25"/>
  <c r="G70" i="25"/>
  <c r="F70" i="25"/>
  <c r="E70" i="25"/>
  <c r="D70" i="25"/>
  <c r="C70" i="25"/>
  <c r="B70" i="25"/>
  <c r="A70" i="25"/>
  <c r="P69" i="25"/>
  <c r="O69" i="25"/>
  <c r="N69" i="25"/>
  <c r="M69" i="25"/>
  <c r="L69" i="25"/>
  <c r="K69" i="25"/>
  <c r="J69" i="25"/>
  <c r="I69" i="25"/>
  <c r="H69" i="25"/>
  <c r="G69" i="25"/>
  <c r="F69" i="25"/>
  <c r="E69" i="25"/>
  <c r="D69" i="25"/>
  <c r="C69" i="25"/>
  <c r="B69" i="25"/>
  <c r="A69" i="25"/>
  <c r="P68" i="25"/>
  <c r="O68" i="25"/>
  <c r="N68" i="25"/>
  <c r="M68" i="25"/>
  <c r="L68" i="25"/>
  <c r="K68" i="25"/>
  <c r="J68" i="25"/>
  <c r="I68" i="25"/>
  <c r="H68" i="25"/>
  <c r="G68" i="25"/>
  <c r="F68" i="25"/>
  <c r="E68" i="25"/>
  <c r="D68" i="25"/>
  <c r="C68" i="25"/>
  <c r="B68" i="25"/>
  <c r="A68" i="25"/>
  <c r="P67" i="25"/>
  <c r="O67" i="25"/>
  <c r="N67" i="25"/>
  <c r="M67" i="25"/>
  <c r="L67" i="25"/>
  <c r="K67" i="25"/>
  <c r="J67" i="25"/>
  <c r="I67" i="25"/>
  <c r="H67" i="25"/>
  <c r="G67" i="25"/>
  <c r="F67" i="25"/>
  <c r="E67" i="25"/>
  <c r="D67" i="25"/>
  <c r="C67" i="25"/>
  <c r="B67" i="25"/>
  <c r="A67" i="25"/>
  <c r="P66" i="25"/>
  <c r="O66" i="25"/>
  <c r="N66" i="25"/>
  <c r="M66" i="25"/>
  <c r="L66" i="25"/>
  <c r="K66" i="25"/>
  <c r="J66" i="25"/>
  <c r="I66" i="25"/>
  <c r="H66" i="25"/>
  <c r="G66" i="25"/>
  <c r="F66" i="25"/>
  <c r="E66" i="25"/>
  <c r="D66" i="25"/>
  <c r="C66" i="25"/>
  <c r="B66" i="25"/>
  <c r="A66" i="25"/>
  <c r="P65" i="25"/>
  <c r="O65" i="25"/>
  <c r="N65" i="25"/>
  <c r="M65" i="25"/>
  <c r="L65" i="25"/>
  <c r="K65" i="25"/>
  <c r="J65" i="25"/>
  <c r="I65" i="25"/>
  <c r="H65" i="25"/>
  <c r="G65" i="25"/>
  <c r="F65" i="25"/>
  <c r="E65" i="25"/>
  <c r="D65" i="25"/>
  <c r="C65" i="25"/>
  <c r="B65" i="25"/>
  <c r="A65" i="25"/>
  <c r="P64" i="25"/>
  <c r="O64" i="25"/>
  <c r="N64" i="25"/>
  <c r="M64" i="25"/>
  <c r="L64" i="25"/>
  <c r="K64" i="25"/>
  <c r="J64" i="25"/>
  <c r="I64" i="25"/>
  <c r="H64" i="25"/>
  <c r="G64" i="25"/>
  <c r="F64" i="25"/>
  <c r="E64" i="25"/>
  <c r="D64" i="25"/>
  <c r="C64" i="25"/>
  <c r="B64" i="25"/>
  <c r="A64" i="25"/>
  <c r="P63" i="25"/>
  <c r="O63" i="25"/>
  <c r="N63" i="25"/>
  <c r="M63" i="25"/>
  <c r="L63" i="25"/>
  <c r="K63" i="25"/>
  <c r="J63" i="25"/>
  <c r="I63" i="25"/>
  <c r="H63" i="25"/>
  <c r="G63" i="25"/>
  <c r="F63" i="25"/>
  <c r="E63" i="25"/>
  <c r="D63" i="25"/>
  <c r="C63" i="25"/>
  <c r="B63" i="25"/>
  <c r="A63" i="25"/>
  <c r="P62" i="25"/>
  <c r="O62" i="25"/>
  <c r="N62" i="25"/>
  <c r="M62" i="25"/>
  <c r="L62" i="25"/>
  <c r="K62" i="25"/>
  <c r="J62" i="25"/>
  <c r="I62" i="25"/>
  <c r="H62" i="25"/>
  <c r="G62" i="25"/>
  <c r="F62" i="25"/>
  <c r="E62" i="25"/>
  <c r="D62" i="25"/>
  <c r="C62" i="25"/>
  <c r="B62" i="25"/>
  <c r="A62" i="25"/>
  <c r="P61" i="25"/>
  <c r="O61" i="25"/>
  <c r="N61" i="25"/>
  <c r="M61" i="25"/>
  <c r="L61" i="25"/>
  <c r="K61" i="25"/>
  <c r="J61" i="25"/>
  <c r="I61" i="25"/>
  <c r="H61" i="25"/>
  <c r="G61" i="25"/>
  <c r="F61" i="25"/>
  <c r="E61" i="25"/>
  <c r="D61" i="25"/>
  <c r="C61" i="25"/>
  <c r="B61" i="25"/>
  <c r="A61" i="25"/>
  <c r="P60" i="25"/>
  <c r="O60" i="25"/>
  <c r="N60" i="25"/>
  <c r="M60" i="25"/>
  <c r="L60" i="25"/>
  <c r="K60" i="25"/>
  <c r="J60" i="25"/>
  <c r="I60" i="25"/>
  <c r="H60" i="25"/>
  <c r="G60" i="25"/>
  <c r="F60" i="25"/>
  <c r="E60" i="25"/>
  <c r="D60" i="25"/>
  <c r="C60" i="25"/>
  <c r="B60" i="25"/>
  <c r="A60" i="25"/>
  <c r="P59" i="25"/>
  <c r="O59" i="25"/>
  <c r="N59" i="25"/>
  <c r="M59" i="25"/>
  <c r="L59" i="25"/>
  <c r="K59" i="25"/>
  <c r="J59" i="25"/>
  <c r="I59" i="25"/>
  <c r="H59" i="25"/>
  <c r="G59" i="25"/>
  <c r="F59" i="25"/>
  <c r="E59" i="25"/>
  <c r="D59" i="25"/>
  <c r="C59" i="25"/>
  <c r="B59" i="25"/>
  <c r="A59" i="25"/>
  <c r="P58" i="25"/>
  <c r="O58" i="25"/>
  <c r="N58" i="25"/>
  <c r="M58" i="25"/>
  <c r="L58" i="25"/>
  <c r="K58" i="25"/>
  <c r="J58" i="25"/>
  <c r="I58" i="25"/>
  <c r="H58" i="25"/>
  <c r="G58" i="25"/>
  <c r="F58" i="25"/>
  <c r="E58" i="25"/>
  <c r="D58" i="25"/>
  <c r="C58" i="25"/>
  <c r="B58" i="25"/>
  <c r="A58" i="25"/>
  <c r="P57" i="25"/>
  <c r="O57" i="25"/>
  <c r="N57" i="25"/>
  <c r="M57" i="25"/>
  <c r="L57" i="25"/>
  <c r="K57" i="25"/>
  <c r="J57" i="25"/>
  <c r="I57" i="25"/>
  <c r="H57" i="25"/>
  <c r="G57" i="25"/>
  <c r="F57" i="25"/>
  <c r="E57" i="25"/>
  <c r="D57" i="25"/>
  <c r="C57" i="25"/>
  <c r="B57" i="25"/>
  <c r="A57" i="25"/>
  <c r="P56" i="25"/>
  <c r="O56" i="25"/>
  <c r="N56" i="25"/>
  <c r="M56" i="25"/>
  <c r="L56" i="25"/>
  <c r="K56" i="25"/>
  <c r="J56" i="25"/>
  <c r="I56" i="25"/>
  <c r="H56" i="25"/>
  <c r="G56" i="25"/>
  <c r="F56" i="25"/>
  <c r="E56" i="25"/>
  <c r="D56" i="25"/>
  <c r="C56" i="25"/>
  <c r="B56" i="25"/>
  <c r="A56" i="25"/>
  <c r="P55" i="25"/>
  <c r="O55" i="25"/>
  <c r="N55" i="25"/>
  <c r="M55" i="25"/>
  <c r="L55" i="25"/>
  <c r="K55" i="25"/>
  <c r="J55" i="25"/>
  <c r="I55" i="25"/>
  <c r="H55" i="25"/>
  <c r="G55" i="25"/>
  <c r="F55" i="25"/>
  <c r="E55" i="25"/>
  <c r="D55" i="25"/>
  <c r="C55" i="25"/>
  <c r="B55" i="25"/>
  <c r="A55" i="25"/>
  <c r="P54" i="25"/>
  <c r="O54" i="25"/>
  <c r="N54" i="25"/>
  <c r="M54" i="25"/>
  <c r="L54" i="25"/>
  <c r="K54" i="25"/>
  <c r="J54" i="25"/>
  <c r="I54" i="25"/>
  <c r="H54" i="25"/>
  <c r="G54" i="25"/>
  <c r="F54" i="25"/>
  <c r="E54" i="25"/>
  <c r="D54" i="25"/>
  <c r="C54" i="25"/>
  <c r="B54" i="25"/>
  <c r="A54" i="25"/>
  <c r="P53" i="25"/>
  <c r="O53" i="25"/>
  <c r="N53" i="25"/>
  <c r="M53" i="25"/>
  <c r="L53" i="25"/>
  <c r="K53" i="25"/>
  <c r="J53" i="25"/>
  <c r="I53" i="25"/>
  <c r="H53" i="25"/>
  <c r="G53" i="25"/>
  <c r="F53" i="25"/>
  <c r="E53" i="25"/>
  <c r="D53" i="25"/>
  <c r="C53" i="25"/>
  <c r="B53" i="25"/>
  <c r="A53" i="25"/>
  <c r="P52" i="25"/>
  <c r="O52" i="25"/>
  <c r="N52" i="25"/>
  <c r="M52" i="25"/>
  <c r="L52" i="25"/>
  <c r="K52" i="25"/>
  <c r="J52" i="25"/>
  <c r="I52" i="25"/>
  <c r="H52" i="25"/>
  <c r="G52" i="25"/>
  <c r="F52" i="25"/>
  <c r="E52" i="25"/>
  <c r="D52" i="25"/>
  <c r="C52" i="25"/>
  <c r="B52" i="25"/>
  <c r="A52" i="25"/>
  <c r="P51" i="25"/>
  <c r="O51" i="25"/>
  <c r="N51" i="25"/>
  <c r="M51" i="25"/>
  <c r="L51" i="25"/>
  <c r="K51" i="25"/>
  <c r="J51" i="25"/>
  <c r="I51" i="25"/>
  <c r="H51" i="25"/>
  <c r="G51" i="25"/>
  <c r="F51" i="25"/>
  <c r="E51" i="25"/>
  <c r="D51" i="25"/>
  <c r="C51" i="25"/>
  <c r="B51" i="25"/>
  <c r="A51" i="25"/>
  <c r="P50" i="25"/>
  <c r="O50" i="25"/>
  <c r="N50" i="25"/>
  <c r="M50" i="25"/>
  <c r="L50" i="25"/>
  <c r="K50" i="25"/>
  <c r="J50" i="25"/>
  <c r="I50" i="25"/>
  <c r="H50" i="25"/>
  <c r="G50" i="25"/>
  <c r="F50" i="25"/>
  <c r="E50" i="25"/>
  <c r="D50" i="25"/>
  <c r="C50" i="25"/>
  <c r="B50" i="25"/>
  <c r="A50" i="25"/>
  <c r="P49" i="25"/>
  <c r="O49" i="25"/>
  <c r="N49" i="25"/>
  <c r="M49" i="25"/>
  <c r="L49" i="25"/>
  <c r="K49" i="25"/>
  <c r="J49" i="25"/>
  <c r="I49" i="25"/>
  <c r="H49" i="25"/>
  <c r="G49" i="25"/>
  <c r="F49" i="25"/>
  <c r="E49" i="25"/>
  <c r="D49" i="25"/>
  <c r="C49" i="25"/>
  <c r="B49" i="25"/>
  <c r="A49" i="25"/>
  <c r="P48" i="25"/>
  <c r="O48" i="25"/>
  <c r="N48" i="25"/>
  <c r="M48" i="25"/>
  <c r="L48" i="25"/>
  <c r="K48" i="25"/>
  <c r="J48" i="25"/>
  <c r="I48" i="25"/>
  <c r="H48" i="25"/>
  <c r="G48" i="25"/>
  <c r="F48" i="25"/>
  <c r="E48" i="25"/>
  <c r="D48" i="25"/>
  <c r="C48" i="25"/>
  <c r="B48" i="25"/>
  <c r="A48" i="25"/>
  <c r="P47" i="25"/>
  <c r="O47" i="25"/>
  <c r="N47" i="25"/>
  <c r="M47" i="25"/>
  <c r="L47" i="25"/>
  <c r="K47" i="25"/>
  <c r="J47" i="25"/>
  <c r="I47" i="25"/>
  <c r="H47" i="25"/>
  <c r="G47" i="25"/>
  <c r="F47" i="25"/>
  <c r="E47" i="25"/>
  <c r="D47" i="25"/>
  <c r="C47" i="25"/>
  <c r="B47" i="25"/>
  <c r="A47" i="25"/>
  <c r="P46" i="25"/>
  <c r="O46" i="25"/>
  <c r="N46" i="25"/>
  <c r="M46" i="25"/>
  <c r="L46" i="25"/>
  <c r="K46" i="25"/>
  <c r="J46" i="25"/>
  <c r="I46" i="25"/>
  <c r="H46" i="25"/>
  <c r="G46" i="25"/>
  <c r="F46" i="25"/>
  <c r="E46" i="25"/>
  <c r="D46" i="25"/>
  <c r="C46" i="25"/>
  <c r="B46" i="25"/>
  <c r="A46" i="25"/>
  <c r="P45" i="25"/>
  <c r="O45" i="25"/>
  <c r="N45" i="25"/>
  <c r="M45" i="25"/>
  <c r="L45" i="25"/>
  <c r="K45" i="25"/>
  <c r="J45" i="25"/>
  <c r="I45" i="25"/>
  <c r="H45" i="25"/>
  <c r="G45" i="25"/>
  <c r="F45" i="25"/>
  <c r="E45" i="25"/>
  <c r="D45" i="25"/>
  <c r="C45" i="25"/>
  <c r="B45" i="25"/>
  <c r="A45" i="25"/>
  <c r="P44" i="25"/>
  <c r="O44" i="25"/>
  <c r="N44" i="25"/>
  <c r="M44" i="25"/>
  <c r="L44" i="25"/>
  <c r="K44" i="25"/>
  <c r="J44" i="25"/>
  <c r="I44" i="25"/>
  <c r="H44" i="25"/>
  <c r="G44" i="25"/>
  <c r="F44" i="25"/>
  <c r="E44" i="25"/>
  <c r="D44" i="25"/>
  <c r="C44" i="25"/>
  <c r="B44" i="25"/>
  <c r="A44" i="25"/>
  <c r="P43" i="25"/>
  <c r="O43" i="25"/>
  <c r="N43" i="25"/>
  <c r="M43" i="25"/>
  <c r="L43" i="25"/>
  <c r="K43" i="25"/>
  <c r="J43" i="25"/>
  <c r="I43" i="25"/>
  <c r="H43" i="25"/>
  <c r="G43" i="25"/>
  <c r="F43" i="25"/>
  <c r="E43" i="25"/>
  <c r="D43" i="25"/>
  <c r="C43" i="25"/>
  <c r="B43" i="25"/>
  <c r="A43" i="25"/>
  <c r="P42" i="25"/>
  <c r="O42" i="25"/>
  <c r="N42" i="25"/>
  <c r="M42" i="25"/>
  <c r="L42" i="25"/>
  <c r="K42" i="25"/>
  <c r="J42" i="25"/>
  <c r="I42" i="25"/>
  <c r="H42" i="25"/>
  <c r="G42" i="25"/>
  <c r="F42" i="25"/>
  <c r="E42" i="25"/>
  <c r="D42" i="25"/>
  <c r="C42" i="25"/>
  <c r="B42" i="25"/>
  <c r="A42" i="25"/>
  <c r="P41" i="25"/>
  <c r="O41" i="25"/>
  <c r="N41" i="25"/>
  <c r="M41" i="25"/>
  <c r="L41" i="25"/>
  <c r="K41" i="25"/>
  <c r="J41" i="25"/>
  <c r="I41" i="25"/>
  <c r="H41" i="25"/>
  <c r="G41" i="25"/>
  <c r="F41" i="25"/>
  <c r="E41" i="25"/>
  <c r="D41" i="25"/>
  <c r="C41" i="25"/>
  <c r="B41" i="25"/>
  <c r="A41" i="25"/>
  <c r="P40" i="25"/>
  <c r="O40" i="25"/>
  <c r="N40" i="25"/>
  <c r="M40" i="25"/>
  <c r="L40" i="25"/>
  <c r="K40" i="25"/>
  <c r="J40" i="25"/>
  <c r="I40" i="25"/>
  <c r="H40" i="25"/>
  <c r="G40" i="25"/>
  <c r="F40" i="25"/>
  <c r="E40" i="25"/>
  <c r="D40" i="25"/>
  <c r="C40" i="25"/>
  <c r="B40" i="25"/>
  <c r="A40" i="25"/>
  <c r="P39" i="25"/>
  <c r="O39" i="25"/>
  <c r="N39" i="25"/>
  <c r="M39" i="25"/>
  <c r="L39" i="25"/>
  <c r="K39" i="25"/>
  <c r="J39" i="25"/>
  <c r="I39" i="25"/>
  <c r="H39" i="25"/>
  <c r="G39" i="25"/>
  <c r="F39" i="25"/>
  <c r="E39" i="25"/>
  <c r="D39" i="25"/>
  <c r="C39" i="25"/>
  <c r="B39" i="25"/>
  <c r="A39" i="25"/>
  <c r="P38" i="25"/>
  <c r="O38" i="25"/>
  <c r="N38" i="25"/>
  <c r="M38" i="25"/>
  <c r="L38" i="25"/>
  <c r="K38" i="25"/>
  <c r="J38" i="25"/>
  <c r="I38" i="25"/>
  <c r="H38" i="25"/>
  <c r="G38" i="25"/>
  <c r="F38" i="25"/>
  <c r="E38" i="25"/>
  <c r="D38" i="25"/>
  <c r="C38" i="25"/>
  <c r="B38" i="25"/>
  <c r="A38" i="25"/>
  <c r="P37" i="25"/>
  <c r="O37" i="25"/>
  <c r="N37" i="25"/>
  <c r="M37" i="25"/>
  <c r="L37" i="25"/>
  <c r="K37" i="25"/>
  <c r="J37" i="25"/>
  <c r="I37" i="25"/>
  <c r="H37" i="25"/>
  <c r="G37" i="25"/>
  <c r="F37" i="25"/>
  <c r="E37" i="25"/>
  <c r="D37" i="25"/>
  <c r="C37" i="25"/>
  <c r="B37" i="25"/>
  <c r="A37" i="25"/>
  <c r="P36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A36" i="25"/>
  <c r="P35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A35" i="25"/>
  <c r="P34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A34" i="25"/>
  <c r="P33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A33" i="25"/>
  <c r="P32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A32" i="25"/>
  <c r="P31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A31" i="25"/>
  <c r="P30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A30" i="25"/>
  <c r="P29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A29" i="25"/>
  <c r="P28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A28" i="25"/>
  <c r="P27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A27" i="25"/>
  <c r="P26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A26" i="25"/>
  <c r="P25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A25" i="25"/>
  <c r="P24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A24" i="25"/>
  <c r="P23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A23" i="25"/>
  <c r="P22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A22" i="25"/>
  <c r="P21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A21" i="25"/>
  <c r="P20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A20" i="25"/>
  <c r="P19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A19" i="25"/>
  <c r="P18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A18" i="25"/>
  <c r="P17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A17" i="25"/>
  <c r="P16" i="25"/>
  <c r="O16" i="25"/>
  <c r="N16" i="25"/>
  <c r="M16" i="25"/>
  <c r="L16" i="25"/>
  <c r="K16" i="25"/>
  <c r="J16" i="25"/>
  <c r="I16" i="25"/>
  <c r="H16" i="25"/>
  <c r="G16" i="25"/>
  <c r="F16" i="25"/>
  <c r="E16" i="25"/>
  <c r="D16" i="25"/>
  <c r="C16" i="25"/>
  <c r="B16" i="25"/>
  <c r="A16" i="25"/>
  <c r="P15" i="25"/>
  <c r="O15" i="25"/>
  <c r="N15" i="25"/>
  <c r="M15" i="25"/>
  <c r="L15" i="25"/>
  <c r="K15" i="25"/>
  <c r="J15" i="25"/>
  <c r="I15" i="25"/>
  <c r="H15" i="25"/>
  <c r="G15" i="25"/>
  <c r="F15" i="25"/>
  <c r="E15" i="25"/>
  <c r="D15" i="25"/>
  <c r="C15" i="25"/>
  <c r="B15" i="25"/>
  <c r="A15" i="25"/>
  <c r="P14" i="25"/>
  <c r="O14" i="25"/>
  <c r="N14" i="25"/>
  <c r="M14" i="25"/>
  <c r="L14" i="25"/>
  <c r="K14" i="25"/>
  <c r="J14" i="25"/>
  <c r="I14" i="25"/>
  <c r="H14" i="25"/>
  <c r="G14" i="25"/>
  <c r="F14" i="25"/>
  <c r="E14" i="25"/>
  <c r="D14" i="25"/>
  <c r="C14" i="25"/>
  <c r="B14" i="25"/>
  <c r="A14" i="25"/>
  <c r="P13" i="25"/>
  <c r="O13" i="25"/>
  <c r="N13" i="25"/>
  <c r="M13" i="25"/>
  <c r="L13" i="25"/>
  <c r="K13" i="25"/>
  <c r="J13" i="25"/>
  <c r="I13" i="25"/>
  <c r="H13" i="25"/>
  <c r="G13" i="25"/>
  <c r="F13" i="25"/>
  <c r="E13" i="25"/>
  <c r="D13" i="25"/>
  <c r="C13" i="25"/>
  <c r="B13" i="25"/>
  <c r="A13" i="25"/>
  <c r="P12" i="25"/>
  <c r="O12" i="25"/>
  <c r="N12" i="25"/>
  <c r="M12" i="25"/>
  <c r="L12" i="25"/>
  <c r="K12" i="25"/>
  <c r="J12" i="25"/>
  <c r="I12" i="25"/>
  <c r="H12" i="25"/>
  <c r="G12" i="25"/>
  <c r="F12" i="25"/>
  <c r="E12" i="25"/>
  <c r="D12" i="25"/>
  <c r="C12" i="25"/>
  <c r="B12" i="25"/>
  <c r="A12" i="25"/>
  <c r="P11" i="25"/>
  <c r="O11" i="25"/>
  <c r="N11" i="25"/>
  <c r="M11" i="25"/>
  <c r="L11" i="25"/>
  <c r="K11" i="25"/>
  <c r="J11" i="25"/>
  <c r="I11" i="25"/>
  <c r="H11" i="25"/>
  <c r="G11" i="25"/>
  <c r="F11" i="25"/>
  <c r="E11" i="25"/>
  <c r="D11" i="25"/>
  <c r="C11" i="25"/>
  <c r="B11" i="25"/>
  <c r="A11" i="25"/>
  <c r="P10" i="25"/>
  <c r="O10" i="25"/>
  <c r="N10" i="25"/>
  <c r="M10" i="25"/>
  <c r="L10" i="25"/>
  <c r="K10" i="25"/>
  <c r="J10" i="25"/>
  <c r="I10" i="25"/>
  <c r="H10" i="25"/>
  <c r="G10" i="25"/>
  <c r="F10" i="25"/>
  <c r="E10" i="25"/>
  <c r="D10" i="25"/>
  <c r="C10" i="25"/>
  <c r="B10" i="25"/>
  <c r="A10" i="25"/>
  <c r="P9" i="25"/>
  <c r="O9" i="25"/>
  <c r="N9" i="25"/>
  <c r="M9" i="25"/>
  <c r="L9" i="25"/>
  <c r="K9" i="25"/>
  <c r="J9" i="25"/>
  <c r="I9" i="25"/>
  <c r="H9" i="25"/>
  <c r="G9" i="25"/>
  <c r="F9" i="25"/>
  <c r="E9" i="25"/>
  <c r="D9" i="25"/>
  <c r="C9" i="25"/>
  <c r="B9" i="25"/>
  <c r="A9" i="25"/>
  <c r="P8" i="25"/>
  <c r="O8" i="25"/>
  <c r="N8" i="25"/>
  <c r="M8" i="25"/>
  <c r="L8" i="25"/>
  <c r="K8" i="25"/>
  <c r="J8" i="25"/>
  <c r="I8" i="25"/>
  <c r="H8" i="25"/>
  <c r="G8" i="25"/>
  <c r="F8" i="25"/>
  <c r="E8" i="25"/>
  <c r="D8" i="25"/>
  <c r="C8" i="25"/>
  <c r="B8" i="25"/>
  <c r="A8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B7" i="25"/>
  <c r="A7" i="25"/>
  <c r="P6" i="25"/>
  <c r="O6" i="25"/>
  <c r="N6" i="25"/>
  <c r="M6" i="25"/>
  <c r="L6" i="25"/>
  <c r="K6" i="25"/>
  <c r="J6" i="25"/>
  <c r="I6" i="25"/>
  <c r="H6" i="25"/>
  <c r="G6" i="25"/>
  <c r="F6" i="25"/>
  <c r="E6" i="25"/>
  <c r="D6" i="25"/>
  <c r="C6" i="25"/>
  <c r="B6" i="25"/>
  <c r="A6" i="25"/>
  <c r="P5" i="25"/>
  <c r="O5" i="25"/>
  <c r="N5" i="25"/>
  <c r="M5" i="25"/>
  <c r="L5" i="25"/>
  <c r="K5" i="25"/>
  <c r="J5" i="25"/>
  <c r="I5" i="25"/>
  <c r="H5" i="25"/>
  <c r="G5" i="25"/>
  <c r="F5" i="25"/>
  <c r="E5" i="25"/>
  <c r="D5" i="25"/>
  <c r="C5" i="25"/>
  <c r="B5" i="25"/>
  <c r="A5" i="25"/>
  <c r="P4" i="25"/>
  <c r="O4" i="25"/>
  <c r="N4" i="25"/>
  <c r="M4" i="25"/>
  <c r="L4" i="25"/>
  <c r="K4" i="25"/>
  <c r="J4" i="25"/>
  <c r="I4" i="25"/>
  <c r="H4" i="25"/>
  <c r="G4" i="25"/>
  <c r="F4" i="25"/>
  <c r="E4" i="25"/>
  <c r="D4" i="25"/>
  <c r="C4" i="25"/>
  <c r="B4" i="25"/>
  <c r="A4" i="25"/>
  <c r="P3" i="25"/>
  <c r="O3" i="25"/>
  <c r="N3" i="25"/>
  <c r="M3" i="25"/>
  <c r="L3" i="25"/>
  <c r="K3" i="25"/>
  <c r="J3" i="25"/>
  <c r="I3" i="25"/>
  <c r="H3" i="25"/>
  <c r="G3" i="25"/>
  <c r="F3" i="25"/>
  <c r="E3" i="25"/>
  <c r="D3" i="25"/>
  <c r="C3" i="25"/>
  <c r="B3" i="25"/>
  <c r="A3" i="25"/>
  <c r="P2" i="25"/>
  <c r="O2" i="25"/>
  <c r="N2" i="25"/>
  <c r="M2" i="25"/>
  <c r="L2" i="25"/>
  <c r="K2" i="25"/>
  <c r="J2" i="25"/>
  <c r="I2" i="25"/>
  <c r="H2" i="25"/>
  <c r="G2" i="25"/>
  <c r="F2" i="25"/>
  <c r="E2" i="25"/>
  <c r="D2" i="25"/>
  <c r="C2" i="25"/>
  <c r="B2" i="25"/>
  <c r="A2" i="25"/>
  <c r="AA21" i="24" l="1"/>
  <c r="T21" i="24"/>
  <c r="M21" i="24"/>
  <c r="AA20" i="24"/>
  <c r="T20" i="24"/>
  <c r="M20" i="24"/>
  <c r="AA19" i="24"/>
  <c r="T19" i="24"/>
  <c r="M19" i="24"/>
  <c r="AA18" i="24"/>
  <c r="T18" i="24"/>
  <c r="M18" i="24"/>
  <c r="AA17" i="24"/>
  <c r="T17" i="24"/>
  <c r="M17" i="24"/>
  <c r="AA16" i="24"/>
  <c r="T16" i="24"/>
  <c r="M16" i="24"/>
  <c r="AA15" i="24"/>
  <c r="T15" i="24"/>
  <c r="M15" i="24"/>
  <c r="AA14" i="24"/>
  <c r="T14" i="24"/>
  <c r="M14" i="24"/>
  <c r="AA13" i="24"/>
  <c r="T13" i="24"/>
  <c r="M13" i="24"/>
  <c r="AA12" i="24"/>
  <c r="T12" i="24"/>
  <c r="M12" i="24"/>
  <c r="AA11" i="24"/>
  <c r="T11" i="24"/>
  <c r="M11" i="24"/>
  <c r="AA10" i="24"/>
  <c r="T10" i="24"/>
  <c r="M10" i="24"/>
  <c r="AA9" i="24"/>
  <c r="T9" i="24"/>
  <c r="M9" i="24"/>
  <c r="AA8" i="24"/>
  <c r="T8" i="24"/>
  <c r="M8" i="24"/>
  <c r="AA7" i="24"/>
  <c r="T7" i="24"/>
  <c r="M7" i="24"/>
  <c r="AA6" i="24"/>
  <c r="T6" i="24"/>
  <c r="M6" i="24"/>
  <c r="AA5" i="24"/>
  <c r="T5" i="24"/>
  <c r="M5" i="24"/>
  <c r="AA4" i="24"/>
  <c r="T4" i="24"/>
  <c r="M4" i="24"/>
  <c r="AA3" i="24"/>
  <c r="T3" i="24"/>
  <c r="M3" i="24"/>
  <c r="B8" i="32" l="1"/>
  <c r="A8" i="32"/>
  <c r="B6" i="32"/>
  <c r="B5" i="32"/>
  <c r="B2" i="32"/>
  <c r="A8" i="33"/>
  <c r="B6" i="33"/>
  <c r="B5" i="33"/>
  <c r="P5" i="16" l="1"/>
  <c r="P4" i="16"/>
  <c r="P3" i="16"/>
  <c r="T34" i="39" l="1"/>
  <c r="S34" i="39"/>
  <c r="R34" i="39"/>
  <c r="T32" i="39"/>
  <c r="S32" i="39"/>
  <c r="R32" i="39"/>
  <c r="T30" i="39"/>
  <c r="S30" i="39"/>
  <c r="R30" i="39"/>
  <c r="T28" i="39"/>
  <c r="S28" i="39"/>
  <c r="R28" i="39"/>
  <c r="N20" i="39"/>
  <c r="R20" i="39" s="1"/>
  <c r="S20" i="39" s="1"/>
  <c r="G15" i="39"/>
  <c r="P15" i="39" s="1"/>
  <c r="T16" i="39" s="1"/>
  <c r="T15" i="39" s="1"/>
  <c r="F15" i="39"/>
  <c r="O15" i="39" s="1"/>
  <c r="S16" i="39" s="1"/>
  <c r="S15" i="39" s="1"/>
  <c r="E15" i="39"/>
  <c r="N15" i="39" s="1"/>
  <c r="R16" i="39" s="1"/>
  <c r="R15" i="39" s="1"/>
  <c r="G6" i="39"/>
  <c r="P9" i="39" s="1"/>
  <c r="F6" i="39"/>
  <c r="O9" i="39" s="1"/>
  <c r="E6" i="39"/>
  <c r="N9" i="39" s="1"/>
  <c r="G5" i="39"/>
  <c r="P7" i="39" s="1"/>
  <c r="F5" i="39"/>
  <c r="O7" i="39" s="1"/>
  <c r="E5" i="39"/>
  <c r="N7" i="39" s="1"/>
  <c r="R31" i="39" s="1"/>
  <c r="G4" i="39"/>
  <c r="P5" i="39" s="1"/>
  <c r="T29" i="39" s="1"/>
  <c r="F4" i="39"/>
  <c r="O5" i="39" s="1"/>
  <c r="E4" i="39"/>
  <c r="N5" i="39" s="1"/>
  <c r="G3" i="39"/>
  <c r="P3" i="39" s="1"/>
  <c r="T27" i="39" s="1"/>
  <c r="F3" i="39"/>
  <c r="O3" i="39" s="1"/>
  <c r="S4" i="39" s="1"/>
  <c r="E3" i="39"/>
  <c r="N3" i="39" s="1"/>
  <c r="R6" i="39" l="1"/>
  <c r="R29" i="39"/>
  <c r="R5" i="39"/>
  <c r="R8" i="39"/>
  <c r="R21" i="39"/>
  <c r="S5" i="39"/>
  <c r="S6" i="39"/>
  <c r="S29" i="39"/>
  <c r="R9" i="39"/>
  <c r="R33" i="39"/>
  <c r="R10" i="39"/>
  <c r="S9" i="39"/>
  <c r="S33" i="39"/>
  <c r="S10" i="39"/>
  <c r="R3" i="39"/>
  <c r="R4" i="39"/>
  <c r="R27" i="39"/>
  <c r="T33" i="39"/>
  <c r="T9" i="39"/>
  <c r="T10" i="39"/>
  <c r="S7" i="39"/>
  <c r="S8" i="39"/>
  <c r="S31" i="39"/>
  <c r="T7" i="39"/>
  <c r="T31" i="39"/>
  <c r="T8" i="39"/>
  <c r="T6" i="39"/>
  <c r="S3" i="39"/>
  <c r="T5" i="39"/>
  <c r="T4" i="39"/>
  <c r="S27" i="39"/>
  <c r="T3" i="39"/>
  <c r="R7" i="39"/>
  <c r="A8" i="31" l="1"/>
  <c r="B6" i="31"/>
  <c r="B5" i="31"/>
  <c r="B2" i="31"/>
  <c r="B1" i="35" l="1"/>
  <c r="E87" i="24" l="1"/>
  <c r="E85" i="24"/>
  <c r="E83" i="24"/>
  <c r="E81" i="24"/>
  <c r="E79" i="24"/>
  <c r="E77" i="24"/>
  <c r="E75" i="24"/>
  <c r="E73" i="24"/>
  <c r="E71" i="24"/>
  <c r="E69" i="24"/>
  <c r="E64" i="24"/>
  <c r="E62" i="24"/>
  <c r="E60" i="24"/>
  <c r="E58" i="24"/>
  <c r="E56" i="24"/>
  <c r="E54" i="24"/>
  <c r="E52" i="24"/>
  <c r="E50" i="24"/>
  <c r="E48" i="24"/>
  <c r="E43" i="24"/>
  <c r="E41" i="24"/>
  <c r="E39" i="24"/>
  <c r="E37" i="24"/>
  <c r="E35" i="24"/>
  <c r="E33" i="24"/>
  <c r="E31" i="24"/>
  <c r="E29" i="24"/>
  <c r="E27" i="24"/>
  <c r="E25" i="24"/>
  <c r="E86" i="24"/>
  <c r="E84" i="24"/>
  <c r="E82" i="24"/>
  <c r="E80" i="24"/>
  <c r="E78" i="24"/>
  <c r="E76" i="24"/>
  <c r="E74" i="24"/>
  <c r="E72" i="24"/>
  <c r="E70" i="24"/>
  <c r="E65" i="24"/>
  <c r="E63" i="24"/>
  <c r="E61" i="24"/>
  <c r="E59" i="24"/>
  <c r="E57" i="24"/>
  <c r="E55" i="24"/>
  <c r="E53" i="24"/>
  <c r="E51" i="24"/>
  <c r="E49" i="24"/>
  <c r="E47" i="24"/>
  <c r="E42" i="24"/>
  <c r="E40" i="24"/>
  <c r="E38" i="24"/>
  <c r="E36" i="24"/>
  <c r="E34" i="24"/>
  <c r="E32" i="24"/>
  <c r="E30" i="24"/>
  <c r="E28" i="24"/>
  <c r="E26" i="24"/>
  <c r="D4" i="32"/>
  <c r="D3" i="32" s="1"/>
  <c r="L21" i="24"/>
  <c r="L17" i="24"/>
  <c r="L13" i="24"/>
  <c r="L9" i="24"/>
  <c r="L5" i="24"/>
  <c r="E20" i="24"/>
  <c r="E16" i="24"/>
  <c r="E12" i="24"/>
  <c r="E8" i="24"/>
  <c r="E4" i="24"/>
  <c r="D4" i="34"/>
  <c r="D3" i="34" s="1"/>
  <c r="L20" i="24"/>
  <c r="L16" i="24"/>
  <c r="L12" i="24"/>
  <c r="L8" i="24"/>
  <c r="L4" i="24"/>
  <c r="E19" i="24"/>
  <c r="E15" i="24"/>
  <c r="E11" i="24"/>
  <c r="E7" i="24"/>
  <c r="E3" i="24"/>
  <c r="D4" i="33"/>
  <c r="D3" i="33" s="1"/>
  <c r="L19" i="24"/>
  <c r="L15" i="24"/>
  <c r="L11" i="24"/>
  <c r="L7" i="24"/>
  <c r="L3" i="24"/>
  <c r="E18" i="24"/>
  <c r="E14" i="24"/>
  <c r="E10" i="24"/>
  <c r="E6" i="24"/>
  <c r="L18" i="24"/>
  <c r="L14" i="24"/>
  <c r="L10" i="24"/>
  <c r="L6" i="24"/>
  <c r="E21" i="24"/>
  <c r="E17" i="24"/>
  <c r="E13" i="24"/>
  <c r="E9" i="24"/>
  <c r="E5" i="24"/>
  <c r="Z21" i="24"/>
  <c r="Z17" i="24"/>
  <c r="Z13" i="24"/>
  <c r="Z9" i="24"/>
  <c r="Z5" i="24"/>
  <c r="S20" i="24"/>
  <c r="S16" i="24"/>
  <c r="S12" i="24"/>
  <c r="S8" i="24"/>
  <c r="S4" i="24"/>
  <c r="Z20" i="24"/>
  <c r="Z16" i="24"/>
  <c r="Z12" i="24"/>
  <c r="Z8" i="24"/>
  <c r="Z4" i="24"/>
  <c r="S19" i="24"/>
  <c r="S15" i="24"/>
  <c r="S11" i="24"/>
  <c r="S7" i="24"/>
  <c r="S3" i="24"/>
  <c r="Z19" i="24"/>
  <c r="Z15" i="24"/>
  <c r="Z11" i="24"/>
  <c r="Z7" i="24"/>
  <c r="Z3" i="24"/>
  <c r="S18" i="24"/>
  <c r="S14" i="24"/>
  <c r="S10" i="24"/>
  <c r="S6" i="24"/>
  <c r="Z18" i="24"/>
  <c r="Z14" i="24"/>
  <c r="Z10" i="24"/>
  <c r="Z6" i="24"/>
  <c r="S21" i="24"/>
  <c r="S17" i="24"/>
  <c r="S13" i="24"/>
  <c r="S9" i="24"/>
  <c r="S5" i="24"/>
  <c r="B4" i="33"/>
  <c r="B3" i="33" s="1"/>
  <c r="B4" i="32"/>
  <c r="B3" i="32" s="1"/>
  <c r="B4" i="31"/>
  <c r="B3" i="31" s="1"/>
  <c r="B2" i="34"/>
  <c r="A8" i="34" l="1"/>
  <c r="B5" i="34"/>
  <c r="L16" i="37" l="1"/>
  <c r="K4" i="37" l="1"/>
  <c r="K16" i="37" s="1"/>
  <c r="M4" i="37"/>
  <c r="M16" i="37" s="1"/>
  <c r="L26" i="39"/>
  <c r="O2" i="39"/>
  <c r="K26" i="39"/>
  <c r="N2" i="39"/>
  <c r="J26" i="39"/>
  <c r="P2" i="39"/>
  <c r="N147" i="38"/>
  <c r="M147" i="38"/>
  <c r="L147" i="38"/>
  <c r="K147" i="38"/>
  <c r="J147" i="38"/>
  <c r="I147" i="38"/>
  <c r="H147" i="38"/>
  <c r="G147" i="38"/>
  <c r="F147" i="38"/>
  <c r="E147" i="38"/>
  <c r="D147" i="38"/>
  <c r="C147" i="38"/>
  <c r="B147" i="38"/>
  <c r="A147" i="38"/>
  <c r="N146" i="38"/>
  <c r="M146" i="38"/>
  <c r="L146" i="38"/>
  <c r="K146" i="38"/>
  <c r="J146" i="38"/>
  <c r="I146" i="38"/>
  <c r="H146" i="38"/>
  <c r="G146" i="38"/>
  <c r="F146" i="38"/>
  <c r="E146" i="38"/>
  <c r="D146" i="38"/>
  <c r="C146" i="38"/>
  <c r="B146" i="38"/>
  <c r="A146" i="38"/>
  <c r="N145" i="38"/>
  <c r="M145" i="38"/>
  <c r="L145" i="38"/>
  <c r="K145" i="38"/>
  <c r="J145" i="38"/>
  <c r="I145" i="38"/>
  <c r="H145" i="38"/>
  <c r="G145" i="38"/>
  <c r="F145" i="38"/>
  <c r="E145" i="38"/>
  <c r="D145" i="38"/>
  <c r="C145" i="38"/>
  <c r="B145" i="38"/>
  <c r="A145" i="38"/>
  <c r="N144" i="38"/>
  <c r="M144" i="38"/>
  <c r="L144" i="38"/>
  <c r="K144" i="38"/>
  <c r="J144" i="38"/>
  <c r="I144" i="38"/>
  <c r="H144" i="38"/>
  <c r="G144" i="38"/>
  <c r="F144" i="38"/>
  <c r="E144" i="38"/>
  <c r="D144" i="38"/>
  <c r="C144" i="38"/>
  <c r="B144" i="38"/>
  <c r="A144" i="38"/>
  <c r="N143" i="38"/>
  <c r="M143" i="38"/>
  <c r="L143" i="38"/>
  <c r="K143" i="38"/>
  <c r="J143" i="38"/>
  <c r="I143" i="38"/>
  <c r="H143" i="38"/>
  <c r="G143" i="38"/>
  <c r="F143" i="38"/>
  <c r="E143" i="38"/>
  <c r="D143" i="38"/>
  <c r="C143" i="38"/>
  <c r="B143" i="38"/>
  <c r="A143" i="38"/>
  <c r="N142" i="38"/>
  <c r="M142" i="38"/>
  <c r="L142" i="38"/>
  <c r="K142" i="38"/>
  <c r="J142" i="38"/>
  <c r="I142" i="38"/>
  <c r="H142" i="38"/>
  <c r="G142" i="38"/>
  <c r="F142" i="38"/>
  <c r="E142" i="38"/>
  <c r="D142" i="38"/>
  <c r="C142" i="38"/>
  <c r="B142" i="38"/>
  <c r="A142" i="38"/>
  <c r="N141" i="38"/>
  <c r="M141" i="38"/>
  <c r="L141" i="38"/>
  <c r="K141" i="38"/>
  <c r="J141" i="38"/>
  <c r="I141" i="38"/>
  <c r="H141" i="38"/>
  <c r="G141" i="38"/>
  <c r="F141" i="38"/>
  <c r="E141" i="38"/>
  <c r="D141" i="38"/>
  <c r="C141" i="38"/>
  <c r="B141" i="38"/>
  <c r="A141" i="38"/>
  <c r="N140" i="38"/>
  <c r="M140" i="38"/>
  <c r="L140" i="38"/>
  <c r="K140" i="38"/>
  <c r="J140" i="38"/>
  <c r="I140" i="38"/>
  <c r="H140" i="38"/>
  <c r="G140" i="38"/>
  <c r="F140" i="38"/>
  <c r="E140" i="38"/>
  <c r="D140" i="38"/>
  <c r="C140" i="38"/>
  <c r="B140" i="38"/>
  <c r="A140" i="38"/>
  <c r="N139" i="38"/>
  <c r="M139" i="38"/>
  <c r="L139" i="38"/>
  <c r="K139" i="38"/>
  <c r="J139" i="38"/>
  <c r="I139" i="38"/>
  <c r="H139" i="38"/>
  <c r="G139" i="38"/>
  <c r="F139" i="38"/>
  <c r="E139" i="38"/>
  <c r="D139" i="38"/>
  <c r="C139" i="38"/>
  <c r="B139" i="38"/>
  <c r="A139" i="38"/>
  <c r="N138" i="38"/>
  <c r="M138" i="38"/>
  <c r="L138" i="38"/>
  <c r="K138" i="38"/>
  <c r="J138" i="38"/>
  <c r="I138" i="38"/>
  <c r="H138" i="38"/>
  <c r="G138" i="38"/>
  <c r="F138" i="38"/>
  <c r="E138" i="38"/>
  <c r="D138" i="38"/>
  <c r="C138" i="38"/>
  <c r="B138" i="38"/>
  <c r="A138" i="38"/>
  <c r="N137" i="38"/>
  <c r="M137" i="38"/>
  <c r="L137" i="38"/>
  <c r="K137" i="38"/>
  <c r="J137" i="38"/>
  <c r="I137" i="38"/>
  <c r="H137" i="38"/>
  <c r="G137" i="38"/>
  <c r="F137" i="38"/>
  <c r="E137" i="38"/>
  <c r="D137" i="38"/>
  <c r="C137" i="38"/>
  <c r="B137" i="38"/>
  <c r="A137" i="38"/>
  <c r="N136" i="38"/>
  <c r="M136" i="38"/>
  <c r="L136" i="38"/>
  <c r="K136" i="38"/>
  <c r="J136" i="38"/>
  <c r="I136" i="38"/>
  <c r="H136" i="38"/>
  <c r="G136" i="38"/>
  <c r="F136" i="38"/>
  <c r="E136" i="38"/>
  <c r="D136" i="38"/>
  <c r="C136" i="38"/>
  <c r="B136" i="38"/>
  <c r="A136" i="38"/>
  <c r="N135" i="38"/>
  <c r="M135" i="38"/>
  <c r="L135" i="38"/>
  <c r="K135" i="38"/>
  <c r="J135" i="38"/>
  <c r="I135" i="38"/>
  <c r="H135" i="38"/>
  <c r="G135" i="38"/>
  <c r="F135" i="38"/>
  <c r="E135" i="38"/>
  <c r="D135" i="38"/>
  <c r="C135" i="38"/>
  <c r="B135" i="38"/>
  <c r="A135" i="38"/>
  <c r="N134" i="38"/>
  <c r="M134" i="38"/>
  <c r="L134" i="38"/>
  <c r="K134" i="38"/>
  <c r="J134" i="38"/>
  <c r="I134" i="38"/>
  <c r="H134" i="38"/>
  <c r="G134" i="38"/>
  <c r="F134" i="38"/>
  <c r="E134" i="38"/>
  <c r="D134" i="38"/>
  <c r="C134" i="38"/>
  <c r="B134" i="38"/>
  <c r="A134" i="38"/>
  <c r="N133" i="38"/>
  <c r="M133" i="38"/>
  <c r="L133" i="38"/>
  <c r="K133" i="38"/>
  <c r="J133" i="38"/>
  <c r="I133" i="38"/>
  <c r="H133" i="38"/>
  <c r="G133" i="38"/>
  <c r="F133" i="38"/>
  <c r="E133" i="38"/>
  <c r="D133" i="38"/>
  <c r="C133" i="38"/>
  <c r="B133" i="38"/>
  <c r="A133" i="38"/>
  <c r="N132" i="38"/>
  <c r="M132" i="38"/>
  <c r="L132" i="38"/>
  <c r="K132" i="38"/>
  <c r="J132" i="38"/>
  <c r="I132" i="38"/>
  <c r="H132" i="38"/>
  <c r="G132" i="38"/>
  <c r="F132" i="38"/>
  <c r="E132" i="38"/>
  <c r="D132" i="38"/>
  <c r="C132" i="38"/>
  <c r="B132" i="38"/>
  <c r="A132" i="38"/>
  <c r="N131" i="38"/>
  <c r="M131" i="38"/>
  <c r="L131" i="38"/>
  <c r="K131" i="38"/>
  <c r="J131" i="38"/>
  <c r="I131" i="38"/>
  <c r="H131" i="38"/>
  <c r="G131" i="38"/>
  <c r="F131" i="38"/>
  <c r="E131" i="38"/>
  <c r="D131" i="38"/>
  <c r="C131" i="38"/>
  <c r="B131" i="38"/>
  <c r="A131" i="38"/>
  <c r="N130" i="38"/>
  <c r="M130" i="38"/>
  <c r="L130" i="38"/>
  <c r="K130" i="38"/>
  <c r="J130" i="38"/>
  <c r="I130" i="38"/>
  <c r="H130" i="38"/>
  <c r="G130" i="38"/>
  <c r="F130" i="38"/>
  <c r="E130" i="38"/>
  <c r="D130" i="38"/>
  <c r="C130" i="38"/>
  <c r="B130" i="38"/>
  <c r="A130" i="38"/>
  <c r="N129" i="38"/>
  <c r="M129" i="38"/>
  <c r="L129" i="38"/>
  <c r="K129" i="38"/>
  <c r="J129" i="38"/>
  <c r="I129" i="38"/>
  <c r="H129" i="38"/>
  <c r="G129" i="38"/>
  <c r="F129" i="38"/>
  <c r="E129" i="38"/>
  <c r="D129" i="38"/>
  <c r="C129" i="38"/>
  <c r="B129" i="38"/>
  <c r="A129" i="38"/>
  <c r="N128" i="38"/>
  <c r="M128" i="38"/>
  <c r="L128" i="38"/>
  <c r="K128" i="38"/>
  <c r="J128" i="38"/>
  <c r="I128" i="38"/>
  <c r="H128" i="38"/>
  <c r="G128" i="38"/>
  <c r="F128" i="38"/>
  <c r="E128" i="38"/>
  <c r="D128" i="38"/>
  <c r="C128" i="38"/>
  <c r="B128" i="38"/>
  <c r="A128" i="38"/>
  <c r="N127" i="38"/>
  <c r="M127" i="38"/>
  <c r="L127" i="38"/>
  <c r="K127" i="38"/>
  <c r="J127" i="38"/>
  <c r="I127" i="38"/>
  <c r="H127" i="38"/>
  <c r="G127" i="38"/>
  <c r="F127" i="38"/>
  <c r="E127" i="38"/>
  <c r="D127" i="38"/>
  <c r="C127" i="38"/>
  <c r="B127" i="38"/>
  <c r="A127" i="38"/>
  <c r="N126" i="38"/>
  <c r="M126" i="38"/>
  <c r="L126" i="38"/>
  <c r="K126" i="38"/>
  <c r="J126" i="38"/>
  <c r="I126" i="38"/>
  <c r="H126" i="38"/>
  <c r="G126" i="38"/>
  <c r="F126" i="38"/>
  <c r="E126" i="38"/>
  <c r="D126" i="38"/>
  <c r="C126" i="38"/>
  <c r="B126" i="38"/>
  <c r="A126" i="38"/>
  <c r="N125" i="38"/>
  <c r="M125" i="38"/>
  <c r="L125" i="38"/>
  <c r="K125" i="38"/>
  <c r="J125" i="38"/>
  <c r="I125" i="38"/>
  <c r="H125" i="38"/>
  <c r="G125" i="38"/>
  <c r="F125" i="38"/>
  <c r="E125" i="38"/>
  <c r="D125" i="38"/>
  <c r="C125" i="38"/>
  <c r="B125" i="38"/>
  <c r="A125" i="38"/>
  <c r="N124" i="38"/>
  <c r="M124" i="38"/>
  <c r="L124" i="38"/>
  <c r="K124" i="38"/>
  <c r="J124" i="38"/>
  <c r="I124" i="38"/>
  <c r="H124" i="38"/>
  <c r="G124" i="38"/>
  <c r="F124" i="38"/>
  <c r="E124" i="38"/>
  <c r="D124" i="38"/>
  <c r="C124" i="38"/>
  <c r="B124" i="38"/>
  <c r="A124" i="38"/>
  <c r="N123" i="38"/>
  <c r="M123" i="38"/>
  <c r="L123" i="38"/>
  <c r="K123" i="38"/>
  <c r="J123" i="38"/>
  <c r="I123" i="38"/>
  <c r="H123" i="38"/>
  <c r="G123" i="38"/>
  <c r="F123" i="38"/>
  <c r="E123" i="38"/>
  <c r="D123" i="38"/>
  <c r="C123" i="38"/>
  <c r="B123" i="38"/>
  <c r="A123" i="38"/>
  <c r="N122" i="38"/>
  <c r="M122" i="38"/>
  <c r="L122" i="38"/>
  <c r="K122" i="38"/>
  <c r="J122" i="38"/>
  <c r="I122" i="38"/>
  <c r="H122" i="38"/>
  <c r="G122" i="38"/>
  <c r="F122" i="38"/>
  <c r="E122" i="38"/>
  <c r="D122" i="38"/>
  <c r="C122" i="38"/>
  <c r="B122" i="38"/>
  <c r="A122" i="38"/>
  <c r="N121" i="38"/>
  <c r="M121" i="38"/>
  <c r="L121" i="38"/>
  <c r="K121" i="38"/>
  <c r="J121" i="38"/>
  <c r="I121" i="38"/>
  <c r="H121" i="38"/>
  <c r="G121" i="38"/>
  <c r="F121" i="38"/>
  <c r="E121" i="38"/>
  <c r="D121" i="38"/>
  <c r="C121" i="38"/>
  <c r="B121" i="38"/>
  <c r="A121" i="38"/>
  <c r="N120" i="38"/>
  <c r="M120" i="38"/>
  <c r="L120" i="38"/>
  <c r="K120" i="38"/>
  <c r="J120" i="38"/>
  <c r="I120" i="38"/>
  <c r="H120" i="38"/>
  <c r="G120" i="38"/>
  <c r="F120" i="38"/>
  <c r="E120" i="38"/>
  <c r="D120" i="38"/>
  <c r="C120" i="38"/>
  <c r="B120" i="38"/>
  <c r="A120" i="38"/>
  <c r="N119" i="38"/>
  <c r="M119" i="38"/>
  <c r="L119" i="38"/>
  <c r="K119" i="38"/>
  <c r="J119" i="38"/>
  <c r="I119" i="38"/>
  <c r="H119" i="38"/>
  <c r="G119" i="38"/>
  <c r="F119" i="38"/>
  <c r="E119" i="38"/>
  <c r="D119" i="38"/>
  <c r="C119" i="38"/>
  <c r="B119" i="38"/>
  <c r="A119" i="38"/>
  <c r="N118" i="38"/>
  <c r="M118" i="38"/>
  <c r="L118" i="38"/>
  <c r="K118" i="38"/>
  <c r="J118" i="38"/>
  <c r="I118" i="38"/>
  <c r="H118" i="38"/>
  <c r="G118" i="38"/>
  <c r="F118" i="38"/>
  <c r="E118" i="38"/>
  <c r="D118" i="38"/>
  <c r="C118" i="38"/>
  <c r="B118" i="38"/>
  <c r="A118" i="38"/>
  <c r="N117" i="38"/>
  <c r="M117" i="38"/>
  <c r="L117" i="38"/>
  <c r="K117" i="38"/>
  <c r="J117" i="38"/>
  <c r="I117" i="38"/>
  <c r="H117" i="38"/>
  <c r="G117" i="38"/>
  <c r="F117" i="38"/>
  <c r="E117" i="38"/>
  <c r="D117" i="38"/>
  <c r="C117" i="38"/>
  <c r="B117" i="38"/>
  <c r="A117" i="38"/>
  <c r="N116" i="38"/>
  <c r="M116" i="38"/>
  <c r="L116" i="38"/>
  <c r="K116" i="38"/>
  <c r="J116" i="38"/>
  <c r="I116" i="38"/>
  <c r="H116" i="38"/>
  <c r="G116" i="38"/>
  <c r="F116" i="38"/>
  <c r="E116" i="38"/>
  <c r="D116" i="38"/>
  <c r="C116" i="38"/>
  <c r="B116" i="38"/>
  <c r="A116" i="38"/>
  <c r="N115" i="38"/>
  <c r="M115" i="38"/>
  <c r="L115" i="38"/>
  <c r="K115" i="38"/>
  <c r="J115" i="38"/>
  <c r="I115" i="38"/>
  <c r="H115" i="38"/>
  <c r="G115" i="38"/>
  <c r="F115" i="38"/>
  <c r="E115" i="38"/>
  <c r="D115" i="38"/>
  <c r="C115" i="38"/>
  <c r="B115" i="38"/>
  <c r="A115" i="38"/>
  <c r="N114" i="38"/>
  <c r="M114" i="38"/>
  <c r="L114" i="38"/>
  <c r="K114" i="38"/>
  <c r="J114" i="38"/>
  <c r="I114" i="38"/>
  <c r="H114" i="38"/>
  <c r="G114" i="38"/>
  <c r="F114" i="38"/>
  <c r="E114" i="38"/>
  <c r="D114" i="38"/>
  <c r="C114" i="38"/>
  <c r="B114" i="38"/>
  <c r="A114" i="38"/>
  <c r="N113" i="38"/>
  <c r="M113" i="38"/>
  <c r="L113" i="38"/>
  <c r="K113" i="38"/>
  <c r="J113" i="38"/>
  <c r="I113" i="38"/>
  <c r="H113" i="38"/>
  <c r="G113" i="38"/>
  <c r="F113" i="38"/>
  <c r="E113" i="38"/>
  <c r="D113" i="38"/>
  <c r="C113" i="38"/>
  <c r="B113" i="38"/>
  <c r="A113" i="38"/>
  <c r="N112" i="38"/>
  <c r="M112" i="38"/>
  <c r="L112" i="38"/>
  <c r="K112" i="38"/>
  <c r="J112" i="38"/>
  <c r="I112" i="38"/>
  <c r="H112" i="38"/>
  <c r="G112" i="38"/>
  <c r="F112" i="38"/>
  <c r="E112" i="38"/>
  <c r="D112" i="38"/>
  <c r="C112" i="38"/>
  <c r="B112" i="38"/>
  <c r="A112" i="38"/>
  <c r="N111" i="38"/>
  <c r="M111" i="38"/>
  <c r="L111" i="38"/>
  <c r="K111" i="38"/>
  <c r="J111" i="38"/>
  <c r="I111" i="38"/>
  <c r="H111" i="38"/>
  <c r="G111" i="38"/>
  <c r="F111" i="38"/>
  <c r="E111" i="38"/>
  <c r="D111" i="38"/>
  <c r="C111" i="38"/>
  <c r="B111" i="38"/>
  <c r="A111" i="38"/>
  <c r="N110" i="38"/>
  <c r="M110" i="38"/>
  <c r="L110" i="38"/>
  <c r="K110" i="38"/>
  <c r="J110" i="38"/>
  <c r="I110" i="38"/>
  <c r="H110" i="38"/>
  <c r="G110" i="38"/>
  <c r="F110" i="38"/>
  <c r="E110" i="38"/>
  <c r="D110" i="38"/>
  <c r="C110" i="38"/>
  <c r="B110" i="38"/>
  <c r="A110" i="38"/>
  <c r="N109" i="38"/>
  <c r="M109" i="38"/>
  <c r="L109" i="38"/>
  <c r="K109" i="38"/>
  <c r="J109" i="38"/>
  <c r="I109" i="38"/>
  <c r="H109" i="38"/>
  <c r="G109" i="38"/>
  <c r="F109" i="38"/>
  <c r="E109" i="38"/>
  <c r="D109" i="38"/>
  <c r="C109" i="38"/>
  <c r="B109" i="38"/>
  <c r="A109" i="38"/>
  <c r="N108" i="38"/>
  <c r="M108" i="38"/>
  <c r="L108" i="38"/>
  <c r="K108" i="38"/>
  <c r="J108" i="38"/>
  <c r="I108" i="38"/>
  <c r="H108" i="38"/>
  <c r="G108" i="38"/>
  <c r="F108" i="38"/>
  <c r="E108" i="38"/>
  <c r="D108" i="38"/>
  <c r="C108" i="38"/>
  <c r="B108" i="38"/>
  <c r="A108" i="38"/>
  <c r="N107" i="38"/>
  <c r="M107" i="38"/>
  <c r="L107" i="38"/>
  <c r="K107" i="38"/>
  <c r="J107" i="38"/>
  <c r="I107" i="38"/>
  <c r="H107" i="38"/>
  <c r="G107" i="38"/>
  <c r="F107" i="38"/>
  <c r="E107" i="38"/>
  <c r="D107" i="38"/>
  <c r="C107" i="38"/>
  <c r="B107" i="38"/>
  <c r="A107" i="38"/>
  <c r="N106" i="38"/>
  <c r="M106" i="38"/>
  <c r="L106" i="38"/>
  <c r="K106" i="38"/>
  <c r="J106" i="38"/>
  <c r="I106" i="38"/>
  <c r="H106" i="38"/>
  <c r="G106" i="38"/>
  <c r="F106" i="38"/>
  <c r="E106" i="38"/>
  <c r="D106" i="38"/>
  <c r="C106" i="38"/>
  <c r="B106" i="38"/>
  <c r="A106" i="38"/>
  <c r="N105" i="38"/>
  <c r="M105" i="38"/>
  <c r="L105" i="38"/>
  <c r="K105" i="38"/>
  <c r="J105" i="38"/>
  <c r="I105" i="38"/>
  <c r="H105" i="38"/>
  <c r="G105" i="38"/>
  <c r="F105" i="38"/>
  <c r="E105" i="38"/>
  <c r="D105" i="38"/>
  <c r="C105" i="38"/>
  <c r="B105" i="38"/>
  <c r="A105" i="38"/>
  <c r="N104" i="38"/>
  <c r="M104" i="38"/>
  <c r="L104" i="38"/>
  <c r="K104" i="38"/>
  <c r="J104" i="38"/>
  <c r="I104" i="38"/>
  <c r="H104" i="38"/>
  <c r="G104" i="38"/>
  <c r="F104" i="38"/>
  <c r="E104" i="38"/>
  <c r="D104" i="38"/>
  <c r="C104" i="38"/>
  <c r="B104" i="38"/>
  <c r="A104" i="38"/>
  <c r="N103" i="38"/>
  <c r="M103" i="38"/>
  <c r="L103" i="38"/>
  <c r="K103" i="38"/>
  <c r="J103" i="38"/>
  <c r="I103" i="38"/>
  <c r="H103" i="38"/>
  <c r="G103" i="38"/>
  <c r="F103" i="38"/>
  <c r="E103" i="38"/>
  <c r="D103" i="38"/>
  <c r="C103" i="38"/>
  <c r="B103" i="38"/>
  <c r="A103" i="38"/>
  <c r="N102" i="38"/>
  <c r="M102" i="38"/>
  <c r="L102" i="38"/>
  <c r="K102" i="38"/>
  <c r="J102" i="38"/>
  <c r="I102" i="38"/>
  <c r="H102" i="38"/>
  <c r="G102" i="38"/>
  <c r="F102" i="38"/>
  <c r="E102" i="38"/>
  <c r="D102" i="38"/>
  <c r="C102" i="38"/>
  <c r="B102" i="38"/>
  <c r="A102" i="38"/>
  <c r="N101" i="38"/>
  <c r="M101" i="38"/>
  <c r="L101" i="38"/>
  <c r="K101" i="38"/>
  <c r="J101" i="38"/>
  <c r="I101" i="38"/>
  <c r="H101" i="38"/>
  <c r="G101" i="38"/>
  <c r="F101" i="38"/>
  <c r="E101" i="38"/>
  <c r="D101" i="38"/>
  <c r="C101" i="38"/>
  <c r="B101" i="38"/>
  <c r="A101" i="38"/>
  <c r="N100" i="38"/>
  <c r="M100" i="38"/>
  <c r="L100" i="38"/>
  <c r="K100" i="38"/>
  <c r="J100" i="38"/>
  <c r="I100" i="38"/>
  <c r="H100" i="38"/>
  <c r="G100" i="38"/>
  <c r="F100" i="38"/>
  <c r="E100" i="38"/>
  <c r="D100" i="38"/>
  <c r="C100" i="38"/>
  <c r="B100" i="38"/>
  <c r="A100" i="38"/>
  <c r="N99" i="38"/>
  <c r="M99" i="38"/>
  <c r="L99" i="38"/>
  <c r="K99" i="38"/>
  <c r="J99" i="38"/>
  <c r="I99" i="38"/>
  <c r="H99" i="38"/>
  <c r="G99" i="38"/>
  <c r="F99" i="38"/>
  <c r="E99" i="38"/>
  <c r="D99" i="38"/>
  <c r="C99" i="38"/>
  <c r="B99" i="38"/>
  <c r="A99" i="38"/>
  <c r="N98" i="38"/>
  <c r="M98" i="38"/>
  <c r="L98" i="38"/>
  <c r="K98" i="38"/>
  <c r="J98" i="38"/>
  <c r="I98" i="38"/>
  <c r="H98" i="38"/>
  <c r="G98" i="38"/>
  <c r="F98" i="38"/>
  <c r="E98" i="38"/>
  <c r="D98" i="38"/>
  <c r="C98" i="38"/>
  <c r="B98" i="38"/>
  <c r="A98" i="38"/>
  <c r="N97" i="38"/>
  <c r="M97" i="38"/>
  <c r="L97" i="38"/>
  <c r="K97" i="38"/>
  <c r="J97" i="38"/>
  <c r="I97" i="38"/>
  <c r="H97" i="38"/>
  <c r="G97" i="38"/>
  <c r="F97" i="38"/>
  <c r="E97" i="38"/>
  <c r="D97" i="38"/>
  <c r="C97" i="38"/>
  <c r="B97" i="38"/>
  <c r="A97" i="38"/>
  <c r="N96" i="38"/>
  <c r="M96" i="38"/>
  <c r="L96" i="38"/>
  <c r="K96" i="38"/>
  <c r="J96" i="38"/>
  <c r="I96" i="38"/>
  <c r="H96" i="38"/>
  <c r="G96" i="38"/>
  <c r="F96" i="38"/>
  <c r="E96" i="38"/>
  <c r="D96" i="38"/>
  <c r="C96" i="38"/>
  <c r="B96" i="38"/>
  <c r="A96" i="38"/>
  <c r="N95" i="38"/>
  <c r="M95" i="38"/>
  <c r="L95" i="38"/>
  <c r="K95" i="38"/>
  <c r="J95" i="38"/>
  <c r="I95" i="38"/>
  <c r="H95" i="38"/>
  <c r="G95" i="38"/>
  <c r="F95" i="38"/>
  <c r="E95" i="38"/>
  <c r="D95" i="38"/>
  <c r="C95" i="38"/>
  <c r="B95" i="38"/>
  <c r="A95" i="38"/>
  <c r="N94" i="38"/>
  <c r="M94" i="38"/>
  <c r="L94" i="38"/>
  <c r="K94" i="38"/>
  <c r="J94" i="38"/>
  <c r="I94" i="38"/>
  <c r="H94" i="38"/>
  <c r="G94" i="38"/>
  <c r="F94" i="38"/>
  <c r="E94" i="38"/>
  <c r="D94" i="38"/>
  <c r="C94" i="38"/>
  <c r="B94" i="38"/>
  <c r="A94" i="38"/>
  <c r="N93" i="38"/>
  <c r="M93" i="38"/>
  <c r="L93" i="38"/>
  <c r="K93" i="38"/>
  <c r="J93" i="38"/>
  <c r="I93" i="38"/>
  <c r="H93" i="38"/>
  <c r="G93" i="38"/>
  <c r="F93" i="38"/>
  <c r="E93" i="38"/>
  <c r="D93" i="38"/>
  <c r="C93" i="38"/>
  <c r="B93" i="38"/>
  <c r="A93" i="38"/>
  <c r="N92" i="38"/>
  <c r="M92" i="38"/>
  <c r="L92" i="38"/>
  <c r="K92" i="38"/>
  <c r="J92" i="38"/>
  <c r="I92" i="38"/>
  <c r="H92" i="38"/>
  <c r="G92" i="38"/>
  <c r="F92" i="38"/>
  <c r="E92" i="38"/>
  <c r="D92" i="38"/>
  <c r="C92" i="38"/>
  <c r="B92" i="38"/>
  <c r="A92" i="38"/>
  <c r="N91" i="38"/>
  <c r="M91" i="38"/>
  <c r="L91" i="38"/>
  <c r="K91" i="38"/>
  <c r="J91" i="38"/>
  <c r="I91" i="38"/>
  <c r="H91" i="38"/>
  <c r="G91" i="38"/>
  <c r="F91" i="38"/>
  <c r="E91" i="38"/>
  <c r="D91" i="38"/>
  <c r="C91" i="38"/>
  <c r="B91" i="38"/>
  <c r="A91" i="38"/>
  <c r="N90" i="38"/>
  <c r="M90" i="38"/>
  <c r="L90" i="38"/>
  <c r="K90" i="38"/>
  <c r="J90" i="38"/>
  <c r="I90" i="38"/>
  <c r="H90" i="38"/>
  <c r="G90" i="38"/>
  <c r="F90" i="38"/>
  <c r="E90" i="38"/>
  <c r="D90" i="38"/>
  <c r="C90" i="38"/>
  <c r="B90" i="38"/>
  <c r="A90" i="38"/>
  <c r="N89" i="38"/>
  <c r="M89" i="38"/>
  <c r="L89" i="38"/>
  <c r="K89" i="38"/>
  <c r="J89" i="38"/>
  <c r="I89" i="38"/>
  <c r="H89" i="38"/>
  <c r="G89" i="38"/>
  <c r="F89" i="38"/>
  <c r="E89" i="38"/>
  <c r="D89" i="38"/>
  <c r="C89" i="38"/>
  <c r="B89" i="38"/>
  <c r="A89" i="38"/>
  <c r="N88" i="38"/>
  <c r="M88" i="38"/>
  <c r="L88" i="38"/>
  <c r="K88" i="38"/>
  <c r="J88" i="38"/>
  <c r="I88" i="38"/>
  <c r="H88" i="38"/>
  <c r="G88" i="38"/>
  <c r="F88" i="38"/>
  <c r="E88" i="38"/>
  <c r="D88" i="38"/>
  <c r="C88" i="38"/>
  <c r="B88" i="38"/>
  <c r="A88" i="38"/>
  <c r="N87" i="38"/>
  <c r="M87" i="38"/>
  <c r="L87" i="38"/>
  <c r="K87" i="38"/>
  <c r="J87" i="38"/>
  <c r="I87" i="38"/>
  <c r="H87" i="38"/>
  <c r="G87" i="38"/>
  <c r="F87" i="38"/>
  <c r="E87" i="38"/>
  <c r="D87" i="38"/>
  <c r="C87" i="38"/>
  <c r="B87" i="38"/>
  <c r="A87" i="38"/>
  <c r="N86" i="38"/>
  <c r="M86" i="38"/>
  <c r="L86" i="38"/>
  <c r="K86" i="38"/>
  <c r="J86" i="38"/>
  <c r="I86" i="38"/>
  <c r="H86" i="38"/>
  <c r="G86" i="38"/>
  <c r="F86" i="38"/>
  <c r="E86" i="38"/>
  <c r="D86" i="38"/>
  <c r="C86" i="38"/>
  <c r="B86" i="38"/>
  <c r="A86" i="38"/>
  <c r="N85" i="38"/>
  <c r="M85" i="38"/>
  <c r="L85" i="38"/>
  <c r="K85" i="38"/>
  <c r="J85" i="38"/>
  <c r="I85" i="38"/>
  <c r="H85" i="38"/>
  <c r="G85" i="38"/>
  <c r="F85" i="38"/>
  <c r="E85" i="38"/>
  <c r="D85" i="38"/>
  <c r="C85" i="38"/>
  <c r="B85" i="38"/>
  <c r="A85" i="38"/>
  <c r="N84" i="38"/>
  <c r="M84" i="38"/>
  <c r="L84" i="38"/>
  <c r="K84" i="38"/>
  <c r="J84" i="38"/>
  <c r="I84" i="38"/>
  <c r="H84" i="38"/>
  <c r="G84" i="38"/>
  <c r="F84" i="38"/>
  <c r="E84" i="38"/>
  <c r="D84" i="38"/>
  <c r="C84" i="38"/>
  <c r="B84" i="38"/>
  <c r="A84" i="38"/>
  <c r="N83" i="38"/>
  <c r="M83" i="38"/>
  <c r="L83" i="38"/>
  <c r="K83" i="38"/>
  <c r="J83" i="38"/>
  <c r="I83" i="38"/>
  <c r="H83" i="38"/>
  <c r="G83" i="38"/>
  <c r="F83" i="38"/>
  <c r="E83" i="38"/>
  <c r="D83" i="38"/>
  <c r="C83" i="38"/>
  <c r="B83" i="38"/>
  <c r="A83" i="38"/>
  <c r="N82" i="38"/>
  <c r="M82" i="38"/>
  <c r="L82" i="38"/>
  <c r="K82" i="38"/>
  <c r="J82" i="38"/>
  <c r="I82" i="38"/>
  <c r="H82" i="38"/>
  <c r="G82" i="38"/>
  <c r="F82" i="38"/>
  <c r="E82" i="38"/>
  <c r="D82" i="38"/>
  <c r="C82" i="38"/>
  <c r="B82" i="38"/>
  <c r="A82" i="38"/>
  <c r="N81" i="38"/>
  <c r="M81" i="38"/>
  <c r="L81" i="38"/>
  <c r="K81" i="38"/>
  <c r="J81" i="38"/>
  <c r="I81" i="38"/>
  <c r="H81" i="38"/>
  <c r="G81" i="38"/>
  <c r="F81" i="38"/>
  <c r="E81" i="38"/>
  <c r="D81" i="38"/>
  <c r="C81" i="38"/>
  <c r="B81" i="38"/>
  <c r="A81" i="38"/>
  <c r="N80" i="38"/>
  <c r="M80" i="38"/>
  <c r="L80" i="38"/>
  <c r="K80" i="38"/>
  <c r="J80" i="38"/>
  <c r="I80" i="38"/>
  <c r="H80" i="38"/>
  <c r="G80" i="38"/>
  <c r="F80" i="38"/>
  <c r="E80" i="38"/>
  <c r="D80" i="38"/>
  <c r="C80" i="38"/>
  <c r="B80" i="38"/>
  <c r="A80" i="38"/>
  <c r="N79" i="38"/>
  <c r="M79" i="38"/>
  <c r="L79" i="38"/>
  <c r="K79" i="38"/>
  <c r="J79" i="38"/>
  <c r="I79" i="38"/>
  <c r="H79" i="38"/>
  <c r="G79" i="38"/>
  <c r="F79" i="38"/>
  <c r="E79" i="38"/>
  <c r="D79" i="38"/>
  <c r="C79" i="38"/>
  <c r="B79" i="38"/>
  <c r="A79" i="38"/>
  <c r="N78" i="38"/>
  <c r="M78" i="38"/>
  <c r="L78" i="38"/>
  <c r="K78" i="38"/>
  <c r="J78" i="38"/>
  <c r="I78" i="38"/>
  <c r="H78" i="38"/>
  <c r="G78" i="38"/>
  <c r="F78" i="38"/>
  <c r="E78" i="38"/>
  <c r="D78" i="38"/>
  <c r="C78" i="38"/>
  <c r="B78" i="38"/>
  <c r="A78" i="38"/>
  <c r="N77" i="38"/>
  <c r="M77" i="38"/>
  <c r="L77" i="38"/>
  <c r="K77" i="38"/>
  <c r="J77" i="38"/>
  <c r="I77" i="38"/>
  <c r="H77" i="38"/>
  <c r="G77" i="38"/>
  <c r="F77" i="38"/>
  <c r="E77" i="38"/>
  <c r="D77" i="38"/>
  <c r="C77" i="38"/>
  <c r="B77" i="38"/>
  <c r="A77" i="38"/>
  <c r="N76" i="38"/>
  <c r="M76" i="38"/>
  <c r="L76" i="38"/>
  <c r="K76" i="38"/>
  <c r="J76" i="38"/>
  <c r="I76" i="38"/>
  <c r="H76" i="38"/>
  <c r="G76" i="38"/>
  <c r="F76" i="38"/>
  <c r="E76" i="38"/>
  <c r="D76" i="38"/>
  <c r="C76" i="38"/>
  <c r="B76" i="38"/>
  <c r="A76" i="38"/>
  <c r="N75" i="38"/>
  <c r="M75" i="38"/>
  <c r="L75" i="38"/>
  <c r="K75" i="38"/>
  <c r="J75" i="38"/>
  <c r="I75" i="38"/>
  <c r="H75" i="38"/>
  <c r="G75" i="38"/>
  <c r="F75" i="38"/>
  <c r="E75" i="38"/>
  <c r="D75" i="38"/>
  <c r="C75" i="38"/>
  <c r="B75" i="38"/>
  <c r="A75" i="38"/>
  <c r="N74" i="38"/>
  <c r="M74" i="38"/>
  <c r="L74" i="38"/>
  <c r="K74" i="38"/>
  <c r="J74" i="38"/>
  <c r="I74" i="38"/>
  <c r="H74" i="38"/>
  <c r="G74" i="38"/>
  <c r="F74" i="38"/>
  <c r="E74" i="38"/>
  <c r="D74" i="38"/>
  <c r="C74" i="38"/>
  <c r="B74" i="38"/>
  <c r="A74" i="38"/>
  <c r="N73" i="38"/>
  <c r="M73" i="38"/>
  <c r="L73" i="38"/>
  <c r="K73" i="38"/>
  <c r="J73" i="38"/>
  <c r="I73" i="38"/>
  <c r="H73" i="38"/>
  <c r="G73" i="38"/>
  <c r="F73" i="38"/>
  <c r="E73" i="38"/>
  <c r="D73" i="38"/>
  <c r="C73" i="38"/>
  <c r="B73" i="38"/>
  <c r="A73" i="38"/>
  <c r="N72" i="38"/>
  <c r="M72" i="38"/>
  <c r="L72" i="38"/>
  <c r="K72" i="38"/>
  <c r="J72" i="38"/>
  <c r="I72" i="38"/>
  <c r="H72" i="38"/>
  <c r="G72" i="38"/>
  <c r="F72" i="38"/>
  <c r="E72" i="38"/>
  <c r="D72" i="38"/>
  <c r="C72" i="38"/>
  <c r="B72" i="38"/>
  <c r="A72" i="38"/>
  <c r="N71" i="38"/>
  <c r="M71" i="38"/>
  <c r="L71" i="38"/>
  <c r="K71" i="38"/>
  <c r="J71" i="38"/>
  <c r="I71" i="38"/>
  <c r="H71" i="38"/>
  <c r="G71" i="38"/>
  <c r="F71" i="38"/>
  <c r="E71" i="38"/>
  <c r="D71" i="38"/>
  <c r="C71" i="38"/>
  <c r="B71" i="38"/>
  <c r="A71" i="38"/>
  <c r="N70" i="38"/>
  <c r="M70" i="38"/>
  <c r="L70" i="38"/>
  <c r="K70" i="38"/>
  <c r="J70" i="38"/>
  <c r="I70" i="38"/>
  <c r="H70" i="38"/>
  <c r="G70" i="38"/>
  <c r="F70" i="38"/>
  <c r="E70" i="38"/>
  <c r="D70" i="38"/>
  <c r="C70" i="38"/>
  <c r="B70" i="38"/>
  <c r="A70" i="38"/>
  <c r="N69" i="38"/>
  <c r="M69" i="38"/>
  <c r="L69" i="38"/>
  <c r="K69" i="38"/>
  <c r="J69" i="38"/>
  <c r="I69" i="38"/>
  <c r="H69" i="38"/>
  <c r="G69" i="38"/>
  <c r="F69" i="38"/>
  <c r="E69" i="38"/>
  <c r="D69" i="38"/>
  <c r="C69" i="38"/>
  <c r="B69" i="38"/>
  <c r="A69" i="38"/>
  <c r="N68" i="38"/>
  <c r="M68" i="38"/>
  <c r="L68" i="38"/>
  <c r="K68" i="38"/>
  <c r="J68" i="38"/>
  <c r="I68" i="38"/>
  <c r="H68" i="38"/>
  <c r="G68" i="38"/>
  <c r="F68" i="38"/>
  <c r="E68" i="38"/>
  <c r="D68" i="38"/>
  <c r="C68" i="38"/>
  <c r="B68" i="38"/>
  <c r="A68" i="38"/>
  <c r="N67" i="38"/>
  <c r="M67" i="38"/>
  <c r="L67" i="38"/>
  <c r="K67" i="38"/>
  <c r="J67" i="38"/>
  <c r="I67" i="38"/>
  <c r="H67" i="38"/>
  <c r="G67" i="38"/>
  <c r="F67" i="38"/>
  <c r="E67" i="38"/>
  <c r="D67" i="38"/>
  <c r="C67" i="38"/>
  <c r="B67" i="38"/>
  <c r="A67" i="38"/>
  <c r="N66" i="38"/>
  <c r="M66" i="38"/>
  <c r="L66" i="38"/>
  <c r="K66" i="38"/>
  <c r="J66" i="38"/>
  <c r="I66" i="38"/>
  <c r="H66" i="38"/>
  <c r="G66" i="38"/>
  <c r="F66" i="38"/>
  <c r="E66" i="38"/>
  <c r="D66" i="38"/>
  <c r="C66" i="38"/>
  <c r="B66" i="38"/>
  <c r="A66" i="38"/>
  <c r="N65" i="38"/>
  <c r="M65" i="38"/>
  <c r="L65" i="38"/>
  <c r="K65" i="38"/>
  <c r="J65" i="38"/>
  <c r="I65" i="38"/>
  <c r="H65" i="38"/>
  <c r="G65" i="38"/>
  <c r="F65" i="38"/>
  <c r="E65" i="38"/>
  <c r="D65" i="38"/>
  <c r="C65" i="38"/>
  <c r="B65" i="38"/>
  <c r="A65" i="38"/>
  <c r="N64" i="38"/>
  <c r="M64" i="38"/>
  <c r="L64" i="38"/>
  <c r="K64" i="38"/>
  <c r="J64" i="38"/>
  <c r="I64" i="38"/>
  <c r="H64" i="38"/>
  <c r="G64" i="38"/>
  <c r="F64" i="38"/>
  <c r="E64" i="38"/>
  <c r="D64" i="38"/>
  <c r="C64" i="38"/>
  <c r="B64" i="38"/>
  <c r="A64" i="38"/>
  <c r="N63" i="38"/>
  <c r="M63" i="38"/>
  <c r="L63" i="38"/>
  <c r="K63" i="38"/>
  <c r="J63" i="38"/>
  <c r="I63" i="38"/>
  <c r="H63" i="38"/>
  <c r="G63" i="38"/>
  <c r="F63" i="38"/>
  <c r="E63" i="38"/>
  <c r="D63" i="38"/>
  <c r="C63" i="38"/>
  <c r="B63" i="38"/>
  <c r="A63" i="38"/>
  <c r="N62" i="38"/>
  <c r="M62" i="38"/>
  <c r="L62" i="38"/>
  <c r="K62" i="38"/>
  <c r="J62" i="38"/>
  <c r="I62" i="38"/>
  <c r="H62" i="38"/>
  <c r="G62" i="38"/>
  <c r="F62" i="38"/>
  <c r="E62" i="38"/>
  <c r="D62" i="38"/>
  <c r="C62" i="38"/>
  <c r="B62" i="38"/>
  <c r="A62" i="38"/>
  <c r="N61" i="38"/>
  <c r="M61" i="38"/>
  <c r="L61" i="38"/>
  <c r="K61" i="38"/>
  <c r="J61" i="38"/>
  <c r="I61" i="38"/>
  <c r="H61" i="38"/>
  <c r="G61" i="38"/>
  <c r="F61" i="38"/>
  <c r="E61" i="38"/>
  <c r="D61" i="38"/>
  <c r="C61" i="38"/>
  <c r="B61" i="38"/>
  <c r="A61" i="38"/>
  <c r="N60" i="38"/>
  <c r="M60" i="38"/>
  <c r="L60" i="38"/>
  <c r="K60" i="38"/>
  <c r="J60" i="38"/>
  <c r="I60" i="38"/>
  <c r="H60" i="38"/>
  <c r="G60" i="38"/>
  <c r="F60" i="38"/>
  <c r="E60" i="38"/>
  <c r="D60" i="38"/>
  <c r="C60" i="38"/>
  <c r="B60" i="38"/>
  <c r="A60" i="38"/>
  <c r="N59" i="38"/>
  <c r="M59" i="38"/>
  <c r="L59" i="38"/>
  <c r="K59" i="38"/>
  <c r="J59" i="38"/>
  <c r="I59" i="38"/>
  <c r="H59" i="38"/>
  <c r="G59" i="38"/>
  <c r="F59" i="38"/>
  <c r="E59" i="38"/>
  <c r="D59" i="38"/>
  <c r="C59" i="38"/>
  <c r="B59" i="38"/>
  <c r="A59" i="38"/>
  <c r="N58" i="38"/>
  <c r="M58" i="38"/>
  <c r="L58" i="38"/>
  <c r="K58" i="38"/>
  <c r="J58" i="38"/>
  <c r="I58" i="38"/>
  <c r="H58" i="38"/>
  <c r="G58" i="38"/>
  <c r="F58" i="38"/>
  <c r="E58" i="38"/>
  <c r="D58" i="38"/>
  <c r="C58" i="38"/>
  <c r="B58" i="38"/>
  <c r="A58" i="38"/>
  <c r="N57" i="38"/>
  <c r="M57" i="38"/>
  <c r="L57" i="38"/>
  <c r="K57" i="38"/>
  <c r="J57" i="38"/>
  <c r="I57" i="38"/>
  <c r="H57" i="38"/>
  <c r="G57" i="38"/>
  <c r="F57" i="38"/>
  <c r="E57" i="38"/>
  <c r="D57" i="38"/>
  <c r="C57" i="38"/>
  <c r="B57" i="38"/>
  <c r="A57" i="38"/>
  <c r="N56" i="38"/>
  <c r="M56" i="38"/>
  <c r="L56" i="38"/>
  <c r="K56" i="38"/>
  <c r="J56" i="38"/>
  <c r="I56" i="38"/>
  <c r="H56" i="38"/>
  <c r="G56" i="38"/>
  <c r="F56" i="38"/>
  <c r="E56" i="38"/>
  <c r="D56" i="38"/>
  <c r="C56" i="38"/>
  <c r="B56" i="38"/>
  <c r="A56" i="38"/>
  <c r="N55" i="38"/>
  <c r="M55" i="38"/>
  <c r="L55" i="38"/>
  <c r="K55" i="38"/>
  <c r="J55" i="38"/>
  <c r="I55" i="38"/>
  <c r="H55" i="38"/>
  <c r="G55" i="38"/>
  <c r="F55" i="38"/>
  <c r="E55" i="38"/>
  <c r="D55" i="38"/>
  <c r="C55" i="38"/>
  <c r="B55" i="38"/>
  <c r="A55" i="38"/>
  <c r="N54" i="38"/>
  <c r="M54" i="38"/>
  <c r="L54" i="38"/>
  <c r="K54" i="38"/>
  <c r="J54" i="38"/>
  <c r="I54" i="38"/>
  <c r="H54" i="38"/>
  <c r="G54" i="38"/>
  <c r="F54" i="38"/>
  <c r="E54" i="38"/>
  <c r="D54" i="38"/>
  <c r="C54" i="38"/>
  <c r="B54" i="38"/>
  <c r="A54" i="38"/>
  <c r="P111" i="25"/>
  <c r="O111" i="25"/>
  <c r="N111" i="25"/>
  <c r="M111" i="25"/>
  <c r="L111" i="25"/>
  <c r="K111" i="25"/>
  <c r="J111" i="25"/>
  <c r="I111" i="25"/>
  <c r="H111" i="25"/>
  <c r="G111" i="25"/>
  <c r="F111" i="25"/>
  <c r="E111" i="25"/>
  <c r="D111" i="25"/>
  <c r="C111" i="25"/>
  <c r="B111" i="25"/>
  <c r="A111" i="25"/>
  <c r="P110" i="25"/>
  <c r="O110" i="25"/>
  <c r="N110" i="25"/>
  <c r="M110" i="25"/>
  <c r="L110" i="25"/>
  <c r="K110" i="25"/>
  <c r="J110" i="25"/>
  <c r="I110" i="25"/>
  <c r="H110" i="25"/>
  <c r="G110" i="25"/>
  <c r="F110" i="25"/>
  <c r="E110" i="25"/>
  <c r="D110" i="25"/>
  <c r="C110" i="25"/>
  <c r="B110" i="25"/>
  <c r="A110" i="25"/>
  <c r="P109" i="25"/>
  <c r="O109" i="25"/>
  <c r="N109" i="25"/>
  <c r="M109" i="25"/>
  <c r="L109" i="25"/>
  <c r="K109" i="25"/>
  <c r="J109" i="25"/>
  <c r="I109" i="25"/>
  <c r="H109" i="25"/>
  <c r="G109" i="25"/>
  <c r="F109" i="25"/>
  <c r="E109" i="25"/>
  <c r="D109" i="25"/>
  <c r="C109" i="25"/>
  <c r="B109" i="25"/>
  <c r="A109" i="25"/>
  <c r="P108" i="25"/>
  <c r="O108" i="25"/>
  <c r="N108" i="25"/>
  <c r="M108" i="25"/>
  <c r="L108" i="25"/>
  <c r="K108" i="25"/>
  <c r="J108" i="25"/>
  <c r="I108" i="25"/>
  <c r="H108" i="25"/>
  <c r="G108" i="25"/>
  <c r="F108" i="25"/>
  <c r="E108" i="25"/>
  <c r="D108" i="25"/>
  <c r="C108" i="25"/>
  <c r="B108" i="25"/>
  <c r="A108" i="25"/>
  <c r="P107" i="25"/>
  <c r="O107" i="25"/>
  <c r="N107" i="25"/>
  <c r="M107" i="25"/>
  <c r="L107" i="25"/>
  <c r="K107" i="25"/>
  <c r="J107" i="25"/>
  <c r="I107" i="25"/>
  <c r="H107" i="25"/>
  <c r="G107" i="25"/>
  <c r="F107" i="25"/>
  <c r="E107" i="25"/>
  <c r="D107" i="25"/>
  <c r="C107" i="25"/>
  <c r="B107" i="25"/>
  <c r="A107" i="25"/>
  <c r="P106" i="25"/>
  <c r="O106" i="25"/>
  <c r="N106" i="25"/>
  <c r="M106" i="25"/>
  <c r="L106" i="25"/>
  <c r="K106" i="25"/>
  <c r="J106" i="25"/>
  <c r="I106" i="25"/>
  <c r="H106" i="25"/>
  <c r="G106" i="25"/>
  <c r="F106" i="25"/>
  <c r="E106" i="25"/>
  <c r="D106" i="25"/>
  <c r="C106" i="25"/>
  <c r="B106" i="25"/>
  <c r="A106" i="25"/>
  <c r="P105" i="25"/>
  <c r="O105" i="25"/>
  <c r="N105" i="25"/>
  <c r="M105" i="25"/>
  <c r="L105" i="25"/>
  <c r="K105" i="25"/>
  <c r="J105" i="25"/>
  <c r="I105" i="25"/>
  <c r="H105" i="25"/>
  <c r="G105" i="25"/>
  <c r="F105" i="25"/>
  <c r="E105" i="25"/>
  <c r="D105" i="25"/>
  <c r="C105" i="25"/>
  <c r="B105" i="25"/>
  <c r="A105" i="25"/>
  <c r="P104" i="25"/>
  <c r="O104" i="25"/>
  <c r="N104" i="25"/>
  <c r="M104" i="25"/>
  <c r="L104" i="25"/>
  <c r="K104" i="25"/>
  <c r="J104" i="25"/>
  <c r="I104" i="25"/>
  <c r="H104" i="25"/>
  <c r="G104" i="25"/>
  <c r="F104" i="25"/>
  <c r="E104" i="25"/>
  <c r="D104" i="25"/>
  <c r="C104" i="25"/>
  <c r="B104" i="25"/>
  <c r="A104" i="25"/>
  <c r="P103" i="25"/>
  <c r="O103" i="25"/>
  <c r="N103" i="25"/>
  <c r="M103" i="25"/>
  <c r="L103" i="25"/>
  <c r="K103" i="25"/>
  <c r="J103" i="25"/>
  <c r="I103" i="25"/>
  <c r="H103" i="25"/>
  <c r="G103" i="25"/>
  <c r="F103" i="25"/>
  <c r="E103" i="25"/>
  <c r="D103" i="25"/>
  <c r="C103" i="25"/>
  <c r="B103" i="25"/>
  <c r="A103" i="25"/>
  <c r="P102" i="25"/>
  <c r="O102" i="25"/>
  <c r="N102" i="25"/>
  <c r="M102" i="25"/>
  <c r="L102" i="25"/>
  <c r="K102" i="25"/>
  <c r="J102" i="25"/>
  <c r="I102" i="25"/>
  <c r="H102" i="25"/>
  <c r="G102" i="25"/>
  <c r="F102" i="25"/>
  <c r="E102" i="25"/>
  <c r="D102" i="25"/>
  <c r="C102" i="25"/>
  <c r="B102" i="25"/>
  <c r="A102" i="25"/>
  <c r="P101" i="25"/>
  <c r="O101" i="25"/>
  <c r="N101" i="25"/>
  <c r="M101" i="25"/>
  <c r="L101" i="25"/>
  <c r="K101" i="25"/>
  <c r="J101" i="25"/>
  <c r="I101" i="25"/>
  <c r="H101" i="25"/>
  <c r="G101" i="25"/>
  <c r="F101" i="25"/>
  <c r="E101" i="25"/>
  <c r="D101" i="25"/>
  <c r="C101" i="25"/>
  <c r="B101" i="25"/>
  <c r="A101" i="25"/>
  <c r="P100" i="25"/>
  <c r="O100" i="25"/>
  <c r="N100" i="25"/>
  <c r="M100" i="25"/>
  <c r="L100" i="25"/>
  <c r="K100" i="25"/>
  <c r="J100" i="25"/>
  <c r="I100" i="25"/>
  <c r="H100" i="25"/>
  <c r="G100" i="25"/>
  <c r="F100" i="25"/>
  <c r="E100" i="25"/>
  <c r="D100" i="25"/>
  <c r="C100" i="25"/>
  <c r="B100" i="25"/>
  <c r="A100" i="25"/>
  <c r="P99" i="25"/>
  <c r="O99" i="25"/>
  <c r="N99" i="25"/>
  <c r="M99" i="25"/>
  <c r="L99" i="25"/>
  <c r="K99" i="25"/>
  <c r="J99" i="25"/>
  <c r="I99" i="25"/>
  <c r="H99" i="25"/>
  <c r="G99" i="25"/>
  <c r="F99" i="25"/>
  <c r="E99" i="25"/>
  <c r="D99" i="25"/>
  <c r="C99" i="25"/>
  <c r="B99" i="25"/>
  <c r="A99" i="25"/>
  <c r="P98" i="25"/>
  <c r="O98" i="25"/>
  <c r="N98" i="25"/>
  <c r="M98" i="25"/>
  <c r="L98" i="25"/>
  <c r="K98" i="25"/>
  <c r="J98" i="25"/>
  <c r="I98" i="25"/>
  <c r="H98" i="25"/>
  <c r="G98" i="25"/>
  <c r="F98" i="25"/>
  <c r="E98" i="25"/>
  <c r="D98" i="25"/>
  <c r="C98" i="25"/>
  <c r="B98" i="25"/>
  <c r="A98" i="25"/>
  <c r="P97" i="25"/>
  <c r="O97" i="25"/>
  <c r="N97" i="25"/>
  <c r="M97" i="25"/>
  <c r="L97" i="25"/>
  <c r="K97" i="25"/>
  <c r="J97" i="25"/>
  <c r="I97" i="25"/>
  <c r="H97" i="25"/>
  <c r="G97" i="25"/>
  <c r="F97" i="25"/>
  <c r="E97" i="25"/>
  <c r="D97" i="25"/>
  <c r="C97" i="25"/>
  <c r="B97" i="25"/>
  <c r="A97" i="25"/>
  <c r="P96" i="25"/>
  <c r="O96" i="25"/>
  <c r="N96" i="25"/>
  <c r="M96" i="25"/>
  <c r="L96" i="25"/>
  <c r="K96" i="25"/>
  <c r="J96" i="25"/>
  <c r="I96" i="25"/>
  <c r="H96" i="25"/>
  <c r="G96" i="25"/>
  <c r="F96" i="25"/>
  <c r="E96" i="25"/>
  <c r="D96" i="25"/>
  <c r="C96" i="25"/>
  <c r="B96" i="25"/>
  <c r="A96" i="25"/>
  <c r="P95" i="25"/>
  <c r="O95" i="25"/>
  <c r="N95" i="25"/>
  <c r="M95" i="25"/>
  <c r="L95" i="25"/>
  <c r="K95" i="25"/>
  <c r="J95" i="25"/>
  <c r="I95" i="25"/>
  <c r="H95" i="25"/>
  <c r="G95" i="25"/>
  <c r="F95" i="25"/>
  <c r="E95" i="25"/>
  <c r="D95" i="25"/>
  <c r="C95" i="25"/>
  <c r="B95" i="25"/>
  <c r="A95" i="25"/>
  <c r="P94" i="25"/>
  <c r="O94" i="25"/>
  <c r="N94" i="25"/>
  <c r="M94" i="25"/>
  <c r="L94" i="25"/>
  <c r="K94" i="25"/>
  <c r="J94" i="25"/>
  <c r="I94" i="25"/>
  <c r="H94" i="25"/>
  <c r="G94" i="25"/>
  <c r="F94" i="25"/>
  <c r="E94" i="25"/>
  <c r="D94" i="25"/>
  <c r="C94" i="25"/>
  <c r="B94" i="25"/>
  <c r="A94" i="25"/>
  <c r="P93" i="25"/>
  <c r="O93" i="25"/>
  <c r="N93" i="25"/>
  <c r="M93" i="25"/>
  <c r="L93" i="25"/>
  <c r="K93" i="25"/>
  <c r="J93" i="25"/>
  <c r="I93" i="25"/>
  <c r="H93" i="25"/>
  <c r="G93" i="25"/>
  <c r="F93" i="25"/>
  <c r="E93" i="25"/>
  <c r="D93" i="25"/>
  <c r="C93" i="25"/>
  <c r="B93" i="25"/>
  <c r="A93" i="25"/>
  <c r="P92" i="25"/>
  <c r="O92" i="25"/>
  <c r="N92" i="25"/>
  <c r="M92" i="25"/>
  <c r="L92" i="25"/>
  <c r="K92" i="25"/>
  <c r="J92" i="25"/>
  <c r="I92" i="25"/>
  <c r="H92" i="25"/>
  <c r="G92" i="25"/>
  <c r="F92" i="25"/>
  <c r="E92" i="25"/>
  <c r="D92" i="25"/>
  <c r="C92" i="25"/>
  <c r="B92" i="25"/>
  <c r="A92" i="25"/>
  <c r="P91" i="25"/>
  <c r="O91" i="25"/>
  <c r="N91" i="25"/>
  <c r="M91" i="25"/>
  <c r="L91" i="25"/>
  <c r="K91" i="25"/>
  <c r="J91" i="25"/>
  <c r="I91" i="25"/>
  <c r="H91" i="25"/>
  <c r="G91" i="25"/>
  <c r="F91" i="25"/>
  <c r="E91" i="25"/>
  <c r="D91" i="25"/>
  <c r="C91" i="25"/>
  <c r="B91" i="25"/>
  <c r="A91" i="25"/>
  <c r="P90" i="25"/>
  <c r="O90" i="25"/>
  <c r="N90" i="25"/>
  <c r="M90" i="25"/>
  <c r="L90" i="25"/>
  <c r="K90" i="25"/>
  <c r="J90" i="25"/>
  <c r="I90" i="25"/>
  <c r="H90" i="25"/>
  <c r="G90" i="25"/>
  <c r="F90" i="25"/>
  <c r="E90" i="25"/>
  <c r="D90" i="25"/>
  <c r="C90" i="25"/>
  <c r="B90" i="25"/>
  <c r="A90" i="25"/>
  <c r="P89" i="25"/>
  <c r="O89" i="25"/>
  <c r="N89" i="25"/>
  <c r="M89" i="25"/>
  <c r="L89" i="25"/>
  <c r="K89" i="25"/>
  <c r="J89" i="25"/>
  <c r="I89" i="25"/>
  <c r="H89" i="25"/>
  <c r="G89" i="25"/>
  <c r="F89" i="25"/>
  <c r="E89" i="25"/>
  <c r="D89" i="25"/>
  <c r="C89" i="25"/>
  <c r="B89" i="25"/>
  <c r="A89" i="25"/>
  <c r="P88" i="25"/>
  <c r="O88" i="25"/>
  <c r="N88" i="25"/>
  <c r="M88" i="25"/>
  <c r="L88" i="25"/>
  <c r="K88" i="25"/>
  <c r="J88" i="25"/>
  <c r="I88" i="25"/>
  <c r="H88" i="25"/>
  <c r="G88" i="25"/>
  <c r="F88" i="25"/>
  <c r="E88" i="25"/>
  <c r="D88" i="25"/>
  <c r="C88" i="25"/>
  <c r="B88" i="25"/>
  <c r="A88" i="25"/>
  <c r="N14" i="39" l="1"/>
  <c r="N26" i="39" s="1"/>
  <c r="R2" i="39"/>
  <c r="R14" i="39" s="1"/>
  <c r="R26" i="39" s="1"/>
  <c r="O14" i="39"/>
  <c r="O26" i="39" s="1"/>
  <c r="S2" i="39"/>
  <c r="S14" i="39" s="1"/>
  <c r="S26" i="39" s="1"/>
  <c r="P14" i="39"/>
  <c r="P26" i="39" s="1"/>
  <c r="T2" i="39"/>
  <c r="T14" i="39" s="1"/>
  <c r="T26" i="39" s="1"/>
  <c r="P34" i="16" l="1"/>
  <c r="P6" i="16" l="1"/>
  <c r="P7" i="16"/>
  <c r="C8" i="16"/>
  <c r="B4" i="34" l="1"/>
  <c r="B3" i="34" s="1"/>
</calcChain>
</file>

<file path=xl/sharedStrings.xml><?xml version="1.0" encoding="utf-8"?>
<sst xmlns="http://schemas.openxmlformats.org/spreadsheetml/2006/main" count="565" uniqueCount="370">
  <si>
    <t>Date</t>
  </si>
  <si>
    <t>Data Start</t>
  </si>
  <si>
    <t>Data Today</t>
  </si>
  <si>
    <t>Num Year</t>
  </si>
  <si>
    <t>EUR (BL)</t>
  </si>
  <si>
    <t>Last_Price</t>
  </si>
  <si>
    <t>r(t,T)</t>
  </si>
  <si>
    <t>Tenor</t>
  </si>
  <si>
    <t>UpFront Fee</t>
  </si>
  <si>
    <t>Exit Fee</t>
  </si>
  <si>
    <t>PRODUCT PARAMETERS</t>
  </si>
  <si>
    <t>Num Sim</t>
  </si>
  <si>
    <t>Investment</t>
  </si>
  <si>
    <t>Rating</t>
  </si>
  <si>
    <t>Type</t>
  </si>
  <si>
    <t>Isin</t>
  </si>
  <si>
    <t>Maturity</t>
  </si>
  <si>
    <t>Price</t>
  </si>
  <si>
    <t>Category PRIIP</t>
  </si>
  <si>
    <t>Freq</t>
  </si>
  <si>
    <t>Bloom</t>
  </si>
  <si>
    <t>Short Name</t>
  </si>
  <si>
    <t>Long Name</t>
  </si>
  <si>
    <t>Cat</t>
  </si>
  <si>
    <t>Fixing Asian</t>
  </si>
  <si>
    <t>Y o N</t>
  </si>
  <si>
    <t>Y</t>
  </si>
  <si>
    <t>Percentile Scenarios</t>
  </si>
  <si>
    <t>Stress Scen</t>
  </si>
  <si>
    <t>Pricing</t>
  </si>
  <si>
    <t>Fixing Date</t>
  </si>
  <si>
    <t>SIMULATION PARAMETERS</t>
  </si>
  <si>
    <t>SRI</t>
  </si>
  <si>
    <t>VEV</t>
  </si>
  <si>
    <t>MRM</t>
  </si>
  <si>
    <t>CRM</t>
  </si>
  <si>
    <t>Shift</t>
  </si>
  <si>
    <t>Tenor (month)</t>
  </si>
  <si>
    <t>Figure</t>
  </si>
  <si>
    <t>Asset</t>
  </si>
  <si>
    <t>RISK ANALYSIS</t>
  </si>
  <si>
    <t>PERFORMANCE SCENARIOS</t>
  </si>
  <si>
    <t>SCENARIOS</t>
  </si>
  <si>
    <t>EQY_DVD_YLD_12M</t>
  </si>
  <si>
    <t>Correction</t>
  </si>
  <si>
    <t>PX_LAST</t>
  </si>
  <si>
    <t>Period</t>
  </si>
  <si>
    <t>D</t>
  </si>
  <si>
    <t>Currency</t>
  </si>
  <si>
    <t>Pricing Source</t>
  </si>
  <si>
    <t>IMIX</t>
  </si>
  <si>
    <t>HISTORICAL BLOOMBERG PRICES</t>
  </si>
  <si>
    <t>HISTORICAL BLOOMBERG DIVIDENDS</t>
  </si>
  <si>
    <t>HISTORICAL BLOOMBERG CURRENCY</t>
  </si>
  <si>
    <t>DESCRIPTION</t>
  </si>
  <si>
    <t>PRODUCT DATES</t>
  </si>
  <si>
    <t>PRODUCT PAYOFF</t>
  </si>
  <si>
    <t>EUR001W Index</t>
  </si>
  <si>
    <t>EUR001M Index</t>
  </si>
  <si>
    <t>EUR003M Index</t>
  </si>
  <si>
    <t>EUR006M Index</t>
  </si>
  <si>
    <t>STEP 1 (Downloand -&gt; Bloomberg)</t>
  </si>
  <si>
    <t>STEP 3 (Work -&gt; Matlab)</t>
  </si>
  <si>
    <t>STEP 4 (Import -&gt; Excel)</t>
  </si>
  <si>
    <t>Sim Type</t>
  </si>
  <si>
    <t>Boot</t>
  </si>
  <si>
    <t>Type Sim</t>
  </si>
  <si>
    <t>HISTORICAL BLOOMBERG DATA</t>
  </si>
  <si>
    <t>Para</t>
  </si>
  <si>
    <t>Value</t>
  </si>
  <si>
    <t>Name</t>
  </si>
  <si>
    <t>Frequency</t>
  </si>
  <si>
    <t>Yellow Key</t>
  </si>
  <si>
    <t>Bloomberg Code</t>
  </si>
  <si>
    <t>Pricing Date</t>
  </si>
  <si>
    <t>Risk Factor</t>
  </si>
  <si>
    <t>EUR CURVE</t>
  </si>
  <si>
    <t>USD CURVE</t>
  </si>
  <si>
    <t>JPY CURVE</t>
  </si>
  <si>
    <t>USD (BL)</t>
  </si>
  <si>
    <t>JPY (BL)</t>
  </si>
  <si>
    <t>STEP 2 (Upload -&gt; MATLAB)</t>
  </si>
  <si>
    <t>Currency Und</t>
  </si>
  <si>
    <t>Coupon Freq</t>
  </si>
  <si>
    <t>US00O/N Index</t>
  </si>
  <si>
    <t>US0001W Index</t>
  </si>
  <si>
    <t>US0001M Index</t>
  </si>
  <si>
    <t>US0002M Index</t>
  </si>
  <si>
    <t>US0003M Index</t>
  </si>
  <si>
    <t>US0006M Index</t>
  </si>
  <si>
    <t>US0012M Index</t>
  </si>
  <si>
    <t>I05202Y Index</t>
  </si>
  <si>
    <t>I05203Y Index</t>
  </si>
  <si>
    <t>I05204Y Index</t>
  </si>
  <si>
    <t>I05205Y Index</t>
  </si>
  <si>
    <t>I05206Y Index</t>
  </si>
  <si>
    <t>I05207Y Index</t>
  </si>
  <si>
    <t>I05208Y Index</t>
  </si>
  <si>
    <t>I05209Y Index</t>
  </si>
  <si>
    <t>I05210Y Index</t>
  </si>
  <si>
    <t>I05215Y Index</t>
  </si>
  <si>
    <t>I05220Y Index</t>
  </si>
  <si>
    <t>JY00S/N Index</t>
  </si>
  <si>
    <t>JY0001W Index</t>
  </si>
  <si>
    <t>JY0001M Index</t>
  </si>
  <si>
    <t>JY0002M Index</t>
  </si>
  <si>
    <t>JY0003M Index</t>
  </si>
  <si>
    <t>JY0006M Index</t>
  </si>
  <si>
    <t>JY0012M Index</t>
  </si>
  <si>
    <t>I05602Y Index</t>
  </si>
  <si>
    <t>I05603Y Index</t>
  </si>
  <si>
    <t>I05604Y Index</t>
  </si>
  <si>
    <t>I05605Y Index</t>
  </si>
  <si>
    <t>I05606Y Index</t>
  </si>
  <si>
    <t>I05607Y Index</t>
  </si>
  <si>
    <t>I05608Y Index</t>
  </si>
  <si>
    <t>I05609Y Index</t>
  </si>
  <si>
    <t>I05610Y Index</t>
  </si>
  <si>
    <t>I05615Y Index</t>
  </si>
  <si>
    <t>I05620Y Index</t>
  </si>
  <si>
    <t>I05630Y Index</t>
  </si>
  <si>
    <t>GBP CURVE</t>
  </si>
  <si>
    <t>BP00O/N Index</t>
  </si>
  <si>
    <t>BP0001W Index</t>
  </si>
  <si>
    <t>BP0001M Index</t>
  </si>
  <si>
    <t>BP0002M Index</t>
  </si>
  <si>
    <t>BP0003M Index</t>
  </si>
  <si>
    <t>BP0006M Index</t>
  </si>
  <si>
    <t>BP0012M Index</t>
  </si>
  <si>
    <t>I05502Y Index</t>
  </si>
  <si>
    <t>I05503Y Index</t>
  </si>
  <si>
    <t>I05504Y Index</t>
  </si>
  <si>
    <t>I05505Y Index</t>
  </si>
  <si>
    <t>I05506Y Index</t>
  </si>
  <si>
    <t>I05507Y Index</t>
  </si>
  <si>
    <t>I05508Y Index</t>
  </si>
  <si>
    <t>I05509Y Index</t>
  </si>
  <si>
    <t>I05510Y Index</t>
  </si>
  <si>
    <t>I05515Y Index</t>
  </si>
  <si>
    <t>I05520Y Index</t>
  </si>
  <si>
    <t>I05530Y Index</t>
  </si>
  <si>
    <t>GBP (BL)</t>
  </si>
  <si>
    <t>Curr Und</t>
  </si>
  <si>
    <t>Curr Prod</t>
  </si>
  <si>
    <t>Distribution Fee</t>
  </si>
  <si>
    <t>Management Fee</t>
  </si>
  <si>
    <t>Issue Price</t>
  </si>
  <si>
    <t>Float Pay Date</t>
  </si>
  <si>
    <t>Basis Freq Coupon</t>
  </si>
  <si>
    <t>Frequency Data</t>
  </si>
  <si>
    <t>B5</t>
  </si>
  <si>
    <t>B2</t>
  </si>
  <si>
    <t>B3</t>
  </si>
  <si>
    <t>B4</t>
  </si>
  <si>
    <t>Total Cost</t>
  </si>
  <si>
    <t>Coupon</t>
  </si>
  <si>
    <t>Payoff</t>
  </si>
  <si>
    <t>Payment Date</t>
  </si>
  <si>
    <t>Stress</t>
  </si>
  <si>
    <t>Unfavourable</t>
  </si>
  <si>
    <t>Moderate</t>
  </si>
  <si>
    <t>Favourable</t>
  </si>
  <si>
    <t>COST SCENARIOS</t>
  </si>
  <si>
    <t>MODERATE</t>
  </si>
  <si>
    <t>Fix (1Y)</t>
  </si>
  <si>
    <t>Float (3Y)</t>
  </si>
  <si>
    <t>PX_ASK</t>
  </si>
  <si>
    <t>New</t>
  </si>
  <si>
    <t>Performance</t>
  </si>
  <si>
    <t>DRM VALUES</t>
  </si>
  <si>
    <t>MOD VALUES</t>
  </si>
  <si>
    <t>Delta</t>
  </si>
  <si>
    <t>1 year</t>
  </si>
  <si>
    <t>RHP</t>
  </si>
  <si>
    <t>Stress Scenario</t>
  </si>
  <si>
    <t>Unfavorable Scenario</t>
  </si>
  <si>
    <t>Moderate Scenario</t>
  </si>
  <si>
    <t>Favorable Scenario</t>
  </si>
  <si>
    <t>Total Costs</t>
  </si>
  <si>
    <t>CHECK</t>
  </si>
  <si>
    <t>Impact on Return (RIY) per year</t>
  </si>
  <si>
    <t>Market Risk</t>
  </si>
  <si>
    <t xml:space="preserve">  Quantile 2.5%</t>
  </si>
  <si>
    <t xml:space="preserve">  VaR Equivalent Volatility</t>
  </si>
  <si>
    <t>CONF INF (1%)</t>
  </si>
  <si>
    <t>CONF SUP (99%)</t>
  </si>
  <si>
    <t>CONF INT</t>
  </si>
  <si>
    <t>2 years</t>
  </si>
  <si>
    <t>Gross Cost</t>
  </si>
  <si>
    <t>Net Cost</t>
  </si>
  <si>
    <t>EUR</t>
  </si>
  <si>
    <t>1Y</t>
  </si>
  <si>
    <t>2Y</t>
  </si>
  <si>
    <t>B1</t>
  </si>
  <si>
    <t>Fix (2Y)</t>
  </si>
  <si>
    <t>BBB</t>
  </si>
  <si>
    <t>Fix (3Y)</t>
  </si>
  <si>
    <t>Data Freq</t>
  </si>
  <si>
    <t>DRM 3</t>
  </si>
  <si>
    <t>B6</t>
  </si>
  <si>
    <t>B7</t>
  </si>
  <si>
    <t>B8</t>
  </si>
  <si>
    <t>B9</t>
  </si>
  <si>
    <t>B10</t>
  </si>
  <si>
    <t>B11</t>
  </si>
  <si>
    <t>B12</t>
  </si>
  <si>
    <t>B13</t>
  </si>
  <si>
    <t>B14</t>
  </si>
  <si>
    <t>B15</t>
  </si>
  <si>
    <t>B16</t>
  </si>
  <si>
    <t>B17</t>
  </si>
  <si>
    <t>B18</t>
  </si>
  <si>
    <t>B19</t>
  </si>
  <si>
    <t>B20</t>
  </si>
  <si>
    <t>B21</t>
  </si>
  <si>
    <t>B22</t>
  </si>
  <si>
    <t>B23</t>
  </si>
  <si>
    <t>B24</t>
  </si>
  <si>
    <t>B25</t>
  </si>
  <si>
    <t>B26</t>
  </si>
  <si>
    <t>B27</t>
  </si>
  <si>
    <t>B28</t>
  </si>
  <si>
    <t>B29</t>
  </si>
  <si>
    <t>B30</t>
  </si>
  <si>
    <t>B31</t>
  </si>
  <si>
    <t>B32</t>
  </si>
  <si>
    <t>B33</t>
  </si>
  <si>
    <t>B34</t>
  </si>
  <si>
    <t>B35</t>
  </si>
  <si>
    <t>B36</t>
  </si>
  <si>
    <t>B37</t>
  </si>
  <si>
    <t>B38</t>
  </si>
  <si>
    <t>B39</t>
  </si>
  <si>
    <t>B40</t>
  </si>
  <si>
    <t>B41</t>
  </si>
  <si>
    <t>B42</t>
  </si>
  <si>
    <t>B43</t>
  </si>
  <si>
    <t>B44</t>
  </si>
  <si>
    <t>B45</t>
  </si>
  <si>
    <t>B46</t>
  </si>
  <si>
    <t>B47</t>
  </si>
  <si>
    <t>B48</t>
  </si>
  <si>
    <t>B49</t>
  </si>
  <si>
    <t>B50</t>
  </si>
  <si>
    <t>B51</t>
  </si>
  <si>
    <t>B52</t>
  </si>
  <si>
    <t>B53</t>
  </si>
  <si>
    <t>B54</t>
  </si>
  <si>
    <t>B55</t>
  </si>
  <si>
    <t>B56</t>
  </si>
  <si>
    <t>B57</t>
  </si>
  <si>
    <t>B58</t>
  </si>
  <si>
    <t>B59</t>
  </si>
  <si>
    <t>B60</t>
  </si>
  <si>
    <t>B61</t>
  </si>
  <si>
    <t>B62</t>
  </si>
  <si>
    <t>B63</t>
  </si>
  <si>
    <t>B64</t>
  </si>
  <si>
    <t>B65</t>
  </si>
  <si>
    <t>B66</t>
  </si>
  <si>
    <t>B67</t>
  </si>
  <si>
    <t>B68</t>
  </si>
  <si>
    <t>B69</t>
  </si>
  <si>
    <t>B70</t>
  </si>
  <si>
    <t>B71</t>
  </si>
  <si>
    <t>B72</t>
  </si>
  <si>
    <t>B73</t>
  </si>
  <si>
    <t>B74</t>
  </si>
  <si>
    <t>B75</t>
  </si>
  <si>
    <t>B76</t>
  </si>
  <si>
    <t>B77</t>
  </si>
  <si>
    <t>B78</t>
  </si>
  <si>
    <t>B79</t>
  </si>
  <si>
    <t>B80</t>
  </si>
  <si>
    <t>B81</t>
  </si>
  <si>
    <t>B82</t>
  </si>
  <si>
    <t>B83</t>
  </si>
  <si>
    <t>B84</t>
  </si>
  <si>
    <t>B85</t>
  </si>
  <si>
    <t>B86</t>
  </si>
  <si>
    <t>B87</t>
  </si>
  <si>
    <t>B88</t>
  </si>
  <si>
    <t>B89</t>
  </si>
  <si>
    <t>B90</t>
  </si>
  <si>
    <t>B91</t>
  </si>
  <si>
    <t>B92</t>
  </si>
  <si>
    <t>B93</t>
  </si>
  <si>
    <t>B94</t>
  </si>
  <si>
    <t>B95</t>
  </si>
  <si>
    <t>B96</t>
  </si>
  <si>
    <t>B97</t>
  </si>
  <si>
    <t>B98</t>
  </si>
  <si>
    <t>B99</t>
  </si>
  <si>
    <t>B100</t>
  </si>
  <si>
    <t>B101</t>
  </si>
  <si>
    <t>B102</t>
  </si>
  <si>
    <t>B103</t>
  </si>
  <si>
    <t>B104</t>
  </si>
  <si>
    <t>B105</t>
  </si>
  <si>
    <t>B106</t>
  </si>
  <si>
    <t>B107</t>
  </si>
  <si>
    <t>B108</t>
  </si>
  <si>
    <t>B109</t>
  </si>
  <si>
    <t>B110</t>
  </si>
  <si>
    <t>B111</t>
  </si>
  <si>
    <t>B112</t>
  </si>
  <si>
    <t>B113</t>
  </si>
  <si>
    <t>B114</t>
  </si>
  <si>
    <t>B115</t>
  </si>
  <si>
    <t>B116</t>
  </si>
  <si>
    <t>B117</t>
  </si>
  <si>
    <t>B118</t>
  </si>
  <si>
    <t>B119</t>
  </si>
  <si>
    <t>B120</t>
  </si>
  <si>
    <t>B121</t>
  </si>
  <si>
    <t>B122</t>
  </si>
  <si>
    <t>B123</t>
  </si>
  <si>
    <t>B124</t>
  </si>
  <si>
    <t>B125</t>
  </si>
  <si>
    <t>B126</t>
  </si>
  <si>
    <t>B127</t>
  </si>
  <si>
    <t>B128</t>
  </si>
  <si>
    <t>B129</t>
  </si>
  <si>
    <t>B130</t>
  </si>
  <si>
    <t>B131</t>
  </si>
  <si>
    <t>B132</t>
  </si>
  <si>
    <t>B133</t>
  </si>
  <si>
    <t>B134</t>
  </si>
  <si>
    <t>B135</t>
  </si>
  <si>
    <t>B136</t>
  </si>
  <si>
    <t>B137</t>
  </si>
  <si>
    <t>B138</t>
  </si>
  <si>
    <t>B139</t>
  </si>
  <si>
    <t>B140</t>
  </si>
  <si>
    <t>B141</t>
  </si>
  <si>
    <t>B142</t>
  </si>
  <si>
    <t>B143</t>
  </si>
  <si>
    <t>B144</t>
  </si>
  <si>
    <t>B145</t>
  </si>
  <si>
    <t>B146</t>
  </si>
  <si>
    <t>WOATD</t>
  </si>
  <si>
    <t>IHP 1/3/21</t>
  </si>
  <si>
    <t>Delta Funding</t>
  </si>
  <si>
    <t>EUSA1 Curncy</t>
  </si>
  <si>
    <t>EUSA2 Curncy</t>
  </si>
  <si>
    <t>EUSA3 Curncy</t>
  </si>
  <si>
    <t>EUSA4 Curncy</t>
  </si>
  <si>
    <t>EUSA5 Curncy</t>
  </si>
  <si>
    <t>EUSA6 Curncy</t>
  </si>
  <si>
    <t>EUSA7 Curncy</t>
  </si>
  <si>
    <t>EUSA8 Curncy</t>
  </si>
  <si>
    <t>EUSA9 Curncy</t>
  </si>
  <si>
    <t>EUSA10 Curncy</t>
  </si>
  <si>
    <t>EUSA30 Curncy</t>
  </si>
  <si>
    <t>XS1978002167</t>
  </si>
  <si>
    <t>SX5E</t>
  </si>
  <si>
    <t>Index</t>
  </si>
  <si>
    <t>EURO STOXX 50</t>
  </si>
  <si>
    <t>FTSE MIB</t>
  </si>
  <si>
    <t>FTSEMIB</t>
  </si>
  <si>
    <t>#N/A Invalid Security</t>
  </si>
  <si>
    <t>Valutaz Digital</t>
  </si>
  <si>
    <t>Barriera</t>
  </si>
  <si>
    <t>Coupon Digital</t>
  </si>
  <si>
    <t>Pagam barriera 1</t>
  </si>
  <si>
    <t xml:space="preserve">Effetto digital (1= digital, 0=no digital) </t>
  </si>
  <si>
    <t>effetto autocall (1=autocall, 0=no autocall)</t>
  </si>
  <si>
    <t>Coupon fix</t>
  </si>
  <si>
    <t>autocall</t>
  </si>
  <si>
    <t>Pagam barriera 2 (+digital a scadenza)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</si>
</sst>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&quot;€&quot;\ #,##0;\-&quot;€&quot;\ #,##0"/>
    <numFmt numFmtId="165" formatCode="_-&quot;€&quot;\ * #,##0.00_-;\-&quot;€&quot;\ * #,##0.00_-;_-&quot;€&quot;\ * &quot;-&quot;??_-;_-@_-"/>
    <numFmt numFmtId="166" formatCode="_-* #,##0.00_-;\-* #,##0.00_-;_-* &quot;-&quot;??_-;_-@_-"/>
    <numFmt numFmtId="167" formatCode="_(* #,##0_);_(* \(#,##0\);_(* &quot;-&quot;_);_(@_)"/>
    <numFmt numFmtId="168" formatCode="_(* #,##0.00_);_(* \(#,##0.00\);_(* &quot;-&quot;??_);_(@_)"/>
    <numFmt numFmtId="169" formatCode="dd/mm/yy;@"/>
    <numFmt numFmtId="170" formatCode="0.00000"/>
    <numFmt numFmtId="171" formatCode="&quot;€&quot;\ #,##0"/>
    <numFmt numFmtId="172" formatCode="0.0"/>
    <numFmt numFmtId="173" formatCode="_-* #,##0_-;\-* #,##0_-;_-* &quot;-&quot;??_-;_-@_-"/>
    <numFmt numFmtId="174" formatCode="0.0%"/>
    <numFmt numFmtId="175" formatCode="#,##0.00_ ;\-#,##0.00\ "/>
    <numFmt numFmtId="176" formatCode="_-&quot;€&quot;\ * #,##0_-;\-&quot;€&quot;\ * #,##0_-;_-&quot;€&quot;\ * &quot;-&quot;??_-;_-@_-"/>
    <numFmt numFmtId="177" formatCode="[$$-409]#,##0"/>
    <numFmt numFmtId="178" formatCode="0.000%"/>
    <numFmt numFmtId="179" formatCode="[$€-2]\ #,##0"/>
    <numFmt numFmtId="180" formatCode="[$€-2]\ #,##0.00"/>
  </numFmts>
  <fonts count="17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8"/>
      <color theme="0"/>
      <name val="Calibri"/>
      <family val="2"/>
      <scheme val="minor"/>
    </font>
    <font>
      <b/>
      <sz val="8"/>
      <color theme="0"/>
      <name val="Arial"/>
      <family val="2"/>
    </font>
    <font>
      <b/>
      <sz val="8"/>
      <color theme="0" tint="-0.499984740745262"/>
      <name val="Arial"/>
      <family val="2"/>
    </font>
    <font>
      <b/>
      <sz val="8"/>
      <color theme="5" tint="-0.499984740745262"/>
      <name val="Calibri"/>
      <family val="2"/>
      <scheme val="minor"/>
    </font>
    <font>
      <b/>
      <sz val="8"/>
      <color theme="5" tint="-0.249977111117893"/>
      <name val="Calibri"/>
      <family val="2"/>
      <scheme val="minor"/>
    </font>
    <font>
      <b/>
      <sz val="8"/>
      <color theme="4" tint="-0.499984740745262"/>
      <name val="Calibri"/>
      <family val="2"/>
      <scheme val="minor"/>
    </font>
    <font>
      <b/>
      <sz val="8"/>
      <color theme="3"/>
      <name val="Calibri"/>
      <family val="2"/>
      <scheme val="minor"/>
    </font>
    <font>
      <sz val="11"/>
      <color theme="1"/>
      <name val="Calibri"/>
      <family val="2"/>
      <charset val="177"/>
      <scheme val="minor"/>
    </font>
    <font>
      <b/>
      <sz val="8"/>
      <name val="Calibri"/>
      <family val="2"/>
      <scheme val="minor"/>
    </font>
    <font>
      <sz val="8"/>
      <color rgb="FF000000"/>
      <name val="Calibri"/>
      <family val="2"/>
    </font>
    <font>
      <u/>
      <sz val="8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gradientFill degree="90">
        <stop position="0">
          <color theme="4"/>
        </stop>
        <stop position="1">
          <color theme="4"/>
        </stop>
      </gradientFill>
    </fill>
    <fill>
      <patternFill patternType="solid">
        <fgColor theme="3" tint="0.59999389629810485"/>
        <bgColor auto="1"/>
      </patternFill>
    </fill>
    <fill>
      <patternFill patternType="solid">
        <fgColor theme="0"/>
        <bgColor auto="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5">
    <border>
      <left/>
      <right/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5" tint="-0.499984740745262"/>
      </left>
      <right/>
      <top style="medium">
        <color theme="5" tint="-0.499984740745262"/>
      </top>
      <bottom/>
      <diagonal/>
    </border>
    <border>
      <left/>
      <right/>
      <top style="medium">
        <color theme="5" tint="-0.499984740745262"/>
      </top>
      <bottom/>
      <diagonal/>
    </border>
    <border>
      <left/>
      <right style="medium">
        <color theme="5" tint="-0.499984740745262"/>
      </right>
      <top style="medium">
        <color theme="5" tint="-0.499984740745262"/>
      </top>
      <bottom/>
      <diagonal/>
    </border>
    <border>
      <left style="medium">
        <color theme="5" tint="-0.499984740745262"/>
      </left>
      <right/>
      <top/>
      <bottom/>
      <diagonal/>
    </border>
    <border>
      <left/>
      <right style="medium">
        <color theme="5" tint="-0.499984740745262"/>
      </right>
      <top/>
      <bottom/>
      <diagonal/>
    </border>
    <border>
      <left style="medium">
        <color theme="5" tint="-0.499984740745262"/>
      </left>
      <right/>
      <top/>
      <bottom style="medium">
        <color theme="5" tint="-0.499984740745262"/>
      </bottom>
      <diagonal/>
    </border>
    <border>
      <left/>
      <right/>
      <top/>
      <bottom style="medium">
        <color theme="5" tint="-0.499984740745262"/>
      </bottom>
      <diagonal/>
    </border>
    <border>
      <left/>
      <right style="medium">
        <color theme="5" tint="-0.499984740745262"/>
      </right>
      <top/>
      <bottom style="medium">
        <color theme="5" tint="-0.499984740745262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7">
    <xf numFmtId="0" fontId="0" fillId="0" borderId="0"/>
    <xf numFmtId="0" fontId="1" fillId="0" borderId="0"/>
    <xf numFmtId="166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6" fontId="4" fillId="0" borderId="0" applyFont="0" applyFill="0" applyBorder="0" applyAlignment="0" applyProtection="0"/>
    <xf numFmtId="0" fontId="13" fillId="0" borderId="0"/>
    <xf numFmtId="165" fontId="13" fillId="0" borderId="0" applyFont="0" applyFill="0" applyBorder="0" applyAlignment="0" applyProtection="0"/>
    <xf numFmtId="9" fontId="13" fillId="0" borderId="0" applyFont="0" applyFill="0" applyBorder="0" applyAlignment="0" applyProtection="0"/>
    <xf numFmtId="166" fontId="13" fillId="0" borderId="0" applyFont="0" applyFill="0" applyBorder="0" applyAlignment="0" applyProtection="0"/>
  </cellStyleXfs>
  <cellXfs count="122">
    <xf numFmtId="0" fontId="0" fillId="0" borderId="0" xfId="0"/>
    <xf numFmtId="0" fontId="3" fillId="2" borderId="0" xfId="0" applyFont="1" applyFill="1" applyAlignment="1">
      <alignment horizontal="left" vertical="center"/>
    </xf>
    <xf numFmtId="169" fontId="5" fillId="2" borderId="0" xfId="0" applyNumberFormat="1" applyFont="1" applyFill="1" applyAlignment="1">
      <alignment horizontal="left" vertical="center"/>
    </xf>
    <xf numFmtId="2" fontId="5" fillId="2" borderId="0" xfId="0" applyNumberFormat="1" applyFont="1" applyFill="1" applyAlignment="1">
      <alignment horizontal="left" vertical="center"/>
    </xf>
    <xf numFmtId="169" fontId="5" fillId="2" borderId="0" xfId="0" applyNumberFormat="1" applyFont="1" applyFill="1" applyBorder="1" applyAlignment="1">
      <alignment horizontal="left" vertical="center"/>
    </xf>
    <xf numFmtId="2" fontId="5" fillId="2" borderId="0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left" vertical="center"/>
    </xf>
    <xf numFmtId="0" fontId="2" fillId="2" borderId="0" xfId="0" applyFont="1" applyFill="1" applyBorder="1" applyAlignment="1">
      <alignment horizontal="left" vertical="center"/>
    </xf>
    <xf numFmtId="10" fontId="3" fillId="2" borderId="0" xfId="0" applyNumberFormat="1" applyFont="1" applyFill="1" applyBorder="1" applyAlignment="1">
      <alignment horizontal="left" vertical="center"/>
    </xf>
    <xf numFmtId="14" fontId="2" fillId="2" borderId="0" xfId="0" applyNumberFormat="1" applyFont="1" applyFill="1" applyBorder="1" applyAlignment="1">
      <alignment horizontal="left" vertical="center"/>
    </xf>
    <xf numFmtId="170" fontId="3" fillId="2" borderId="0" xfId="0" applyNumberFormat="1" applyFont="1" applyFill="1" applyBorder="1" applyAlignment="1">
      <alignment horizontal="left" vertical="center"/>
    </xf>
    <xf numFmtId="14" fontId="3" fillId="2" borderId="0" xfId="0" applyNumberFormat="1" applyFont="1" applyFill="1" applyBorder="1" applyAlignment="1">
      <alignment horizontal="left" vertical="center"/>
    </xf>
    <xf numFmtId="0" fontId="6" fillId="4" borderId="0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0" xfId="0" applyFont="1" applyFill="1" applyAlignment="1">
      <alignment horizontal="right" vertical="center"/>
    </xf>
    <xf numFmtId="14" fontId="6" fillId="4" borderId="0" xfId="0" applyNumberFormat="1" applyFont="1" applyFill="1" applyAlignment="1">
      <alignment horizontal="left" vertical="center"/>
    </xf>
    <xf numFmtId="169" fontId="6" fillId="4" borderId="0" xfId="0" applyNumberFormat="1" applyFont="1" applyFill="1" applyAlignment="1">
      <alignment horizontal="left" vertical="center"/>
    </xf>
    <xf numFmtId="10" fontId="6" fillId="4" borderId="0" xfId="10" applyNumberFormat="1" applyFont="1" applyFill="1" applyBorder="1" applyAlignment="1">
      <alignment horizontal="left" vertical="center"/>
    </xf>
    <xf numFmtId="172" fontId="7" fillId="5" borderId="1" xfId="0" applyNumberFormat="1" applyFont="1" applyFill="1" applyBorder="1" applyAlignment="1">
      <alignment horizontal="right" vertical="center" wrapText="1"/>
    </xf>
    <xf numFmtId="10" fontId="8" fillId="2" borderId="1" xfId="10" applyNumberFormat="1" applyFont="1" applyFill="1" applyBorder="1" applyAlignment="1">
      <alignment horizontal="right" vertical="center" wrapText="1"/>
    </xf>
    <xf numFmtId="173" fontId="8" fillId="2" borderId="1" xfId="12" applyNumberFormat="1" applyFont="1" applyFill="1" applyBorder="1" applyAlignment="1">
      <alignment horizontal="right" vertical="center" wrapText="1"/>
    </xf>
    <xf numFmtId="173" fontId="7" fillId="6" borderId="1" xfId="12" applyNumberFormat="1" applyFont="1" applyFill="1" applyBorder="1" applyAlignment="1">
      <alignment horizontal="right" vertical="center" wrapText="1"/>
    </xf>
    <xf numFmtId="0" fontId="3" fillId="2" borderId="0" xfId="0" applyFont="1" applyFill="1" applyBorder="1" applyAlignment="1">
      <alignment horizontal="right" vertical="center"/>
    </xf>
    <xf numFmtId="0" fontId="2" fillId="3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169" fontId="10" fillId="2" borderId="0" xfId="0" applyNumberFormat="1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2" fontId="10" fillId="2" borderId="0" xfId="0" applyNumberFormat="1" applyFont="1" applyFill="1" applyAlignment="1">
      <alignment horizontal="left" vertical="center"/>
    </xf>
    <xf numFmtId="169" fontId="11" fillId="8" borderId="0" xfId="0" applyNumberFormat="1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14" fontId="6" fillId="2" borderId="0" xfId="0" applyNumberFormat="1" applyFont="1" applyFill="1" applyAlignment="1">
      <alignment horizontal="left" vertical="center"/>
    </xf>
    <xf numFmtId="14" fontId="12" fillId="8" borderId="0" xfId="0" applyNumberFormat="1" applyFont="1" applyFill="1" applyBorder="1" applyAlignment="1">
      <alignment horizontal="left" vertical="center"/>
    </xf>
    <xf numFmtId="1" fontId="12" fillId="8" borderId="0" xfId="0" applyNumberFormat="1" applyFont="1" applyFill="1" applyBorder="1" applyAlignment="1">
      <alignment horizontal="left" vertical="center"/>
    </xf>
    <xf numFmtId="0" fontId="12" fillId="8" borderId="0" xfId="0" applyFont="1" applyFill="1" applyBorder="1" applyAlignment="1">
      <alignment horizontal="left" vertical="center"/>
    </xf>
    <xf numFmtId="10" fontId="12" fillId="8" borderId="0" xfId="10" applyNumberFormat="1" applyFont="1" applyFill="1" applyBorder="1" applyAlignment="1">
      <alignment horizontal="left" vertical="center"/>
    </xf>
    <xf numFmtId="10" fontId="12" fillId="8" borderId="0" xfId="0" applyNumberFormat="1" applyFont="1" applyFill="1" applyBorder="1" applyAlignment="1">
      <alignment horizontal="left" vertical="center"/>
    </xf>
    <xf numFmtId="3" fontId="12" fillId="8" borderId="0" xfId="0" applyNumberFormat="1" applyFont="1" applyFill="1" applyBorder="1" applyAlignment="1">
      <alignment horizontal="left" vertical="center"/>
    </xf>
    <xf numFmtId="10" fontId="12" fillId="8" borderId="0" xfId="0" applyNumberFormat="1" applyFont="1" applyFill="1" applyAlignment="1">
      <alignment horizontal="left" vertical="center"/>
    </xf>
    <xf numFmtId="0" fontId="9" fillId="2" borderId="0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left" vertical="center"/>
    </xf>
    <xf numFmtId="0" fontId="9" fillId="2" borderId="0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5" xfId="0" applyFont="1" applyFill="1" applyBorder="1" applyAlignment="1">
      <alignment horizontal="left" vertical="center"/>
    </xf>
    <xf numFmtId="0" fontId="3" fillId="2" borderId="6" xfId="0" applyFont="1" applyFill="1" applyBorder="1" applyAlignment="1">
      <alignment horizontal="left" vertical="center"/>
    </xf>
    <xf numFmtId="0" fontId="3" fillId="2" borderId="7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3" fillId="2" borderId="10" xfId="0" applyFont="1" applyFill="1" applyBorder="1" applyAlignment="1">
      <alignment horizontal="left" vertical="center"/>
    </xf>
    <xf numFmtId="2" fontId="5" fillId="2" borderId="0" xfId="0" applyNumberFormat="1" applyFont="1" applyFill="1" applyAlignment="1">
      <alignment horizontal="right" vertical="center"/>
    </xf>
    <xf numFmtId="2" fontId="3" fillId="2" borderId="0" xfId="0" applyNumberFormat="1" applyFont="1" applyFill="1" applyAlignment="1">
      <alignment horizontal="right" vertical="center"/>
    </xf>
    <xf numFmtId="14" fontId="3" fillId="2" borderId="0" xfId="0" applyNumberFormat="1" applyFont="1" applyFill="1" applyAlignment="1">
      <alignment horizontal="right" vertical="center"/>
    </xf>
    <xf numFmtId="10" fontId="3" fillId="2" borderId="0" xfId="10" applyNumberFormat="1" applyFont="1" applyFill="1" applyAlignment="1">
      <alignment horizontal="right" vertical="center"/>
    </xf>
    <xf numFmtId="1" fontId="3" fillId="2" borderId="0" xfId="0" applyNumberFormat="1" applyFont="1" applyFill="1" applyAlignment="1">
      <alignment horizontal="right" vertical="center"/>
    </xf>
    <xf numFmtId="0" fontId="3" fillId="2" borderId="11" xfId="0" applyFont="1" applyFill="1" applyBorder="1" applyAlignment="1">
      <alignment horizontal="right" vertical="center"/>
    </xf>
    <xf numFmtId="172" fontId="7" fillId="5" borderId="11" xfId="0" applyNumberFormat="1" applyFont="1" applyFill="1" applyBorder="1" applyAlignment="1">
      <alignment horizontal="right" vertical="center" wrapText="1"/>
    </xf>
    <xf numFmtId="0" fontId="9" fillId="2" borderId="0" xfId="0" applyFont="1" applyFill="1" applyBorder="1" applyAlignment="1">
      <alignment vertical="center"/>
    </xf>
    <xf numFmtId="0" fontId="11" fillId="2" borderId="0" xfId="0" applyFont="1" applyFill="1" applyAlignment="1">
      <alignment horizontal="left" vertical="center"/>
    </xf>
    <xf numFmtId="0" fontId="9" fillId="2" borderId="0" xfId="0" applyFont="1" applyFill="1" applyAlignment="1">
      <alignment vertical="center"/>
    </xf>
    <xf numFmtId="169" fontId="6" fillId="2" borderId="0" xfId="0" applyNumberFormat="1" applyFont="1" applyFill="1" applyAlignment="1">
      <alignment horizontal="left" vertical="center"/>
    </xf>
    <xf numFmtId="2" fontId="6" fillId="2" borderId="0" xfId="0" applyNumberFormat="1" applyFont="1" applyFill="1" applyAlignment="1">
      <alignment horizontal="left" vertical="center"/>
    </xf>
    <xf numFmtId="9" fontId="11" fillId="8" borderId="0" xfId="10" applyFont="1" applyFill="1" applyBorder="1" applyAlignment="1">
      <alignment horizontal="left" vertical="center"/>
    </xf>
    <xf numFmtId="2" fontId="12" fillId="8" borderId="0" xfId="0" applyNumberFormat="1" applyFont="1" applyFill="1" applyBorder="1" applyAlignment="1">
      <alignment horizontal="left" vertical="center"/>
    </xf>
    <xf numFmtId="10" fontId="8" fillId="7" borderId="1" xfId="10" applyNumberFormat="1" applyFont="1" applyFill="1" applyBorder="1" applyAlignment="1">
      <alignment horizontal="right" vertical="center" wrapText="1"/>
    </xf>
    <xf numFmtId="164" fontId="12" fillId="8" borderId="0" xfId="11" applyNumberFormat="1" applyFont="1" applyFill="1" applyBorder="1" applyAlignment="1">
      <alignment horizontal="left" vertical="center"/>
    </xf>
    <xf numFmtId="14" fontId="3" fillId="2" borderId="0" xfId="0" applyNumberFormat="1" applyFont="1" applyFill="1" applyAlignment="1">
      <alignment horizontal="left" vertical="center"/>
    </xf>
    <xf numFmtId="174" fontId="3" fillId="2" borderId="0" xfId="10" applyNumberFormat="1" applyFont="1" applyFill="1" applyBorder="1" applyAlignment="1">
      <alignment horizontal="left" vertical="center"/>
    </xf>
    <xf numFmtId="0" fontId="5" fillId="2" borderId="11" xfId="13" applyFont="1" applyFill="1" applyBorder="1" applyAlignment="1">
      <alignment horizontal="left" vertical="center"/>
    </xf>
    <xf numFmtId="172" fontId="5" fillId="7" borderId="11" xfId="13" applyNumberFormat="1" applyFont="1" applyFill="1" applyBorder="1" applyAlignment="1">
      <alignment horizontal="left" vertical="center"/>
    </xf>
    <xf numFmtId="172" fontId="6" fillId="9" borderId="11" xfId="13" applyNumberFormat="1" applyFont="1" applyFill="1" applyBorder="1" applyAlignment="1">
      <alignment horizontal="left" vertical="center"/>
    </xf>
    <xf numFmtId="172" fontId="14" fillId="10" borderId="11" xfId="13" applyNumberFormat="1" applyFont="1" applyFill="1" applyBorder="1" applyAlignment="1">
      <alignment horizontal="left" vertical="center"/>
    </xf>
    <xf numFmtId="175" fontId="5" fillId="11" borderId="11" xfId="14" applyNumberFormat="1" applyFont="1" applyFill="1" applyBorder="1" applyAlignment="1">
      <alignment horizontal="left" vertical="center"/>
    </xf>
    <xf numFmtId="171" fontId="5" fillId="12" borderId="11" xfId="15" applyNumberFormat="1" applyFont="1" applyFill="1" applyBorder="1" applyAlignment="1">
      <alignment horizontal="left" vertical="center"/>
    </xf>
    <xf numFmtId="165" fontId="5" fillId="2" borderId="11" xfId="14" applyFont="1" applyFill="1" applyBorder="1" applyAlignment="1">
      <alignment horizontal="left" vertical="center"/>
    </xf>
    <xf numFmtId="10" fontId="14" fillId="10" borderId="11" xfId="15" applyNumberFormat="1" applyFont="1" applyFill="1" applyBorder="1" applyAlignment="1">
      <alignment horizontal="left" vertical="center"/>
    </xf>
    <xf numFmtId="0" fontId="14" fillId="2" borderId="11" xfId="13" applyFont="1" applyFill="1" applyBorder="1" applyAlignment="1">
      <alignment horizontal="left" vertical="center"/>
    </xf>
    <xf numFmtId="10" fontId="5" fillId="12" borderId="11" xfId="15" applyNumberFormat="1" applyFont="1" applyFill="1" applyBorder="1" applyAlignment="1">
      <alignment horizontal="left" vertical="center"/>
    </xf>
    <xf numFmtId="176" fontId="5" fillId="2" borderId="11" xfId="13" applyNumberFormat="1" applyFont="1" applyFill="1" applyBorder="1" applyAlignment="1">
      <alignment horizontal="left" vertical="center"/>
    </xf>
    <xf numFmtId="171" fontId="14" fillId="13" borderId="11" xfId="15" applyNumberFormat="1" applyFont="1" applyFill="1" applyBorder="1" applyAlignment="1">
      <alignment horizontal="left" vertical="center"/>
    </xf>
    <xf numFmtId="10" fontId="5" fillId="2" borderId="11" xfId="13" applyNumberFormat="1" applyFont="1" applyFill="1" applyBorder="1" applyAlignment="1">
      <alignment horizontal="left" vertical="center"/>
    </xf>
    <xf numFmtId="165" fontId="5" fillId="11" borderId="11" xfId="14" applyFont="1" applyFill="1" applyBorder="1" applyAlignment="1">
      <alignment horizontal="left" vertical="center"/>
    </xf>
    <xf numFmtId="3" fontId="14" fillId="10" borderId="11" xfId="15" applyNumberFormat="1" applyFont="1" applyFill="1" applyBorder="1" applyAlignment="1">
      <alignment horizontal="left" vertical="center"/>
    </xf>
    <xf numFmtId="0" fontId="6" fillId="9" borderId="11" xfId="13" applyFont="1" applyFill="1" applyBorder="1" applyAlignment="1">
      <alignment horizontal="left" vertical="center"/>
    </xf>
    <xf numFmtId="10" fontId="5" fillId="11" borderId="11" xfId="10" applyNumberFormat="1" applyFont="1" applyFill="1" applyBorder="1" applyAlignment="1">
      <alignment horizontal="left" vertical="center"/>
    </xf>
    <xf numFmtId="0" fontId="14" fillId="10" borderId="11" xfId="13" applyFont="1" applyFill="1" applyBorder="1" applyAlignment="1">
      <alignment horizontal="left" vertical="center"/>
    </xf>
    <xf numFmtId="10" fontId="5" fillId="12" borderId="11" xfId="10" applyNumberFormat="1" applyFont="1" applyFill="1" applyBorder="1" applyAlignment="1">
      <alignment horizontal="left" vertical="center"/>
    </xf>
    <xf numFmtId="10" fontId="14" fillId="10" borderId="11" xfId="10" applyNumberFormat="1" applyFont="1" applyFill="1" applyBorder="1" applyAlignment="1">
      <alignment horizontal="left" vertical="center"/>
    </xf>
    <xf numFmtId="10" fontId="14" fillId="13" borderId="11" xfId="10" applyNumberFormat="1" applyFont="1" applyFill="1" applyBorder="1" applyAlignment="1">
      <alignment horizontal="left" vertical="center"/>
    </xf>
    <xf numFmtId="0" fontId="5" fillId="2" borderId="14" xfId="13" applyFont="1" applyFill="1" applyBorder="1" applyAlignment="1">
      <alignment vertical="center"/>
    </xf>
    <xf numFmtId="14" fontId="15" fillId="14" borderId="0" xfId="0" applyNumberFormat="1" applyFont="1" applyFill="1" applyAlignment="1">
      <alignment vertical="center" wrapText="1"/>
    </xf>
    <xf numFmtId="0" fontId="15" fillId="2" borderId="0" xfId="0" applyFont="1" applyFill="1" applyAlignment="1">
      <alignment vertical="center" wrapText="1"/>
    </xf>
    <xf numFmtId="0" fontId="0" fillId="2" borderId="0" xfId="0" applyFill="1"/>
    <xf numFmtId="177" fontId="7" fillId="6" borderId="1" xfId="10" applyNumberFormat="1" applyFont="1" applyFill="1" applyBorder="1" applyAlignment="1">
      <alignment horizontal="right" vertical="center" wrapText="1"/>
    </xf>
    <xf numFmtId="177" fontId="5" fillId="12" borderId="11" xfId="15" applyNumberFormat="1" applyFont="1" applyFill="1" applyBorder="1" applyAlignment="1">
      <alignment horizontal="left" vertical="center"/>
    </xf>
    <xf numFmtId="178" fontId="12" fillId="8" borderId="0" xfId="10" applyNumberFormat="1" applyFont="1" applyFill="1" applyBorder="1" applyAlignment="1">
      <alignment horizontal="left" vertical="center"/>
    </xf>
    <xf numFmtId="178" fontId="12" fillId="8" borderId="0" xfId="0" applyNumberFormat="1" applyFont="1" applyFill="1" applyBorder="1" applyAlignment="1">
      <alignment horizontal="left" vertical="center"/>
    </xf>
    <xf numFmtId="177" fontId="3" fillId="2" borderId="0" xfId="0" applyNumberFormat="1" applyFont="1" applyFill="1" applyBorder="1" applyAlignment="1">
      <alignment horizontal="left" vertical="center"/>
    </xf>
    <xf numFmtId="179" fontId="7" fillId="6" borderId="1" xfId="10" applyNumberFormat="1" applyFont="1" applyFill="1" applyBorder="1" applyAlignment="1">
      <alignment horizontal="right" vertical="center" wrapText="1"/>
    </xf>
    <xf numFmtId="180" fontId="7" fillId="6" borderId="1" xfId="10" applyNumberFormat="1" applyFont="1" applyFill="1" applyBorder="1" applyAlignment="1">
      <alignment horizontal="right" vertical="center" wrapText="1"/>
    </xf>
    <xf numFmtId="0" fontId="16" fillId="2" borderId="0" xfId="0" applyFont="1" applyFill="1" applyBorder="1" applyAlignment="1">
      <alignment horizontal="left" vertical="center"/>
    </xf>
    <xf numFmtId="9" fontId="3" fillId="2" borderId="0" xfId="0" applyNumberFormat="1" applyFont="1" applyFill="1" applyBorder="1" applyAlignment="1">
      <alignment horizontal="left" vertical="center"/>
    </xf>
    <xf numFmtId="10" fontId="12" fillId="15" borderId="0" xfId="10" applyNumberFormat="1" applyFont="1" applyFill="1" applyBorder="1" applyAlignment="1">
      <alignment horizontal="left" vertical="center"/>
    </xf>
    <xf numFmtId="3" fontId="3" fillId="2" borderId="0" xfId="0" applyNumberFormat="1" applyFont="1" applyFill="1" applyAlignment="1">
      <alignment horizontal="right" vertical="center"/>
    </xf>
    <xf numFmtId="4" fontId="12" fillId="15" borderId="0" xfId="10" applyNumberFormat="1" applyFont="1" applyFill="1" applyBorder="1" applyAlignment="1">
      <alignment horizontal="left" vertical="center"/>
    </xf>
    <xf numFmtId="4" fontId="12" fillId="8" borderId="0" xfId="10" applyNumberFormat="1" applyFont="1" applyFill="1" applyBorder="1" applyAlignment="1">
      <alignment horizontal="left" vertical="center"/>
    </xf>
    <xf numFmtId="4" fontId="5" fillId="2" borderId="0" xfId="0" applyNumberFormat="1" applyFont="1" applyFill="1" applyBorder="1" applyAlignment="1">
      <alignment horizontal="left" vertical="center"/>
    </xf>
    <xf numFmtId="0" fontId="9" fillId="2" borderId="0" xfId="0" applyFont="1" applyFill="1" applyAlignment="1">
      <alignment horizontal="center" vertical="center"/>
    </xf>
    <xf numFmtId="2" fontId="6" fillId="4" borderId="0" xfId="0" applyNumberFormat="1" applyFont="1" applyFill="1" applyBorder="1" applyAlignment="1">
      <alignment horizontal="left" vertical="center" wrapText="1"/>
    </xf>
    <xf numFmtId="0" fontId="9" fillId="2" borderId="0" xfId="0" applyFont="1" applyFill="1" applyBorder="1" applyAlignment="1">
      <alignment horizontal="center" vertical="center"/>
    </xf>
    <xf numFmtId="172" fontId="7" fillId="5" borderId="1" xfId="0" applyNumberFormat="1" applyFont="1" applyFill="1" applyBorder="1" applyAlignment="1">
      <alignment horizontal="center" vertical="center" wrapText="1"/>
    </xf>
    <xf numFmtId="172" fontId="7" fillId="5" borderId="2" xfId="0" applyNumberFormat="1" applyFont="1" applyFill="1" applyBorder="1" applyAlignment="1">
      <alignment horizontal="center" vertical="center" wrapText="1"/>
    </xf>
    <xf numFmtId="0" fontId="6" fillId="9" borderId="12" xfId="13" applyFont="1" applyFill="1" applyBorder="1" applyAlignment="1">
      <alignment horizontal="center" vertical="center"/>
    </xf>
    <xf numFmtId="0" fontId="6" fillId="9" borderId="13" xfId="13" applyFont="1" applyFill="1" applyBorder="1" applyAlignment="1">
      <alignment horizontal="center" vertical="center"/>
    </xf>
    <xf numFmtId="0" fontId="6" fillId="9" borderId="11" xfId="13" applyFont="1" applyFill="1" applyBorder="1" applyAlignment="1">
      <alignment horizontal="center" vertical="center"/>
    </xf>
    <xf numFmtId="0" fontId="14" fillId="10" borderId="12" xfId="13" applyFont="1" applyFill="1" applyBorder="1" applyAlignment="1">
      <alignment horizontal="center" vertical="center"/>
    </xf>
    <xf numFmtId="0" fontId="14" fillId="10" borderId="13" xfId="13" applyFont="1" applyFill="1" applyBorder="1" applyAlignment="1">
      <alignment horizontal="center" vertical="center"/>
    </xf>
    <xf numFmtId="0" fontId="14" fillId="10" borderId="14" xfId="13" applyFont="1" applyFill="1" applyBorder="1" applyAlignment="1">
      <alignment horizontal="center" vertical="center"/>
    </xf>
    <xf numFmtId="172" fontId="6" fillId="9" borderId="12" xfId="13" applyNumberFormat="1" applyFont="1" applyFill="1" applyBorder="1" applyAlignment="1">
      <alignment horizontal="center" vertical="center"/>
    </xf>
    <xf numFmtId="172" fontId="6" fillId="9" borderId="14" xfId="13" applyNumberFormat="1" applyFont="1" applyFill="1" applyBorder="1" applyAlignment="1">
      <alignment horizontal="center" vertical="center"/>
    </xf>
    <xf numFmtId="0" fontId="6" fillId="9" borderId="14" xfId="13" applyFont="1" applyFill="1" applyBorder="1" applyAlignment="1">
      <alignment horizontal="center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</cellXfs>
  <cellStyles count="17">
    <cellStyle name="Comma 2" xfId="16" xr:uid="{00000000-0005-0000-0000-000001000000}"/>
    <cellStyle name="Currency 2" xfId="14" xr:uid="{00000000-0005-0000-0000-000003000000}"/>
    <cellStyle name="Migliaia" xfId="12" builtinId="3"/>
    <cellStyle name="Migliaia [0] 2" xfId="3" xr:uid="{00000000-0005-0000-0000-000004000000}"/>
    <cellStyle name="Migliaia 2" xfId="4" xr:uid="{00000000-0005-0000-0000-000005000000}"/>
    <cellStyle name="Migliaia 3" xfId="5" xr:uid="{00000000-0005-0000-0000-000006000000}"/>
    <cellStyle name="Migliaia 4" xfId="2" xr:uid="{00000000-0005-0000-0000-000007000000}"/>
    <cellStyle name="Normal 2" xfId="13" xr:uid="{00000000-0005-0000-0000-000009000000}"/>
    <cellStyle name="Normale" xfId="0" builtinId="0"/>
    <cellStyle name="Normale 2" xfId="6" xr:uid="{00000000-0005-0000-0000-00000A000000}"/>
    <cellStyle name="Normale 3" xfId="7" xr:uid="{00000000-0005-0000-0000-00000B000000}"/>
    <cellStyle name="Normale 4" xfId="1" xr:uid="{00000000-0005-0000-0000-00000C000000}"/>
    <cellStyle name="Percent 2" xfId="15" xr:uid="{00000000-0005-0000-0000-00000E000000}"/>
    <cellStyle name="Percentuale" xfId="10" builtinId="5"/>
    <cellStyle name="Percentuale 2" xfId="9" xr:uid="{00000000-0005-0000-0000-00000F000000}"/>
    <cellStyle name="Percentuale 3" xfId="8" xr:uid="{00000000-0005-0000-0000-000010000000}"/>
    <cellStyle name="Valuta" xfId="11" builtinId="4"/>
  </cellStyles>
  <dxfs count="15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6.emf"/><Relationship Id="rId7" Type="http://schemas.openxmlformats.org/officeDocument/2006/relationships/image" Target="../media/image2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3.emf"/><Relationship Id="rId5" Type="http://schemas.openxmlformats.org/officeDocument/2006/relationships/image" Target="../media/image4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120770</xdr:rowOff>
        </xdr:from>
        <xdr:to>
          <xdr:col>3</xdr:col>
          <xdr:colOff>560717</xdr:colOff>
          <xdr:row>21</xdr:row>
          <xdr:rowOff>146649</xdr:rowOff>
        </xdr:to>
        <xdr:sp macro="" textlink="">
          <xdr:nvSpPr>
            <xdr:cNvPr id="13353" name="CommandButton32" hidden="1">
              <a:extLst>
                <a:ext uri="{63B3BB69-23CF-44E3-9099-C40C66FF867C}">
                  <a14:compatExt spid="_x0000_s13353"/>
                </a:ext>
                <a:ext uri="{FF2B5EF4-FFF2-40B4-BE49-F238E27FC236}">
                  <a16:creationId xmlns:a16="http://schemas.microsoft.com/office/drawing/2014/main" id="{00000000-0008-0000-0200-00002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30</xdr:row>
          <xdr:rowOff>120770</xdr:rowOff>
        </xdr:from>
        <xdr:to>
          <xdr:col>3</xdr:col>
          <xdr:colOff>560717</xdr:colOff>
          <xdr:row>33</xdr:row>
          <xdr:rowOff>146649</xdr:rowOff>
        </xdr:to>
        <xdr:sp macro="" textlink="">
          <xdr:nvSpPr>
            <xdr:cNvPr id="13355" name="CommandButton34" hidden="1">
              <a:extLst>
                <a:ext uri="{63B3BB69-23CF-44E3-9099-C40C66FF867C}">
                  <a14:compatExt spid="_x0000_s13355"/>
                </a:ext>
                <a:ext uri="{FF2B5EF4-FFF2-40B4-BE49-F238E27FC236}">
                  <a16:creationId xmlns:a16="http://schemas.microsoft.com/office/drawing/2014/main" id="{00000000-0008-0000-0200-00002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42</xdr:row>
          <xdr:rowOff>120770</xdr:rowOff>
        </xdr:from>
        <xdr:to>
          <xdr:col>3</xdr:col>
          <xdr:colOff>560717</xdr:colOff>
          <xdr:row>46</xdr:row>
          <xdr:rowOff>8626</xdr:rowOff>
        </xdr:to>
        <xdr:sp macro="" textlink="">
          <xdr:nvSpPr>
            <xdr:cNvPr id="13357" name="CommandButton36" hidden="1">
              <a:extLst>
                <a:ext uri="{63B3BB69-23CF-44E3-9099-C40C66FF867C}">
                  <a14:compatExt spid="_x0000_s13357"/>
                </a:ext>
                <a:ext uri="{FF2B5EF4-FFF2-40B4-BE49-F238E27FC236}">
                  <a16:creationId xmlns:a16="http://schemas.microsoft.com/office/drawing/2014/main" id="{00000000-0008-0000-0200-00002D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46</xdr:row>
          <xdr:rowOff>120770</xdr:rowOff>
        </xdr:from>
        <xdr:to>
          <xdr:col>3</xdr:col>
          <xdr:colOff>560717</xdr:colOff>
          <xdr:row>50</xdr:row>
          <xdr:rowOff>8626</xdr:rowOff>
        </xdr:to>
        <xdr:sp macro="" textlink="">
          <xdr:nvSpPr>
            <xdr:cNvPr id="13358" name="CommandButton37" hidden="1">
              <a:extLst>
                <a:ext uri="{63B3BB69-23CF-44E3-9099-C40C66FF867C}">
                  <a14:compatExt spid="_x0000_s13358"/>
                </a:ext>
                <a:ext uri="{FF2B5EF4-FFF2-40B4-BE49-F238E27FC236}">
                  <a16:creationId xmlns:a16="http://schemas.microsoft.com/office/drawing/2014/main" id="{00000000-0008-0000-0200-00002E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120770</xdr:rowOff>
        </xdr:from>
        <xdr:to>
          <xdr:col>3</xdr:col>
          <xdr:colOff>560717</xdr:colOff>
          <xdr:row>6</xdr:row>
          <xdr:rowOff>8626</xdr:rowOff>
        </xdr:to>
        <xdr:sp macro="" textlink="">
          <xdr:nvSpPr>
            <xdr:cNvPr id="13359" name="CommandButton30" hidden="1">
              <a:extLst>
                <a:ext uri="{63B3BB69-23CF-44E3-9099-C40C66FF867C}">
                  <a14:compatExt spid="_x0000_s13359"/>
                </a:ext>
                <a:ext uri="{FF2B5EF4-FFF2-40B4-BE49-F238E27FC236}">
                  <a16:creationId xmlns:a16="http://schemas.microsoft.com/office/drawing/2014/main" id="{00000000-0008-0000-0200-00002F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34</xdr:row>
          <xdr:rowOff>120770</xdr:rowOff>
        </xdr:from>
        <xdr:to>
          <xdr:col>3</xdr:col>
          <xdr:colOff>560717</xdr:colOff>
          <xdr:row>37</xdr:row>
          <xdr:rowOff>120770</xdr:rowOff>
        </xdr:to>
        <xdr:sp macro="" textlink="">
          <xdr:nvSpPr>
            <xdr:cNvPr id="13369" name="CommandButton35" hidden="1">
              <a:extLst>
                <a:ext uri="{63B3BB69-23CF-44E3-9099-C40C66FF867C}">
                  <a14:compatExt spid="_x0000_s13369"/>
                </a:ext>
                <a:ext uri="{FF2B5EF4-FFF2-40B4-BE49-F238E27FC236}">
                  <a16:creationId xmlns:a16="http://schemas.microsoft.com/office/drawing/2014/main" id="{00000000-0008-0000-0200-000039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6</xdr:row>
          <xdr:rowOff>120770</xdr:rowOff>
        </xdr:from>
        <xdr:to>
          <xdr:col>3</xdr:col>
          <xdr:colOff>560717</xdr:colOff>
          <xdr:row>10</xdr:row>
          <xdr:rowOff>8626</xdr:rowOff>
        </xdr:to>
        <xdr:sp macro="" textlink="">
          <xdr:nvSpPr>
            <xdr:cNvPr id="13371" name="CommandButton31" hidden="1">
              <a:extLst>
                <a:ext uri="{63B3BB69-23CF-44E3-9099-C40C66FF867C}">
                  <a14:compatExt spid="_x0000_s13371"/>
                </a:ext>
                <a:ext uri="{FF2B5EF4-FFF2-40B4-BE49-F238E27FC236}">
                  <a16:creationId xmlns:a16="http://schemas.microsoft.com/office/drawing/2014/main" id="{00000000-0008-0000-0200-00003B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22</xdr:row>
          <xdr:rowOff>120770</xdr:rowOff>
        </xdr:from>
        <xdr:to>
          <xdr:col>3</xdr:col>
          <xdr:colOff>560717</xdr:colOff>
          <xdr:row>25</xdr:row>
          <xdr:rowOff>120770</xdr:rowOff>
        </xdr:to>
        <xdr:sp macro="" textlink="">
          <xdr:nvSpPr>
            <xdr:cNvPr id="13372" name="CommandButton33" hidden="1">
              <a:extLst>
                <a:ext uri="{63B3BB69-23CF-44E3-9099-C40C66FF867C}">
                  <a14:compatExt spid="_x0000_s13372"/>
                </a:ext>
                <a:ext uri="{FF2B5EF4-FFF2-40B4-BE49-F238E27FC236}">
                  <a16:creationId xmlns:a16="http://schemas.microsoft.com/office/drawing/2014/main" id="{00000000-0008-0000-0200-00003C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120770</xdr:rowOff>
        </xdr:from>
        <xdr:to>
          <xdr:col>3</xdr:col>
          <xdr:colOff>560717</xdr:colOff>
          <xdr:row>14</xdr:row>
          <xdr:rowOff>8626</xdr:rowOff>
        </xdr:to>
        <xdr:sp macro="" textlink="">
          <xdr:nvSpPr>
            <xdr:cNvPr id="13376" name="CommandButton38" hidden="1">
              <a:extLst>
                <a:ext uri="{63B3BB69-23CF-44E3-9099-C40C66FF867C}">
                  <a14:compatExt spid="_x0000_s13376"/>
                </a:ext>
                <a:ext uri="{FF2B5EF4-FFF2-40B4-BE49-F238E27FC236}">
                  <a16:creationId xmlns:a16="http://schemas.microsoft.com/office/drawing/2014/main" id="{00000000-0008-0000-0200-000040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RIIPS\PROGETTO_IMPLEMENTAZIONE_PRIIPS\MotoreRischi&amp;ScenariPerformance\PayoffRepository\PayoffLegendaRepository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X:\PRIIPS\PROGETTO_IMPLEMENTAZIONE_PRIIPS\CANTIERI\Modelity\MotoreRischi&amp;ScenariPerformance\Products\PayoffRepository\PayoffLegendaRepository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poggio"/>
      <sheetName val="Legenda"/>
    </sheetNames>
    <sheetDataSet>
      <sheetData sheetId="0">
        <row r="2">
          <cell r="A2" t="str">
            <v>D</v>
          </cell>
          <cell r="B2" t="str">
            <v>Index</v>
          </cell>
          <cell r="C2" t="str">
            <v>MLC</v>
          </cell>
          <cell r="D2" t="str">
            <v>Max Long Cap</v>
          </cell>
          <cell r="E2">
            <v>2</v>
          </cell>
          <cell r="F2" t="str">
            <v>Y</v>
          </cell>
          <cell r="G2" t="str">
            <v>New</v>
          </cell>
          <cell r="H2" t="str">
            <v>Asset</v>
          </cell>
          <cell r="I2" t="str">
            <v>Boot</v>
          </cell>
          <cell r="J2" t="str">
            <v>EUR</v>
          </cell>
          <cell r="K2" t="str">
            <v>EUR</v>
          </cell>
          <cell r="L2">
            <v>0</v>
          </cell>
          <cell r="M2">
            <v>0</v>
          </cell>
          <cell r="N2">
            <v>0</v>
          </cell>
          <cell r="O2">
            <v>1</v>
          </cell>
          <cell r="P2">
            <v>0</v>
          </cell>
        </row>
        <row r="3">
          <cell r="A3" t="str">
            <v>W</v>
          </cell>
          <cell r="B3" t="str">
            <v>Curncy</v>
          </cell>
          <cell r="C3" t="str">
            <v>BC1</v>
          </cell>
          <cell r="D3" t="str">
            <v>Bonus Cap 1</v>
          </cell>
          <cell r="E3">
            <v>3</v>
          </cell>
          <cell r="F3" t="str">
            <v>N</v>
          </cell>
          <cell r="G3" t="str">
            <v>Re</v>
          </cell>
          <cell r="H3" t="str">
            <v>Rate</v>
          </cell>
          <cell r="I3" t="str">
            <v>PCA</v>
          </cell>
          <cell r="J3" t="str">
            <v>USD</v>
          </cell>
          <cell r="K3" t="str">
            <v>USD</v>
          </cell>
          <cell r="L3">
            <v>2.7397260273972603E-3</v>
          </cell>
          <cell r="M3">
            <v>0.01</v>
          </cell>
          <cell r="N3" t="str">
            <v>MinRate</v>
          </cell>
          <cell r="O3">
            <v>0</v>
          </cell>
          <cell r="P3">
            <v>1</v>
          </cell>
        </row>
        <row r="4">
          <cell r="A4" t="str">
            <v>M</v>
          </cell>
          <cell r="B4" t="str">
            <v>Equity</v>
          </cell>
          <cell r="C4" t="str">
            <v>F2F</v>
          </cell>
          <cell r="D4" t="str">
            <v>Fix to Floater</v>
          </cell>
          <cell r="H4" t="str">
            <v>Currency</v>
          </cell>
          <cell r="J4" t="str">
            <v>JPY</v>
          </cell>
          <cell r="K4" t="str">
            <v>JPY</v>
          </cell>
          <cell r="L4">
            <v>1.9178082191780823E-2</v>
          </cell>
          <cell r="M4">
            <v>1</v>
          </cell>
          <cell r="P4">
            <v>2</v>
          </cell>
        </row>
        <row r="5">
          <cell r="A5" t="str">
            <v>Y</v>
          </cell>
          <cell r="B5" t="str">
            <v>Comdty</v>
          </cell>
          <cell r="C5" t="str">
            <v>WO</v>
          </cell>
          <cell r="D5" t="str">
            <v>Worst Off</v>
          </cell>
          <cell r="J5" t="str">
            <v>GBP</v>
          </cell>
          <cell r="K5" t="str">
            <v>GBP</v>
          </cell>
          <cell r="L5">
            <v>1</v>
          </cell>
          <cell r="P5">
            <v>3</v>
          </cell>
        </row>
        <row r="6">
          <cell r="C6" t="str">
            <v>ATC1</v>
          </cell>
          <cell r="D6" t="str">
            <v>Autocallable Type I</v>
          </cell>
          <cell r="J6" t="str">
            <v>CHF</v>
          </cell>
          <cell r="K6" t="str">
            <v>CHF</v>
          </cell>
          <cell r="L6">
            <v>2</v>
          </cell>
          <cell r="P6">
            <v>4</v>
          </cell>
        </row>
        <row r="7">
          <cell r="C7" t="str">
            <v>AD1</v>
          </cell>
          <cell r="D7" t="str">
            <v>Annual Digital 1</v>
          </cell>
          <cell r="J7" t="str">
            <v>AUD</v>
          </cell>
          <cell r="K7" t="str">
            <v>AUD</v>
          </cell>
          <cell r="L7">
            <v>3</v>
          </cell>
          <cell r="P7">
            <v>5</v>
          </cell>
        </row>
        <row r="8">
          <cell r="C8" t="str">
            <v>BC2</v>
          </cell>
          <cell r="D8" t="str">
            <v>Bonus Cap 2</v>
          </cell>
          <cell r="J8" t="str">
            <v>CNH</v>
          </cell>
          <cell r="K8" t="str">
            <v>CNH</v>
          </cell>
          <cell r="L8">
            <v>6</v>
          </cell>
          <cell r="P8">
            <v>6</v>
          </cell>
        </row>
        <row r="9">
          <cell r="C9" t="str">
            <v>AD2</v>
          </cell>
          <cell r="D9" t="str">
            <v>Annual Digital 2</v>
          </cell>
          <cell r="J9" t="str">
            <v>BRL</v>
          </cell>
          <cell r="K9" t="str">
            <v>BRL</v>
          </cell>
          <cell r="L9">
            <v>12</v>
          </cell>
          <cell r="P9">
            <v>7</v>
          </cell>
        </row>
        <row r="10">
          <cell r="C10" t="str">
            <v>AD3</v>
          </cell>
          <cell r="D10" t="str">
            <v>Annual Digital 3</v>
          </cell>
          <cell r="J10" t="str">
            <v>NOK</v>
          </cell>
          <cell r="K10" t="str">
            <v>NOK</v>
          </cell>
          <cell r="L10">
            <v>24</v>
          </cell>
          <cell r="P10">
            <v>8</v>
          </cell>
        </row>
        <row r="11">
          <cell r="C11" t="str">
            <v>ATC2</v>
          </cell>
          <cell r="D11" t="str">
            <v>Autocallable Type II</v>
          </cell>
          <cell r="L11">
            <v>36</v>
          </cell>
          <cell r="P11">
            <v>9</v>
          </cell>
        </row>
        <row r="12">
          <cell r="C12" t="str">
            <v>AD4</v>
          </cell>
          <cell r="D12" t="str">
            <v>Annual Digital 3</v>
          </cell>
          <cell r="L12">
            <v>48</v>
          </cell>
          <cell r="P12">
            <v>10</v>
          </cell>
        </row>
        <row r="13">
          <cell r="C13" t="str">
            <v>TW</v>
          </cell>
          <cell r="D13" t="str">
            <v>Twin Win</v>
          </cell>
          <cell r="L13">
            <v>60</v>
          </cell>
          <cell r="P13">
            <v>11</v>
          </cell>
        </row>
        <row r="14">
          <cell r="C14" t="str">
            <v>A</v>
          </cell>
          <cell r="D14" t="str">
            <v>Accelerator</v>
          </cell>
          <cell r="L14">
            <v>72</v>
          </cell>
          <cell r="P14">
            <v>12</v>
          </cell>
        </row>
        <row r="15">
          <cell r="C15" t="str">
            <v>AD5</v>
          </cell>
          <cell r="D15" t="str">
            <v>Annual Digital 5</v>
          </cell>
          <cell r="L15">
            <v>84</v>
          </cell>
          <cell r="P15">
            <v>13</v>
          </cell>
        </row>
        <row r="16">
          <cell r="C16" t="str">
            <v>BC3</v>
          </cell>
          <cell r="D16" t="str">
            <v>Bonus Cap 3</v>
          </cell>
          <cell r="L16">
            <v>96</v>
          </cell>
        </row>
        <row r="17">
          <cell r="C17" t="str">
            <v>CWC</v>
          </cell>
          <cell r="D17" t="str">
            <v xml:space="preserve"> Covered Warrant Call</v>
          </cell>
          <cell r="L17">
            <v>108</v>
          </cell>
        </row>
        <row r="18">
          <cell r="C18" t="str">
            <v>CWP</v>
          </cell>
          <cell r="D18" t="str">
            <v xml:space="preserve"> Covered Warrant Put</v>
          </cell>
          <cell r="L18">
            <v>120</v>
          </cell>
        </row>
        <row r="19">
          <cell r="C19" t="str">
            <v>AD6</v>
          </cell>
          <cell r="D19" t="str">
            <v>Annual Digital 6</v>
          </cell>
          <cell r="L19">
            <v>180</v>
          </cell>
        </row>
        <row r="20">
          <cell r="C20" t="str">
            <v>CMS</v>
          </cell>
          <cell r="D20" t="str">
            <v>Constant Maturity Swap Note</v>
          </cell>
          <cell r="L20">
            <v>240</v>
          </cell>
        </row>
        <row r="21">
          <cell r="C21" t="str">
            <v>WO1</v>
          </cell>
          <cell r="D21" t="str">
            <v>Worst Off 1</v>
          </cell>
          <cell r="L21">
            <v>360</v>
          </cell>
        </row>
        <row r="22">
          <cell r="C22" t="str">
            <v>AD7</v>
          </cell>
          <cell r="D22" t="str">
            <v>Annual Digital 7</v>
          </cell>
        </row>
        <row r="23">
          <cell r="C23" t="str">
            <v>MLC1</v>
          </cell>
          <cell r="D23" t="str">
            <v>Max Long Cap 1</v>
          </cell>
        </row>
        <row r="24">
          <cell r="C24" t="str">
            <v>MLC2</v>
          </cell>
          <cell r="D24" t="str">
            <v>Max Long Cap 2</v>
          </cell>
        </row>
        <row r="25">
          <cell r="C25" t="str">
            <v>DBD</v>
          </cell>
          <cell r="D25" t="str">
            <v>Double Barrier Digital</v>
          </cell>
        </row>
        <row r="26">
          <cell r="C26" t="str">
            <v>MLC3</v>
          </cell>
          <cell r="D26" t="str">
            <v>Max Long Cap 3</v>
          </cell>
        </row>
        <row r="27">
          <cell r="C27" t="str">
            <v>OR</v>
          </cell>
          <cell r="D27" t="str">
            <v>Obiettivo Rendimento</v>
          </cell>
        </row>
        <row r="28">
          <cell r="C28" t="str">
            <v>ATD1</v>
          </cell>
          <cell r="D28" t="str">
            <v>Autocallable Digital</v>
          </cell>
        </row>
        <row r="29">
          <cell r="C29" t="str">
            <v>PEL</v>
          </cell>
          <cell r="D29" t="str">
            <v>Podium Equity Linked</v>
          </cell>
        </row>
        <row r="30">
          <cell r="C30" t="str">
            <v>TCA</v>
          </cell>
          <cell r="D30" t="str">
            <v>Tasso Certo Ammortizzato</v>
          </cell>
        </row>
        <row r="31">
          <cell r="C31" t="str">
            <v>TC</v>
          </cell>
          <cell r="D31" t="str">
            <v>Tasso Certo</v>
          </cell>
        </row>
        <row r="32">
          <cell r="C32" t="str">
            <v>ILC</v>
          </cell>
          <cell r="D32" t="str">
            <v>Inflation Linked Payoff</v>
          </cell>
        </row>
        <row r="33">
          <cell r="C33" t="str">
            <v>TPPUA</v>
          </cell>
          <cell r="D33" t="str">
            <v>Tasso Protetto Premio Unico Ammortizzato</v>
          </cell>
        </row>
        <row r="34">
          <cell r="C34" t="str">
            <v>TPPFA</v>
          </cell>
          <cell r="D34" t="str">
            <v>Tasso Protetto Premio Frazionato Ammortizzato</v>
          </cell>
        </row>
        <row r="35">
          <cell r="C35" t="str">
            <v>CPPVE</v>
          </cell>
          <cell r="D35" t="str">
            <v>Cambio Protetto Plain Vanilla Export</v>
          </cell>
        </row>
        <row r="36">
          <cell r="C36" t="str">
            <v>CPPVI</v>
          </cell>
          <cell r="D36" t="str">
            <v>Cambio Protetto Plain Vanilla Import</v>
          </cell>
        </row>
        <row r="37">
          <cell r="C37" t="str">
            <v>CCTI</v>
          </cell>
          <cell r="D37" t="str">
            <v>Cambio Certo Termine Import</v>
          </cell>
        </row>
        <row r="38">
          <cell r="C38" t="str">
            <v>CCTE</v>
          </cell>
          <cell r="D38" t="str">
            <v>Cambio Certo Termine Export</v>
          </cell>
        </row>
        <row r="39">
          <cell r="C39" t="str">
            <v>CPFKII</v>
          </cell>
          <cell r="D39" t="str">
            <v>Cambio Protetto Forward KI Import</v>
          </cell>
        </row>
        <row r="40">
          <cell r="C40" t="str">
            <v>CPFKIE</v>
          </cell>
          <cell r="D40" t="str">
            <v>Cambio Protetto Forward KI Export</v>
          </cell>
        </row>
        <row r="41">
          <cell r="C41" t="str">
            <v>AD8</v>
          </cell>
          <cell r="D41" t="str">
            <v>Annual Digital 8</v>
          </cell>
        </row>
        <row r="42">
          <cell r="C42" t="str">
            <v>CPCI</v>
          </cell>
          <cell r="D42" t="str">
            <v>Cambio Protetto Collar Import</v>
          </cell>
        </row>
        <row r="43">
          <cell r="C43" t="str">
            <v>CPCE</v>
          </cell>
          <cell r="D43" t="str">
            <v>Cambio Protetto Collar Export</v>
          </cell>
        </row>
        <row r="44">
          <cell r="C44" t="str">
            <v>CCPI</v>
          </cell>
          <cell r="D44" t="str">
            <v>Cambio Certo Plafond Import</v>
          </cell>
        </row>
        <row r="45">
          <cell r="C45" t="str">
            <v>CCPE</v>
          </cell>
          <cell r="D45" t="str">
            <v>Cambio Certo Plafond Export</v>
          </cell>
        </row>
        <row r="46">
          <cell r="C46" t="str">
            <v>CPCA</v>
          </cell>
          <cell r="D46" t="str">
            <v>Commodiy Prezzo Certo Acquisto</v>
          </cell>
        </row>
        <row r="47">
          <cell r="C47" t="str">
            <v>CPCV</v>
          </cell>
          <cell r="D47" t="str">
            <v>Commodiy Prezzo Certo Vendita</v>
          </cell>
        </row>
        <row r="48">
          <cell r="C48" t="str">
            <v>TPPU</v>
          </cell>
          <cell r="D48" t="str">
            <v>Tasso Protetto Premio Unico</v>
          </cell>
        </row>
        <row r="49">
          <cell r="C49" t="str">
            <v>TCS</v>
          </cell>
          <cell r="D49" t="str">
            <v>Tasso Certo Super</v>
          </cell>
        </row>
        <row r="50">
          <cell r="C50" t="str">
            <v>TCSA</v>
          </cell>
          <cell r="D50" t="str">
            <v>Tasso Certo Super Ammortizzato</v>
          </cell>
        </row>
        <row r="51">
          <cell r="C51" t="str">
            <v>CPFKIKOI</v>
          </cell>
          <cell r="D51" t="str">
            <v>Cambio Protetto Knock In Knock Out Import</v>
          </cell>
        </row>
        <row r="52">
          <cell r="C52" t="str">
            <v>CPFKIKOE</v>
          </cell>
          <cell r="D52" t="str">
            <v>Cambio Protetto Knock In Knock Out Export</v>
          </cell>
        </row>
        <row r="53">
          <cell r="C53" t="str">
            <v>LB</v>
          </cell>
          <cell r="D53" t="str">
            <v>Long Benchmark</v>
          </cell>
        </row>
        <row r="54">
          <cell r="C54" t="str">
            <v>CPCKII</v>
          </cell>
          <cell r="D54" t="str">
            <v>Cambio Protetto Collar Knock In Import</v>
          </cell>
        </row>
        <row r="55">
          <cell r="C55" t="str">
            <v>CPCKIE</v>
          </cell>
          <cell r="D55" t="str">
            <v>Cambio Protetto Collar Knock In Export</v>
          </cell>
        </row>
        <row r="56">
          <cell r="C56" t="str">
            <v>MLC4</v>
          </cell>
          <cell r="D56" t="str">
            <v>Max Long Cap 4 (Short)</v>
          </cell>
        </row>
        <row r="57">
          <cell r="C57" t="str">
            <v>MLC5</v>
          </cell>
          <cell r="D57" t="str">
            <v>Max Long Cap 5 (Lock In)</v>
          </cell>
        </row>
        <row r="58">
          <cell r="C58" t="str">
            <v>F2F1</v>
          </cell>
          <cell r="D58" t="str">
            <v>Fix to Floater 1</v>
          </cell>
        </row>
        <row r="59">
          <cell r="C59" t="str">
            <v>FRC</v>
          </cell>
          <cell r="D59" t="str">
            <v>Fix Rate Currency</v>
          </cell>
        </row>
        <row r="60">
          <cell r="C60" t="str">
            <v>TPPF</v>
          </cell>
          <cell r="D60" t="str">
            <v>Tasso Protetto Premio Frazionato</v>
          </cell>
          <cell r="G60"/>
        </row>
        <row r="61">
          <cell r="C61" t="str">
            <v>ATD2</v>
          </cell>
          <cell r="D61" t="str">
            <v>Autocallable Digital 2</v>
          </cell>
        </row>
        <row r="62">
          <cell r="C62" t="str">
            <v>WOATD</v>
          </cell>
          <cell r="D62" t="str">
            <v>Worst Of Autocallable Digital</v>
          </cell>
        </row>
        <row r="63">
          <cell r="C63" t="str">
            <v>ADS</v>
          </cell>
          <cell r="D63" t="str">
            <v>Annual Digital Short</v>
          </cell>
        </row>
        <row r="64">
          <cell r="C64" t="str">
            <v>GAP</v>
          </cell>
          <cell r="D64" t="str">
            <v>Gap Long Certificate</v>
          </cell>
        </row>
        <row r="65">
          <cell r="C65" t="str">
            <v>CDAI</v>
          </cell>
          <cell r="D65" t="str">
            <v>Cambio Dinamico - Accumulator Import</v>
          </cell>
        </row>
        <row r="66">
          <cell r="C66" t="str">
            <v>CDALI</v>
          </cell>
          <cell r="D66" t="str">
            <v>Cambio Dinamico - Accumulator Leva Import</v>
          </cell>
        </row>
        <row r="67">
          <cell r="C67" t="str">
            <v>DBD2</v>
          </cell>
          <cell r="D67" t="str">
            <v>Double Barrier Digital 2</v>
          </cell>
        </row>
        <row r="68">
          <cell r="C68" t="str">
            <v>LECOIP</v>
          </cell>
          <cell r="D68" t="str">
            <v>Certificate LECOIP</v>
          </cell>
        </row>
        <row r="69">
          <cell r="C69" t="str">
            <v>WO2</v>
          </cell>
          <cell r="D69" t="str">
            <v>Worst Of 2 (Digital, Memory)</v>
          </cell>
        </row>
        <row r="70">
          <cell r="C70" t="str">
            <v>MLC6</v>
          </cell>
          <cell r="D70" t="str">
            <v>Max Long Cap 6</v>
          </cell>
          <cell r="I70"/>
        </row>
        <row r="71">
          <cell r="C71" t="str">
            <v>MLCD</v>
          </cell>
          <cell r="D71" t="str">
            <v>Max Long Cap Digital</v>
          </cell>
          <cell r="F71"/>
        </row>
        <row r="72">
          <cell r="C72" t="str">
            <v>ATCTW</v>
          </cell>
          <cell r="D72" t="str">
            <v>Autocallable Twin Win</v>
          </cell>
        </row>
        <row r="73">
          <cell r="C73" t="str">
            <v>ATD2</v>
          </cell>
          <cell r="D73" t="str">
            <v>Autocallable Digital 2</v>
          </cell>
        </row>
        <row r="74">
          <cell r="C74" t="str">
            <v>TWKO</v>
          </cell>
          <cell r="D74" t="str">
            <v>Twin Win con Knock-Out Americano</v>
          </cell>
        </row>
        <row r="75">
          <cell r="C75" t="str">
            <v>CPBFI</v>
          </cell>
          <cell r="D75" t="str">
            <v>Cambio Protetto Best Forward Import</v>
          </cell>
        </row>
        <row r="76">
          <cell r="C76" t="str">
            <v>CPBFE</v>
          </cell>
          <cell r="D76" t="str">
            <v>Cambio Protetto Best Forward Export</v>
          </cell>
        </row>
        <row r="77">
          <cell r="C77" t="str">
            <v>WOBtest</v>
          </cell>
          <cell r="D77" t="str">
            <v>Test Worst Of Basket</v>
          </cell>
        </row>
        <row r="78">
          <cell r="C78" t="str">
            <v>MLC8</v>
          </cell>
          <cell r="D78" t="str">
            <v>Max Long Cap 8</v>
          </cell>
        </row>
        <row r="79">
          <cell r="C79" t="str">
            <v>MLCD1</v>
          </cell>
          <cell r="D79" t="str">
            <v>Max Long Cap Digital 1</v>
          </cell>
        </row>
        <row r="80">
          <cell r="C80" t="str">
            <v>AVC1</v>
          </cell>
          <cell r="D80" t="str">
            <v>Annual Variable Coupon 1</v>
          </cell>
        </row>
        <row r="81">
          <cell r="C81" t="str">
            <v>SC</v>
          </cell>
          <cell r="D81" t="str">
            <v>Switch Certificate</v>
          </cell>
        </row>
        <row r="82">
          <cell r="C82" t="str">
            <v>MSBC1</v>
          </cell>
          <cell r="D82" t="str">
            <v>Max Short Barrier Cap 1</v>
          </cell>
        </row>
        <row r="83">
          <cell r="C83" t="str">
            <v>AVC2</v>
          </cell>
          <cell r="D83" t="str">
            <v>Annual Variable Coupon 2</v>
          </cell>
        </row>
        <row r="84">
          <cell r="C84" t="str">
            <v>BC4</v>
          </cell>
          <cell r="D84" t="str">
            <v>Bonus Cap 4 (Basket)</v>
          </cell>
        </row>
        <row r="85">
          <cell r="C85" t="str">
            <v>WOBC1</v>
          </cell>
          <cell r="D85" t="str">
            <v>Worst Of Bonus Cap 1</v>
          </cell>
        </row>
        <row r="86">
          <cell r="C86" t="str">
            <v>WOD1</v>
          </cell>
          <cell r="D86" t="str">
            <v>Worst Of Digital 1</v>
          </cell>
        </row>
      </sheetData>
      <sheetData sheetId="1">
        <row r="2">
          <cell r="A2" t="str">
            <v>D:</v>
          </cell>
          <cell r="B2" t="str">
            <v>daily</v>
          </cell>
          <cell r="D2" t="str">
            <v>MLC</v>
          </cell>
          <cell r="E2" t="str">
            <v>Max Long Cap</v>
          </cell>
          <cell r="G2" t="str">
            <v>New</v>
          </cell>
          <cell r="H2" t="str">
            <v>Emissione</v>
          </cell>
          <cell r="J2" t="str">
            <v>Boot</v>
          </cell>
          <cell r="K2" t="str">
            <v>Bootstrapping</v>
          </cell>
          <cell r="M2">
            <v>0</v>
          </cell>
          <cell r="N2" t="str">
            <v>Actual/Actual</v>
          </cell>
        </row>
        <row r="3">
          <cell r="A3" t="str">
            <v>W:</v>
          </cell>
          <cell r="B3" t="str">
            <v>weekly</v>
          </cell>
          <cell r="D3" t="str">
            <v>BC1</v>
          </cell>
          <cell r="E3" t="str">
            <v>Bonus Cap 1</v>
          </cell>
          <cell r="G3" t="str">
            <v>Re</v>
          </cell>
          <cell r="H3" t="str">
            <v>Repricing</v>
          </cell>
          <cell r="J3" t="str">
            <v>PCA</v>
          </cell>
          <cell r="K3" t="str">
            <v>Principal Component Analysis</v>
          </cell>
          <cell r="M3">
            <v>1</v>
          </cell>
          <cell r="N3" t="str">
            <v>30/360 (SIA)</v>
          </cell>
        </row>
        <row r="4">
          <cell r="A4" t="str">
            <v>M:</v>
          </cell>
          <cell r="B4" t="str">
            <v>monthly</v>
          </cell>
          <cell r="D4" t="str">
            <v>F2F</v>
          </cell>
          <cell r="E4" t="str">
            <v>Fix to Floater</v>
          </cell>
          <cell r="M4">
            <v>2</v>
          </cell>
          <cell r="N4" t="str">
            <v>actual/360</v>
          </cell>
        </row>
        <row r="5">
          <cell r="A5" t="str">
            <v>Y:</v>
          </cell>
          <cell r="B5" t="str">
            <v>yearly</v>
          </cell>
          <cell r="D5" t="str">
            <v>WO</v>
          </cell>
          <cell r="E5" t="str">
            <v>Worst Off</v>
          </cell>
          <cell r="M5">
            <v>3</v>
          </cell>
          <cell r="N5" t="str">
            <v>actual/365</v>
          </cell>
        </row>
        <row r="6">
          <cell r="D6" t="str">
            <v>ATC1</v>
          </cell>
          <cell r="E6" t="str">
            <v>Autocallable Type I</v>
          </cell>
          <cell r="M6">
            <v>4</v>
          </cell>
          <cell r="N6" t="str">
            <v>30/360 (BMA)</v>
          </cell>
        </row>
        <row r="7">
          <cell r="D7" t="str">
            <v>AD1</v>
          </cell>
          <cell r="E7" t="str">
            <v>Annual Digital 1</v>
          </cell>
          <cell r="M7">
            <v>5</v>
          </cell>
          <cell r="N7" t="str">
            <v>30/360 (ISDA)</v>
          </cell>
        </row>
        <row r="8">
          <cell r="D8" t="str">
            <v>BC2</v>
          </cell>
          <cell r="E8" t="str">
            <v>Bonus Cap 2</v>
          </cell>
          <cell r="M8">
            <v>6</v>
          </cell>
          <cell r="N8" t="str">
            <v>30/360 (European)</v>
          </cell>
        </row>
        <row r="9">
          <cell r="D9" t="str">
            <v>AD2</v>
          </cell>
          <cell r="E9" t="str">
            <v>Annual Digital 2</v>
          </cell>
          <cell r="M9">
            <v>7</v>
          </cell>
          <cell r="N9" t="str">
            <v>actual/365 (Japanese)</v>
          </cell>
        </row>
        <row r="10">
          <cell r="D10" t="str">
            <v>AD3</v>
          </cell>
          <cell r="E10" t="str">
            <v>Annual Digital 3</v>
          </cell>
          <cell r="M10">
            <v>8</v>
          </cell>
          <cell r="N10" t="str">
            <v>actual/actual (ICMA)</v>
          </cell>
        </row>
        <row r="11">
          <cell r="D11" t="str">
            <v>ATC2</v>
          </cell>
          <cell r="E11" t="str">
            <v>Autocallable Type II</v>
          </cell>
          <cell r="M11">
            <v>9</v>
          </cell>
          <cell r="N11" t="str">
            <v>actual/360 (ICMA)</v>
          </cell>
        </row>
        <row r="12">
          <cell r="D12" t="str">
            <v>AD4</v>
          </cell>
          <cell r="E12" t="str">
            <v>Annual Digital 3</v>
          </cell>
          <cell r="M12">
            <v>10</v>
          </cell>
          <cell r="N12" t="str">
            <v>actual/365 (ICMA)</v>
          </cell>
        </row>
        <row r="13">
          <cell r="D13" t="str">
            <v>TW</v>
          </cell>
          <cell r="E13" t="str">
            <v>Twin Win</v>
          </cell>
          <cell r="M13">
            <v>11</v>
          </cell>
          <cell r="N13" t="str">
            <v>30/360E (ICMA)</v>
          </cell>
        </row>
        <row r="14">
          <cell r="D14" t="str">
            <v>A</v>
          </cell>
          <cell r="E14" t="str">
            <v>Accelerator</v>
          </cell>
          <cell r="M14">
            <v>12</v>
          </cell>
          <cell r="N14" t="str">
            <v>actual/365 (ISDA)</v>
          </cell>
        </row>
        <row r="15">
          <cell r="D15" t="str">
            <v>AD5</v>
          </cell>
          <cell r="E15" t="str">
            <v>Annual Digital 5</v>
          </cell>
          <cell r="M15">
            <v>13</v>
          </cell>
          <cell r="N15" t="str">
            <v>BUS/252</v>
          </cell>
        </row>
        <row r="16">
          <cell r="D16" t="str">
            <v>BC3</v>
          </cell>
          <cell r="E16" t="str">
            <v>Bonus Cap 3</v>
          </cell>
        </row>
        <row r="17">
          <cell r="D17" t="str">
            <v>CWC</v>
          </cell>
          <cell r="E17" t="str">
            <v xml:space="preserve"> Covered Warrant Call</v>
          </cell>
        </row>
        <row r="18">
          <cell r="D18" t="str">
            <v>CWP</v>
          </cell>
          <cell r="E18" t="str">
            <v xml:space="preserve"> Covered Warrant Put</v>
          </cell>
        </row>
        <row r="19">
          <cell r="D19" t="str">
            <v>AD6</v>
          </cell>
          <cell r="E19" t="str">
            <v>Annual Digital 6</v>
          </cell>
        </row>
        <row r="20">
          <cell r="D20" t="str">
            <v>CMS</v>
          </cell>
          <cell r="E20" t="str">
            <v>Constant Maturity Swap Note</v>
          </cell>
        </row>
        <row r="21">
          <cell r="D21" t="str">
            <v>TPU</v>
          </cell>
          <cell r="E21" t="str">
            <v>Tasso Protetto Premio Unico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poggio"/>
      <sheetName val="Legenda"/>
    </sheetNames>
    <sheetDataSet>
      <sheetData sheetId="0">
        <row r="2">
          <cell r="A2" t="str">
            <v>D</v>
          </cell>
        </row>
      </sheetData>
      <sheetData sheetId="1">
        <row r="2">
          <cell r="A2" t="str">
            <v>D:</v>
          </cell>
        </row>
      </sheetData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3">
    <tabColor theme="6" tint="-0.499984740745262"/>
  </sheetPr>
  <dimension ref="A1:D26"/>
  <sheetViews>
    <sheetView zoomScale="220" zoomScaleNormal="220" workbookViewId="0"/>
  </sheetViews>
  <sheetFormatPr defaultColWidth="9.125" defaultRowHeight="10.9" x14ac:dyDescent="0.25"/>
  <cols>
    <col min="1" max="1" width="12" style="1" bestFit="1" customWidth="1"/>
    <col min="2" max="2" width="8.375" style="1" customWidth="1"/>
    <col min="3" max="16384" width="9.125" style="1"/>
  </cols>
  <sheetData>
    <row r="1" spans="1:4" x14ac:dyDescent="0.25">
      <c r="A1" s="13" t="s">
        <v>74</v>
      </c>
      <c r="B1" s="28">
        <f>'PRODUCT INFO'!E3</f>
        <v>43553</v>
      </c>
    </row>
    <row r="2" spans="1:4" s="57" customFormat="1" x14ac:dyDescent="0.25">
      <c r="B2" s="57">
        <v>1</v>
      </c>
      <c r="D2" s="57">
        <v>2</v>
      </c>
    </row>
    <row r="3" spans="1:4" x14ac:dyDescent="0.25">
      <c r="A3" s="13" t="s">
        <v>70</v>
      </c>
      <c r="B3" s="29" t="s">
        <v>357</v>
      </c>
      <c r="C3" s="13" t="s">
        <v>70</v>
      </c>
      <c r="D3" s="29" t="s">
        <v>358</v>
      </c>
    </row>
    <row r="4" spans="1:4" x14ac:dyDescent="0.25">
      <c r="A4" s="13" t="s">
        <v>73</v>
      </c>
      <c r="B4" s="29" t="s">
        <v>355</v>
      </c>
      <c r="C4" s="13" t="s">
        <v>73</v>
      </c>
      <c r="D4" s="29" t="s">
        <v>359</v>
      </c>
    </row>
    <row r="5" spans="1:4" x14ac:dyDescent="0.25">
      <c r="A5" s="13" t="s">
        <v>72</v>
      </c>
      <c r="B5" s="29" t="s">
        <v>356</v>
      </c>
      <c r="C5" s="13" t="s">
        <v>72</v>
      </c>
      <c r="D5" s="29" t="s">
        <v>356</v>
      </c>
    </row>
    <row r="6" spans="1:4" x14ac:dyDescent="0.25">
      <c r="A6" s="13" t="s">
        <v>82</v>
      </c>
      <c r="B6" s="29" t="s">
        <v>190</v>
      </c>
      <c r="C6" s="13" t="s">
        <v>82</v>
      </c>
      <c r="D6" s="29" t="s">
        <v>190</v>
      </c>
    </row>
    <row r="7" spans="1:4" x14ac:dyDescent="0.25">
      <c r="A7" s="13" t="s">
        <v>71</v>
      </c>
      <c r="B7" s="29" t="s">
        <v>47</v>
      </c>
      <c r="C7" s="13" t="s">
        <v>71</v>
      </c>
      <c r="D7" s="29" t="s">
        <v>47</v>
      </c>
    </row>
    <row r="8" spans="1:4" x14ac:dyDescent="0.25">
      <c r="A8" s="13" t="s">
        <v>14</v>
      </c>
      <c r="B8" s="29" t="s">
        <v>39</v>
      </c>
      <c r="C8" s="13" t="s">
        <v>14</v>
      </c>
      <c r="D8" s="29" t="s">
        <v>39</v>
      </c>
    </row>
    <row r="9" spans="1:4" x14ac:dyDescent="0.25">
      <c r="A9" s="13" t="s">
        <v>75</v>
      </c>
      <c r="B9" s="29">
        <v>1</v>
      </c>
      <c r="C9" s="13" t="s">
        <v>75</v>
      </c>
      <c r="D9" s="29">
        <v>1</v>
      </c>
    </row>
    <row r="10" spans="1:4" x14ac:dyDescent="0.25">
      <c r="A10" s="13" t="s">
        <v>37</v>
      </c>
      <c r="B10" s="29">
        <v>0</v>
      </c>
      <c r="C10" s="13" t="s">
        <v>37</v>
      </c>
      <c r="D10" s="29">
        <v>0</v>
      </c>
    </row>
    <row r="11" spans="1:4" x14ac:dyDescent="0.25">
      <c r="A11" s="13" t="s">
        <v>36</v>
      </c>
      <c r="B11" s="61">
        <v>0</v>
      </c>
      <c r="C11" s="13" t="s">
        <v>36</v>
      </c>
      <c r="D11" s="61">
        <v>0</v>
      </c>
    </row>
    <row r="12" spans="1:4" x14ac:dyDescent="0.25">
      <c r="A12" s="13" t="s">
        <v>44</v>
      </c>
      <c r="B12" s="29">
        <v>0</v>
      </c>
      <c r="C12" s="13" t="s">
        <v>44</v>
      </c>
      <c r="D12" s="29">
        <v>0</v>
      </c>
    </row>
    <row r="14" spans="1:4" x14ac:dyDescent="0.25">
      <c r="A14" s="24"/>
      <c r="B14" s="30"/>
    </row>
    <row r="15" spans="1:4" x14ac:dyDescent="0.25">
      <c r="A15" s="24"/>
      <c r="B15" s="30"/>
    </row>
    <row r="16" spans="1:4" x14ac:dyDescent="0.25">
      <c r="A16" s="24"/>
      <c r="B16" s="30"/>
    </row>
    <row r="17" spans="1:3" x14ac:dyDescent="0.25">
      <c r="A17" s="24"/>
      <c r="B17" s="30"/>
    </row>
    <row r="25" spans="1:3" x14ac:dyDescent="0.25">
      <c r="B25" s="2"/>
      <c r="C25" s="3"/>
    </row>
    <row r="26" spans="1:3" x14ac:dyDescent="0.25">
      <c r="B26" s="2"/>
      <c r="C26" s="3"/>
    </row>
  </sheetData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8">
        <x14:dataValidation type="list" allowBlank="1" showInputMessage="1" showErrorMessage="1" xr:uid="{00000000-0002-0000-0000-000000000000}">
          <x14:formula1>
            <xm:f>Appoggio!$B$2:$B$100</xm:f>
          </x14:formula1>
          <xm:sqref>B5 D5</xm:sqref>
        </x14:dataValidation>
        <x14:dataValidation type="list" allowBlank="1" showInputMessage="1" showErrorMessage="1" xr:uid="{00000000-0002-0000-0000-000001000000}">
          <x14:formula1>
            <xm:f>Appoggio!$H$2:$H$100</xm:f>
          </x14:formula1>
          <xm:sqref>B8 D8</xm:sqref>
        </x14:dataValidation>
        <x14:dataValidation type="list" allowBlank="1" showInputMessage="1" showErrorMessage="1" xr:uid="{00000000-0002-0000-0000-000002000000}">
          <x14:formula1>
            <xm:f>Appoggio!$J$2:$J$100</xm:f>
          </x14:formula1>
          <xm:sqref>B6 D6</xm:sqref>
        </x14:dataValidation>
        <x14:dataValidation type="list" allowBlank="1" showInputMessage="1" showErrorMessage="1" xr:uid="{00000000-0002-0000-0000-000003000000}">
          <x14:formula1>
            <xm:f>Appoggio!$N$2:$N$3</xm:f>
          </x14:formula1>
          <xm:sqref>B12 D12</xm:sqref>
        </x14:dataValidation>
        <x14:dataValidation type="list" allowBlank="1" showInputMessage="1" showErrorMessage="1" xr:uid="{00000000-0002-0000-0000-000004000000}">
          <x14:formula1>
            <xm:f>Appoggio!$L$2:$L$21</xm:f>
          </x14:formula1>
          <xm:sqref>B10 D10</xm:sqref>
        </x14:dataValidation>
        <x14:dataValidation type="list" allowBlank="1" showInputMessage="1" showErrorMessage="1" xr:uid="{00000000-0002-0000-0000-000005000000}">
          <x14:formula1>
            <xm:f>Appoggio!$O$2:$O$100</xm:f>
          </x14:formula1>
          <xm:sqref>B9 D9</xm:sqref>
        </x14:dataValidation>
        <x14:dataValidation type="list" allowBlank="1" showInputMessage="1" showErrorMessage="1" xr:uid="{00000000-0002-0000-0000-000006000000}">
          <x14:formula1>
            <xm:f>Appoggio!$M$2:$M$100</xm:f>
          </x14:formula1>
          <xm:sqref>B11 D11</xm:sqref>
        </x14:dataValidation>
        <x14:dataValidation type="list" allowBlank="1" showInputMessage="1" showErrorMessage="1" xr:uid="{00000000-0002-0000-0000-000007000000}">
          <x14:formula1>
            <xm:f>Appoggio!$A$2:$A$100</xm:f>
          </x14:formula1>
          <xm:sqref>B7 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7">
    <tabColor theme="6" tint="-0.499984740745262"/>
  </sheetPr>
  <dimension ref="A1:U2630"/>
  <sheetViews>
    <sheetView zoomScale="115" zoomScaleNormal="115" workbookViewId="0"/>
  </sheetViews>
  <sheetFormatPr defaultColWidth="9.125" defaultRowHeight="10.9" x14ac:dyDescent="0.25"/>
  <cols>
    <col min="1" max="1" width="10.375" style="6" customWidth="1"/>
    <col min="2" max="2" width="11.625" style="6" bestFit="1" customWidth="1"/>
    <col min="3" max="3" width="11.125" style="6" bestFit="1" customWidth="1"/>
    <col min="4" max="4" width="10.375" style="6" customWidth="1"/>
    <col min="5" max="5" width="7.625" style="6" bestFit="1" customWidth="1"/>
    <col min="6" max="6" width="10" style="6" bestFit="1" customWidth="1"/>
    <col min="7" max="7" width="8.75" style="6" bestFit="1" customWidth="1"/>
    <col min="8" max="8" width="10.25" style="6" bestFit="1" customWidth="1"/>
    <col min="9" max="9" width="13.625" style="6" bestFit="1" customWidth="1"/>
    <col min="10" max="10" width="9.375" style="6" bestFit="1" customWidth="1"/>
    <col min="11" max="13" width="10.375" style="6" customWidth="1"/>
    <col min="14" max="14" width="12" style="6" bestFit="1" customWidth="1"/>
    <col min="15" max="15" width="8" style="6" bestFit="1" customWidth="1"/>
    <col min="16" max="25" width="10.375" style="6" customWidth="1"/>
    <col min="26" max="26" width="9.125" style="6" customWidth="1"/>
    <col min="27" max="16384" width="9.125" style="6"/>
  </cols>
  <sheetData>
    <row r="1" spans="2:21" x14ac:dyDescent="0.25">
      <c r="B1" s="106" t="s">
        <v>54</v>
      </c>
      <c r="C1" s="106"/>
      <c r="E1" s="108" t="s">
        <v>55</v>
      </c>
      <c r="F1" s="108"/>
      <c r="G1" s="108"/>
      <c r="H1" s="108"/>
      <c r="I1" s="108"/>
      <c r="J1" s="108"/>
      <c r="L1" s="106" t="s">
        <v>10</v>
      </c>
      <c r="M1" s="106"/>
      <c r="O1" s="108" t="s">
        <v>56</v>
      </c>
      <c r="P1" s="108"/>
      <c r="Q1" s="56"/>
      <c r="R1" s="38"/>
      <c r="S1" s="106" t="s">
        <v>31</v>
      </c>
      <c r="T1" s="106"/>
      <c r="U1" s="38"/>
    </row>
    <row r="2" spans="2:21" x14ac:dyDescent="0.25">
      <c r="B2" s="12" t="s">
        <v>15</v>
      </c>
      <c r="C2" s="17" t="s">
        <v>354</v>
      </c>
      <c r="E2" s="12" t="s">
        <v>29</v>
      </c>
      <c r="F2" s="12" t="s">
        <v>30</v>
      </c>
      <c r="G2" s="12" t="s">
        <v>24</v>
      </c>
      <c r="H2" s="12" t="s">
        <v>147</v>
      </c>
      <c r="I2" s="12" t="s">
        <v>157</v>
      </c>
      <c r="J2" s="12" t="s">
        <v>83</v>
      </c>
      <c r="L2" s="12" t="s">
        <v>68</v>
      </c>
      <c r="M2" s="12" t="s">
        <v>69</v>
      </c>
      <c r="O2" s="12" t="s">
        <v>155</v>
      </c>
      <c r="P2" s="12" t="s">
        <v>156</v>
      </c>
      <c r="S2" s="12"/>
      <c r="T2" s="12"/>
    </row>
    <row r="3" spans="2:21" ht="11.25" customHeight="1" x14ac:dyDescent="0.25">
      <c r="B3" s="12" t="s">
        <v>16</v>
      </c>
      <c r="C3" s="12">
        <f>IF(E3&lt;=H3,ROUND(YEARFRAC(MAX(H3:I100),H3,1),4),ROUND(YEARFRAC(MAX(H3:I100),E3,1),4))</f>
        <v>6.0007999999999999</v>
      </c>
      <c r="E3" s="28">
        <v>43553</v>
      </c>
      <c r="F3" s="31">
        <v>43622</v>
      </c>
      <c r="G3" s="32">
        <v>1</v>
      </c>
      <c r="H3" s="31">
        <v>43622</v>
      </c>
      <c r="I3" s="31">
        <v>43622</v>
      </c>
      <c r="J3" s="33">
        <v>8</v>
      </c>
      <c r="L3" s="12" t="s">
        <v>193</v>
      </c>
      <c r="M3" s="101">
        <v>0.75</v>
      </c>
      <c r="N3" s="6" t="s">
        <v>361</v>
      </c>
      <c r="O3" s="12" t="s">
        <v>164</v>
      </c>
      <c r="P3" s="37" t="str">
        <f>L4</f>
        <v>B2</v>
      </c>
      <c r="R3" s="39"/>
      <c r="S3" s="12" t="s">
        <v>11</v>
      </c>
      <c r="T3" s="36">
        <v>10000</v>
      </c>
      <c r="U3" s="39"/>
    </row>
    <row r="4" spans="2:21" x14ac:dyDescent="0.25">
      <c r="B4" s="12" t="s">
        <v>14</v>
      </c>
      <c r="C4" s="33" t="s">
        <v>340</v>
      </c>
      <c r="F4" s="31">
        <v>43707</v>
      </c>
      <c r="G4" s="32">
        <v>1</v>
      </c>
      <c r="H4" s="31">
        <v>43714</v>
      </c>
      <c r="I4" s="31">
        <v>43714</v>
      </c>
      <c r="J4" s="62"/>
      <c r="L4" s="12" t="s">
        <v>151</v>
      </c>
      <c r="M4" s="34">
        <v>0.75</v>
      </c>
      <c r="O4" s="12" t="s">
        <v>194</v>
      </c>
      <c r="P4" s="37" t="str">
        <f>L5</f>
        <v>B3</v>
      </c>
      <c r="R4" s="39"/>
      <c r="S4" s="12" t="s">
        <v>66</v>
      </c>
      <c r="T4" s="33" t="s">
        <v>65</v>
      </c>
      <c r="U4" s="39"/>
    </row>
    <row r="5" spans="2:21" ht="11.25" customHeight="1" x14ac:dyDescent="0.25">
      <c r="B5" s="12" t="s">
        <v>18</v>
      </c>
      <c r="C5" s="33">
        <v>3</v>
      </c>
      <c r="F5" s="31">
        <v>43801</v>
      </c>
      <c r="G5" s="32">
        <v>1</v>
      </c>
      <c r="H5" s="31">
        <v>43808</v>
      </c>
      <c r="I5" s="31">
        <v>43808</v>
      </c>
      <c r="J5" s="62"/>
      <c r="L5" s="12" t="s">
        <v>152</v>
      </c>
      <c r="M5" s="34">
        <v>0.75</v>
      </c>
      <c r="O5" s="12" t="s">
        <v>196</v>
      </c>
      <c r="P5" s="37" t="str">
        <f>L6</f>
        <v>B4</v>
      </c>
      <c r="R5" s="39"/>
      <c r="S5" s="12" t="s">
        <v>197</v>
      </c>
      <c r="T5" s="33" t="s">
        <v>47</v>
      </c>
      <c r="U5" s="39"/>
    </row>
    <row r="6" spans="2:21" x14ac:dyDescent="0.25">
      <c r="B6" s="12" t="s">
        <v>13</v>
      </c>
      <c r="C6" s="33" t="s">
        <v>195</v>
      </c>
      <c r="F6" s="31">
        <v>43892</v>
      </c>
      <c r="G6" s="32">
        <v>1</v>
      </c>
      <c r="H6" s="31">
        <v>43899</v>
      </c>
      <c r="I6" s="31">
        <v>43899</v>
      </c>
      <c r="J6" s="62"/>
      <c r="L6" s="12" t="s">
        <v>153</v>
      </c>
      <c r="M6" s="34">
        <v>0.75</v>
      </c>
      <c r="O6" s="12" t="s">
        <v>165</v>
      </c>
      <c r="P6" s="37" t="e">
        <f>CONCATENATE(L7," se ",$P$34,"(T)/",$P$34,"(0) &gt;= ",$L$3)</f>
        <v>#VALUE!</v>
      </c>
      <c r="R6" s="39"/>
      <c r="S6" s="12" t="s">
        <v>28</v>
      </c>
      <c r="T6" s="33" t="s">
        <v>26</v>
      </c>
      <c r="U6" s="39"/>
    </row>
    <row r="7" spans="2:21" x14ac:dyDescent="0.25">
      <c r="B7" s="12" t="s">
        <v>17</v>
      </c>
      <c r="C7" s="94">
        <f>IF(C14="New",1-SUM(C9:C10),VLOOKUP(E3,'BLOOMBERG PRICES'!A11:B5000,2,FALSE)/$C$16-C8)</f>
        <v>0.91679999999999995</v>
      </c>
      <c r="F7" s="31">
        <v>43983</v>
      </c>
      <c r="G7" s="32">
        <v>1</v>
      </c>
      <c r="H7" s="31">
        <v>43990</v>
      </c>
      <c r="I7" s="31">
        <v>43990</v>
      </c>
      <c r="J7" s="62"/>
      <c r="L7" s="12" t="s">
        <v>150</v>
      </c>
      <c r="M7" s="34">
        <v>0.75</v>
      </c>
      <c r="O7" s="12"/>
      <c r="P7" s="37" t="e">
        <f>CONCATENATE($P$34,"(T)/",$P$34,"(0)"," se ",$P$34,"(T)/",$P$34,"(0) &lt; ",$L$3)</f>
        <v>#VALUE!</v>
      </c>
      <c r="R7" s="39"/>
      <c r="S7" s="107" t="s">
        <v>27</v>
      </c>
      <c r="T7" s="33">
        <v>10</v>
      </c>
      <c r="U7" s="39"/>
    </row>
    <row r="8" spans="2:21" x14ac:dyDescent="0.25">
      <c r="B8" s="12" t="s">
        <v>8</v>
      </c>
      <c r="C8" s="17">
        <f>SUM(C9:C10)</f>
        <v>8.320000000000001E-2</v>
      </c>
      <c r="D8" s="8"/>
      <c r="F8" s="31">
        <v>44074</v>
      </c>
      <c r="G8" s="32">
        <v>1</v>
      </c>
      <c r="H8" s="31">
        <v>44081</v>
      </c>
      <c r="I8" s="31">
        <v>44081</v>
      </c>
      <c r="J8" s="62"/>
      <c r="L8" s="12" t="s">
        <v>199</v>
      </c>
      <c r="M8" s="34">
        <v>0.75</v>
      </c>
      <c r="N8" s="8"/>
      <c r="O8" s="12"/>
      <c r="P8" s="37"/>
      <c r="R8" s="39"/>
      <c r="S8" s="107"/>
      <c r="T8" s="33">
        <v>50</v>
      </c>
      <c r="U8" s="39"/>
    </row>
    <row r="9" spans="2:21" x14ac:dyDescent="0.25">
      <c r="B9" s="12" t="s">
        <v>144</v>
      </c>
      <c r="C9" s="35">
        <f>SUM(D9:D10)</f>
        <v>8.320000000000001E-2</v>
      </c>
      <c r="D9" s="95">
        <v>7.8200000000000006E-2</v>
      </c>
      <c r="E9" s="100"/>
      <c r="F9" s="31">
        <v>44165</v>
      </c>
      <c r="G9" s="32">
        <v>1</v>
      </c>
      <c r="H9" s="31">
        <v>44172</v>
      </c>
      <c r="I9" s="31">
        <v>44172</v>
      </c>
      <c r="J9" s="62"/>
      <c r="L9" s="12" t="s">
        <v>200</v>
      </c>
      <c r="M9" s="34">
        <v>0.75</v>
      </c>
      <c r="N9" s="8"/>
      <c r="O9" s="12"/>
      <c r="P9" s="37"/>
      <c r="R9" s="39"/>
      <c r="S9" s="107"/>
      <c r="T9" s="33">
        <v>90</v>
      </c>
      <c r="U9" s="39"/>
    </row>
    <row r="10" spans="2:21" x14ac:dyDescent="0.25">
      <c r="B10" s="12" t="s">
        <v>145</v>
      </c>
      <c r="C10" s="35">
        <v>0</v>
      </c>
      <c r="D10" s="95">
        <v>5.0000000000000001E-3</v>
      </c>
      <c r="E10" s="8"/>
      <c r="F10" s="31">
        <v>44256</v>
      </c>
      <c r="G10" s="32">
        <v>1</v>
      </c>
      <c r="H10" s="31">
        <v>44263</v>
      </c>
      <c r="I10" s="31">
        <v>44263</v>
      </c>
      <c r="J10" s="62"/>
      <c r="L10" s="12" t="s">
        <v>201</v>
      </c>
      <c r="M10" s="34">
        <v>0.75</v>
      </c>
      <c r="O10" s="12"/>
      <c r="P10" s="37"/>
      <c r="R10" s="39"/>
      <c r="S10" s="12" t="s">
        <v>38</v>
      </c>
      <c r="T10" s="33" t="s">
        <v>26</v>
      </c>
      <c r="U10" s="39"/>
    </row>
    <row r="11" spans="2:21" x14ac:dyDescent="0.25">
      <c r="B11" s="12" t="s">
        <v>342</v>
      </c>
      <c r="C11" s="35">
        <v>1E-3</v>
      </c>
      <c r="D11" s="95"/>
      <c r="F11" s="31">
        <v>44347</v>
      </c>
      <c r="G11" s="32">
        <v>1</v>
      </c>
      <c r="H11" s="31">
        <v>44354</v>
      </c>
      <c r="I11" s="31">
        <v>44354</v>
      </c>
      <c r="J11" s="62"/>
      <c r="L11" s="12" t="s">
        <v>202</v>
      </c>
      <c r="M11" s="34">
        <v>0.75</v>
      </c>
      <c r="O11" s="12"/>
      <c r="P11" s="37"/>
      <c r="S11" s="39"/>
      <c r="T11" s="39"/>
    </row>
    <row r="12" spans="2:21" x14ac:dyDescent="0.25">
      <c r="B12" s="12" t="s">
        <v>9</v>
      </c>
      <c r="C12" s="35">
        <v>5.0000000000000001E-3</v>
      </c>
      <c r="D12" s="8"/>
      <c r="F12" s="31">
        <v>44438</v>
      </c>
      <c r="G12" s="32">
        <v>1</v>
      </c>
      <c r="H12" s="31">
        <v>44445</v>
      </c>
      <c r="I12" s="31">
        <v>44445</v>
      </c>
      <c r="J12" s="62"/>
      <c r="L12" s="12" t="s">
        <v>203</v>
      </c>
      <c r="M12" s="34">
        <v>0.75</v>
      </c>
      <c r="O12" s="12"/>
      <c r="P12" s="37"/>
    </row>
    <row r="13" spans="2:21" ht="11.25" customHeight="1" x14ac:dyDescent="0.25">
      <c r="B13" s="12" t="s">
        <v>12</v>
      </c>
      <c r="C13" s="64">
        <v>10000</v>
      </c>
      <c r="F13" s="31">
        <v>44530</v>
      </c>
      <c r="G13" s="32">
        <v>1</v>
      </c>
      <c r="H13" s="31">
        <v>44537</v>
      </c>
      <c r="I13" s="31">
        <v>44537</v>
      </c>
      <c r="J13" s="62"/>
      <c r="L13" s="12" t="s">
        <v>204</v>
      </c>
      <c r="M13" s="34">
        <v>0.75</v>
      </c>
      <c r="O13" s="12"/>
      <c r="P13" s="37"/>
    </row>
    <row r="14" spans="2:21" x14ac:dyDescent="0.25">
      <c r="B14" s="12" t="s">
        <v>29</v>
      </c>
      <c r="C14" s="33" t="s">
        <v>167</v>
      </c>
      <c r="F14" s="31">
        <v>44620</v>
      </c>
      <c r="G14" s="32">
        <v>1</v>
      </c>
      <c r="H14" s="31">
        <v>44627</v>
      </c>
      <c r="I14" s="31">
        <v>44627</v>
      </c>
      <c r="J14" s="62"/>
      <c r="L14" s="12" t="s">
        <v>205</v>
      </c>
      <c r="M14" s="34">
        <v>0.75</v>
      </c>
      <c r="O14" s="12"/>
      <c r="P14" s="37"/>
    </row>
    <row r="15" spans="2:21" x14ac:dyDescent="0.25">
      <c r="B15" s="12" t="s">
        <v>48</v>
      </c>
      <c r="C15" s="29" t="s">
        <v>190</v>
      </c>
      <c r="D15" s="58"/>
      <c r="F15" s="31">
        <v>44711</v>
      </c>
      <c r="G15" s="32">
        <v>1</v>
      </c>
      <c r="H15" s="31">
        <v>44718</v>
      </c>
      <c r="I15" s="31">
        <v>44718</v>
      </c>
      <c r="J15" s="62"/>
      <c r="L15" s="12" t="s">
        <v>206</v>
      </c>
      <c r="M15" s="34">
        <v>0.75</v>
      </c>
      <c r="O15" s="12"/>
      <c r="P15" s="37"/>
    </row>
    <row r="16" spans="2:21" x14ac:dyDescent="0.25">
      <c r="B16" s="12" t="s">
        <v>146</v>
      </c>
      <c r="C16" s="64">
        <v>1000</v>
      </c>
      <c r="F16" s="31">
        <v>44803</v>
      </c>
      <c r="G16" s="32">
        <v>1</v>
      </c>
      <c r="H16" s="31">
        <v>44810</v>
      </c>
      <c r="I16" s="31">
        <v>44810</v>
      </c>
      <c r="J16" s="62"/>
      <c r="L16" s="12" t="s">
        <v>207</v>
      </c>
      <c r="M16" s="34">
        <v>0.75</v>
      </c>
      <c r="O16" s="12"/>
      <c r="P16" s="37"/>
    </row>
    <row r="17" spans="1:16" x14ac:dyDescent="0.25">
      <c r="B17" s="4"/>
      <c r="C17" s="7"/>
      <c r="F17" s="31">
        <v>44895</v>
      </c>
      <c r="G17" s="32">
        <v>1</v>
      </c>
      <c r="H17" s="31">
        <v>44902</v>
      </c>
      <c r="I17" s="31">
        <v>44902</v>
      </c>
      <c r="J17" s="62"/>
      <c r="L17" s="12" t="s">
        <v>208</v>
      </c>
      <c r="M17" s="34">
        <v>0.75</v>
      </c>
      <c r="O17" s="12"/>
      <c r="P17" s="37"/>
    </row>
    <row r="18" spans="1:16" x14ac:dyDescent="0.25">
      <c r="B18" s="4"/>
      <c r="C18" s="7"/>
      <c r="F18" s="31">
        <v>44985</v>
      </c>
      <c r="G18" s="32">
        <v>1</v>
      </c>
      <c r="H18" s="31">
        <v>44992</v>
      </c>
      <c r="I18" s="31">
        <v>44992</v>
      </c>
      <c r="J18" s="62"/>
      <c r="L18" s="12" t="s">
        <v>209</v>
      </c>
      <c r="M18" s="34">
        <v>0.75</v>
      </c>
      <c r="O18" s="12"/>
      <c r="P18" s="37"/>
    </row>
    <row r="19" spans="1:16" x14ac:dyDescent="0.25">
      <c r="A19" s="7"/>
      <c r="B19" s="4"/>
      <c r="C19" s="7"/>
      <c r="F19" s="31">
        <v>45076</v>
      </c>
      <c r="G19" s="32">
        <v>1</v>
      </c>
      <c r="H19" s="31">
        <v>45083</v>
      </c>
      <c r="I19" s="31">
        <v>45083</v>
      </c>
      <c r="J19" s="62"/>
      <c r="L19" s="12" t="s">
        <v>210</v>
      </c>
      <c r="M19" s="34">
        <v>0.75</v>
      </c>
      <c r="O19" s="12"/>
      <c r="P19" s="37"/>
    </row>
    <row r="20" spans="1:16" x14ac:dyDescent="0.25">
      <c r="B20" s="4"/>
      <c r="C20" s="7"/>
      <c r="F20" s="31">
        <v>45168</v>
      </c>
      <c r="G20" s="32">
        <v>1</v>
      </c>
      <c r="H20" s="31">
        <v>45175</v>
      </c>
      <c r="I20" s="31">
        <v>45175</v>
      </c>
      <c r="J20" s="62"/>
      <c r="L20" s="12" t="s">
        <v>211</v>
      </c>
      <c r="M20" s="34">
        <v>0.75</v>
      </c>
      <c r="O20" s="12"/>
      <c r="P20" s="37"/>
    </row>
    <row r="21" spans="1:16" ht="11.25" customHeight="1" x14ac:dyDescent="0.25">
      <c r="A21" s="7"/>
      <c r="B21" s="4"/>
      <c r="C21" s="7"/>
      <c r="F21" s="31">
        <v>45260</v>
      </c>
      <c r="G21" s="32">
        <v>1</v>
      </c>
      <c r="H21" s="31">
        <v>45267</v>
      </c>
      <c r="I21" s="31">
        <v>45267</v>
      </c>
      <c r="J21" s="62"/>
      <c r="L21" s="12" t="s">
        <v>212</v>
      </c>
      <c r="M21" s="34">
        <v>0.75</v>
      </c>
      <c r="O21" s="12"/>
      <c r="P21" s="37"/>
    </row>
    <row r="22" spans="1:16" x14ac:dyDescent="0.25">
      <c r="A22" s="7"/>
      <c r="B22" s="4"/>
      <c r="C22" s="7"/>
      <c r="F22" s="31">
        <v>45351</v>
      </c>
      <c r="G22" s="32">
        <v>1</v>
      </c>
      <c r="H22" s="31">
        <v>45358</v>
      </c>
      <c r="I22" s="31">
        <v>45358</v>
      </c>
      <c r="J22" s="62"/>
      <c r="L22" s="12" t="s">
        <v>213</v>
      </c>
      <c r="M22" s="34">
        <v>0.75</v>
      </c>
      <c r="O22" s="12"/>
      <c r="P22" s="37"/>
    </row>
    <row r="23" spans="1:16" x14ac:dyDescent="0.25">
      <c r="A23" s="7"/>
      <c r="B23" s="4"/>
      <c r="C23" s="7"/>
      <c r="F23" s="31">
        <v>45442</v>
      </c>
      <c r="G23" s="32">
        <v>1</v>
      </c>
      <c r="H23" s="31">
        <v>45449</v>
      </c>
      <c r="I23" s="31">
        <v>45449</v>
      </c>
      <c r="J23" s="62"/>
      <c r="L23" s="12" t="s">
        <v>214</v>
      </c>
      <c r="M23" s="34">
        <v>0.75</v>
      </c>
      <c r="O23" s="12"/>
      <c r="P23" s="37"/>
    </row>
    <row r="24" spans="1:16" x14ac:dyDescent="0.25">
      <c r="A24" s="7"/>
      <c r="B24" s="7"/>
      <c r="C24" s="7"/>
      <c r="D24" s="7"/>
      <c r="F24" s="31">
        <v>45534</v>
      </c>
      <c r="G24" s="32">
        <v>1</v>
      </c>
      <c r="H24" s="31">
        <v>45541</v>
      </c>
      <c r="I24" s="31">
        <v>45541</v>
      </c>
      <c r="J24" s="62"/>
      <c r="L24" s="12" t="s">
        <v>215</v>
      </c>
      <c r="M24" s="34">
        <v>0.75</v>
      </c>
      <c r="O24" s="12"/>
      <c r="P24" s="37"/>
    </row>
    <row r="25" spans="1:16" x14ac:dyDescent="0.25">
      <c r="A25" s="7"/>
      <c r="B25" s="7"/>
      <c r="C25" s="7"/>
      <c r="D25" s="7"/>
      <c r="E25" s="7"/>
      <c r="F25" s="31">
        <v>45628</v>
      </c>
      <c r="G25" s="32">
        <v>1</v>
      </c>
      <c r="H25" s="31">
        <v>45635</v>
      </c>
      <c r="I25" s="31">
        <v>45635</v>
      </c>
      <c r="J25" s="62"/>
      <c r="L25" s="12" t="s">
        <v>216</v>
      </c>
      <c r="M25" s="34">
        <v>0.75</v>
      </c>
      <c r="O25" s="12"/>
      <c r="P25" s="37"/>
    </row>
    <row r="26" spans="1:16" x14ac:dyDescent="0.25">
      <c r="A26" s="9"/>
      <c r="B26" s="7"/>
      <c r="C26" s="9"/>
      <c r="D26" s="7"/>
      <c r="E26" s="7"/>
      <c r="F26" s="31">
        <v>45716</v>
      </c>
      <c r="G26" s="32">
        <v>1</v>
      </c>
      <c r="H26" s="31">
        <v>45723</v>
      </c>
      <c r="I26" s="31">
        <v>45723</v>
      </c>
      <c r="J26" s="62"/>
      <c r="L26" s="12" t="s">
        <v>217</v>
      </c>
      <c r="M26" s="34">
        <v>0.75</v>
      </c>
      <c r="O26" s="12"/>
      <c r="P26" s="37"/>
    </row>
    <row r="27" spans="1:16" x14ac:dyDescent="0.25">
      <c r="A27" s="4"/>
      <c r="B27" s="5"/>
      <c r="C27" s="4"/>
      <c r="E27" s="7"/>
      <c r="F27" s="31">
        <v>45807</v>
      </c>
      <c r="G27" s="32">
        <v>1</v>
      </c>
      <c r="H27" s="31">
        <v>45814</v>
      </c>
      <c r="I27" s="31">
        <v>45814</v>
      </c>
      <c r="J27" s="62"/>
      <c r="L27" s="12" t="s">
        <v>218</v>
      </c>
      <c r="M27" s="101">
        <v>1</v>
      </c>
      <c r="N27" s="6" t="s">
        <v>368</v>
      </c>
      <c r="O27" s="12"/>
      <c r="P27" s="37"/>
    </row>
    <row r="28" spans="1:16" x14ac:dyDescent="0.25">
      <c r="A28" s="4"/>
      <c r="B28" s="5"/>
      <c r="C28" s="4"/>
      <c r="E28" s="7"/>
      <c r="F28" s="7"/>
      <c r="G28" s="7"/>
      <c r="H28" s="7"/>
      <c r="I28" s="7"/>
      <c r="J28" s="7"/>
      <c r="L28" s="12" t="s">
        <v>219</v>
      </c>
      <c r="M28" s="34">
        <v>1</v>
      </c>
      <c r="O28" s="12"/>
      <c r="P28" s="37"/>
    </row>
    <row r="29" spans="1:16" x14ac:dyDescent="0.25">
      <c r="A29" s="4"/>
      <c r="B29" s="5"/>
      <c r="C29" s="4"/>
      <c r="E29" s="7"/>
      <c r="F29" s="7"/>
      <c r="G29" s="7"/>
      <c r="H29" s="7"/>
      <c r="I29" s="7"/>
      <c r="J29" s="7"/>
      <c r="L29" s="12" t="s">
        <v>220</v>
      </c>
      <c r="M29" s="34">
        <v>1</v>
      </c>
      <c r="O29" s="12"/>
      <c r="P29" s="37"/>
    </row>
    <row r="30" spans="1:16" x14ac:dyDescent="0.25">
      <c r="A30" s="4"/>
      <c r="B30" s="5">
        <f>M52*24+1</f>
        <v>1.24</v>
      </c>
      <c r="C30" s="4"/>
      <c r="E30" s="7"/>
      <c r="F30" s="7"/>
      <c r="G30" s="7"/>
      <c r="H30" s="7"/>
      <c r="I30" s="7"/>
      <c r="J30" s="7"/>
      <c r="L30" s="12" t="s">
        <v>221</v>
      </c>
      <c r="M30" s="34">
        <v>1</v>
      </c>
      <c r="O30" s="12"/>
      <c r="P30" s="37"/>
    </row>
    <row r="31" spans="1:16" x14ac:dyDescent="0.25">
      <c r="A31" s="4"/>
      <c r="B31" s="105">
        <f>10000/100%*B30</f>
        <v>12400</v>
      </c>
      <c r="C31" s="4"/>
      <c r="E31" s="7"/>
      <c r="F31" s="7"/>
      <c r="G31" s="7"/>
      <c r="H31" s="7"/>
      <c r="I31" s="7"/>
      <c r="J31" s="7"/>
      <c r="L31" s="12" t="s">
        <v>222</v>
      </c>
      <c r="M31" s="34">
        <v>1</v>
      </c>
      <c r="O31" s="12"/>
      <c r="P31" s="37"/>
    </row>
    <row r="32" spans="1:16" x14ac:dyDescent="0.25">
      <c r="A32" s="4"/>
      <c r="B32" s="5"/>
      <c r="C32" s="4"/>
      <c r="E32" s="7"/>
      <c r="F32" s="7"/>
      <c r="G32" s="7"/>
      <c r="H32" s="7"/>
      <c r="I32" s="7"/>
      <c r="J32" s="7"/>
      <c r="L32" s="12" t="s">
        <v>223</v>
      </c>
      <c r="M32" s="34">
        <v>1</v>
      </c>
      <c r="O32" s="12"/>
      <c r="P32" s="37"/>
    </row>
    <row r="33" spans="1:19" x14ac:dyDescent="0.25">
      <c r="A33" s="4"/>
      <c r="B33" s="5"/>
      <c r="C33" s="4"/>
      <c r="E33" s="7"/>
      <c r="F33" s="7"/>
      <c r="G33" s="7"/>
      <c r="H33" s="7"/>
      <c r="I33" s="7"/>
      <c r="J33" s="7"/>
      <c r="L33" s="12" t="s">
        <v>224</v>
      </c>
      <c r="M33" s="34">
        <v>1</v>
      </c>
    </row>
    <row r="34" spans="1:19" ht="11.25" customHeight="1" x14ac:dyDescent="0.25">
      <c r="A34" s="4"/>
      <c r="B34" s="5"/>
      <c r="C34" s="4"/>
      <c r="E34" s="7"/>
      <c r="F34" s="7"/>
      <c r="G34" s="7"/>
      <c r="H34" s="7"/>
      <c r="I34" s="7"/>
      <c r="J34" s="7"/>
      <c r="L34" s="12" t="s">
        <v>225</v>
      </c>
      <c r="M34" s="34">
        <v>1</v>
      </c>
      <c r="O34" s="12" t="s">
        <v>75</v>
      </c>
      <c r="P34" s="37" t="e">
        <f>UnderlyingName</f>
        <v>#VALUE!</v>
      </c>
    </row>
    <row r="35" spans="1:19" ht="11.25" customHeight="1" x14ac:dyDescent="0.25">
      <c r="A35" s="4"/>
      <c r="B35" s="5"/>
      <c r="C35" s="4"/>
      <c r="E35" s="7"/>
      <c r="F35" s="7"/>
      <c r="G35" s="7"/>
      <c r="H35" s="7"/>
      <c r="I35" s="7"/>
      <c r="J35" s="7"/>
      <c r="L35" s="12" t="s">
        <v>226</v>
      </c>
      <c r="M35" s="34">
        <v>1</v>
      </c>
    </row>
    <row r="36" spans="1:19" ht="11.25" customHeight="1" x14ac:dyDescent="0.25">
      <c r="A36" s="4"/>
      <c r="B36" s="5"/>
      <c r="C36" s="4"/>
      <c r="E36" s="7"/>
      <c r="F36" s="7"/>
      <c r="G36" s="7"/>
      <c r="H36" s="7"/>
      <c r="I36" s="7"/>
      <c r="J36" s="7"/>
      <c r="L36" s="12" t="s">
        <v>227</v>
      </c>
      <c r="M36" s="34">
        <v>1</v>
      </c>
    </row>
    <row r="37" spans="1:19" ht="11.25" customHeight="1" x14ac:dyDescent="0.25">
      <c r="A37" s="4"/>
      <c r="B37" s="5"/>
      <c r="C37" s="4"/>
      <c r="E37" s="7"/>
      <c r="F37" s="7"/>
      <c r="G37" s="7"/>
      <c r="H37" s="7"/>
      <c r="I37" s="7"/>
      <c r="J37" s="7"/>
      <c r="L37" s="12" t="s">
        <v>228</v>
      </c>
      <c r="M37" s="34">
        <v>1</v>
      </c>
    </row>
    <row r="38" spans="1:19" x14ac:dyDescent="0.25">
      <c r="A38" s="4"/>
      <c r="B38" s="5"/>
      <c r="C38" s="4"/>
      <c r="E38" s="7"/>
      <c r="F38" s="7"/>
      <c r="G38" s="7"/>
      <c r="H38" s="7"/>
      <c r="I38" s="7"/>
      <c r="J38" s="7"/>
      <c r="L38" s="12" t="s">
        <v>229</v>
      </c>
      <c r="M38" s="34">
        <v>1</v>
      </c>
      <c r="P38" s="5"/>
      <c r="Q38" s="5"/>
      <c r="R38" s="5"/>
    </row>
    <row r="39" spans="1:19" x14ac:dyDescent="0.25">
      <c r="A39" s="4"/>
      <c r="B39" s="5"/>
      <c r="C39" s="4"/>
      <c r="E39" s="7"/>
      <c r="F39" s="7"/>
      <c r="G39" s="7"/>
      <c r="H39" s="7"/>
      <c r="I39" s="7"/>
      <c r="J39" s="7"/>
      <c r="L39" s="12" t="s">
        <v>230</v>
      </c>
      <c r="M39" s="34">
        <v>1</v>
      </c>
      <c r="P39" s="5"/>
      <c r="Q39" s="5"/>
      <c r="R39" s="5"/>
      <c r="S39" s="5"/>
    </row>
    <row r="40" spans="1:19" x14ac:dyDescent="0.25">
      <c r="A40" s="4"/>
      <c r="B40" s="5"/>
      <c r="C40" s="4"/>
      <c r="E40" s="7"/>
      <c r="F40" s="7"/>
      <c r="G40" s="7"/>
      <c r="H40" s="7"/>
      <c r="I40" s="7"/>
      <c r="J40" s="7"/>
      <c r="L40" s="12" t="s">
        <v>231</v>
      </c>
      <c r="M40" s="34">
        <v>1</v>
      </c>
      <c r="P40" s="5"/>
      <c r="Q40" s="5"/>
      <c r="R40" s="5"/>
      <c r="S40" s="5"/>
    </row>
    <row r="41" spans="1:19" x14ac:dyDescent="0.25">
      <c r="A41" s="4"/>
      <c r="B41" s="5"/>
      <c r="C41" s="4"/>
      <c r="E41" s="7"/>
      <c r="F41" s="7"/>
      <c r="G41" s="7"/>
      <c r="H41" s="7"/>
      <c r="I41" s="7"/>
      <c r="J41" s="7"/>
      <c r="L41" s="12" t="s">
        <v>232</v>
      </c>
      <c r="M41" s="34">
        <v>1</v>
      </c>
      <c r="N41" s="5"/>
      <c r="O41" s="5"/>
      <c r="P41" s="5"/>
      <c r="Q41" s="5"/>
      <c r="R41" s="5"/>
      <c r="S41" s="5"/>
    </row>
    <row r="42" spans="1:19" x14ac:dyDescent="0.25">
      <c r="A42" s="4"/>
      <c r="B42" s="5"/>
      <c r="C42" s="4"/>
      <c r="E42" s="7"/>
      <c r="F42" s="7"/>
      <c r="G42" s="7"/>
      <c r="H42" s="7"/>
      <c r="I42" s="7"/>
      <c r="J42" s="7"/>
      <c r="L42" s="12" t="s">
        <v>233</v>
      </c>
      <c r="M42" s="34">
        <v>1</v>
      </c>
      <c r="N42" s="5"/>
      <c r="O42" s="5"/>
      <c r="P42" s="5"/>
      <c r="Q42" s="5"/>
      <c r="R42" s="5"/>
      <c r="S42" s="5"/>
    </row>
    <row r="43" spans="1:19" x14ac:dyDescent="0.25">
      <c r="A43" s="4"/>
      <c r="B43" s="5"/>
      <c r="C43" s="4"/>
      <c r="E43" s="7"/>
      <c r="F43" s="7"/>
      <c r="G43" s="7"/>
      <c r="H43" s="7"/>
      <c r="I43" s="7"/>
      <c r="J43" s="7"/>
      <c r="L43" s="12" t="s">
        <v>234</v>
      </c>
      <c r="M43" s="34">
        <v>1</v>
      </c>
      <c r="N43" s="5"/>
      <c r="O43" s="5"/>
      <c r="P43" s="5"/>
      <c r="Q43" s="5"/>
      <c r="R43" s="5"/>
      <c r="S43" s="5"/>
    </row>
    <row r="44" spans="1:19" x14ac:dyDescent="0.25">
      <c r="A44" s="4"/>
      <c r="B44" s="5"/>
      <c r="C44" s="4"/>
      <c r="E44" s="7"/>
      <c r="F44" s="7"/>
      <c r="G44" s="7"/>
      <c r="H44" s="7"/>
      <c r="I44" s="7"/>
      <c r="J44" s="7"/>
      <c r="L44" s="12" t="s">
        <v>235</v>
      </c>
      <c r="M44" s="34">
        <v>1</v>
      </c>
      <c r="N44" s="5"/>
      <c r="O44" s="5"/>
      <c r="P44" s="5"/>
      <c r="Q44" s="5"/>
      <c r="R44" s="5"/>
      <c r="S44" s="5"/>
    </row>
    <row r="45" spans="1:19" x14ac:dyDescent="0.25">
      <c r="A45" s="4"/>
      <c r="B45" s="5"/>
      <c r="C45" s="4"/>
      <c r="E45" s="7"/>
      <c r="F45" s="7"/>
      <c r="G45" s="7"/>
      <c r="H45" s="7"/>
      <c r="I45" s="7"/>
      <c r="J45" s="7"/>
      <c r="L45" s="12" t="s">
        <v>236</v>
      </c>
      <c r="M45" s="34">
        <v>1</v>
      </c>
      <c r="N45" s="5"/>
      <c r="O45" s="5"/>
      <c r="P45" s="5"/>
      <c r="Q45" s="5"/>
      <c r="R45" s="5"/>
      <c r="S45" s="5"/>
    </row>
    <row r="46" spans="1:19" x14ac:dyDescent="0.25">
      <c r="A46" s="4"/>
      <c r="B46" s="5"/>
      <c r="C46" s="4"/>
      <c r="E46" s="10"/>
      <c r="F46" s="7"/>
      <c r="G46" s="7"/>
      <c r="H46" s="7"/>
      <c r="I46" s="7"/>
      <c r="J46" s="7"/>
      <c r="L46" s="12" t="s">
        <v>237</v>
      </c>
      <c r="M46" s="34">
        <v>1</v>
      </c>
      <c r="N46" s="10"/>
      <c r="O46" s="10"/>
      <c r="P46" s="10"/>
      <c r="Q46" s="10"/>
      <c r="R46" s="10"/>
      <c r="S46" s="5"/>
    </row>
    <row r="47" spans="1:19" x14ac:dyDescent="0.25">
      <c r="A47" s="4"/>
      <c r="B47" s="5"/>
      <c r="C47" s="4"/>
      <c r="E47" s="10"/>
      <c r="F47" s="7"/>
      <c r="G47" s="7"/>
      <c r="H47" s="7"/>
      <c r="I47" s="7"/>
      <c r="J47" s="7"/>
      <c r="L47" s="12" t="s">
        <v>238</v>
      </c>
      <c r="M47" s="34">
        <v>1</v>
      </c>
      <c r="N47" s="10"/>
      <c r="O47" s="10"/>
      <c r="P47" s="10"/>
      <c r="Q47" s="10"/>
      <c r="R47" s="10"/>
      <c r="S47" s="10"/>
    </row>
    <row r="48" spans="1:19" x14ac:dyDescent="0.25">
      <c r="A48" s="4"/>
      <c r="B48" s="5"/>
      <c r="C48" s="4"/>
      <c r="E48" s="10"/>
      <c r="F48" s="7"/>
      <c r="G48" s="7"/>
      <c r="H48" s="7"/>
      <c r="I48" s="7"/>
      <c r="J48" s="7"/>
      <c r="L48" s="12" t="s">
        <v>239</v>
      </c>
      <c r="M48" s="34">
        <v>1</v>
      </c>
      <c r="N48" s="10"/>
      <c r="O48" s="10"/>
      <c r="P48" s="10"/>
      <c r="Q48" s="10"/>
      <c r="R48" s="10"/>
      <c r="S48" s="10"/>
    </row>
    <row r="49" spans="1:19" x14ac:dyDescent="0.25">
      <c r="A49" s="4"/>
      <c r="B49" s="5"/>
      <c r="C49" s="4"/>
      <c r="E49" s="10"/>
      <c r="F49" s="7"/>
      <c r="G49" s="7"/>
      <c r="H49" s="7"/>
      <c r="I49" s="7"/>
      <c r="J49" s="7"/>
      <c r="L49" s="12" t="s">
        <v>240</v>
      </c>
      <c r="M49" s="34">
        <v>1</v>
      </c>
      <c r="N49" s="10"/>
      <c r="O49" s="10"/>
      <c r="P49" s="10"/>
      <c r="Q49" s="10"/>
      <c r="R49" s="10"/>
      <c r="S49" s="10"/>
    </row>
    <row r="50" spans="1:19" x14ac:dyDescent="0.25">
      <c r="A50" s="4"/>
      <c r="B50" s="5"/>
      <c r="C50" s="4"/>
      <c r="E50" s="10"/>
      <c r="F50" s="7"/>
      <c r="G50" s="7"/>
      <c r="H50" s="7"/>
      <c r="I50" s="7"/>
      <c r="J50" s="7"/>
      <c r="L50" s="12" t="s">
        <v>241</v>
      </c>
      <c r="M50" s="101">
        <v>0.5</v>
      </c>
      <c r="N50" s="10" t="s">
        <v>362</v>
      </c>
      <c r="O50" s="10"/>
      <c r="P50" s="10"/>
      <c r="Q50" s="10"/>
      <c r="R50" s="10"/>
      <c r="S50" s="10"/>
    </row>
    <row r="51" spans="1:19" x14ac:dyDescent="0.25">
      <c r="A51" s="4"/>
      <c r="B51" s="5"/>
      <c r="C51" s="4"/>
      <c r="E51" s="10"/>
      <c r="F51" s="7"/>
      <c r="G51" s="7"/>
      <c r="H51" s="7"/>
      <c r="I51" s="7"/>
      <c r="J51" s="7"/>
      <c r="L51" s="12" t="s">
        <v>242</v>
      </c>
      <c r="M51" s="101">
        <v>0.01</v>
      </c>
      <c r="N51" s="6" t="s">
        <v>363</v>
      </c>
      <c r="S51" s="10"/>
    </row>
    <row r="52" spans="1:19" x14ac:dyDescent="0.25">
      <c r="A52" s="4"/>
      <c r="B52" s="5"/>
      <c r="C52" s="4"/>
      <c r="E52" s="10"/>
      <c r="F52" s="7"/>
      <c r="G52" s="7"/>
      <c r="H52" s="7"/>
      <c r="I52" s="7"/>
      <c r="J52" s="7"/>
      <c r="L52" s="12" t="s">
        <v>243</v>
      </c>
      <c r="M52" s="34">
        <v>0.01</v>
      </c>
    </row>
    <row r="53" spans="1:19" x14ac:dyDescent="0.25">
      <c r="A53" s="4"/>
      <c r="B53" s="5"/>
      <c r="C53" s="4"/>
      <c r="E53" s="10"/>
      <c r="F53" s="10"/>
      <c r="G53" s="10"/>
      <c r="H53" s="10"/>
      <c r="I53" s="10"/>
      <c r="J53" s="10"/>
      <c r="L53" s="12" t="s">
        <v>244</v>
      </c>
      <c r="M53" s="34">
        <v>0.01</v>
      </c>
    </row>
    <row r="54" spans="1:19" x14ac:dyDescent="0.25">
      <c r="A54" s="4"/>
      <c r="B54" s="5"/>
      <c r="C54" s="4"/>
      <c r="E54" s="10"/>
      <c r="F54" s="10"/>
      <c r="G54" s="10"/>
      <c r="H54" s="10"/>
      <c r="I54" s="10"/>
      <c r="J54" s="10"/>
      <c r="L54" s="12" t="s">
        <v>245</v>
      </c>
      <c r="M54" s="34">
        <v>0.01</v>
      </c>
    </row>
    <row r="55" spans="1:19" x14ac:dyDescent="0.25">
      <c r="A55" s="4"/>
      <c r="B55" s="5"/>
      <c r="C55" s="4"/>
      <c r="E55" s="10"/>
      <c r="F55" s="10"/>
      <c r="G55" s="10"/>
      <c r="H55" s="10"/>
      <c r="I55" s="10"/>
      <c r="J55" s="10"/>
      <c r="L55" s="12" t="s">
        <v>246</v>
      </c>
      <c r="M55" s="34">
        <v>0.01</v>
      </c>
    </row>
    <row r="56" spans="1:19" x14ac:dyDescent="0.25">
      <c r="A56" s="4"/>
      <c r="B56" s="5"/>
      <c r="C56" s="4"/>
      <c r="E56" s="10"/>
      <c r="F56" s="10"/>
      <c r="G56" s="10"/>
      <c r="H56" s="10"/>
      <c r="I56" s="10"/>
      <c r="J56" s="10"/>
      <c r="L56" s="12" t="s">
        <v>247</v>
      </c>
      <c r="M56" s="34">
        <v>0.01</v>
      </c>
    </row>
    <row r="57" spans="1:19" x14ac:dyDescent="0.25">
      <c r="A57" s="4"/>
      <c r="B57" s="5"/>
      <c r="C57" s="4"/>
      <c r="E57" s="10"/>
      <c r="F57" s="10"/>
      <c r="G57" s="10"/>
      <c r="H57" s="10"/>
      <c r="I57" s="10"/>
      <c r="J57" s="10"/>
      <c r="L57" s="12" t="s">
        <v>248</v>
      </c>
      <c r="M57" s="34">
        <v>0.01</v>
      </c>
    </row>
    <row r="58" spans="1:19" x14ac:dyDescent="0.25">
      <c r="A58" s="4"/>
      <c r="B58" s="5"/>
      <c r="C58" s="4"/>
      <c r="E58" s="10"/>
      <c r="F58" s="10"/>
      <c r="G58" s="10"/>
      <c r="H58" s="10"/>
      <c r="I58" s="10"/>
      <c r="J58" s="10"/>
      <c r="L58" s="12" t="s">
        <v>249</v>
      </c>
      <c r="M58" s="34">
        <v>0.01</v>
      </c>
    </row>
    <row r="59" spans="1:19" x14ac:dyDescent="0.25">
      <c r="A59" s="4"/>
      <c r="B59" s="5"/>
      <c r="C59" s="4"/>
      <c r="E59" s="10"/>
      <c r="F59" s="10"/>
      <c r="G59" s="10"/>
      <c r="H59" s="10"/>
      <c r="I59" s="10"/>
      <c r="J59" s="10"/>
      <c r="L59" s="12" t="s">
        <v>250</v>
      </c>
      <c r="M59" s="34">
        <v>0.01</v>
      </c>
    </row>
    <row r="60" spans="1:19" x14ac:dyDescent="0.25">
      <c r="A60" s="4"/>
      <c r="B60" s="5"/>
      <c r="C60" s="4"/>
      <c r="E60" s="10"/>
      <c r="F60" s="10"/>
      <c r="G60" s="10"/>
      <c r="H60" s="10"/>
      <c r="I60" s="10"/>
      <c r="J60" s="10"/>
      <c r="L60" s="12" t="s">
        <v>251</v>
      </c>
      <c r="M60" s="34">
        <v>0.01</v>
      </c>
    </row>
    <row r="61" spans="1:19" x14ac:dyDescent="0.25">
      <c r="A61" s="4"/>
      <c r="B61" s="5"/>
      <c r="C61" s="4"/>
      <c r="E61" s="10"/>
      <c r="F61" s="10"/>
      <c r="G61" s="10"/>
      <c r="H61" s="10"/>
      <c r="I61" s="10"/>
      <c r="J61" s="10"/>
      <c r="L61" s="12" t="s">
        <v>252</v>
      </c>
      <c r="M61" s="34">
        <v>0.01</v>
      </c>
    </row>
    <row r="62" spans="1:19" x14ac:dyDescent="0.25">
      <c r="A62" s="4"/>
      <c r="B62" s="5"/>
      <c r="C62" s="4"/>
      <c r="E62" s="10"/>
      <c r="F62" s="10"/>
      <c r="G62" s="10"/>
      <c r="H62" s="10"/>
      <c r="I62" s="10"/>
      <c r="J62" s="10"/>
      <c r="L62" s="12" t="s">
        <v>253</v>
      </c>
      <c r="M62" s="34">
        <v>0.01</v>
      </c>
    </row>
    <row r="63" spans="1:19" x14ac:dyDescent="0.25">
      <c r="A63" s="4"/>
      <c r="B63" s="5"/>
      <c r="C63" s="4"/>
      <c r="E63" s="10"/>
      <c r="F63" s="10"/>
      <c r="G63" s="10"/>
      <c r="H63" s="10"/>
      <c r="I63" s="10"/>
      <c r="J63" s="10"/>
      <c r="L63" s="12" t="s">
        <v>254</v>
      </c>
      <c r="M63" s="34">
        <v>0.01</v>
      </c>
    </row>
    <row r="64" spans="1:19" x14ac:dyDescent="0.25">
      <c r="A64" s="4"/>
      <c r="B64" s="5"/>
      <c r="C64" s="4"/>
      <c r="E64" s="10"/>
      <c r="F64" s="10"/>
      <c r="G64" s="10"/>
      <c r="H64" s="10"/>
      <c r="I64" s="10"/>
      <c r="J64" s="10"/>
      <c r="L64" s="12" t="s">
        <v>255</v>
      </c>
      <c r="M64" s="34">
        <v>0.01</v>
      </c>
    </row>
    <row r="65" spans="1:14" x14ac:dyDescent="0.25">
      <c r="A65" s="4"/>
      <c r="B65" s="5"/>
      <c r="C65" s="4"/>
      <c r="E65" s="10"/>
      <c r="F65" s="10"/>
      <c r="G65" s="10"/>
      <c r="H65" s="10"/>
      <c r="I65" s="10"/>
      <c r="J65" s="10"/>
      <c r="L65" s="12" t="s">
        <v>256</v>
      </c>
      <c r="M65" s="34">
        <v>0.01</v>
      </c>
    </row>
    <row r="66" spans="1:14" x14ac:dyDescent="0.25">
      <c r="A66" s="4"/>
      <c r="B66" s="5"/>
      <c r="C66" s="4"/>
      <c r="E66" s="10"/>
      <c r="F66" s="10"/>
      <c r="G66" s="10"/>
      <c r="H66" s="10"/>
      <c r="I66" s="10"/>
      <c r="J66" s="10"/>
      <c r="L66" s="12" t="s">
        <v>257</v>
      </c>
      <c r="M66" s="34">
        <v>0.01</v>
      </c>
    </row>
    <row r="67" spans="1:14" x14ac:dyDescent="0.25">
      <c r="A67" s="4"/>
      <c r="B67" s="5"/>
      <c r="C67" s="4"/>
      <c r="E67" s="10"/>
      <c r="F67" s="10"/>
      <c r="G67" s="10"/>
      <c r="H67" s="10"/>
      <c r="I67" s="10"/>
      <c r="J67" s="10"/>
      <c r="L67" s="12" t="s">
        <v>258</v>
      </c>
      <c r="M67" s="34">
        <v>0.01</v>
      </c>
    </row>
    <row r="68" spans="1:14" x14ac:dyDescent="0.25">
      <c r="A68" s="4"/>
      <c r="B68" s="5"/>
      <c r="C68" s="4"/>
      <c r="E68" s="10"/>
      <c r="F68" s="10"/>
      <c r="G68" s="10"/>
      <c r="H68" s="10"/>
      <c r="I68" s="10"/>
      <c r="J68" s="10"/>
      <c r="L68" s="12" t="s">
        <v>259</v>
      </c>
      <c r="M68" s="34">
        <v>0.01</v>
      </c>
    </row>
    <row r="69" spans="1:14" x14ac:dyDescent="0.25">
      <c r="A69" s="4"/>
      <c r="B69" s="5"/>
      <c r="C69" s="4"/>
      <c r="E69" s="10"/>
      <c r="F69" s="10"/>
      <c r="G69" s="10"/>
      <c r="H69" s="10"/>
      <c r="I69" s="10"/>
      <c r="J69" s="10"/>
      <c r="L69" s="12" t="s">
        <v>260</v>
      </c>
      <c r="M69" s="34">
        <v>0.01</v>
      </c>
    </row>
    <row r="70" spans="1:14" x14ac:dyDescent="0.25">
      <c r="A70" s="4"/>
      <c r="B70" s="5"/>
      <c r="C70" s="4"/>
      <c r="E70" s="10"/>
      <c r="F70" s="10"/>
      <c r="G70" s="10"/>
      <c r="H70" s="10"/>
      <c r="I70" s="10"/>
      <c r="J70" s="10"/>
      <c r="L70" s="12" t="s">
        <v>261</v>
      </c>
      <c r="M70" s="34">
        <v>0.01</v>
      </c>
    </row>
    <row r="71" spans="1:14" x14ac:dyDescent="0.25">
      <c r="A71" s="4"/>
      <c r="B71" s="5"/>
      <c r="C71" s="4"/>
      <c r="E71" s="10"/>
      <c r="F71" s="10"/>
      <c r="G71" s="10"/>
      <c r="H71" s="10"/>
      <c r="I71" s="10"/>
      <c r="J71" s="10"/>
      <c r="L71" s="12" t="s">
        <v>262</v>
      </c>
      <c r="M71" s="34">
        <v>0.01</v>
      </c>
    </row>
    <row r="72" spans="1:14" x14ac:dyDescent="0.25">
      <c r="A72" s="4"/>
      <c r="B72" s="5"/>
      <c r="C72" s="4"/>
      <c r="E72" s="10"/>
      <c r="F72" s="10"/>
      <c r="G72" s="10"/>
      <c r="H72" s="10"/>
      <c r="I72" s="10"/>
      <c r="J72" s="10"/>
      <c r="L72" s="12" t="s">
        <v>263</v>
      </c>
      <c r="M72" s="34">
        <v>0.01</v>
      </c>
    </row>
    <row r="73" spans="1:14" x14ac:dyDescent="0.25">
      <c r="A73" s="4"/>
      <c r="B73" s="5"/>
      <c r="C73" s="4"/>
      <c r="E73" s="10"/>
      <c r="F73" s="10"/>
      <c r="G73" s="10"/>
      <c r="H73" s="10"/>
      <c r="I73" s="10"/>
      <c r="J73" s="10"/>
      <c r="L73" s="12" t="s">
        <v>264</v>
      </c>
      <c r="M73" s="34">
        <v>0.01</v>
      </c>
    </row>
    <row r="74" spans="1:14" x14ac:dyDescent="0.25">
      <c r="A74" s="4"/>
      <c r="B74" s="5"/>
      <c r="C74" s="4"/>
      <c r="E74" s="10"/>
      <c r="F74" s="10"/>
      <c r="G74" s="10"/>
      <c r="H74" s="10"/>
      <c r="I74" s="10"/>
      <c r="J74" s="10"/>
      <c r="L74" s="12" t="s">
        <v>265</v>
      </c>
      <c r="M74" s="34">
        <v>0.01</v>
      </c>
    </row>
    <row r="75" spans="1:14" x14ac:dyDescent="0.25">
      <c r="A75" s="4"/>
      <c r="B75" s="5"/>
      <c r="C75" s="4"/>
      <c r="E75" s="10"/>
      <c r="F75" s="10"/>
      <c r="G75" s="10"/>
      <c r="H75" s="10"/>
      <c r="I75" s="10"/>
      <c r="J75" s="10"/>
      <c r="L75" s="12" t="s">
        <v>266</v>
      </c>
      <c r="M75" s="101">
        <v>1</v>
      </c>
      <c r="N75" s="6" t="s">
        <v>364</v>
      </c>
    </row>
    <row r="76" spans="1:14" x14ac:dyDescent="0.25">
      <c r="A76" s="4"/>
      <c r="B76" s="5"/>
      <c r="C76" s="4"/>
      <c r="E76" s="10"/>
      <c r="F76" s="10"/>
      <c r="G76" s="10"/>
      <c r="H76" s="10"/>
      <c r="I76" s="10"/>
      <c r="J76" s="10"/>
      <c r="L76" s="12" t="s">
        <v>267</v>
      </c>
      <c r="M76" s="101">
        <f>M75+M74</f>
        <v>1.01</v>
      </c>
      <c r="N76" s="6" t="s">
        <v>369</v>
      </c>
    </row>
    <row r="77" spans="1:14" x14ac:dyDescent="0.25">
      <c r="A77" s="4"/>
      <c r="B77" s="5"/>
      <c r="C77" s="4"/>
      <c r="E77" s="10"/>
      <c r="F77" s="10"/>
      <c r="G77" s="10"/>
      <c r="H77" s="10"/>
      <c r="I77" s="10"/>
      <c r="J77" s="10"/>
      <c r="L77" s="12" t="s">
        <v>268</v>
      </c>
      <c r="M77" s="103">
        <v>1</v>
      </c>
      <c r="N77" s="6" t="s">
        <v>365</v>
      </c>
    </row>
    <row r="78" spans="1:14" x14ac:dyDescent="0.25">
      <c r="A78" s="4"/>
      <c r="B78" s="5"/>
      <c r="C78" s="4"/>
      <c r="E78" s="10"/>
      <c r="F78" s="10"/>
      <c r="G78" s="10"/>
      <c r="H78" s="10"/>
      <c r="I78" s="10"/>
      <c r="J78" s="10"/>
      <c r="L78" s="12" t="s">
        <v>269</v>
      </c>
      <c r="M78" s="104">
        <v>1</v>
      </c>
    </row>
    <row r="79" spans="1:14" x14ac:dyDescent="0.25">
      <c r="A79" s="4"/>
      <c r="B79" s="5"/>
      <c r="C79" s="4"/>
      <c r="E79" s="10"/>
      <c r="F79" s="10"/>
      <c r="G79" s="10"/>
      <c r="H79" s="10"/>
      <c r="I79" s="10"/>
      <c r="J79" s="10"/>
      <c r="L79" s="12" t="s">
        <v>270</v>
      </c>
      <c r="M79" s="104">
        <v>1</v>
      </c>
    </row>
    <row r="80" spans="1:14" x14ac:dyDescent="0.25">
      <c r="A80" s="4"/>
      <c r="B80" s="5"/>
      <c r="C80" s="4"/>
      <c r="E80" s="10"/>
      <c r="F80" s="10"/>
      <c r="G80" s="10"/>
      <c r="H80" s="10"/>
      <c r="I80" s="10"/>
      <c r="J80" s="10"/>
      <c r="L80" s="12" t="s">
        <v>271</v>
      </c>
      <c r="M80" s="104">
        <v>1</v>
      </c>
    </row>
    <row r="81" spans="1:13" x14ac:dyDescent="0.25">
      <c r="A81" s="4"/>
      <c r="B81" s="5"/>
      <c r="C81" s="4"/>
      <c r="E81" s="10"/>
      <c r="F81" s="10"/>
      <c r="G81" s="10"/>
      <c r="H81" s="10"/>
      <c r="I81" s="10"/>
      <c r="J81" s="10"/>
      <c r="L81" s="12" t="s">
        <v>272</v>
      </c>
      <c r="M81" s="104">
        <v>1</v>
      </c>
    </row>
    <row r="82" spans="1:13" x14ac:dyDescent="0.25">
      <c r="A82" s="4"/>
      <c r="B82" s="5"/>
      <c r="C82" s="4"/>
      <c r="E82" s="10"/>
      <c r="F82" s="10"/>
      <c r="G82" s="10"/>
      <c r="H82" s="10"/>
      <c r="I82" s="10"/>
      <c r="J82" s="10"/>
      <c r="L82" s="12" t="s">
        <v>273</v>
      </c>
      <c r="M82" s="104">
        <v>1</v>
      </c>
    </row>
    <row r="83" spans="1:13" x14ac:dyDescent="0.25">
      <c r="A83" s="4"/>
      <c r="B83" s="5"/>
      <c r="C83" s="4"/>
      <c r="E83" s="10"/>
      <c r="F83" s="10"/>
      <c r="G83" s="10"/>
      <c r="H83" s="10"/>
      <c r="I83" s="10"/>
      <c r="J83" s="10"/>
      <c r="L83" s="12" t="s">
        <v>274</v>
      </c>
      <c r="M83" s="104">
        <v>1</v>
      </c>
    </row>
    <row r="84" spans="1:13" x14ac:dyDescent="0.25">
      <c r="A84" s="4"/>
      <c r="B84" s="5"/>
      <c r="C84" s="4"/>
      <c r="E84" s="10"/>
      <c r="F84" s="10"/>
      <c r="G84" s="10"/>
      <c r="H84" s="10"/>
      <c r="I84" s="10"/>
      <c r="J84" s="10"/>
      <c r="L84" s="12" t="s">
        <v>275</v>
      </c>
      <c r="M84" s="104">
        <v>1</v>
      </c>
    </row>
    <row r="85" spans="1:13" x14ac:dyDescent="0.25">
      <c r="A85" s="4"/>
      <c r="B85" s="5"/>
      <c r="C85" s="4"/>
      <c r="E85" s="10"/>
      <c r="F85" s="10"/>
      <c r="G85" s="10"/>
      <c r="H85" s="10"/>
      <c r="I85" s="10"/>
      <c r="J85" s="10"/>
      <c r="L85" s="12" t="s">
        <v>276</v>
      </c>
      <c r="M85" s="104">
        <v>1</v>
      </c>
    </row>
    <row r="86" spans="1:13" x14ac:dyDescent="0.25">
      <c r="A86" s="4"/>
      <c r="B86" s="5"/>
      <c r="C86" s="4"/>
      <c r="E86" s="10"/>
      <c r="F86" s="10"/>
      <c r="G86" s="10"/>
      <c r="H86" s="10"/>
      <c r="I86" s="10"/>
      <c r="J86" s="10"/>
      <c r="L86" s="12" t="s">
        <v>277</v>
      </c>
      <c r="M86" s="104">
        <v>1</v>
      </c>
    </row>
    <row r="87" spans="1:13" x14ac:dyDescent="0.25">
      <c r="A87" s="4"/>
      <c r="B87" s="5"/>
      <c r="C87" s="4"/>
      <c r="E87" s="10"/>
      <c r="F87" s="10"/>
      <c r="G87" s="10"/>
      <c r="H87" s="10"/>
      <c r="I87" s="10"/>
      <c r="J87" s="10"/>
      <c r="L87" s="12" t="s">
        <v>278</v>
      </c>
      <c r="M87" s="104">
        <v>1</v>
      </c>
    </row>
    <row r="88" spans="1:13" x14ac:dyDescent="0.25">
      <c r="A88" s="4"/>
      <c r="B88" s="5"/>
      <c r="C88" s="4"/>
      <c r="E88" s="10"/>
      <c r="F88" s="10"/>
      <c r="G88" s="10"/>
      <c r="H88" s="10"/>
      <c r="I88" s="10"/>
      <c r="J88" s="10"/>
      <c r="L88" s="12" t="s">
        <v>279</v>
      </c>
      <c r="M88" s="104">
        <v>1</v>
      </c>
    </row>
    <row r="89" spans="1:13" x14ac:dyDescent="0.25">
      <c r="A89" s="4"/>
      <c r="B89" s="5"/>
      <c r="C89" s="4"/>
      <c r="E89" s="10"/>
      <c r="F89" s="10"/>
      <c r="G89" s="10"/>
      <c r="H89" s="10"/>
      <c r="I89" s="10"/>
      <c r="J89" s="10"/>
      <c r="L89" s="12" t="s">
        <v>280</v>
      </c>
      <c r="M89" s="104">
        <v>1</v>
      </c>
    </row>
    <row r="90" spans="1:13" x14ac:dyDescent="0.25">
      <c r="A90" s="4"/>
      <c r="B90" s="5"/>
      <c r="C90" s="4"/>
      <c r="E90" s="10"/>
      <c r="F90" s="10"/>
      <c r="G90" s="10"/>
      <c r="H90" s="10"/>
      <c r="I90" s="10"/>
      <c r="J90" s="10"/>
      <c r="L90" s="12" t="s">
        <v>281</v>
      </c>
      <c r="M90" s="104">
        <v>1</v>
      </c>
    </row>
    <row r="91" spans="1:13" x14ac:dyDescent="0.25">
      <c r="A91" s="4"/>
      <c r="B91" s="5"/>
      <c r="C91" s="4"/>
      <c r="E91" s="10"/>
      <c r="F91" s="10"/>
      <c r="G91" s="10"/>
      <c r="H91" s="10"/>
      <c r="I91" s="10"/>
      <c r="J91" s="10"/>
      <c r="L91" s="12" t="s">
        <v>282</v>
      </c>
      <c r="M91" s="104">
        <v>1</v>
      </c>
    </row>
    <row r="92" spans="1:13" x14ac:dyDescent="0.25">
      <c r="A92" s="4"/>
      <c r="B92" s="5"/>
      <c r="C92" s="4"/>
      <c r="E92" s="10"/>
      <c r="F92" s="10"/>
      <c r="G92" s="10"/>
      <c r="H92" s="10"/>
      <c r="I92" s="10"/>
      <c r="J92" s="10"/>
      <c r="L92" s="12" t="s">
        <v>283</v>
      </c>
      <c r="M92" s="104">
        <v>1</v>
      </c>
    </row>
    <row r="93" spans="1:13" x14ac:dyDescent="0.25">
      <c r="A93" s="4"/>
      <c r="B93" s="5"/>
      <c r="C93" s="4"/>
      <c r="E93" s="10"/>
      <c r="F93" s="10"/>
      <c r="G93" s="10"/>
      <c r="H93" s="10"/>
      <c r="I93" s="10"/>
      <c r="J93" s="10"/>
      <c r="L93" s="12" t="s">
        <v>284</v>
      </c>
      <c r="M93" s="104">
        <v>1</v>
      </c>
    </row>
    <row r="94" spans="1:13" x14ac:dyDescent="0.25">
      <c r="A94" s="4"/>
      <c r="B94" s="5"/>
      <c r="C94" s="4"/>
      <c r="E94" s="10"/>
      <c r="F94" s="10"/>
      <c r="G94" s="10"/>
      <c r="H94" s="10"/>
      <c r="I94" s="10"/>
      <c r="J94" s="10"/>
      <c r="L94" s="12" t="s">
        <v>285</v>
      </c>
      <c r="M94" s="104">
        <v>1</v>
      </c>
    </row>
    <row r="95" spans="1:13" x14ac:dyDescent="0.25">
      <c r="A95" s="4"/>
      <c r="B95" s="5"/>
      <c r="C95" s="4"/>
      <c r="E95" s="10"/>
      <c r="F95" s="10"/>
      <c r="G95" s="10"/>
      <c r="H95" s="10"/>
      <c r="I95" s="10"/>
      <c r="J95" s="10"/>
      <c r="L95" s="12" t="s">
        <v>286</v>
      </c>
      <c r="M95" s="104">
        <v>1</v>
      </c>
    </row>
    <row r="96" spans="1:13" x14ac:dyDescent="0.25">
      <c r="A96" s="4"/>
      <c r="B96" s="5"/>
      <c r="C96" s="4"/>
      <c r="E96" s="10"/>
      <c r="F96" s="10"/>
      <c r="G96" s="10"/>
      <c r="H96" s="10"/>
      <c r="I96" s="10"/>
      <c r="J96" s="10"/>
      <c r="L96" s="12" t="s">
        <v>287</v>
      </c>
      <c r="M96" s="104">
        <v>1</v>
      </c>
    </row>
    <row r="97" spans="1:14" x14ac:dyDescent="0.25">
      <c r="A97" s="4"/>
      <c r="B97" s="5"/>
      <c r="C97" s="4"/>
      <c r="E97" s="10"/>
      <c r="F97" s="10"/>
      <c r="G97" s="10"/>
      <c r="H97" s="10"/>
      <c r="I97" s="10"/>
      <c r="J97" s="10"/>
      <c r="L97" s="12" t="s">
        <v>288</v>
      </c>
      <c r="M97" s="104">
        <v>1</v>
      </c>
    </row>
    <row r="98" spans="1:14" x14ac:dyDescent="0.25">
      <c r="A98" s="4"/>
      <c r="B98" s="5"/>
      <c r="C98" s="4"/>
      <c r="E98" s="10"/>
      <c r="F98" s="10"/>
      <c r="G98" s="10"/>
      <c r="H98" s="10"/>
      <c r="I98" s="10"/>
      <c r="J98" s="10"/>
      <c r="L98" s="12" t="s">
        <v>289</v>
      </c>
      <c r="M98" s="104">
        <v>1</v>
      </c>
    </row>
    <row r="99" spans="1:14" x14ac:dyDescent="0.25">
      <c r="A99" s="4"/>
      <c r="B99" s="5"/>
      <c r="C99" s="4"/>
      <c r="E99" s="10"/>
      <c r="F99" s="10"/>
      <c r="G99" s="10"/>
      <c r="H99" s="10"/>
      <c r="I99" s="10"/>
      <c r="J99" s="10"/>
      <c r="L99" s="12" t="s">
        <v>290</v>
      </c>
      <c r="M99" s="104">
        <v>1</v>
      </c>
    </row>
    <row r="100" spans="1:14" x14ac:dyDescent="0.25">
      <c r="A100" s="4"/>
      <c r="B100" s="5"/>
      <c r="C100" s="4"/>
      <c r="E100" s="10"/>
      <c r="F100" s="10"/>
      <c r="G100" s="10"/>
      <c r="H100" s="10"/>
      <c r="I100" s="10"/>
      <c r="J100" s="10"/>
      <c r="L100" s="12" t="s">
        <v>291</v>
      </c>
      <c r="M100" s="104">
        <v>1</v>
      </c>
    </row>
    <row r="101" spans="1:14" x14ac:dyDescent="0.25">
      <c r="A101" s="4"/>
      <c r="B101" s="5"/>
      <c r="C101" s="4"/>
      <c r="E101" s="10"/>
      <c r="F101" s="10"/>
      <c r="G101" s="10"/>
      <c r="H101" s="10"/>
      <c r="I101" s="10"/>
      <c r="J101" s="10"/>
      <c r="L101" s="12" t="s">
        <v>292</v>
      </c>
      <c r="M101" s="103">
        <v>0</v>
      </c>
      <c r="N101" s="6" t="s">
        <v>366</v>
      </c>
    </row>
    <row r="102" spans="1:14" x14ac:dyDescent="0.25">
      <c r="A102" s="4"/>
      <c r="B102" s="5"/>
      <c r="C102" s="4"/>
      <c r="E102" s="10"/>
      <c r="F102" s="10"/>
      <c r="G102" s="10"/>
      <c r="H102" s="10"/>
      <c r="I102" s="10"/>
      <c r="J102" s="10"/>
      <c r="L102" s="12" t="s">
        <v>293</v>
      </c>
      <c r="M102" s="104">
        <v>0</v>
      </c>
    </row>
    <row r="103" spans="1:14" x14ac:dyDescent="0.25">
      <c r="A103" s="4"/>
      <c r="B103" s="5"/>
      <c r="C103" s="4"/>
      <c r="E103" s="10"/>
      <c r="F103" s="10"/>
      <c r="G103" s="10"/>
      <c r="H103" s="10"/>
      <c r="I103" s="10"/>
      <c r="J103" s="10"/>
      <c r="L103" s="12" t="s">
        <v>294</v>
      </c>
      <c r="M103" s="104">
        <v>0</v>
      </c>
    </row>
    <row r="104" spans="1:14" x14ac:dyDescent="0.25">
      <c r="A104" s="4"/>
      <c r="B104" s="5"/>
      <c r="C104" s="4"/>
      <c r="E104" s="10"/>
      <c r="F104" s="10"/>
      <c r="G104" s="10"/>
      <c r="H104" s="10"/>
      <c r="I104" s="10"/>
      <c r="J104" s="10"/>
      <c r="L104" s="12" t="s">
        <v>295</v>
      </c>
      <c r="M104" s="104">
        <v>0</v>
      </c>
    </row>
    <row r="105" spans="1:14" x14ac:dyDescent="0.25">
      <c r="A105" s="4"/>
      <c r="B105" s="5"/>
      <c r="C105" s="4"/>
      <c r="E105" s="10"/>
      <c r="F105" s="10"/>
      <c r="G105" s="10"/>
      <c r="H105" s="10"/>
      <c r="I105" s="10"/>
      <c r="J105" s="10"/>
      <c r="L105" s="12" t="s">
        <v>296</v>
      </c>
      <c r="M105" s="104">
        <v>0</v>
      </c>
    </row>
    <row r="106" spans="1:14" x14ac:dyDescent="0.25">
      <c r="A106" s="4"/>
      <c r="B106" s="5"/>
      <c r="C106" s="4"/>
      <c r="E106" s="10"/>
      <c r="F106" s="10"/>
      <c r="G106" s="10"/>
      <c r="H106" s="10"/>
      <c r="I106" s="10"/>
      <c r="J106" s="10"/>
      <c r="L106" s="12" t="s">
        <v>297</v>
      </c>
      <c r="M106" s="104">
        <v>0</v>
      </c>
    </row>
    <row r="107" spans="1:14" x14ac:dyDescent="0.25">
      <c r="A107" s="4"/>
      <c r="B107" s="5"/>
      <c r="C107" s="4"/>
      <c r="E107" s="10"/>
      <c r="F107" s="10"/>
      <c r="G107" s="10"/>
      <c r="H107" s="10"/>
      <c r="I107" s="10"/>
      <c r="J107" s="10"/>
      <c r="L107" s="12" t="s">
        <v>298</v>
      </c>
      <c r="M107" s="104">
        <v>0</v>
      </c>
    </row>
    <row r="108" spans="1:14" x14ac:dyDescent="0.25">
      <c r="A108" s="4"/>
      <c r="B108" s="5"/>
      <c r="C108" s="4"/>
      <c r="E108" s="10"/>
      <c r="F108" s="10"/>
      <c r="G108" s="10"/>
      <c r="H108" s="10"/>
      <c r="I108" s="10"/>
      <c r="J108" s="10"/>
      <c r="L108" s="12" t="s">
        <v>299</v>
      </c>
      <c r="M108" s="104">
        <v>0</v>
      </c>
    </row>
    <row r="109" spans="1:14" x14ac:dyDescent="0.25">
      <c r="A109" s="4"/>
      <c r="B109" s="5"/>
      <c r="C109" s="4"/>
      <c r="E109" s="10"/>
      <c r="F109" s="10"/>
      <c r="G109" s="10"/>
      <c r="H109" s="10"/>
      <c r="I109" s="10"/>
      <c r="J109" s="10"/>
      <c r="L109" s="12" t="s">
        <v>300</v>
      </c>
      <c r="M109" s="104">
        <v>0</v>
      </c>
    </row>
    <row r="110" spans="1:14" x14ac:dyDescent="0.25">
      <c r="A110" s="4"/>
      <c r="B110" s="5"/>
      <c r="C110" s="4"/>
      <c r="E110" s="10"/>
      <c r="F110" s="10"/>
      <c r="G110" s="10"/>
      <c r="H110" s="10"/>
      <c r="I110" s="10"/>
      <c r="J110" s="10"/>
      <c r="L110" s="12" t="s">
        <v>301</v>
      </c>
      <c r="M110" s="104">
        <v>0</v>
      </c>
    </row>
    <row r="111" spans="1:14" x14ac:dyDescent="0.25">
      <c r="A111" s="4"/>
      <c r="B111" s="5"/>
      <c r="C111" s="4"/>
      <c r="E111" s="10"/>
      <c r="F111" s="10"/>
      <c r="G111" s="10"/>
      <c r="H111" s="10"/>
      <c r="I111" s="10"/>
      <c r="J111" s="10"/>
      <c r="L111" s="12" t="s">
        <v>302</v>
      </c>
      <c r="M111" s="104">
        <v>0</v>
      </c>
    </row>
    <row r="112" spans="1:14" x14ac:dyDescent="0.25">
      <c r="A112" s="4"/>
      <c r="B112" s="5"/>
      <c r="C112" s="4"/>
      <c r="E112" s="10"/>
      <c r="F112" s="10"/>
      <c r="G112" s="10"/>
      <c r="H112" s="10"/>
      <c r="I112" s="10"/>
      <c r="J112" s="10"/>
      <c r="L112" s="12" t="s">
        <v>303</v>
      </c>
      <c r="M112" s="104">
        <v>0</v>
      </c>
    </row>
    <row r="113" spans="1:14" x14ac:dyDescent="0.25">
      <c r="A113" s="4"/>
      <c r="B113" s="5"/>
      <c r="C113" s="4"/>
      <c r="E113" s="10"/>
      <c r="F113" s="10"/>
      <c r="G113" s="10"/>
      <c r="H113" s="10"/>
      <c r="I113" s="10"/>
      <c r="J113" s="10"/>
      <c r="L113" s="12" t="s">
        <v>304</v>
      </c>
      <c r="M113" s="104">
        <v>0</v>
      </c>
    </row>
    <row r="114" spans="1:14" x14ac:dyDescent="0.25">
      <c r="A114" s="4"/>
      <c r="B114" s="5"/>
      <c r="C114" s="4"/>
      <c r="E114" s="10"/>
      <c r="F114" s="10"/>
      <c r="G114" s="10"/>
      <c r="H114" s="10"/>
      <c r="I114" s="10"/>
      <c r="J114" s="10"/>
      <c r="L114" s="12" t="s">
        <v>305</v>
      </c>
      <c r="M114" s="104">
        <v>0</v>
      </c>
    </row>
    <row r="115" spans="1:14" x14ac:dyDescent="0.25">
      <c r="A115" s="4"/>
      <c r="B115" s="5"/>
      <c r="C115" s="4"/>
      <c r="E115" s="10"/>
      <c r="F115" s="10"/>
      <c r="G115" s="10"/>
      <c r="H115" s="10"/>
      <c r="I115" s="10"/>
      <c r="J115" s="10"/>
      <c r="L115" s="12" t="s">
        <v>306</v>
      </c>
      <c r="M115" s="104">
        <v>0</v>
      </c>
    </row>
    <row r="116" spans="1:14" x14ac:dyDescent="0.25">
      <c r="A116" s="4"/>
      <c r="B116" s="5"/>
      <c r="C116" s="4"/>
      <c r="E116" s="10"/>
      <c r="F116" s="10"/>
      <c r="G116" s="10"/>
      <c r="H116" s="10"/>
      <c r="I116" s="10"/>
      <c r="J116" s="10"/>
      <c r="L116" s="12" t="s">
        <v>307</v>
      </c>
      <c r="M116" s="104">
        <v>0</v>
      </c>
    </row>
    <row r="117" spans="1:14" x14ac:dyDescent="0.25">
      <c r="A117" s="4"/>
      <c r="B117" s="5"/>
      <c r="C117" s="4"/>
      <c r="E117" s="10"/>
      <c r="F117" s="10"/>
      <c r="G117" s="10"/>
      <c r="H117" s="10"/>
      <c r="I117" s="10"/>
      <c r="J117" s="10"/>
      <c r="L117" s="12" t="s">
        <v>308</v>
      </c>
      <c r="M117" s="104">
        <v>0</v>
      </c>
    </row>
    <row r="118" spans="1:14" x14ac:dyDescent="0.25">
      <c r="A118" s="4"/>
      <c r="B118" s="5"/>
      <c r="C118" s="4"/>
      <c r="E118" s="10"/>
      <c r="F118" s="10"/>
      <c r="G118" s="10"/>
      <c r="H118" s="10"/>
      <c r="I118" s="10"/>
      <c r="J118" s="10"/>
      <c r="L118" s="12" t="s">
        <v>309</v>
      </c>
      <c r="M118" s="104">
        <v>0</v>
      </c>
    </row>
    <row r="119" spans="1:14" x14ac:dyDescent="0.25">
      <c r="A119" s="4"/>
      <c r="B119" s="5"/>
      <c r="C119" s="4"/>
      <c r="E119" s="10"/>
      <c r="F119" s="10"/>
      <c r="G119" s="10"/>
      <c r="H119" s="10"/>
      <c r="I119" s="10"/>
      <c r="J119" s="10"/>
      <c r="L119" s="12" t="s">
        <v>310</v>
      </c>
      <c r="M119" s="104">
        <v>0</v>
      </c>
    </row>
    <row r="120" spans="1:14" x14ac:dyDescent="0.25">
      <c r="A120" s="4"/>
      <c r="B120" s="5"/>
      <c r="C120" s="4"/>
      <c r="E120" s="10"/>
      <c r="F120" s="10"/>
      <c r="G120" s="10"/>
      <c r="H120" s="10"/>
      <c r="I120" s="10"/>
      <c r="J120" s="10"/>
      <c r="L120" s="12" t="s">
        <v>311</v>
      </c>
      <c r="M120" s="104">
        <v>0</v>
      </c>
    </row>
    <row r="121" spans="1:14" x14ac:dyDescent="0.25">
      <c r="A121" s="4"/>
      <c r="B121" s="5"/>
      <c r="C121" s="4"/>
      <c r="E121" s="10"/>
      <c r="F121" s="10"/>
      <c r="G121" s="10"/>
      <c r="H121" s="10"/>
      <c r="I121" s="10"/>
      <c r="J121" s="10"/>
      <c r="L121" s="12" t="s">
        <v>312</v>
      </c>
      <c r="M121" s="104">
        <v>0</v>
      </c>
    </row>
    <row r="122" spans="1:14" x14ac:dyDescent="0.25">
      <c r="A122" s="4"/>
      <c r="B122" s="5"/>
      <c r="C122" s="4"/>
      <c r="E122" s="10"/>
      <c r="F122" s="10"/>
      <c r="G122" s="10"/>
      <c r="H122" s="10"/>
      <c r="I122" s="10"/>
      <c r="J122" s="10"/>
      <c r="L122" s="12" t="s">
        <v>313</v>
      </c>
      <c r="M122" s="104">
        <v>0</v>
      </c>
    </row>
    <row r="123" spans="1:14" x14ac:dyDescent="0.25">
      <c r="A123" s="4"/>
      <c r="B123" s="5"/>
      <c r="C123" s="4"/>
      <c r="E123" s="10"/>
      <c r="F123" s="10"/>
      <c r="G123" s="10"/>
      <c r="H123" s="10"/>
      <c r="I123" s="10"/>
      <c r="J123" s="10"/>
      <c r="L123" s="12" t="s">
        <v>314</v>
      </c>
      <c r="M123" s="104">
        <v>0</v>
      </c>
    </row>
    <row r="124" spans="1:14" x14ac:dyDescent="0.25">
      <c r="A124" s="4"/>
      <c r="B124" s="5"/>
      <c r="C124" s="4"/>
      <c r="E124" s="10"/>
      <c r="F124" s="10"/>
      <c r="G124" s="10"/>
      <c r="H124" s="10"/>
      <c r="I124" s="10"/>
      <c r="J124" s="10"/>
      <c r="L124" s="12" t="s">
        <v>315</v>
      </c>
      <c r="M124" s="104">
        <v>0</v>
      </c>
    </row>
    <row r="125" spans="1:14" x14ac:dyDescent="0.25">
      <c r="A125" s="4"/>
      <c r="B125" s="5"/>
      <c r="C125" s="4"/>
      <c r="E125" s="10"/>
      <c r="F125" s="10"/>
      <c r="G125" s="10"/>
      <c r="H125" s="10"/>
      <c r="I125" s="10"/>
      <c r="J125" s="10"/>
      <c r="L125" s="12" t="s">
        <v>316</v>
      </c>
      <c r="M125" s="103">
        <v>0</v>
      </c>
      <c r="N125" s="6" t="s">
        <v>367</v>
      </c>
    </row>
    <row r="126" spans="1:14" x14ac:dyDescent="0.25">
      <c r="A126" s="4"/>
      <c r="B126" s="5"/>
      <c r="C126" s="4"/>
      <c r="E126" s="10"/>
      <c r="F126" s="10"/>
      <c r="G126" s="10"/>
      <c r="H126" s="10"/>
      <c r="I126" s="10"/>
      <c r="J126" s="10"/>
      <c r="L126" s="12" t="s">
        <v>317</v>
      </c>
      <c r="M126" s="104">
        <v>0</v>
      </c>
    </row>
    <row r="127" spans="1:14" x14ac:dyDescent="0.25">
      <c r="A127" s="4"/>
      <c r="B127" s="5"/>
      <c r="C127" s="4"/>
      <c r="E127" s="10"/>
      <c r="F127" s="10"/>
      <c r="G127" s="10"/>
      <c r="H127" s="10"/>
      <c r="I127" s="10"/>
      <c r="J127" s="10"/>
      <c r="L127" s="12" t="s">
        <v>318</v>
      </c>
      <c r="M127" s="104">
        <v>0</v>
      </c>
    </row>
    <row r="128" spans="1:14" x14ac:dyDescent="0.25">
      <c r="A128" s="4"/>
      <c r="B128" s="5"/>
      <c r="C128" s="4"/>
      <c r="E128" s="10"/>
      <c r="F128" s="10"/>
      <c r="G128" s="10"/>
      <c r="H128" s="10"/>
      <c r="I128" s="10"/>
      <c r="J128" s="10"/>
      <c r="L128" s="12" t="s">
        <v>319</v>
      </c>
      <c r="M128" s="104">
        <v>0</v>
      </c>
    </row>
    <row r="129" spans="1:13" x14ac:dyDescent="0.25">
      <c r="A129" s="4"/>
      <c r="B129" s="5"/>
      <c r="C129" s="4"/>
      <c r="E129" s="10"/>
      <c r="F129" s="10"/>
      <c r="G129" s="10"/>
      <c r="H129" s="10"/>
      <c r="I129" s="10"/>
      <c r="J129" s="10"/>
      <c r="L129" s="12" t="s">
        <v>320</v>
      </c>
      <c r="M129" s="104">
        <v>0</v>
      </c>
    </row>
    <row r="130" spans="1:13" x14ac:dyDescent="0.25">
      <c r="A130" s="4"/>
      <c r="B130" s="5"/>
      <c r="C130" s="4"/>
      <c r="E130" s="10"/>
      <c r="F130" s="10"/>
      <c r="G130" s="10"/>
      <c r="H130" s="10"/>
      <c r="I130" s="10"/>
      <c r="J130" s="10"/>
      <c r="L130" s="12" t="s">
        <v>321</v>
      </c>
      <c r="M130" s="104">
        <v>0</v>
      </c>
    </row>
    <row r="131" spans="1:13" x14ac:dyDescent="0.25">
      <c r="A131" s="4"/>
      <c r="B131" s="5"/>
      <c r="C131" s="4"/>
      <c r="E131" s="10"/>
      <c r="F131" s="10"/>
      <c r="G131" s="10"/>
      <c r="H131" s="10"/>
      <c r="I131" s="10"/>
      <c r="J131" s="10"/>
      <c r="L131" s="12" t="s">
        <v>322</v>
      </c>
      <c r="M131" s="104">
        <v>0</v>
      </c>
    </row>
    <row r="132" spans="1:13" x14ac:dyDescent="0.25">
      <c r="A132" s="4"/>
      <c r="B132" s="5"/>
      <c r="C132" s="4"/>
      <c r="E132" s="10"/>
      <c r="F132" s="10"/>
      <c r="G132" s="10"/>
      <c r="H132" s="10"/>
      <c r="I132" s="10"/>
      <c r="J132" s="10"/>
      <c r="L132" s="12" t="s">
        <v>323</v>
      </c>
      <c r="M132" s="104">
        <v>0</v>
      </c>
    </row>
    <row r="133" spans="1:13" x14ac:dyDescent="0.25">
      <c r="A133" s="4"/>
      <c r="B133" s="5"/>
      <c r="C133" s="4"/>
      <c r="E133" s="10"/>
      <c r="F133" s="10"/>
      <c r="G133" s="10"/>
      <c r="H133" s="10"/>
      <c r="I133" s="10"/>
      <c r="J133" s="10"/>
      <c r="L133" s="12" t="s">
        <v>324</v>
      </c>
      <c r="M133" s="104">
        <v>0</v>
      </c>
    </row>
    <row r="134" spans="1:13" x14ac:dyDescent="0.25">
      <c r="A134" s="4"/>
      <c r="B134" s="5"/>
      <c r="C134" s="4"/>
      <c r="E134" s="10"/>
      <c r="F134" s="10"/>
      <c r="G134" s="10"/>
      <c r="H134" s="10"/>
      <c r="I134" s="10"/>
      <c r="J134" s="10"/>
      <c r="L134" s="12" t="s">
        <v>325</v>
      </c>
      <c r="M134" s="104">
        <v>0</v>
      </c>
    </row>
    <row r="135" spans="1:13" x14ac:dyDescent="0.25">
      <c r="A135" s="4"/>
      <c r="B135" s="5"/>
      <c r="C135" s="4"/>
      <c r="E135" s="10"/>
      <c r="F135" s="10"/>
      <c r="G135" s="10"/>
      <c r="H135" s="10"/>
      <c r="I135" s="10"/>
      <c r="J135" s="10"/>
      <c r="L135" s="12" t="s">
        <v>326</v>
      </c>
      <c r="M135" s="104">
        <v>0</v>
      </c>
    </row>
    <row r="136" spans="1:13" x14ac:dyDescent="0.25">
      <c r="A136" s="4"/>
      <c r="B136" s="5"/>
      <c r="C136" s="4"/>
      <c r="E136" s="10"/>
      <c r="F136" s="10"/>
      <c r="G136" s="10"/>
      <c r="H136" s="10"/>
      <c r="I136" s="10"/>
      <c r="J136" s="10"/>
      <c r="L136" s="12" t="s">
        <v>327</v>
      </c>
      <c r="M136" s="104">
        <v>0</v>
      </c>
    </row>
    <row r="137" spans="1:13" x14ac:dyDescent="0.25">
      <c r="A137" s="4"/>
      <c r="B137" s="5"/>
      <c r="C137" s="4"/>
      <c r="E137" s="10"/>
      <c r="F137" s="10"/>
      <c r="G137" s="10"/>
      <c r="H137" s="10"/>
      <c r="I137" s="10"/>
      <c r="J137" s="10"/>
      <c r="L137" s="12" t="s">
        <v>328</v>
      </c>
      <c r="M137" s="104">
        <v>0</v>
      </c>
    </row>
    <row r="138" spans="1:13" x14ac:dyDescent="0.25">
      <c r="A138" s="4"/>
      <c r="B138" s="5"/>
      <c r="C138" s="4"/>
      <c r="E138" s="10"/>
      <c r="F138" s="10"/>
      <c r="G138" s="10"/>
      <c r="H138" s="10"/>
      <c r="I138" s="10"/>
      <c r="J138" s="10"/>
      <c r="L138" s="12" t="s">
        <v>329</v>
      </c>
      <c r="M138" s="104">
        <v>0</v>
      </c>
    </row>
    <row r="139" spans="1:13" x14ac:dyDescent="0.25">
      <c r="A139" s="4"/>
      <c r="B139" s="5"/>
      <c r="C139" s="4"/>
      <c r="E139" s="10"/>
      <c r="F139" s="10"/>
      <c r="G139" s="10"/>
      <c r="H139" s="10"/>
      <c r="I139" s="10"/>
      <c r="J139" s="10"/>
      <c r="L139" s="12" t="s">
        <v>330</v>
      </c>
      <c r="M139" s="104">
        <v>0</v>
      </c>
    </row>
    <row r="140" spans="1:13" x14ac:dyDescent="0.25">
      <c r="A140" s="4"/>
      <c r="B140" s="5"/>
      <c r="C140" s="4"/>
      <c r="E140" s="10"/>
      <c r="F140" s="10"/>
      <c r="G140" s="10"/>
      <c r="H140" s="10"/>
      <c r="I140" s="10"/>
      <c r="J140" s="10"/>
      <c r="L140" s="12" t="s">
        <v>331</v>
      </c>
      <c r="M140" s="104">
        <v>0</v>
      </c>
    </row>
    <row r="141" spans="1:13" x14ac:dyDescent="0.25">
      <c r="A141" s="4"/>
      <c r="B141" s="5"/>
      <c r="C141" s="4"/>
      <c r="E141" s="10"/>
      <c r="F141" s="10"/>
      <c r="G141" s="10"/>
      <c r="H141" s="10"/>
      <c r="I141" s="10"/>
      <c r="J141" s="10"/>
      <c r="L141" s="12" t="s">
        <v>332</v>
      </c>
      <c r="M141" s="104">
        <v>0</v>
      </c>
    </row>
    <row r="142" spans="1:13" x14ac:dyDescent="0.25">
      <c r="A142" s="4"/>
      <c r="B142" s="5"/>
      <c r="C142" s="4"/>
      <c r="E142" s="10"/>
      <c r="F142" s="10"/>
      <c r="G142" s="10"/>
      <c r="H142" s="10"/>
      <c r="I142" s="10"/>
      <c r="J142" s="10"/>
      <c r="L142" s="12" t="s">
        <v>333</v>
      </c>
      <c r="M142" s="104">
        <v>0</v>
      </c>
    </row>
    <row r="143" spans="1:13" x14ac:dyDescent="0.25">
      <c r="A143" s="4"/>
      <c r="B143" s="5"/>
      <c r="C143" s="4"/>
      <c r="E143" s="10"/>
      <c r="F143" s="10"/>
      <c r="G143" s="10"/>
      <c r="H143" s="10"/>
      <c r="I143" s="10"/>
      <c r="J143" s="10"/>
      <c r="L143" s="12" t="s">
        <v>334</v>
      </c>
      <c r="M143" s="104">
        <v>0</v>
      </c>
    </row>
    <row r="144" spans="1:13" x14ac:dyDescent="0.25">
      <c r="A144" s="4"/>
      <c r="B144" s="5"/>
      <c r="C144" s="4"/>
      <c r="E144" s="10"/>
      <c r="F144" s="10"/>
      <c r="G144" s="10"/>
      <c r="H144" s="10"/>
      <c r="I144" s="10"/>
      <c r="J144" s="10"/>
      <c r="L144" s="12" t="s">
        <v>335</v>
      </c>
      <c r="M144" s="104">
        <v>0</v>
      </c>
    </row>
    <row r="145" spans="1:13" x14ac:dyDescent="0.25">
      <c r="A145" s="4"/>
      <c r="B145" s="5"/>
      <c r="C145" s="4"/>
      <c r="E145" s="10"/>
      <c r="F145" s="10"/>
      <c r="G145" s="10"/>
      <c r="H145" s="10"/>
      <c r="I145" s="10"/>
      <c r="J145" s="10"/>
      <c r="L145" s="12" t="s">
        <v>336</v>
      </c>
      <c r="M145" s="104">
        <v>0</v>
      </c>
    </row>
    <row r="146" spans="1:13" x14ac:dyDescent="0.25">
      <c r="A146" s="4"/>
      <c r="B146" s="5"/>
      <c r="C146" s="4"/>
      <c r="E146" s="10"/>
      <c r="F146" s="10"/>
      <c r="G146" s="10"/>
      <c r="H146" s="10"/>
      <c r="I146" s="10"/>
      <c r="J146" s="10"/>
      <c r="L146" s="12" t="s">
        <v>337</v>
      </c>
      <c r="M146" s="104">
        <v>0</v>
      </c>
    </row>
    <row r="147" spans="1:13" x14ac:dyDescent="0.25">
      <c r="A147" s="4"/>
      <c r="B147" s="5"/>
      <c r="C147" s="4"/>
      <c r="E147" s="10"/>
      <c r="F147" s="10"/>
      <c r="G147" s="10"/>
      <c r="H147" s="10"/>
      <c r="I147" s="10"/>
      <c r="J147" s="10"/>
      <c r="L147" s="12" t="s">
        <v>338</v>
      </c>
      <c r="M147" s="104">
        <v>0</v>
      </c>
    </row>
    <row r="148" spans="1:13" x14ac:dyDescent="0.25">
      <c r="A148" s="4"/>
      <c r="B148" s="5"/>
      <c r="C148" s="4"/>
      <c r="E148" s="10"/>
      <c r="F148" s="10"/>
      <c r="G148" s="10"/>
      <c r="H148" s="10"/>
      <c r="I148" s="10"/>
      <c r="J148" s="10"/>
      <c r="L148" s="12" t="s">
        <v>339</v>
      </c>
      <c r="M148" s="104">
        <v>0</v>
      </c>
    </row>
    <row r="149" spans="1:13" x14ac:dyDescent="0.25">
      <c r="A149" s="4"/>
      <c r="B149" s="5"/>
      <c r="C149" s="4"/>
      <c r="E149" s="10"/>
      <c r="F149" s="10"/>
      <c r="G149" s="10"/>
      <c r="H149" s="10"/>
      <c r="I149" s="10"/>
      <c r="J149" s="10"/>
    </row>
    <row r="150" spans="1:13" x14ac:dyDescent="0.25">
      <c r="A150" s="4"/>
      <c r="B150" s="5"/>
      <c r="C150" s="4"/>
      <c r="E150" s="10"/>
      <c r="F150" s="10"/>
      <c r="G150" s="10"/>
      <c r="H150" s="10"/>
      <c r="I150" s="10"/>
      <c r="J150" s="10"/>
    </row>
    <row r="151" spans="1:13" x14ac:dyDescent="0.25">
      <c r="A151" s="4"/>
      <c r="B151" s="5"/>
      <c r="C151" s="4"/>
      <c r="E151" s="10"/>
      <c r="F151" s="10"/>
      <c r="G151" s="10"/>
      <c r="H151" s="10"/>
      <c r="I151" s="10"/>
      <c r="J151" s="10"/>
    </row>
    <row r="152" spans="1:13" x14ac:dyDescent="0.25">
      <c r="A152" s="4"/>
      <c r="B152" s="5"/>
      <c r="C152" s="4"/>
      <c r="E152" s="10"/>
      <c r="F152" s="10"/>
      <c r="G152" s="10"/>
      <c r="H152" s="10"/>
      <c r="I152" s="10"/>
      <c r="J152" s="10"/>
    </row>
    <row r="153" spans="1:13" x14ac:dyDescent="0.25">
      <c r="A153" s="4"/>
      <c r="B153" s="5"/>
      <c r="C153" s="4"/>
      <c r="E153" s="10"/>
      <c r="F153" s="10"/>
      <c r="G153" s="10"/>
      <c r="H153" s="10"/>
      <c r="I153" s="10"/>
      <c r="J153" s="10"/>
    </row>
    <row r="154" spans="1:13" x14ac:dyDescent="0.25">
      <c r="A154" s="4"/>
      <c r="B154" s="5"/>
      <c r="C154" s="4"/>
      <c r="E154" s="10"/>
      <c r="F154" s="10"/>
      <c r="G154" s="10"/>
      <c r="H154" s="10"/>
      <c r="I154" s="10"/>
      <c r="J154" s="10"/>
    </row>
    <row r="155" spans="1:13" x14ac:dyDescent="0.25">
      <c r="A155" s="4"/>
      <c r="B155" s="5"/>
      <c r="C155" s="4"/>
      <c r="E155" s="10"/>
      <c r="F155" s="10"/>
      <c r="G155" s="10"/>
      <c r="H155" s="10"/>
      <c r="I155" s="10"/>
      <c r="J155" s="10"/>
    </row>
    <row r="156" spans="1:13" x14ac:dyDescent="0.25">
      <c r="A156" s="4"/>
      <c r="B156" s="5"/>
      <c r="C156" s="4"/>
      <c r="E156" s="10"/>
      <c r="F156" s="10"/>
      <c r="G156" s="10"/>
      <c r="H156" s="10"/>
      <c r="I156" s="10"/>
      <c r="J156" s="10"/>
    </row>
    <row r="157" spans="1:13" x14ac:dyDescent="0.25">
      <c r="A157" s="4"/>
      <c r="B157" s="5"/>
      <c r="C157" s="4"/>
      <c r="E157" s="10"/>
      <c r="F157" s="10"/>
      <c r="G157" s="10"/>
      <c r="H157" s="10"/>
      <c r="I157" s="10"/>
      <c r="J157" s="10"/>
    </row>
    <row r="158" spans="1:13" x14ac:dyDescent="0.25">
      <c r="A158" s="4"/>
      <c r="B158" s="5"/>
      <c r="C158" s="4"/>
      <c r="E158" s="10"/>
      <c r="F158" s="10"/>
      <c r="G158" s="10"/>
      <c r="H158" s="10"/>
      <c r="I158" s="10"/>
      <c r="J158" s="10"/>
    </row>
    <row r="159" spans="1:13" x14ac:dyDescent="0.25">
      <c r="A159" s="4"/>
      <c r="B159" s="5"/>
      <c r="C159" s="4"/>
      <c r="E159" s="10"/>
      <c r="F159" s="10"/>
      <c r="G159" s="10"/>
      <c r="H159" s="10"/>
      <c r="I159" s="10"/>
      <c r="J159" s="10"/>
    </row>
    <row r="160" spans="1:13" x14ac:dyDescent="0.25">
      <c r="A160" s="4"/>
      <c r="B160" s="5"/>
      <c r="C160" s="4"/>
      <c r="E160" s="10"/>
      <c r="F160" s="10"/>
      <c r="G160" s="10"/>
      <c r="H160" s="10"/>
      <c r="I160" s="10"/>
      <c r="J160" s="10"/>
    </row>
    <row r="161" spans="1:10" x14ac:dyDescent="0.25">
      <c r="A161" s="4"/>
      <c r="B161" s="5"/>
      <c r="C161" s="4"/>
      <c r="E161" s="10"/>
      <c r="F161" s="10"/>
      <c r="G161" s="10"/>
      <c r="H161" s="10"/>
      <c r="I161" s="10"/>
      <c r="J161" s="10"/>
    </row>
    <row r="162" spans="1:10" x14ac:dyDescent="0.25">
      <c r="A162" s="4"/>
      <c r="B162" s="5"/>
      <c r="C162" s="4"/>
      <c r="E162" s="10"/>
      <c r="F162" s="10"/>
      <c r="G162" s="10"/>
      <c r="H162" s="10"/>
      <c r="I162" s="10"/>
      <c r="J162" s="10"/>
    </row>
    <row r="163" spans="1:10" x14ac:dyDescent="0.25">
      <c r="A163" s="4"/>
      <c r="B163" s="5"/>
      <c r="C163" s="4"/>
      <c r="E163" s="10"/>
      <c r="F163" s="10"/>
      <c r="G163" s="10"/>
      <c r="H163" s="10"/>
      <c r="I163" s="10"/>
      <c r="J163" s="10"/>
    </row>
    <row r="164" spans="1:10" x14ac:dyDescent="0.25">
      <c r="A164" s="4"/>
      <c r="B164" s="5"/>
      <c r="C164" s="4"/>
      <c r="E164" s="10"/>
      <c r="F164" s="10"/>
      <c r="G164" s="10"/>
      <c r="H164" s="10"/>
      <c r="I164" s="10"/>
      <c r="J164" s="10"/>
    </row>
    <row r="165" spans="1:10" x14ac:dyDescent="0.25">
      <c r="A165" s="4"/>
      <c r="B165" s="5"/>
      <c r="C165" s="4"/>
      <c r="E165" s="10"/>
      <c r="F165" s="10"/>
      <c r="G165" s="10"/>
      <c r="H165" s="10"/>
      <c r="I165" s="10"/>
      <c r="J165" s="10"/>
    </row>
    <row r="166" spans="1:10" x14ac:dyDescent="0.25">
      <c r="A166" s="4"/>
      <c r="B166" s="5"/>
      <c r="C166" s="4"/>
      <c r="E166" s="10"/>
      <c r="F166" s="10"/>
      <c r="G166" s="10"/>
      <c r="H166" s="10"/>
      <c r="I166" s="10"/>
      <c r="J166" s="10"/>
    </row>
    <row r="167" spans="1:10" x14ac:dyDescent="0.25">
      <c r="A167" s="4"/>
      <c r="B167" s="5"/>
      <c r="C167" s="4"/>
      <c r="E167" s="10"/>
      <c r="F167" s="10"/>
      <c r="G167" s="10"/>
      <c r="H167" s="10"/>
      <c r="I167" s="10"/>
      <c r="J167" s="10"/>
    </row>
    <row r="168" spans="1:10" x14ac:dyDescent="0.25">
      <c r="A168" s="4"/>
      <c r="B168" s="5"/>
      <c r="C168" s="4"/>
      <c r="E168" s="10"/>
      <c r="F168" s="10"/>
      <c r="G168" s="10"/>
      <c r="H168" s="10"/>
      <c r="I168" s="10"/>
      <c r="J168" s="10"/>
    </row>
    <row r="169" spans="1:10" x14ac:dyDescent="0.25">
      <c r="A169" s="4"/>
      <c r="B169" s="5"/>
      <c r="C169" s="4"/>
      <c r="E169" s="10"/>
      <c r="F169" s="10"/>
      <c r="G169" s="10"/>
      <c r="H169" s="10"/>
      <c r="I169" s="10"/>
      <c r="J169" s="10"/>
    </row>
    <row r="170" spans="1:10" x14ac:dyDescent="0.25">
      <c r="A170" s="4"/>
      <c r="B170" s="5"/>
      <c r="C170" s="4"/>
      <c r="E170" s="10"/>
      <c r="F170" s="10"/>
      <c r="G170" s="10"/>
      <c r="H170" s="10"/>
      <c r="I170" s="10"/>
      <c r="J170" s="10"/>
    </row>
    <row r="171" spans="1:10" x14ac:dyDescent="0.25">
      <c r="A171" s="4"/>
      <c r="B171" s="5"/>
      <c r="C171" s="4"/>
      <c r="E171" s="10"/>
      <c r="F171" s="10"/>
      <c r="G171" s="10"/>
      <c r="H171" s="10"/>
      <c r="I171" s="10"/>
      <c r="J171" s="10"/>
    </row>
    <row r="172" spans="1:10" x14ac:dyDescent="0.25">
      <c r="A172" s="4"/>
      <c r="B172" s="5"/>
      <c r="C172" s="4"/>
      <c r="E172" s="10"/>
      <c r="F172" s="10"/>
      <c r="G172" s="10"/>
      <c r="H172" s="10"/>
      <c r="I172" s="10"/>
      <c r="J172" s="10"/>
    </row>
    <row r="173" spans="1:10" x14ac:dyDescent="0.25">
      <c r="A173" s="4"/>
      <c r="B173" s="5"/>
      <c r="C173" s="4"/>
      <c r="E173" s="10"/>
      <c r="F173" s="10"/>
      <c r="G173" s="10"/>
      <c r="H173" s="10"/>
      <c r="I173" s="10"/>
      <c r="J173" s="10"/>
    </row>
    <row r="174" spans="1:10" x14ac:dyDescent="0.25">
      <c r="A174" s="4"/>
      <c r="B174" s="5"/>
      <c r="C174" s="4"/>
      <c r="E174" s="10"/>
      <c r="F174" s="10"/>
      <c r="G174" s="10"/>
      <c r="H174" s="10"/>
      <c r="I174" s="10"/>
      <c r="J174" s="10"/>
    </row>
    <row r="175" spans="1:10" x14ac:dyDescent="0.25">
      <c r="A175" s="4"/>
      <c r="B175" s="5"/>
      <c r="C175" s="4"/>
      <c r="E175" s="10"/>
      <c r="F175" s="10"/>
      <c r="G175" s="10"/>
      <c r="H175" s="10"/>
      <c r="I175" s="10"/>
      <c r="J175" s="10"/>
    </row>
    <row r="176" spans="1:10" x14ac:dyDescent="0.25">
      <c r="A176" s="4"/>
      <c r="B176" s="5"/>
      <c r="C176" s="4"/>
      <c r="E176" s="10"/>
      <c r="F176" s="10"/>
      <c r="G176" s="10"/>
      <c r="H176" s="10"/>
      <c r="I176" s="10"/>
      <c r="J176" s="10"/>
    </row>
    <row r="177" spans="1:10" x14ac:dyDescent="0.25">
      <c r="A177" s="4"/>
      <c r="B177" s="5"/>
      <c r="C177" s="4"/>
      <c r="E177" s="10"/>
      <c r="F177" s="10"/>
      <c r="G177" s="10"/>
      <c r="H177" s="10"/>
      <c r="I177" s="10"/>
      <c r="J177" s="10"/>
    </row>
    <row r="178" spans="1:10" x14ac:dyDescent="0.25">
      <c r="A178" s="4"/>
      <c r="B178" s="5"/>
      <c r="C178" s="4"/>
      <c r="E178" s="10"/>
      <c r="F178" s="10"/>
      <c r="G178" s="10"/>
      <c r="H178" s="10"/>
      <c r="I178" s="10"/>
      <c r="J178" s="10"/>
    </row>
    <row r="179" spans="1:10" x14ac:dyDescent="0.25">
      <c r="A179" s="4"/>
      <c r="B179" s="5"/>
      <c r="C179" s="4"/>
      <c r="E179" s="10"/>
      <c r="F179" s="10"/>
      <c r="G179" s="10"/>
      <c r="H179" s="10"/>
      <c r="I179" s="10"/>
      <c r="J179" s="10"/>
    </row>
    <row r="180" spans="1:10" x14ac:dyDescent="0.25">
      <c r="A180" s="4"/>
      <c r="B180" s="5"/>
      <c r="C180" s="4"/>
      <c r="E180" s="10"/>
      <c r="F180" s="10"/>
      <c r="G180" s="10"/>
      <c r="H180" s="10"/>
      <c r="I180" s="10"/>
      <c r="J180" s="10"/>
    </row>
    <row r="181" spans="1:10" x14ac:dyDescent="0.25">
      <c r="A181" s="4"/>
      <c r="B181" s="5"/>
      <c r="C181" s="4"/>
      <c r="E181" s="10"/>
      <c r="F181" s="10"/>
      <c r="G181" s="10"/>
      <c r="H181" s="10"/>
      <c r="I181" s="10"/>
      <c r="J181" s="10"/>
    </row>
    <row r="182" spans="1:10" x14ac:dyDescent="0.25">
      <c r="A182" s="4"/>
      <c r="B182" s="5"/>
      <c r="C182" s="4"/>
      <c r="E182" s="10"/>
      <c r="F182" s="10"/>
      <c r="G182" s="10"/>
      <c r="H182" s="10"/>
      <c r="I182" s="10"/>
      <c r="J182" s="10"/>
    </row>
    <row r="183" spans="1:10" x14ac:dyDescent="0.25">
      <c r="A183" s="4"/>
      <c r="B183" s="5"/>
      <c r="C183" s="4"/>
      <c r="E183" s="10"/>
      <c r="F183" s="10"/>
      <c r="G183" s="10"/>
      <c r="H183" s="10"/>
      <c r="I183" s="10"/>
      <c r="J183" s="10"/>
    </row>
    <row r="184" spans="1:10" x14ac:dyDescent="0.25">
      <c r="A184" s="4"/>
      <c r="B184" s="5"/>
      <c r="C184" s="4"/>
      <c r="E184" s="10"/>
      <c r="F184" s="10"/>
      <c r="G184" s="10"/>
      <c r="H184" s="10"/>
      <c r="I184" s="10"/>
      <c r="J184" s="10"/>
    </row>
    <row r="185" spans="1:10" x14ac:dyDescent="0.25">
      <c r="A185" s="4"/>
      <c r="B185" s="5"/>
      <c r="C185" s="4"/>
      <c r="E185" s="10"/>
      <c r="F185" s="10"/>
      <c r="G185" s="10"/>
      <c r="H185" s="10"/>
      <c r="I185" s="10"/>
      <c r="J185" s="10"/>
    </row>
    <row r="186" spans="1:10" x14ac:dyDescent="0.25">
      <c r="A186" s="4"/>
      <c r="B186" s="5"/>
      <c r="C186" s="4"/>
      <c r="E186" s="10"/>
      <c r="F186" s="10"/>
      <c r="G186" s="10"/>
      <c r="H186" s="10"/>
      <c r="I186" s="10"/>
      <c r="J186" s="10"/>
    </row>
    <row r="187" spans="1:10" x14ac:dyDescent="0.25">
      <c r="A187" s="4"/>
      <c r="B187" s="5"/>
      <c r="C187" s="4"/>
      <c r="E187" s="10"/>
      <c r="F187" s="10"/>
      <c r="G187" s="10"/>
      <c r="H187" s="10"/>
      <c r="I187" s="10"/>
      <c r="J187" s="10"/>
    </row>
    <row r="188" spans="1:10" x14ac:dyDescent="0.25">
      <c r="A188" s="4"/>
      <c r="B188" s="5"/>
      <c r="C188" s="4"/>
      <c r="E188" s="10"/>
      <c r="F188" s="10"/>
      <c r="G188" s="10"/>
      <c r="H188" s="10"/>
      <c r="I188" s="10"/>
      <c r="J188" s="10"/>
    </row>
    <row r="189" spans="1:10" x14ac:dyDescent="0.25">
      <c r="A189" s="4"/>
      <c r="B189" s="5"/>
      <c r="C189" s="4"/>
      <c r="E189" s="10"/>
      <c r="F189" s="10"/>
      <c r="G189" s="10"/>
      <c r="H189" s="10"/>
      <c r="I189" s="10"/>
      <c r="J189" s="10"/>
    </row>
    <row r="190" spans="1:10" x14ac:dyDescent="0.25">
      <c r="A190" s="4"/>
      <c r="B190" s="5"/>
      <c r="C190" s="4"/>
      <c r="E190" s="10"/>
      <c r="F190" s="10"/>
      <c r="G190" s="10"/>
      <c r="H190" s="10"/>
      <c r="I190" s="10"/>
      <c r="J190" s="10"/>
    </row>
    <row r="191" spans="1:10" x14ac:dyDescent="0.25">
      <c r="A191" s="4"/>
      <c r="B191" s="5"/>
      <c r="C191" s="4"/>
      <c r="E191" s="10"/>
      <c r="F191" s="10"/>
      <c r="G191" s="10"/>
      <c r="H191" s="10"/>
      <c r="I191" s="10"/>
      <c r="J191" s="10"/>
    </row>
    <row r="192" spans="1:10" x14ac:dyDescent="0.25">
      <c r="A192" s="4"/>
      <c r="B192" s="5"/>
      <c r="C192" s="4"/>
      <c r="E192" s="10"/>
      <c r="F192" s="10"/>
      <c r="G192" s="10"/>
      <c r="H192" s="10"/>
      <c r="I192" s="10"/>
      <c r="J192" s="10"/>
    </row>
    <row r="193" spans="1:10" x14ac:dyDescent="0.25">
      <c r="A193" s="4"/>
      <c r="B193" s="5"/>
      <c r="C193" s="4"/>
      <c r="E193" s="10"/>
      <c r="F193" s="10"/>
      <c r="G193" s="10"/>
      <c r="H193" s="10"/>
      <c r="I193" s="10"/>
      <c r="J193" s="10"/>
    </row>
    <row r="194" spans="1:10" x14ac:dyDescent="0.25">
      <c r="A194" s="4"/>
      <c r="B194" s="5"/>
      <c r="C194" s="4"/>
      <c r="E194" s="10"/>
      <c r="F194" s="10"/>
      <c r="G194" s="10"/>
      <c r="H194" s="10"/>
      <c r="I194" s="10"/>
      <c r="J194" s="10"/>
    </row>
    <row r="195" spans="1:10" x14ac:dyDescent="0.25">
      <c r="A195" s="4"/>
      <c r="B195" s="5"/>
      <c r="C195" s="4"/>
      <c r="E195" s="10"/>
      <c r="F195" s="10"/>
      <c r="G195" s="10"/>
      <c r="H195" s="10"/>
      <c r="I195" s="10"/>
      <c r="J195" s="10"/>
    </row>
    <row r="196" spans="1:10" x14ac:dyDescent="0.25">
      <c r="A196" s="4"/>
      <c r="B196" s="5"/>
      <c r="C196" s="4"/>
      <c r="E196" s="10"/>
      <c r="F196" s="10"/>
      <c r="G196" s="10"/>
      <c r="H196" s="10"/>
      <c r="I196" s="10"/>
      <c r="J196" s="10"/>
    </row>
    <row r="197" spans="1:10" x14ac:dyDescent="0.25">
      <c r="A197" s="4"/>
      <c r="B197" s="5"/>
      <c r="C197" s="4"/>
      <c r="E197" s="10"/>
      <c r="F197" s="10"/>
      <c r="G197" s="10"/>
      <c r="H197" s="10"/>
      <c r="I197" s="10"/>
      <c r="J197" s="10"/>
    </row>
    <row r="198" spans="1:10" x14ac:dyDescent="0.25">
      <c r="A198" s="4"/>
      <c r="B198" s="5"/>
      <c r="C198" s="4"/>
      <c r="E198" s="10"/>
      <c r="F198" s="10"/>
      <c r="G198" s="10"/>
      <c r="H198" s="10"/>
      <c r="I198" s="10"/>
      <c r="J198" s="10"/>
    </row>
    <row r="199" spans="1:10" x14ac:dyDescent="0.25">
      <c r="A199" s="4"/>
      <c r="B199" s="5"/>
      <c r="C199" s="4"/>
      <c r="E199" s="10"/>
      <c r="F199" s="10"/>
      <c r="G199" s="10"/>
      <c r="H199" s="10"/>
      <c r="I199" s="10"/>
      <c r="J199" s="10"/>
    </row>
    <row r="200" spans="1:10" x14ac:dyDescent="0.25">
      <c r="A200" s="4"/>
      <c r="B200" s="5"/>
      <c r="C200" s="4"/>
      <c r="E200" s="10"/>
      <c r="F200" s="10"/>
      <c r="G200" s="10"/>
      <c r="H200" s="10"/>
      <c r="I200" s="10"/>
      <c r="J200" s="10"/>
    </row>
    <row r="201" spans="1:10" x14ac:dyDescent="0.25">
      <c r="A201" s="4"/>
      <c r="B201" s="5"/>
      <c r="C201" s="4"/>
      <c r="E201" s="10"/>
      <c r="F201" s="10"/>
      <c r="G201" s="10"/>
      <c r="H201" s="10"/>
      <c r="I201" s="10"/>
      <c r="J201" s="10"/>
    </row>
    <row r="202" spans="1:10" x14ac:dyDescent="0.25">
      <c r="A202" s="4"/>
      <c r="B202" s="5"/>
      <c r="C202" s="4"/>
      <c r="E202" s="10"/>
      <c r="F202" s="10"/>
      <c r="G202" s="10"/>
      <c r="H202" s="10"/>
      <c r="I202" s="10"/>
      <c r="J202" s="10"/>
    </row>
    <row r="203" spans="1:10" x14ac:dyDescent="0.25">
      <c r="A203" s="4"/>
      <c r="B203" s="5"/>
      <c r="C203" s="4"/>
      <c r="E203" s="10"/>
      <c r="F203" s="10"/>
      <c r="G203" s="10"/>
      <c r="H203" s="10"/>
      <c r="I203" s="10"/>
      <c r="J203" s="10"/>
    </row>
    <row r="204" spans="1:10" x14ac:dyDescent="0.25">
      <c r="A204" s="4"/>
      <c r="B204" s="5"/>
      <c r="C204" s="4"/>
      <c r="E204" s="10"/>
      <c r="F204" s="10"/>
      <c r="G204" s="10"/>
      <c r="H204" s="10"/>
      <c r="I204" s="10"/>
      <c r="J204" s="10"/>
    </row>
    <row r="205" spans="1:10" x14ac:dyDescent="0.25">
      <c r="A205" s="4"/>
      <c r="B205" s="5"/>
      <c r="C205" s="4"/>
      <c r="E205" s="10"/>
      <c r="F205" s="10"/>
      <c r="G205" s="10"/>
      <c r="H205" s="10"/>
      <c r="I205" s="10"/>
      <c r="J205" s="10"/>
    </row>
    <row r="206" spans="1:10" x14ac:dyDescent="0.25">
      <c r="A206" s="4"/>
      <c r="B206" s="5"/>
      <c r="C206" s="4"/>
      <c r="E206" s="10"/>
      <c r="F206" s="10"/>
      <c r="G206" s="10"/>
      <c r="H206" s="10"/>
      <c r="I206" s="10"/>
      <c r="J206" s="10"/>
    </row>
    <row r="207" spans="1:10" x14ac:dyDescent="0.25">
      <c r="A207" s="4"/>
      <c r="B207" s="5"/>
      <c r="C207" s="4"/>
      <c r="E207" s="10"/>
      <c r="F207" s="10"/>
      <c r="G207" s="10"/>
      <c r="H207" s="10"/>
      <c r="I207" s="10"/>
      <c r="J207" s="10"/>
    </row>
    <row r="208" spans="1:10" x14ac:dyDescent="0.25">
      <c r="A208" s="4"/>
      <c r="B208" s="5"/>
      <c r="C208" s="4"/>
      <c r="E208" s="10"/>
      <c r="F208" s="10"/>
      <c r="G208" s="10"/>
      <c r="H208" s="10"/>
      <c r="I208" s="10"/>
      <c r="J208" s="10"/>
    </row>
    <row r="209" spans="1:10" x14ac:dyDescent="0.25">
      <c r="A209" s="4"/>
      <c r="B209" s="5"/>
      <c r="C209" s="4"/>
      <c r="E209" s="10"/>
      <c r="F209" s="10"/>
      <c r="G209" s="10"/>
      <c r="H209" s="10"/>
      <c r="I209" s="10"/>
      <c r="J209" s="10"/>
    </row>
    <row r="210" spans="1:10" x14ac:dyDescent="0.25">
      <c r="A210" s="4"/>
      <c r="B210" s="5"/>
      <c r="C210" s="4"/>
      <c r="E210" s="10"/>
      <c r="F210" s="10"/>
      <c r="G210" s="10"/>
      <c r="H210" s="10"/>
      <c r="I210" s="10"/>
      <c r="J210" s="10"/>
    </row>
    <row r="211" spans="1:10" x14ac:dyDescent="0.25">
      <c r="A211" s="4"/>
      <c r="B211" s="5"/>
      <c r="C211" s="4"/>
      <c r="E211" s="10"/>
      <c r="F211" s="10"/>
      <c r="G211" s="10"/>
      <c r="H211" s="10"/>
      <c r="I211" s="10"/>
      <c r="J211" s="10"/>
    </row>
    <row r="212" spans="1:10" x14ac:dyDescent="0.25">
      <c r="A212" s="4"/>
      <c r="B212" s="5"/>
      <c r="C212" s="4"/>
      <c r="E212" s="10"/>
      <c r="F212" s="10"/>
      <c r="G212" s="10"/>
      <c r="H212" s="10"/>
      <c r="I212" s="10"/>
      <c r="J212" s="10"/>
    </row>
    <row r="213" spans="1:10" x14ac:dyDescent="0.25">
      <c r="A213" s="4"/>
      <c r="B213" s="5"/>
      <c r="C213" s="4"/>
      <c r="E213" s="10"/>
      <c r="F213" s="10"/>
      <c r="G213" s="10"/>
      <c r="H213" s="10"/>
      <c r="I213" s="10"/>
      <c r="J213" s="10"/>
    </row>
    <row r="214" spans="1:10" x14ac:dyDescent="0.25">
      <c r="A214" s="4"/>
      <c r="B214" s="5"/>
      <c r="C214" s="4"/>
      <c r="E214" s="10"/>
      <c r="F214" s="10"/>
      <c r="G214" s="10"/>
      <c r="H214" s="10"/>
      <c r="I214" s="10"/>
      <c r="J214" s="10"/>
    </row>
    <row r="215" spans="1:10" x14ac:dyDescent="0.25">
      <c r="A215" s="4"/>
      <c r="B215" s="5"/>
      <c r="C215" s="4"/>
      <c r="E215" s="10"/>
      <c r="F215" s="10"/>
      <c r="G215" s="10"/>
      <c r="H215" s="10"/>
      <c r="I215" s="10"/>
      <c r="J215" s="10"/>
    </row>
    <row r="216" spans="1:10" x14ac:dyDescent="0.25">
      <c r="A216" s="4"/>
      <c r="B216" s="5"/>
      <c r="C216" s="4"/>
      <c r="E216" s="10"/>
      <c r="F216" s="10"/>
      <c r="G216" s="10"/>
      <c r="H216" s="10"/>
      <c r="I216" s="10"/>
      <c r="J216" s="10"/>
    </row>
    <row r="217" spans="1:10" x14ac:dyDescent="0.25">
      <c r="A217" s="4"/>
      <c r="B217" s="5"/>
      <c r="C217" s="4"/>
      <c r="E217" s="10"/>
      <c r="F217" s="10"/>
      <c r="G217" s="10"/>
      <c r="H217" s="10"/>
      <c r="I217" s="10"/>
      <c r="J217" s="10"/>
    </row>
    <row r="218" spans="1:10" x14ac:dyDescent="0.25">
      <c r="A218" s="4"/>
      <c r="B218" s="5"/>
      <c r="C218" s="4"/>
      <c r="E218" s="10"/>
      <c r="F218" s="10"/>
      <c r="G218" s="10"/>
      <c r="H218" s="10"/>
      <c r="I218" s="10"/>
      <c r="J218" s="10"/>
    </row>
    <row r="219" spans="1:10" x14ac:dyDescent="0.25">
      <c r="A219" s="4"/>
      <c r="B219" s="5"/>
      <c r="C219" s="4"/>
      <c r="E219" s="10"/>
      <c r="F219" s="10"/>
      <c r="G219" s="10"/>
      <c r="H219" s="10"/>
      <c r="I219" s="10"/>
      <c r="J219" s="10"/>
    </row>
    <row r="220" spans="1:10" x14ac:dyDescent="0.25">
      <c r="A220" s="4"/>
      <c r="B220" s="5"/>
      <c r="C220" s="4"/>
      <c r="E220" s="10"/>
      <c r="F220" s="10"/>
      <c r="G220" s="10"/>
      <c r="H220" s="10"/>
      <c r="I220" s="10"/>
      <c r="J220" s="10"/>
    </row>
    <row r="221" spans="1:10" x14ac:dyDescent="0.25">
      <c r="A221" s="4"/>
      <c r="B221" s="5"/>
      <c r="C221" s="4"/>
      <c r="E221" s="10"/>
      <c r="F221" s="10"/>
      <c r="G221" s="10"/>
      <c r="H221" s="10"/>
      <c r="I221" s="10"/>
      <c r="J221" s="10"/>
    </row>
    <row r="222" spans="1:10" x14ac:dyDescent="0.25">
      <c r="A222" s="4"/>
      <c r="B222" s="5"/>
      <c r="C222" s="4"/>
      <c r="E222" s="10"/>
      <c r="F222" s="10"/>
      <c r="G222" s="10"/>
      <c r="H222" s="10"/>
      <c r="I222" s="10"/>
      <c r="J222" s="10"/>
    </row>
    <row r="223" spans="1:10" x14ac:dyDescent="0.25">
      <c r="A223" s="4"/>
      <c r="B223" s="5"/>
      <c r="C223" s="4"/>
      <c r="E223" s="10"/>
      <c r="F223" s="10"/>
      <c r="G223" s="10"/>
      <c r="H223" s="10"/>
      <c r="I223" s="10"/>
      <c r="J223" s="10"/>
    </row>
    <row r="224" spans="1:10" x14ac:dyDescent="0.25">
      <c r="A224" s="4"/>
      <c r="B224" s="5"/>
      <c r="C224" s="4"/>
      <c r="E224" s="10"/>
      <c r="F224" s="10"/>
      <c r="G224" s="10"/>
      <c r="H224" s="10"/>
      <c r="I224" s="10"/>
      <c r="J224" s="10"/>
    </row>
    <row r="225" spans="1:10" x14ac:dyDescent="0.25">
      <c r="A225" s="4"/>
      <c r="B225" s="5"/>
      <c r="C225" s="4"/>
      <c r="E225" s="10"/>
      <c r="F225" s="10"/>
      <c r="G225" s="10"/>
      <c r="H225" s="10"/>
      <c r="I225" s="10"/>
      <c r="J225" s="10"/>
    </row>
    <row r="226" spans="1:10" x14ac:dyDescent="0.25">
      <c r="A226" s="4"/>
      <c r="B226" s="5"/>
      <c r="C226" s="4"/>
      <c r="E226" s="10"/>
      <c r="F226" s="10"/>
      <c r="G226" s="10"/>
      <c r="H226" s="10"/>
      <c r="I226" s="10"/>
      <c r="J226" s="10"/>
    </row>
    <row r="227" spans="1:10" x14ac:dyDescent="0.25">
      <c r="A227" s="4"/>
      <c r="B227" s="5"/>
      <c r="C227" s="4"/>
      <c r="E227" s="10"/>
      <c r="F227" s="10"/>
      <c r="G227" s="10"/>
      <c r="H227" s="10"/>
      <c r="I227" s="10"/>
      <c r="J227" s="10"/>
    </row>
    <row r="228" spans="1:10" x14ac:dyDescent="0.25">
      <c r="A228" s="4"/>
      <c r="B228" s="5"/>
      <c r="C228" s="4"/>
      <c r="E228" s="10"/>
      <c r="F228" s="10"/>
      <c r="G228" s="10"/>
      <c r="H228" s="10"/>
      <c r="I228" s="10"/>
      <c r="J228" s="10"/>
    </row>
    <row r="229" spans="1:10" x14ac:dyDescent="0.25">
      <c r="A229" s="4"/>
      <c r="B229" s="5"/>
      <c r="C229" s="4"/>
      <c r="E229" s="10"/>
      <c r="F229" s="10"/>
      <c r="G229" s="10"/>
      <c r="H229" s="10"/>
      <c r="I229" s="10"/>
      <c r="J229" s="10"/>
    </row>
    <row r="230" spans="1:10" x14ac:dyDescent="0.25">
      <c r="A230" s="4"/>
      <c r="B230" s="5"/>
      <c r="C230" s="4"/>
      <c r="E230" s="10"/>
      <c r="F230" s="10"/>
      <c r="G230" s="10"/>
      <c r="H230" s="10"/>
      <c r="I230" s="10"/>
      <c r="J230" s="10"/>
    </row>
    <row r="231" spans="1:10" x14ac:dyDescent="0.25">
      <c r="A231" s="4"/>
      <c r="B231" s="5"/>
      <c r="C231" s="4"/>
      <c r="E231" s="10"/>
      <c r="F231" s="10"/>
      <c r="G231" s="10"/>
      <c r="H231" s="10"/>
      <c r="I231" s="10"/>
      <c r="J231" s="10"/>
    </row>
    <row r="232" spans="1:10" x14ac:dyDescent="0.25">
      <c r="A232" s="4"/>
      <c r="B232" s="5"/>
      <c r="C232" s="4"/>
      <c r="E232" s="10"/>
      <c r="F232" s="10"/>
      <c r="G232" s="10"/>
      <c r="H232" s="10"/>
      <c r="I232" s="10"/>
      <c r="J232" s="10"/>
    </row>
    <row r="233" spans="1:10" x14ac:dyDescent="0.25">
      <c r="A233" s="4"/>
      <c r="B233" s="5"/>
      <c r="C233" s="4"/>
      <c r="E233" s="10"/>
      <c r="F233" s="10"/>
      <c r="G233" s="10"/>
      <c r="H233" s="10"/>
      <c r="I233" s="10"/>
      <c r="J233" s="10"/>
    </row>
    <row r="234" spans="1:10" x14ac:dyDescent="0.25">
      <c r="A234" s="4"/>
      <c r="B234" s="5"/>
      <c r="C234" s="4"/>
      <c r="E234" s="10"/>
      <c r="F234" s="10"/>
      <c r="G234" s="10"/>
      <c r="H234" s="10"/>
      <c r="I234" s="10"/>
      <c r="J234" s="10"/>
    </row>
    <row r="235" spans="1:10" x14ac:dyDescent="0.25">
      <c r="A235" s="4"/>
      <c r="B235" s="5"/>
      <c r="C235" s="4"/>
      <c r="E235" s="10"/>
      <c r="F235" s="10"/>
      <c r="G235" s="10"/>
      <c r="H235" s="10"/>
      <c r="I235" s="10"/>
      <c r="J235" s="10"/>
    </row>
    <row r="236" spans="1:10" x14ac:dyDescent="0.25">
      <c r="A236" s="4"/>
      <c r="B236" s="5"/>
      <c r="C236" s="4"/>
      <c r="E236" s="10"/>
      <c r="F236" s="10"/>
      <c r="G236" s="10"/>
      <c r="H236" s="10"/>
      <c r="I236" s="10"/>
      <c r="J236" s="10"/>
    </row>
    <row r="237" spans="1:10" x14ac:dyDescent="0.25">
      <c r="A237" s="4"/>
      <c r="B237" s="5"/>
      <c r="C237" s="4"/>
      <c r="E237" s="10"/>
      <c r="F237" s="10"/>
      <c r="G237" s="10"/>
      <c r="H237" s="10"/>
      <c r="I237" s="10"/>
      <c r="J237" s="10"/>
    </row>
    <row r="238" spans="1:10" x14ac:dyDescent="0.25">
      <c r="A238" s="4"/>
      <c r="B238" s="5"/>
      <c r="C238" s="4"/>
      <c r="E238" s="10"/>
      <c r="F238" s="10"/>
      <c r="G238" s="10"/>
      <c r="H238" s="10"/>
      <c r="I238" s="10"/>
      <c r="J238" s="10"/>
    </row>
    <row r="239" spans="1:10" x14ac:dyDescent="0.25">
      <c r="A239" s="4"/>
      <c r="B239" s="5"/>
      <c r="C239" s="4"/>
      <c r="E239" s="10"/>
      <c r="F239" s="10"/>
      <c r="G239" s="10"/>
      <c r="H239" s="10"/>
      <c r="I239" s="10"/>
      <c r="J239" s="10"/>
    </row>
    <row r="240" spans="1:10" x14ac:dyDescent="0.25">
      <c r="A240" s="4"/>
      <c r="B240" s="5"/>
      <c r="C240" s="4"/>
      <c r="E240" s="10"/>
      <c r="F240" s="10"/>
      <c r="G240" s="10"/>
      <c r="H240" s="10"/>
      <c r="I240" s="10"/>
      <c r="J240" s="10"/>
    </row>
    <row r="241" spans="1:10" x14ac:dyDescent="0.25">
      <c r="A241" s="4"/>
      <c r="B241" s="5"/>
      <c r="C241" s="4"/>
      <c r="E241" s="10"/>
      <c r="F241" s="10"/>
      <c r="G241" s="10"/>
      <c r="H241" s="10"/>
      <c r="I241" s="10"/>
      <c r="J241" s="10"/>
    </row>
    <row r="242" spans="1:10" x14ac:dyDescent="0.25">
      <c r="A242" s="4"/>
      <c r="B242" s="5"/>
      <c r="C242" s="4"/>
      <c r="E242" s="10"/>
      <c r="F242" s="10"/>
      <c r="G242" s="10"/>
      <c r="H242" s="10"/>
      <c r="I242" s="10"/>
      <c r="J242" s="10"/>
    </row>
    <row r="243" spans="1:10" x14ac:dyDescent="0.25">
      <c r="A243" s="4"/>
      <c r="B243" s="5"/>
      <c r="C243" s="4"/>
      <c r="E243" s="10"/>
      <c r="F243" s="10"/>
      <c r="G243" s="10"/>
      <c r="H243" s="10"/>
      <c r="I243" s="10"/>
      <c r="J243" s="10"/>
    </row>
    <row r="244" spans="1:10" x14ac:dyDescent="0.25">
      <c r="A244" s="4"/>
      <c r="B244" s="5"/>
      <c r="C244" s="4"/>
      <c r="E244" s="10"/>
      <c r="F244" s="10"/>
      <c r="G244" s="10"/>
      <c r="H244" s="10"/>
      <c r="I244" s="10"/>
      <c r="J244" s="10"/>
    </row>
    <row r="245" spans="1:10" x14ac:dyDescent="0.25">
      <c r="A245" s="4"/>
      <c r="B245" s="5"/>
      <c r="C245" s="4"/>
      <c r="E245" s="10"/>
      <c r="F245" s="10"/>
      <c r="G245" s="10"/>
      <c r="H245" s="10"/>
      <c r="I245" s="10"/>
      <c r="J245" s="10"/>
    </row>
    <row r="246" spans="1:10" x14ac:dyDescent="0.25">
      <c r="A246" s="4"/>
      <c r="B246" s="5"/>
      <c r="C246" s="4"/>
      <c r="E246" s="10"/>
      <c r="F246" s="10"/>
      <c r="G246" s="10"/>
      <c r="H246" s="10"/>
      <c r="I246" s="10"/>
      <c r="J246" s="10"/>
    </row>
    <row r="247" spans="1:10" x14ac:dyDescent="0.25">
      <c r="A247" s="4"/>
      <c r="B247" s="5"/>
      <c r="C247" s="4"/>
      <c r="E247" s="10"/>
      <c r="F247" s="10"/>
      <c r="G247" s="10"/>
      <c r="H247" s="10"/>
      <c r="I247" s="10"/>
      <c r="J247" s="10"/>
    </row>
    <row r="248" spans="1:10" x14ac:dyDescent="0.25">
      <c r="A248" s="4"/>
      <c r="B248" s="5"/>
      <c r="C248" s="4"/>
      <c r="E248" s="10"/>
      <c r="F248" s="10"/>
      <c r="G248" s="10"/>
      <c r="H248" s="10"/>
      <c r="I248" s="10"/>
      <c r="J248" s="10"/>
    </row>
    <row r="249" spans="1:10" x14ac:dyDescent="0.25">
      <c r="A249" s="4"/>
      <c r="B249" s="5"/>
      <c r="C249" s="4"/>
      <c r="E249" s="10"/>
      <c r="F249" s="10"/>
      <c r="G249" s="10"/>
      <c r="H249" s="10"/>
      <c r="I249" s="10"/>
      <c r="J249" s="10"/>
    </row>
    <row r="250" spans="1:10" x14ac:dyDescent="0.25">
      <c r="A250" s="4"/>
      <c r="B250" s="5"/>
      <c r="C250" s="4"/>
      <c r="E250" s="10"/>
      <c r="F250" s="10"/>
      <c r="G250" s="10"/>
      <c r="H250" s="10"/>
      <c r="I250" s="10"/>
      <c r="J250" s="10"/>
    </row>
    <row r="251" spans="1:10" x14ac:dyDescent="0.25">
      <c r="A251" s="4"/>
      <c r="B251" s="5"/>
      <c r="C251" s="4"/>
      <c r="E251" s="10"/>
      <c r="F251" s="10"/>
      <c r="G251" s="10"/>
      <c r="H251" s="10"/>
      <c r="I251" s="10"/>
      <c r="J251" s="10"/>
    </row>
    <row r="252" spans="1:10" x14ac:dyDescent="0.25">
      <c r="A252" s="4"/>
      <c r="B252" s="5"/>
      <c r="C252" s="4"/>
      <c r="E252" s="10"/>
      <c r="F252" s="10"/>
      <c r="G252" s="10"/>
      <c r="H252" s="10"/>
      <c r="I252" s="10"/>
      <c r="J252" s="10"/>
    </row>
    <row r="253" spans="1:10" x14ac:dyDescent="0.25">
      <c r="A253" s="4"/>
      <c r="B253" s="5"/>
      <c r="C253" s="4"/>
      <c r="E253" s="10"/>
      <c r="F253" s="10"/>
      <c r="G253" s="10"/>
      <c r="H253" s="10"/>
      <c r="I253" s="10"/>
      <c r="J253" s="10"/>
    </row>
    <row r="254" spans="1:10" x14ac:dyDescent="0.25">
      <c r="A254" s="4"/>
      <c r="B254" s="5"/>
      <c r="C254" s="4"/>
      <c r="E254" s="10"/>
      <c r="F254" s="10"/>
      <c r="G254" s="10"/>
      <c r="H254" s="10"/>
      <c r="I254" s="10"/>
      <c r="J254" s="10"/>
    </row>
    <row r="255" spans="1:10" x14ac:dyDescent="0.25">
      <c r="A255" s="4"/>
      <c r="B255" s="5"/>
      <c r="C255" s="4"/>
      <c r="E255" s="10"/>
      <c r="F255" s="10"/>
      <c r="G255" s="10"/>
      <c r="H255" s="10"/>
      <c r="I255" s="10"/>
      <c r="J255" s="10"/>
    </row>
    <row r="256" spans="1:10" x14ac:dyDescent="0.25">
      <c r="A256" s="4"/>
      <c r="B256" s="5"/>
      <c r="C256" s="4"/>
      <c r="E256" s="10"/>
      <c r="F256" s="10"/>
      <c r="G256" s="10"/>
      <c r="H256" s="10"/>
      <c r="I256" s="10"/>
      <c r="J256" s="10"/>
    </row>
    <row r="257" spans="1:10" x14ac:dyDescent="0.25">
      <c r="A257" s="4"/>
      <c r="B257" s="5"/>
      <c r="C257" s="4"/>
      <c r="E257" s="10"/>
      <c r="F257" s="10"/>
      <c r="G257" s="10"/>
      <c r="H257" s="10"/>
      <c r="I257" s="10"/>
      <c r="J257" s="10"/>
    </row>
    <row r="258" spans="1:10" x14ac:dyDescent="0.25">
      <c r="A258" s="4"/>
      <c r="B258" s="5"/>
      <c r="C258" s="4"/>
      <c r="E258" s="10"/>
      <c r="F258" s="10"/>
      <c r="G258" s="10"/>
      <c r="H258" s="10"/>
      <c r="I258" s="10"/>
      <c r="J258" s="10"/>
    </row>
    <row r="259" spans="1:10" x14ac:dyDescent="0.25">
      <c r="A259" s="4"/>
      <c r="B259" s="5"/>
      <c r="C259" s="4"/>
      <c r="E259" s="10"/>
      <c r="F259" s="10"/>
      <c r="G259" s="10"/>
      <c r="H259" s="10"/>
      <c r="I259" s="10"/>
      <c r="J259" s="10"/>
    </row>
    <row r="260" spans="1:10" x14ac:dyDescent="0.25">
      <c r="A260" s="4"/>
      <c r="B260" s="5"/>
      <c r="C260" s="4"/>
      <c r="E260" s="10"/>
      <c r="F260" s="10"/>
      <c r="G260" s="10"/>
      <c r="H260" s="10"/>
      <c r="I260" s="10"/>
      <c r="J260" s="10"/>
    </row>
    <row r="261" spans="1:10" x14ac:dyDescent="0.25">
      <c r="A261" s="4"/>
      <c r="B261" s="5"/>
      <c r="C261" s="4"/>
      <c r="E261" s="10"/>
      <c r="F261" s="10"/>
      <c r="G261" s="10"/>
      <c r="H261" s="10"/>
      <c r="I261" s="10"/>
      <c r="J261" s="10"/>
    </row>
    <row r="262" spans="1:10" x14ac:dyDescent="0.25">
      <c r="A262" s="4"/>
      <c r="B262" s="5"/>
      <c r="C262" s="4"/>
      <c r="E262" s="10"/>
      <c r="F262" s="10"/>
      <c r="G262" s="10"/>
      <c r="H262" s="10"/>
      <c r="I262" s="10"/>
      <c r="J262" s="10"/>
    </row>
    <row r="263" spans="1:10" x14ac:dyDescent="0.25">
      <c r="A263" s="4"/>
      <c r="B263" s="5"/>
      <c r="C263" s="4"/>
      <c r="E263" s="10"/>
      <c r="F263" s="10"/>
      <c r="G263" s="10"/>
      <c r="H263" s="10"/>
      <c r="I263" s="10"/>
      <c r="J263" s="10"/>
    </row>
    <row r="264" spans="1:10" x14ac:dyDescent="0.25">
      <c r="A264" s="4"/>
      <c r="B264" s="5"/>
      <c r="C264" s="4"/>
      <c r="E264" s="10"/>
      <c r="F264" s="10"/>
      <c r="G264" s="10"/>
      <c r="H264" s="10"/>
      <c r="I264" s="10"/>
      <c r="J264" s="10"/>
    </row>
    <row r="265" spans="1:10" x14ac:dyDescent="0.25">
      <c r="A265" s="4"/>
      <c r="B265" s="5"/>
      <c r="C265" s="4"/>
      <c r="E265" s="10"/>
      <c r="F265" s="10"/>
      <c r="G265" s="10"/>
      <c r="H265" s="10"/>
      <c r="I265" s="10"/>
      <c r="J265" s="10"/>
    </row>
    <row r="266" spans="1:10" x14ac:dyDescent="0.25">
      <c r="A266" s="4"/>
      <c r="B266" s="5"/>
      <c r="C266" s="4"/>
      <c r="E266" s="10"/>
      <c r="F266" s="10"/>
      <c r="G266" s="10"/>
      <c r="H266" s="10"/>
      <c r="I266" s="10"/>
      <c r="J266" s="10"/>
    </row>
    <row r="267" spans="1:10" x14ac:dyDescent="0.25">
      <c r="A267" s="4"/>
      <c r="B267" s="5"/>
      <c r="C267" s="4"/>
      <c r="E267" s="10"/>
      <c r="F267" s="10"/>
      <c r="G267" s="10"/>
      <c r="H267" s="10"/>
      <c r="I267" s="10"/>
      <c r="J267" s="10"/>
    </row>
    <row r="268" spans="1:10" x14ac:dyDescent="0.25">
      <c r="A268" s="4"/>
      <c r="B268" s="5"/>
      <c r="C268" s="4"/>
      <c r="E268" s="10"/>
      <c r="F268" s="10"/>
      <c r="G268" s="10"/>
      <c r="H268" s="10"/>
      <c r="I268" s="10"/>
      <c r="J268" s="10"/>
    </row>
    <row r="269" spans="1:10" x14ac:dyDescent="0.25">
      <c r="A269" s="4"/>
      <c r="B269" s="5"/>
      <c r="C269" s="4"/>
      <c r="E269" s="10"/>
      <c r="F269" s="10"/>
      <c r="G269" s="10"/>
      <c r="H269" s="10"/>
      <c r="I269" s="10"/>
      <c r="J269" s="10"/>
    </row>
    <row r="270" spans="1:10" x14ac:dyDescent="0.25">
      <c r="A270" s="4"/>
      <c r="B270" s="5"/>
      <c r="C270" s="4"/>
      <c r="E270" s="10"/>
      <c r="F270" s="10"/>
      <c r="G270" s="10"/>
      <c r="H270" s="10"/>
      <c r="I270" s="10"/>
      <c r="J270" s="10"/>
    </row>
    <row r="271" spans="1:10" x14ac:dyDescent="0.25">
      <c r="A271" s="4"/>
      <c r="B271" s="5"/>
      <c r="C271" s="4"/>
      <c r="E271" s="10"/>
      <c r="F271" s="10"/>
      <c r="G271" s="10"/>
      <c r="H271" s="10"/>
      <c r="I271" s="10"/>
      <c r="J271" s="10"/>
    </row>
    <row r="272" spans="1:10" x14ac:dyDescent="0.25">
      <c r="A272" s="4"/>
      <c r="B272" s="5"/>
      <c r="C272" s="4"/>
      <c r="E272" s="10"/>
      <c r="F272" s="10"/>
      <c r="G272" s="10"/>
      <c r="H272" s="10"/>
      <c r="I272" s="10"/>
      <c r="J272" s="10"/>
    </row>
    <row r="273" spans="1:10" x14ac:dyDescent="0.25">
      <c r="A273" s="4"/>
      <c r="B273" s="5"/>
      <c r="C273" s="4"/>
      <c r="E273" s="10"/>
      <c r="F273" s="10"/>
      <c r="G273" s="10"/>
      <c r="H273" s="10"/>
      <c r="I273" s="10"/>
      <c r="J273" s="10"/>
    </row>
    <row r="274" spans="1:10" x14ac:dyDescent="0.25">
      <c r="A274" s="4"/>
      <c r="B274" s="5"/>
      <c r="C274" s="4"/>
      <c r="E274" s="10"/>
      <c r="F274" s="10"/>
      <c r="G274" s="10"/>
      <c r="H274" s="10"/>
      <c r="I274" s="10"/>
      <c r="J274" s="10"/>
    </row>
    <row r="275" spans="1:10" x14ac:dyDescent="0.25">
      <c r="A275" s="4"/>
      <c r="B275" s="5"/>
      <c r="C275" s="4"/>
      <c r="E275" s="10"/>
      <c r="F275" s="10"/>
      <c r="G275" s="10"/>
      <c r="H275" s="10"/>
      <c r="I275" s="10"/>
      <c r="J275" s="10"/>
    </row>
    <row r="276" spans="1:10" x14ac:dyDescent="0.25">
      <c r="A276" s="4"/>
      <c r="B276" s="5"/>
      <c r="C276" s="4"/>
      <c r="E276" s="10"/>
      <c r="F276" s="10"/>
      <c r="G276" s="10"/>
      <c r="H276" s="10"/>
      <c r="I276" s="10"/>
      <c r="J276" s="10"/>
    </row>
    <row r="277" spans="1:10" x14ac:dyDescent="0.25">
      <c r="A277" s="4"/>
      <c r="B277" s="5"/>
      <c r="C277" s="4"/>
      <c r="E277" s="10"/>
      <c r="F277" s="10"/>
      <c r="G277" s="10"/>
      <c r="H277" s="10"/>
      <c r="I277" s="10"/>
      <c r="J277" s="10"/>
    </row>
    <row r="278" spans="1:10" x14ac:dyDescent="0.25">
      <c r="A278" s="4"/>
      <c r="B278" s="5"/>
      <c r="C278" s="4"/>
      <c r="E278" s="10"/>
      <c r="F278" s="10"/>
      <c r="G278" s="10"/>
      <c r="H278" s="10"/>
      <c r="I278" s="10"/>
      <c r="J278" s="10"/>
    </row>
    <row r="279" spans="1:10" x14ac:dyDescent="0.25">
      <c r="A279" s="4"/>
      <c r="B279" s="5"/>
      <c r="C279" s="4"/>
      <c r="E279" s="10"/>
      <c r="F279" s="10"/>
      <c r="G279" s="10"/>
      <c r="H279" s="10"/>
      <c r="I279" s="10"/>
      <c r="J279" s="10"/>
    </row>
    <row r="280" spans="1:10" x14ac:dyDescent="0.25">
      <c r="A280" s="4"/>
      <c r="B280" s="5"/>
      <c r="C280" s="4"/>
      <c r="E280" s="10"/>
      <c r="F280" s="10"/>
      <c r="G280" s="10"/>
      <c r="H280" s="10"/>
      <c r="I280" s="10"/>
      <c r="J280" s="10"/>
    </row>
    <row r="281" spans="1:10" x14ac:dyDescent="0.25">
      <c r="A281" s="4"/>
      <c r="B281" s="5"/>
      <c r="C281" s="4"/>
      <c r="E281" s="10"/>
      <c r="F281" s="10"/>
      <c r="G281" s="10"/>
      <c r="H281" s="10"/>
      <c r="I281" s="10"/>
      <c r="J281" s="10"/>
    </row>
    <row r="282" spans="1:10" x14ac:dyDescent="0.25">
      <c r="A282" s="4"/>
      <c r="B282" s="5"/>
      <c r="C282" s="4"/>
      <c r="E282" s="10"/>
      <c r="F282" s="10"/>
      <c r="G282" s="10"/>
      <c r="H282" s="10"/>
      <c r="I282" s="10"/>
      <c r="J282" s="10"/>
    </row>
    <row r="283" spans="1:10" x14ac:dyDescent="0.25">
      <c r="A283" s="4"/>
      <c r="B283" s="5"/>
      <c r="C283" s="4"/>
      <c r="E283" s="10"/>
      <c r="F283" s="10"/>
      <c r="G283" s="10"/>
      <c r="H283" s="10"/>
      <c r="I283" s="10"/>
      <c r="J283" s="10"/>
    </row>
    <row r="284" spans="1:10" x14ac:dyDescent="0.25">
      <c r="A284" s="4"/>
      <c r="B284" s="5"/>
      <c r="C284" s="4"/>
      <c r="E284" s="10"/>
      <c r="F284" s="10"/>
      <c r="G284" s="10"/>
      <c r="H284" s="10"/>
      <c r="I284" s="10"/>
      <c r="J284" s="10"/>
    </row>
    <row r="285" spans="1:10" x14ac:dyDescent="0.25">
      <c r="A285" s="4"/>
      <c r="B285" s="5"/>
      <c r="C285" s="4"/>
      <c r="E285" s="10"/>
      <c r="F285" s="10"/>
      <c r="G285" s="10"/>
      <c r="H285" s="10"/>
      <c r="I285" s="10"/>
      <c r="J285" s="10"/>
    </row>
    <row r="286" spans="1:10" x14ac:dyDescent="0.25">
      <c r="A286" s="4"/>
      <c r="B286" s="5"/>
      <c r="C286" s="4"/>
      <c r="E286" s="10"/>
      <c r="F286" s="10"/>
      <c r="G286" s="10"/>
      <c r="H286" s="10"/>
      <c r="I286" s="10"/>
      <c r="J286" s="10"/>
    </row>
    <row r="287" spans="1:10" x14ac:dyDescent="0.25">
      <c r="A287" s="4"/>
      <c r="B287" s="5"/>
      <c r="C287" s="4"/>
      <c r="E287" s="10"/>
      <c r="F287" s="10"/>
      <c r="G287" s="10"/>
      <c r="H287" s="10"/>
      <c r="I287" s="10"/>
      <c r="J287" s="10"/>
    </row>
    <row r="288" spans="1:10" x14ac:dyDescent="0.25">
      <c r="A288" s="4"/>
      <c r="B288" s="5"/>
      <c r="C288" s="4"/>
      <c r="E288" s="10"/>
      <c r="F288" s="10"/>
      <c r="G288" s="10"/>
      <c r="H288" s="10"/>
      <c r="I288" s="10"/>
      <c r="J288" s="10"/>
    </row>
    <row r="289" spans="1:10" x14ac:dyDescent="0.25">
      <c r="A289" s="4"/>
      <c r="B289" s="5"/>
      <c r="C289" s="4"/>
      <c r="E289" s="10"/>
      <c r="F289" s="10"/>
      <c r="G289" s="10"/>
      <c r="H289" s="10"/>
      <c r="I289" s="10"/>
      <c r="J289" s="10"/>
    </row>
    <row r="290" spans="1:10" x14ac:dyDescent="0.25">
      <c r="A290" s="4"/>
      <c r="B290" s="5"/>
      <c r="C290" s="4"/>
      <c r="E290" s="10"/>
      <c r="F290" s="10"/>
      <c r="G290" s="10"/>
      <c r="H290" s="10"/>
      <c r="I290" s="10"/>
      <c r="J290" s="10"/>
    </row>
    <row r="291" spans="1:10" x14ac:dyDescent="0.25">
      <c r="A291" s="4"/>
      <c r="B291" s="5"/>
      <c r="C291" s="4"/>
      <c r="E291" s="10"/>
      <c r="F291" s="10"/>
      <c r="G291" s="10"/>
      <c r="H291" s="10"/>
      <c r="I291" s="10"/>
      <c r="J291" s="10"/>
    </row>
    <row r="292" spans="1:10" x14ac:dyDescent="0.25">
      <c r="A292" s="4"/>
      <c r="B292" s="5"/>
      <c r="C292" s="4"/>
      <c r="E292" s="10"/>
      <c r="F292" s="10"/>
      <c r="G292" s="10"/>
      <c r="H292" s="10"/>
      <c r="I292" s="10"/>
      <c r="J292" s="10"/>
    </row>
    <row r="293" spans="1:10" x14ac:dyDescent="0.25">
      <c r="A293" s="4"/>
      <c r="B293" s="5"/>
      <c r="C293" s="4"/>
      <c r="E293" s="10"/>
      <c r="F293" s="10"/>
      <c r="G293" s="10"/>
      <c r="H293" s="10"/>
      <c r="I293" s="10"/>
      <c r="J293" s="10"/>
    </row>
    <row r="294" spans="1:10" x14ac:dyDescent="0.25">
      <c r="A294" s="4"/>
      <c r="B294" s="5"/>
      <c r="C294" s="4"/>
      <c r="E294" s="10"/>
      <c r="F294" s="10"/>
      <c r="G294" s="10"/>
      <c r="H294" s="10"/>
      <c r="I294" s="10"/>
      <c r="J294" s="10"/>
    </row>
    <row r="295" spans="1:10" x14ac:dyDescent="0.25">
      <c r="A295" s="4"/>
      <c r="B295" s="5"/>
      <c r="C295" s="4"/>
      <c r="E295" s="10"/>
      <c r="F295" s="10"/>
      <c r="G295" s="10"/>
      <c r="H295" s="10"/>
      <c r="I295" s="10"/>
      <c r="J295" s="10"/>
    </row>
    <row r="296" spans="1:10" x14ac:dyDescent="0.25">
      <c r="A296" s="4"/>
      <c r="B296" s="5"/>
      <c r="C296" s="4"/>
      <c r="E296" s="10"/>
      <c r="F296" s="10"/>
      <c r="G296" s="10"/>
      <c r="H296" s="10"/>
      <c r="I296" s="10"/>
      <c r="J296" s="10"/>
    </row>
    <row r="297" spans="1:10" x14ac:dyDescent="0.25">
      <c r="A297" s="4"/>
      <c r="B297" s="5"/>
      <c r="C297" s="4"/>
      <c r="E297" s="10"/>
      <c r="F297" s="10"/>
      <c r="G297" s="10"/>
      <c r="H297" s="10"/>
      <c r="I297" s="10"/>
      <c r="J297" s="10"/>
    </row>
    <row r="298" spans="1:10" x14ac:dyDescent="0.25">
      <c r="A298" s="4"/>
      <c r="B298" s="5"/>
      <c r="C298" s="4"/>
      <c r="E298" s="10"/>
      <c r="F298" s="10"/>
      <c r="G298" s="10"/>
      <c r="H298" s="10"/>
      <c r="I298" s="10"/>
      <c r="J298" s="10"/>
    </row>
    <row r="299" spans="1:10" x14ac:dyDescent="0.25">
      <c r="A299" s="4"/>
      <c r="B299" s="5"/>
      <c r="C299" s="4"/>
      <c r="E299" s="10"/>
      <c r="F299" s="10"/>
      <c r="G299" s="10"/>
      <c r="H299" s="10"/>
      <c r="I299" s="10"/>
      <c r="J299" s="10"/>
    </row>
    <row r="300" spans="1:10" x14ac:dyDescent="0.25">
      <c r="A300" s="4"/>
      <c r="B300" s="5"/>
      <c r="C300" s="4"/>
      <c r="E300" s="10"/>
      <c r="F300" s="10"/>
      <c r="G300" s="10"/>
      <c r="H300" s="10"/>
      <c r="I300" s="10"/>
      <c r="J300" s="10"/>
    </row>
    <row r="301" spans="1:10" x14ac:dyDescent="0.25">
      <c r="A301" s="4"/>
      <c r="B301" s="5"/>
      <c r="C301" s="4"/>
      <c r="E301" s="10"/>
      <c r="F301" s="10"/>
      <c r="G301" s="10"/>
      <c r="H301" s="10"/>
      <c r="I301" s="10"/>
      <c r="J301" s="10"/>
    </row>
    <row r="302" spans="1:10" x14ac:dyDescent="0.25">
      <c r="A302" s="4"/>
      <c r="B302" s="5"/>
      <c r="C302" s="4"/>
      <c r="E302" s="10"/>
      <c r="F302" s="10"/>
      <c r="G302" s="10"/>
      <c r="H302" s="10"/>
      <c r="I302" s="10"/>
      <c r="J302" s="10"/>
    </row>
    <row r="303" spans="1:10" x14ac:dyDescent="0.25">
      <c r="A303" s="4"/>
      <c r="B303" s="5"/>
      <c r="C303" s="4"/>
      <c r="E303" s="10"/>
      <c r="F303" s="10"/>
      <c r="G303" s="10"/>
      <c r="H303" s="10"/>
      <c r="I303" s="10"/>
      <c r="J303" s="10"/>
    </row>
    <row r="304" spans="1:10" x14ac:dyDescent="0.25">
      <c r="A304" s="4"/>
      <c r="B304" s="5"/>
      <c r="C304" s="4"/>
      <c r="E304" s="10"/>
      <c r="F304" s="10"/>
      <c r="G304" s="10"/>
      <c r="H304" s="10"/>
      <c r="I304" s="10"/>
      <c r="J304" s="10"/>
    </row>
    <row r="305" spans="1:10" x14ac:dyDescent="0.25">
      <c r="A305" s="4"/>
      <c r="B305" s="5"/>
      <c r="C305" s="4"/>
      <c r="E305" s="10"/>
      <c r="F305" s="10"/>
      <c r="G305" s="10"/>
      <c r="H305" s="10"/>
      <c r="I305" s="10"/>
      <c r="J305" s="10"/>
    </row>
    <row r="306" spans="1:10" x14ac:dyDescent="0.25">
      <c r="A306" s="4"/>
      <c r="B306" s="5"/>
      <c r="C306" s="4"/>
      <c r="E306" s="10"/>
      <c r="F306" s="10"/>
      <c r="G306" s="10"/>
      <c r="H306" s="10"/>
      <c r="I306" s="10"/>
      <c r="J306" s="10"/>
    </row>
    <row r="307" spans="1:10" x14ac:dyDescent="0.25">
      <c r="A307" s="4"/>
      <c r="B307" s="5"/>
      <c r="C307" s="4"/>
      <c r="E307" s="10"/>
      <c r="F307" s="10"/>
      <c r="G307" s="10"/>
      <c r="H307" s="10"/>
      <c r="I307" s="10"/>
      <c r="J307" s="10"/>
    </row>
    <row r="308" spans="1:10" x14ac:dyDescent="0.25">
      <c r="A308" s="4"/>
      <c r="B308" s="5"/>
      <c r="C308" s="4"/>
      <c r="E308" s="10"/>
      <c r="F308" s="10"/>
      <c r="G308" s="10"/>
      <c r="H308" s="10"/>
      <c r="I308" s="10"/>
      <c r="J308" s="10"/>
    </row>
    <row r="309" spans="1:10" x14ac:dyDescent="0.25">
      <c r="A309" s="4"/>
      <c r="B309" s="5"/>
      <c r="C309" s="4"/>
      <c r="E309" s="10"/>
      <c r="F309" s="10"/>
      <c r="G309" s="10"/>
      <c r="H309" s="10"/>
      <c r="I309" s="10"/>
      <c r="J309" s="10"/>
    </row>
    <row r="310" spans="1:10" x14ac:dyDescent="0.25">
      <c r="A310" s="4"/>
      <c r="B310" s="5"/>
      <c r="C310" s="4"/>
      <c r="E310" s="10"/>
      <c r="F310" s="10"/>
      <c r="G310" s="10"/>
      <c r="H310" s="10"/>
      <c r="I310" s="10"/>
      <c r="J310" s="10"/>
    </row>
    <row r="311" spans="1:10" x14ac:dyDescent="0.25">
      <c r="A311" s="4"/>
      <c r="B311" s="5"/>
      <c r="C311" s="4"/>
      <c r="E311" s="10"/>
      <c r="F311" s="10"/>
      <c r="G311" s="10"/>
      <c r="H311" s="10"/>
      <c r="I311" s="10"/>
      <c r="J311" s="10"/>
    </row>
    <row r="312" spans="1:10" x14ac:dyDescent="0.25">
      <c r="A312" s="4"/>
      <c r="B312" s="5"/>
      <c r="C312" s="4"/>
      <c r="E312" s="10"/>
      <c r="F312" s="10"/>
      <c r="G312" s="10"/>
      <c r="H312" s="10"/>
      <c r="I312" s="10"/>
      <c r="J312" s="10"/>
    </row>
    <row r="313" spans="1:10" x14ac:dyDescent="0.25">
      <c r="A313" s="4"/>
      <c r="B313" s="5"/>
      <c r="C313" s="4"/>
      <c r="E313" s="10"/>
      <c r="F313" s="10"/>
      <c r="G313" s="10"/>
      <c r="H313" s="10"/>
      <c r="I313" s="10"/>
      <c r="J313" s="10"/>
    </row>
    <row r="314" spans="1:10" x14ac:dyDescent="0.25">
      <c r="A314" s="4"/>
      <c r="B314" s="5"/>
      <c r="C314" s="4"/>
      <c r="E314" s="10"/>
      <c r="F314" s="10"/>
      <c r="G314" s="10"/>
      <c r="H314" s="10"/>
      <c r="I314" s="10"/>
      <c r="J314" s="10"/>
    </row>
    <row r="315" spans="1:10" x14ac:dyDescent="0.25">
      <c r="A315" s="4"/>
      <c r="B315" s="5"/>
      <c r="C315" s="4"/>
      <c r="E315" s="10"/>
      <c r="F315" s="10"/>
      <c r="G315" s="10"/>
      <c r="H315" s="10"/>
      <c r="I315" s="10"/>
      <c r="J315" s="10"/>
    </row>
    <row r="316" spans="1:10" x14ac:dyDescent="0.25">
      <c r="A316" s="4"/>
      <c r="B316" s="5"/>
      <c r="C316" s="4"/>
      <c r="E316" s="10"/>
      <c r="F316" s="10"/>
      <c r="G316" s="10"/>
      <c r="H316" s="10"/>
      <c r="I316" s="10"/>
      <c r="J316" s="10"/>
    </row>
    <row r="317" spans="1:10" x14ac:dyDescent="0.25">
      <c r="A317" s="4"/>
      <c r="B317" s="5"/>
      <c r="C317" s="4"/>
      <c r="E317" s="10"/>
      <c r="F317" s="10"/>
      <c r="G317" s="10"/>
      <c r="H317" s="10"/>
      <c r="I317" s="10"/>
      <c r="J317" s="10"/>
    </row>
    <row r="318" spans="1:10" x14ac:dyDescent="0.25">
      <c r="A318" s="4"/>
      <c r="B318" s="5"/>
      <c r="C318" s="4"/>
      <c r="E318" s="10"/>
      <c r="F318" s="10"/>
      <c r="G318" s="10"/>
      <c r="H318" s="10"/>
      <c r="I318" s="10"/>
      <c r="J318" s="10"/>
    </row>
    <row r="319" spans="1:10" x14ac:dyDescent="0.25">
      <c r="A319" s="4"/>
      <c r="B319" s="5"/>
      <c r="C319" s="4"/>
      <c r="E319" s="10"/>
      <c r="F319" s="10"/>
      <c r="G319" s="10"/>
      <c r="H319" s="10"/>
      <c r="I319" s="10"/>
      <c r="J319" s="10"/>
    </row>
    <row r="320" spans="1:10" x14ac:dyDescent="0.25">
      <c r="A320" s="4"/>
      <c r="B320" s="5"/>
      <c r="C320" s="4"/>
      <c r="E320" s="10"/>
      <c r="F320" s="10"/>
      <c r="G320" s="10"/>
      <c r="H320" s="10"/>
      <c r="I320" s="10"/>
      <c r="J320" s="10"/>
    </row>
    <row r="321" spans="1:10" x14ac:dyDescent="0.25">
      <c r="A321" s="4"/>
      <c r="B321" s="5"/>
      <c r="C321" s="4"/>
      <c r="E321" s="10"/>
      <c r="F321" s="10"/>
      <c r="G321" s="10"/>
      <c r="H321" s="10"/>
      <c r="I321" s="10"/>
      <c r="J321" s="10"/>
    </row>
    <row r="322" spans="1:10" x14ac:dyDescent="0.25">
      <c r="A322" s="4"/>
      <c r="B322" s="5"/>
      <c r="C322" s="4"/>
      <c r="E322" s="10"/>
      <c r="F322" s="10"/>
      <c r="G322" s="10"/>
      <c r="H322" s="10"/>
      <c r="I322" s="10"/>
      <c r="J322" s="10"/>
    </row>
    <row r="323" spans="1:10" x14ac:dyDescent="0.25">
      <c r="A323" s="4"/>
      <c r="B323" s="5"/>
      <c r="C323" s="4"/>
      <c r="E323" s="10"/>
      <c r="F323" s="10"/>
      <c r="G323" s="10"/>
      <c r="H323" s="10"/>
      <c r="I323" s="10"/>
      <c r="J323" s="10"/>
    </row>
    <row r="324" spans="1:10" x14ac:dyDescent="0.25">
      <c r="A324" s="4"/>
      <c r="B324" s="5"/>
      <c r="C324" s="4"/>
      <c r="E324" s="10"/>
      <c r="F324" s="10"/>
      <c r="G324" s="10"/>
      <c r="H324" s="10"/>
      <c r="I324" s="10"/>
      <c r="J324" s="10"/>
    </row>
    <row r="325" spans="1:10" x14ac:dyDescent="0.25">
      <c r="A325" s="4"/>
      <c r="B325" s="5"/>
      <c r="C325" s="4"/>
      <c r="E325" s="10"/>
      <c r="F325" s="10"/>
      <c r="G325" s="10"/>
      <c r="H325" s="10"/>
      <c r="I325" s="10"/>
      <c r="J325" s="10"/>
    </row>
    <row r="326" spans="1:10" x14ac:dyDescent="0.25">
      <c r="A326" s="4"/>
      <c r="B326" s="5"/>
      <c r="C326" s="4"/>
      <c r="E326" s="10"/>
      <c r="F326" s="10"/>
      <c r="G326" s="10"/>
      <c r="H326" s="10"/>
      <c r="I326" s="10"/>
      <c r="J326" s="10"/>
    </row>
    <row r="327" spans="1:10" x14ac:dyDescent="0.25">
      <c r="A327" s="4"/>
      <c r="B327" s="5"/>
      <c r="C327" s="4"/>
      <c r="E327" s="10"/>
      <c r="F327" s="10"/>
      <c r="G327" s="10"/>
      <c r="H327" s="10"/>
      <c r="I327" s="10"/>
      <c r="J327" s="10"/>
    </row>
    <row r="328" spans="1:10" x14ac:dyDescent="0.25">
      <c r="A328" s="4"/>
      <c r="B328" s="5"/>
      <c r="C328" s="4"/>
      <c r="E328" s="10"/>
      <c r="F328" s="10"/>
      <c r="G328" s="10"/>
      <c r="H328" s="10"/>
      <c r="I328" s="10"/>
      <c r="J328" s="10"/>
    </row>
    <row r="329" spans="1:10" x14ac:dyDescent="0.25">
      <c r="A329" s="4"/>
      <c r="B329" s="5"/>
      <c r="C329" s="4"/>
      <c r="E329" s="10"/>
      <c r="F329" s="10"/>
      <c r="G329" s="10"/>
      <c r="H329" s="10"/>
      <c r="I329" s="10"/>
      <c r="J329" s="10"/>
    </row>
    <row r="330" spans="1:10" x14ac:dyDescent="0.25">
      <c r="A330" s="4"/>
      <c r="B330" s="5"/>
      <c r="C330" s="4"/>
      <c r="E330" s="10"/>
      <c r="F330" s="10"/>
      <c r="G330" s="10"/>
      <c r="H330" s="10"/>
      <c r="I330" s="10"/>
      <c r="J330" s="10"/>
    </row>
    <row r="331" spans="1:10" x14ac:dyDescent="0.25">
      <c r="A331" s="4"/>
      <c r="B331" s="5"/>
      <c r="C331" s="4"/>
      <c r="E331" s="10"/>
      <c r="F331" s="10"/>
      <c r="G331" s="10"/>
      <c r="H331" s="10"/>
      <c r="I331" s="10"/>
      <c r="J331" s="10"/>
    </row>
    <row r="332" spans="1:10" x14ac:dyDescent="0.25">
      <c r="A332" s="4"/>
      <c r="B332" s="5"/>
      <c r="C332" s="4"/>
      <c r="E332" s="10"/>
      <c r="F332" s="10"/>
      <c r="G332" s="10"/>
      <c r="H332" s="10"/>
      <c r="I332" s="10"/>
      <c r="J332" s="10"/>
    </row>
    <row r="333" spans="1:10" x14ac:dyDescent="0.25">
      <c r="A333" s="4"/>
      <c r="B333" s="5"/>
      <c r="C333" s="4"/>
      <c r="E333" s="10"/>
      <c r="F333" s="10"/>
      <c r="G333" s="10"/>
      <c r="H333" s="10"/>
      <c r="I333" s="10"/>
      <c r="J333" s="10"/>
    </row>
    <row r="334" spans="1:10" x14ac:dyDescent="0.25">
      <c r="A334" s="4"/>
      <c r="B334" s="5"/>
      <c r="C334" s="4"/>
      <c r="E334" s="10"/>
      <c r="F334" s="10"/>
      <c r="G334" s="10"/>
      <c r="H334" s="10"/>
      <c r="I334" s="10"/>
      <c r="J334" s="10"/>
    </row>
    <row r="335" spans="1:10" x14ac:dyDescent="0.25">
      <c r="A335" s="4"/>
      <c r="B335" s="5"/>
      <c r="C335" s="4"/>
      <c r="E335" s="10"/>
      <c r="F335" s="10"/>
      <c r="G335" s="10"/>
      <c r="H335" s="10"/>
      <c r="I335" s="10"/>
      <c r="J335" s="10"/>
    </row>
    <row r="336" spans="1:10" x14ac:dyDescent="0.25">
      <c r="A336" s="4"/>
      <c r="B336" s="5"/>
      <c r="C336" s="4"/>
      <c r="E336" s="10"/>
      <c r="F336" s="10"/>
      <c r="G336" s="10"/>
      <c r="H336" s="10"/>
      <c r="I336" s="10"/>
      <c r="J336" s="10"/>
    </row>
    <row r="337" spans="1:10" x14ac:dyDescent="0.25">
      <c r="A337" s="4"/>
      <c r="B337" s="5"/>
      <c r="C337" s="4"/>
      <c r="E337" s="10"/>
      <c r="F337" s="10"/>
      <c r="G337" s="10"/>
      <c r="H337" s="10"/>
      <c r="I337" s="10"/>
      <c r="J337" s="10"/>
    </row>
    <row r="338" spans="1:10" x14ac:dyDescent="0.25">
      <c r="A338" s="4"/>
      <c r="B338" s="5"/>
      <c r="C338" s="4"/>
      <c r="E338" s="10"/>
      <c r="F338" s="10"/>
      <c r="G338" s="10"/>
      <c r="H338" s="10"/>
      <c r="I338" s="10"/>
      <c r="J338" s="10"/>
    </row>
    <row r="339" spans="1:10" x14ac:dyDescent="0.25">
      <c r="A339" s="4"/>
      <c r="B339" s="5"/>
      <c r="C339" s="4"/>
      <c r="E339" s="10"/>
      <c r="F339" s="10"/>
      <c r="G339" s="10"/>
      <c r="H339" s="10"/>
      <c r="I339" s="10"/>
      <c r="J339" s="10"/>
    </row>
    <row r="340" spans="1:10" x14ac:dyDescent="0.25">
      <c r="A340" s="4"/>
      <c r="B340" s="5"/>
      <c r="C340" s="4"/>
      <c r="E340" s="10"/>
      <c r="F340" s="10"/>
      <c r="G340" s="10"/>
      <c r="H340" s="10"/>
      <c r="I340" s="10"/>
      <c r="J340" s="10"/>
    </row>
    <row r="341" spans="1:10" x14ac:dyDescent="0.25">
      <c r="A341" s="4"/>
      <c r="B341" s="5"/>
      <c r="C341" s="4"/>
      <c r="E341" s="10"/>
      <c r="F341" s="10"/>
      <c r="G341" s="10"/>
      <c r="H341" s="10"/>
      <c r="I341" s="10"/>
      <c r="J341" s="10"/>
    </row>
    <row r="342" spans="1:10" x14ac:dyDescent="0.25">
      <c r="A342" s="4"/>
      <c r="B342" s="5"/>
      <c r="C342" s="4"/>
      <c r="E342" s="10"/>
      <c r="F342" s="10"/>
      <c r="G342" s="10"/>
      <c r="H342" s="10"/>
      <c r="I342" s="10"/>
      <c r="J342" s="10"/>
    </row>
    <row r="343" spans="1:10" x14ac:dyDescent="0.25">
      <c r="A343" s="4"/>
      <c r="B343" s="5"/>
      <c r="C343" s="4"/>
      <c r="E343" s="10"/>
      <c r="F343" s="10"/>
      <c r="G343" s="10"/>
      <c r="H343" s="10"/>
      <c r="I343" s="10"/>
      <c r="J343" s="10"/>
    </row>
    <row r="344" spans="1:10" x14ac:dyDescent="0.25">
      <c r="A344" s="4"/>
      <c r="B344" s="5"/>
      <c r="C344" s="4"/>
      <c r="E344" s="10"/>
      <c r="F344" s="10"/>
      <c r="G344" s="10"/>
      <c r="H344" s="10"/>
      <c r="I344" s="10"/>
      <c r="J344" s="10"/>
    </row>
    <row r="345" spans="1:10" x14ac:dyDescent="0.25">
      <c r="A345" s="4"/>
      <c r="B345" s="5"/>
      <c r="C345" s="4"/>
      <c r="E345" s="10"/>
      <c r="F345" s="10"/>
      <c r="G345" s="10"/>
      <c r="H345" s="10"/>
      <c r="I345" s="10"/>
      <c r="J345" s="10"/>
    </row>
    <row r="346" spans="1:10" x14ac:dyDescent="0.25">
      <c r="A346" s="4"/>
      <c r="B346" s="5"/>
      <c r="C346" s="4"/>
      <c r="E346" s="10"/>
      <c r="F346" s="10"/>
      <c r="G346" s="10"/>
      <c r="H346" s="10"/>
      <c r="I346" s="10"/>
      <c r="J346" s="10"/>
    </row>
    <row r="347" spans="1:10" x14ac:dyDescent="0.25">
      <c r="A347" s="4"/>
      <c r="B347" s="5"/>
      <c r="C347" s="4"/>
      <c r="E347" s="10"/>
      <c r="F347" s="10"/>
      <c r="G347" s="10"/>
      <c r="H347" s="10"/>
      <c r="I347" s="10"/>
      <c r="J347" s="10"/>
    </row>
    <row r="348" spans="1:10" x14ac:dyDescent="0.25">
      <c r="A348" s="4"/>
      <c r="B348" s="5"/>
      <c r="C348" s="4"/>
      <c r="E348" s="10"/>
      <c r="F348" s="10"/>
      <c r="G348" s="10"/>
      <c r="H348" s="10"/>
      <c r="I348" s="10"/>
      <c r="J348" s="10"/>
    </row>
    <row r="349" spans="1:10" x14ac:dyDescent="0.25">
      <c r="A349" s="4"/>
      <c r="B349" s="5"/>
      <c r="C349" s="4"/>
      <c r="E349" s="10"/>
      <c r="F349" s="10"/>
      <c r="G349" s="10"/>
      <c r="H349" s="10"/>
      <c r="I349" s="10"/>
      <c r="J349" s="10"/>
    </row>
    <row r="350" spans="1:10" x14ac:dyDescent="0.25">
      <c r="A350" s="4"/>
      <c r="B350" s="5"/>
      <c r="C350" s="4"/>
      <c r="E350" s="10"/>
      <c r="F350" s="10"/>
      <c r="G350" s="10"/>
      <c r="H350" s="10"/>
      <c r="I350" s="10"/>
      <c r="J350" s="10"/>
    </row>
    <row r="351" spans="1:10" x14ac:dyDescent="0.25">
      <c r="A351" s="4"/>
      <c r="B351" s="5"/>
      <c r="C351" s="4"/>
      <c r="E351" s="10"/>
      <c r="F351" s="10"/>
      <c r="G351" s="10"/>
      <c r="H351" s="10"/>
      <c r="I351" s="10"/>
      <c r="J351" s="10"/>
    </row>
    <row r="352" spans="1:10" x14ac:dyDescent="0.25">
      <c r="A352" s="4"/>
      <c r="B352" s="5"/>
      <c r="C352" s="4"/>
      <c r="E352" s="10"/>
      <c r="F352" s="10"/>
      <c r="G352" s="10"/>
      <c r="H352" s="10"/>
      <c r="I352" s="10"/>
      <c r="J352" s="10"/>
    </row>
    <row r="353" spans="1:10" x14ac:dyDescent="0.25">
      <c r="A353" s="4"/>
      <c r="B353" s="5"/>
      <c r="C353" s="4"/>
      <c r="E353" s="10"/>
      <c r="F353" s="10"/>
      <c r="G353" s="10"/>
      <c r="H353" s="10"/>
      <c r="I353" s="10"/>
      <c r="J353" s="10"/>
    </row>
    <row r="354" spans="1:10" x14ac:dyDescent="0.25">
      <c r="A354" s="4"/>
      <c r="B354" s="5"/>
      <c r="C354" s="4"/>
      <c r="E354" s="10"/>
      <c r="F354" s="10"/>
      <c r="G354" s="10"/>
      <c r="H354" s="10"/>
      <c r="I354" s="10"/>
      <c r="J354" s="10"/>
    </row>
    <row r="355" spans="1:10" x14ac:dyDescent="0.25">
      <c r="A355" s="4"/>
      <c r="B355" s="5"/>
      <c r="C355" s="4"/>
      <c r="E355" s="10"/>
      <c r="F355" s="10"/>
      <c r="G355" s="10"/>
      <c r="H355" s="10"/>
      <c r="I355" s="10"/>
      <c r="J355" s="10"/>
    </row>
    <row r="356" spans="1:10" x14ac:dyDescent="0.25">
      <c r="A356" s="4"/>
      <c r="B356" s="5"/>
      <c r="C356" s="4"/>
      <c r="E356" s="10"/>
      <c r="F356" s="10"/>
      <c r="G356" s="10"/>
      <c r="H356" s="10"/>
      <c r="I356" s="10"/>
      <c r="J356" s="10"/>
    </row>
    <row r="357" spans="1:10" x14ac:dyDescent="0.25">
      <c r="A357" s="4"/>
      <c r="B357" s="5"/>
      <c r="C357" s="4"/>
      <c r="E357" s="10"/>
      <c r="F357" s="10"/>
      <c r="G357" s="10"/>
      <c r="H357" s="10"/>
      <c r="I357" s="10"/>
      <c r="J357" s="10"/>
    </row>
    <row r="358" spans="1:10" x14ac:dyDescent="0.25">
      <c r="A358" s="4"/>
      <c r="B358" s="5"/>
      <c r="C358" s="4"/>
      <c r="E358" s="10"/>
      <c r="F358" s="10"/>
      <c r="G358" s="10"/>
      <c r="H358" s="10"/>
      <c r="I358" s="10"/>
      <c r="J358" s="10"/>
    </row>
    <row r="359" spans="1:10" x14ac:dyDescent="0.25">
      <c r="A359" s="4"/>
      <c r="B359" s="5"/>
      <c r="C359" s="4"/>
      <c r="E359" s="10"/>
      <c r="F359" s="10"/>
      <c r="G359" s="10"/>
      <c r="H359" s="10"/>
      <c r="I359" s="10"/>
      <c r="J359" s="10"/>
    </row>
    <row r="360" spans="1:10" x14ac:dyDescent="0.25">
      <c r="A360" s="4"/>
      <c r="B360" s="5"/>
      <c r="C360" s="4"/>
      <c r="E360" s="10"/>
      <c r="F360" s="10"/>
      <c r="G360" s="10"/>
      <c r="H360" s="10"/>
      <c r="I360" s="10"/>
      <c r="J360" s="10"/>
    </row>
    <row r="361" spans="1:10" x14ac:dyDescent="0.25">
      <c r="A361" s="4"/>
      <c r="B361" s="5"/>
      <c r="C361" s="4"/>
      <c r="E361" s="10"/>
      <c r="F361" s="10"/>
      <c r="G361" s="10"/>
      <c r="H361" s="10"/>
      <c r="I361" s="10"/>
      <c r="J361" s="10"/>
    </row>
    <row r="362" spans="1:10" x14ac:dyDescent="0.25">
      <c r="A362" s="4"/>
      <c r="B362" s="5"/>
      <c r="C362" s="4"/>
      <c r="E362" s="10"/>
      <c r="F362" s="10"/>
      <c r="G362" s="10"/>
      <c r="H362" s="10"/>
      <c r="I362" s="10"/>
      <c r="J362" s="10"/>
    </row>
    <row r="363" spans="1:10" x14ac:dyDescent="0.25">
      <c r="A363" s="4"/>
      <c r="B363" s="5"/>
      <c r="C363" s="4"/>
      <c r="E363" s="10"/>
      <c r="F363" s="10"/>
      <c r="G363" s="10"/>
      <c r="H363" s="10"/>
      <c r="I363" s="10"/>
      <c r="J363" s="10"/>
    </row>
    <row r="364" spans="1:10" x14ac:dyDescent="0.25">
      <c r="A364" s="4"/>
      <c r="B364" s="5"/>
      <c r="C364" s="4"/>
      <c r="E364" s="10"/>
      <c r="F364" s="10"/>
      <c r="G364" s="10"/>
      <c r="H364" s="10"/>
      <c r="I364" s="10"/>
      <c r="J364" s="10"/>
    </row>
    <row r="365" spans="1:10" x14ac:dyDescent="0.25">
      <c r="A365" s="4"/>
      <c r="B365" s="5"/>
      <c r="C365" s="4"/>
      <c r="E365" s="10"/>
      <c r="F365" s="10"/>
      <c r="G365" s="10"/>
      <c r="H365" s="10"/>
      <c r="I365" s="10"/>
      <c r="J365" s="10"/>
    </row>
    <row r="366" spans="1:10" x14ac:dyDescent="0.25">
      <c r="A366" s="4"/>
      <c r="B366" s="5"/>
      <c r="C366" s="4"/>
      <c r="E366" s="10"/>
      <c r="F366" s="10"/>
      <c r="G366" s="10"/>
      <c r="H366" s="10"/>
      <c r="I366" s="10"/>
      <c r="J366" s="10"/>
    </row>
    <row r="367" spans="1:10" x14ac:dyDescent="0.25">
      <c r="A367" s="4"/>
      <c r="B367" s="5"/>
      <c r="C367" s="4"/>
      <c r="E367" s="10"/>
      <c r="F367" s="10"/>
      <c r="G367" s="10"/>
      <c r="H367" s="10"/>
      <c r="I367" s="10"/>
      <c r="J367" s="10"/>
    </row>
    <row r="368" spans="1:10" x14ac:dyDescent="0.25">
      <c r="A368" s="4"/>
      <c r="B368" s="5"/>
      <c r="C368" s="4"/>
      <c r="E368" s="10"/>
      <c r="F368" s="10"/>
      <c r="G368" s="10"/>
      <c r="H368" s="10"/>
      <c r="I368" s="10"/>
      <c r="J368" s="10"/>
    </row>
    <row r="369" spans="1:10" x14ac:dyDescent="0.25">
      <c r="A369" s="4"/>
      <c r="B369" s="5"/>
      <c r="C369" s="4"/>
      <c r="E369" s="10"/>
      <c r="F369" s="10"/>
      <c r="G369" s="10"/>
      <c r="H369" s="10"/>
      <c r="I369" s="10"/>
      <c r="J369" s="10"/>
    </row>
    <row r="370" spans="1:10" x14ac:dyDescent="0.25">
      <c r="A370" s="4"/>
      <c r="B370" s="5"/>
      <c r="C370" s="4"/>
      <c r="E370" s="10"/>
      <c r="F370" s="10"/>
      <c r="G370" s="10"/>
      <c r="H370" s="10"/>
      <c r="I370" s="10"/>
      <c r="J370" s="10"/>
    </row>
    <row r="371" spans="1:10" x14ac:dyDescent="0.25">
      <c r="A371" s="4"/>
      <c r="B371" s="5"/>
      <c r="C371" s="4"/>
      <c r="E371" s="10"/>
      <c r="F371" s="10"/>
      <c r="G371" s="10"/>
      <c r="H371" s="10"/>
      <c r="I371" s="10"/>
      <c r="J371" s="10"/>
    </row>
    <row r="372" spans="1:10" x14ac:dyDescent="0.25">
      <c r="A372" s="4"/>
      <c r="B372" s="5"/>
      <c r="C372" s="4"/>
      <c r="E372" s="10"/>
      <c r="F372" s="10"/>
      <c r="G372" s="10"/>
      <c r="H372" s="10"/>
      <c r="I372" s="10"/>
      <c r="J372" s="10"/>
    </row>
    <row r="373" spans="1:10" x14ac:dyDescent="0.25">
      <c r="A373" s="4"/>
      <c r="B373" s="5"/>
      <c r="C373" s="4"/>
      <c r="E373" s="10"/>
      <c r="F373" s="10"/>
      <c r="G373" s="10"/>
      <c r="H373" s="10"/>
      <c r="I373" s="10"/>
      <c r="J373" s="10"/>
    </row>
    <row r="374" spans="1:10" x14ac:dyDescent="0.25">
      <c r="A374" s="4"/>
      <c r="B374" s="5"/>
      <c r="C374" s="4"/>
      <c r="E374" s="10"/>
      <c r="F374" s="10"/>
      <c r="G374" s="10"/>
      <c r="H374" s="10"/>
      <c r="I374" s="10"/>
      <c r="J374" s="10"/>
    </row>
    <row r="375" spans="1:10" x14ac:dyDescent="0.25">
      <c r="A375" s="4"/>
      <c r="B375" s="5"/>
      <c r="C375" s="4"/>
      <c r="E375" s="10"/>
      <c r="F375" s="10"/>
      <c r="G375" s="10"/>
      <c r="H375" s="10"/>
      <c r="I375" s="10"/>
      <c r="J375" s="10"/>
    </row>
    <row r="376" spans="1:10" x14ac:dyDescent="0.25">
      <c r="A376" s="4"/>
      <c r="B376" s="5"/>
      <c r="C376" s="4"/>
      <c r="E376" s="10"/>
      <c r="F376" s="10"/>
      <c r="G376" s="10"/>
      <c r="H376" s="10"/>
      <c r="I376" s="10"/>
      <c r="J376" s="10"/>
    </row>
    <row r="377" spans="1:10" x14ac:dyDescent="0.25">
      <c r="A377" s="4"/>
      <c r="B377" s="5"/>
      <c r="C377" s="4"/>
      <c r="E377" s="10"/>
      <c r="F377" s="10"/>
      <c r="G377" s="10"/>
      <c r="H377" s="10"/>
      <c r="I377" s="10"/>
      <c r="J377" s="10"/>
    </row>
    <row r="378" spans="1:10" x14ac:dyDescent="0.25">
      <c r="A378" s="4"/>
      <c r="B378" s="5"/>
      <c r="C378" s="4"/>
      <c r="E378" s="10"/>
      <c r="F378" s="10"/>
      <c r="G378" s="10"/>
      <c r="H378" s="10"/>
      <c r="I378" s="10"/>
      <c r="J378" s="10"/>
    </row>
    <row r="379" spans="1:10" x14ac:dyDescent="0.25">
      <c r="A379" s="4"/>
      <c r="B379" s="5"/>
      <c r="C379" s="4"/>
      <c r="E379" s="10"/>
      <c r="F379" s="10"/>
      <c r="G379" s="10"/>
      <c r="H379" s="10"/>
      <c r="I379" s="10"/>
      <c r="J379" s="10"/>
    </row>
    <row r="380" spans="1:10" x14ac:dyDescent="0.25">
      <c r="A380" s="4"/>
      <c r="B380" s="5"/>
      <c r="C380" s="4"/>
      <c r="E380" s="10"/>
      <c r="F380" s="10"/>
      <c r="G380" s="10"/>
      <c r="H380" s="10"/>
      <c r="I380" s="10"/>
      <c r="J380" s="10"/>
    </row>
    <row r="381" spans="1:10" x14ac:dyDescent="0.25">
      <c r="A381" s="4"/>
      <c r="B381" s="5"/>
      <c r="C381" s="4"/>
      <c r="E381" s="10"/>
      <c r="F381" s="10"/>
      <c r="G381" s="10"/>
      <c r="H381" s="10"/>
      <c r="I381" s="10"/>
      <c r="J381" s="10"/>
    </row>
    <row r="382" spans="1:10" x14ac:dyDescent="0.25">
      <c r="A382" s="4"/>
      <c r="B382" s="5"/>
      <c r="C382" s="4"/>
      <c r="E382" s="10"/>
      <c r="F382" s="10"/>
      <c r="G382" s="10"/>
      <c r="H382" s="10"/>
      <c r="I382" s="10"/>
      <c r="J382" s="10"/>
    </row>
    <row r="383" spans="1:10" x14ac:dyDescent="0.25">
      <c r="A383" s="4"/>
      <c r="B383" s="5"/>
      <c r="C383" s="4"/>
      <c r="E383" s="10"/>
      <c r="F383" s="10"/>
      <c r="G383" s="10"/>
      <c r="H383" s="10"/>
      <c r="I383" s="10"/>
      <c r="J383" s="10"/>
    </row>
    <row r="384" spans="1:10" x14ac:dyDescent="0.25">
      <c r="A384" s="4"/>
      <c r="B384" s="5"/>
      <c r="C384" s="4"/>
      <c r="E384" s="10"/>
      <c r="F384" s="10"/>
      <c r="G384" s="10"/>
      <c r="H384" s="10"/>
      <c r="I384" s="10"/>
      <c r="J384" s="10"/>
    </row>
    <row r="385" spans="1:10" x14ac:dyDescent="0.25">
      <c r="A385" s="4"/>
      <c r="B385" s="5"/>
      <c r="C385" s="4"/>
      <c r="E385" s="10"/>
      <c r="F385" s="10"/>
      <c r="G385" s="10"/>
      <c r="H385" s="10"/>
      <c r="I385" s="10"/>
      <c r="J385" s="10"/>
    </row>
    <row r="386" spans="1:10" x14ac:dyDescent="0.25">
      <c r="A386" s="4"/>
      <c r="B386" s="5"/>
      <c r="C386" s="4"/>
      <c r="E386" s="10"/>
      <c r="F386" s="10"/>
      <c r="G386" s="10"/>
      <c r="H386" s="10"/>
      <c r="I386" s="10"/>
      <c r="J386" s="10"/>
    </row>
    <row r="387" spans="1:10" x14ac:dyDescent="0.25">
      <c r="A387" s="4"/>
      <c r="B387" s="5"/>
      <c r="C387" s="4"/>
      <c r="E387" s="10"/>
      <c r="F387" s="10"/>
      <c r="G387" s="10"/>
      <c r="H387" s="10"/>
      <c r="I387" s="10"/>
      <c r="J387" s="10"/>
    </row>
    <row r="388" spans="1:10" x14ac:dyDescent="0.25">
      <c r="A388" s="4"/>
      <c r="B388" s="5"/>
      <c r="C388" s="4"/>
      <c r="E388" s="10"/>
      <c r="F388" s="10"/>
      <c r="G388" s="10"/>
      <c r="H388" s="10"/>
      <c r="I388" s="10"/>
      <c r="J388" s="10"/>
    </row>
    <row r="389" spans="1:10" x14ac:dyDescent="0.25">
      <c r="A389" s="4"/>
      <c r="B389" s="5"/>
      <c r="C389" s="4"/>
      <c r="E389" s="10"/>
      <c r="F389" s="10"/>
      <c r="G389" s="10"/>
      <c r="H389" s="10"/>
      <c r="I389" s="10"/>
      <c r="J389" s="10"/>
    </row>
    <row r="390" spans="1:10" x14ac:dyDescent="0.25">
      <c r="A390" s="4"/>
      <c r="B390" s="5"/>
      <c r="C390" s="4"/>
      <c r="E390" s="10"/>
      <c r="F390" s="10"/>
      <c r="G390" s="10"/>
      <c r="H390" s="10"/>
      <c r="I390" s="10"/>
      <c r="J390" s="10"/>
    </row>
    <row r="391" spans="1:10" x14ac:dyDescent="0.25">
      <c r="A391" s="4"/>
      <c r="B391" s="5"/>
      <c r="C391" s="4"/>
      <c r="E391" s="10"/>
      <c r="F391" s="10"/>
      <c r="G391" s="10"/>
      <c r="H391" s="10"/>
      <c r="I391" s="10"/>
      <c r="J391" s="10"/>
    </row>
    <row r="392" spans="1:10" x14ac:dyDescent="0.25">
      <c r="A392" s="4"/>
      <c r="B392" s="5"/>
      <c r="C392" s="4"/>
      <c r="E392" s="10"/>
      <c r="F392" s="10"/>
      <c r="G392" s="10"/>
      <c r="H392" s="10"/>
      <c r="I392" s="10"/>
      <c r="J392" s="10"/>
    </row>
    <row r="393" spans="1:10" x14ac:dyDescent="0.25">
      <c r="A393" s="4"/>
      <c r="B393" s="5"/>
      <c r="C393" s="4"/>
      <c r="E393" s="10"/>
      <c r="F393" s="10"/>
      <c r="G393" s="10"/>
      <c r="H393" s="10"/>
      <c r="I393" s="10"/>
      <c r="J393" s="10"/>
    </row>
    <row r="394" spans="1:10" x14ac:dyDescent="0.25">
      <c r="A394" s="4"/>
      <c r="B394" s="5"/>
      <c r="C394" s="4"/>
      <c r="E394" s="10"/>
      <c r="F394" s="10"/>
      <c r="G394" s="10"/>
      <c r="H394" s="10"/>
      <c r="I394" s="10"/>
      <c r="J394" s="10"/>
    </row>
    <row r="395" spans="1:10" x14ac:dyDescent="0.25">
      <c r="A395" s="4"/>
      <c r="B395" s="5"/>
      <c r="C395" s="4"/>
      <c r="E395" s="10"/>
      <c r="F395" s="10"/>
      <c r="G395" s="10"/>
      <c r="H395" s="10"/>
      <c r="I395" s="10"/>
      <c r="J395" s="10"/>
    </row>
    <row r="396" spans="1:10" x14ac:dyDescent="0.25">
      <c r="A396" s="4"/>
      <c r="B396" s="5"/>
      <c r="C396" s="4"/>
      <c r="E396" s="10"/>
      <c r="F396" s="10"/>
      <c r="G396" s="10"/>
      <c r="H396" s="10"/>
      <c r="I396" s="10"/>
      <c r="J396" s="10"/>
    </row>
    <row r="397" spans="1:10" x14ac:dyDescent="0.25">
      <c r="A397" s="4"/>
      <c r="B397" s="5"/>
      <c r="C397" s="4"/>
      <c r="E397" s="10"/>
      <c r="F397" s="10"/>
      <c r="G397" s="10"/>
      <c r="H397" s="10"/>
      <c r="I397" s="10"/>
      <c r="J397" s="10"/>
    </row>
    <row r="398" spans="1:10" x14ac:dyDescent="0.25">
      <c r="A398" s="4"/>
      <c r="B398" s="5"/>
      <c r="C398" s="4"/>
      <c r="E398" s="10"/>
      <c r="F398" s="10"/>
      <c r="G398" s="10"/>
      <c r="H398" s="10"/>
      <c r="I398" s="10"/>
      <c r="J398" s="10"/>
    </row>
    <row r="399" spans="1:10" x14ac:dyDescent="0.25">
      <c r="A399" s="4"/>
      <c r="B399" s="5"/>
      <c r="C399" s="4"/>
      <c r="E399" s="10"/>
      <c r="F399" s="10"/>
      <c r="G399" s="10"/>
      <c r="H399" s="10"/>
      <c r="I399" s="10"/>
      <c r="J399" s="10"/>
    </row>
    <row r="400" spans="1:10" x14ac:dyDescent="0.25">
      <c r="A400" s="4"/>
      <c r="B400" s="5"/>
      <c r="C400" s="4"/>
      <c r="E400" s="10"/>
      <c r="F400" s="10"/>
      <c r="G400" s="10"/>
      <c r="H400" s="10"/>
      <c r="I400" s="10"/>
      <c r="J400" s="10"/>
    </row>
    <row r="401" spans="1:10" x14ac:dyDescent="0.25">
      <c r="A401" s="4"/>
      <c r="B401" s="5"/>
      <c r="C401" s="4"/>
      <c r="E401" s="10"/>
      <c r="F401" s="10"/>
      <c r="G401" s="10"/>
      <c r="H401" s="10"/>
      <c r="I401" s="10"/>
      <c r="J401" s="10"/>
    </row>
    <row r="402" spans="1:10" x14ac:dyDescent="0.25">
      <c r="A402" s="4"/>
      <c r="B402" s="5"/>
      <c r="C402" s="4"/>
      <c r="E402" s="10"/>
      <c r="F402" s="10"/>
      <c r="G402" s="10"/>
      <c r="H402" s="10"/>
      <c r="I402" s="10"/>
      <c r="J402" s="10"/>
    </row>
    <row r="403" spans="1:10" x14ac:dyDescent="0.25">
      <c r="A403" s="4"/>
      <c r="B403" s="5"/>
      <c r="C403" s="4"/>
      <c r="E403" s="10"/>
      <c r="F403" s="10"/>
      <c r="G403" s="10"/>
      <c r="H403" s="10"/>
      <c r="I403" s="10"/>
      <c r="J403" s="10"/>
    </row>
    <row r="404" spans="1:10" x14ac:dyDescent="0.25">
      <c r="A404" s="4"/>
      <c r="B404" s="5"/>
      <c r="C404" s="4"/>
      <c r="E404" s="10"/>
      <c r="F404" s="10"/>
      <c r="G404" s="10"/>
      <c r="H404" s="10"/>
      <c r="I404" s="10"/>
      <c r="J404" s="10"/>
    </row>
    <row r="405" spans="1:10" x14ac:dyDescent="0.25">
      <c r="A405" s="4"/>
      <c r="B405" s="5"/>
      <c r="C405" s="4"/>
      <c r="E405" s="10"/>
      <c r="F405" s="10"/>
      <c r="G405" s="10"/>
      <c r="H405" s="10"/>
      <c r="I405" s="10"/>
      <c r="J405" s="10"/>
    </row>
    <row r="406" spans="1:10" x14ac:dyDescent="0.25">
      <c r="A406" s="4"/>
      <c r="B406" s="5"/>
      <c r="C406" s="4"/>
      <c r="E406" s="10"/>
      <c r="F406" s="10"/>
      <c r="G406" s="10"/>
      <c r="H406" s="10"/>
      <c r="I406" s="10"/>
      <c r="J406" s="10"/>
    </row>
    <row r="407" spans="1:10" x14ac:dyDescent="0.25">
      <c r="A407" s="4"/>
      <c r="B407" s="5"/>
      <c r="C407" s="4"/>
      <c r="E407" s="10"/>
      <c r="F407" s="10"/>
      <c r="G407" s="10"/>
      <c r="H407" s="10"/>
      <c r="I407" s="10"/>
      <c r="J407" s="10"/>
    </row>
    <row r="408" spans="1:10" x14ac:dyDescent="0.25">
      <c r="A408" s="4"/>
      <c r="B408" s="5"/>
      <c r="C408" s="4"/>
      <c r="E408" s="10"/>
      <c r="F408" s="10"/>
      <c r="G408" s="10"/>
      <c r="H408" s="10"/>
      <c r="I408" s="10"/>
      <c r="J408" s="10"/>
    </row>
    <row r="409" spans="1:10" x14ac:dyDescent="0.25">
      <c r="A409" s="4"/>
      <c r="B409" s="5"/>
      <c r="C409" s="4"/>
      <c r="E409" s="10"/>
      <c r="F409" s="10"/>
      <c r="G409" s="10"/>
      <c r="H409" s="10"/>
      <c r="I409" s="10"/>
      <c r="J409" s="10"/>
    </row>
    <row r="410" spans="1:10" x14ac:dyDescent="0.25">
      <c r="A410" s="4"/>
      <c r="B410" s="5"/>
      <c r="C410" s="4"/>
      <c r="E410" s="10"/>
      <c r="F410" s="10"/>
      <c r="G410" s="10"/>
      <c r="H410" s="10"/>
      <c r="I410" s="10"/>
      <c r="J410" s="10"/>
    </row>
    <row r="411" spans="1:10" x14ac:dyDescent="0.25">
      <c r="A411" s="4"/>
      <c r="B411" s="5"/>
      <c r="C411" s="4"/>
      <c r="E411" s="10"/>
      <c r="F411" s="10"/>
      <c r="G411" s="10"/>
      <c r="H411" s="10"/>
      <c r="I411" s="10"/>
      <c r="J411" s="10"/>
    </row>
    <row r="412" spans="1:10" x14ac:dyDescent="0.25">
      <c r="A412" s="4"/>
      <c r="B412" s="5"/>
      <c r="C412" s="4"/>
      <c r="E412" s="10"/>
      <c r="F412" s="10"/>
      <c r="G412" s="10"/>
      <c r="H412" s="10"/>
      <c r="I412" s="10"/>
      <c r="J412" s="10"/>
    </row>
    <row r="413" spans="1:10" x14ac:dyDescent="0.25">
      <c r="A413" s="4"/>
      <c r="B413" s="5"/>
      <c r="C413" s="4"/>
      <c r="E413" s="10"/>
      <c r="F413" s="10"/>
      <c r="G413" s="10"/>
      <c r="H413" s="10"/>
      <c r="I413" s="10"/>
      <c r="J413" s="10"/>
    </row>
    <row r="414" spans="1:10" x14ac:dyDescent="0.25">
      <c r="A414" s="4"/>
      <c r="B414" s="5"/>
      <c r="C414" s="4"/>
      <c r="E414" s="10"/>
      <c r="F414" s="10"/>
      <c r="G414" s="10"/>
      <c r="H414" s="10"/>
      <c r="I414" s="10"/>
      <c r="J414" s="10"/>
    </row>
    <row r="415" spans="1:10" x14ac:dyDescent="0.25">
      <c r="A415" s="4"/>
      <c r="B415" s="5"/>
      <c r="C415" s="4"/>
      <c r="E415" s="10"/>
      <c r="F415" s="10"/>
      <c r="G415" s="10"/>
      <c r="H415" s="10"/>
      <c r="I415" s="10"/>
      <c r="J415" s="10"/>
    </row>
    <row r="416" spans="1:10" x14ac:dyDescent="0.25">
      <c r="A416" s="4"/>
      <c r="B416" s="5"/>
      <c r="C416" s="4"/>
      <c r="E416" s="10"/>
      <c r="F416" s="10"/>
      <c r="G416" s="10"/>
      <c r="H416" s="10"/>
      <c r="I416" s="10"/>
      <c r="J416" s="10"/>
    </row>
    <row r="417" spans="1:10" x14ac:dyDescent="0.25">
      <c r="A417" s="4"/>
      <c r="B417" s="5"/>
      <c r="C417" s="4"/>
      <c r="E417" s="10"/>
      <c r="F417" s="10"/>
      <c r="G417" s="10"/>
      <c r="H417" s="10"/>
      <c r="I417" s="10"/>
      <c r="J417" s="10"/>
    </row>
    <row r="418" spans="1:10" x14ac:dyDescent="0.25">
      <c r="A418" s="4"/>
      <c r="B418" s="5"/>
      <c r="C418" s="4"/>
      <c r="E418" s="10"/>
      <c r="F418" s="10"/>
      <c r="G418" s="10"/>
      <c r="H418" s="10"/>
      <c r="I418" s="10"/>
      <c r="J418" s="10"/>
    </row>
    <row r="419" spans="1:10" x14ac:dyDescent="0.25">
      <c r="A419" s="4"/>
      <c r="B419" s="5"/>
      <c r="C419" s="4"/>
      <c r="E419" s="10"/>
      <c r="F419" s="10"/>
      <c r="G419" s="10"/>
      <c r="H419" s="10"/>
      <c r="I419" s="10"/>
      <c r="J419" s="10"/>
    </row>
    <row r="420" spans="1:10" x14ac:dyDescent="0.25">
      <c r="A420" s="4"/>
      <c r="B420" s="5"/>
      <c r="C420" s="4"/>
      <c r="E420" s="10"/>
      <c r="F420" s="10"/>
      <c r="G420" s="10"/>
      <c r="H420" s="10"/>
      <c r="I420" s="10"/>
      <c r="J420" s="10"/>
    </row>
    <row r="421" spans="1:10" x14ac:dyDescent="0.25">
      <c r="A421" s="4"/>
      <c r="B421" s="5"/>
      <c r="C421" s="4"/>
      <c r="E421" s="10"/>
      <c r="F421" s="10"/>
      <c r="G421" s="10"/>
      <c r="H421" s="10"/>
      <c r="I421" s="10"/>
      <c r="J421" s="10"/>
    </row>
    <row r="422" spans="1:10" x14ac:dyDescent="0.25">
      <c r="A422" s="4"/>
      <c r="B422" s="5"/>
      <c r="C422" s="4"/>
      <c r="E422" s="10"/>
      <c r="F422" s="10"/>
      <c r="G422" s="10"/>
      <c r="H422" s="10"/>
      <c r="I422" s="10"/>
      <c r="J422" s="10"/>
    </row>
    <row r="423" spans="1:10" x14ac:dyDescent="0.25">
      <c r="A423" s="4"/>
      <c r="B423" s="5"/>
      <c r="C423" s="4"/>
      <c r="E423" s="10"/>
      <c r="F423" s="10"/>
      <c r="G423" s="10"/>
      <c r="H423" s="10"/>
      <c r="I423" s="10"/>
      <c r="J423" s="10"/>
    </row>
    <row r="424" spans="1:10" x14ac:dyDescent="0.25">
      <c r="A424" s="4"/>
      <c r="B424" s="5"/>
      <c r="C424" s="4"/>
      <c r="E424" s="10"/>
      <c r="F424" s="10"/>
      <c r="G424" s="10"/>
      <c r="H424" s="10"/>
      <c r="I424" s="10"/>
      <c r="J424" s="10"/>
    </row>
    <row r="425" spans="1:10" x14ac:dyDescent="0.25">
      <c r="A425" s="4"/>
      <c r="B425" s="5"/>
      <c r="C425" s="4"/>
      <c r="E425" s="10"/>
      <c r="F425" s="10"/>
      <c r="G425" s="10"/>
      <c r="H425" s="10"/>
      <c r="I425" s="10"/>
      <c r="J425" s="10"/>
    </row>
    <row r="426" spans="1:10" x14ac:dyDescent="0.25">
      <c r="A426" s="4"/>
      <c r="B426" s="5"/>
      <c r="C426" s="4"/>
      <c r="E426" s="10"/>
      <c r="F426" s="10"/>
      <c r="G426" s="10"/>
      <c r="H426" s="10"/>
      <c r="I426" s="10"/>
      <c r="J426" s="10"/>
    </row>
    <row r="427" spans="1:10" x14ac:dyDescent="0.25">
      <c r="A427" s="4"/>
      <c r="B427" s="5"/>
      <c r="C427" s="4"/>
      <c r="E427" s="10"/>
      <c r="F427" s="10"/>
      <c r="G427" s="10"/>
      <c r="H427" s="10"/>
      <c r="I427" s="10"/>
      <c r="J427" s="10"/>
    </row>
    <row r="428" spans="1:10" x14ac:dyDescent="0.25">
      <c r="A428" s="4"/>
      <c r="B428" s="5"/>
      <c r="C428" s="4"/>
      <c r="E428" s="10"/>
      <c r="F428" s="10"/>
      <c r="G428" s="10"/>
      <c r="H428" s="10"/>
      <c r="I428" s="10"/>
      <c r="J428" s="10"/>
    </row>
    <row r="429" spans="1:10" x14ac:dyDescent="0.25">
      <c r="A429" s="4"/>
      <c r="B429" s="5"/>
      <c r="C429" s="4"/>
      <c r="E429" s="10"/>
      <c r="F429" s="10"/>
      <c r="G429" s="10"/>
      <c r="H429" s="10"/>
      <c r="I429" s="10"/>
      <c r="J429" s="10"/>
    </row>
    <row r="430" spans="1:10" x14ac:dyDescent="0.25">
      <c r="A430" s="4"/>
      <c r="B430" s="5"/>
      <c r="C430" s="4"/>
      <c r="E430" s="10"/>
      <c r="F430" s="10"/>
      <c r="G430" s="10"/>
      <c r="H430" s="10"/>
      <c r="I430" s="10"/>
      <c r="J430" s="10"/>
    </row>
    <row r="431" spans="1:10" x14ac:dyDescent="0.25">
      <c r="A431" s="4"/>
      <c r="B431" s="5"/>
      <c r="C431" s="4"/>
      <c r="E431" s="10"/>
      <c r="F431" s="10"/>
      <c r="G431" s="10"/>
      <c r="H431" s="10"/>
      <c r="I431" s="10"/>
      <c r="J431" s="10"/>
    </row>
    <row r="432" spans="1:10" x14ac:dyDescent="0.25">
      <c r="A432" s="4"/>
      <c r="B432" s="5"/>
      <c r="C432" s="4"/>
      <c r="E432" s="10"/>
      <c r="F432" s="10"/>
      <c r="G432" s="10"/>
      <c r="H432" s="10"/>
      <c r="I432" s="10"/>
      <c r="J432" s="10"/>
    </row>
    <row r="433" spans="1:10" x14ac:dyDescent="0.25">
      <c r="A433" s="4"/>
      <c r="B433" s="5"/>
      <c r="C433" s="4"/>
      <c r="E433" s="10"/>
      <c r="F433" s="10"/>
      <c r="G433" s="10"/>
      <c r="H433" s="10"/>
      <c r="I433" s="10"/>
      <c r="J433" s="10"/>
    </row>
    <row r="434" spans="1:10" x14ac:dyDescent="0.25">
      <c r="A434" s="4"/>
      <c r="B434" s="5"/>
      <c r="C434" s="4"/>
      <c r="E434" s="10"/>
      <c r="F434" s="10"/>
      <c r="G434" s="10"/>
      <c r="H434" s="10"/>
      <c r="I434" s="10"/>
      <c r="J434" s="10"/>
    </row>
    <row r="435" spans="1:10" x14ac:dyDescent="0.25">
      <c r="A435" s="4"/>
      <c r="B435" s="5"/>
      <c r="C435" s="4"/>
      <c r="E435" s="10"/>
      <c r="F435" s="10"/>
      <c r="G435" s="10"/>
      <c r="H435" s="10"/>
      <c r="I435" s="10"/>
      <c r="J435" s="10"/>
    </row>
    <row r="436" spans="1:10" x14ac:dyDescent="0.25">
      <c r="A436" s="4"/>
      <c r="B436" s="5"/>
      <c r="C436" s="4"/>
      <c r="E436" s="10"/>
      <c r="F436" s="10"/>
      <c r="G436" s="10"/>
      <c r="H436" s="10"/>
      <c r="I436" s="10"/>
      <c r="J436" s="10"/>
    </row>
    <row r="437" spans="1:10" x14ac:dyDescent="0.25">
      <c r="A437" s="4"/>
      <c r="B437" s="5"/>
      <c r="C437" s="4"/>
      <c r="E437" s="10"/>
      <c r="F437" s="10"/>
      <c r="G437" s="10"/>
      <c r="H437" s="10"/>
      <c r="I437" s="10"/>
      <c r="J437" s="10"/>
    </row>
    <row r="438" spans="1:10" x14ac:dyDescent="0.25">
      <c r="A438" s="4"/>
      <c r="B438" s="5"/>
      <c r="C438" s="4"/>
      <c r="E438" s="10"/>
      <c r="F438" s="10"/>
      <c r="G438" s="10"/>
      <c r="H438" s="10"/>
      <c r="I438" s="10"/>
      <c r="J438" s="10"/>
    </row>
    <row r="439" spans="1:10" x14ac:dyDescent="0.25">
      <c r="A439" s="4"/>
      <c r="B439" s="5"/>
      <c r="C439" s="4"/>
      <c r="E439" s="10"/>
      <c r="F439" s="10"/>
      <c r="G439" s="10"/>
      <c r="H439" s="10"/>
      <c r="I439" s="10"/>
      <c r="J439" s="10"/>
    </row>
    <row r="440" spans="1:10" x14ac:dyDescent="0.25">
      <c r="A440" s="4"/>
      <c r="B440" s="5"/>
      <c r="C440" s="4"/>
      <c r="E440" s="10"/>
      <c r="F440" s="10"/>
      <c r="G440" s="10"/>
      <c r="H440" s="10"/>
      <c r="I440" s="10"/>
      <c r="J440" s="10"/>
    </row>
    <row r="441" spans="1:10" x14ac:dyDescent="0.25">
      <c r="A441" s="4"/>
      <c r="B441" s="5"/>
      <c r="C441" s="4"/>
      <c r="E441" s="10"/>
      <c r="F441" s="10"/>
      <c r="G441" s="10"/>
      <c r="H441" s="10"/>
      <c r="I441" s="10"/>
      <c r="J441" s="10"/>
    </row>
    <row r="442" spans="1:10" x14ac:dyDescent="0.25">
      <c r="A442" s="4"/>
      <c r="B442" s="5"/>
      <c r="C442" s="4"/>
      <c r="E442" s="10"/>
      <c r="F442" s="10"/>
      <c r="G442" s="10"/>
      <c r="H442" s="10"/>
      <c r="I442" s="10"/>
      <c r="J442" s="10"/>
    </row>
    <row r="443" spans="1:10" x14ac:dyDescent="0.25">
      <c r="A443" s="4"/>
      <c r="B443" s="5"/>
      <c r="C443" s="4"/>
      <c r="E443" s="10"/>
      <c r="F443" s="10"/>
      <c r="G443" s="10"/>
      <c r="H443" s="10"/>
      <c r="I443" s="10"/>
      <c r="J443" s="10"/>
    </row>
    <row r="444" spans="1:10" x14ac:dyDescent="0.25">
      <c r="A444" s="4"/>
      <c r="B444" s="5"/>
      <c r="C444" s="4"/>
      <c r="E444" s="10"/>
      <c r="F444" s="10"/>
      <c r="G444" s="10"/>
      <c r="H444" s="10"/>
      <c r="I444" s="10"/>
      <c r="J444" s="10"/>
    </row>
    <row r="445" spans="1:10" x14ac:dyDescent="0.25">
      <c r="A445" s="4"/>
      <c r="B445" s="5"/>
      <c r="C445" s="4"/>
      <c r="E445" s="10"/>
      <c r="F445" s="10"/>
      <c r="G445" s="10"/>
      <c r="H445" s="10"/>
      <c r="I445" s="10"/>
      <c r="J445" s="10"/>
    </row>
    <row r="446" spans="1:10" x14ac:dyDescent="0.25">
      <c r="A446" s="4"/>
      <c r="B446" s="5"/>
      <c r="C446" s="4"/>
      <c r="E446" s="10"/>
      <c r="F446" s="10"/>
      <c r="G446" s="10"/>
      <c r="H446" s="10"/>
      <c r="I446" s="10"/>
      <c r="J446" s="10"/>
    </row>
    <row r="447" spans="1:10" x14ac:dyDescent="0.25">
      <c r="A447" s="4"/>
      <c r="B447" s="5"/>
      <c r="C447" s="4"/>
      <c r="E447" s="10"/>
      <c r="F447" s="10"/>
      <c r="G447" s="10"/>
      <c r="H447" s="10"/>
      <c r="I447" s="10"/>
      <c r="J447" s="10"/>
    </row>
    <row r="448" spans="1:10" x14ac:dyDescent="0.25">
      <c r="A448" s="4"/>
      <c r="B448" s="5"/>
      <c r="C448" s="4"/>
      <c r="E448" s="10"/>
      <c r="F448" s="10"/>
      <c r="G448" s="10"/>
      <c r="H448" s="10"/>
      <c r="I448" s="10"/>
      <c r="J448" s="10"/>
    </row>
    <row r="449" spans="1:10" x14ac:dyDescent="0.25">
      <c r="A449" s="4"/>
      <c r="B449" s="5"/>
      <c r="C449" s="4"/>
      <c r="E449" s="10"/>
      <c r="F449" s="10"/>
      <c r="G449" s="10"/>
      <c r="H449" s="10"/>
      <c r="I449" s="10"/>
      <c r="J449" s="10"/>
    </row>
    <row r="450" spans="1:10" x14ac:dyDescent="0.25">
      <c r="A450" s="4"/>
      <c r="B450" s="5"/>
      <c r="C450" s="4"/>
      <c r="E450" s="10"/>
      <c r="F450" s="10"/>
      <c r="G450" s="10"/>
      <c r="H450" s="10"/>
      <c r="I450" s="10"/>
      <c r="J450" s="10"/>
    </row>
    <row r="451" spans="1:10" x14ac:dyDescent="0.25">
      <c r="A451" s="4"/>
      <c r="B451" s="5"/>
      <c r="C451" s="4"/>
      <c r="E451" s="10"/>
      <c r="F451" s="10"/>
      <c r="G451" s="10"/>
      <c r="H451" s="10"/>
      <c r="I451" s="10"/>
      <c r="J451" s="10"/>
    </row>
    <row r="452" spans="1:10" x14ac:dyDescent="0.25">
      <c r="A452" s="4"/>
      <c r="B452" s="5"/>
      <c r="C452" s="4"/>
      <c r="E452" s="10"/>
      <c r="F452" s="10"/>
      <c r="G452" s="10"/>
      <c r="H452" s="10"/>
      <c r="I452" s="10"/>
      <c r="J452" s="10"/>
    </row>
    <row r="453" spans="1:10" x14ac:dyDescent="0.25">
      <c r="A453" s="4"/>
      <c r="B453" s="5"/>
      <c r="C453" s="4"/>
      <c r="E453" s="10"/>
      <c r="F453" s="10"/>
      <c r="G453" s="10"/>
      <c r="H453" s="10"/>
      <c r="I453" s="10"/>
      <c r="J453" s="10"/>
    </row>
    <row r="454" spans="1:10" x14ac:dyDescent="0.25">
      <c r="A454" s="4"/>
      <c r="B454" s="5"/>
      <c r="C454" s="4"/>
      <c r="E454" s="10"/>
      <c r="F454" s="10"/>
      <c r="G454" s="10"/>
      <c r="H454" s="10"/>
      <c r="I454" s="10"/>
      <c r="J454" s="10"/>
    </row>
    <row r="455" spans="1:10" x14ac:dyDescent="0.25">
      <c r="A455" s="4"/>
      <c r="B455" s="5"/>
      <c r="C455" s="4"/>
      <c r="E455" s="10"/>
      <c r="F455" s="10"/>
      <c r="G455" s="10"/>
      <c r="H455" s="10"/>
      <c r="I455" s="10"/>
      <c r="J455" s="10"/>
    </row>
    <row r="456" spans="1:10" x14ac:dyDescent="0.25">
      <c r="A456" s="4"/>
      <c r="B456" s="5"/>
      <c r="C456" s="4"/>
      <c r="E456" s="10"/>
      <c r="F456" s="10"/>
      <c r="G456" s="10"/>
      <c r="H456" s="10"/>
      <c r="I456" s="10"/>
      <c r="J456" s="10"/>
    </row>
    <row r="457" spans="1:10" x14ac:dyDescent="0.25">
      <c r="A457" s="4"/>
      <c r="B457" s="5"/>
      <c r="C457" s="4"/>
      <c r="E457" s="10"/>
      <c r="F457" s="10"/>
      <c r="G457" s="10"/>
      <c r="H457" s="10"/>
      <c r="I457" s="10"/>
      <c r="J457" s="10"/>
    </row>
    <row r="458" spans="1:10" x14ac:dyDescent="0.25">
      <c r="A458" s="4"/>
      <c r="B458" s="5"/>
      <c r="C458" s="4"/>
      <c r="E458" s="10"/>
      <c r="F458" s="10"/>
      <c r="G458" s="10"/>
      <c r="H458" s="10"/>
      <c r="I458" s="10"/>
      <c r="J458" s="10"/>
    </row>
    <row r="459" spans="1:10" x14ac:dyDescent="0.25">
      <c r="A459" s="4"/>
      <c r="B459" s="5"/>
      <c r="C459" s="4"/>
      <c r="E459" s="10"/>
      <c r="F459" s="10"/>
      <c r="G459" s="10"/>
      <c r="H459" s="10"/>
      <c r="I459" s="10"/>
      <c r="J459" s="10"/>
    </row>
    <row r="460" spans="1:10" x14ac:dyDescent="0.25">
      <c r="A460" s="4"/>
      <c r="B460" s="5"/>
      <c r="C460" s="4"/>
      <c r="E460" s="10"/>
      <c r="F460" s="10"/>
      <c r="G460" s="10"/>
      <c r="H460" s="10"/>
      <c r="I460" s="10"/>
      <c r="J460" s="10"/>
    </row>
    <row r="461" spans="1:10" x14ac:dyDescent="0.25">
      <c r="A461" s="4"/>
      <c r="B461" s="5"/>
      <c r="C461" s="4"/>
      <c r="E461" s="10"/>
      <c r="F461" s="10"/>
      <c r="G461" s="10"/>
      <c r="H461" s="10"/>
      <c r="I461" s="10"/>
      <c r="J461" s="10"/>
    </row>
    <row r="462" spans="1:10" x14ac:dyDescent="0.25">
      <c r="A462" s="4"/>
      <c r="B462" s="5"/>
      <c r="C462" s="4"/>
      <c r="E462" s="10"/>
      <c r="F462" s="10"/>
      <c r="G462" s="10"/>
      <c r="H462" s="10"/>
      <c r="I462" s="10"/>
      <c r="J462" s="10"/>
    </row>
    <row r="463" spans="1:10" x14ac:dyDescent="0.25">
      <c r="A463" s="4"/>
      <c r="B463" s="5"/>
      <c r="C463" s="4"/>
      <c r="E463" s="10"/>
      <c r="F463" s="10"/>
      <c r="G463" s="10"/>
      <c r="H463" s="10"/>
      <c r="I463" s="10"/>
      <c r="J463" s="10"/>
    </row>
    <row r="464" spans="1:10" x14ac:dyDescent="0.25">
      <c r="A464" s="4"/>
      <c r="B464" s="5"/>
      <c r="C464" s="4"/>
      <c r="E464" s="10"/>
      <c r="F464" s="10"/>
      <c r="G464" s="10"/>
      <c r="H464" s="10"/>
      <c r="I464" s="10"/>
      <c r="J464" s="10"/>
    </row>
    <row r="465" spans="1:10" x14ac:dyDescent="0.25">
      <c r="A465" s="4"/>
      <c r="B465" s="5"/>
      <c r="C465" s="4"/>
      <c r="E465" s="10"/>
      <c r="F465" s="10"/>
      <c r="G465" s="10"/>
      <c r="H465" s="10"/>
      <c r="I465" s="10"/>
      <c r="J465" s="10"/>
    </row>
    <row r="466" spans="1:10" x14ac:dyDescent="0.25">
      <c r="A466" s="4"/>
      <c r="B466" s="5"/>
      <c r="C466" s="4"/>
      <c r="E466" s="10"/>
      <c r="F466" s="10"/>
      <c r="G466" s="10"/>
      <c r="H466" s="10"/>
      <c r="I466" s="10"/>
      <c r="J466" s="10"/>
    </row>
    <row r="467" spans="1:10" x14ac:dyDescent="0.25">
      <c r="A467" s="4"/>
      <c r="B467" s="5"/>
      <c r="C467" s="4"/>
      <c r="E467" s="10"/>
      <c r="F467" s="10"/>
      <c r="G467" s="10"/>
      <c r="H467" s="10"/>
      <c r="I467" s="10"/>
      <c r="J467" s="10"/>
    </row>
    <row r="468" spans="1:10" x14ac:dyDescent="0.25">
      <c r="A468" s="4"/>
      <c r="B468" s="5"/>
      <c r="C468" s="4"/>
      <c r="E468" s="10"/>
      <c r="F468" s="10"/>
      <c r="G468" s="10"/>
      <c r="H468" s="10"/>
      <c r="I468" s="10"/>
      <c r="J468" s="10"/>
    </row>
    <row r="469" spans="1:10" x14ac:dyDescent="0.25">
      <c r="A469" s="4"/>
      <c r="B469" s="5"/>
      <c r="C469" s="4"/>
      <c r="E469" s="10"/>
      <c r="F469" s="10"/>
      <c r="G469" s="10"/>
      <c r="H469" s="10"/>
      <c r="I469" s="10"/>
      <c r="J469" s="10"/>
    </row>
    <row r="470" spans="1:10" x14ac:dyDescent="0.25">
      <c r="A470" s="4"/>
      <c r="B470" s="5"/>
      <c r="C470" s="4"/>
      <c r="E470" s="10"/>
      <c r="F470" s="10"/>
      <c r="G470" s="10"/>
      <c r="H470" s="10"/>
      <c r="I470" s="10"/>
      <c r="J470" s="10"/>
    </row>
    <row r="471" spans="1:10" x14ac:dyDescent="0.25">
      <c r="A471" s="4"/>
      <c r="B471" s="5"/>
      <c r="C471" s="4"/>
      <c r="E471" s="10"/>
      <c r="F471" s="10"/>
      <c r="G471" s="10"/>
      <c r="H471" s="10"/>
      <c r="I471" s="10"/>
      <c r="J471" s="10"/>
    </row>
    <row r="472" spans="1:10" x14ac:dyDescent="0.25">
      <c r="A472" s="4"/>
      <c r="B472" s="5"/>
      <c r="C472" s="4"/>
      <c r="E472" s="10"/>
      <c r="F472" s="10"/>
      <c r="G472" s="10"/>
      <c r="H472" s="10"/>
      <c r="I472" s="10"/>
      <c r="J472" s="10"/>
    </row>
    <row r="473" spans="1:10" x14ac:dyDescent="0.25">
      <c r="A473" s="4"/>
      <c r="B473" s="5"/>
      <c r="C473" s="4"/>
      <c r="E473" s="10"/>
      <c r="F473" s="10"/>
      <c r="G473" s="10"/>
      <c r="H473" s="10"/>
      <c r="I473" s="10"/>
      <c r="J473" s="10"/>
    </row>
    <row r="474" spans="1:10" x14ac:dyDescent="0.25">
      <c r="A474" s="4"/>
      <c r="B474" s="5"/>
      <c r="C474" s="4"/>
      <c r="E474" s="10"/>
      <c r="F474" s="10"/>
      <c r="G474" s="10"/>
      <c r="H474" s="10"/>
      <c r="I474" s="10"/>
      <c r="J474" s="10"/>
    </row>
    <row r="475" spans="1:10" x14ac:dyDescent="0.25">
      <c r="A475" s="4"/>
      <c r="B475" s="5"/>
      <c r="C475" s="4"/>
      <c r="E475" s="10"/>
      <c r="F475" s="10"/>
      <c r="G475" s="10"/>
      <c r="H475" s="10"/>
      <c r="I475" s="10"/>
      <c r="J475" s="10"/>
    </row>
    <row r="476" spans="1:10" x14ac:dyDescent="0.25">
      <c r="A476" s="4"/>
      <c r="B476" s="5"/>
      <c r="C476" s="4"/>
      <c r="E476" s="10"/>
      <c r="F476" s="10"/>
      <c r="G476" s="10"/>
      <c r="H476" s="10"/>
      <c r="I476" s="10"/>
      <c r="J476" s="10"/>
    </row>
    <row r="477" spans="1:10" x14ac:dyDescent="0.25">
      <c r="A477" s="4"/>
      <c r="B477" s="5"/>
      <c r="C477" s="4"/>
      <c r="E477" s="10"/>
      <c r="F477" s="10"/>
      <c r="G477" s="10"/>
      <c r="H477" s="10"/>
      <c r="I477" s="10"/>
      <c r="J477" s="10"/>
    </row>
    <row r="478" spans="1:10" x14ac:dyDescent="0.25">
      <c r="A478" s="4"/>
      <c r="B478" s="5"/>
      <c r="C478" s="4"/>
      <c r="E478" s="10"/>
      <c r="F478" s="10"/>
      <c r="G478" s="10"/>
      <c r="H478" s="10"/>
      <c r="I478" s="10"/>
      <c r="J478" s="10"/>
    </row>
    <row r="479" spans="1:10" x14ac:dyDescent="0.25">
      <c r="A479" s="4"/>
      <c r="B479" s="5"/>
      <c r="C479" s="4"/>
      <c r="E479" s="10"/>
      <c r="F479" s="10"/>
      <c r="G479" s="10"/>
      <c r="H479" s="10"/>
      <c r="I479" s="10"/>
      <c r="J479" s="10"/>
    </row>
    <row r="480" spans="1:10" x14ac:dyDescent="0.25">
      <c r="A480" s="4"/>
      <c r="B480" s="5"/>
      <c r="C480" s="4"/>
      <c r="E480" s="10"/>
      <c r="F480" s="10"/>
      <c r="G480" s="10"/>
      <c r="H480" s="10"/>
      <c r="I480" s="10"/>
      <c r="J480" s="10"/>
    </row>
    <row r="481" spans="1:10" x14ac:dyDescent="0.25">
      <c r="A481" s="4"/>
      <c r="B481" s="5"/>
      <c r="C481" s="4"/>
      <c r="E481" s="10"/>
      <c r="F481" s="10"/>
      <c r="G481" s="10"/>
      <c r="H481" s="10"/>
      <c r="I481" s="10"/>
      <c r="J481" s="10"/>
    </row>
    <row r="482" spans="1:10" x14ac:dyDescent="0.25">
      <c r="A482" s="4"/>
      <c r="B482" s="5"/>
      <c r="C482" s="4"/>
      <c r="E482" s="10"/>
      <c r="F482" s="10"/>
      <c r="G482" s="10"/>
      <c r="H482" s="10"/>
      <c r="I482" s="10"/>
      <c r="J482" s="10"/>
    </row>
    <row r="483" spans="1:10" x14ac:dyDescent="0.25">
      <c r="A483" s="4"/>
      <c r="B483" s="5"/>
      <c r="C483" s="4"/>
      <c r="E483" s="10"/>
      <c r="F483" s="10"/>
      <c r="G483" s="10"/>
      <c r="H483" s="10"/>
      <c r="I483" s="10"/>
      <c r="J483" s="10"/>
    </row>
    <row r="484" spans="1:10" x14ac:dyDescent="0.25">
      <c r="A484" s="4"/>
      <c r="B484" s="5"/>
      <c r="C484" s="4"/>
      <c r="E484" s="10"/>
      <c r="F484" s="10"/>
      <c r="G484" s="10"/>
      <c r="H484" s="10"/>
      <c r="I484" s="10"/>
      <c r="J484" s="10"/>
    </row>
    <row r="485" spans="1:10" x14ac:dyDescent="0.25">
      <c r="A485" s="4"/>
      <c r="B485" s="5"/>
      <c r="C485" s="4"/>
      <c r="E485" s="10"/>
      <c r="F485" s="10"/>
      <c r="G485" s="10"/>
      <c r="H485" s="10"/>
      <c r="I485" s="10"/>
      <c r="J485" s="10"/>
    </row>
    <row r="486" spans="1:10" x14ac:dyDescent="0.25">
      <c r="A486" s="4"/>
      <c r="B486" s="5"/>
      <c r="C486" s="4"/>
      <c r="E486" s="10"/>
      <c r="F486" s="10"/>
      <c r="G486" s="10"/>
      <c r="H486" s="10"/>
      <c r="I486" s="10"/>
      <c r="J486" s="10"/>
    </row>
    <row r="487" spans="1:10" x14ac:dyDescent="0.25">
      <c r="A487" s="4"/>
      <c r="B487" s="5"/>
      <c r="C487" s="4"/>
      <c r="E487" s="10"/>
      <c r="F487" s="10"/>
      <c r="G487" s="10"/>
      <c r="H487" s="10"/>
      <c r="I487" s="10"/>
      <c r="J487" s="10"/>
    </row>
    <row r="488" spans="1:10" x14ac:dyDescent="0.25">
      <c r="A488" s="4"/>
      <c r="B488" s="5"/>
      <c r="C488" s="4"/>
      <c r="E488" s="10"/>
      <c r="F488" s="10"/>
      <c r="G488" s="10"/>
      <c r="H488" s="10"/>
      <c r="I488" s="10"/>
      <c r="J488" s="10"/>
    </row>
    <row r="489" spans="1:10" x14ac:dyDescent="0.25">
      <c r="A489" s="4"/>
      <c r="B489" s="5"/>
      <c r="C489" s="4"/>
      <c r="E489" s="10"/>
      <c r="F489" s="10"/>
      <c r="G489" s="10"/>
      <c r="H489" s="10"/>
      <c r="I489" s="10"/>
      <c r="J489" s="10"/>
    </row>
    <row r="490" spans="1:10" x14ac:dyDescent="0.25">
      <c r="A490" s="4"/>
      <c r="B490" s="5"/>
      <c r="C490" s="4"/>
      <c r="E490" s="10"/>
      <c r="F490" s="10"/>
      <c r="G490" s="10"/>
      <c r="H490" s="10"/>
      <c r="I490" s="10"/>
      <c r="J490" s="10"/>
    </row>
    <row r="491" spans="1:10" x14ac:dyDescent="0.25">
      <c r="A491" s="4"/>
      <c r="B491" s="5"/>
      <c r="C491" s="4"/>
      <c r="E491" s="10"/>
      <c r="F491" s="10"/>
      <c r="G491" s="10"/>
      <c r="H491" s="10"/>
      <c r="I491" s="10"/>
      <c r="J491" s="10"/>
    </row>
    <row r="492" spans="1:10" x14ac:dyDescent="0.25">
      <c r="A492" s="4"/>
      <c r="B492" s="5"/>
      <c r="C492" s="4"/>
      <c r="E492" s="10"/>
      <c r="F492" s="10"/>
      <c r="G492" s="10"/>
      <c r="H492" s="10"/>
      <c r="I492" s="10"/>
      <c r="J492" s="10"/>
    </row>
    <row r="493" spans="1:10" x14ac:dyDescent="0.25">
      <c r="A493" s="4"/>
      <c r="B493" s="5"/>
      <c r="C493" s="4"/>
      <c r="E493" s="10"/>
      <c r="F493" s="10"/>
      <c r="G493" s="10"/>
      <c r="H493" s="10"/>
      <c r="I493" s="10"/>
      <c r="J493" s="10"/>
    </row>
    <row r="494" spans="1:10" x14ac:dyDescent="0.25">
      <c r="A494" s="4"/>
      <c r="B494" s="5"/>
      <c r="C494" s="4"/>
      <c r="E494" s="10"/>
      <c r="F494" s="10"/>
      <c r="G494" s="10"/>
      <c r="H494" s="10"/>
      <c r="I494" s="10"/>
      <c r="J494" s="10"/>
    </row>
    <row r="495" spans="1:10" x14ac:dyDescent="0.25">
      <c r="A495" s="4"/>
      <c r="B495" s="5"/>
      <c r="C495" s="4"/>
      <c r="E495" s="10"/>
      <c r="F495" s="10"/>
      <c r="G495" s="10"/>
      <c r="H495" s="10"/>
      <c r="I495" s="10"/>
      <c r="J495" s="10"/>
    </row>
    <row r="496" spans="1:10" x14ac:dyDescent="0.25">
      <c r="A496" s="4"/>
      <c r="B496" s="5"/>
      <c r="C496" s="4"/>
      <c r="E496" s="10"/>
      <c r="F496" s="10"/>
      <c r="G496" s="10"/>
      <c r="H496" s="10"/>
      <c r="I496" s="10"/>
      <c r="J496" s="10"/>
    </row>
    <row r="497" spans="1:10" x14ac:dyDescent="0.25">
      <c r="A497" s="4"/>
      <c r="B497" s="5"/>
      <c r="C497" s="4"/>
      <c r="E497" s="10"/>
      <c r="F497" s="10"/>
      <c r="G497" s="10"/>
      <c r="H497" s="10"/>
      <c r="I497" s="10"/>
      <c r="J497" s="10"/>
    </row>
    <row r="498" spans="1:10" x14ac:dyDescent="0.25">
      <c r="A498" s="4"/>
      <c r="B498" s="5"/>
      <c r="C498" s="4"/>
      <c r="E498" s="10"/>
      <c r="F498" s="10"/>
      <c r="G498" s="10"/>
      <c r="H498" s="10"/>
      <c r="I498" s="10"/>
      <c r="J498" s="10"/>
    </row>
    <row r="499" spans="1:10" x14ac:dyDescent="0.25">
      <c r="A499" s="4"/>
      <c r="B499" s="5"/>
      <c r="C499" s="4"/>
      <c r="E499" s="10"/>
      <c r="F499" s="10"/>
      <c r="G499" s="10"/>
      <c r="H499" s="10"/>
      <c r="I499" s="10"/>
      <c r="J499" s="10"/>
    </row>
    <row r="500" spans="1:10" x14ac:dyDescent="0.25">
      <c r="A500" s="4"/>
      <c r="B500" s="5"/>
      <c r="C500" s="4"/>
      <c r="E500" s="10"/>
      <c r="F500" s="10"/>
      <c r="G500" s="10"/>
      <c r="H500" s="10"/>
      <c r="I500" s="10"/>
      <c r="J500" s="10"/>
    </row>
    <row r="501" spans="1:10" x14ac:dyDescent="0.25">
      <c r="A501" s="4"/>
      <c r="B501" s="5"/>
      <c r="C501" s="4"/>
      <c r="E501" s="10"/>
      <c r="F501" s="10"/>
      <c r="G501" s="10"/>
      <c r="H501" s="10"/>
      <c r="I501" s="10"/>
      <c r="J501" s="10"/>
    </row>
    <row r="502" spans="1:10" x14ac:dyDescent="0.25">
      <c r="A502" s="4"/>
      <c r="B502" s="5"/>
      <c r="C502" s="4"/>
      <c r="E502" s="10"/>
      <c r="F502" s="10"/>
      <c r="G502" s="10"/>
      <c r="H502" s="10"/>
      <c r="I502" s="10"/>
      <c r="J502" s="10"/>
    </row>
    <row r="503" spans="1:10" x14ac:dyDescent="0.25">
      <c r="A503" s="4"/>
      <c r="B503" s="5"/>
      <c r="C503" s="4"/>
      <c r="E503" s="10"/>
      <c r="F503" s="10"/>
      <c r="G503" s="10"/>
      <c r="H503" s="10"/>
      <c r="I503" s="10"/>
      <c r="J503" s="10"/>
    </row>
    <row r="504" spans="1:10" x14ac:dyDescent="0.25">
      <c r="A504" s="4"/>
      <c r="B504" s="5"/>
      <c r="C504" s="4"/>
      <c r="E504" s="10"/>
      <c r="F504" s="10"/>
      <c r="G504" s="10"/>
      <c r="H504" s="10"/>
      <c r="I504" s="10"/>
      <c r="J504" s="10"/>
    </row>
    <row r="505" spans="1:10" x14ac:dyDescent="0.25">
      <c r="A505" s="4"/>
      <c r="B505" s="5"/>
      <c r="C505" s="4"/>
      <c r="E505" s="10"/>
      <c r="F505" s="10"/>
      <c r="G505" s="10"/>
      <c r="H505" s="10"/>
      <c r="I505" s="10"/>
      <c r="J505" s="10"/>
    </row>
    <row r="506" spans="1:10" x14ac:dyDescent="0.25">
      <c r="A506" s="4"/>
      <c r="B506" s="5"/>
      <c r="C506" s="4"/>
      <c r="E506" s="10"/>
      <c r="F506" s="10"/>
      <c r="G506" s="10"/>
      <c r="H506" s="10"/>
      <c r="I506" s="10"/>
      <c r="J506" s="10"/>
    </row>
    <row r="507" spans="1:10" x14ac:dyDescent="0.25">
      <c r="A507" s="4"/>
      <c r="B507" s="5"/>
      <c r="C507" s="4"/>
      <c r="E507" s="10"/>
      <c r="F507" s="10"/>
      <c r="G507" s="10"/>
      <c r="H507" s="10"/>
      <c r="I507" s="10"/>
      <c r="J507" s="10"/>
    </row>
    <row r="508" spans="1:10" x14ac:dyDescent="0.25">
      <c r="A508" s="4"/>
      <c r="B508" s="5"/>
      <c r="C508" s="4"/>
      <c r="E508" s="10"/>
      <c r="F508" s="10"/>
      <c r="G508" s="10"/>
      <c r="H508" s="10"/>
      <c r="I508" s="10"/>
      <c r="J508" s="10"/>
    </row>
    <row r="509" spans="1:10" x14ac:dyDescent="0.25">
      <c r="A509" s="4"/>
      <c r="B509" s="5"/>
      <c r="C509" s="4"/>
      <c r="E509" s="10"/>
      <c r="F509" s="10"/>
      <c r="G509" s="10"/>
      <c r="H509" s="10"/>
      <c r="I509" s="10"/>
      <c r="J509" s="10"/>
    </row>
    <row r="510" spans="1:10" x14ac:dyDescent="0.25">
      <c r="A510" s="4"/>
      <c r="B510" s="5"/>
      <c r="C510" s="4"/>
      <c r="E510" s="10"/>
      <c r="F510" s="10"/>
      <c r="G510" s="10"/>
      <c r="H510" s="10"/>
      <c r="I510" s="10"/>
      <c r="J510" s="10"/>
    </row>
    <row r="511" spans="1:10" x14ac:dyDescent="0.25">
      <c r="A511" s="4"/>
      <c r="B511" s="5"/>
      <c r="C511" s="4"/>
      <c r="E511" s="10"/>
      <c r="F511" s="10"/>
      <c r="G511" s="10"/>
      <c r="H511" s="10"/>
      <c r="I511" s="10"/>
      <c r="J511" s="10"/>
    </row>
    <row r="512" spans="1:10" x14ac:dyDescent="0.25">
      <c r="A512" s="4"/>
      <c r="B512" s="5"/>
      <c r="C512" s="4"/>
      <c r="E512" s="10"/>
      <c r="F512" s="10"/>
      <c r="G512" s="10"/>
      <c r="H512" s="10"/>
      <c r="I512" s="10"/>
      <c r="J512" s="10"/>
    </row>
    <row r="513" spans="1:10" x14ac:dyDescent="0.25">
      <c r="A513" s="4"/>
      <c r="B513" s="5"/>
      <c r="C513" s="4"/>
      <c r="E513" s="10"/>
      <c r="F513" s="10"/>
      <c r="G513" s="10"/>
      <c r="H513" s="10"/>
      <c r="I513" s="10"/>
      <c r="J513" s="10"/>
    </row>
    <row r="514" spans="1:10" x14ac:dyDescent="0.25">
      <c r="A514" s="4"/>
      <c r="B514" s="5"/>
      <c r="C514" s="4"/>
      <c r="E514" s="10"/>
      <c r="F514" s="10"/>
      <c r="G514" s="10"/>
      <c r="H514" s="10"/>
      <c r="I514" s="10"/>
      <c r="J514" s="10"/>
    </row>
    <row r="515" spans="1:10" x14ac:dyDescent="0.25">
      <c r="A515" s="4"/>
      <c r="B515" s="5"/>
      <c r="C515" s="4"/>
      <c r="E515" s="10"/>
      <c r="F515" s="10"/>
      <c r="G515" s="10"/>
      <c r="H515" s="10"/>
      <c r="I515" s="10"/>
      <c r="J515" s="10"/>
    </row>
    <row r="516" spans="1:10" x14ac:dyDescent="0.25">
      <c r="A516" s="4"/>
      <c r="B516" s="5"/>
      <c r="C516" s="4"/>
      <c r="E516" s="10"/>
      <c r="F516" s="10"/>
      <c r="G516" s="10"/>
      <c r="H516" s="10"/>
      <c r="I516" s="10"/>
      <c r="J516" s="10"/>
    </row>
    <row r="517" spans="1:10" x14ac:dyDescent="0.25">
      <c r="A517" s="4"/>
      <c r="B517" s="5"/>
      <c r="C517" s="4"/>
      <c r="E517" s="10"/>
      <c r="F517" s="10"/>
      <c r="G517" s="10"/>
      <c r="H517" s="10"/>
      <c r="I517" s="10"/>
      <c r="J517" s="10"/>
    </row>
    <row r="518" spans="1:10" x14ac:dyDescent="0.25">
      <c r="A518" s="4"/>
      <c r="B518" s="5"/>
      <c r="C518" s="4"/>
      <c r="E518" s="10"/>
      <c r="F518" s="10"/>
      <c r="G518" s="10"/>
      <c r="H518" s="10"/>
      <c r="I518" s="10"/>
      <c r="J518" s="10"/>
    </row>
    <row r="519" spans="1:10" x14ac:dyDescent="0.25">
      <c r="A519" s="4"/>
      <c r="B519" s="5"/>
      <c r="C519" s="4"/>
      <c r="E519" s="10"/>
      <c r="F519" s="10"/>
      <c r="G519" s="10"/>
      <c r="H519" s="10"/>
      <c r="I519" s="10"/>
      <c r="J519" s="10"/>
    </row>
    <row r="520" spans="1:10" x14ac:dyDescent="0.25">
      <c r="A520" s="4"/>
      <c r="B520" s="5"/>
      <c r="C520" s="4"/>
      <c r="E520" s="10"/>
      <c r="F520" s="10"/>
      <c r="G520" s="10"/>
      <c r="H520" s="10"/>
      <c r="I520" s="10"/>
      <c r="J520" s="10"/>
    </row>
    <row r="521" spans="1:10" x14ac:dyDescent="0.25">
      <c r="A521" s="4"/>
      <c r="B521" s="5"/>
      <c r="C521" s="4"/>
      <c r="E521" s="10"/>
      <c r="F521" s="10"/>
      <c r="G521" s="10"/>
      <c r="H521" s="10"/>
      <c r="I521" s="10"/>
      <c r="J521" s="10"/>
    </row>
    <row r="522" spans="1:10" x14ac:dyDescent="0.25">
      <c r="A522" s="4"/>
      <c r="B522" s="5"/>
      <c r="C522" s="4"/>
      <c r="E522" s="10"/>
      <c r="F522" s="10"/>
      <c r="G522" s="10"/>
      <c r="H522" s="10"/>
      <c r="I522" s="10"/>
      <c r="J522" s="10"/>
    </row>
    <row r="523" spans="1:10" x14ac:dyDescent="0.25">
      <c r="A523" s="4"/>
      <c r="B523" s="5"/>
      <c r="C523" s="4"/>
      <c r="E523" s="10"/>
      <c r="F523" s="10"/>
      <c r="G523" s="10"/>
      <c r="H523" s="10"/>
      <c r="I523" s="10"/>
      <c r="J523" s="10"/>
    </row>
    <row r="524" spans="1:10" x14ac:dyDescent="0.25">
      <c r="A524" s="4"/>
      <c r="B524" s="5"/>
      <c r="C524" s="4"/>
      <c r="E524" s="10"/>
      <c r="F524" s="10"/>
      <c r="G524" s="10"/>
      <c r="H524" s="10"/>
      <c r="I524" s="10"/>
      <c r="J524" s="10"/>
    </row>
    <row r="525" spans="1:10" x14ac:dyDescent="0.25">
      <c r="A525" s="4"/>
      <c r="B525" s="5"/>
      <c r="C525" s="4"/>
      <c r="E525" s="10"/>
      <c r="F525" s="10"/>
      <c r="G525" s="10"/>
      <c r="H525" s="10"/>
      <c r="I525" s="10"/>
      <c r="J525" s="10"/>
    </row>
    <row r="526" spans="1:10" x14ac:dyDescent="0.25">
      <c r="A526" s="4"/>
      <c r="B526" s="5"/>
      <c r="C526" s="4"/>
      <c r="E526" s="10"/>
      <c r="F526" s="10"/>
      <c r="G526" s="10"/>
      <c r="H526" s="10"/>
      <c r="I526" s="10"/>
      <c r="J526" s="10"/>
    </row>
    <row r="527" spans="1:10" x14ac:dyDescent="0.25">
      <c r="A527" s="4"/>
      <c r="B527" s="5"/>
      <c r="C527" s="4"/>
      <c r="E527" s="10"/>
      <c r="F527" s="10"/>
      <c r="G527" s="10"/>
      <c r="H527" s="10"/>
      <c r="I527" s="10"/>
      <c r="J527" s="10"/>
    </row>
    <row r="528" spans="1:10" x14ac:dyDescent="0.25">
      <c r="A528" s="4"/>
      <c r="B528" s="5"/>
      <c r="C528" s="4"/>
      <c r="E528" s="10"/>
      <c r="F528" s="10"/>
      <c r="G528" s="10"/>
      <c r="H528" s="10"/>
      <c r="I528" s="10"/>
      <c r="J528" s="10"/>
    </row>
    <row r="529" spans="1:10" x14ac:dyDescent="0.25">
      <c r="A529" s="4"/>
      <c r="B529" s="5"/>
      <c r="C529" s="4"/>
      <c r="E529" s="10"/>
      <c r="F529" s="10"/>
      <c r="G529" s="10"/>
      <c r="H529" s="10"/>
      <c r="I529" s="10"/>
      <c r="J529" s="10"/>
    </row>
    <row r="530" spans="1:10" x14ac:dyDescent="0.25">
      <c r="A530" s="4"/>
      <c r="B530" s="5"/>
      <c r="C530" s="4"/>
      <c r="E530" s="10"/>
      <c r="F530" s="10"/>
      <c r="G530" s="10"/>
      <c r="H530" s="10"/>
      <c r="I530" s="10"/>
      <c r="J530" s="10"/>
    </row>
    <row r="531" spans="1:10" x14ac:dyDescent="0.25">
      <c r="A531" s="4"/>
      <c r="B531" s="5"/>
      <c r="C531" s="4"/>
      <c r="E531" s="10"/>
      <c r="F531" s="10"/>
      <c r="G531" s="10"/>
      <c r="H531" s="10"/>
      <c r="I531" s="10"/>
      <c r="J531" s="10"/>
    </row>
    <row r="532" spans="1:10" x14ac:dyDescent="0.25">
      <c r="A532" s="4"/>
      <c r="B532" s="5"/>
      <c r="C532" s="4"/>
      <c r="E532" s="10"/>
      <c r="F532" s="10"/>
      <c r="G532" s="10"/>
      <c r="H532" s="10"/>
      <c r="I532" s="10"/>
      <c r="J532" s="10"/>
    </row>
    <row r="533" spans="1:10" x14ac:dyDescent="0.25">
      <c r="A533" s="4"/>
      <c r="B533" s="5"/>
      <c r="C533" s="4"/>
      <c r="E533" s="10"/>
      <c r="F533" s="10"/>
      <c r="G533" s="10"/>
      <c r="H533" s="10"/>
      <c r="I533" s="10"/>
      <c r="J533" s="10"/>
    </row>
    <row r="534" spans="1:10" x14ac:dyDescent="0.25">
      <c r="A534" s="4"/>
      <c r="B534" s="5"/>
      <c r="C534" s="4"/>
      <c r="E534" s="10"/>
      <c r="F534" s="10"/>
      <c r="G534" s="10"/>
      <c r="H534" s="10"/>
      <c r="I534" s="10"/>
      <c r="J534" s="10"/>
    </row>
    <row r="535" spans="1:10" x14ac:dyDescent="0.25">
      <c r="A535" s="4"/>
      <c r="B535" s="5"/>
      <c r="C535" s="4"/>
      <c r="E535" s="10"/>
      <c r="F535" s="10"/>
      <c r="G535" s="10"/>
      <c r="H535" s="10"/>
      <c r="I535" s="10"/>
      <c r="J535" s="10"/>
    </row>
    <row r="536" spans="1:10" x14ac:dyDescent="0.25">
      <c r="A536" s="4"/>
      <c r="B536" s="5"/>
      <c r="C536" s="4"/>
      <c r="E536" s="10"/>
      <c r="F536" s="10"/>
      <c r="G536" s="10"/>
      <c r="H536" s="10"/>
      <c r="I536" s="10"/>
      <c r="J536" s="10"/>
    </row>
    <row r="537" spans="1:10" x14ac:dyDescent="0.25">
      <c r="A537" s="4"/>
      <c r="B537" s="5"/>
      <c r="C537" s="4"/>
      <c r="E537" s="10"/>
      <c r="F537" s="10"/>
      <c r="G537" s="10"/>
      <c r="H537" s="10"/>
      <c r="I537" s="10"/>
      <c r="J537" s="10"/>
    </row>
    <row r="538" spans="1:10" x14ac:dyDescent="0.25">
      <c r="A538" s="4"/>
      <c r="B538" s="5"/>
      <c r="C538" s="4"/>
      <c r="E538" s="10"/>
      <c r="F538" s="10"/>
      <c r="G538" s="10"/>
      <c r="H538" s="10"/>
      <c r="I538" s="10"/>
      <c r="J538" s="10"/>
    </row>
    <row r="539" spans="1:10" x14ac:dyDescent="0.25">
      <c r="A539" s="4"/>
      <c r="B539" s="5"/>
      <c r="C539" s="4"/>
      <c r="E539" s="10"/>
      <c r="F539" s="10"/>
      <c r="G539" s="10"/>
      <c r="H539" s="10"/>
      <c r="I539" s="10"/>
      <c r="J539" s="10"/>
    </row>
    <row r="540" spans="1:10" x14ac:dyDescent="0.25">
      <c r="A540" s="4"/>
      <c r="B540" s="5"/>
      <c r="C540" s="4"/>
      <c r="E540" s="10"/>
      <c r="F540" s="10"/>
      <c r="G540" s="10"/>
      <c r="H540" s="10"/>
      <c r="I540" s="10"/>
      <c r="J540" s="10"/>
    </row>
    <row r="541" spans="1:10" x14ac:dyDescent="0.25">
      <c r="A541" s="4"/>
      <c r="B541" s="5"/>
      <c r="C541" s="4"/>
      <c r="E541" s="10"/>
      <c r="F541" s="10"/>
      <c r="G541" s="10"/>
      <c r="H541" s="10"/>
      <c r="I541" s="10"/>
      <c r="J541" s="10"/>
    </row>
    <row r="542" spans="1:10" x14ac:dyDescent="0.25">
      <c r="A542" s="4"/>
      <c r="B542" s="5"/>
      <c r="C542" s="4"/>
      <c r="E542" s="10"/>
      <c r="F542" s="10"/>
      <c r="G542" s="10"/>
      <c r="H542" s="10"/>
      <c r="I542" s="10"/>
      <c r="J542" s="10"/>
    </row>
    <row r="543" spans="1:10" x14ac:dyDescent="0.25">
      <c r="A543" s="4"/>
      <c r="B543" s="5"/>
      <c r="C543" s="4"/>
      <c r="E543" s="10"/>
      <c r="F543" s="10"/>
      <c r="G543" s="10"/>
      <c r="H543" s="10"/>
      <c r="I543" s="10"/>
      <c r="J543" s="10"/>
    </row>
    <row r="544" spans="1:10" x14ac:dyDescent="0.25">
      <c r="A544" s="4"/>
      <c r="B544" s="5"/>
      <c r="C544" s="4"/>
      <c r="E544" s="10"/>
      <c r="F544" s="10"/>
      <c r="G544" s="10"/>
      <c r="H544" s="10"/>
      <c r="I544" s="10"/>
      <c r="J544" s="10"/>
    </row>
    <row r="545" spans="1:10" x14ac:dyDescent="0.25">
      <c r="A545" s="4"/>
      <c r="B545" s="5"/>
      <c r="C545" s="4"/>
      <c r="E545" s="10"/>
      <c r="F545" s="10"/>
      <c r="G545" s="10"/>
      <c r="H545" s="10"/>
      <c r="I545" s="10"/>
      <c r="J545" s="10"/>
    </row>
    <row r="546" spans="1:10" x14ac:dyDescent="0.25">
      <c r="A546" s="4"/>
      <c r="B546" s="5"/>
      <c r="C546" s="4"/>
      <c r="E546" s="10"/>
      <c r="F546" s="10"/>
      <c r="G546" s="10"/>
      <c r="H546" s="10"/>
      <c r="I546" s="10"/>
      <c r="J546" s="10"/>
    </row>
    <row r="547" spans="1:10" x14ac:dyDescent="0.25">
      <c r="A547" s="4"/>
      <c r="B547" s="5"/>
      <c r="C547" s="4"/>
      <c r="E547" s="10"/>
      <c r="F547" s="10"/>
      <c r="G547" s="10"/>
      <c r="H547" s="10"/>
      <c r="I547" s="10"/>
      <c r="J547" s="10"/>
    </row>
    <row r="548" spans="1:10" x14ac:dyDescent="0.25">
      <c r="A548" s="4"/>
      <c r="B548" s="5"/>
      <c r="C548" s="4"/>
      <c r="E548" s="10"/>
      <c r="F548" s="10"/>
      <c r="G548" s="10"/>
      <c r="H548" s="10"/>
      <c r="I548" s="10"/>
      <c r="J548" s="10"/>
    </row>
    <row r="549" spans="1:10" x14ac:dyDescent="0.25">
      <c r="A549" s="4"/>
      <c r="B549" s="5"/>
      <c r="C549" s="4"/>
      <c r="E549" s="10"/>
      <c r="F549" s="10"/>
      <c r="G549" s="10"/>
      <c r="H549" s="10"/>
      <c r="I549" s="10"/>
      <c r="J549" s="10"/>
    </row>
    <row r="550" spans="1:10" x14ac:dyDescent="0.25">
      <c r="A550" s="4"/>
      <c r="B550" s="5"/>
      <c r="C550" s="4"/>
      <c r="E550" s="10"/>
      <c r="F550" s="10"/>
      <c r="G550" s="10"/>
      <c r="H550" s="10"/>
      <c r="I550" s="10"/>
      <c r="J550" s="10"/>
    </row>
    <row r="551" spans="1:10" x14ac:dyDescent="0.25">
      <c r="A551" s="4"/>
      <c r="B551" s="5"/>
      <c r="C551" s="4"/>
      <c r="E551" s="10"/>
      <c r="F551" s="10"/>
      <c r="G551" s="10"/>
      <c r="H551" s="10"/>
      <c r="I551" s="10"/>
      <c r="J551" s="10"/>
    </row>
    <row r="552" spans="1:10" x14ac:dyDescent="0.25">
      <c r="A552" s="4"/>
      <c r="B552" s="5"/>
      <c r="C552" s="4"/>
      <c r="E552" s="10"/>
      <c r="F552" s="10"/>
      <c r="G552" s="10"/>
      <c r="H552" s="10"/>
      <c r="I552" s="10"/>
      <c r="J552" s="10"/>
    </row>
    <row r="553" spans="1:10" x14ac:dyDescent="0.25">
      <c r="A553" s="4"/>
      <c r="B553" s="5"/>
      <c r="C553" s="4"/>
      <c r="E553" s="10"/>
      <c r="F553" s="10"/>
      <c r="G553" s="10"/>
      <c r="H553" s="10"/>
      <c r="I553" s="10"/>
      <c r="J553" s="10"/>
    </row>
    <row r="554" spans="1:10" x14ac:dyDescent="0.25">
      <c r="A554" s="4"/>
      <c r="B554" s="5"/>
      <c r="C554" s="4"/>
      <c r="E554" s="10"/>
      <c r="F554" s="10"/>
      <c r="G554" s="10"/>
      <c r="H554" s="10"/>
      <c r="I554" s="10"/>
      <c r="J554" s="10"/>
    </row>
    <row r="555" spans="1:10" x14ac:dyDescent="0.25">
      <c r="A555" s="4"/>
      <c r="B555" s="5"/>
      <c r="C555" s="4"/>
      <c r="E555" s="10"/>
      <c r="F555" s="10"/>
      <c r="G555" s="10"/>
      <c r="H555" s="10"/>
      <c r="I555" s="10"/>
      <c r="J555" s="10"/>
    </row>
    <row r="556" spans="1:10" x14ac:dyDescent="0.25">
      <c r="A556" s="4"/>
      <c r="B556" s="5"/>
      <c r="C556" s="4"/>
      <c r="E556" s="10"/>
      <c r="F556" s="10"/>
      <c r="G556" s="10"/>
      <c r="H556" s="10"/>
      <c r="I556" s="10"/>
      <c r="J556" s="10"/>
    </row>
    <row r="557" spans="1:10" x14ac:dyDescent="0.25">
      <c r="A557" s="4"/>
      <c r="B557" s="5"/>
      <c r="C557" s="4"/>
      <c r="E557" s="10"/>
      <c r="F557" s="10"/>
      <c r="G557" s="10"/>
      <c r="H557" s="10"/>
      <c r="I557" s="10"/>
      <c r="J557" s="10"/>
    </row>
    <row r="558" spans="1:10" x14ac:dyDescent="0.25">
      <c r="A558" s="4"/>
      <c r="B558" s="5"/>
      <c r="C558" s="4"/>
      <c r="E558" s="10"/>
      <c r="F558" s="10"/>
      <c r="G558" s="10"/>
      <c r="H558" s="10"/>
      <c r="I558" s="10"/>
      <c r="J558" s="10"/>
    </row>
    <row r="559" spans="1:10" x14ac:dyDescent="0.25">
      <c r="A559" s="4"/>
      <c r="B559" s="5"/>
      <c r="C559" s="4"/>
      <c r="E559" s="10"/>
      <c r="F559" s="10"/>
      <c r="G559" s="10"/>
      <c r="H559" s="10"/>
      <c r="I559" s="10"/>
      <c r="J559" s="10"/>
    </row>
    <row r="560" spans="1:10" x14ac:dyDescent="0.25">
      <c r="A560" s="4"/>
      <c r="B560" s="5"/>
      <c r="C560" s="4"/>
      <c r="E560" s="10"/>
      <c r="F560" s="10"/>
      <c r="G560" s="10"/>
      <c r="H560" s="10"/>
      <c r="I560" s="10"/>
      <c r="J560" s="10"/>
    </row>
    <row r="561" spans="1:10" x14ac:dyDescent="0.25">
      <c r="A561" s="4"/>
      <c r="B561" s="5"/>
      <c r="C561" s="4"/>
      <c r="E561" s="10"/>
      <c r="F561" s="10"/>
      <c r="G561" s="10"/>
      <c r="H561" s="10"/>
      <c r="I561" s="10"/>
      <c r="J561" s="10"/>
    </row>
    <row r="562" spans="1:10" x14ac:dyDescent="0.25">
      <c r="A562" s="4"/>
      <c r="B562" s="5"/>
      <c r="C562" s="4"/>
      <c r="E562" s="10"/>
      <c r="F562" s="10"/>
      <c r="G562" s="10"/>
      <c r="H562" s="10"/>
      <c r="I562" s="10"/>
      <c r="J562" s="10"/>
    </row>
    <row r="563" spans="1:10" x14ac:dyDescent="0.25">
      <c r="A563" s="4"/>
      <c r="B563" s="5"/>
      <c r="C563" s="4"/>
      <c r="E563" s="10"/>
      <c r="F563" s="10"/>
      <c r="G563" s="10"/>
      <c r="H563" s="10"/>
      <c r="I563" s="10"/>
      <c r="J563" s="10"/>
    </row>
    <row r="564" spans="1:10" x14ac:dyDescent="0.25">
      <c r="A564" s="4"/>
      <c r="B564" s="5"/>
      <c r="C564" s="4"/>
      <c r="E564" s="10"/>
      <c r="F564" s="10"/>
      <c r="G564" s="10"/>
      <c r="H564" s="10"/>
      <c r="I564" s="10"/>
      <c r="J564" s="10"/>
    </row>
    <row r="565" spans="1:10" x14ac:dyDescent="0.25">
      <c r="A565" s="4"/>
      <c r="B565" s="5"/>
      <c r="C565" s="4"/>
      <c r="E565" s="10"/>
      <c r="F565" s="10"/>
      <c r="G565" s="10"/>
      <c r="H565" s="10"/>
      <c r="I565" s="10"/>
      <c r="J565" s="10"/>
    </row>
    <row r="566" spans="1:10" x14ac:dyDescent="0.25">
      <c r="A566" s="4"/>
      <c r="B566" s="5"/>
      <c r="C566" s="4"/>
      <c r="E566" s="10"/>
      <c r="F566" s="10"/>
      <c r="G566" s="10"/>
      <c r="H566" s="10"/>
      <c r="I566" s="10"/>
      <c r="J566" s="10"/>
    </row>
    <row r="567" spans="1:10" x14ac:dyDescent="0.25">
      <c r="A567" s="4"/>
      <c r="B567" s="5"/>
      <c r="C567" s="4"/>
      <c r="E567" s="10"/>
      <c r="F567" s="10"/>
      <c r="G567" s="10"/>
      <c r="H567" s="10"/>
      <c r="I567" s="10"/>
      <c r="J567" s="10"/>
    </row>
    <row r="568" spans="1:10" x14ac:dyDescent="0.25">
      <c r="A568" s="4"/>
      <c r="B568" s="5"/>
      <c r="C568" s="4"/>
      <c r="E568" s="10"/>
      <c r="F568" s="10"/>
      <c r="G568" s="10"/>
      <c r="H568" s="10"/>
      <c r="I568" s="10"/>
      <c r="J568" s="10"/>
    </row>
    <row r="569" spans="1:10" x14ac:dyDescent="0.25">
      <c r="A569" s="4"/>
      <c r="B569" s="5"/>
      <c r="C569" s="4"/>
      <c r="E569" s="10"/>
      <c r="F569" s="10"/>
      <c r="G569" s="10"/>
      <c r="H569" s="10"/>
      <c r="I569" s="10"/>
      <c r="J569" s="10"/>
    </row>
    <row r="570" spans="1:10" x14ac:dyDescent="0.25">
      <c r="A570" s="4"/>
      <c r="B570" s="5"/>
      <c r="C570" s="4"/>
      <c r="E570" s="10"/>
      <c r="F570" s="10"/>
      <c r="G570" s="10"/>
      <c r="H570" s="10"/>
      <c r="I570" s="10"/>
      <c r="J570" s="10"/>
    </row>
    <row r="571" spans="1:10" x14ac:dyDescent="0.25">
      <c r="A571" s="4"/>
      <c r="B571" s="5"/>
      <c r="C571" s="4"/>
      <c r="E571" s="10"/>
      <c r="F571" s="10"/>
      <c r="G571" s="10"/>
      <c r="H571" s="10"/>
      <c r="I571" s="10"/>
      <c r="J571" s="10"/>
    </row>
    <row r="572" spans="1:10" x14ac:dyDescent="0.25">
      <c r="A572" s="4"/>
      <c r="B572" s="5"/>
      <c r="C572" s="4"/>
      <c r="E572" s="10"/>
      <c r="F572" s="10"/>
      <c r="G572" s="10"/>
      <c r="H572" s="10"/>
      <c r="I572" s="10"/>
      <c r="J572" s="10"/>
    </row>
    <row r="573" spans="1:10" x14ac:dyDescent="0.25">
      <c r="A573" s="4"/>
      <c r="B573" s="5"/>
      <c r="C573" s="4"/>
      <c r="E573" s="10"/>
      <c r="F573" s="10"/>
      <c r="G573" s="10"/>
      <c r="H573" s="10"/>
      <c r="I573" s="10"/>
      <c r="J573" s="10"/>
    </row>
    <row r="574" spans="1:10" x14ac:dyDescent="0.25">
      <c r="A574" s="4"/>
      <c r="B574" s="5"/>
      <c r="C574" s="4"/>
      <c r="E574" s="10"/>
      <c r="F574" s="10"/>
      <c r="G574" s="10"/>
      <c r="H574" s="10"/>
      <c r="I574" s="10"/>
      <c r="J574" s="10"/>
    </row>
    <row r="575" spans="1:10" x14ac:dyDescent="0.25">
      <c r="A575" s="4"/>
      <c r="B575" s="5"/>
      <c r="C575" s="4"/>
      <c r="E575" s="10"/>
      <c r="F575" s="10"/>
      <c r="G575" s="10"/>
      <c r="H575" s="10"/>
      <c r="I575" s="10"/>
      <c r="J575" s="10"/>
    </row>
    <row r="576" spans="1:10" x14ac:dyDescent="0.25">
      <c r="A576" s="4"/>
      <c r="B576" s="5"/>
      <c r="C576" s="4"/>
      <c r="E576" s="10"/>
      <c r="F576" s="10"/>
      <c r="G576" s="10"/>
      <c r="H576" s="10"/>
      <c r="I576" s="10"/>
      <c r="J576" s="10"/>
    </row>
    <row r="577" spans="1:10" x14ac:dyDescent="0.25">
      <c r="A577" s="4"/>
      <c r="B577" s="5"/>
      <c r="C577" s="4"/>
      <c r="E577" s="10"/>
      <c r="F577" s="10"/>
      <c r="G577" s="10"/>
      <c r="H577" s="10"/>
      <c r="I577" s="10"/>
      <c r="J577" s="10"/>
    </row>
    <row r="578" spans="1:10" x14ac:dyDescent="0.25">
      <c r="A578" s="4"/>
      <c r="B578" s="5"/>
      <c r="C578" s="4"/>
      <c r="E578" s="10"/>
      <c r="F578" s="10"/>
      <c r="G578" s="10"/>
      <c r="H578" s="10"/>
      <c r="I578" s="10"/>
      <c r="J578" s="10"/>
    </row>
    <row r="579" spans="1:10" x14ac:dyDescent="0.25">
      <c r="A579" s="4"/>
      <c r="B579" s="5"/>
      <c r="C579" s="4"/>
      <c r="E579" s="10"/>
      <c r="F579" s="10"/>
      <c r="G579" s="10"/>
      <c r="H579" s="10"/>
      <c r="I579" s="10"/>
      <c r="J579" s="10"/>
    </row>
    <row r="580" spans="1:10" x14ac:dyDescent="0.25">
      <c r="A580" s="4"/>
      <c r="B580" s="5"/>
      <c r="C580" s="4"/>
      <c r="E580" s="10"/>
      <c r="F580" s="10"/>
      <c r="G580" s="10"/>
      <c r="H580" s="10"/>
      <c r="I580" s="10"/>
      <c r="J580" s="10"/>
    </row>
    <row r="581" spans="1:10" x14ac:dyDescent="0.25">
      <c r="A581" s="4"/>
      <c r="B581" s="5"/>
      <c r="C581" s="4"/>
      <c r="E581" s="10"/>
      <c r="F581" s="10"/>
      <c r="G581" s="10"/>
      <c r="H581" s="10"/>
      <c r="I581" s="10"/>
      <c r="J581" s="10"/>
    </row>
    <row r="582" spans="1:10" x14ac:dyDescent="0.25">
      <c r="A582" s="4"/>
      <c r="B582" s="5"/>
      <c r="C582" s="4"/>
      <c r="E582" s="10"/>
      <c r="F582" s="10"/>
      <c r="G582" s="10"/>
      <c r="H582" s="10"/>
      <c r="I582" s="10"/>
      <c r="J582" s="10"/>
    </row>
    <row r="583" spans="1:10" x14ac:dyDescent="0.25">
      <c r="A583" s="4"/>
      <c r="B583" s="5"/>
      <c r="C583" s="4"/>
      <c r="E583" s="10"/>
      <c r="F583" s="10"/>
      <c r="G583" s="10"/>
      <c r="H583" s="10"/>
      <c r="I583" s="10"/>
      <c r="J583" s="10"/>
    </row>
    <row r="584" spans="1:10" x14ac:dyDescent="0.25">
      <c r="A584" s="4"/>
      <c r="B584" s="5"/>
      <c r="C584" s="4"/>
      <c r="E584" s="10"/>
      <c r="F584" s="10"/>
      <c r="G584" s="10"/>
      <c r="H584" s="10"/>
      <c r="I584" s="10"/>
      <c r="J584" s="10"/>
    </row>
    <row r="585" spans="1:10" x14ac:dyDescent="0.25">
      <c r="A585" s="4"/>
      <c r="B585" s="5"/>
      <c r="C585" s="4"/>
      <c r="E585" s="10"/>
      <c r="F585" s="10"/>
      <c r="G585" s="10"/>
      <c r="H585" s="10"/>
      <c r="I585" s="10"/>
      <c r="J585" s="10"/>
    </row>
    <row r="586" spans="1:10" x14ac:dyDescent="0.25">
      <c r="A586" s="4"/>
      <c r="B586" s="5"/>
      <c r="C586" s="4"/>
      <c r="E586" s="10"/>
      <c r="F586" s="10"/>
      <c r="G586" s="10"/>
      <c r="H586" s="10"/>
      <c r="I586" s="10"/>
      <c r="J586" s="10"/>
    </row>
    <row r="587" spans="1:10" x14ac:dyDescent="0.25">
      <c r="A587" s="4"/>
      <c r="B587" s="5"/>
      <c r="C587" s="4"/>
      <c r="E587" s="10"/>
      <c r="F587" s="10"/>
      <c r="G587" s="10"/>
      <c r="H587" s="10"/>
      <c r="I587" s="10"/>
      <c r="J587" s="10"/>
    </row>
    <row r="588" spans="1:10" x14ac:dyDescent="0.25">
      <c r="A588" s="4"/>
      <c r="B588" s="5"/>
      <c r="C588" s="4"/>
      <c r="E588" s="10"/>
      <c r="F588" s="10"/>
      <c r="G588" s="10"/>
      <c r="H588" s="10"/>
      <c r="I588" s="10"/>
      <c r="J588" s="10"/>
    </row>
    <row r="589" spans="1:10" x14ac:dyDescent="0.25">
      <c r="A589" s="4"/>
      <c r="B589" s="5"/>
      <c r="C589" s="4"/>
      <c r="E589" s="10"/>
      <c r="F589" s="10"/>
      <c r="G589" s="10"/>
      <c r="H589" s="10"/>
      <c r="I589" s="10"/>
      <c r="J589" s="10"/>
    </row>
    <row r="590" spans="1:10" x14ac:dyDescent="0.25">
      <c r="A590" s="4"/>
      <c r="B590" s="5"/>
      <c r="C590" s="4"/>
      <c r="E590" s="10"/>
      <c r="F590" s="10"/>
      <c r="G590" s="10"/>
      <c r="H590" s="10"/>
      <c r="I590" s="10"/>
      <c r="J590" s="10"/>
    </row>
    <row r="591" spans="1:10" x14ac:dyDescent="0.25">
      <c r="A591" s="4"/>
      <c r="B591" s="5"/>
      <c r="C591" s="4"/>
      <c r="E591" s="10"/>
      <c r="F591" s="10"/>
      <c r="G591" s="10"/>
      <c r="H591" s="10"/>
      <c r="I591" s="10"/>
      <c r="J591" s="10"/>
    </row>
    <row r="592" spans="1:10" x14ac:dyDescent="0.25">
      <c r="A592" s="4"/>
      <c r="B592" s="5"/>
      <c r="C592" s="4"/>
      <c r="E592" s="10"/>
      <c r="F592" s="10"/>
      <c r="G592" s="10"/>
      <c r="H592" s="10"/>
      <c r="I592" s="10"/>
      <c r="J592" s="10"/>
    </row>
    <row r="593" spans="1:10" x14ac:dyDescent="0.25">
      <c r="A593" s="4"/>
      <c r="B593" s="5"/>
      <c r="C593" s="4"/>
      <c r="E593" s="10"/>
      <c r="F593" s="10"/>
      <c r="G593" s="10"/>
      <c r="H593" s="10"/>
      <c r="I593" s="10"/>
      <c r="J593" s="10"/>
    </row>
    <row r="594" spans="1:10" x14ac:dyDescent="0.25">
      <c r="A594" s="4"/>
      <c r="B594" s="5"/>
      <c r="C594" s="4"/>
      <c r="E594" s="10"/>
      <c r="F594" s="10"/>
      <c r="G594" s="10"/>
      <c r="H594" s="10"/>
      <c r="I594" s="10"/>
      <c r="J594" s="10"/>
    </row>
    <row r="595" spans="1:10" x14ac:dyDescent="0.25">
      <c r="A595" s="4"/>
      <c r="B595" s="5"/>
      <c r="C595" s="4"/>
      <c r="E595" s="10"/>
      <c r="F595" s="10"/>
      <c r="G595" s="10"/>
      <c r="H595" s="10"/>
      <c r="I595" s="10"/>
      <c r="J595" s="10"/>
    </row>
    <row r="596" spans="1:10" x14ac:dyDescent="0.25">
      <c r="A596" s="4"/>
      <c r="B596" s="5"/>
      <c r="C596" s="4"/>
      <c r="E596" s="10"/>
      <c r="F596" s="10"/>
      <c r="G596" s="10"/>
      <c r="H596" s="10"/>
      <c r="I596" s="10"/>
      <c r="J596" s="10"/>
    </row>
    <row r="597" spans="1:10" x14ac:dyDescent="0.25">
      <c r="A597" s="4"/>
      <c r="B597" s="5"/>
      <c r="C597" s="4"/>
      <c r="E597" s="10"/>
      <c r="F597" s="10"/>
      <c r="G597" s="10"/>
      <c r="H597" s="10"/>
      <c r="I597" s="10"/>
      <c r="J597" s="10"/>
    </row>
    <row r="598" spans="1:10" x14ac:dyDescent="0.25">
      <c r="A598" s="4"/>
      <c r="B598" s="5"/>
      <c r="C598" s="4"/>
      <c r="E598" s="10"/>
      <c r="F598" s="10"/>
      <c r="G598" s="10"/>
      <c r="H598" s="10"/>
      <c r="I598" s="10"/>
      <c r="J598" s="10"/>
    </row>
    <row r="599" spans="1:10" x14ac:dyDescent="0.25">
      <c r="A599" s="4"/>
      <c r="B599" s="5"/>
      <c r="C599" s="4"/>
      <c r="E599" s="10"/>
      <c r="F599" s="10"/>
      <c r="G599" s="10"/>
      <c r="H599" s="10"/>
      <c r="I599" s="10"/>
      <c r="J599" s="10"/>
    </row>
    <row r="600" spans="1:10" x14ac:dyDescent="0.25">
      <c r="A600" s="4"/>
      <c r="B600" s="5"/>
      <c r="C600" s="4"/>
      <c r="E600" s="10"/>
      <c r="F600" s="10"/>
      <c r="G600" s="10"/>
      <c r="H600" s="10"/>
      <c r="I600" s="10"/>
      <c r="J600" s="10"/>
    </row>
    <row r="601" spans="1:10" x14ac:dyDescent="0.25">
      <c r="A601" s="4"/>
      <c r="B601" s="5"/>
      <c r="C601" s="4"/>
      <c r="E601" s="10"/>
      <c r="F601" s="10"/>
      <c r="G601" s="10"/>
      <c r="H601" s="10"/>
      <c r="I601" s="10"/>
      <c r="J601" s="10"/>
    </row>
    <row r="602" spans="1:10" x14ac:dyDescent="0.25">
      <c r="A602" s="4"/>
      <c r="B602" s="5"/>
      <c r="C602" s="4"/>
      <c r="E602" s="10"/>
      <c r="F602" s="10"/>
      <c r="G602" s="10"/>
      <c r="H602" s="10"/>
      <c r="I602" s="10"/>
      <c r="J602" s="10"/>
    </row>
    <row r="603" spans="1:10" x14ac:dyDescent="0.25">
      <c r="A603" s="4"/>
      <c r="B603" s="5"/>
      <c r="C603" s="4"/>
      <c r="E603" s="10"/>
      <c r="F603" s="10"/>
      <c r="G603" s="10"/>
      <c r="H603" s="10"/>
      <c r="I603" s="10"/>
      <c r="J603" s="10"/>
    </row>
    <row r="604" spans="1:10" x14ac:dyDescent="0.25">
      <c r="A604" s="4"/>
      <c r="B604" s="5"/>
      <c r="C604" s="4"/>
      <c r="E604" s="10"/>
      <c r="F604" s="10"/>
      <c r="G604" s="10"/>
      <c r="H604" s="10"/>
      <c r="I604" s="10"/>
      <c r="J604" s="10"/>
    </row>
    <row r="605" spans="1:10" x14ac:dyDescent="0.25">
      <c r="A605" s="4"/>
      <c r="B605" s="5"/>
      <c r="C605" s="4"/>
      <c r="E605" s="10"/>
      <c r="F605" s="10"/>
      <c r="G605" s="10"/>
      <c r="H605" s="10"/>
      <c r="I605" s="10"/>
      <c r="J605" s="10"/>
    </row>
    <row r="606" spans="1:10" x14ac:dyDescent="0.25">
      <c r="A606" s="4"/>
      <c r="B606" s="5"/>
      <c r="C606" s="4"/>
      <c r="E606" s="10"/>
      <c r="F606" s="10"/>
      <c r="G606" s="10"/>
      <c r="H606" s="10"/>
      <c r="I606" s="10"/>
      <c r="J606" s="10"/>
    </row>
    <row r="607" spans="1:10" x14ac:dyDescent="0.25">
      <c r="A607" s="4"/>
      <c r="B607" s="5"/>
      <c r="C607" s="4"/>
      <c r="E607" s="10"/>
      <c r="F607" s="10"/>
      <c r="G607" s="10"/>
      <c r="H607" s="10"/>
      <c r="I607" s="10"/>
      <c r="J607" s="10"/>
    </row>
    <row r="608" spans="1:10" x14ac:dyDescent="0.25">
      <c r="A608" s="4"/>
      <c r="B608" s="5"/>
      <c r="C608" s="4"/>
      <c r="E608" s="10"/>
      <c r="F608" s="10"/>
      <c r="G608" s="10"/>
      <c r="H608" s="10"/>
      <c r="I608" s="10"/>
      <c r="J608" s="10"/>
    </row>
    <row r="609" spans="1:10" x14ac:dyDescent="0.25">
      <c r="A609" s="4"/>
      <c r="B609" s="5"/>
      <c r="C609" s="4"/>
      <c r="E609" s="10"/>
      <c r="F609" s="10"/>
      <c r="G609" s="10"/>
      <c r="H609" s="10"/>
      <c r="I609" s="10"/>
      <c r="J609" s="10"/>
    </row>
    <row r="610" spans="1:10" x14ac:dyDescent="0.25">
      <c r="A610" s="4"/>
      <c r="B610" s="5"/>
      <c r="C610" s="4"/>
      <c r="E610" s="10"/>
      <c r="F610" s="10"/>
      <c r="G610" s="10"/>
      <c r="H610" s="10"/>
      <c r="I610" s="10"/>
      <c r="J610" s="10"/>
    </row>
    <row r="611" spans="1:10" x14ac:dyDescent="0.25">
      <c r="A611" s="4"/>
      <c r="B611" s="5"/>
      <c r="C611" s="4"/>
      <c r="E611" s="10"/>
      <c r="F611" s="10"/>
      <c r="G611" s="10"/>
      <c r="H611" s="10"/>
      <c r="I611" s="10"/>
      <c r="J611" s="10"/>
    </row>
    <row r="612" spans="1:10" x14ac:dyDescent="0.25">
      <c r="A612" s="4"/>
      <c r="B612" s="5"/>
      <c r="C612" s="4"/>
      <c r="E612" s="10"/>
      <c r="F612" s="10"/>
      <c r="G612" s="10"/>
      <c r="H612" s="10"/>
      <c r="I612" s="10"/>
      <c r="J612" s="10"/>
    </row>
    <row r="613" spans="1:10" x14ac:dyDescent="0.25">
      <c r="A613" s="4"/>
      <c r="B613" s="5"/>
      <c r="C613" s="4"/>
      <c r="E613" s="10"/>
      <c r="F613" s="10"/>
      <c r="G613" s="10"/>
      <c r="H613" s="10"/>
      <c r="I613" s="10"/>
      <c r="J613" s="10"/>
    </row>
    <row r="614" spans="1:10" x14ac:dyDescent="0.25">
      <c r="A614" s="4"/>
      <c r="B614" s="5"/>
      <c r="C614" s="4"/>
      <c r="E614" s="10"/>
      <c r="F614" s="10"/>
      <c r="G614" s="10"/>
      <c r="H614" s="10"/>
      <c r="I614" s="10"/>
      <c r="J614" s="10"/>
    </row>
    <row r="615" spans="1:10" x14ac:dyDescent="0.25">
      <c r="A615" s="4"/>
      <c r="B615" s="5"/>
      <c r="C615" s="4"/>
      <c r="E615" s="10"/>
      <c r="F615" s="10"/>
      <c r="G615" s="10"/>
      <c r="H615" s="10"/>
      <c r="I615" s="10"/>
      <c r="J615" s="10"/>
    </row>
    <row r="616" spans="1:10" x14ac:dyDescent="0.25">
      <c r="A616" s="4"/>
      <c r="B616" s="5"/>
      <c r="C616" s="4"/>
      <c r="E616" s="10"/>
      <c r="F616" s="10"/>
      <c r="G616" s="10"/>
      <c r="H616" s="10"/>
      <c r="I616" s="10"/>
      <c r="J616" s="10"/>
    </row>
    <row r="617" spans="1:10" x14ac:dyDescent="0.25">
      <c r="A617" s="4"/>
      <c r="B617" s="5"/>
      <c r="C617" s="4"/>
      <c r="E617" s="10"/>
      <c r="F617" s="10"/>
      <c r="G617" s="10"/>
      <c r="H617" s="10"/>
      <c r="I617" s="10"/>
      <c r="J617" s="10"/>
    </row>
    <row r="618" spans="1:10" x14ac:dyDescent="0.25">
      <c r="A618" s="4"/>
      <c r="B618" s="5"/>
      <c r="C618" s="4"/>
      <c r="E618" s="10"/>
      <c r="F618" s="10"/>
      <c r="G618" s="10"/>
      <c r="H618" s="10"/>
      <c r="I618" s="10"/>
      <c r="J618" s="10"/>
    </row>
    <row r="619" spans="1:10" x14ac:dyDescent="0.25">
      <c r="A619" s="4"/>
      <c r="B619" s="5"/>
      <c r="C619" s="4"/>
      <c r="E619" s="10"/>
      <c r="F619" s="10"/>
      <c r="G619" s="10"/>
      <c r="H619" s="10"/>
      <c r="I619" s="10"/>
      <c r="J619" s="10"/>
    </row>
    <row r="620" spans="1:10" x14ac:dyDescent="0.25">
      <c r="A620" s="4"/>
      <c r="B620" s="5"/>
      <c r="C620" s="4"/>
      <c r="E620" s="10"/>
      <c r="F620" s="10"/>
      <c r="G620" s="10"/>
      <c r="H620" s="10"/>
      <c r="I620" s="10"/>
      <c r="J620" s="10"/>
    </row>
    <row r="621" spans="1:10" x14ac:dyDescent="0.25">
      <c r="A621" s="4"/>
      <c r="B621" s="5"/>
      <c r="C621" s="4"/>
      <c r="E621" s="10"/>
      <c r="F621" s="10"/>
      <c r="G621" s="10"/>
      <c r="H621" s="10"/>
      <c r="I621" s="10"/>
      <c r="J621" s="10"/>
    </row>
    <row r="622" spans="1:10" x14ac:dyDescent="0.25">
      <c r="A622" s="4"/>
      <c r="B622" s="5"/>
      <c r="C622" s="4"/>
      <c r="E622" s="10"/>
      <c r="F622" s="10"/>
      <c r="G622" s="10"/>
      <c r="H622" s="10"/>
      <c r="I622" s="10"/>
      <c r="J622" s="10"/>
    </row>
    <row r="623" spans="1:10" x14ac:dyDescent="0.25">
      <c r="A623" s="4"/>
      <c r="B623" s="5"/>
      <c r="C623" s="4"/>
      <c r="E623" s="10"/>
      <c r="F623" s="10"/>
      <c r="G623" s="10"/>
      <c r="H623" s="10"/>
      <c r="I623" s="10"/>
      <c r="J623" s="10"/>
    </row>
    <row r="624" spans="1:10" x14ac:dyDescent="0.25">
      <c r="A624" s="4"/>
      <c r="B624" s="5"/>
      <c r="C624" s="4"/>
      <c r="E624" s="10"/>
      <c r="F624" s="10"/>
      <c r="G624" s="10"/>
      <c r="H624" s="10"/>
      <c r="I624" s="10"/>
      <c r="J624" s="10"/>
    </row>
    <row r="625" spans="1:10" x14ac:dyDescent="0.25">
      <c r="A625" s="4"/>
      <c r="B625" s="5"/>
      <c r="C625" s="4"/>
      <c r="E625" s="10"/>
      <c r="F625" s="10"/>
      <c r="G625" s="10"/>
      <c r="H625" s="10"/>
      <c r="I625" s="10"/>
      <c r="J625" s="10"/>
    </row>
    <row r="626" spans="1:10" x14ac:dyDescent="0.25">
      <c r="A626" s="4"/>
      <c r="B626" s="5"/>
      <c r="C626" s="4"/>
      <c r="E626" s="10"/>
      <c r="F626" s="10"/>
      <c r="G626" s="10"/>
      <c r="H626" s="10"/>
      <c r="I626" s="10"/>
      <c r="J626" s="10"/>
    </row>
    <row r="627" spans="1:10" x14ac:dyDescent="0.25">
      <c r="A627" s="4"/>
      <c r="B627" s="5"/>
      <c r="C627" s="4"/>
      <c r="E627" s="10"/>
      <c r="F627" s="10"/>
      <c r="G627" s="10"/>
      <c r="H627" s="10"/>
      <c r="I627" s="10"/>
      <c r="J627" s="10"/>
    </row>
    <row r="628" spans="1:10" x14ac:dyDescent="0.25">
      <c r="A628" s="4"/>
      <c r="B628" s="5"/>
      <c r="C628" s="4"/>
      <c r="E628" s="10"/>
      <c r="F628" s="10"/>
      <c r="G628" s="10"/>
      <c r="H628" s="10"/>
      <c r="I628" s="10"/>
      <c r="J628" s="10"/>
    </row>
    <row r="629" spans="1:10" x14ac:dyDescent="0.25">
      <c r="A629" s="4"/>
      <c r="B629" s="5"/>
      <c r="C629" s="4"/>
      <c r="E629" s="10"/>
      <c r="F629" s="10"/>
      <c r="G629" s="10"/>
      <c r="H629" s="10"/>
      <c r="I629" s="10"/>
      <c r="J629" s="10"/>
    </row>
    <row r="630" spans="1:10" x14ac:dyDescent="0.25">
      <c r="A630" s="4"/>
      <c r="B630" s="5"/>
      <c r="C630" s="4"/>
      <c r="E630" s="10"/>
      <c r="F630" s="10"/>
      <c r="G630" s="10"/>
      <c r="H630" s="10"/>
      <c r="I630" s="10"/>
      <c r="J630" s="10"/>
    </row>
    <row r="631" spans="1:10" x14ac:dyDescent="0.25">
      <c r="A631" s="4"/>
      <c r="B631" s="5"/>
      <c r="C631" s="4"/>
      <c r="E631" s="10"/>
      <c r="F631" s="10"/>
      <c r="G631" s="10"/>
      <c r="H631" s="10"/>
      <c r="I631" s="10"/>
      <c r="J631" s="10"/>
    </row>
    <row r="632" spans="1:10" x14ac:dyDescent="0.25">
      <c r="A632" s="4"/>
      <c r="B632" s="5"/>
      <c r="C632" s="4"/>
      <c r="E632" s="10"/>
      <c r="F632" s="10"/>
      <c r="G632" s="10"/>
      <c r="H632" s="10"/>
      <c r="I632" s="10"/>
      <c r="J632" s="10"/>
    </row>
    <row r="633" spans="1:10" x14ac:dyDescent="0.25">
      <c r="A633" s="4"/>
      <c r="B633" s="5"/>
      <c r="C633" s="4"/>
      <c r="E633" s="10"/>
      <c r="F633" s="10"/>
      <c r="G633" s="10"/>
      <c r="H633" s="10"/>
      <c r="I633" s="10"/>
      <c r="J633" s="10"/>
    </row>
    <row r="634" spans="1:10" x14ac:dyDescent="0.25">
      <c r="A634" s="4"/>
      <c r="B634" s="5"/>
      <c r="C634" s="4"/>
      <c r="E634" s="10"/>
      <c r="F634" s="10"/>
      <c r="G634" s="10"/>
      <c r="H634" s="10"/>
      <c r="I634" s="10"/>
      <c r="J634" s="10"/>
    </row>
    <row r="635" spans="1:10" x14ac:dyDescent="0.25">
      <c r="A635" s="4"/>
      <c r="B635" s="5"/>
      <c r="C635" s="4"/>
      <c r="E635" s="10"/>
      <c r="F635" s="10"/>
      <c r="G635" s="10"/>
      <c r="H635" s="10"/>
      <c r="I635" s="10"/>
      <c r="J635" s="10"/>
    </row>
    <row r="636" spans="1:10" x14ac:dyDescent="0.25">
      <c r="A636" s="4"/>
      <c r="B636" s="5"/>
      <c r="C636" s="4"/>
      <c r="E636" s="10"/>
      <c r="F636" s="10"/>
      <c r="G636" s="10"/>
      <c r="H636" s="10"/>
      <c r="I636" s="10"/>
      <c r="J636" s="10"/>
    </row>
    <row r="637" spans="1:10" x14ac:dyDescent="0.25">
      <c r="A637" s="4"/>
      <c r="B637" s="5"/>
      <c r="C637" s="4"/>
      <c r="E637" s="10"/>
      <c r="F637" s="10"/>
      <c r="G637" s="10"/>
      <c r="H637" s="10"/>
      <c r="I637" s="10"/>
      <c r="J637" s="10"/>
    </row>
    <row r="638" spans="1:10" x14ac:dyDescent="0.25">
      <c r="A638" s="4"/>
      <c r="B638" s="5"/>
      <c r="C638" s="4"/>
      <c r="E638" s="10"/>
      <c r="F638" s="10"/>
      <c r="G638" s="10"/>
      <c r="H638" s="10"/>
      <c r="I638" s="10"/>
      <c r="J638" s="10"/>
    </row>
    <row r="639" spans="1:10" x14ac:dyDescent="0.25">
      <c r="A639" s="4"/>
      <c r="B639" s="5"/>
      <c r="C639" s="4"/>
      <c r="E639" s="10"/>
      <c r="F639" s="10"/>
      <c r="G639" s="10"/>
      <c r="H639" s="10"/>
      <c r="I639" s="10"/>
      <c r="J639" s="10"/>
    </row>
    <row r="640" spans="1:10" x14ac:dyDescent="0.25">
      <c r="A640" s="4"/>
      <c r="B640" s="5"/>
      <c r="C640" s="4"/>
      <c r="E640" s="10"/>
      <c r="F640" s="10"/>
      <c r="G640" s="10"/>
      <c r="H640" s="10"/>
      <c r="I640" s="10"/>
      <c r="J640" s="10"/>
    </row>
    <row r="641" spans="1:10" x14ac:dyDescent="0.25">
      <c r="A641" s="4"/>
      <c r="B641" s="5"/>
      <c r="C641" s="4"/>
      <c r="E641" s="10"/>
      <c r="F641" s="10"/>
      <c r="G641" s="10"/>
      <c r="H641" s="10"/>
      <c r="I641" s="10"/>
      <c r="J641" s="10"/>
    </row>
    <row r="642" spans="1:10" x14ac:dyDescent="0.25">
      <c r="A642" s="4"/>
      <c r="B642" s="5"/>
      <c r="C642" s="4"/>
      <c r="E642" s="10"/>
      <c r="F642" s="10"/>
      <c r="G642" s="10"/>
      <c r="H642" s="10"/>
      <c r="I642" s="10"/>
      <c r="J642" s="10"/>
    </row>
    <row r="643" spans="1:10" x14ac:dyDescent="0.25">
      <c r="A643" s="4"/>
      <c r="B643" s="5"/>
      <c r="C643" s="4"/>
      <c r="E643" s="10"/>
      <c r="F643" s="10"/>
      <c r="G643" s="10"/>
      <c r="H643" s="10"/>
      <c r="I643" s="10"/>
      <c r="J643" s="10"/>
    </row>
    <row r="644" spans="1:10" x14ac:dyDescent="0.25">
      <c r="A644" s="4"/>
      <c r="B644" s="5"/>
      <c r="C644" s="4"/>
      <c r="E644" s="10"/>
      <c r="F644" s="10"/>
      <c r="G644" s="10"/>
      <c r="H644" s="10"/>
      <c r="I644" s="10"/>
      <c r="J644" s="10"/>
    </row>
    <row r="645" spans="1:10" x14ac:dyDescent="0.25">
      <c r="A645" s="4"/>
      <c r="B645" s="5"/>
      <c r="C645" s="4"/>
      <c r="E645" s="10"/>
      <c r="F645" s="10"/>
      <c r="G645" s="10"/>
      <c r="H645" s="10"/>
      <c r="I645" s="10"/>
      <c r="J645" s="10"/>
    </row>
    <row r="646" spans="1:10" x14ac:dyDescent="0.25">
      <c r="A646" s="4"/>
      <c r="B646" s="5"/>
      <c r="C646" s="4"/>
      <c r="E646" s="10"/>
      <c r="F646" s="10"/>
      <c r="G646" s="10"/>
      <c r="H646" s="10"/>
      <c r="I646" s="10"/>
      <c r="J646" s="10"/>
    </row>
    <row r="647" spans="1:10" x14ac:dyDescent="0.25">
      <c r="A647" s="4"/>
      <c r="B647" s="5"/>
      <c r="C647" s="4"/>
      <c r="E647" s="10"/>
      <c r="F647" s="10"/>
      <c r="G647" s="10"/>
      <c r="H647" s="10"/>
      <c r="I647" s="10"/>
      <c r="J647" s="10"/>
    </row>
    <row r="648" spans="1:10" x14ac:dyDescent="0.25">
      <c r="A648" s="4"/>
      <c r="B648" s="5"/>
      <c r="C648" s="4"/>
      <c r="E648" s="10"/>
      <c r="F648" s="10"/>
      <c r="G648" s="10"/>
      <c r="H648" s="10"/>
      <c r="I648" s="10"/>
      <c r="J648" s="10"/>
    </row>
    <row r="649" spans="1:10" x14ac:dyDescent="0.25">
      <c r="A649" s="4"/>
      <c r="B649" s="5"/>
      <c r="C649" s="4"/>
      <c r="E649" s="10"/>
      <c r="F649" s="10"/>
      <c r="G649" s="10"/>
      <c r="H649" s="10"/>
      <c r="I649" s="10"/>
      <c r="J649" s="10"/>
    </row>
    <row r="650" spans="1:10" x14ac:dyDescent="0.25">
      <c r="A650" s="4"/>
      <c r="B650" s="5"/>
      <c r="C650" s="4"/>
      <c r="E650" s="10"/>
      <c r="F650" s="10"/>
      <c r="G650" s="10"/>
      <c r="H650" s="10"/>
      <c r="I650" s="10"/>
      <c r="J650" s="10"/>
    </row>
    <row r="651" spans="1:10" x14ac:dyDescent="0.25">
      <c r="A651" s="4"/>
      <c r="B651" s="5"/>
      <c r="C651" s="4"/>
      <c r="E651" s="10"/>
      <c r="F651" s="10"/>
      <c r="G651" s="10"/>
      <c r="H651" s="10"/>
      <c r="I651" s="10"/>
      <c r="J651" s="10"/>
    </row>
    <row r="652" spans="1:10" x14ac:dyDescent="0.25">
      <c r="A652" s="4"/>
      <c r="B652" s="5"/>
      <c r="C652" s="4"/>
      <c r="E652" s="10"/>
      <c r="F652" s="10"/>
      <c r="G652" s="10"/>
      <c r="H652" s="10"/>
      <c r="I652" s="10"/>
      <c r="J652" s="10"/>
    </row>
    <row r="653" spans="1:10" x14ac:dyDescent="0.25">
      <c r="A653" s="4"/>
      <c r="B653" s="5"/>
      <c r="C653" s="4"/>
      <c r="E653" s="10"/>
      <c r="F653" s="10"/>
      <c r="G653" s="10"/>
      <c r="H653" s="10"/>
      <c r="I653" s="10"/>
      <c r="J653" s="10"/>
    </row>
    <row r="654" spans="1:10" x14ac:dyDescent="0.25">
      <c r="A654" s="4"/>
      <c r="B654" s="5"/>
      <c r="C654" s="4"/>
      <c r="E654" s="10"/>
      <c r="F654" s="10"/>
      <c r="G654" s="10"/>
      <c r="H654" s="10"/>
      <c r="I654" s="10"/>
      <c r="J654" s="10"/>
    </row>
    <row r="655" spans="1:10" x14ac:dyDescent="0.25">
      <c r="A655" s="4"/>
      <c r="B655" s="5"/>
      <c r="C655" s="4"/>
      <c r="E655" s="10"/>
      <c r="F655" s="10"/>
      <c r="G655" s="10"/>
      <c r="H655" s="10"/>
      <c r="I655" s="10"/>
      <c r="J655" s="10"/>
    </row>
    <row r="656" spans="1:10" x14ac:dyDescent="0.25">
      <c r="A656" s="4"/>
      <c r="B656" s="5"/>
      <c r="C656" s="4"/>
      <c r="E656" s="10"/>
      <c r="F656" s="10"/>
      <c r="G656" s="10"/>
      <c r="H656" s="10"/>
      <c r="I656" s="10"/>
      <c r="J656" s="10"/>
    </row>
    <row r="657" spans="1:10" x14ac:dyDescent="0.25">
      <c r="A657" s="4"/>
      <c r="B657" s="5"/>
      <c r="C657" s="4"/>
      <c r="E657" s="10"/>
      <c r="F657" s="10"/>
      <c r="G657" s="10"/>
      <c r="H657" s="10"/>
      <c r="I657" s="10"/>
      <c r="J657" s="10"/>
    </row>
    <row r="658" spans="1:10" x14ac:dyDescent="0.25">
      <c r="A658" s="4"/>
      <c r="B658" s="5"/>
      <c r="C658" s="4"/>
      <c r="E658" s="10"/>
      <c r="F658" s="10"/>
      <c r="G658" s="10"/>
      <c r="H658" s="10"/>
      <c r="I658" s="10"/>
      <c r="J658" s="10"/>
    </row>
    <row r="659" spans="1:10" x14ac:dyDescent="0.25">
      <c r="A659" s="4"/>
      <c r="B659" s="5"/>
      <c r="C659" s="4"/>
      <c r="E659" s="10"/>
      <c r="F659" s="10"/>
      <c r="G659" s="10"/>
      <c r="H659" s="10"/>
      <c r="I659" s="10"/>
      <c r="J659" s="10"/>
    </row>
    <row r="660" spans="1:10" x14ac:dyDescent="0.25">
      <c r="A660" s="4"/>
      <c r="B660" s="5"/>
      <c r="C660" s="4"/>
      <c r="E660" s="10"/>
      <c r="F660" s="10"/>
      <c r="G660" s="10"/>
      <c r="H660" s="10"/>
      <c r="I660" s="10"/>
      <c r="J660" s="10"/>
    </row>
    <row r="661" spans="1:10" x14ac:dyDescent="0.25">
      <c r="A661" s="4"/>
      <c r="B661" s="5"/>
      <c r="C661" s="4"/>
      <c r="E661" s="10"/>
      <c r="F661" s="10"/>
      <c r="G661" s="10"/>
      <c r="H661" s="10"/>
      <c r="I661" s="10"/>
      <c r="J661" s="10"/>
    </row>
    <row r="662" spans="1:10" x14ac:dyDescent="0.25">
      <c r="A662" s="4"/>
      <c r="B662" s="5"/>
      <c r="C662" s="4"/>
      <c r="E662" s="10"/>
      <c r="F662" s="10"/>
      <c r="G662" s="10"/>
      <c r="H662" s="10"/>
      <c r="I662" s="10"/>
      <c r="J662" s="10"/>
    </row>
    <row r="663" spans="1:10" x14ac:dyDescent="0.25">
      <c r="A663" s="4"/>
      <c r="B663" s="5"/>
      <c r="C663" s="4"/>
      <c r="E663" s="10"/>
      <c r="F663" s="10"/>
      <c r="G663" s="10"/>
      <c r="H663" s="10"/>
      <c r="I663" s="10"/>
      <c r="J663" s="10"/>
    </row>
    <row r="664" spans="1:10" x14ac:dyDescent="0.25">
      <c r="A664" s="4"/>
      <c r="B664" s="5"/>
      <c r="C664" s="4"/>
      <c r="E664" s="10"/>
      <c r="F664" s="10"/>
      <c r="G664" s="10"/>
      <c r="H664" s="10"/>
      <c r="I664" s="10"/>
      <c r="J664" s="10"/>
    </row>
    <row r="665" spans="1:10" x14ac:dyDescent="0.25">
      <c r="A665" s="4"/>
      <c r="B665" s="5"/>
      <c r="C665" s="4"/>
      <c r="E665" s="10"/>
      <c r="F665" s="10"/>
      <c r="G665" s="10"/>
      <c r="H665" s="10"/>
      <c r="I665" s="10"/>
      <c r="J665" s="10"/>
    </row>
    <row r="666" spans="1:10" x14ac:dyDescent="0.25">
      <c r="A666" s="4"/>
      <c r="B666" s="5"/>
      <c r="C666" s="4"/>
      <c r="E666" s="10"/>
      <c r="F666" s="10"/>
      <c r="G666" s="10"/>
      <c r="H666" s="10"/>
      <c r="I666" s="10"/>
      <c r="J666" s="10"/>
    </row>
    <row r="667" spans="1:10" x14ac:dyDescent="0.25">
      <c r="A667" s="4"/>
      <c r="B667" s="5"/>
      <c r="C667" s="4"/>
      <c r="E667" s="10"/>
      <c r="F667" s="10"/>
      <c r="G667" s="10"/>
      <c r="H667" s="10"/>
      <c r="I667" s="10"/>
      <c r="J667" s="10"/>
    </row>
    <row r="668" spans="1:10" x14ac:dyDescent="0.25">
      <c r="A668" s="4"/>
      <c r="B668" s="5"/>
      <c r="C668" s="4"/>
      <c r="E668" s="10"/>
      <c r="F668" s="10"/>
      <c r="G668" s="10"/>
      <c r="H668" s="10"/>
      <c r="I668" s="10"/>
      <c r="J668" s="10"/>
    </row>
    <row r="669" spans="1:10" x14ac:dyDescent="0.25">
      <c r="A669" s="4"/>
      <c r="B669" s="5"/>
      <c r="C669" s="4"/>
      <c r="E669" s="10"/>
      <c r="F669" s="10"/>
      <c r="G669" s="10"/>
      <c r="H669" s="10"/>
      <c r="I669" s="10"/>
      <c r="J669" s="10"/>
    </row>
    <row r="670" spans="1:10" x14ac:dyDescent="0.25">
      <c r="A670" s="4"/>
      <c r="B670" s="5"/>
      <c r="C670" s="4"/>
      <c r="E670" s="10"/>
      <c r="F670" s="10"/>
      <c r="G670" s="10"/>
      <c r="H670" s="10"/>
      <c r="I670" s="10"/>
      <c r="J670" s="10"/>
    </row>
    <row r="671" spans="1:10" x14ac:dyDescent="0.25">
      <c r="A671" s="4"/>
      <c r="B671" s="5"/>
      <c r="C671" s="4"/>
      <c r="E671" s="10"/>
      <c r="F671" s="10"/>
      <c r="G671" s="10"/>
      <c r="H671" s="10"/>
      <c r="I671" s="10"/>
      <c r="J671" s="10"/>
    </row>
    <row r="672" spans="1:10" x14ac:dyDescent="0.25">
      <c r="A672" s="4"/>
      <c r="B672" s="5"/>
      <c r="C672" s="4"/>
      <c r="E672" s="10"/>
      <c r="F672" s="10"/>
      <c r="G672" s="10"/>
      <c r="H672" s="10"/>
      <c r="I672" s="10"/>
      <c r="J672" s="10"/>
    </row>
    <row r="673" spans="1:10" x14ac:dyDescent="0.25">
      <c r="A673" s="4"/>
      <c r="B673" s="5"/>
      <c r="C673" s="4"/>
      <c r="E673" s="10"/>
      <c r="F673" s="10"/>
      <c r="G673" s="10"/>
      <c r="H673" s="10"/>
      <c r="I673" s="10"/>
      <c r="J673" s="10"/>
    </row>
    <row r="674" spans="1:10" x14ac:dyDescent="0.25">
      <c r="A674" s="4"/>
      <c r="B674" s="5"/>
      <c r="C674" s="4"/>
      <c r="E674" s="10"/>
      <c r="F674" s="10"/>
      <c r="G674" s="10"/>
      <c r="H674" s="10"/>
      <c r="I674" s="10"/>
      <c r="J674" s="10"/>
    </row>
    <row r="675" spans="1:10" x14ac:dyDescent="0.25">
      <c r="A675" s="4"/>
      <c r="B675" s="5"/>
      <c r="C675" s="4"/>
      <c r="E675" s="10"/>
      <c r="F675" s="10"/>
      <c r="G675" s="10"/>
      <c r="H675" s="10"/>
      <c r="I675" s="10"/>
      <c r="J675" s="10"/>
    </row>
    <row r="676" spans="1:10" x14ac:dyDescent="0.25">
      <c r="A676" s="4"/>
      <c r="B676" s="5"/>
      <c r="C676" s="4"/>
      <c r="E676" s="10"/>
      <c r="F676" s="10"/>
      <c r="G676" s="10"/>
      <c r="H676" s="10"/>
      <c r="I676" s="10"/>
      <c r="J676" s="10"/>
    </row>
    <row r="677" spans="1:10" x14ac:dyDescent="0.25">
      <c r="A677" s="4"/>
      <c r="B677" s="5"/>
      <c r="C677" s="4"/>
      <c r="E677" s="10"/>
      <c r="F677" s="10"/>
      <c r="G677" s="10"/>
      <c r="H677" s="10"/>
      <c r="I677" s="10"/>
      <c r="J677" s="10"/>
    </row>
    <row r="678" spans="1:10" x14ac:dyDescent="0.25">
      <c r="A678" s="4"/>
      <c r="B678" s="5"/>
      <c r="C678" s="4"/>
      <c r="E678" s="10"/>
      <c r="F678" s="10"/>
      <c r="G678" s="10"/>
      <c r="H678" s="10"/>
      <c r="I678" s="10"/>
      <c r="J678" s="10"/>
    </row>
    <row r="679" spans="1:10" x14ac:dyDescent="0.25">
      <c r="A679" s="4"/>
      <c r="B679" s="5"/>
      <c r="C679" s="4"/>
      <c r="E679" s="10"/>
      <c r="F679" s="10"/>
      <c r="G679" s="10"/>
      <c r="H679" s="10"/>
      <c r="I679" s="10"/>
      <c r="J679" s="10"/>
    </row>
    <row r="680" spans="1:10" x14ac:dyDescent="0.25">
      <c r="A680" s="4"/>
      <c r="B680" s="5"/>
      <c r="C680" s="4"/>
      <c r="E680" s="10"/>
      <c r="F680" s="10"/>
      <c r="G680" s="10"/>
      <c r="H680" s="10"/>
      <c r="I680" s="10"/>
      <c r="J680" s="10"/>
    </row>
    <row r="681" spans="1:10" x14ac:dyDescent="0.25">
      <c r="A681" s="4"/>
      <c r="B681" s="5"/>
      <c r="C681" s="4"/>
      <c r="E681" s="10"/>
      <c r="F681" s="10"/>
      <c r="G681" s="10"/>
      <c r="H681" s="10"/>
      <c r="I681" s="10"/>
      <c r="J681" s="10"/>
    </row>
    <row r="682" spans="1:10" x14ac:dyDescent="0.25">
      <c r="A682" s="4"/>
      <c r="B682" s="5"/>
      <c r="C682" s="4"/>
      <c r="E682" s="10"/>
      <c r="F682" s="10"/>
      <c r="G682" s="10"/>
      <c r="H682" s="10"/>
      <c r="I682" s="10"/>
      <c r="J682" s="10"/>
    </row>
    <row r="683" spans="1:10" x14ac:dyDescent="0.25">
      <c r="A683" s="4"/>
      <c r="B683" s="5"/>
      <c r="C683" s="4"/>
      <c r="E683" s="10"/>
      <c r="F683" s="10"/>
      <c r="G683" s="10"/>
      <c r="H683" s="10"/>
      <c r="I683" s="10"/>
      <c r="J683" s="10"/>
    </row>
    <row r="684" spans="1:10" x14ac:dyDescent="0.25">
      <c r="A684" s="4"/>
      <c r="B684" s="5"/>
      <c r="C684" s="4"/>
      <c r="E684" s="10"/>
      <c r="F684" s="10"/>
      <c r="G684" s="10"/>
      <c r="H684" s="10"/>
      <c r="I684" s="10"/>
      <c r="J684" s="10"/>
    </row>
    <row r="685" spans="1:10" x14ac:dyDescent="0.25">
      <c r="A685" s="4"/>
      <c r="B685" s="5"/>
      <c r="C685" s="4"/>
      <c r="E685" s="10"/>
      <c r="F685" s="10"/>
      <c r="G685" s="10"/>
      <c r="H685" s="10"/>
      <c r="I685" s="10"/>
      <c r="J685" s="10"/>
    </row>
    <row r="686" spans="1:10" x14ac:dyDescent="0.25">
      <c r="A686" s="4"/>
      <c r="B686" s="5"/>
      <c r="C686" s="4"/>
      <c r="E686" s="10"/>
      <c r="F686" s="10"/>
      <c r="G686" s="10"/>
      <c r="H686" s="10"/>
      <c r="I686" s="10"/>
      <c r="J686" s="10"/>
    </row>
    <row r="687" spans="1:10" x14ac:dyDescent="0.25">
      <c r="A687" s="4"/>
      <c r="B687" s="5"/>
      <c r="C687" s="4"/>
      <c r="E687" s="10"/>
      <c r="F687" s="10"/>
      <c r="G687" s="10"/>
      <c r="H687" s="10"/>
      <c r="I687" s="10"/>
      <c r="J687" s="10"/>
    </row>
    <row r="688" spans="1:10" x14ac:dyDescent="0.25">
      <c r="A688" s="4"/>
      <c r="B688" s="5"/>
      <c r="C688" s="4"/>
      <c r="E688" s="10"/>
      <c r="F688" s="10"/>
      <c r="G688" s="10"/>
      <c r="H688" s="10"/>
      <c r="I688" s="10"/>
      <c r="J688" s="10"/>
    </row>
    <row r="689" spans="1:10" x14ac:dyDescent="0.25">
      <c r="A689" s="4"/>
      <c r="B689" s="5"/>
      <c r="C689" s="4"/>
      <c r="E689" s="10"/>
      <c r="F689" s="10"/>
      <c r="G689" s="10"/>
      <c r="H689" s="10"/>
      <c r="I689" s="10"/>
      <c r="J689" s="10"/>
    </row>
    <row r="690" spans="1:10" x14ac:dyDescent="0.25">
      <c r="A690" s="4"/>
      <c r="B690" s="5"/>
      <c r="C690" s="4"/>
      <c r="E690" s="10"/>
      <c r="F690" s="10"/>
      <c r="G690" s="10"/>
      <c r="H690" s="10"/>
      <c r="I690" s="10"/>
      <c r="J690" s="10"/>
    </row>
    <row r="691" spans="1:10" x14ac:dyDescent="0.25">
      <c r="A691" s="4"/>
      <c r="B691" s="5"/>
      <c r="C691" s="4"/>
      <c r="E691" s="10"/>
      <c r="F691" s="10"/>
      <c r="G691" s="10"/>
      <c r="H691" s="10"/>
      <c r="I691" s="10"/>
      <c r="J691" s="10"/>
    </row>
    <row r="692" spans="1:10" x14ac:dyDescent="0.25">
      <c r="A692" s="4"/>
      <c r="B692" s="5"/>
      <c r="C692" s="4"/>
      <c r="E692" s="10"/>
      <c r="F692" s="10"/>
      <c r="G692" s="10"/>
      <c r="H692" s="10"/>
      <c r="I692" s="10"/>
      <c r="J692" s="10"/>
    </row>
    <row r="693" spans="1:10" x14ac:dyDescent="0.25">
      <c r="A693" s="4"/>
      <c r="B693" s="5"/>
      <c r="C693" s="4"/>
      <c r="E693" s="10"/>
      <c r="F693" s="10"/>
      <c r="G693" s="10"/>
      <c r="H693" s="10"/>
      <c r="I693" s="10"/>
      <c r="J693" s="10"/>
    </row>
    <row r="694" spans="1:10" x14ac:dyDescent="0.25">
      <c r="A694" s="4"/>
      <c r="B694" s="5"/>
      <c r="C694" s="4"/>
      <c r="E694" s="10"/>
      <c r="F694" s="10"/>
      <c r="G694" s="10"/>
      <c r="H694" s="10"/>
      <c r="I694" s="10"/>
      <c r="J694" s="10"/>
    </row>
    <row r="695" spans="1:10" x14ac:dyDescent="0.25">
      <c r="A695" s="4"/>
      <c r="B695" s="5"/>
      <c r="C695" s="4"/>
      <c r="E695" s="10"/>
      <c r="F695" s="10"/>
      <c r="G695" s="10"/>
      <c r="H695" s="10"/>
      <c r="I695" s="10"/>
      <c r="J695" s="10"/>
    </row>
    <row r="696" spans="1:10" x14ac:dyDescent="0.25">
      <c r="A696" s="4"/>
      <c r="B696" s="5"/>
      <c r="C696" s="4"/>
      <c r="E696" s="10"/>
      <c r="F696" s="10"/>
      <c r="G696" s="10"/>
      <c r="H696" s="10"/>
      <c r="I696" s="10"/>
      <c r="J696" s="10"/>
    </row>
    <row r="697" spans="1:10" x14ac:dyDescent="0.25">
      <c r="A697" s="4"/>
      <c r="B697" s="5"/>
      <c r="C697" s="4"/>
      <c r="E697" s="10"/>
      <c r="F697" s="10"/>
      <c r="G697" s="10"/>
      <c r="H697" s="10"/>
      <c r="I697" s="10"/>
      <c r="J697" s="10"/>
    </row>
    <row r="698" spans="1:10" x14ac:dyDescent="0.25">
      <c r="A698" s="4"/>
      <c r="B698" s="5"/>
      <c r="C698" s="4"/>
      <c r="E698" s="10"/>
      <c r="F698" s="10"/>
      <c r="G698" s="10"/>
      <c r="H698" s="10"/>
      <c r="I698" s="10"/>
      <c r="J698" s="10"/>
    </row>
    <row r="699" spans="1:10" x14ac:dyDescent="0.25">
      <c r="A699" s="4"/>
      <c r="B699" s="5"/>
      <c r="C699" s="4"/>
      <c r="E699" s="10"/>
      <c r="F699" s="10"/>
      <c r="G699" s="10"/>
      <c r="H699" s="10"/>
      <c r="I699" s="10"/>
      <c r="J699" s="10"/>
    </row>
    <row r="700" spans="1:10" x14ac:dyDescent="0.25">
      <c r="A700" s="4"/>
      <c r="B700" s="5"/>
      <c r="C700" s="4"/>
      <c r="E700" s="10"/>
      <c r="F700" s="10"/>
      <c r="G700" s="10"/>
      <c r="H700" s="10"/>
      <c r="I700" s="10"/>
      <c r="J700" s="10"/>
    </row>
    <row r="701" spans="1:10" x14ac:dyDescent="0.25">
      <c r="A701" s="4"/>
      <c r="B701" s="5"/>
      <c r="C701" s="4"/>
      <c r="E701" s="10"/>
      <c r="F701" s="10"/>
      <c r="G701" s="10"/>
      <c r="H701" s="10"/>
      <c r="I701" s="10"/>
      <c r="J701" s="10"/>
    </row>
    <row r="702" spans="1:10" x14ac:dyDescent="0.25">
      <c r="A702" s="4"/>
      <c r="B702" s="5"/>
      <c r="C702" s="4"/>
      <c r="E702" s="10"/>
      <c r="F702" s="10"/>
      <c r="G702" s="10"/>
      <c r="H702" s="10"/>
      <c r="I702" s="10"/>
      <c r="J702" s="10"/>
    </row>
    <row r="703" spans="1:10" x14ac:dyDescent="0.25">
      <c r="A703" s="4"/>
      <c r="B703" s="5"/>
      <c r="C703" s="4"/>
      <c r="E703" s="10"/>
      <c r="F703" s="10"/>
      <c r="G703" s="10"/>
      <c r="H703" s="10"/>
      <c r="I703" s="10"/>
      <c r="J703" s="10"/>
    </row>
    <row r="704" spans="1:10" x14ac:dyDescent="0.25">
      <c r="A704" s="4"/>
      <c r="B704" s="5"/>
      <c r="C704" s="4"/>
      <c r="E704" s="10"/>
      <c r="F704" s="10"/>
      <c r="G704" s="10"/>
      <c r="H704" s="10"/>
      <c r="I704" s="10"/>
      <c r="J704" s="10"/>
    </row>
    <row r="705" spans="1:10" x14ac:dyDescent="0.25">
      <c r="A705" s="4"/>
      <c r="B705" s="5"/>
      <c r="C705" s="4"/>
      <c r="E705" s="10"/>
      <c r="F705" s="10"/>
      <c r="G705" s="10"/>
      <c r="H705" s="10"/>
      <c r="I705" s="10"/>
      <c r="J705" s="10"/>
    </row>
    <row r="706" spans="1:10" x14ac:dyDescent="0.25">
      <c r="A706" s="4"/>
      <c r="B706" s="5"/>
      <c r="C706" s="4"/>
      <c r="E706" s="10"/>
      <c r="F706" s="10"/>
      <c r="G706" s="10"/>
      <c r="H706" s="10"/>
      <c r="I706" s="10"/>
      <c r="J706" s="10"/>
    </row>
    <row r="707" spans="1:10" x14ac:dyDescent="0.25">
      <c r="A707" s="4"/>
      <c r="B707" s="5"/>
      <c r="C707" s="4"/>
      <c r="E707" s="10"/>
      <c r="F707" s="10"/>
      <c r="G707" s="10"/>
      <c r="H707" s="10"/>
      <c r="I707" s="10"/>
      <c r="J707" s="10"/>
    </row>
    <row r="708" spans="1:10" x14ac:dyDescent="0.25">
      <c r="A708" s="4"/>
      <c r="B708" s="5"/>
      <c r="C708" s="4"/>
      <c r="E708" s="10"/>
      <c r="F708" s="10"/>
      <c r="G708" s="10"/>
      <c r="H708" s="10"/>
      <c r="I708" s="10"/>
      <c r="J708" s="10"/>
    </row>
    <row r="709" spans="1:10" x14ac:dyDescent="0.25">
      <c r="A709" s="4"/>
      <c r="B709" s="5"/>
      <c r="C709" s="4"/>
      <c r="E709" s="10"/>
      <c r="F709" s="10"/>
      <c r="G709" s="10"/>
      <c r="H709" s="10"/>
      <c r="I709" s="10"/>
      <c r="J709" s="10"/>
    </row>
    <row r="710" spans="1:10" x14ac:dyDescent="0.25">
      <c r="A710" s="4"/>
      <c r="B710" s="5"/>
      <c r="C710" s="4"/>
      <c r="E710" s="10"/>
      <c r="F710" s="10"/>
      <c r="G710" s="10"/>
      <c r="H710" s="10"/>
      <c r="I710" s="10"/>
      <c r="J710" s="10"/>
    </row>
    <row r="711" spans="1:10" x14ac:dyDescent="0.25">
      <c r="A711" s="4"/>
      <c r="B711" s="5"/>
      <c r="C711" s="4"/>
      <c r="E711" s="10"/>
      <c r="F711" s="10"/>
      <c r="G711" s="10"/>
      <c r="H711" s="10"/>
      <c r="I711" s="10"/>
      <c r="J711" s="10"/>
    </row>
    <row r="712" spans="1:10" x14ac:dyDescent="0.25">
      <c r="A712" s="4"/>
      <c r="B712" s="5"/>
      <c r="C712" s="4"/>
      <c r="E712" s="10"/>
      <c r="F712" s="10"/>
      <c r="G712" s="10"/>
      <c r="H712" s="10"/>
      <c r="I712" s="10"/>
      <c r="J712" s="10"/>
    </row>
    <row r="713" spans="1:10" x14ac:dyDescent="0.25">
      <c r="A713" s="4"/>
      <c r="B713" s="5"/>
      <c r="C713" s="4"/>
      <c r="E713" s="10"/>
      <c r="F713" s="10"/>
      <c r="G713" s="10"/>
      <c r="H713" s="10"/>
      <c r="I713" s="10"/>
      <c r="J713" s="10"/>
    </row>
    <row r="714" spans="1:10" x14ac:dyDescent="0.25">
      <c r="A714" s="4"/>
      <c r="B714" s="5"/>
      <c r="C714" s="4"/>
      <c r="E714" s="10"/>
      <c r="F714" s="10"/>
      <c r="G714" s="10"/>
      <c r="H714" s="10"/>
      <c r="I714" s="10"/>
      <c r="J714" s="10"/>
    </row>
    <row r="715" spans="1:10" x14ac:dyDescent="0.25">
      <c r="A715" s="4"/>
      <c r="B715" s="5"/>
      <c r="C715" s="4"/>
      <c r="E715" s="10"/>
      <c r="F715" s="10"/>
      <c r="G715" s="10"/>
      <c r="H715" s="10"/>
      <c r="I715" s="10"/>
      <c r="J715" s="10"/>
    </row>
    <row r="716" spans="1:10" x14ac:dyDescent="0.25">
      <c r="A716" s="4"/>
      <c r="B716" s="5"/>
      <c r="C716" s="4"/>
      <c r="E716" s="10"/>
      <c r="F716" s="10"/>
      <c r="G716" s="10"/>
      <c r="H716" s="10"/>
      <c r="I716" s="10"/>
      <c r="J716" s="10"/>
    </row>
    <row r="717" spans="1:10" x14ac:dyDescent="0.25">
      <c r="A717" s="4"/>
      <c r="B717" s="5"/>
      <c r="C717" s="4"/>
      <c r="E717" s="10"/>
      <c r="F717" s="10"/>
      <c r="G717" s="10"/>
      <c r="H717" s="10"/>
      <c r="I717" s="10"/>
      <c r="J717" s="10"/>
    </row>
    <row r="718" spans="1:10" x14ac:dyDescent="0.25">
      <c r="A718" s="4"/>
      <c r="B718" s="5"/>
      <c r="C718" s="4"/>
      <c r="E718" s="10"/>
      <c r="F718" s="10"/>
      <c r="G718" s="10"/>
      <c r="H718" s="10"/>
      <c r="I718" s="10"/>
      <c r="J718" s="10"/>
    </row>
    <row r="719" spans="1:10" x14ac:dyDescent="0.25">
      <c r="A719" s="4"/>
      <c r="B719" s="5"/>
      <c r="C719" s="4"/>
      <c r="E719" s="10"/>
      <c r="F719" s="10"/>
      <c r="G719" s="10"/>
      <c r="H719" s="10"/>
      <c r="I719" s="10"/>
      <c r="J719" s="10"/>
    </row>
    <row r="720" spans="1:10" x14ac:dyDescent="0.25">
      <c r="A720" s="4"/>
      <c r="B720" s="5"/>
      <c r="C720" s="4"/>
      <c r="E720" s="10"/>
      <c r="F720" s="10"/>
      <c r="G720" s="10"/>
      <c r="H720" s="10"/>
      <c r="I720" s="10"/>
      <c r="J720" s="10"/>
    </row>
    <row r="721" spans="1:10" x14ac:dyDescent="0.25">
      <c r="A721" s="4"/>
      <c r="B721" s="5"/>
      <c r="C721" s="4"/>
      <c r="E721" s="10"/>
      <c r="F721" s="10"/>
      <c r="G721" s="10"/>
      <c r="H721" s="10"/>
      <c r="I721" s="10"/>
      <c r="J721" s="10"/>
    </row>
    <row r="722" spans="1:10" x14ac:dyDescent="0.25">
      <c r="A722" s="4"/>
      <c r="B722" s="5"/>
      <c r="C722" s="4"/>
      <c r="E722" s="10"/>
      <c r="F722" s="10"/>
      <c r="G722" s="10"/>
      <c r="H722" s="10"/>
      <c r="I722" s="10"/>
      <c r="J722" s="10"/>
    </row>
    <row r="723" spans="1:10" x14ac:dyDescent="0.25">
      <c r="A723" s="4"/>
      <c r="B723" s="5"/>
      <c r="C723" s="4"/>
      <c r="E723" s="10"/>
      <c r="F723" s="10"/>
      <c r="G723" s="10"/>
      <c r="H723" s="10"/>
      <c r="I723" s="10"/>
      <c r="J723" s="10"/>
    </row>
    <row r="724" spans="1:10" x14ac:dyDescent="0.25">
      <c r="A724" s="4"/>
      <c r="B724" s="5"/>
      <c r="C724" s="4"/>
      <c r="E724" s="10"/>
      <c r="F724" s="10"/>
      <c r="G724" s="10"/>
      <c r="H724" s="10"/>
      <c r="I724" s="10"/>
      <c r="J724" s="10"/>
    </row>
    <row r="725" spans="1:10" x14ac:dyDescent="0.25">
      <c r="A725" s="4"/>
      <c r="B725" s="5"/>
      <c r="C725" s="4"/>
      <c r="E725" s="10"/>
      <c r="F725" s="10"/>
      <c r="G725" s="10"/>
      <c r="H725" s="10"/>
      <c r="I725" s="10"/>
      <c r="J725" s="10"/>
    </row>
    <row r="726" spans="1:10" x14ac:dyDescent="0.25">
      <c r="A726" s="4"/>
      <c r="B726" s="5"/>
      <c r="C726" s="4"/>
      <c r="E726" s="10"/>
      <c r="F726" s="10"/>
      <c r="G726" s="10"/>
      <c r="H726" s="10"/>
      <c r="I726" s="10"/>
      <c r="J726" s="10"/>
    </row>
    <row r="727" spans="1:10" x14ac:dyDescent="0.25">
      <c r="A727" s="4"/>
      <c r="B727" s="5"/>
      <c r="C727" s="4"/>
      <c r="E727" s="10"/>
      <c r="F727" s="10"/>
      <c r="G727" s="10"/>
      <c r="H727" s="10"/>
      <c r="I727" s="10"/>
      <c r="J727" s="10"/>
    </row>
    <row r="728" spans="1:10" x14ac:dyDescent="0.25">
      <c r="A728" s="4"/>
      <c r="B728" s="5"/>
      <c r="C728" s="4"/>
      <c r="E728" s="10"/>
      <c r="F728" s="10"/>
      <c r="G728" s="10"/>
      <c r="H728" s="10"/>
      <c r="I728" s="10"/>
      <c r="J728" s="10"/>
    </row>
    <row r="729" spans="1:10" x14ac:dyDescent="0.25">
      <c r="A729" s="4"/>
      <c r="B729" s="5"/>
      <c r="C729" s="4"/>
      <c r="E729" s="10"/>
      <c r="F729" s="10"/>
      <c r="G729" s="10"/>
      <c r="H729" s="10"/>
      <c r="I729" s="10"/>
      <c r="J729" s="10"/>
    </row>
    <row r="730" spans="1:10" x14ac:dyDescent="0.25">
      <c r="A730" s="4"/>
      <c r="B730" s="5"/>
      <c r="C730" s="4"/>
      <c r="E730" s="10"/>
      <c r="F730" s="10"/>
      <c r="G730" s="10"/>
      <c r="H730" s="10"/>
      <c r="I730" s="10"/>
      <c r="J730" s="10"/>
    </row>
    <row r="731" spans="1:10" x14ac:dyDescent="0.25">
      <c r="A731" s="4"/>
      <c r="B731" s="5"/>
      <c r="C731" s="4"/>
      <c r="E731" s="10"/>
      <c r="F731" s="10"/>
      <c r="G731" s="10"/>
      <c r="H731" s="10"/>
      <c r="I731" s="10"/>
      <c r="J731" s="10"/>
    </row>
    <row r="732" spans="1:10" x14ac:dyDescent="0.25">
      <c r="A732" s="4"/>
      <c r="B732" s="5"/>
      <c r="C732" s="4"/>
      <c r="E732" s="10"/>
      <c r="F732" s="10"/>
      <c r="G732" s="10"/>
      <c r="H732" s="10"/>
      <c r="I732" s="10"/>
      <c r="J732" s="10"/>
    </row>
    <row r="733" spans="1:10" x14ac:dyDescent="0.25">
      <c r="A733" s="4"/>
      <c r="B733" s="5"/>
      <c r="C733" s="4"/>
      <c r="E733" s="10"/>
      <c r="F733" s="10"/>
      <c r="G733" s="10"/>
      <c r="H733" s="10"/>
      <c r="I733" s="10"/>
      <c r="J733" s="10"/>
    </row>
    <row r="734" spans="1:10" x14ac:dyDescent="0.25">
      <c r="A734" s="4"/>
      <c r="B734" s="5"/>
      <c r="C734" s="4"/>
      <c r="E734" s="10"/>
      <c r="F734" s="10"/>
      <c r="G734" s="10"/>
      <c r="H734" s="10"/>
      <c r="I734" s="10"/>
      <c r="J734" s="10"/>
    </row>
    <row r="735" spans="1:10" x14ac:dyDescent="0.25">
      <c r="A735" s="4"/>
      <c r="B735" s="5"/>
      <c r="C735" s="4"/>
      <c r="E735" s="10"/>
      <c r="F735" s="10"/>
      <c r="G735" s="10"/>
      <c r="H735" s="10"/>
      <c r="I735" s="10"/>
      <c r="J735" s="10"/>
    </row>
    <row r="736" spans="1:10" x14ac:dyDescent="0.25">
      <c r="A736" s="4"/>
      <c r="B736" s="5"/>
      <c r="C736" s="4"/>
      <c r="E736" s="10"/>
      <c r="F736" s="10"/>
      <c r="G736" s="10"/>
      <c r="H736" s="10"/>
      <c r="I736" s="10"/>
      <c r="J736" s="10"/>
    </row>
    <row r="737" spans="1:10" x14ac:dyDescent="0.25">
      <c r="A737" s="4"/>
      <c r="B737" s="5"/>
      <c r="C737" s="4"/>
      <c r="E737" s="10"/>
      <c r="F737" s="10"/>
      <c r="G737" s="10"/>
      <c r="H737" s="10"/>
      <c r="I737" s="10"/>
      <c r="J737" s="10"/>
    </row>
    <row r="738" spans="1:10" x14ac:dyDescent="0.25">
      <c r="A738" s="4"/>
      <c r="B738" s="5"/>
      <c r="C738" s="4"/>
      <c r="E738" s="10"/>
      <c r="F738" s="10"/>
      <c r="G738" s="10"/>
      <c r="H738" s="10"/>
      <c r="I738" s="10"/>
      <c r="J738" s="10"/>
    </row>
    <row r="739" spans="1:10" x14ac:dyDescent="0.25">
      <c r="A739" s="4"/>
      <c r="B739" s="5"/>
      <c r="C739" s="4"/>
      <c r="E739" s="10"/>
      <c r="F739" s="10"/>
      <c r="G739" s="10"/>
      <c r="H739" s="10"/>
      <c r="I739" s="10"/>
      <c r="J739" s="10"/>
    </row>
    <row r="740" spans="1:10" x14ac:dyDescent="0.25">
      <c r="A740" s="4"/>
      <c r="B740" s="5"/>
      <c r="C740" s="4"/>
      <c r="E740" s="10"/>
      <c r="F740" s="10"/>
      <c r="G740" s="10"/>
      <c r="H740" s="10"/>
      <c r="I740" s="10"/>
      <c r="J740" s="10"/>
    </row>
    <row r="741" spans="1:10" x14ac:dyDescent="0.25">
      <c r="A741" s="4"/>
      <c r="B741" s="5"/>
      <c r="C741" s="4"/>
      <c r="E741" s="10"/>
      <c r="F741" s="10"/>
      <c r="G741" s="10"/>
      <c r="H741" s="10"/>
      <c r="I741" s="10"/>
      <c r="J741" s="10"/>
    </row>
    <row r="742" spans="1:10" x14ac:dyDescent="0.25">
      <c r="A742" s="4"/>
      <c r="B742" s="5"/>
      <c r="C742" s="4"/>
      <c r="E742" s="10"/>
      <c r="F742" s="10"/>
      <c r="G742" s="10"/>
      <c r="H742" s="10"/>
      <c r="I742" s="10"/>
      <c r="J742" s="10"/>
    </row>
    <row r="743" spans="1:10" x14ac:dyDescent="0.25">
      <c r="A743" s="4"/>
      <c r="B743" s="5"/>
      <c r="C743" s="4"/>
      <c r="E743" s="10"/>
      <c r="F743" s="10"/>
      <c r="G743" s="10"/>
      <c r="H743" s="10"/>
      <c r="I743" s="10"/>
      <c r="J743" s="10"/>
    </row>
    <row r="744" spans="1:10" x14ac:dyDescent="0.25">
      <c r="A744" s="4"/>
      <c r="B744" s="5"/>
      <c r="C744" s="4"/>
      <c r="E744" s="10"/>
      <c r="F744" s="10"/>
      <c r="G744" s="10"/>
      <c r="H744" s="10"/>
      <c r="I744" s="10"/>
      <c r="J744" s="10"/>
    </row>
    <row r="745" spans="1:10" x14ac:dyDescent="0.25">
      <c r="A745" s="4"/>
      <c r="B745" s="5"/>
      <c r="C745" s="4"/>
      <c r="E745" s="10"/>
      <c r="F745" s="10"/>
      <c r="G745" s="10"/>
      <c r="H745" s="10"/>
      <c r="I745" s="10"/>
      <c r="J745" s="10"/>
    </row>
    <row r="746" spans="1:10" x14ac:dyDescent="0.25">
      <c r="A746" s="4"/>
      <c r="B746" s="5"/>
      <c r="C746" s="4"/>
      <c r="E746" s="10"/>
      <c r="F746" s="10"/>
      <c r="G746" s="10"/>
      <c r="H746" s="10"/>
      <c r="I746" s="10"/>
      <c r="J746" s="10"/>
    </row>
    <row r="747" spans="1:10" x14ac:dyDescent="0.25">
      <c r="A747" s="4"/>
      <c r="B747" s="5"/>
      <c r="C747" s="4"/>
      <c r="E747" s="10"/>
      <c r="F747" s="10"/>
      <c r="G747" s="10"/>
      <c r="H747" s="10"/>
      <c r="I747" s="10"/>
      <c r="J747" s="10"/>
    </row>
    <row r="748" spans="1:10" x14ac:dyDescent="0.25">
      <c r="A748" s="4"/>
      <c r="B748" s="5"/>
      <c r="C748" s="4"/>
      <c r="E748" s="10"/>
      <c r="F748" s="10"/>
      <c r="G748" s="10"/>
      <c r="H748" s="10"/>
      <c r="I748" s="10"/>
      <c r="J748" s="10"/>
    </row>
    <row r="749" spans="1:10" x14ac:dyDescent="0.25">
      <c r="A749" s="4"/>
      <c r="B749" s="5"/>
      <c r="C749" s="4"/>
      <c r="E749" s="10"/>
      <c r="F749" s="10"/>
      <c r="G749" s="10"/>
      <c r="H749" s="10"/>
      <c r="I749" s="10"/>
      <c r="J749" s="10"/>
    </row>
    <row r="750" spans="1:10" x14ac:dyDescent="0.25">
      <c r="A750" s="4"/>
      <c r="B750" s="5"/>
      <c r="C750" s="4"/>
      <c r="E750" s="10"/>
      <c r="F750" s="10"/>
      <c r="G750" s="10"/>
      <c r="H750" s="10"/>
      <c r="I750" s="10"/>
      <c r="J750" s="10"/>
    </row>
    <row r="751" spans="1:10" x14ac:dyDescent="0.25">
      <c r="A751" s="4"/>
      <c r="B751" s="5"/>
      <c r="C751" s="4"/>
      <c r="E751" s="10"/>
      <c r="F751" s="10"/>
      <c r="G751" s="10"/>
      <c r="H751" s="10"/>
      <c r="I751" s="10"/>
      <c r="J751" s="10"/>
    </row>
    <row r="752" spans="1:10" x14ac:dyDescent="0.25">
      <c r="A752" s="4"/>
      <c r="B752" s="5"/>
      <c r="C752" s="4"/>
      <c r="E752" s="10"/>
      <c r="F752" s="10"/>
      <c r="G752" s="10"/>
      <c r="H752" s="10"/>
      <c r="I752" s="10"/>
      <c r="J752" s="10"/>
    </row>
    <row r="753" spans="1:10" x14ac:dyDescent="0.25">
      <c r="A753" s="4"/>
      <c r="B753" s="5"/>
      <c r="C753" s="4"/>
      <c r="E753" s="10"/>
      <c r="F753" s="10"/>
      <c r="G753" s="10"/>
      <c r="H753" s="10"/>
      <c r="I753" s="10"/>
      <c r="J753" s="10"/>
    </row>
    <row r="754" spans="1:10" x14ac:dyDescent="0.25">
      <c r="A754" s="4"/>
      <c r="B754" s="5"/>
      <c r="C754" s="4"/>
      <c r="E754" s="10"/>
      <c r="F754" s="10"/>
      <c r="G754" s="10"/>
      <c r="H754" s="10"/>
      <c r="I754" s="10"/>
      <c r="J754" s="10"/>
    </row>
    <row r="755" spans="1:10" x14ac:dyDescent="0.25">
      <c r="A755" s="4"/>
      <c r="B755" s="5"/>
      <c r="C755" s="4"/>
      <c r="E755" s="10"/>
      <c r="F755" s="10"/>
      <c r="G755" s="10"/>
      <c r="H755" s="10"/>
      <c r="I755" s="10"/>
      <c r="J755" s="10"/>
    </row>
    <row r="756" spans="1:10" x14ac:dyDescent="0.25">
      <c r="A756" s="4"/>
      <c r="B756" s="5"/>
      <c r="C756" s="4"/>
      <c r="E756" s="10"/>
      <c r="F756" s="10"/>
      <c r="G756" s="10"/>
      <c r="H756" s="10"/>
      <c r="I756" s="10"/>
      <c r="J756" s="10"/>
    </row>
    <row r="757" spans="1:10" x14ac:dyDescent="0.25">
      <c r="A757" s="4"/>
      <c r="B757" s="5"/>
      <c r="C757" s="4"/>
      <c r="E757" s="10"/>
      <c r="F757" s="10"/>
      <c r="G757" s="10"/>
      <c r="H757" s="10"/>
      <c r="I757" s="10"/>
      <c r="J757" s="10"/>
    </row>
    <row r="758" spans="1:10" x14ac:dyDescent="0.25">
      <c r="A758" s="4"/>
      <c r="B758" s="5"/>
      <c r="C758" s="4"/>
      <c r="E758" s="10"/>
      <c r="F758" s="10"/>
      <c r="G758" s="10"/>
      <c r="H758" s="10"/>
      <c r="I758" s="10"/>
      <c r="J758" s="10"/>
    </row>
    <row r="759" spans="1:10" x14ac:dyDescent="0.25">
      <c r="A759" s="4"/>
      <c r="B759" s="5"/>
      <c r="C759" s="4"/>
      <c r="E759" s="10"/>
      <c r="F759" s="10"/>
      <c r="G759" s="10"/>
      <c r="H759" s="10"/>
      <c r="I759" s="10"/>
      <c r="J759" s="10"/>
    </row>
    <row r="760" spans="1:10" x14ac:dyDescent="0.25">
      <c r="A760" s="4"/>
      <c r="B760" s="5"/>
      <c r="C760" s="4"/>
      <c r="E760" s="10"/>
      <c r="F760" s="10"/>
      <c r="G760" s="10"/>
      <c r="H760" s="10"/>
      <c r="I760" s="10"/>
      <c r="J760" s="10"/>
    </row>
    <row r="761" spans="1:10" x14ac:dyDescent="0.25">
      <c r="A761" s="4"/>
      <c r="B761" s="5"/>
      <c r="C761" s="4"/>
      <c r="E761" s="10"/>
      <c r="F761" s="10"/>
      <c r="G761" s="10"/>
      <c r="H761" s="10"/>
      <c r="I761" s="10"/>
      <c r="J761" s="10"/>
    </row>
    <row r="762" spans="1:10" x14ac:dyDescent="0.25">
      <c r="A762" s="4"/>
      <c r="B762" s="5"/>
      <c r="C762" s="4"/>
      <c r="E762" s="10"/>
      <c r="F762" s="10"/>
      <c r="G762" s="10"/>
      <c r="H762" s="10"/>
      <c r="I762" s="10"/>
      <c r="J762" s="10"/>
    </row>
    <row r="763" spans="1:10" x14ac:dyDescent="0.25">
      <c r="A763" s="4"/>
      <c r="B763" s="5"/>
      <c r="C763" s="4"/>
      <c r="E763" s="10"/>
      <c r="F763" s="10"/>
      <c r="G763" s="10"/>
      <c r="H763" s="10"/>
      <c r="I763" s="10"/>
      <c r="J763" s="10"/>
    </row>
    <row r="764" spans="1:10" x14ac:dyDescent="0.25">
      <c r="A764" s="4"/>
      <c r="B764" s="5"/>
      <c r="C764" s="4"/>
      <c r="E764" s="10"/>
      <c r="F764" s="10"/>
      <c r="G764" s="10"/>
      <c r="H764" s="10"/>
      <c r="I764" s="10"/>
      <c r="J764" s="10"/>
    </row>
    <row r="765" spans="1:10" x14ac:dyDescent="0.25">
      <c r="A765" s="4"/>
      <c r="B765" s="5"/>
      <c r="C765" s="4"/>
      <c r="E765" s="10"/>
      <c r="F765" s="10"/>
      <c r="G765" s="10"/>
      <c r="H765" s="10"/>
      <c r="I765" s="10"/>
      <c r="J765" s="10"/>
    </row>
    <row r="766" spans="1:10" x14ac:dyDescent="0.25">
      <c r="A766" s="4"/>
      <c r="B766" s="5"/>
      <c r="C766" s="4"/>
      <c r="E766" s="10"/>
      <c r="F766" s="10"/>
      <c r="G766" s="10"/>
      <c r="H766" s="10"/>
      <c r="I766" s="10"/>
      <c r="J766" s="10"/>
    </row>
    <row r="767" spans="1:10" x14ac:dyDescent="0.25">
      <c r="A767" s="4"/>
      <c r="B767" s="5"/>
      <c r="C767" s="4"/>
      <c r="E767" s="10"/>
      <c r="F767" s="10"/>
      <c r="G767" s="10"/>
      <c r="H767" s="10"/>
      <c r="I767" s="10"/>
      <c r="J767" s="10"/>
    </row>
    <row r="768" spans="1:10" x14ac:dyDescent="0.25">
      <c r="A768" s="4"/>
      <c r="B768" s="5"/>
      <c r="C768" s="4"/>
      <c r="E768" s="10"/>
      <c r="F768" s="10"/>
      <c r="G768" s="10"/>
      <c r="H768" s="10"/>
      <c r="I768" s="10"/>
      <c r="J768" s="10"/>
    </row>
    <row r="769" spans="1:10" x14ac:dyDescent="0.25">
      <c r="A769" s="4"/>
      <c r="B769" s="5"/>
      <c r="C769" s="4"/>
      <c r="E769" s="10"/>
      <c r="F769" s="10"/>
      <c r="G769" s="10"/>
      <c r="H769" s="10"/>
      <c r="I769" s="10"/>
      <c r="J769" s="10"/>
    </row>
    <row r="770" spans="1:10" x14ac:dyDescent="0.25">
      <c r="A770" s="4"/>
      <c r="B770" s="5"/>
      <c r="C770" s="4"/>
      <c r="E770" s="10"/>
      <c r="F770" s="10"/>
      <c r="G770" s="10"/>
      <c r="H770" s="10"/>
      <c r="I770" s="10"/>
      <c r="J770" s="10"/>
    </row>
    <row r="771" spans="1:10" x14ac:dyDescent="0.25">
      <c r="A771" s="4"/>
      <c r="B771" s="5"/>
      <c r="C771" s="4"/>
      <c r="E771" s="10"/>
      <c r="F771" s="10"/>
      <c r="G771" s="10"/>
      <c r="H771" s="10"/>
      <c r="I771" s="10"/>
      <c r="J771" s="10"/>
    </row>
    <row r="772" spans="1:10" x14ac:dyDescent="0.25">
      <c r="A772" s="4"/>
      <c r="B772" s="5"/>
      <c r="C772" s="4"/>
      <c r="E772" s="10"/>
      <c r="F772" s="10"/>
      <c r="G772" s="10"/>
      <c r="H772" s="10"/>
      <c r="I772" s="10"/>
      <c r="J772" s="10"/>
    </row>
    <row r="773" spans="1:10" x14ac:dyDescent="0.25">
      <c r="A773" s="4"/>
      <c r="B773" s="5"/>
      <c r="C773" s="4"/>
      <c r="E773" s="10"/>
      <c r="F773" s="10"/>
      <c r="G773" s="10"/>
      <c r="H773" s="10"/>
      <c r="I773" s="10"/>
      <c r="J773" s="10"/>
    </row>
    <row r="774" spans="1:10" x14ac:dyDescent="0.25">
      <c r="A774" s="4"/>
      <c r="B774" s="5"/>
      <c r="C774" s="4"/>
      <c r="E774" s="10"/>
      <c r="F774" s="10"/>
      <c r="G774" s="10"/>
      <c r="H774" s="10"/>
      <c r="I774" s="10"/>
      <c r="J774" s="10"/>
    </row>
    <row r="775" spans="1:10" x14ac:dyDescent="0.25">
      <c r="A775" s="4"/>
      <c r="B775" s="5"/>
      <c r="C775" s="4"/>
      <c r="E775" s="10"/>
      <c r="F775" s="10"/>
      <c r="G775" s="10"/>
      <c r="H775" s="10"/>
      <c r="I775" s="10"/>
      <c r="J775" s="10"/>
    </row>
    <row r="776" spans="1:10" x14ac:dyDescent="0.25">
      <c r="A776" s="4"/>
      <c r="B776" s="5"/>
      <c r="C776" s="4"/>
      <c r="E776" s="10"/>
      <c r="F776" s="10"/>
      <c r="G776" s="10"/>
      <c r="H776" s="10"/>
      <c r="I776" s="10"/>
      <c r="J776" s="10"/>
    </row>
    <row r="777" spans="1:10" x14ac:dyDescent="0.25">
      <c r="A777" s="4"/>
      <c r="B777" s="5"/>
      <c r="C777" s="4"/>
      <c r="E777" s="10"/>
      <c r="F777" s="10"/>
      <c r="G777" s="10"/>
      <c r="H777" s="10"/>
      <c r="I777" s="10"/>
      <c r="J777" s="10"/>
    </row>
    <row r="778" spans="1:10" x14ac:dyDescent="0.25">
      <c r="A778" s="4"/>
      <c r="B778" s="5"/>
      <c r="C778" s="4"/>
      <c r="E778" s="10"/>
      <c r="F778" s="10"/>
      <c r="G778" s="10"/>
      <c r="H778" s="10"/>
      <c r="I778" s="10"/>
      <c r="J778" s="10"/>
    </row>
    <row r="779" spans="1:10" x14ac:dyDescent="0.25">
      <c r="A779" s="4"/>
      <c r="B779" s="5"/>
      <c r="C779" s="4"/>
      <c r="E779" s="10"/>
      <c r="F779" s="10"/>
      <c r="G779" s="10"/>
      <c r="H779" s="10"/>
      <c r="I779" s="10"/>
      <c r="J779" s="10"/>
    </row>
    <row r="780" spans="1:10" x14ac:dyDescent="0.25">
      <c r="A780" s="4"/>
      <c r="B780" s="5"/>
      <c r="C780" s="4"/>
      <c r="E780" s="10"/>
      <c r="F780" s="10"/>
      <c r="G780" s="10"/>
      <c r="H780" s="10"/>
      <c r="I780" s="10"/>
      <c r="J780" s="10"/>
    </row>
    <row r="781" spans="1:10" x14ac:dyDescent="0.25">
      <c r="A781" s="4"/>
      <c r="B781" s="5"/>
      <c r="C781" s="4"/>
      <c r="E781" s="10"/>
      <c r="F781" s="10"/>
      <c r="G781" s="10"/>
      <c r="H781" s="10"/>
      <c r="I781" s="10"/>
      <c r="J781" s="10"/>
    </row>
    <row r="782" spans="1:10" x14ac:dyDescent="0.25">
      <c r="A782" s="4"/>
      <c r="B782" s="5"/>
      <c r="C782" s="4"/>
      <c r="E782" s="10"/>
      <c r="F782" s="10"/>
      <c r="G782" s="10"/>
      <c r="H782" s="10"/>
      <c r="I782" s="10"/>
      <c r="J782" s="10"/>
    </row>
    <row r="783" spans="1:10" x14ac:dyDescent="0.25">
      <c r="A783" s="4"/>
      <c r="B783" s="5"/>
      <c r="C783" s="4"/>
      <c r="E783" s="10"/>
      <c r="F783" s="10"/>
      <c r="G783" s="10"/>
      <c r="H783" s="10"/>
      <c r="I783" s="10"/>
      <c r="J783" s="10"/>
    </row>
    <row r="784" spans="1:10" x14ac:dyDescent="0.25">
      <c r="A784" s="4"/>
      <c r="B784" s="5"/>
      <c r="C784" s="4"/>
      <c r="E784" s="10"/>
      <c r="F784" s="10"/>
      <c r="G784" s="10"/>
      <c r="H784" s="10"/>
      <c r="I784" s="10"/>
      <c r="J784" s="10"/>
    </row>
    <row r="785" spans="1:10" x14ac:dyDescent="0.25">
      <c r="A785" s="4"/>
      <c r="B785" s="5"/>
      <c r="C785" s="4"/>
      <c r="E785" s="10"/>
      <c r="F785" s="10"/>
      <c r="G785" s="10"/>
      <c r="H785" s="10"/>
      <c r="I785" s="10"/>
      <c r="J785" s="10"/>
    </row>
    <row r="786" spans="1:10" x14ac:dyDescent="0.25">
      <c r="A786" s="4"/>
      <c r="B786" s="5"/>
      <c r="C786" s="4"/>
      <c r="E786" s="10"/>
      <c r="F786" s="10"/>
      <c r="G786" s="10"/>
      <c r="H786" s="10"/>
      <c r="I786" s="10"/>
      <c r="J786" s="10"/>
    </row>
    <row r="787" spans="1:10" x14ac:dyDescent="0.25">
      <c r="A787" s="4"/>
      <c r="B787" s="5"/>
      <c r="C787" s="4"/>
      <c r="E787" s="10"/>
      <c r="F787" s="10"/>
      <c r="G787" s="10"/>
      <c r="H787" s="10"/>
      <c r="I787" s="10"/>
      <c r="J787" s="10"/>
    </row>
    <row r="788" spans="1:10" x14ac:dyDescent="0.25">
      <c r="A788" s="4"/>
      <c r="B788" s="5"/>
      <c r="C788" s="4"/>
      <c r="E788" s="10"/>
      <c r="F788" s="10"/>
      <c r="G788" s="10"/>
      <c r="H788" s="10"/>
      <c r="I788" s="10"/>
      <c r="J788" s="10"/>
    </row>
    <row r="789" spans="1:10" x14ac:dyDescent="0.25">
      <c r="A789" s="4"/>
      <c r="B789" s="5"/>
      <c r="C789" s="4"/>
      <c r="E789" s="10"/>
      <c r="F789" s="10"/>
      <c r="G789" s="10"/>
      <c r="H789" s="10"/>
      <c r="I789" s="10"/>
      <c r="J789" s="10"/>
    </row>
    <row r="790" spans="1:10" x14ac:dyDescent="0.25">
      <c r="A790" s="4"/>
      <c r="B790" s="5"/>
      <c r="C790" s="4"/>
      <c r="E790" s="10"/>
      <c r="F790" s="10"/>
      <c r="G790" s="10"/>
      <c r="H790" s="10"/>
      <c r="I790" s="10"/>
      <c r="J790" s="10"/>
    </row>
    <row r="791" spans="1:10" x14ac:dyDescent="0.25">
      <c r="A791" s="4"/>
      <c r="B791" s="5"/>
      <c r="C791" s="4"/>
      <c r="E791" s="10"/>
      <c r="F791" s="10"/>
      <c r="G791" s="10"/>
      <c r="H791" s="10"/>
      <c r="I791" s="10"/>
      <c r="J791" s="10"/>
    </row>
    <row r="792" spans="1:10" x14ac:dyDescent="0.25">
      <c r="A792" s="4"/>
      <c r="B792" s="5"/>
      <c r="C792" s="4"/>
      <c r="E792" s="10"/>
      <c r="F792" s="10"/>
      <c r="G792" s="10"/>
      <c r="H792" s="10"/>
      <c r="I792" s="10"/>
      <c r="J792" s="10"/>
    </row>
    <row r="793" spans="1:10" x14ac:dyDescent="0.25">
      <c r="A793" s="4"/>
      <c r="B793" s="5"/>
      <c r="C793" s="4"/>
      <c r="E793" s="10"/>
      <c r="F793" s="10"/>
      <c r="G793" s="10"/>
      <c r="H793" s="10"/>
      <c r="I793" s="10"/>
      <c r="J793" s="10"/>
    </row>
    <row r="794" spans="1:10" x14ac:dyDescent="0.25">
      <c r="A794" s="4"/>
      <c r="B794" s="5"/>
      <c r="C794" s="4"/>
      <c r="E794" s="10"/>
      <c r="F794" s="10"/>
      <c r="G794" s="10"/>
      <c r="H794" s="10"/>
      <c r="I794" s="10"/>
      <c r="J794" s="10"/>
    </row>
    <row r="795" spans="1:10" x14ac:dyDescent="0.25">
      <c r="A795" s="4"/>
      <c r="B795" s="5"/>
      <c r="C795" s="4"/>
      <c r="E795" s="10"/>
      <c r="F795" s="10"/>
      <c r="G795" s="10"/>
      <c r="H795" s="10"/>
      <c r="I795" s="10"/>
      <c r="J795" s="10"/>
    </row>
    <row r="796" spans="1:10" x14ac:dyDescent="0.25">
      <c r="A796" s="4"/>
      <c r="B796" s="5"/>
      <c r="C796" s="4"/>
      <c r="E796" s="10"/>
      <c r="F796" s="10"/>
      <c r="G796" s="10"/>
      <c r="H796" s="10"/>
      <c r="I796" s="10"/>
      <c r="J796" s="10"/>
    </row>
    <row r="797" spans="1:10" x14ac:dyDescent="0.25">
      <c r="A797" s="4"/>
      <c r="B797" s="5"/>
      <c r="C797" s="4"/>
      <c r="E797" s="10"/>
      <c r="F797" s="10"/>
      <c r="G797" s="10"/>
      <c r="H797" s="10"/>
      <c r="I797" s="10"/>
      <c r="J797" s="10"/>
    </row>
    <row r="798" spans="1:10" x14ac:dyDescent="0.25">
      <c r="A798" s="4"/>
      <c r="B798" s="5"/>
      <c r="C798" s="4"/>
      <c r="E798" s="10"/>
      <c r="F798" s="10"/>
      <c r="G798" s="10"/>
      <c r="H798" s="10"/>
      <c r="I798" s="10"/>
      <c r="J798" s="10"/>
    </row>
    <row r="799" spans="1:10" x14ac:dyDescent="0.25">
      <c r="A799" s="4"/>
      <c r="B799" s="5"/>
      <c r="C799" s="4"/>
      <c r="E799" s="10"/>
      <c r="F799" s="10"/>
      <c r="G799" s="10"/>
      <c r="H799" s="10"/>
      <c r="I799" s="10"/>
      <c r="J799" s="10"/>
    </row>
    <row r="800" spans="1:10" x14ac:dyDescent="0.25">
      <c r="A800" s="4"/>
      <c r="B800" s="5"/>
      <c r="C800" s="4"/>
      <c r="E800" s="10"/>
      <c r="F800" s="10"/>
      <c r="G800" s="10"/>
      <c r="H800" s="10"/>
      <c r="I800" s="10"/>
      <c r="J800" s="10"/>
    </row>
    <row r="801" spans="1:10" x14ac:dyDescent="0.25">
      <c r="A801" s="4"/>
      <c r="B801" s="5"/>
      <c r="C801" s="4"/>
      <c r="E801" s="10"/>
      <c r="F801" s="10"/>
      <c r="G801" s="10"/>
      <c r="H801" s="10"/>
      <c r="I801" s="10"/>
      <c r="J801" s="10"/>
    </row>
    <row r="802" spans="1:10" x14ac:dyDescent="0.25">
      <c r="A802" s="4"/>
      <c r="B802" s="5"/>
      <c r="C802" s="4"/>
      <c r="E802" s="10"/>
      <c r="F802" s="10"/>
      <c r="G802" s="10"/>
      <c r="H802" s="10"/>
      <c r="I802" s="10"/>
      <c r="J802" s="10"/>
    </row>
    <row r="803" spans="1:10" x14ac:dyDescent="0.25">
      <c r="A803" s="4"/>
      <c r="B803" s="5"/>
      <c r="C803" s="4"/>
      <c r="E803" s="10"/>
      <c r="F803" s="10"/>
      <c r="G803" s="10"/>
      <c r="H803" s="10"/>
      <c r="I803" s="10"/>
      <c r="J803" s="10"/>
    </row>
    <row r="804" spans="1:10" x14ac:dyDescent="0.25">
      <c r="A804" s="4"/>
      <c r="B804" s="5"/>
      <c r="C804" s="4"/>
      <c r="E804" s="10"/>
      <c r="F804" s="10"/>
      <c r="G804" s="10"/>
      <c r="H804" s="10"/>
      <c r="I804" s="10"/>
      <c r="J804" s="10"/>
    </row>
    <row r="805" spans="1:10" x14ac:dyDescent="0.25">
      <c r="A805" s="4"/>
      <c r="B805" s="5"/>
      <c r="C805" s="4"/>
      <c r="E805" s="10"/>
      <c r="F805" s="10"/>
      <c r="G805" s="10"/>
      <c r="H805" s="10"/>
      <c r="I805" s="10"/>
      <c r="J805" s="10"/>
    </row>
    <row r="806" spans="1:10" x14ac:dyDescent="0.25">
      <c r="A806" s="4"/>
      <c r="B806" s="5"/>
      <c r="C806" s="4"/>
      <c r="E806" s="10"/>
      <c r="F806" s="10"/>
      <c r="G806" s="10"/>
      <c r="H806" s="10"/>
      <c r="I806" s="10"/>
      <c r="J806" s="10"/>
    </row>
    <row r="807" spans="1:10" x14ac:dyDescent="0.25">
      <c r="A807" s="4"/>
      <c r="B807" s="5"/>
      <c r="C807" s="4"/>
      <c r="E807" s="10"/>
      <c r="F807" s="10"/>
      <c r="G807" s="10"/>
      <c r="H807" s="10"/>
      <c r="I807" s="10"/>
      <c r="J807" s="10"/>
    </row>
    <row r="808" spans="1:10" x14ac:dyDescent="0.25">
      <c r="A808" s="4"/>
      <c r="B808" s="5"/>
      <c r="C808" s="4"/>
      <c r="E808" s="10"/>
      <c r="F808" s="10"/>
      <c r="G808" s="10"/>
      <c r="H808" s="10"/>
      <c r="I808" s="10"/>
      <c r="J808" s="10"/>
    </row>
    <row r="809" spans="1:10" x14ac:dyDescent="0.25">
      <c r="A809" s="4"/>
      <c r="B809" s="5"/>
      <c r="C809" s="4"/>
      <c r="E809" s="10"/>
      <c r="F809" s="10"/>
      <c r="G809" s="10"/>
      <c r="H809" s="10"/>
      <c r="I809" s="10"/>
      <c r="J809" s="10"/>
    </row>
    <row r="810" spans="1:10" x14ac:dyDescent="0.25">
      <c r="A810" s="4"/>
      <c r="B810" s="5"/>
      <c r="C810" s="4"/>
      <c r="E810" s="10"/>
      <c r="F810" s="10"/>
      <c r="G810" s="10"/>
      <c r="H810" s="10"/>
      <c r="I810" s="10"/>
      <c r="J810" s="10"/>
    </row>
    <row r="811" spans="1:10" x14ac:dyDescent="0.25">
      <c r="A811" s="4"/>
      <c r="B811" s="5"/>
      <c r="C811" s="4"/>
      <c r="E811" s="10"/>
      <c r="F811" s="10"/>
      <c r="G811" s="10"/>
      <c r="H811" s="10"/>
      <c r="I811" s="10"/>
      <c r="J811" s="10"/>
    </row>
    <row r="812" spans="1:10" x14ac:dyDescent="0.25">
      <c r="A812" s="4"/>
      <c r="B812" s="5"/>
      <c r="C812" s="4"/>
      <c r="E812" s="10"/>
      <c r="F812" s="10"/>
      <c r="G812" s="10"/>
      <c r="H812" s="10"/>
      <c r="I812" s="10"/>
      <c r="J812" s="10"/>
    </row>
    <row r="813" spans="1:10" x14ac:dyDescent="0.25">
      <c r="A813" s="4"/>
      <c r="B813" s="5"/>
      <c r="C813" s="4"/>
      <c r="E813" s="10"/>
      <c r="F813" s="10"/>
      <c r="G813" s="10"/>
      <c r="H813" s="10"/>
      <c r="I813" s="10"/>
      <c r="J813" s="10"/>
    </row>
    <row r="814" spans="1:10" x14ac:dyDescent="0.25">
      <c r="A814" s="4"/>
      <c r="B814" s="5"/>
      <c r="C814" s="4"/>
      <c r="E814" s="10"/>
      <c r="F814" s="10"/>
      <c r="G814" s="10"/>
      <c r="H814" s="10"/>
      <c r="I814" s="10"/>
      <c r="J814" s="10"/>
    </row>
    <row r="815" spans="1:10" x14ac:dyDescent="0.25">
      <c r="A815" s="4"/>
      <c r="B815" s="5"/>
      <c r="C815" s="4"/>
      <c r="E815" s="10"/>
      <c r="F815" s="10"/>
      <c r="G815" s="10"/>
      <c r="H815" s="10"/>
      <c r="I815" s="10"/>
      <c r="J815" s="10"/>
    </row>
    <row r="816" spans="1:10" x14ac:dyDescent="0.25">
      <c r="A816" s="4"/>
      <c r="B816" s="5"/>
      <c r="C816" s="4"/>
      <c r="E816" s="10"/>
      <c r="F816" s="10"/>
      <c r="G816" s="10"/>
      <c r="H816" s="10"/>
      <c r="I816" s="10"/>
      <c r="J816" s="10"/>
    </row>
    <row r="817" spans="1:10" x14ac:dyDescent="0.25">
      <c r="A817" s="4"/>
      <c r="B817" s="5"/>
      <c r="C817" s="4"/>
      <c r="E817" s="10"/>
      <c r="F817" s="10"/>
      <c r="G817" s="10"/>
      <c r="H817" s="10"/>
      <c r="I817" s="10"/>
      <c r="J817" s="10"/>
    </row>
    <row r="818" spans="1:10" x14ac:dyDescent="0.25">
      <c r="A818" s="4"/>
      <c r="B818" s="5"/>
      <c r="C818" s="4"/>
      <c r="E818" s="10"/>
      <c r="F818" s="10"/>
      <c r="G818" s="10"/>
      <c r="H818" s="10"/>
      <c r="I818" s="10"/>
      <c r="J818" s="10"/>
    </row>
    <row r="819" spans="1:10" x14ac:dyDescent="0.25">
      <c r="A819" s="4"/>
      <c r="B819" s="5"/>
      <c r="C819" s="4"/>
      <c r="E819" s="10"/>
      <c r="F819" s="10"/>
      <c r="G819" s="10"/>
      <c r="H819" s="10"/>
      <c r="I819" s="10"/>
      <c r="J819" s="10"/>
    </row>
    <row r="820" spans="1:10" x14ac:dyDescent="0.25">
      <c r="A820" s="4"/>
      <c r="B820" s="5"/>
      <c r="C820" s="4"/>
      <c r="E820" s="10"/>
      <c r="F820" s="10"/>
      <c r="G820" s="10"/>
      <c r="H820" s="10"/>
      <c r="I820" s="10"/>
      <c r="J820" s="10"/>
    </row>
    <row r="821" spans="1:10" x14ac:dyDescent="0.25">
      <c r="A821" s="4"/>
      <c r="B821" s="5"/>
      <c r="C821" s="4"/>
      <c r="E821" s="10"/>
      <c r="F821" s="10"/>
      <c r="G821" s="10"/>
      <c r="H821" s="10"/>
      <c r="I821" s="10"/>
      <c r="J821" s="10"/>
    </row>
    <row r="822" spans="1:10" x14ac:dyDescent="0.25">
      <c r="A822" s="4"/>
      <c r="B822" s="5"/>
      <c r="C822" s="4"/>
      <c r="E822" s="10"/>
      <c r="F822" s="10"/>
      <c r="G822" s="10"/>
      <c r="H822" s="10"/>
      <c r="I822" s="10"/>
      <c r="J822" s="10"/>
    </row>
    <row r="823" spans="1:10" x14ac:dyDescent="0.25">
      <c r="A823" s="4"/>
      <c r="B823" s="5"/>
      <c r="C823" s="4"/>
      <c r="E823" s="10"/>
      <c r="F823" s="10"/>
      <c r="G823" s="10"/>
      <c r="H823" s="10"/>
      <c r="I823" s="10"/>
      <c r="J823" s="10"/>
    </row>
    <row r="824" spans="1:10" x14ac:dyDescent="0.25">
      <c r="A824" s="4"/>
      <c r="B824" s="5"/>
      <c r="C824" s="4"/>
      <c r="E824" s="10"/>
      <c r="F824" s="10"/>
      <c r="G824" s="10"/>
      <c r="H824" s="10"/>
      <c r="I824" s="10"/>
      <c r="J824" s="10"/>
    </row>
    <row r="825" spans="1:10" x14ac:dyDescent="0.25">
      <c r="A825" s="4"/>
      <c r="B825" s="5"/>
      <c r="C825" s="4"/>
      <c r="E825" s="10"/>
      <c r="F825" s="10"/>
      <c r="G825" s="10"/>
      <c r="H825" s="10"/>
      <c r="I825" s="10"/>
      <c r="J825" s="10"/>
    </row>
    <row r="826" spans="1:10" x14ac:dyDescent="0.25">
      <c r="A826" s="4"/>
      <c r="B826" s="5"/>
      <c r="C826" s="4"/>
      <c r="E826" s="10"/>
      <c r="F826" s="10"/>
      <c r="G826" s="10"/>
      <c r="H826" s="10"/>
      <c r="I826" s="10"/>
      <c r="J826" s="10"/>
    </row>
    <row r="827" spans="1:10" x14ac:dyDescent="0.25">
      <c r="A827" s="4"/>
      <c r="B827" s="5"/>
      <c r="C827" s="4"/>
      <c r="E827" s="10"/>
      <c r="F827" s="10"/>
      <c r="G827" s="10"/>
      <c r="H827" s="10"/>
      <c r="I827" s="10"/>
      <c r="J827" s="10"/>
    </row>
    <row r="828" spans="1:10" x14ac:dyDescent="0.25">
      <c r="A828" s="4"/>
      <c r="B828" s="5"/>
      <c r="C828" s="4"/>
      <c r="E828" s="10"/>
      <c r="F828" s="10"/>
      <c r="G828" s="10"/>
      <c r="H828" s="10"/>
      <c r="I828" s="10"/>
      <c r="J828" s="10"/>
    </row>
    <row r="829" spans="1:10" x14ac:dyDescent="0.25">
      <c r="A829" s="4"/>
      <c r="B829" s="5"/>
      <c r="C829" s="4"/>
      <c r="E829" s="10"/>
      <c r="F829" s="10"/>
      <c r="G829" s="10"/>
      <c r="H829" s="10"/>
      <c r="I829" s="10"/>
      <c r="J829" s="10"/>
    </row>
    <row r="830" spans="1:10" x14ac:dyDescent="0.25">
      <c r="A830" s="4"/>
      <c r="B830" s="5"/>
      <c r="C830" s="4"/>
      <c r="E830" s="10"/>
      <c r="F830" s="10"/>
      <c r="G830" s="10"/>
      <c r="H830" s="10"/>
      <c r="I830" s="10"/>
      <c r="J830" s="10"/>
    </row>
    <row r="831" spans="1:10" x14ac:dyDescent="0.25">
      <c r="A831" s="4"/>
      <c r="B831" s="5"/>
      <c r="C831" s="4"/>
      <c r="E831" s="10"/>
      <c r="F831" s="10"/>
      <c r="G831" s="10"/>
      <c r="H831" s="10"/>
      <c r="I831" s="10"/>
      <c r="J831" s="10"/>
    </row>
    <row r="832" spans="1:10" x14ac:dyDescent="0.25">
      <c r="A832" s="4"/>
      <c r="B832" s="5"/>
      <c r="C832" s="4"/>
      <c r="E832" s="10"/>
      <c r="F832" s="10"/>
      <c r="G832" s="10"/>
      <c r="H832" s="10"/>
      <c r="I832" s="10"/>
      <c r="J832" s="10"/>
    </row>
    <row r="833" spans="1:10" x14ac:dyDescent="0.25">
      <c r="A833" s="4"/>
      <c r="B833" s="5"/>
      <c r="C833" s="4"/>
      <c r="E833" s="10"/>
      <c r="F833" s="10"/>
      <c r="G833" s="10"/>
      <c r="H833" s="10"/>
      <c r="I833" s="10"/>
      <c r="J833" s="10"/>
    </row>
    <row r="834" spans="1:10" x14ac:dyDescent="0.25">
      <c r="A834" s="4"/>
      <c r="B834" s="5"/>
      <c r="C834" s="4"/>
      <c r="E834" s="10"/>
      <c r="F834" s="10"/>
      <c r="G834" s="10"/>
      <c r="H834" s="10"/>
      <c r="I834" s="10"/>
      <c r="J834" s="10"/>
    </row>
    <row r="835" spans="1:10" x14ac:dyDescent="0.25">
      <c r="A835" s="4"/>
      <c r="B835" s="5"/>
      <c r="C835" s="4"/>
      <c r="E835" s="10"/>
      <c r="F835" s="10"/>
      <c r="G835" s="10"/>
      <c r="H835" s="10"/>
      <c r="I835" s="10"/>
      <c r="J835" s="10"/>
    </row>
    <row r="836" spans="1:10" x14ac:dyDescent="0.25">
      <c r="A836" s="4"/>
      <c r="B836" s="5"/>
      <c r="C836" s="4"/>
      <c r="E836" s="10"/>
      <c r="F836" s="10"/>
      <c r="G836" s="10"/>
      <c r="H836" s="10"/>
      <c r="I836" s="10"/>
      <c r="J836" s="10"/>
    </row>
    <row r="837" spans="1:10" x14ac:dyDescent="0.25">
      <c r="A837" s="4"/>
      <c r="B837" s="5"/>
      <c r="C837" s="4"/>
      <c r="E837" s="10"/>
      <c r="F837" s="10"/>
      <c r="G837" s="10"/>
      <c r="H837" s="10"/>
      <c r="I837" s="10"/>
      <c r="J837" s="10"/>
    </row>
    <row r="838" spans="1:10" x14ac:dyDescent="0.25">
      <c r="A838" s="4"/>
      <c r="B838" s="5"/>
      <c r="C838" s="4"/>
      <c r="E838" s="10"/>
      <c r="F838" s="10"/>
      <c r="G838" s="10"/>
      <c r="H838" s="10"/>
      <c r="I838" s="10"/>
      <c r="J838" s="10"/>
    </row>
    <row r="839" spans="1:10" x14ac:dyDescent="0.25">
      <c r="A839" s="4"/>
      <c r="B839" s="5"/>
      <c r="C839" s="4"/>
      <c r="E839" s="10"/>
      <c r="F839" s="10"/>
      <c r="G839" s="10"/>
      <c r="H839" s="10"/>
      <c r="I839" s="10"/>
      <c r="J839" s="10"/>
    </row>
    <row r="840" spans="1:10" x14ac:dyDescent="0.25">
      <c r="A840" s="4"/>
      <c r="B840" s="5"/>
      <c r="C840" s="4"/>
      <c r="E840" s="10"/>
      <c r="F840" s="10"/>
      <c r="G840" s="10"/>
      <c r="H840" s="10"/>
      <c r="I840" s="10"/>
      <c r="J840" s="10"/>
    </row>
    <row r="841" spans="1:10" x14ac:dyDescent="0.25">
      <c r="A841" s="4"/>
      <c r="B841" s="5"/>
      <c r="C841" s="4"/>
      <c r="E841" s="10"/>
      <c r="F841" s="10"/>
      <c r="G841" s="10"/>
      <c r="H841" s="10"/>
      <c r="I841" s="10"/>
      <c r="J841" s="10"/>
    </row>
    <row r="842" spans="1:10" x14ac:dyDescent="0.25">
      <c r="A842" s="4"/>
      <c r="B842" s="5"/>
      <c r="C842" s="4"/>
      <c r="E842" s="10"/>
      <c r="F842" s="10"/>
      <c r="G842" s="10"/>
      <c r="H842" s="10"/>
      <c r="I842" s="10"/>
      <c r="J842" s="10"/>
    </row>
    <row r="843" spans="1:10" x14ac:dyDescent="0.25">
      <c r="A843" s="4"/>
      <c r="B843" s="5"/>
      <c r="C843" s="4"/>
      <c r="E843" s="10"/>
      <c r="F843" s="10"/>
      <c r="G843" s="10"/>
      <c r="H843" s="10"/>
      <c r="I843" s="10"/>
      <c r="J843" s="10"/>
    </row>
    <row r="844" spans="1:10" x14ac:dyDescent="0.25">
      <c r="A844" s="4"/>
      <c r="B844" s="5"/>
      <c r="C844" s="4"/>
      <c r="E844" s="10"/>
      <c r="F844" s="10"/>
      <c r="G844" s="10"/>
      <c r="H844" s="10"/>
      <c r="I844" s="10"/>
      <c r="J844" s="10"/>
    </row>
    <row r="845" spans="1:10" x14ac:dyDescent="0.25">
      <c r="A845" s="4"/>
      <c r="B845" s="5"/>
      <c r="C845" s="4"/>
      <c r="E845" s="10"/>
      <c r="F845" s="10"/>
      <c r="G845" s="10"/>
      <c r="H845" s="10"/>
      <c r="I845" s="10"/>
      <c r="J845" s="10"/>
    </row>
    <row r="846" spans="1:10" x14ac:dyDescent="0.25">
      <c r="A846" s="4"/>
      <c r="B846" s="5"/>
      <c r="C846" s="4"/>
      <c r="E846" s="10"/>
      <c r="F846" s="10"/>
      <c r="G846" s="10"/>
      <c r="H846" s="10"/>
      <c r="I846" s="10"/>
      <c r="J846" s="10"/>
    </row>
    <row r="847" spans="1:10" x14ac:dyDescent="0.25">
      <c r="A847" s="4"/>
      <c r="B847" s="5"/>
      <c r="C847" s="4"/>
      <c r="E847" s="10"/>
      <c r="F847" s="10"/>
      <c r="G847" s="10"/>
      <c r="H847" s="10"/>
      <c r="I847" s="10"/>
      <c r="J847" s="10"/>
    </row>
    <row r="848" spans="1:10" x14ac:dyDescent="0.25">
      <c r="A848" s="4"/>
      <c r="B848" s="5"/>
      <c r="C848" s="4"/>
      <c r="E848" s="10"/>
      <c r="F848" s="10"/>
      <c r="G848" s="10"/>
      <c r="H848" s="10"/>
      <c r="I848" s="10"/>
      <c r="J848" s="10"/>
    </row>
    <row r="849" spans="1:10" x14ac:dyDescent="0.25">
      <c r="A849" s="4"/>
      <c r="B849" s="5"/>
      <c r="C849" s="4"/>
      <c r="E849" s="10"/>
      <c r="F849" s="10"/>
      <c r="G849" s="10"/>
      <c r="H849" s="10"/>
      <c r="I849" s="10"/>
      <c r="J849" s="10"/>
    </row>
    <row r="850" spans="1:10" x14ac:dyDescent="0.25">
      <c r="A850" s="4"/>
      <c r="B850" s="5"/>
      <c r="C850" s="4"/>
      <c r="E850" s="10"/>
      <c r="F850" s="10"/>
      <c r="G850" s="10"/>
      <c r="H850" s="10"/>
      <c r="I850" s="10"/>
      <c r="J850" s="10"/>
    </row>
    <row r="851" spans="1:10" x14ac:dyDescent="0.25">
      <c r="A851" s="4"/>
      <c r="B851" s="5"/>
      <c r="C851" s="4"/>
      <c r="E851" s="10"/>
      <c r="F851" s="10"/>
      <c r="G851" s="10"/>
      <c r="H851" s="10"/>
      <c r="I851" s="10"/>
      <c r="J851" s="10"/>
    </row>
    <row r="852" spans="1:10" x14ac:dyDescent="0.25">
      <c r="A852" s="4"/>
      <c r="B852" s="5"/>
      <c r="C852" s="4"/>
      <c r="E852" s="10"/>
      <c r="F852" s="10"/>
      <c r="G852" s="10"/>
      <c r="H852" s="10"/>
      <c r="I852" s="10"/>
      <c r="J852" s="10"/>
    </row>
    <row r="853" spans="1:10" x14ac:dyDescent="0.25">
      <c r="A853" s="4"/>
      <c r="B853" s="5"/>
      <c r="C853" s="4"/>
      <c r="E853" s="10"/>
      <c r="F853" s="10"/>
      <c r="G853" s="10"/>
      <c r="H853" s="10"/>
      <c r="I853" s="10"/>
      <c r="J853" s="10"/>
    </row>
    <row r="854" spans="1:10" x14ac:dyDescent="0.25">
      <c r="A854" s="4"/>
      <c r="B854" s="5"/>
      <c r="C854" s="4"/>
      <c r="E854" s="10"/>
      <c r="F854" s="10"/>
      <c r="G854" s="10"/>
      <c r="H854" s="10"/>
      <c r="I854" s="10"/>
      <c r="J854" s="10"/>
    </row>
    <row r="855" spans="1:10" x14ac:dyDescent="0.25">
      <c r="A855" s="4"/>
      <c r="B855" s="5"/>
      <c r="C855" s="4"/>
      <c r="E855" s="10"/>
      <c r="F855" s="10"/>
      <c r="G855" s="10"/>
      <c r="H855" s="10"/>
      <c r="I855" s="10"/>
      <c r="J855" s="10"/>
    </row>
    <row r="856" spans="1:10" x14ac:dyDescent="0.25">
      <c r="A856" s="4"/>
      <c r="B856" s="5"/>
      <c r="C856" s="4"/>
      <c r="E856" s="10"/>
      <c r="F856" s="10"/>
      <c r="G856" s="10"/>
      <c r="H856" s="10"/>
      <c r="I856" s="10"/>
      <c r="J856" s="10"/>
    </row>
    <row r="857" spans="1:10" x14ac:dyDescent="0.25">
      <c r="A857" s="4"/>
      <c r="B857" s="5"/>
      <c r="C857" s="4"/>
      <c r="E857" s="10"/>
      <c r="F857" s="10"/>
      <c r="G857" s="10"/>
      <c r="H857" s="10"/>
      <c r="I857" s="10"/>
      <c r="J857" s="10"/>
    </row>
    <row r="858" spans="1:10" x14ac:dyDescent="0.25">
      <c r="A858" s="4"/>
      <c r="B858" s="5"/>
      <c r="C858" s="4"/>
      <c r="E858" s="10"/>
      <c r="F858" s="10"/>
      <c r="G858" s="10"/>
      <c r="H858" s="10"/>
      <c r="I858" s="10"/>
      <c r="J858" s="10"/>
    </row>
    <row r="859" spans="1:10" x14ac:dyDescent="0.25">
      <c r="A859" s="4"/>
      <c r="B859" s="5"/>
      <c r="C859" s="4"/>
      <c r="E859" s="10"/>
      <c r="F859" s="10"/>
      <c r="G859" s="10"/>
      <c r="H859" s="10"/>
      <c r="I859" s="10"/>
      <c r="J859" s="10"/>
    </row>
    <row r="860" spans="1:10" x14ac:dyDescent="0.25">
      <c r="A860" s="4"/>
      <c r="B860" s="5"/>
      <c r="C860" s="4"/>
      <c r="E860" s="10"/>
      <c r="F860" s="10"/>
      <c r="G860" s="10"/>
      <c r="H860" s="10"/>
      <c r="I860" s="10"/>
      <c r="J860" s="10"/>
    </row>
    <row r="861" spans="1:10" x14ac:dyDescent="0.25">
      <c r="A861" s="4"/>
      <c r="B861" s="5"/>
      <c r="C861" s="4"/>
      <c r="E861" s="10"/>
      <c r="F861" s="10"/>
      <c r="G861" s="10"/>
      <c r="H861" s="10"/>
      <c r="I861" s="10"/>
      <c r="J861" s="10"/>
    </row>
    <row r="862" spans="1:10" x14ac:dyDescent="0.25">
      <c r="A862" s="4"/>
      <c r="B862" s="5"/>
      <c r="C862" s="4"/>
      <c r="E862" s="10"/>
      <c r="F862" s="10"/>
      <c r="G862" s="10"/>
      <c r="H862" s="10"/>
      <c r="I862" s="10"/>
      <c r="J862" s="10"/>
    </row>
    <row r="863" spans="1:10" x14ac:dyDescent="0.25">
      <c r="A863" s="4"/>
      <c r="B863" s="5"/>
      <c r="C863" s="4"/>
      <c r="E863" s="10"/>
      <c r="F863" s="10"/>
      <c r="G863" s="10"/>
      <c r="H863" s="10"/>
      <c r="I863" s="10"/>
      <c r="J863" s="10"/>
    </row>
    <row r="864" spans="1:10" x14ac:dyDescent="0.25">
      <c r="A864" s="4"/>
      <c r="B864" s="5"/>
      <c r="C864" s="4"/>
      <c r="E864" s="10"/>
      <c r="F864" s="10"/>
      <c r="G864" s="10"/>
      <c r="H864" s="10"/>
      <c r="I864" s="10"/>
      <c r="J864" s="10"/>
    </row>
    <row r="865" spans="1:10" x14ac:dyDescent="0.25">
      <c r="A865" s="4"/>
      <c r="B865" s="5"/>
      <c r="C865" s="4"/>
      <c r="E865" s="10"/>
      <c r="F865" s="10"/>
      <c r="G865" s="10"/>
      <c r="H865" s="10"/>
      <c r="I865" s="10"/>
      <c r="J865" s="10"/>
    </row>
    <row r="866" spans="1:10" x14ac:dyDescent="0.25">
      <c r="A866" s="4"/>
      <c r="B866" s="5"/>
      <c r="C866" s="4"/>
      <c r="E866" s="10"/>
      <c r="F866" s="10"/>
      <c r="G866" s="10"/>
      <c r="H866" s="10"/>
      <c r="I866" s="10"/>
      <c r="J866" s="10"/>
    </row>
    <row r="867" spans="1:10" x14ac:dyDescent="0.25">
      <c r="A867" s="4"/>
      <c r="B867" s="5"/>
      <c r="C867" s="4"/>
      <c r="E867" s="10"/>
      <c r="F867" s="10"/>
      <c r="G867" s="10"/>
      <c r="H867" s="10"/>
      <c r="I867" s="10"/>
      <c r="J867" s="10"/>
    </row>
    <row r="868" spans="1:10" x14ac:dyDescent="0.25">
      <c r="A868" s="4"/>
      <c r="B868" s="5"/>
      <c r="C868" s="4"/>
      <c r="E868" s="10"/>
      <c r="F868" s="10"/>
      <c r="G868" s="10"/>
      <c r="H868" s="10"/>
      <c r="I868" s="10"/>
      <c r="J868" s="10"/>
    </row>
    <row r="869" spans="1:10" x14ac:dyDescent="0.25">
      <c r="A869" s="4"/>
      <c r="B869" s="5"/>
      <c r="C869" s="4"/>
      <c r="E869" s="10"/>
      <c r="F869" s="10"/>
      <c r="G869" s="10"/>
      <c r="H869" s="10"/>
      <c r="I869" s="10"/>
      <c r="J869" s="10"/>
    </row>
    <row r="870" spans="1:10" x14ac:dyDescent="0.25">
      <c r="A870" s="4"/>
      <c r="B870" s="5"/>
      <c r="C870" s="4"/>
      <c r="E870" s="10"/>
      <c r="F870" s="10"/>
      <c r="G870" s="10"/>
      <c r="H870" s="10"/>
      <c r="I870" s="10"/>
      <c r="J870" s="10"/>
    </row>
    <row r="871" spans="1:10" x14ac:dyDescent="0.25">
      <c r="A871" s="4"/>
      <c r="B871" s="5"/>
      <c r="C871" s="4"/>
      <c r="E871" s="10"/>
      <c r="F871" s="10"/>
      <c r="G871" s="10"/>
      <c r="H871" s="10"/>
      <c r="I871" s="10"/>
      <c r="J871" s="10"/>
    </row>
    <row r="872" spans="1:10" x14ac:dyDescent="0.25">
      <c r="A872" s="4"/>
      <c r="B872" s="5"/>
      <c r="C872" s="4"/>
      <c r="E872" s="10"/>
      <c r="F872" s="10"/>
      <c r="G872" s="10"/>
      <c r="H872" s="10"/>
      <c r="I872" s="10"/>
      <c r="J872" s="10"/>
    </row>
    <row r="873" spans="1:10" x14ac:dyDescent="0.25">
      <c r="A873" s="4"/>
      <c r="B873" s="5"/>
      <c r="C873" s="4"/>
      <c r="E873" s="10"/>
      <c r="F873" s="10"/>
      <c r="G873" s="10"/>
      <c r="H873" s="10"/>
      <c r="I873" s="10"/>
      <c r="J873" s="10"/>
    </row>
    <row r="874" spans="1:10" x14ac:dyDescent="0.25">
      <c r="A874" s="4"/>
      <c r="B874" s="5"/>
      <c r="C874" s="4"/>
      <c r="E874" s="10"/>
      <c r="F874" s="10"/>
      <c r="G874" s="10"/>
      <c r="H874" s="10"/>
      <c r="I874" s="10"/>
      <c r="J874" s="10"/>
    </row>
    <row r="875" spans="1:10" x14ac:dyDescent="0.25">
      <c r="A875" s="4"/>
      <c r="B875" s="5"/>
      <c r="C875" s="4"/>
      <c r="E875" s="10"/>
      <c r="F875" s="10"/>
      <c r="G875" s="10"/>
      <c r="H875" s="10"/>
      <c r="I875" s="10"/>
      <c r="J875" s="10"/>
    </row>
    <row r="876" spans="1:10" x14ac:dyDescent="0.25">
      <c r="A876" s="4"/>
      <c r="B876" s="5"/>
      <c r="C876" s="4"/>
      <c r="E876" s="10"/>
      <c r="F876" s="10"/>
      <c r="G876" s="10"/>
      <c r="H876" s="10"/>
      <c r="I876" s="10"/>
      <c r="J876" s="10"/>
    </row>
    <row r="877" spans="1:10" x14ac:dyDescent="0.25">
      <c r="A877" s="4"/>
      <c r="B877" s="5"/>
      <c r="C877" s="4"/>
      <c r="E877" s="10"/>
      <c r="F877" s="10"/>
      <c r="G877" s="10"/>
      <c r="H877" s="10"/>
      <c r="I877" s="10"/>
      <c r="J877" s="10"/>
    </row>
    <row r="878" spans="1:10" x14ac:dyDescent="0.25">
      <c r="A878" s="4"/>
      <c r="B878" s="5"/>
      <c r="C878" s="4"/>
      <c r="E878" s="10"/>
      <c r="F878" s="10"/>
      <c r="G878" s="10"/>
      <c r="H878" s="10"/>
      <c r="I878" s="10"/>
      <c r="J878" s="10"/>
    </row>
    <row r="879" spans="1:10" x14ac:dyDescent="0.25">
      <c r="A879" s="4"/>
      <c r="B879" s="5"/>
      <c r="C879" s="4"/>
      <c r="E879" s="10"/>
      <c r="F879" s="10"/>
      <c r="G879" s="10"/>
      <c r="H879" s="10"/>
      <c r="I879" s="10"/>
      <c r="J879" s="10"/>
    </row>
    <row r="880" spans="1:10" x14ac:dyDescent="0.25">
      <c r="A880" s="4"/>
      <c r="B880" s="5"/>
      <c r="C880" s="4"/>
      <c r="E880" s="10"/>
      <c r="F880" s="10"/>
      <c r="G880" s="10"/>
      <c r="H880" s="10"/>
      <c r="I880" s="10"/>
      <c r="J880" s="10"/>
    </row>
    <row r="881" spans="1:10" x14ac:dyDescent="0.25">
      <c r="A881" s="4"/>
      <c r="B881" s="5"/>
      <c r="C881" s="4"/>
      <c r="E881" s="10"/>
      <c r="F881" s="10"/>
      <c r="G881" s="10"/>
      <c r="H881" s="10"/>
      <c r="I881" s="10"/>
      <c r="J881" s="10"/>
    </row>
    <row r="882" spans="1:10" x14ac:dyDescent="0.25">
      <c r="A882" s="4"/>
      <c r="B882" s="5"/>
      <c r="C882" s="4"/>
      <c r="E882" s="10"/>
      <c r="F882" s="10"/>
      <c r="G882" s="10"/>
      <c r="H882" s="10"/>
      <c r="I882" s="10"/>
      <c r="J882" s="10"/>
    </row>
    <row r="883" spans="1:10" x14ac:dyDescent="0.25">
      <c r="A883" s="4"/>
      <c r="B883" s="5"/>
      <c r="C883" s="4"/>
      <c r="E883" s="10"/>
      <c r="F883" s="10"/>
      <c r="G883" s="10"/>
      <c r="H883" s="10"/>
      <c r="I883" s="10"/>
      <c r="J883" s="10"/>
    </row>
    <row r="884" spans="1:10" x14ac:dyDescent="0.25">
      <c r="A884" s="4"/>
      <c r="B884" s="5"/>
      <c r="C884" s="4"/>
      <c r="E884" s="10"/>
      <c r="F884" s="10"/>
      <c r="G884" s="10"/>
      <c r="H884" s="10"/>
      <c r="I884" s="10"/>
      <c r="J884" s="10"/>
    </row>
    <row r="885" spans="1:10" x14ac:dyDescent="0.25">
      <c r="A885" s="4"/>
      <c r="B885" s="5"/>
      <c r="C885" s="4"/>
      <c r="E885" s="10"/>
      <c r="F885" s="10"/>
      <c r="G885" s="10"/>
      <c r="H885" s="10"/>
      <c r="I885" s="10"/>
      <c r="J885" s="10"/>
    </row>
    <row r="886" spans="1:10" x14ac:dyDescent="0.25">
      <c r="A886" s="4"/>
      <c r="B886" s="5"/>
      <c r="C886" s="4"/>
      <c r="E886" s="10"/>
      <c r="F886" s="10"/>
      <c r="G886" s="10"/>
      <c r="H886" s="10"/>
      <c r="I886" s="10"/>
      <c r="J886" s="10"/>
    </row>
    <row r="887" spans="1:10" x14ac:dyDescent="0.25">
      <c r="A887" s="4"/>
      <c r="B887" s="5"/>
      <c r="C887" s="4"/>
      <c r="E887" s="10"/>
      <c r="F887" s="10"/>
      <c r="G887" s="10"/>
      <c r="H887" s="10"/>
      <c r="I887" s="10"/>
      <c r="J887" s="10"/>
    </row>
    <row r="888" spans="1:10" x14ac:dyDescent="0.25">
      <c r="A888" s="4"/>
      <c r="B888" s="5"/>
      <c r="C888" s="4"/>
      <c r="E888" s="10"/>
      <c r="F888" s="10"/>
      <c r="G888" s="10"/>
      <c r="H888" s="10"/>
      <c r="I888" s="10"/>
      <c r="J888" s="10"/>
    </row>
    <row r="889" spans="1:10" x14ac:dyDescent="0.25">
      <c r="A889" s="4"/>
      <c r="B889" s="5"/>
      <c r="C889" s="4"/>
      <c r="E889" s="10"/>
      <c r="F889" s="10"/>
      <c r="G889" s="10"/>
      <c r="H889" s="10"/>
      <c r="I889" s="10"/>
      <c r="J889" s="10"/>
    </row>
    <row r="890" spans="1:10" x14ac:dyDescent="0.25">
      <c r="A890" s="4"/>
      <c r="B890" s="5"/>
      <c r="C890" s="4"/>
      <c r="E890" s="10"/>
      <c r="F890" s="10"/>
      <c r="G890" s="10"/>
      <c r="H890" s="10"/>
      <c r="I890" s="10"/>
      <c r="J890" s="10"/>
    </row>
    <row r="891" spans="1:10" x14ac:dyDescent="0.25">
      <c r="A891" s="4"/>
      <c r="B891" s="5"/>
      <c r="C891" s="4"/>
      <c r="E891" s="10"/>
      <c r="F891" s="10"/>
      <c r="G891" s="10"/>
      <c r="H891" s="10"/>
      <c r="I891" s="10"/>
      <c r="J891" s="10"/>
    </row>
    <row r="892" spans="1:10" x14ac:dyDescent="0.25">
      <c r="A892" s="4"/>
      <c r="B892" s="5"/>
      <c r="C892" s="4"/>
      <c r="E892" s="10"/>
      <c r="F892" s="10"/>
      <c r="G892" s="10"/>
      <c r="H892" s="10"/>
      <c r="I892" s="10"/>
      <c r="J892" s="10"/>
    </row>
    <row r="893" spans="1:10" x14ac:dyDescent="0.25">
      <c r="A893" s="4"/>
      <c r="B893" s="5"/>
      <c r="C893" s="4"/>
      <c r="E893" s="10"/>
      <c r="F893" s="10"/>
      <c r="G893" s="10"/>
      <c r="H893" s="10"/>
      <c r="I893" s="10"/>
      <c r="J893" s="10"/>
    </row>
    <row r="894" spans="1:10" x14ac:dyDescent="0.25">
      <c r="A894" s="4"/>
      <c r="B894" s="5"/>
      <c r="C894" s="4"/>
      <c r="E894" s="10"/>
      <c r="F894" s="10"/>
      <c r="G894" s="10"/>
      <c r="H894" s="10"/>
      <c r="I894" s="10"/>
      <c r="J894" s="10"/>
    </row>
    <row r="895" spans="1:10" x14ac:dyDescent="0.25">
      <c r="A895" s="4"/>
      <c r="B895" s="5"/>
      <c r="C895" s="4"/>
      <c r="E895" s="10"/>
      <c r="F895" s="10"/>
      <c r="G895" s="10"/>
      <c r="H895" s="10"/>
      <c r="I895" s="10"/>
      <c r="J895" s="10"/>
    </row>
    <row r="896" spans="1:10" x14ac:dyDescent="0.25">
      <c r="A896" s="4"/>
      <c r="B896" s="5"/>
      <c r="C896" s="4"/>
      <c r="E896" s="10"/>
      <c r="F896" s="10"/>
      <c r="G896" s="10"/>
      <c r="H896" s="10"/>
      <c r="I896" s="10"/>
      <c r="J896" s="10"/>
    </row>
    <row r="897" spans="1:10" x14ac:dyDescent="0.25">
      <c r="A897" s="4"/>
      <c r="B897" s="5"/>
      <c r="C897" s="4"/>
      <c r="E897" s="10"/>
      <c r="F897" s="10"/>
      <c r="G897" s="10"/>
      <c r="H897" s="10"/>
      <c r="I897" s="10"/>
      <c r="J897" s="10"/>
    </row>
    <row r="898" spans="1:10" x14ac:dyDescent="0.25">
      <c r="A898" s="4"/>
      <c r="B898" s="5"/>
      <c r="C898" s="4"/>
      <c r="E898" s="10"/>
      <c r="F898" s="10"/>
      <c r="G898" s="10"/>
      <c r="H898" s="10"/>
      <c r="I898" s="10"/>
      <c r="J898" s="10"/>
    </row>
    <row r="899" spans="1:10" x14ac:dyDescent="0.25">
      <c r="A899" s="4"/>
      <c r="B899" s="5"/>
      <c r="C899" s="4"/>
      <c r="E899" s="10"/>
      <c r="F899" s="10"/>
      <c r="G899" s="10"/>
      <c r="H899" s="10"/>
      <c r="I899" s="10"/>
      <c r="J899" s="10"/>
    </row>
    <row r="900" spans="1:10" x14ac:dyDescent="0.25">
      <c r="A900" s="4"/>
      <c r="B900" s="5"/>
      <c r="C900" s="4"/>
      <c r="E900" s="10"/>
      <c r="F900" s="10"/>
      <c r="G900" s="10"/>
      <c r="H900" s="10"/>
      <c r="I900" s="10"/>
      <c r="J900" s="10"/>
    </row>
    <row r="901" spans="1:10" x14ac:dyDescent="0.25">
      <c r="A901" s="4"/>
      <c r="B901" s="5"/>
      <c r="C901" s="4"/>
      <c r="E901" s="10"/>
      <c r="F901" s="10"/>
      <c r="G901" s="10"/>
      <c r="H901" s="10"/>
      <c r="I901" s="10"/>
      <c r="J901" s="10"/>
    </row>
    <row r="902" spans="1:10" x14ac:dyDescent="0.25">
      <c r="A902" s="4"/>
      <c r="B902" s="5"/>
      <c r="C902" s="4"/>
      <c r="E902" s="10"/>
      <c r="F902" s="10"/>
      <c r="G902" s="10"/>
      <c r="H902" s="10"/>
      <c r="I902" s="10"/>
      <c r="J902" s="10"/>
    </row>
    <row r="903" spans="1:10" x14ac:dyDescent="0.25">
      <c r="A903" s="4"/>
      <c r="B903" s="5"/>
      <c r="C903" s="4"/>
      <c r="E903" s="10"/>
      <c r="F903" s="10"/>
      <c r="G903" s="10"/>
      <c r="H903" s="10"/>
      <c r="I903" s="10"/>
      <c r="J903" s="10"/>
    </row>
    <row r="904" spans="1:10" x14ac:dyDescent="0.25">
      <c r="A904" s="4"/>
      <c r="B904" s="5"/>
      <c r="C904" s="4"/>
      <c r="E904" s="10"/>
      <c r="F904" s="10"/>
      <c r="G904" s="10"/>
      <c r="H904" s="10"/>
      <c r="I904" s="10"/>
      <c r="J904" s="10"/>
    </row>
    <row r="905" spans="1:10" x14ac:dyDescent="0.25">
      <c r="A905" s="4"/>
      <c r="B905" s="5"/>
      <c r="C905" s="4"/>
      <c r="E905" s="10"/>
      <c r="F905" s="10"/>
      <c r="G905" s="10"/>
      <c r="H905" s="10"/>
      <c r="I905" s="10"/>
      <c r="J905" s="10"/>
    </row>
    <row r="906" spans="1:10" x14ac:dyDescent="0.25">
      <c r="A906" s="4"/>
      <c r="B906" s="5"/>
      <c r="C906" s="4"/>
      <c r="E906" s="10"/>
      <c r="F906" s="10"/>
      <c r="G906" s="10"/>
      <c r="H906" s="10"/>
      <c r="I906" s="10"/>
      <c r="J906" s="10"/>
    </row>
    <row r="907" spans="1:10" x14ac:dyDescent="0.25">
      <c r="A907" s="4"/>
      <c r="B907" s="5"/>
      <c r="C907" s="4"/>
      <c r="E907" s="10"/>
      <c r="F907" s="10"/>
      <c r="G907" s="10"/>
      <c r="H907" s="10"/>
      <c r="I907" s="10"/>
      <c r="J907" s="10"/>
    </row>
    <row r="908" spans="1:10" x14ac:dyDescent="0.25">
      <c r="A908" s="4"/>
      <c r="B908" s="5"/>
      <c r="C908" s="4"/>
      <c r="E908" s="10"/>
      <c r="F908" s="10"/>
      <c r="G908" s="10"/>
      <c r="H908" s="10"/>
      <c r="I908" s="10"/>
      <c r="J908" s="10"/>
    </row>
    <row r="909" spans="1:10" x14ac:dyDescent="0.25">
      <c r="A909" s="4"/>
      <c r="B909" s="5"/>
      <c r="C909" s="4"/>
      <c r="E909" s="10"/>
      <c r="F909" s="10"/>
      <c r="G909" s="10"/>
      <c r="H909" s="10"/>
      <c r="I909" s="10"/>
      <c r="J909" s="10"/>
    </row>
    <row r="910" spans="1:10" x14ac:dyDescent="0.25">
      <c r="A910" s="4"/>
      <c r="B910" s="5"/>
      <c r="C910" s="4"/>
      <c r="E910" s="10"/>
      <c r="F910" s="10"/>
      <c r="G910" s="10"/>
      <c r="H910" s="10"/>
      <c r="I910" s="10"/>
      <c r="J910" s="10"/>
    </row>
    <row r="911" spans="1:10" x14ac:dyDescent="0.25">
      <c r="A911" s="4"/>
      <c r="B911" s="5"/>
      <c r="C911" s="4"/>
      <c r="E911" s="10"/>
      <c r="F911" s="10"/>
      <c r="G911" s="10"/>
      <c r="H911" s="10"/>
      <c r="I911" s="10"/>
      <c r="J911" s="10"/>
    </row>
    <row r="912" spans="1:10" x14ac:dyDescent="0.25">
      <c r="A912" s="4"/>
      <c r="B912" s="5"/>
      <c r="C912" s="4"/>
      <c r="E912" s="10"/>
      <c r="F912" s="10"/>
      <c r="G912" s="10"/>
      <c r="H912" s="10"/>
      <c r="I912" s="10"/>
      <c r="J912" s="10"/>
    </row>
    <row r="913" spans="1:10" x14ac:dyDescent="0.25">
      <c r="A913" s="4"/>
      <c r="B913" s="5"/>
      <c r="C913" s="4"/>
      <c r="E913" s="10"/>
      <c r="F913" s="10"/>
      <c r="G913" s="10"/>
      <c r="H913" s="10"/>
      <c r="I913" s="10"/>
      <c r="J913" s="10"/>
    </row>
    <row r="914" spans="1:10" x14ac:dyDescent="0.25">
      <c r="A914" s="4"/>
      <c r="B914" s="5"/>
      <c r="C914" s="4"/>
      <c r="E914" s="10"/>
      <c r="F914" s="10"/>
      <c r="G914" s="10"/>
      <c r="H914" s="10"/>
      <c r="I914" s="10"/>
      <c r="J914" s="10"/>
    </row>
    <row r="915" spans="1:10" x14ac:dyDescent="0.25">
      <c r="A915" s="4"/>
      <c r="B915" s="5"/>
      <c r="C915" s="4"/>
      <c r="E915" s="10"/>
      <c r="F915" s="10"/>
      <c r="G915" s="10"/>
      <c r="H915" s="10"/>
      <c r="I915" s="10"/>
      <c r="J915" s="10"/>
    </row>
    <row r="916" spans="1:10" x14ac:dyDescent="0.25">
      <c r="A916" s="4"/>
      <c r="B916" s="5"/>
      <c r="C916" s="4"/>
      <c r="E916" s="10"/>
      <c r="F916" s="10"/>
      <c r="G916" s="10"/>
      <c r="H916" s="10"/>
      <c r="I916" s="10"/>
      <c r="J916" s="10"/>
    </row>
    <row r="917" spans="1:10" x14ac:dyDescent="0.25">
      <c r="A917" s="4"/>
      <c r="B917" s="5"/>
      <c r="C917" s="4"/>
      <c r="E917" s="10"/>
      <c r="F917" s="10"/>
      <c r="G917" s="10"/>
      <c r="H917" s="10"/>
      <c r="I917" s="10"/>
      <c r="J917" s="10"/>
    </row>
    <row r="918" spans="1:10" x14ac:dyDescent="0.25">
      <c r="A918" s="4"/>
      <c r="B918" s="5"/>
      <c r="C918" s="4"/>
      <c r="E918" s="10"/>
      <c r="F918" s="10"/>
      <c r="G918" s="10"/>
      <c r="H918" s="10"/>
      <c r="I918" s="10"/>
      <c r="J918" s="10"/>
    </row>
    <row r="919" spans="1:10" x14ac:dyDescent="0.25">
      <c r="A919" s="4"/>
      <c r="B919" s="5"/>
      <c r="C919" s="4"/>
      <c r="E919" s="10"/>
      <c r="F919" s="10"/>
      <c r="G919" s="10"/>
      <c r="H919" s="10"/>
      <c r="I919" s="10"/>
      <c r="J919" s="10"/>
    </row>
    <row r="920" spans="1:10" x14ac:dyDescent="0.25">
      <c r="A920" s="4"/>
      <c r="B920" s="5"/>
      <c r="C920" s="4"/>
      <c r="E920" s="10"/>
      <c r="F920" s="10"/>
      <c r="G920" s="10"/>
      <c r="H920" s="10"/>
      <c r="I920" s="10"/>
      <c r="J920" s="10"/>
    </row>
    <row r="921" spans="1:10" x14ac:dyDescent="0.25">
      <c r="A921" s="4"/>
      <c r="B921" s="5"/>
      <c r="C921" s="4"/>
      <c r="E921" s="10"/>
      <c r="F921" s="10"/>
      <c r="G921" s="10"/>
      <c r="H921" s="10"/>
      <c r="I921" s="10"/>
      <c r="J921" s="10"/>
    </row>
    <row r="922" spans="1:10" x14ac:dyDescent="0.25">
      <c r="A922" s="4"/>
      <c r="B922" s="5"/>
      <c r="C922" s="4"/>
      <c r="E922" s="10"/>
      <c r="F922" s="10"/>
      <c r="G922" s="10"/>
      <c r="H922" s="10"/>
      <c r="I922" s="10"/>
      <c r="J922" s="10"/>
    </row>
    <row r="923" spans="1:10" x14ac:dyDescent="0.25">
      <c r="A923" s="4"/>
      <c r="B923" s="5"/>
      <c r="C923" s="4"/>
      <c r="E923" s="10"/>
      <c r="F923" s="10"/>
      <c r="G923" s="10"/>
      <c r="H923" s="10"/>
      <c r="I923" s="10"/>
      <c r="J923" s="10"/>
    </row>
    <row r="924" spans="1:10" x14ac:dyDescent="0.25">
      <c r="A924" s="4"/>
      <c r="B924" s="5"/>
      <c r="C924" s="4"/>
      <c r="E924" s="10"/>
      <c r="F924" s="10"/>
      <c r="G924" s="10"/>
      <c r="H924" s="10"/>
      <c r="I924" s="10"/>
      <c r="J924" s="10"/>
    </row>
    <row r="925" spans="1:10" x14ac:dyDescent="0.25">
      <c r="A925" s="4"/>
      <c r="B925" s="5"/>
      <c r="C925" s="4"/>
      <c r="E925" s="10"/>
      <c r="F925" s="10"/>
      <c r="G925" s="10"/>
      <c r="H925" s="10"/>
      <c r="I925" s="10"/>
      <c r="J925" s="10"/>
    </row>
    <row r="926" spans="1:10" x14ac:dyDescent="0.25">
      <c r="A926" s="4"/>
      <c r="B926" s="5"/>
      <c r="C926" s="4"/>
      <c r="E926" s="10"/>
      <c r="F926" s="10"/>
      <c r="G926" s="10"/>
      <c r="H926" s="10"/>
      <c r="I926" s="10"/>
      <c r="J926" s="10"/>
    </row>
    <row r="927" spans="1:10" x14ac:dyDescent="0.25">
      <c r="A927" s="4"/>
      <c r="B927" s="5"/>
      <c r="C927" s="4"/>
      <c r="E927" s="10"/>
      <c r="F927" s="10"/>
      <c r="G927" s="10"/>
      <c r="H927" s="10"/>
      <c r="I927" s="10"/>
      <c r="J927" s="10"/>
    </row>
    <row r="928" spans="1:10" x14ac:dyDescent="0.25">
      <c r="A928" s="4"/>
      <c r="B928" s="5"/>
      <c r="C928" s="4"/>
      <c r="E928" s="10"/>
      <c r="F928" s="10"/>
      <c r="G928" s="10"/>
      <c r="H928" s="10"/>
      <c r="I928" s="10"/>
      <c r="J928" s="10"/>
    </row>
    <row r="929" spans="1:10" x14ac:dyDescent="0.25">
      <c r="A929" s="4"/>
      <c r="B929" s="5"/>
      <c r="C929" s="4"/>
      <c r="E929" s="10"/>
      <c r="F929" s="10"/>
      <c r="G929" s="10"/>
      <c r="H929" s="10"/>
      <c r="I929" s="10"/>
      <c r="J929" s="10"/>
    </row>
    <row r="930" spans="1:10" x14ac:dyDescent="0.25">
      <c r="A930" s="4"/>
      <c r="B930" s="5"/>
      <c r="C930" s="4"/>
      <c r="E930" s="10"/>
      <c r="F930" s="10"/>
      <c r="G930" s="10"/>
      <c r="H930" s="10"/>
      <c r="I930" s="10"/>
      <c r="J930" s="10"/>
    </row>
    <row r="931" spans="1:10" x14ac:dyDescent="0.25">
      <c r="A931" s="4"/>
      <c r="B931" s="5"/>
      <c r="C931" s="4"/>
      <c r="E931" s="10"/>
      <c r="F931" s="10"/>
      <c r="G931" s="10"/>
      <c r="H931" s="10"/>
      <c r="I931" s="10"/>
      <c r="J931" s="10"/>
    </row>
    <row r="932" spans="1:10" x14ac:dyDescent="0.25">
      <c r="A932" s="4"/>
      <c r="B932" s="5"/>
      <c r="C932" s="4"/>
      <c r="E932" s="10"/>
      <c r="F932" s="10"/>
      <c r="G932" s="10"/>
      <c r="H932" s="10"/>
      <c r="I932" s="10"/>
      <c r="J932" s="10"/>
    </row>
    <row r="933" spans="1:10" x14ac:dyDescent="0.25">
      <c r="A933" s="4"/>
      <c r="B933" s="5"/>
      <c r="C933" s="4"/>
      <c r="E933" s="10"/>
      <c r="F933" s="10"/>
      <c r="G933" s="10"/>
      <c r="H933" s="10"/>
      <c r="I933" s="10"/>
      <c r="J933" s="10"/>
    </row>
    <row r="934" spans="1:10" x14ac:dyDescent="0.25">
      <c r="A934" s="4"/>
      <c r="B934" s="5"/>
      <c r="C934" s="4"/>
      <c r="E934" s="10"/>
      <c r="F934" s="10"/>
      <c r="G934" s="10"/>
      <c r="H934" s="10"/>
      <c r="I934" s="10"/>
      <c r="J934" s="10"/>
    </row>
    <row r="935" spans="1:10" x14ac:dyDescent="0.25">
      <c r="A935" s="4"/>
      <c r="B935" s="5"/>
      <c r="C935" s="4"/>
      <c r="E935" s="10"/>
      <c r="F935" s="10"/>
      <c r="G935" s="10"/>
      <c r="H935" s="10"/>
      <c r="I935" s="10"/>
      <c r="J935" s="10"/>
    </row>
    <row r="936" spans="1:10" x14ac:dyDescent="0.25">
      <c r="A936" s="4"/>
      <c r="B936" s="5"/>
      <c r="C936" s="4"/>
      <c r="E936" s="10"/>
      <c r="F936" s="10"/>
      <c r="G936" s="10"/>
      <c r="H936" s="10"/>
      <c r="I936" s="10"/>
      <c r="J936" s="10"/>
    </row>
    <row r="937" spans="1:10" x14ac:dyDescent="0.25">
      <c r="A937" s="4"/>
      <c r="B937" s="5"/>
      <c r="C937" s="4"/>
      <c r="E937" s="10"/>
      <c r="F937" s="10"/>
      <c r="G937" s="10"/>
      <c r="H937" s="10"/>
      <c r="I937" s="10"/>
      <c r="J937" s="10"/>
    </row>
    <row r="938" spans="1:10" x14ac:dyDescent="0.25">
      <c r="A938" s="4"/>
      <c r="B938" s="5"/>
      <c r="C938" s="4"/>
      <c r="E938" s="10"/>
      <c r="F938" s="10"/>
      <c r="G938" s="10"/>
      <c r="H938" s="10"/>
      <c r="I938" s="10"/>
      <c r="J938" s="10"/>
    </row>
    <row r="939" spans="1:10" x14ac:dyDescent="0.25">
      <c r="A939" s="4"/>
      <c r="B939" s="5"/>
      <c r="C939" s="4"/>
      <c r="E939" s="10"/>
      <c r="F939" s="10"/>
      <c r="G939" s="10"/>
      <c r="H939" s="10"/>
      <c r="I939" s="10"/>
      <c r="J939" s="10"/>
    </row>
    <row r="940" spans="1:10" x14ac:dyDescent="0.25">
      <c r="A940" s="4"/>
      <c r="B940" s="5"/>
      <c r="C940" s="4"/>
      <c r="E940" s="10"/>
      <c r="F940" s="10"/>
      <c r="G940" s="10"/>
      <c r="H940" s="10"/>
      <c r="I940" s="10"/>
      <c r="J940" s="10"/>
    </row>
    <row r="941" spans="1:10" x14ac:dyDescent="0.25">
      <c r="A941" s="4"/>
      <c r="B941" s="5"/>
      <c r="C941" s="4"/>
      <c r="E941" s="10"/>
      <c r="F941" s="10"/>
      <c r="G941" s="10"/>
      <c r="H941" s="10"/>
      <c r="I941" s="10"/>
      <c r="J941" s="10"/>
    </row>
    <row r="942" spans="1:10" x14ac:dyDescent="0.25">
      <c r="A942" s="4"/>
      <c r="B942" s="5"/>
      <c r="C942" s="4"/>
      <c r="E942" s="10"/>
      <c r="F942" s="10"/>
      <c r="G942" s="10"/>
      <c r="H942" s="10"/>
      <c r="I942" s="10"/>
      <c r="J942" s="10"/>
    </row>
    <row r="943" spans="1:10" x14ac:dyDescent="0.25">
      <c r="A943" s="4"/>
      <c r="B943" s="5"/>
      <c r="C943" s="4"/>
      <c r="E943" s="10"/>
      <c r="F943" s="10"/>
      <c r="G943" s="10"/>
      <c r="H943" s="10"/>
      <c r="I943" s="10"/>
      <c r="J943" s="10"/>
    </row>
    <row r="944" spans="1:10" x14ac:dyDescent="0.25">
      <c r="A944" s="4"/>
      <c r="B944" s="5"/>
      <c r="C944" s="4"/>
      <c r="E944" s="10"/>
      <c r="F944" s="10"/>
      <c r="G944" s="10"/>
      <c r="H944" s="10"/>
      <c r="I944" s="10"/>
      <c r="J944" s="10"/>
    </row>
    <row r="945" spans="1:10" x14ac:dyDescent="0.25">
      <c r="A945" s="4"/>
      <c r="B945" s="5"/>
      <c r="C945" s="4"/>
      <c r="E945" s="10"/>
      <c r="F945" s="10"/>
      <c r="G945" s="10"/>
      <c r="H945" s="10"/>
      <c r="I945" s="10"/>
      <c r="J945" s="10"/>
    </row>
    <row r="946" spans="1:10" x14ac:dyDescent="0.25">
      <c r="A946" s="4"/>
      <c r="B946" s="5"/>
      <c r="C946" s="4"/>
      <c r="E946" s="10"/>
      <c r="F946" s="10"/>
      <c r="G946" s="10"/>
      <c r="H946" s="10"/>
      <c r="I946" s="10"/>
      <c r="J946" s="10"/>
    </row>
    <row r="947" spans="1:10" x14ac:dyDescent="0.25">
      <c r="A947" s="4"/>
      <c r="B947" s="5"/>
      <c r="C947" s="4"/>
      <c r="E947" s="10"/>
      <c r="F947" s="10"/>
      <c r="G947" s="10"/>
      <c r="H947" s="10"/>
      <c r="I947" s="10"/>
      <c r="J947" s="10"/>
    </row>
    <row r="948" spans="1:10" x14ac:dyDescent="0.25">
      <c r="A948" s="4"/>
      <c r="B948" s="5"/>
      <c r="C948" s="4"/>
      <c r="E948" s="10"/>
      <c r="F948" s="10"/>
      <c r="G948" s="10"/>
      <c r="H948" s="10"/>
      <c r="I948" s="10"/>
      <c r="J948" s="10"/>
    </row>
    <row r="949" spans="1:10" x14ac:dyDescent="0.25">
      <c r="A949" s="4"/>
      <c r="B949" s="5"/>
      <c r="C949" s="4"/>
      <c r="E949" s="10"/>
      <c r="F949" s="10"/>
      <c r="G949" s="10"/>
      <c r="H949" s="10"/>
      <c r="I949" s="10"/>
      <c r="J949" s="10"/>
    </row>
    <row r="950" spans="1:10" x14ac:dyDescent="0.25">
      <c r="A950" s="4"/>
      <c r="B950" s="5"/>
      <c r="C950" s="4"/>
      <c r="E950" s="10"/>
      <c r="F950" s="10"/>
      <c r="G950" s="10"/>
      <c r="H950" s="10"/>
      <c r="I950" s="10"/>
      <c r="J950" s="10"/>
    </row>
    <row r="951" spans="1:10" x14ac:dyDescent="0.25">
      <c r="A951" s="4"/>
      <c r="B951" s="5"/>
      <c r="C951" s="4"/>
      <c r="E951" s="10"/>
      <c r="F951" s="10"/>
      <c r="G951" s="10"/>
      <c r="H951" s="10"/>
      <c r="I951" s="10"/>
      <c r="J951" s="10"/>
    </row>
    <row r="952" spans="1:10" x14ac:dyDescent="0.25">
      <c r="A952" s="4"/>
      <c r="B952" s="5"/>
      <c r="C952" s="4"/>
      <c r="E952" s="10"/>
      <c r="F952" s="10"/>
      <c r="G952" s="10"/>
      <c r="H952" s="10"/>
      <c r="I952" s="10"/>
      <c r="J952" s="10"/>
    </row>
    <row r="953" spans="1:10" x14ac:dyDescent="0.25">
      <c r="A953" s="4"/>
      <c r="B953" s="5"/>
      <c r="C953" s="4"/>
      <c r="E953" s="10"/>
      <c r="F953" s="10"/>
      <c r="G953" s="10"/>
      <c r="H953" s="10"/>
      <c r="I953" s="10"/>
      <c r="J953" s="10"/>
    </row>
    <row r="954" spans="1:10" x14ac:dyDescent="0.25">
      <c r="A954" s="4"/>
      <c r="B954" s="5"/>
      <c r="C954" s="4"/>
      <c r="E954" s="10"/>
      <c r="F954" s="10"/>
      <c r="G954" s="10"/>
      <c r="H954" s="10"/>
      <c r="I954" s="10"/>
      <c r="J954" s="10"/>
    </row>
    <row r="955" spans="1:10" x14ac:dyDescent="0.25">
      <c r="A955" s="4"/>
      <c r="B955" s="5"/>
      <c r="C955" s="4"/>
      <c r="E955" s="10"/>
      <c r="F955" s="10"/>
      <c r="G955" s="10"/>
      <c r="H955" s="10"/>
      <c r="I955" s="10"/>
      <c r="J955" s="10"/>
    </row>
    <row r="956" spans="1:10" x14ac:dyDescent="0.25">
      <c r="A956" s="4"/>
      <c r="B956" s="5"/>
      <c r="C956" s="4"/>
      <c r="E956" s="10"/>
      <c r="F956" s="10"/>
      <c r="G956" s="10"/>
      <c r="H956" s="10"/>
      <c r="I956" s="10"/>
      <c r="J956" s="10"/>
    </row>
    <row r="957" spans="1:10" x14ac:dyDescent="0.25">
      <c r="A957" s="4"/>
      <c r="B957" s="5"/>
      <c r="C957" s="4"/>
      <c r="E957" s="10"/>
      <c r="F957" s="10"/>
      <c r="G957" s="10"/>
      <c r="H957" s="10"/>
      <c r="I957" s="10"/>
      <c r="J957" s="10"/>
    </row>
    <row r="958" spans="1:10" x14ac:dyDescent="0.25">
      <c r="A958" s="4"/>
      <c r="B958" s="5"/>
      <c r="C958" s="4"/>
      <c r="E958" s="10"/>
      <c r="F958" s="10"/>
      <c r="G958" s="10"/>
      <c r="H958" s="10"/>
      <c r="I958" s="10"/>
      <c r="J958" s="10"/>
    </row>
    <row r="959" spans="1:10" x14ac:dyDescent="0.25">
      <c r="A959" s="4"/>
      <c r="B959" s="5"/>
      <c r="C959" s="4"/>
      <c r="E959" s="10"/>
      <c r="F959" s="10"/>
      <c r="G959" s="10"/>
      <c r="H959" s="10"/>
      <c r="I959" s="10"/>
      <c r="J959" s="10"/>
    </row>
    <row r="960" spans="1:10" x14ac:dyDescent="0.25">
      <c r="A960" s="4"/>
      <c r="B960" s="5"/>
      <c r="C960" s="4"/>
      <c r="E960" s="10"/>
      <c r="F960" s="10"/>
      <c r="G960" s="10"/>
      <c r="H960" s="10"/>
      <c r="I960" s="10"/>
      <c r="J960" s="10"/>
    </row>
    <row r="961" spans="1:10" x14ac:dyDescent="0.25">
      <c r="A961" s="4"/>
      <c r="B961" s="5"/>
      <c r="C961" s="4"/>
      <c r="E961" s="10"/>
      <c r="F961" s="10"/>
      <c r="G961" s="10"/>
      <c r="H961" s="10"/>
      <c r="I961" s="10"/>
      <c r="J961" s="10"/>
    </row>
    <row r="962" spans="1:10" x14ac:dyDescent="0.25">
      <c r="A962" s="4"/>
      <c r="B962" s="5"/>
      <c r="C962" s="4"/>
      <c r="E962" s="10"/>
      <c r="F962" s="10"/>
      <c r="G962" s="10"/>
      <c r="H962" s="10"/>
      <c r="I962" s="10"/>
      <c r="J962" s="10"/>
    </row>
    <row r="963" spans="1:10" x14ac:dyDescent="0.25">
      <c r="A963" s="4"/>
      <c r="B963" s="5"/>
      <c r="C963" s="4"/>
      <c r="E963" s="10"/>
      <c r="F963" s="10"/>
      <c r="G963" s="10"/>
      <c r="H963" s="10"/>
      <c r="I963" s="10"/>
      <c r="J963" s="10"/>
    </row>
    <row r="964" spans="1:10" x14ac:dyDescent="0.25">
      <c r="A964" s="4"/>
      <c r="B964" s="5"/>
      <c r="C964" s="4"/>
      <c r="E964" s="10"/>
      <c r="F964" s="10"/>
      <c r="G964" s="10"/>
      <c r="H964" s="10"/>
      <c r="I964" s="10"/>
      <c r="J964" s="10"/>
    </row>
    <row r="965" spans="1:10" x14ac:dyDescent="0.25">
      <c r="A965" s="4"/>
      <c r="B965" s="5"/>
      <c r="C965" s="4"/>
      <c r="E965" s="10"/>
      <c r="F965" s="10"/>
      <c r="G965" s="10"/>
      <c r="H965" s="10"/>
      <c r="I965" s="10"/>
      <c r="J965" s="10"/>
    </row>
    <row r="966" spans="1:10" x14ac:dyDescent="0.25">
      <c r="A966" s="4"/>
      <c r="B966" s="5"/>
      <c r="C966" s="4"/>
      <c r="E966" s="10"/>
      <c r="F966" s="10"/>
      <c r="G966" s="10"/>
      <c r="H966" s="10"/>
      <c r="I966" s="10"/>
      <c r="J966" s="10"/>
    </row>
    <row r="967" spans="1:10" x14ac:dyDescent="0.25">
      <c r="A967" s="4"/>
      <c r="B967" s="5"/>
      <c r="C967" s="4"/>
      <c r="E967" s="10"/>
      <c r="F967" s="10"/>
      <c r="G967" s="10"/>
      <c r="H967" s="10"/>
      <c r="I967" s="10"/>
      <c r="J967" s="10"/>
    </row>
    <row r="968" spans="1:10" x14ac:dyDescent="0.25">
      <c r="A968" s="4"/>
      <c r="B968" s="5"/>
      <c r="C968" s="4"/>
      <c r="E968" s="10"/>
      <c r="F968" s="10"/>
      <c r="G968" s="10"/>
      <c r="H968" s="10"/>
      <c r="I968" s="10"/>
      <c r="J968" s="10"/>
    </row>
    <row r="969" spans="1:10" x14ac:dyDescent="0.25">
      <c r="A969" s="4"/>
      <c r="B969" s="5"/>
      <c r="C969" s="4"/>
      <c r="E969" s="10"/>
      <c r="F969" s="10"/>
      <c r="G969" s="10"/>
      <c r="H969" s="10"/>
      <c r="I969" s="10"/>
      <c r="J969" s="10"/>
    </row>
    <row r="970" spans="1:10" x14ac:dyDescent="0.25">
      <c r="A970" s="4"/>
      <c r="B970" s="5"/>
      <c r="C970" s="4"/>
      <c r="E970" s="10"/>
      <c r="F970" s="10"/>
      <c r="G970" s="10"/>
      <c r="H970" s="10"/>
      <c r="I970" s="10"/>
      <c r="J970" s="10"/>
    </row>
    <row r="971" spans="1:10" x14ac:dyDescent="0.25">
      <c r="A971" s="4"/>
      <c r="B971" s="5"/>
      <c r="C971" s="4"/>
      <c r="E971" s="10"/>
      <c r="F971" s="10"/>
      <c r="G971" s="10"/>
      <c r="H971" s="10"/>
      <c r="I971" s="10"/>
      <c r="J971" s="10"/>
    </row>
    <row r="972" spans="1:10" x14ac:dyDescent="0.25">
      <c r="A972" s="4"/>
      <c r="B972" s="5"/>
      <c r="C972" s="4"/>
      <c r="E972" s="10"/>
      <c r="F972" s="10"/>
      <c r="G972" s="10"/>
      <c r="H972" s="10"/>
      <c r="I972" s="10"/>
      <c r="J972" s="10"/>
    </row>
    <row r="973" spans="1:10" x14ac:dyDescent="0.25">
      <c r="A973" s="4"/>
      <c r="B973" s="5"/>
      <c r="C973" s="4"/>
      <c r="E973" s="10"/>
      <c r="F973" s="10"/>
      <c r="G973" s="10"/>
      <c r="H973" s="10"/>
      <c r="I973" s="10"/>
      <c r="J973" s="10"/>
    </row>
    <row r="974" spans="1:10" x14ac:dyDescent="0.25">
      <c r="A974" s="4"/>
      <c r="B974" s="5"/>
      <c r="C974" s="4"/>
      <c r="E974" s="10"/>
      <c r="F974" s="10"/>
      <c r="G974" s="10"/>
      <c r="H974" s="10"/>
      <c r="I974" s="10"/>
      <c r="J974" s="10"/>
    </row>
    <row r="975" spans="1:10" x14ac:dyDescent="0.25">
      <c r="A975" s="4"/>
      <c r="B975" s="5"/>
      <c r="C975" s="4"/>
      <c r="E975" s="10"/>
      <c r="F975" s="10"/>
      <c r="G975" s="10"/>
      <c r="H975" s="10"/>
      <c r="I975" s="10"/>
      <c r="J975" s="10"/>
    </row>
    <row r="976" spans="1:10" x14ac:dyDescent="0.25">
      <c r="A976" s="4"/>
      <c r="B976" s="5"/>
      <c r="C976" s="4"/>
      <c r="E976" s="10"/>
      <c r="F976" s="10"/>
      <c r="G976" s="10"/>
      <c r="H976" s="10"/>
      <c r="I976" s="10"/>
      <c r="J976" s="10"/>
    </row>
    <row r="977" spans="1:10" x14ac:dyDescent="0.25">
      <c r="A977" s="4"/>
      <c r="B977" s="5"/>
      <c r="C977" s="4"/>
      <c r="E977" s="10"/>
      <c r="F977" s="10"/>
      <c r="G977" s="10"/>
      <c r="H977" s="10"/>
      <c r="I977" s="10"/>
      <c r="J977" s="10"/>
    </row>
    <row r="978" spans="1:10" x14ac:dyDescent="0.25">
      <c r="A978" s="4"/>
      <c r="B978" s="5"/>
      <c r="C978" s="4"/>
      <c r="E978" s="10"/>
      <c r="F978" s="10"/>
      <c r="G978" s="10"/>
      <c r="H978" s="10"/>
      <c r="I978" s="10"/>
      <c r="J978" s="10"/>
    </row>
    <row r="979" spans="1:10" x14ac:dyDescent="0.25">
      <c r="A979" s="4"/>
      <c r="B979" s="5"/>
      <c r="C979" s="4"/>
      <c r="E979" s="10"/>
      <c r="F979" s="10"/>
      <c r="G979" s="10"/>
      <c r="H979" s="10"/>
      <c r="I979" s="10"/>
      <c r="J979" s="10"/>
    </row>
    <row r="980" spans="1:10" x14ac:dyDescent="0.25">
      <c r="A980" s="4"/>
      <c r="B980" s="5"/>
      <c r="C980" s="4"/>
      <c r="E980" s="10"/>
      <c r="F980" s="10"/>
      <c r="G980" s="10"/>
      <c r="H980" s="10"/>
      <c r="I980" s="10"/>
      <c r="J980" s="10"/>
    </row>
    <row r="981" spans="1:10" x14ac:dyDescent="0.25">
      <c r="A981" s="4"/>
      <c r="B981" s="5"/>
      <c r="C981" s="4"/>
      <c r="E981" s="10"/>
      <c r="F981" s="10"/>
      <c r="G981" s="10"/>
      <c r="H981" s="10"/>
      <c r="I981" s="10"/>
      <c r="J981" s="10"/>
    </row>
    <row r="982" spans="1:10" x14ac:dyDescent="0.25">
      <c r="A982" s="4"/>
      <c r="B982" s="5"/>
      <c r="C982" s="4"/>
      <c r="E982" s="10"/>
      <c r="F982" s="10"/>
      <c r="G982" s="10"/>
      <c r="H982" s="10"/>
      <c r="I982" s="10"/>
      <c r="J982" s="10"/>
    </row>
    <row r="983" spans="1:10" x14ac:dyDescent="0.25">
      <c r="A983" s="4"/>
      <c r="B983" s="5"/>
      <c r="C983" s="4"/>
      <c r="E983" s="10"/>
      <c r="F983" s="10"/>
      <c r="G983" s="10"/>
      <c r="H983" s="10"/>
      <c r="I983" s="10"/>
      <c r="J983" s="10"/>
    </row>
    <row r="984" spans="1:10" x14ac:dyDescent="0.25">
      <c r="A984" s="4"/>
      <c r="B984" s="5"/>
      <c r="C984" s="4"/>
      <c r="E984" s="10"/>
      <c r="F984" s="10"/>
      <c r="G984" s="10"/>
      <c r="H984" s="10"/>
      <c r="I984" s="10"/>
      <c r="J984" s="10"/>
    </row>
    <row r="985" spans="1:10" x14ac:dyDescent="0.25">
      <c r="A985" s="4"/>
      <c r="B985" s="5"/>
      <c r="C985" s="4"/>
      <c r="E985" s="10"/>
      <c r="F985" s="10"/>
      <c r="G985" s="10"/>
      <c r="H985" s="10"/>
      <c r="I985" s="10"/>
      <c r="J985" s="10"/>
    </row>
    <row r="986" spans="1:10" x14ac:dyDescent="0.25">
      <c r="A986" s="4"/>
      <c r="B986" s="5"/>
      <c r="C986" s="4"/>
      <c r="E986" s="10"/>
      <c r="F986" s="10"/>
      <c r="G986" s="10"/>
      <c r="H986" s="10"/>
      <c r="I986" s="10"/>
      <c r="J986" s="10"/>
    </row>
    <row r="987" spans="1:10" x14ac:dyDescent="0.25">
      <c r="A987" s="4"/>
      <c r="B987" s="5"/>
      <c r="C987" s="4"/>
      <c r="E987" s="10"/>
      <c r="F987" s="10"/>
      <c r="G987" s="10"/>
      <c r="H987" s="10"/>
      <c r="I987" s="10"/>
      <c r="J987" s="10"/>
    </row>
    <row r="988" spans="1:10" x14ac:dyDescent="0.25">
      <c r="A988" s="4"/>
      <c r="B988" s="5"/>
      <c r="C988" s="4"/>
      <c r="E988" s="10"/>
      <c r="F988" s="10"/>
      <c r="G988" s="10"/>
      <c r="H988" s="10"/>
      <c r="I988" s="10"/>
      <c r="J988" s="10"/>
    </row>
    <row r="989" spans="1:10" x14ac:dyDescent="0.25">
      <c r="A989" s="4"/>
      <c r="B989" s="5"/>
      <c r="C989" s="4"/>
      <c r="E989" s="10"/>
      <c r="F989" s="10"/>
      <c r="G989" s="10"/>
      <c r="H989" s="10"/>
      <c r="I989" s="10"/>
      <c r="J989" s="10"/>
    </row>
    <row r="990" spans="1:10" x14ac:dyDescent="0.25">
      <c r="A990" s="4"/>
      <c r="B990" s="5"/>
      <c r="C990" s="4"/>
      <c r="E990" s="10"/>
      <c r="F990" s="10"/>
      <c r="G990" s="10"/>
      <c r="H990" s="10"/>
      <c r="I990" s="10"/>
      <c r="J990" s="10"/>
    </row>
    <row r="991" spans="1:10" x14ac:dyDescent="0.25">
      <c r="A991" s="4"/>
      <c r="B991" s="5"/>
      <c r="C991" s="4"/>
      <c r="E991" s="10"/>
      <c r="F991" s="10"/>
      <c r="G991" s="10"/>
      <c r="H991" s="10"/>
      <c r="I991" s="10"/>
      <c r="J991" s="10"/>
    </row>
    <row r="992" spans="1:10" x14ac:dyDescent="0.25">
      <c r="A992" s="4"/>
      <c r="B992" s="5"/>
      <c r="C992" s="4"/>
      <c r="E992" s="10"/>
      <c r="F992" s="10"/>
      <c r="G992" s="10"/>
      <c r="H992" s="10"/>
      <c r="I992" s="10"/>
      <c r="J992" s="10"/>
    </row>
    <row r="993" spans="1:10" x14ac:dyDescent="0.25">
      <c r="A993" s="4"/>
      <c r="B993" s="5"/>
      <c r="C993" s="4"/>
      <c r="E993" s="10"/>
      <c r="F993" s="10"/>
      <c r="G993" s="10"/>
      <c r="H993" s="10"/>
      <c r="I993" s="10"/>
      <c r="J993" s="10"/>
    </row>
    <row r="994" spans="1:10" x14ac:dyDescent="0.25">
      <c r="A994" s="4"/>
      <c r="B994" s="5"/>
      <c r="C994" s="4"/>
      <c r="E994" s="10"/>
      <c r="F994" s="10"/>
      <c r="G994" s="10"/>
      <c r="H994" s="10"/>
      <c r="I994" s="10"/>
      <c r="J994" s="10"/>
    </row>
    <row r="995" spans="1:10" x14ac:dyDescent="0.25">
      <c r="A995" s="4"/>
      <c r="B995" s="5"/>
      <c r="C995" s="4"/>
      <c r="E995" s="10"/>
      <c r="F995" s="10"/>
      <c r="G995" s="10"/>
      <c r="H995" s="10"/>
      <c r="I995" s="10"/>
      <c r="J995" s="10"/>
    </row>
    <row r="996" spans="1:10" x14ac:dyDescent="0.25">
      <c r="A996" s="4"/>
      <c r="B996" s="5"/>
      <c r="C996" s="4"/>
      <c r="E996" s="10"/>
      <c r="F996" s="10"/>
      <c r="G996" s="10"/>
      <c r="H996" s="10"/>
      <c r="I996" s="10"/>
      <c r="J996" s="10"/>
    </row>
    <row r="997" spans="1:10" x14ac:dyDescent="0.25">
      <c r="A997" s="4"/>
      <c r="B997" s="5"/>
      <c r="C997" s="4"/>
      <c r="E997" s="10"/>
      <c r="F997" s="10"/>
      <c r="G997" s="10"/>
      <c r="H997" s="10"/>
      <c r="I997" s="10"/>
      <c r="J997" s="10"/>
    </row>
    <row r="998" spans="1:10" x14ac:dyDescent="0.25">
      <c r="A998" s="4"/>
      <c r="B998" s="5"/>
      <c r="C998" s="4"/>
      <c r="E998" s="10"/>
      <c r="F998" s="10"/>
      <c r="G998" s="10"/>
      <c r="H998" s="10"/>
      <c r="I998" s="10"/>
      <c r="J998" s="10"/>
    </row>
    <row r="999" spans="1:10" x14ac:dyDescent="0.25">
      <c r="A999" s="4"/>
      <c r="B999" s="5"/>
      <c r="C999" s="4"/>
      <c r="E999" s="10"/>
      <c r="F999" s="10"/>
      <c r="G999" s="10"/>
      <c r="H999" s="10"/>
      <c r="I999" s="10"/>
      <c r="J999" s="10"/>
    </row>
    <row r="1000" spans="1:10" x14ac:dyDescent="0.25">
      <c r="A1000" s="4"/>
      <c r="B1000" s="5"/>
      <c r="C1000" s="4"/>
      <c r="E1000" s="10"/>
      <c r="F1000" s="10"/>
      <c r="G1000" s="10"/>
      <c r="H1000" s="10"/>
      <c r="I1000" s="10"/>
      <c r="J1000" s="10"/>
    </row>
    <row r="1001" spans="1:10" x14ac:dyDescent="0.25">
      <c r="A1001" s="4"/>
      <c r="B1001" s="5"/>
      <c r="C1001" s="4"/>
      <c r="E1001" s="10"/>
      <c r="F1001" s="10"/>
      <c r="G1001" s="10"/>
      <c r="H1001" s="10"/>
      <c r="I1001" s="10"/>
      <c r="J1001" s="10"/>
    </row>
    <row r="1002" spans="1:10" x14ac:dyDescent="0.25">
      <c r="A1002" s="4"/>
      <c r="B1002" s="5"/>
      <c r="C1002" s="4"/>
      <c r="E1002" s="10"/>
      <c r="F1002" s="10"/>
      <c r="G1002" s="10"/>
      <c r="H1002" s="10"/>
      <c r="I1002" s="10"/>
      <c r="J1002" s="10"/>
    </row>
    <row r="1003" spans="1:10" x14ac:dyDescent="0.25">
      <c r="A1003" s="4"/>
      <c r="B1003" s="5"/>
      <c r="C1003" s="4"/>
      <c r="E1003" s="10"/>
      <c r="F1003" s="10"/>
      <c r="G1003" s="10"/>
      <c r="H1003" s="10"/>
      <c r="I1003" s="10"/>
      <c r="J1003" s="10"/>
    </row>
    <row r="1004" spans="1:10" x14ac:dyDescent="0.25">
      <c r="A1004" s="4"/>
      <c r="B1004" s="5"/>
      <c r="C1004" s="4"/>
      <c r="E1004" s="10"/>
      <c r="F1004" s="10"/>
      <c r="G1004" s="10"/>
      <c r="H1004" s="10"/>
      <c r="I1004" s="10"/>
      <c r="J1004" s="10"/>
    </row>
    <row r="1005" spans="1:10" x14ac:dyDescent="0.25">
      <c r="A1005" s="4"/>
      <c r="B1005" s="5"/>
      <c r="C1005" s="4"/>
      <c r="E1005" s="10"/>
      <c r="F1005" s="10"/>
      <c r="G1005" s="10"/>
      <c r="H1005" s="10"/>
      <c r="I1005" s="10"/>
      <c r="J1005" s="10"/>
    </row>
    <row r="1006" spans="1:10" x14ac:dyDescent="0.25">
      <c r="A1006" s="4"/>
      <c r="B1006" s="5"/>
      <c r="C1006" s="4"/>
      <c r="E1006" s="10"/>
      <c r="F1006" s="10"/>
      <c r="G1006" s="10"/>
      <c r="H1006" s="10"/>
      <c r="I1006" s="10"/>
      <c r="J1006" s="10"/>
    </row>
    <row r="1007" spans="1:10" x14ac:dyDescent="0.25">
      <c r="A1007" s="4"/>
      <c r="B1007" s="5"/>
      <c r="C1007" s="4"/>
      <c r="E1007" s="10"/>
      <c r="F1007" s="10"/>
      <c r="G1007" s="10"/>
      <c r="H1007" s="10"/>
      <c r="I1007" s="10"/>
      <c r="J1007" s="10"/>
    </row>
    <row r="1008" spans="1:10" x14ac:dyDescent="0.25">
      <c r="A1008" s="4"/>
      <c r="B1008" s="5"/>
      <c r="C1008" s="4"/>
      <c r="E1008" s="10"/>
      <c r="F1008" s="10"/>
      <c r="G1008" s="10"/>
      <c r="H1008" s="10"/>
      <c r="I1008" s="10"/>
      <c r="J1008" s="10"/>
    </row>
    <row r="1009" spans="1:10" x14ac:dyDescent="0.25">
      <c r="A1009" s="4"/>
      <c r="B1009" s="5"/>
      <c r="C1009" s="4"/>
      <c r="E1009" s="10"/>
      <c r="F1009" s="10"/>
      <c r="G1009" s="10"/>
      <c r="H1009" s="10"/>
      <c r="I1009" s="10"/>
      <c r="J1009" s="10"/>
    </row>
    <row r="1010" spans="1:10" x14ac:dyDescent="0.25">
      <c r="A1010" s="4"/>
      <c r="B1010" s="5"/>
      <c r="C1010" s="4"/>
      <c r="E1010" s="10"/>
      <c r="F1010" s="10"/>
      <c r="G1010" s="10"/>
      <c r="H1010" s="10"/>
      <c r="I1010" s="10"/>
      <c r="J1010" s="10"/>
    </row>
    <row r="1011" spans="1:10" x14ac:dyDescent="0.25">
      <c r="A1011" s="4"/>
      <c r="B1011" s="5"/>
      <c r="C1011" s="4"/>
      <c r="E1011" s="10"/>
      <c r="F1011" s="10"/>
      <c r="G1011" s="10"/>
      <c r="H1011" s="10"/>
      <c r="I1011" s="10"/>
      <c r="J1011" s="10"/>
    </row>
    <row r="1012" spans="1:10" x14ac:dyDescent="0.25">
      <c r="A1012" s="4"/>
      <c r="B1012" s="5"/>
      <c r="C1012" s="4"/>
      <c r="E1012" s="10"/>
      <c r="F1012" s="10"/>
      <c r="G1012" s="10"/>
      <c r="H1012" s="10"/>
      <c r="I1012" s="10"/>
      <c r="J1012" s="10"/>
    </row>
    <row r="1013" spans="1:10" x14ac:dyDescent="0.25">
      <c r="A1013" s="4"/>
      <c r="B1013" s="5"/>
      <c r="C1013" s="4"/>
      <c r="E1013" s="10"/>
      <c r="F1013" s="10"/>
      <c r="G1013" s="10"/>
      <c r="H1013" s="10"/>
      <c r="I1013" s="10"/>
      <c r="J1013" s="10"/>
    </row>
    <row r="1014" spans="1:10" x14ac:dyDescent="0.25">
      <c r="A1014" s="4"/>
      <c r="B1014" s="5"/>
      <c r="C1014" s="4"/>
      <c r="E1014" s="10"/>
      <c r="F1014" s="10"/>
      <c r="G1014" s="10"/>
      <c r="H1014" s="10"/>
      <c r="I1014" s="10"/>
      <c r="J1014" s="10"/>
    </row>
    <row r="1015" spans="1:10" x14ac:dyDescent="0.25">
      <c r="A1015" s="4"/>
      <c r="B1015" s="5"/>
      <c r="C1015" s="4"/>
      <c r="E1015" s="10"/>
      <c r="F1015" s="10"/>
      <c r="G1015" s="10"/>
      <c r="H1015" s="10"/>
      <c r="I1015" s="10"/>
      <c r="J1015" s="10"/>
    </row>
    <row r="1016" spans="1:10" x14ac:dyDescent="0.25">
      <c r="A1016" s="4"/>
      <c r="B1016" s="5"/>
      <c r="C1016" s="4"/>
      <c r="E1016" s="10"/>
      <c r="F1016" s="10"/>
      <c r="G1016" s="10"/>
      <c r="H1016" s="10"/>
      <c r="I1016" s="10"/>
      <c r="J1016" s="10"/>
    </row>
    <row r="1017" spans="1:10" x14ac:dyDescent="0.25">
      <c r="A1017" s="4"/>
      <c r="B1017" s="5"/>
      <c r="C1017" s="4"/>
      <c r="E1017" s="10"/>
      <c r="F1017" s="10"/>
      <c r="G1017" s="10"/>
      <c r="H1017" s="10"/>
      <c r="I1017" s="10"/>
      <c r="J1017" s="10"/>
    </row>
    <row r="1018" spans="1:10" x14ac:dyDescent="0.25">
      <c r="A1018" s="4"/>
      <c r="B1018" s="5"/>
      <c r="C1018" s="4"/>
      <c r="E1018" s="10"/>
      <c r="F1018" s="10"/>
      <c r="G1018" s="10"/>
      <c r="H1018" s="10"/>
      <c r="I1018" s="10"/>
      <c r="J1018" s="10"/>
    </row>
    <row r="1019" spans="1:10" x14ac:dyDescent="0.25">
      <c r="A1019" s="4"/>
      <c r="B1019" s="5"/>
      <c r="C1019" s="4"/>
      <c r="E1019" s="10"/>
      <c r="F1019" s="10"/>
      <c r="G1019" s="10"/>
      <c r="H1019" s="10"/>
      <c r="I1019" s="10"/>
      <c r="J1019" s="10"/>
    </row>
    <row r="1020" spans="1:10" x14ac:dyDescent="0.25">
      <c r="A1020" s="4"/>
      <c r="B1020" s="5"/>
      <c r="C1020" s="4"/>
      <c r="E1020" s="10"/>
      <c r="F1020" s="10"/>
      <c r="G1020" s="10"/>
      <c r="H1020" s="10"/>
      <c r="I1020" s="10"/>
      <c r="J1020" s="10"/>
    </row>
    <row r="1021" spans="1:10" x14ac:dyDescent="0.25">
      <c r="A1021" s="4"/>
      <c r="B1021" s="5"/>
      <c r="C1021" s="4"/>
      <c r="E1021" s="10"/>
      <c r="F1021" s="10"/>
      <c r="G1021" s="10"/>
      <c r="H1021" s="10"/>
      <c r="I1021" s="10"/>
      <c r="J1021" s="10"/>
    </row>
    <row r="1022" spans="1:10" x14ac:dyDescent="0.25">
      <c r="A1022" s="4"/>
      <c r="B1022" s="5"/>
      <c r="C1022" s="4"/>
      <c r="E1022" s="10"/>
      <c r="F1022" s="10"/>
      <c r="G1022" s="10"/>
      <c r="H1022" s="10"/>
      <c r="I1022" s="10"/>
      <c r="J1022" s="10"/>
    </row>
    <row r="1023" spans="1:10" x14ac:dyDescent="0.25">
      <c r="A1023" s="4"/>
      <c r="B1023" s="5"/>
      <c r="C1023" s="4"/>
      <c r="E1023" s="10"/>
      <c r="F1023" s="10"/>
      <c r="G1023" s="10"/>
      <c r="H1023" s="10"/>
      <c r="I1023" s="10"/>
      <c r="J1023" s="10"/>
    </row>
    <row r="1024" spans="1:10" x14ac:dyDescent="0.25">
      <c r="A1024" s="4"/>
      <c r="B1024" s="5"/>
      <c r="C1024" s="4"/>
      <c r="E1024" s="10"/>
      <c r="F1024" s="10"/>
      <c r="G1024" s="10"/>
      <c r="H1024" s="10"/>
      <c r="I1024" s="10"/>
      <c r="J1024" s="10"/>
    </row>
    <row r="1025" spans="1:10" x14ac:dyDescent="0.25">
      <c r="A1025" s="4"/>
      <c r="B1025" s="5"/>
      <c r="C1025" s="4"/>
      <c r="E1025" s="10"/>
      <c r="F1025" s="10"/>
      <c r="G1025" s="10"/>
      <c r="H1025" s="10"/>
      <c r="I1025" s="10"/>
      <c r="J1025" s="10"/>
    </row>
    <row r="1026" spans="1:10" x14ac:dyDescent="0.25">
      <c r="A1026" s="4"/>
      <c r="B1026" s="5"/>
      <c r="C1026" s="4"/>
      <c r="E1026" s="10"/>
      <c r="F1026" s="10"/>
      <c r="G1026" s="10"/>
      <c r="H1026" s="10"/>
      <c r="I1026" s="10"/>
      <c r="J1026" s="10"/>
    </row>
    <row r="1027" spans="1:10" x14ac:dyDescent="0.25">
      <c r="A1027" s="4"/>
      <c r="B1027" s="5"/>
      <c r="C1027" s="4"/>
      <c r="E1027" s="10"/>
      <c r="F1027" s="10"/>
      <c r="G1027" s="10"/>
      <c r="H1027" s="10"/>
      <c r="I1027" s="10"/>
      <c r="J1027" s="10"/>
    </row>
    <row r="1028" spans="1:10" x14ac:dyDescent="0.25">
      <c r="A1028" s="4"/>
      <c r="B1028" s="5"/>
      <c r="C1028" s="4"/>
      <c r="E1028" s="10"/>
      <c r="F1028" s="10"/>
      <c r="G1028" s="10"/>
      <c r="H1028" s="10"/>
      <c r="I1028" s="10"/>
      <c r="J1028" s="10"/>
    </row>
    <row r="1029" spans="1:10" x14ac:dyDescent="0.25">
      <c r="A1029" s="4"/>
      <c r="B1029" s="5"/>
      <c r="C1029" s="4"/>
      <c r="E1029" s="10"/>
      <c r="F1029" s="10"/>
      <c r="G1029" s="10"/>
      <c r="H1029" s="10"/>
      <c r="I1029" s="10"/>
      <c r="J1029" s="10"/>
    </row>
    <row r="1030" spans="1:10" x14ac:dyDescent="0.25">
      <c r="A1030" s="4"/>
      <c r="B1030" s="5"/>
      <c r="C1030" s="4"/>
      <c r="E1030" s="10"/>
      <c r="F1030" s="10"/>
      <c r="G1030" s="10"/>
      <c r="H1030" s="10"/>
      <c r="I1030" s="10"/>
      <c r="J1030" s="10"/>
    </row>
    <row r="1031" spans="1:10" x14ac:dyDescent="0.25">
      <c r="A1031" s="4"/>
      <c r="B1031" s="5"/>
      <c r="C1031" s="4"/>
      <c r="E1031" s="10"/>
      <c r="F1031" s="10"/>
      <c r="G1031" s="10"/>
      <c r="H1031" s="10"/>
      <c r="I1031" s="10"/>
      <c r="J1031" s="10"/>
    </row>
    <row r="1032" spans="1:10" x14ac:dyDescent="0.25">
      <c r="A1032" s="4"/>
      <c r="B1032" s="5"/>
      <c r="C1032" s="4"/>
      <c r="E1032" s="10"/>
      <c r="F1032" s="10"/>
      <c r="G1032" s="10"/>
      <c r="H1032" s="10"/>
      <c r="I1032" s="10"/>
      <c r="J1032" s="10"/>
    </row>
    <row r="1033" spans="1:10" x14ac:dyDescent="0.25">
      <c r="A1033" s="4"/>
      <c r="B1033" s="5"/>
      <c r="C1033" s="4"/>
      <c r="E1033" s="10"/>
      <c r="F1033" s="10"/>
      <c r="G1033" s="10"/>
      <c r="H1033" s="10"/>
      <c r="I1033" s="10"/>
      <c r="J1033" s="10"/>
    </row>
    <row r="1034" spans="1:10" x14ac:dyDescent="0.25">
      <c r="A1034" s="4"/>
      <c r="B1034" s="5"/>
      <c r="C1034" s="4"/>
      <c r="E1034" s="10"/>
      <c r="F1034" s="10"/>
      <c r="G1034" s="10"/>
      <c r="H1034" s="10"/>
      <c r="I1034" s="10"/>
      <c r="J1034" s="10"/>
    </row>
    <row r="1035" spans="1:10" x14ac:dyDescent="0.25">
      <c r="A1035" s="4"/>
      <c r="B1035" s="5"/>
      <c r="C1035" s="4"/>
      <c r="E1035" s="10"/>
      <c r="F1035" s="10"/>
      <c r="G1035" s="10"/>
      <c r="H1035" s="10"/>
      <c r="I1035" s="10"/>
      <c r="J1035" s="10"/>
    </row>
    <row r="1036" spans="1:10" x14ac:dyDescent="0.25">
      <c r="A1036" s="4"/>
      <c r="B1036" s="5"/>
      <c r="C1036" s="4"/>
      <c r="E1036" s="10"/>
      <c r="F1036" s="10"/>
      <c r="G1036" s="10"/>
      <c r="H1036" s="10"/>
      <c r="I1036" s="10"/>
      <c r="J1036" s="10"/>
    </row>
    <row r="1037" spans="1:10" x14ac:dyDescent="0.25">
      <c r="A1037" s="4"/>
      <c r="B1037" s="5"/>
      <c r="C1037" s="4"/>
      <c r="E1037" s="10"/>
      <c r="F1037" s="10"/>
      <c r="G1037" s="10"/>
      <c r="H1037" s="10"/>
      <c r="I1037" s="10"/>
      <c r="J1037" s="10"/>
    </row>
    <row r="1038" spans="1:10" x14ac:dyDescent="0.25">
      <c r="A1038" s="4"/>
      <c r="B1038" s="5"/>
      <c r="C1038" s="4"/>
      <c r="E1038" s="10"/>
      <c r="F1038" s="10"/>
      <c r="G1038" s="10"/>
      <c r="H1038" s="10"/>
      <c r="I1038" s="10"/>
      <c r="J1038" s="10"/>
    </row>
    <row r="1039" spans="1:10" x14ac:dyDescent="0.25">
      <c r="A1039" s="4"/>
      <c r="B1039" s="5"/>
      <c r="C1039" s="4"/>
      <c r="E1039" s="10"/>
      <c r="F1039" s="10"/>
      <c r="G1039" s="10"/>
      <c r="H1039" s="10"/>
      <c r="I1039" s="10"/>
      <c r="J1039" s="10"/>
    </row>
    <row r="1040" spans="1:10" x14ac:dyDescent="0.25">
      <c r="A1040" s="4"/>
      <c r="B1040" s="5"/>
      <c r="C1040" s="4"/>
      <c r="E1040" s="10"/>
      <c r="F1040" s="10"/>
      <c r="G1040" s="10"/>
      <c r="H1040" s="10"/>
      <c r="I1040" s="10"/>
      <c r="J1040" s="10"/>
    </row>
    <row r="1041" spans="1:10" x14ac:dyDescent="0.25">
      <c r="A1041" s="4"/>
      <c r="B1041" s="5"/>
      <c r="C1041" s="4"/>
      <c r="E1041" s="10"/>
      <c r="F1041" s="10"/>
      <c r="G1041" s="10"/>
      <c r="H1041" s="10"/>
      <c r="I1041" s="10"/>
      <c r="J1041" s="10"/>
    </row>
    <row r="1042" spans="1:10" x14ac:dyDescent="0.25">
      <c r="A1042" s="4"/>
      <c r="B1042" s="5"/>
      <c r="C1042" s="4"/>
      <c r="E1042" s="10"/>
      <c r="F1042" s="10"/>
      <c r="G1042" s="10"/>
      <c r="H1042" s="10"/>
      <c r="I1042" s="10"/>
      <c r="J1042" s="10"/>
    </row>
    <row r="1043" spans="1:10" x14ac:dyDescent="0.25">
      <c r="A1043" s="4"/>
      <c r="B1043" s="5"/>
      <c r="C1043" s="4"/>
      <c r="E1043" s="10"/>
      <c r="F1043" s="10"/>
      <c r="G1043" s="10"/>
      <c r="H1043" s="10"/>
      <c r="I1043" s="10"/>
      <c r="J1043" s="10"/>
    </row>
    <row r="1044" spans="1:10" x14ac:dyDescent="0.25">
      <c r="A1044" s="4"/>
      <c r="B1044" s="5"/>
      <c r="C1044" s="4"/>
      <c r="E1044" s="10"/>
      <c r="F1044" s="10"/>
      <c r="G1044" s="10"/>
      <c r="H1044" s="10"/>
      <c r="I1044" s="10"/>
      <c r="J1044" s="10"/>
    </row>
    <row r="1045" spans="1:10" x14ac:dyDescent="0.25">
      <c r="A1045" s="4"/>
      <c r="B1045" s="5"/>
      <c r="C1045" s="4"/>
      <c r="E1045" s="10"/>
      <c r="F1045" s="10"/>
      <c r="G1045" s="10"/>
      <c r="H1045" s="10"/>
      <c r="I1045" s="10"/>
      <c r="J1045" s="10"/>
    </row>
    <row r="1046" spans="1:10" x14ac:dyDescent="0.25">
      <c r="A1046" s="4"/>
      <c r="B1046" s="5"/>
      <c r="C1046" s="4"/>
      <c r="E1046" s="10"/>
      <c r="F1046" s="10"/>
      <c r="G1046" s="10"/>
      <c r="H1046" s="10"/>
      <c r="I1046" s="10"/>
      <c r="J1046" s="10"/>
    </row>
    <row r="1047" spans="1:10" x14ac:dyDescent="0.25">
      <c r="A1047" s="4"/>
      <c r="B1047" s="5"/>
      <c r="C1047" s="4"/>
      <c r="E1047" s="10"/>
      <c r="F1047" s="10"/>
      <c r="G1047" s="10"/>
      <c r="H1047" s="10"/>
      <c r="I1047" s="10"/>
      <c r="J1047" s="10"/>
    </row>
    <row r="1048" spans="1:10" x14ac:dyDescent="0.25">
      <c r="A1048" s="4"/>
      <c r="B1048" s="5"/>
      <c r="C1048" s="4"/>
      <c r="E1048" s="10"/>
      <c r="F1048" s="10"/>
      <c r="G1048" s="10"/>
      <c r="H1048" s="10"/>
      <c r="I1048" s="10"/>
      <c r="J1048" s="10"/>
    </row>
    <row r="1049" spans="1:10" x14ac:dyDescent="0.25">
      <c r="A1049" s="4"/>
      <c r="B1049" s="5"/>
      <c r="C1049" s="4"/>
      <c r="E1049" s="10"/>
      <c r="F1049" s="10"/>
      <c r="G1049" s="10"/>
      <c r="H1049" s="10"/>
      <c r="I1049" s="10"/>
      <c r="J1049" s="10"/>
    </row>
    <row r="1050" spans="1:10" x14ac:dyDescent="0.25">
      <c r="A1050" s="4"/>
      <c r="B1050" s="5"/>
      <c r="C1050" s="4"/>
      <c r="E1050" s="10"/>
      <c r="F1050" s="10"/>
      <c r="G1050" s="10"/>
      <c r="H1050" s="10"/>
      <c r="I1050" s="10"/>
      <c r="J1050" s="10"/>
    </row>
    <row r="1051" spans="1:10" x14ac:dyDescent="0.25">
      <c r="A1051" s="4"/>
      <c r="B1051" s="5"/>
      <c r="C1051" s="4"/>
      <c r="E1051" s="10"/>
      <c r="F1051" s="10"/>
      <c r="G1051" s="10"/>
      <c r="H1051" s="10"/>
      <c r="I1051" s="10"/>
      <c r="J1051" s="10"/>
    </row>
    <row r="1052" spans="1:10" x14ac:dyDescent="0.25">
      <c r="A1052" s="4"/>
      <c r="B1052" s="5"/>
      <c r="C1052" s="4"/>
      <c r="E1052" s="10"/>
      <c r="F1052" s="10"/>
      <c r="G1052" s="10"/>
      <c r="H1052" s="10"/>
      <c r="I1052" s="10"/>
      <c r="J1052" s="10"/>
    </row>
    <row r="1053" spans="1:10" x14ac:dyDescent="0.25">
      <c r="A1053" s="4"/>
      <c r="B1053" s="5"/>
      <c r="C1053" s="4"/>
      <c r="E1053" s="10"/>
      <c r="F1053" s="10"/>
      <c r="G1053" s="10"/>
      <c r="H1053" s="10"/>
      <c r="I1053" s="10"/>
      <c r="J1053" s="10"/>
    </row>
    <row r="1054" spans="1:10" x14ac:dyDescent="0.25">
      <c r="A1054" s="4"/>
      <c r="B1054" s="5"/>
      <c r="C1054" s="4"/>
      <c r="E1054" s="10"/>
      <c r="F1054" s="10"/>
      <c r="G1054" s="10"/>
      <c r="H1054" s="10"/>
      <c r="I1054" s="10"/>
      <c r="J1054" s="10"/>
    </row>
    <row r="1055" spans="1:10" x14ac:dyDescent="0.25">
      <c r="A1055" s="4"/>
      <c r="B1055" s="5"/>
      <c r="C1055" s="4"/>
      <c r="E1055" s="10"/>
      <c r="F1055" s="10"/>
      <c r="G1055" s="10"/>
      <c r="H1055" s="10"/>
      <c r="I1055" s="10"/>
      <c r="J1055" s="10"/>
    </row>
    <row r="1056" spans="1:10" x14ac:dyDescent="0.25">
      <c r="A1056" s="4"/>
      <c r="B1056" s="5"/>
      <c r="C1056" s="4"/>
      <c r="E1056" s="10"/>
      <c r="F1056" s="10"/>
      <c r="G1056" s="10"/>
      <c r="H1056" s="10"/>
      <c r="I1056" s="10"/>
      <c r="J1056" s="10"/>
    </row>
    <row r="1057" spans="1:10" x14ac:dyDescent="0.25">
      <c r="A1057" s="4"/>
      <c r="B1057" s="5"/>
      <c r="C1057" s="4"/>
      <c r="E1057" s="10"/>
      <c r="F1057" s="10"/>
      <c r="G1057" s="10"/>
      <c r="H1057" s="10"/>
      <c r="I1057" s="10"/>
      <c r="J1057" s="10"/>
    </row>
    <row r="1058" spans="1:10" x14ac:dyDescent="0.25">
      <c r="A1058" s="4"/>
      <c r="B1058" s="5"/>
      <c r="C1058" s="4"/>
      <c r="E1058" s="10"/>
      <c r="F1058" s="10"/>
      <c r="G1058" s="10"/>
      <c r="H1058" s="10"/>
      <c r="I1058" s="10"/>
      <c r="J1058" s="10"/>
    </row>
    <row r="1059" spans="1:10" x14ac:dyDescent="0.25">
      <c r="A1059" s="4"/>
      <c r="B1059" s="5"/>
      <c r="C1059" s="4"/>
      <c r="E1059" s="10"/>
      <c r="F1059" s="10"/>
      <c r="G1059" s="10"/>
      <c r="H1059" s="10"/>
      <c r="I1059" s="10"/>
      <c r="J1059" s="10"/>
    </row>
    <row r="1060" spans="1:10" x14ac:dyDescent="0.25">
      <c r="A1060" s="4"/>
      <c r="B1060" s="5"/>
      <c r="C1060" s="4"/>
      <c r="E1060" s="10"/>
      <c r="F1060" s="10"/>
      <c r="G1060" s="10"/>
      <c r="H1060" s="10"/>
      <c r="I1060" s="10"/>
      <c r="J1060" s="10"/>
    </row>
    <row r="1061" spans="1:10" x14ac:dyDescent="0.25">
      <c r="A1061" s="4"/>
      <c r="B1061" s="5"/>
      <c r="C1061" s="4"/>
      <c r="E1061" s="10"/>
      <c r="F1061" s="10"/>
      <c r="G1061" s="10"/>
      <c r="H1061" s="10"/>
      <c r="I1061" s="10"/>
      <c r="J1061" s="10"/>
    </row>
    <row r="1062" spans="1:10" x14ac:dyDescent="0.25">
      <c r="A1062" s="4"/>
      <c r="B1062" s="5"/>
      <c r="C1062" s="4"/>
      <c r="E1062" s="10"/>
      <c r="F1062" s="10"/>
      <c r="G1062" s="10"/>
      <c r="H1062" s="10"/>
      <c r="I1062" s="10"/>
      <c r="J1062" s="10"/>
    </row>
    <row r="1063" spans="1:10" x14ac:dyDescent="0.25">
      <c r="A1063" s="4"/>
      <c r="B1063" s="5"/>
      <c r="C1063" s="4"/>
      <c r="E1063" s="10"/>
      <c r="F1063" s="10"/>
      <c r="G1063" s="10"/>
      <c r="H1063" s="10"/>
      <c r="I1063" s="10"/>
      <c r="J1063" s="10"/>
    </row>
    <row r="1064" spans="1:10" x14ac:dyDescent="0.25">
      <c r="A1064" s="4"/>
      <c r="B1064" s="5"/>
      <c r="C1064" s="4"/>
      <c r="E1064" s="10"/>
      <c r="F1064" s="10"/>
      <c r="G1064" s="10"/>
      <c r="H1064" s="10"/>
      <c r="I1064" s="10"/>
      <c r="J1064" s="10"/>
    </row>
    <row r="1065" spans="1:10" x14ac:dyDescent="0.25">
      <c r="A1065" s="4"/>
      <c r="B1065" s="5"/>
      <c r="C1065" s="4"/>
      <c r="E1065" s="10"/>
      <c r="F1065" s="10"/>
      <c r="G1065" s="10"/>
      <c r="H1065" s="10"/>
      <c r="I1065" s="10"/>
      <c r="J1065" s="10"/>
    </row>
    <row r="1066" spans="1:10" x14ac:dyDescent="0.25">
      <c r="A1066" s="4"/>
      <c r="B1066" s="5"/>
      <c r="C1066" s="4"/>
      <c r="E1066" s="10"/>
      <c r="F1066" s="10"/>
      <c r="G1066" s="10"/>
      <c r="H1066" s="10"/>
      <c r="I1066" s="10"/>
      <c r="J1066" s="10"/>
    </row>
    <row r="1067" spans="1:10" x14ac:dyDescent="0.25">
      <c r="A1067" s="4"/>
      <c r="B1067" s="5"/>
      <c r="C1067" s="4"/>
      <c r="E1067" s="10"/>
      <c r="F1067" s="10"/>
      <c r="G1067" s="10"/>
      <c r="H1067" s="10"/>
      <c r="I1067" s="10"/>
      <c r="J1067" s="10"/>
    </row>
    <row r="1068" spans="1:10" x14ac:dyDescent="0.25">
      <c r="A1068" s="4"/>
      <c r="B1068" s="5"/>
      <c r="C1068" s="4"/>
      <c r="E1068" s="10"/>
      <c r="F1068" s="10"/>
      <c r="G1068" s="10"/>
      <c r="H1068" s="10"/>
      <c r="I1068" s="10"/>
      <c r="J1068" s="10"/>
    </row>
    <row r="1069" spans="1:10" x14ac:dyDescent="0.25">
      <c r="A1069" s="4"/>
      <c r="B1069" s="5"/>
      <c r="C1069" s="4"/>
      <c r="E1069" s="10"/>
      <c r="F1069" s="10"/>
      <c r="G1069" s="10"/>
      <c r="H1069" s="10"/>
      <c r="I1069" s="10"/>
      <c r="J1069" s="10"/>
    </row>
    <row r="1070" spans="1:10" x14ac:dyDescent="0.25">
      <c r="A1070" s="4"/>
      <c r="B1070" s="5"/>
      <c r="C1070" s="4"/>
      <c r="E1070" s="10"/>
      <c r="F1070" s="10"/>
      <c r="G1070" s="10"/>
      <c r="H1070" s="10"/>
      <c r="I1070" s="10"/>
      <c r="J1070" s="10"/>
    </row>
    <row r="1071" spans="1:10" x14ac:dyDescent="0.25">
      <c r="A1071" s="4"/>
      <c r="B1071" s="5"/>
      <c r="C1071" s="4"/>
      <c r="E1071" s="10"/>
      <c r="F1071" s="10"/>
      <c r="G1071" s="10"/>
      <c r="H1071" s="10"/>
      <c r="I1071" s="10"/>
      <c r="J1071" s="10"/>
    </row>
    <row r="1072" spans="1:10" x14ac:dyDescent="0.25">
      <c r="A1072" s="4"/>
      <c r="B1072" s="5"/>
      <c r="C1072" s="4"/>
      <c r="E1072" s="10"/>
      <c r="F1072" s="10"/>
      <c r="G1072" s="10"/>
      <c r="H1072" s="10"/>
      <c r="I1072" s="10"/>
      <c r="J1072" s="10"/>
    </row>
    <row r="1073" spans="1:10" x14ac:dyDescent="0.25">
      <c r="A1073" s="4"/>
      <c r="B1073" s="5"/>
      <c r="C1073" s="4"/>
      <c r="E1073" s="10"/>
      <c r="F1073" s="10"/>
      <c r="G1073" s="10"/>
      <c r="H1073" s="10"/>
      <c r="I1073" s="10"/>
      <c r="J1073" s="10"/>
    </row>
    <row r="1074" spans="1:10" x14ac:dyDescent="0.25">
      <c r="A1074" s="4"/>
      <c r="B1074" s="5"/>
      <c r="C1074" s="4"/>
      <c r="E1074" s="10"/>
      <c r="F1074" s="10"/>
      <c r="G1074" s="10"/>
      <c r="H1074" s="10"/>
      <c r="I1074" s="10"/>
      <c r="J1074" s="10"/>
    </row>
    <row r="1075" spans="1:10" x14ac:dyDescent="0.25">
      <c r="A1075" s="4"/>
      <c r="B1075" s="5"/>
      <c r="C1075" s="4"/>
      <c r="E1075" s="10"/>
      <c r="F1075" s="10"/>
      <c r="G1075" s="10"/>
      <c r="H1075" s="10"/>
      <c r="I1075" s="10"/>
      <c r="J1075" s="10"/>
    </row>
    <row r="1076" spans="1:10" x14ac:dyDescent="0.25">
      <c r="A1076" s="4"/>
      <c r="B1076" s="5"/>
      <c r="C1076" s="4"/>
      <c r="E1076" s="10"/>
      <c r="F1076" s="10"/>
      <c r="G1076" s="10"/>
      <c r="H1076" s="10"/>
      <c r="I1076" s="10"/>
      <c r="J1076" s="10"/>
    </row>
    <row r="1077" spans="1:10" x14ac:dyDescent="0.25">
      <c r="A1077" s="4"/>
      <c r="B1077" s="5"/>
      <c r="C1077" s="4"/>
      <c r="E1077" s="10"/>
      <c r="F1077" s="10"/>
      <c r="G1077" s="10"/>
      <c r="H1077" s="10"/>
      <c r="I1077" s="10"/>
      <c r="J1077" s="10"/>
    </row>
    <row r="1078" spans="1:10" x14ac:dyDescent="0.25">
      <c r="A1078" s="4"/>
      <c r="B1078" s="5"/>
      <c r="C1078" s="4"/>
      <c r="E1078" s="10"/>
      <c r="F1078" s="10"/>
      <c r="G1078" s="10"/>
      <c r="H1078" s="10"/>
      <c r="I1078" s="10"/>
      <c r="J1078" s="10"/>
    </row>
    <row r="1079" spans="1:10" x14ac:dyDescent="0.25">
      <c r="A1079" s="4"/>
      <c r="B1079" s="5"/>
      <c r="C1079" s="4"/>
      <c r="E1079" s="10"/>
      <c r="F1079" s="10"/>
      <c r="G1079" s="10"/>
      <c r="H1079" s="10"/>
      <c r="I1079" s="10"/>
      <c r="J1079" s="10"/>
    </row>
    <row r="1080" spans="1:10" x14ac:dyDescent="0.25">
      <c r="A1080" s="4"/>
      <c r="B1080" s="5"/>
      <c r="C1080" s="4"/>
      <c r="E1080" s="10"/>
      <c r="F1080" s="10"/>
      <c r="G1080" s="10"/>
      <c r="H1080" s="10"/>
      <c r="I1080" s="10"/>
      <c r="J1080" s="10"/>
    </row>
    <row r="1081" spans="1:10" x14ac:dyDescent="0.25">
      <c r="A1081" s="4"/>
      <c r="B1081" s="5"/>
      <c r="C1081" s="4"/>
      <c r="E1081" s="10"/>
      <c r="F1081" s="10"/>
      <c r="G1081" s="10"/>
      <c r="H1081" s="10"/>
      <c r="I1081" s="10"/>
      <c r="J1081" s="10"/>
    </row>
    <row r="1082" spans="1:10" x14ac:dyDescent="0.25">
      <c r="A1082" s="4"/>
      <c r="B1082" s="5"/>
      <c r="C1082" s="4"/>
      <c r="E1082" s="10"/>
      <c r="F1082" s="10"/>
      <c r="G1082" s="10"/>
      <c r="H1082" s="10"/>
      <c r="I1082" s="10"/>
      <c r="J1082" s="10"/>
    </row>
    <row r="1083" spans="1:10" x14ac:dyDescent="0.25">
      <c r="A1083" s="4"/>
      <c r="B1083" s="5"/>
      <c r="C1083" s="4"/>
      <c r="E1083" s="10"/>
      <c r="F1083" s="10"/>
      <c r="G1083" s="10"/>
      <c r="H1083" s="10"/>
      <c r="I1083" s="10"/>
      <c r="J1083" s="10"/>
    </row>
    <row r="1084" spans="1:10" x14ac:dyDescent="0.25">
      <c r="A1084" s="4"/>
      <c r="B1084" s="5"/>
      <c r="C1084" s="4"/>
      <c r="E1084" s="10"/>
      <c r="F1084" s="10"/>
      <c r="G1084" s="10"/>
      <c r="H1084" s="10"/>
      <c r="I1084" s="10"/>
      <c r="J1084" s="10"/>
    </row>
    <row r="1085" spans="1:10" x14ac:dyDescent="0.25">
      <c r="A1085" s="4"/>
      <c r="B1085" s="5"/>
      <c r="C1085" s="4"/>
      <c r="E1085" s="10"/>
      <c r="F1085" s="10"/>
      <c r="G1085" s="10"/>
      <c r="H1085" s="10"/>
      <c r="I1085" s="10"/>
      <c r="J1085" s="10"/>
    </row>
    <row r="1086" spans="1:10" x14ac:dyDescent="0.25">
      <c r="A1086" s="4"/>
      <c r="B1086" s="5"/>
      <c r="C1086" s="4"/>
      <c r="E1086" s="10"/>
      <c r="F1086" s="10"/>
      <c r="G1086" s="10"/>
      <c r="H1086" s="10"/>
      <c r="I1086" s="10"/>
      <c r="J1086" s="10"/>
    </row>
    <row r="1087" spans="1:10" x14ac:dyDescent="0.25">
      <c r="A1087" s="4"/>
      <c r="B1087" s="5"/>
      <c r="C1087" s="4"/>
      <c r="E1087" s="10"/>
      <c r="F1087" s="10"/>
      <c r="G1087" s="10"/>
      <c r="H1087" s="10"/>
      <c r="I1087" s="10"/>
      <c r="J1087" s="10"/>
    </row>
    <row r="1088" spans="1:10" x14ac:dyDescent="0.25">
      <c r="A1088" s="4"/>
      <c r="B1088" s="5"/>
      <c r="C1088" s="4"/>
      <c r="E1088" s="10"/>
      <c r="F1088" s="10"/>
      <c r="G1088" s="10"/>
      <c r="H1088" s="10"/>
      <c r="I1088" s="10"/>
      <c r="J1088" s="10"/>
    </row>
    <row r="1089" spans="1:15" x14ac:dyDescent="0.25">
      <c r="A1089" s="4"/>
      <c r="B1089" s="5"/>
      <c r="C1089" s="4"/>
      <c r="E1089" s="10"/>
      <c r="F1089" s="10"/>
      <c r="G1089" s="10"/>
      <c r="H1089" s="10"/>
      <c r="I1089" s="10"/>
      <c r="J1089" s="10"/>
    </row>
    <row r="1090" spans="1:15" x14ac:dyDescent="0.25">
      <c r="A1090" s="4"/>
      <c r="B1090" s="5"/>
      <c r="C1090" s="4"/>
      <c r="E1090" s="10"/>
      <c r="F1090" s="10"/>
      <c r="G1090" s="10"/>
      <c r="H1090" s="10"/>
      <c r="I1090" s="10"/>
      <c r="J1090" s="10"/>
    </row>
    <row r="1091" spans="1:15" x14ac:dyDescent="0.25">
      <c r="A1091" s="4"/>
      <c r="B1091" s="5"/>
      <c r="C1091" s="4"/>
      <c r="E1091" s="10"/>
      <c r="F1091" s="10"/>
      <c r="G1091" s="10"/>
      <c r="H1091" s="10"/>
      <c r="I1091" s="10"/>
      <c r="J1091" s="10"/>
    </row>
    <row r="1092" spans="1:15" x14ac:dyDescent="0.25">
      <c r="A1092" s="4"/>
      <c r="B1092" s="5"/>
      <c r="C1092" s="4"/>
      <c r="E1092" s="10"/>
      <c r="F1092" s="10"/>
      <c r="G1092" s="10"/>
      <c r="H1092" s="10"/>
      <c r="I1092" s="10"/>
      <c r="J1092" s="10"/>
    </row>
    <row r="1093" spans="1:15" x14ac:dyDescent="0.25">
      <c r="A1093" s="4"/>
      <c r="B1093" s="5"/>
      <c r="C1093" s="4"/>
      <c r="E1093" s="10"/>
      <c r="F1093" s="10"/>
      <c r="G1093" s="10"/>
      <c r="H1093" s="10"/>
      <c r="I1093" s="10"/>
      <c r="J1093" s="10"/>
    </row>
    <row r="1094" spans="1:15" x14ac:dyDescent="0.25">
      <c r="A1094" s="4"/>
      <c r="B1094" s="5"/>
      <c r="C1094" s="4"/>
      <c r="E1094" s="10"/>
      <c r="F1094" s="10"/>
      <c r="G1094" s="10"/>
      <c r="H1094" s="10"/>
      <c r="I1094" s="10"/>
      <c r="J1094" s="10"/>
    </row>
    <row r="1095" spans="1:15" x14ac:dyDescent="0.25">
      <c r="A1095" s="4"/>
      <c r="B1095" s="5"/>
      <c r="C1095" s="4"/>
      <c r="E1095" s="10"/>
      <c r="F1095" s="10"/>
      <c r="G1095" s="10"/>
      <c r="H1095" s="10"/>
      <c r="I1095" s="10"/>
      <c r="J1095" s="10"/>
    </row>
    <row r="1096" spans="1:15" x14ac:dyDescent="0.25">
      <c r="A1096" s="4"/>
      <c r="B1096" s="5"/>
      <c r="C1096" s="4"/>
      <c r="E1096" s="10"/>
      <c r="F1096" s="10"/>
      <c r="G1096" s="10"/>
      <c r="H1096" s="10"/>
      <c r="I1096" s="10"/>
      <c r="J1096" s="10"/>
      <c r="O1096" s="8"/>
    </row>
    <row r="1097" spans="1:15" x14ac:dyDescent="0.25">
      <c r="A1097" s="4"/>
      <c r="B1097" s="5"/>
      <c r="C1097" s="4"/>
      <c r="E1097" s="10"/>
      <c r="F1097" s="10"/>
      <c r="G1097" s="10"/>
      <c r="H1097" s="10"/>
      <c r="I1097" s="10"/>
      <c r="J1097" s="10"/>
    </row>
    <row r="1098" spans="1:15" x14ac:dyDescent="0.25">
      <c r="A1098" s="4"/>
      <c r="B1098" s="5"/>
      <c r="C1098" s="4"/>
      <c r="E1098" s="10"/>
      <c r="F1098" s="10"/>
      <c r="G1098" s="10"/>
      <c r="H1098" s="10"/>
      <c r="I1098" s="10"/>
      <c r="J1098" s="10"/>
    </row>
    <row r="1099" spans="1:15" x14ac:dyDescent="0.25">
      <c r="A1099" s="4"/>
      <c r="B1099" s="5"/>
      <c r="C1099" s="4"/>
      <c r="E1099" s="10"/>
      <c r="F1099" s="10"/>
      <c r="G1099" s="10"/>
      <c r="H1099" s="10"/>
      <c r="I1099" s="10"/>
      <c r="J1099" s="10"/>
    </row>
    <row r="1100" spans="1:15" x14ac:dyDescent="0.25">
      <c r="A1100" s="4"/>
      <c r="B1100" s="5"/>
      <c r="C1100" s="4"/>
      <c r="E1100" s="10"/>
      <c r="F1100" s="10"/>
      <c r="G1100" s="10"/>
      <c r="H1100" s="10"/>
      <c r="I1100" s="10"/>
      <c r="J1100" s="10"/>
    </row>
    <row r="1101" spans="1:15" x14ac:dyDescent="0.25">
      <c r="A1101" s="4"/>
      <c r="B1101" s="5"/>
      <c r="C1101" s="4"/>
      <c r="E1101" s="10"/>
      <c r="F1101" s="10"/>
      <c r="G1101" s="10"/>
      <c r="H1101" s="10"/>
      <c r="I1101" s="10"/>
      <c r="J1101" s="10"/>
    </row>
    <row r="1102" spans="1:15" x14ac:dyDescent="0.25">
      <c r="A1102" s="4"/>
      <c r="B1102" s="5"/>
      <c r="C1102" s="4"/>
      <c r="E1102" s="10"/>
      <c r="F1102" s="10"/>
      <c r="G1102" s="10"/>
      <c r="H1102" s="10"/>
      <c r="I1102" s="10"/>
      <c r="J1102" s="10"/>
    </row>
    <row r="1103" spans="1:15" x14ac:dyDescent="0.25">
      <c r="A1103" s="4"/>
      <c r="B1103" s="5"/>
      <c r="C1103" s="4"/>
      <c r="E1103" s="10"/>
      <c r="F1103" s="10"/>
      <c r="G1103" s="10"/>
      <c r="H1103" s="10"/>
      <c r="I1103" s="10"/>
      <c r="J1103" s="10"/>
    </row>
    <row r="1104" spans="1:15" x14ac:dyDescent="0.25">
      <c r="A1104" s="4"/>
      <c r="B1104" s="5"/>
      <c r="C1104" s="4"/>
      <c r="E1104" s="10"/>
      <c r="F1104" s="10"/>
      <c r="G1104" s="10"/>
      <c r="H1104" s="10"/>
      <c r="I1104" s="10"/>
      <c r="J1104" s="10"/>
    </row>
    <row r="1105" spans="1:10" x14ac:dyDescent="0.25">
      <c r="A1105" s="4"/>
      <c r="B1105" s="5"/>
      <c r="C1105" s="4"/>
      <c r="E1105" s="10"/>
      <c r="F1105" s="10"/>
      <c r="G1105" s="10"/>
      <c r="H1105" s="10"/>
      <c r="I1105" s="10"/>
      <c r="J1105" s="10"/>
    </row>
    <row r="1106" spans="1:10" x14ac:dyDescent="0.25">
      <c r="A1106" s="4"/>
      <c r="B1106" s="5"/>
      <c r="C1106" s="4"/>
      <c r="E1106" s="10"/>
      <c r="F1106" s="10"/>
      <c r="G1106" s="10"/>
      <c r="H1106" s="10"/>
      <c r="I1106" s="10"/>
      <c r="J1106" s="10"/>
    </row>
    <row r="1107" spans="1:10" x14ac:dyDescent="0.25">
      <c r="A1107" s="4"/>
      <c r="B1107" s="5"/>
      <c r="C1107" s="4"/>
      <c r="E1107" s="10"/>
      <c r="F1107" s="10"/>
      <c r="G1107" s="10"/>
      <c r="H1107" s="10"/>
      <c r="I1107" s="10"/>
      <c r="J1107" s="10"/>
    </row>
    <row r="1108" spans="1:10" x14ac:dyDescent="0.25">
      <c r="A1108" s="4"/>
      <c r="B1108" s="5"/>
      <c r="C1108" s="4"/>
      <c r="E1108" s="10"/>
      <c r="F1108" s="10"/>
      <c r="G1108" s="10"/>
      <c r="H1108" s="10"/>
      <c r="I1108" s="10"/>
      <c r="J1108" s="10"/>
    </row>
    <row r="1109" spans="1:10" x14ac:dyDescent="0.25">
      <c r="A1109" s="4"/>
      <c r="B1109" s="5"/>
      <c r="C1109" s="4"/>
      <c r="E1109" s="10"/>
      <c r="F1109" s="10"/>
      <c r="G1109" s="10"/>
      <c r="H1109" s="10"/>
      <c r="I1109" s="10"/>
      <c r="J1109" s="10"/>
    </row>
    <row r="1110" spans="1:10" x14ac:dyDescent="0.25">
      <c r="A1110" s="4"/>
      <c r="B1110" s="5"/>
      <c r="C1110" s="4"/>
      <c r="E1110" s="10"/>
      <c r="F1110" s="10"/>
      <c r="G1110" s="10"/>
      <c r="H1110" s="10"/>
      <c r="I1110" s="10"/>
      <c r="J1110" s="10"/>
    </row>
    <row r="1111" spans="1:10" x14ac:dyDescent="0.25">
      <c r="A1111" s="4"/>
      <c r="B1111" s="5"/>
      <c r="C1111" s="4"/>
      <c r="E1111" s="10"/>
      <c r="F1111" s="10"/>
      <c r="G1111" s="10"/>
      <c r="H1111" s="10"/>
      <c r="I1111" s="10"/>
      <c r="J1111" s="10"/>
    </row>
    <row r="1112" spans="1:10" x14ac:dyDescent="0.25">
      <c r="A1112" s="4"/>
      <c r="B1112" s="5"/>
      <c r="C1112" s="4"/>
      <c r="E1112" s="10"/>
      <c r="F1112" s="10"/>
      <c r="G1112" s="10"/>
      <c r="H1112" s="10"/>
      <c r="I1112" s="10"/>
      <c r="J1112" s="10"/>
    </row>
    <row r="1113" spans="1:10" x14ac:dyDescent="0.25">
      <c r="A1113" s="4"/>
      <c r="B1113" s="5"/>
      <c r="C1113" s="4"/>
      <c r="E1113" s="10"/>
      <c r="F1113" s="10"/>
      <c r="G1113" s="10"/>
      <c r="H1113" s="10"/>
      <c r="I1113" s="10"/>
      <c r="J1113" s="10"/>
    </row>
    <row r="1114" spans="1:10" x14ac:dyDescent="0.25">
      <c r="A1114" s="4"/>
      <c r="B1114" s="5"/>
      <c r="C1114" s="4"/>
      <c r="E1114" s="10"/>
      <c r="F1114" s="10"/>
      <c r="G1114" s="10"/>
      <c r="H1114" s="10"/>
      <c r="I1114" s="10"/>
      <c r="J1114" s="10"/>
    </row>
    <row r="1115" spans="1:10" x14ac:dyDescent="0.25">
      <c r="A1115" s="4"/>
      <c r="B1115" s="5"/>
      <c r="C1115" s="4"/>
      <c r="E1115" s="10"/>
      <c r="F1115" s="10"/>
      <c r="G1115" s="10"/>
      <c r="H1115" s="10"/>
      <c r="I1115" s="10"/>
      <c r="J1115" s="10"/>
    </row>
    <row r="1116" spans="1:10" x14ac:dyDescent="0.25">
      <c r="A1116" s="4"/>
      <c r="B1116" s="5"/>
      <c r="C1116" s="4"/>
      <c r="E1116" s="10"/>
      <c r="F1116" s="10"/>
      <c r="G1116" s="10"/>
      <c r="H1116" s="10"/>
      <c r="I1116" s="10"/>
      <c r="J1116" s="10"/>
    </row>
    <row r="1117" spans="1:10" x14ac:dyDescent="0.25">
      <c r="A1117" s="4"/>
      <c r="B1117" s="5"/>
      <c r="C1117" s="4"/>
      <c r="E1117" s="10"/>
      <c r="F1117" s="10"/>
      <c r="G1117" s="10"/>
      <c r="H1117" s="10"/>
      <c r="I1117" s="10"/>
      <c r="J1117" s="10"/>
    </row>
    <row r="1118" spans="1:10" x14ac:dyDescent="0.25">
      <c r="A1118" s="4"/>
      <c r="B1118" s="5"/>
      <c r="C1118" s="4"/>
      <c r="E1118" s="10"/>
      <c r="F1118" s="10"/>
      <c r="G1118" s="10"/>
      <c r="H1118" s="10"/>
      <c r="I1118" s="10"/>
      <c r="J1118" s="10"/>
    </row>
    <row r="1119" spans="1:10" x14ac:dyDescent="0.25">
      <c r="A1119" s="4"/>
      <c r="B1119" s="5"/>
      <c r="C1119" s="4"/>
      <c r="E1119" s="10"/>
      <c r="F1119" s="10"/>
      <c r="G1119" s="10"/>
      <c r="H1119" s="10"/>
      <c r="I1119" s="10"/>
      <c r="J1119" s="10"/>
    </row>
    <row r="1120" spans="1:10" x14ac:dyDescent="0.25">
      <c r="A1120" s="4"/>
      <c r="B1120" s="5"/>
      <c r="C1120" s="4"/>
      <c r="E1120" s="10"/>
      <c r="F1120" s="10"/>
      <c r="G1120" s="10"/>
      <c r="H1120" s="10"/>
      <c r="I1120" s="10"/>
      <c r="J1120" s="10"/>
    </row>
    <row r="1121" spans="1:10" x14ac:dyDescent="0.25">
      <c r="A1121" s="4"/>
      <c r="B1121" s="5"/>
      <c r="C1121" s="4"/>
      <c r="E1121" s="10"/>
      <c r="F1121" s="10"/>
      <c r="G1121" s="10"/>
      <c r="H1121" s="10"/>
      <c r="I1121" s="10"/>
      <c r="J1121" s="10"/>
    </row>
    <row r="1122" spans="1:10" x14ac:dyDescent="0.25">
      <c r="A1122" s="4"/>
      <c r="B1122" s="5"/>
      <c r="C1122" s="4"/>
      <c r="E1122" s="10"/>
      <c r="F1122" s="10"/>
      <c r="G1122" s="10"/>
      <c r="H1122" s="10"/>
      <c r="I1122" s="10"/>
      <c r="J1122" s="10"/>
    </row>
    <row r="1123" spans="1:10" x14ac:dyDescent="0.25">
      <c r="A1123" s="4"/>
      <c r="B1123" s="5"/>
      <c r="C1123" s="4"/>
      <c r="E1123" s="10"/>
      <c r="F1123" s="10"/>
      <c r="G1123" s="10"/>
      <c r="H1123" s="10"/>
      <c r="I1123" s="10"/>
      <c r="J1123" s="10"/>
    </row>
    <row r="1124" spans="1:10" x14ac:dyDescent="0.25">
      <c r="A1124" s="4"/>
      <c r="B1124" s="5"/>
      <c r="C1124" s="4"/>
      <c r="E1124" s="10"/>
      <c r="F1124" s="10"/>
      <c r="G1124" s="10"/>
      <c r="H1124" s="10"/>
      <c r="I1124" s="10"/>
      <c r="J1124" s="10"/>
    </row>
    <row r="1125" spans="1:10" x14ac:dyDescent="0.25">
      <c r="A1125" s="4"/>
      <c r="B1125" s="5"/>
      <c r="C1125" s="4"/>
      <c r="E1125" s="10"/>
      <c r="F1125" s="10"/>
      <c r="G1125" s="10"/>
      <c r="H1125" s="10"/>
      <c r="I1125" s="10"/>
      <c r="J1125" s="10"/>
    </row>
    <row r="1126" spans="1:10" x14ac:dyDescent="0.25">
      <c r="A1126" s="4"/>
      <c r="B1126" s="5"/>
      <c r="C1126" s="4"/>
      <c r="E1126" s="10"/>
      <c r="F1126" s="10"/>
      <c r="G1126" s="10"/>
      <c r="H1126" s="10"/>
      <c r="I1126" s="10"/>
      <c r="J1126" s="10"/>
    </row>
    <row r="1127" spans="1:10" x14ac:dyDescent="0.25">
      <c r="A1127" s="4"/>
      <c r="B1127" s="5"/>
      <c r="C1127" s="4"/>
      <c r="E1127" s="10"/>
      <c r="F1127" s="10"/>
      <c r="G1127" s="10"/>
      <c r="H1127" s="10"/>
      <c r="I1127" s="10"/>
      <c r="J1127" s="10"/>
    </row>
    <row r="1128" spans="1:10" x14ac:dyDescent="0.25">
      <c r="A1128" s="4"/>
      <c r="B1128" s="5"/>
      <c r="C1128" s="4"/>
      <c r="E1128" s="10"/>
      <c r="F1128" s="10"/>
      <c r="G1128" s="10"/>
      <c r="H1128" s="10"/>
      <c r="I1128" s="10"/>
      <c r="J1128" s="10"/>
    </row>
    <row r="1129" spans="1:10" x14ac:dyDescent="0.25">
      <c r="A1129" s="4"/>
      <c r="B1129" s="5"/>
      <c r="C1129" s="4"/>
      <c r="E1129" s="10"/>
      <c r="F1129" s="10"/>
      <c r="G1129" s="10"/>
      <c r="H1129" s="10"/>
      <c r="I1129" s="10"/>
      <c r="J1129" s="10"/>
    </row>
    <row r="1130" spans="1:10" x14ac:dyDescent="0.25">
      <c r="A1130" s="4"/>
      <c r="B1130" s="5"/>
      <c r="C1130" s="4"/>
      <c r="E1130" s="10"/>
      <c r="F1130" s="10"/>
      <c r="G1130" s="10"/>
      <c r="H1130" s="10"/>
      <c r="I1130" s="10"/>
      <c r="J1130" s="10"/>
    </row>
    <row r="1131" spans="1:10" x14ac:dyDescent="0.25">
      <c r="A1131" s="4"/>
      <c r="B1131" s="5"/>
      <c r="C1131" s="4"/>
      <c r="E1131" s="10"/>
      <c r="F1131" s="10"/>
      <c r="G1131" s="10"/>
      <c r="H1131" s="10"/>
      <c r="I1131" s="10"/>
      <c r="J1131" s="10"/>
    </row>
    <row r="1132" spans="1:10" x14ac:dyDescent="0.25">
      <c r="A1132" s="4"/>
      <c r="B1132" s="5"/>
      <c r="C1132" s="4"/>
      <c r="E1132" s="10"/>
      <c r="F1132" s="10"/>
      <c r="G1132" s="10"/>
      <c r="H1132" s="10"/>
      <c r="I1132" s="10"/>
      <c r="J1132" s="10"/>
    </row>
    <row r="1133" spans="1:10" x14ac:dyDescent="0.25">
      <c r="A1133" s="4"/>
      <c r="B1133" s="5"/>
      <c r="C1133" s="4"/>
      <c r="E1133" s="10"/>
      <c r="F1133" s="10"/>
      <c r="G1133" s="10"/>
      <c r="H1133" s="10"/>
      <c r="I1133" s="10"/>
      <c r="J1133" s="10"/>
    </row>
    <row r="1134" spans="1:10" x14ac:dyDescent="0.25">
      <c r="A1134" s="4"/>
      <c r="B1134" s="5"/>
      <c r="C1134" s="4"/>
      <c r="E1134" s="10"/>
      <c r="F1134" s="10"/>
      <c r="G1134" s="10"/>
      <c r="H1134" s="10"/>
      <c r="I1134" s="10"/>
      <c r="J1134" s="10"/>
    </row>
    <row r="1135" spans="1:10" x14ac:dyDescent="0.25">
      <c r="A1135" s="4"/>
      <c r="B1135" s="5"/>
      <c r="C1135" s="4"/>
      <c r="E1135" s="10"/>
      <c r="F1135" s="10"/>
      <c r="G1135" s="10"/>
      <c r="H1135" s="10"/>
      <c r="I1135" s="10"/>
      <c r="J1135" s="10"/>
    </row>
    <row r="1136" spans="1:10" x14ac:dyDescent="0.25">
      <c r="A1136" s="4"/>
      <c r="B1136" s="5"/>
      <c r="C1136" s="4"/>
      <c r="E1136" s="10"/>
      <c r="F1136" s="10"/>
      <c r="G1136" s="10"/>
      <c r="H1136" s="10"/>
      <c r="I1136" s="10"/>
      <c r="J1136" s="10"/>
    </row>
    <row r="1137" spans="1:10" x14ac:dyDescent="0.25">
      <c r="A1137" s="4"/>
      <c r="B1137" s="5"/>
      <c r="C1137" s="4"/>
      <c r="E1137" s="10"/>
      <c r="F1137" s="10"/>
      <c r="G1137" s="10"/>
      <c r="H1137" s="10"/>
      <c r="I1137" s="10"/>
      <c r="J1137" s="10"/>
    </row>
    <row r="1138" spans="1:10" x14ac:dyDescent="0.25">
      <c r="A1138" s="4"/>
      <c r="B1138" s="5"/>
      <c r="C1138" s="4"/>
      <c r="E1138" s="10"/>
      <c r="F1138" s="10"/>
      <c r="G1138" s="10"/>
      <c r="H1138" s="10"/>
      <c r="I1138" s="10"/>
      <c r="J1138" s="10"/>
    </row>
    <row r="1139" spans="1:10" x14ac:dyDescent="0.25">
      <c r="A1139" s="4"/>
      <c r="B1139" s="5"/>
      <c r="C1139" s="4"/>
      <c r="E1139" s="10"/>
      <c r="F1139" s="10"/>
      <c r="G1139" s="10"/>
      <c r="H1139" s="10"/>
      <c r="I1139" s="10"/>
      <c r="J1139" s="10"/>
    </row>
    <row r="1140" spans="1:10" x14ac:dyDescent="0.25">
      <c r="A1140" s="4"/>
      <c r="B1140" s="5"/>
      <c r="C1140" s="4"/>
      <c r="E1140" s="10"/>
      <c r="F1140" s="10"/>
      <c r="G1140" s="10"/>
      <c r="H1140" s="10"/>
      <c r="I1140" s="10"/>
      <c r="J1140" s="10"/>
    </row>
    <row r="1141" spans="1:10" x14ac:dyDescent="0.25">
      <c r="A1141" s="4"/>
      <c r="B1141" s="5"/>
      <c r="C1141" s="4"/>
      <c r="E1141" s="10"/>
      <c r="F1141" s="10"/>
      <c r="G1141" s="10"/>
      <c r="H1141" s="10"/>
      <c r="I1141" s="10"/>
      <c r="J1141" s="10"/>
    </row>
    <row r="1142" spans="1:10" x14ac:dyDescent="0.25">
      <c r="A1142" s="4"/>
      <c r="B1142" s="5"/>
      <c r="C1142" s="4"/>
      <c r="E1142" s="10"/>
      <c r="F1142" s="10"/>
      <c r="G1142" s="10"/>
      <c r="H1142" s="10"/>
      <c r="I1142" s="10"/>
      <c r="J1142" s="10"/>
    </row>
    <row r="1143" spans="1:10" x14ac:dyDescent="0.25">
      <c r="A1143" s="4"/>
      <c r="B1143" s="5"/>
      <c r="C1143" s="4"/>
      <c r="E1143" s="10"/>
      <c r="F1143" s="10"/>
      <c r="G1143" s="10"/>
      <c r="H1143" s="10"/>
      <c r="I1143" s="10"/>
      <c r="J1143" s="10"/>
    </row>
    <row r="1144" spans="1:10" x14ac:dyDescent="0.25">
      <c r="A1144" s="4"/>
      <c r="B1144" s="5"/>
      <c r="C1144" s="4"/>
      <c r="E1144" s="10"/>
      <c r="F1144" s="10"/>
      <c r="G1144" s="10"/>
      <c r="H1144" s="10"/>
      <c r="I1144" s="10"/>
      <c r="J1144" s="10"/>
    </row>
    <row r="1145" spans="1:10" x14ac:dyDescent="0.25">
      <c r="A1145" s="4"/>
      <c r="B1145" s="5"/>
      <c r="C1145" s="4"/>
      <c r="E1145" s="10"/>
      <c r="F1145" s="10"/>
      <c r="G1145" s="10"/>
      <c r="H1145" s="10"/>
      <c r="I1145" s="10"/>
      <c r="J1145" s="10"/>
    </row>
    <row r="1146" spans="1:10" x14ac:dyDescent="0.25">
      <c r="A1146" s="4"/>
      <c r="B1146" s="5"/>
      <c r="C1146" s="4"/>
      <c r="E1146" s="10"/>
      <c r="F1146" s="10"/>
      <c r="G1146" s="10"/>
      <c r="H1146" s="10"/>
      <c r="I1146" s="10"/>
      <c r="J1146" s="10"/>
    </row>
    <row r="1147" spans="1:10" x14ac:dyDescent="0.25">
      <c r="A1147" s="4"/>
      <c r="B1147" s="5"/>
      <c r="C1147" s="4"/>
      <c r="E1147" s="10"/>
      <c r="F1147" s="10"/>
      <c r="G1147" s="10"/>
      <c r="H1147" s="10"/>
      <c r="I1147" s="10"/>
      <c r="J1147" s="10"/>
    </row>
    <row r="1148" spans="1:10" x14ac:dyDescent="0.25">
      <c r="A1148" s="4"/>
      <c r="B1148" s="5"/>
      <c r="C1148" s="4"/>
      <c r="E1148" s="10"/>
      <c r="F1148" s="10"/>
      <c r="G1148" s="10"/>
      <c r="H1148" s="10"/>
      <c r="I1148" s="10"/>
      <c r="J1148" s="10"/>
    </row>
    <row r="1149" spans="1:10" x14ac:dyDescent="0.25">
      <c r="A1149" s="4"/>
      <c r="B1149" s="5"/>
      <c r="C1149" s="4"/>
      <c r="E1149" s="10"/>
      <c r="F1149" s="10"/>
      <c r="G1149" s="10"/>
      <c r="H1149" s="10"/>
      <c r="I1149" s="10"/>
      <c r="J1149" s="10"/>
    </row>
    <row r="1150" spans="1:10" x14ac:dyDescent="0.25">
      <c r="A1150" s="4"/>
      <c r="B1150" s="5"/>
      <c r="C1150" s="4"/>
      <c r="E1150" s="10"/>
      <c r="F1150" s="10"/>
      <c r="G1150" s="10"/>
      <c r="H1150" s="10"/>
      <c r="I1150" s="10"/>
      <c r="J1150" s="10"/>
    </row>
    <row r="1151" spans="1:10" x14ac:dyDescent="0.25">
      <c r="A1151" s="4"/>
      <c r="B1151" s="5"/>
      <c r="C1151" s="4"/>
      <c r="E1151" s="10"/>
      <c r="F1151" s="10"/>
      <c r="G1151" s="10"/>
      <c r="H1151" s="10"/>
      <c r="I1151" s="10"/>
      <c r="J1151" s="10"/>
    </row>
    <row r="1152" spans="1:10" x14ac:dyDescent="0.25">
      <c r="A1152" s="4"/>
      <c r="B1152" s="5"/>
      <c r="C1152" s="4"/>
      <c r="E1152" s="10"/>
      <c r="F1152" s="10"/>
      <c r="G1152" s="10"/>
      <c r="H1152" s="10"/>
      <c r="I1152" s="10"/>
      <c r="J1152" s="10"/>
    </row>
    <row r="1153" spans="1:10" x14ac:dyDescent="0.25">
      <c r="A1153" s="4"/>
      <c r="B1153" s="5"/>
      <c r="C1153" s="4"/>
      <c r="E1153" s="10"/>
      <c r="F1153" s="10"/>
      <c r="G1153" s="10"/>
      <c r="H1153" s="10"/>
      <c r="I1153" s="10"/>
      <c r="J1153" s="10"/>
    </row>
    <row r="1154" spans="1:10" x14ac:dyDescent="0.25">
      <c r="A1154" s="4"/>
      <c r="B1154" s="5"/>
      <c r="C1154" s="4"/>
      <c r="E1154" s="10"/>
      <c r="F1154" s="10"/>
      <c r="G1154" s="10"/>
      <c r="H1154" s="10"/>
      <c r="I1154" s="10"/>
      <c r="J1154" s="10"/>
    </row>
    <row r="1155" spans="1:10" x14ac:dyDescent="0.25">
      <c r="A1155" s="4"/>
      <c r="B1155" s="5"/>
      <c r="C1155" s="4"/>
      <c r="E1155" s="10"/>
      <c r="F1155" s="10"/>
      <c r="G1155" s="10"/>
      <c r="H1155" s="10"/>
      <c r="I1155" s="10"/>
      <c r="J1155" s="10"/>
    </row>
    <row r="1156" spans="1:10" x14ac:dyDescent="0.25">
      <c r="A1156" s="4"/>
      <c r="B1156" s="5"/>
      <c r="C1156" s="4"/>
      <c r="E1156" s="10"/>
      <c r="F1156" s="10"/>
      <c r="G1156" s="10"/>
      <c r="H1156" s="10"/>
      <c r="I1156" s="10"/>
      <c r="J1156" s="10"/>
    </row>
    <row r="1157" spans="1:10" x14ac:dyDescent="0.25">
      <c r="A1157" s="4"/>
      <c r="B1157" s="5"/>
      <c r="C1157" s="4"/>
      <c r="E1157" s="10"/>
      <c r="F1157" s="10"/>
      <c r="G1157" s="10"/>
      <c r="H1157" s="10"/>
      <c r="I1157" s="10"/>
      <c r="J1157" s="10"/>
    </row>
    <row r="1158" spans="1:10" x14ac:dyDescent="0.25">
      <c r="A1158" s="4"/>
      <c r="B1158" s="5"/>
      <c r="C1158" s="4"/>
      <c r="E1158" s="10"/>
      <c r="F1158" s="10"/>
      <c r="G1158" s="10"/>
      <c r="H1158" s="10"/>
      <c r="I1158" s="10"/>
      <c r="J1158" s="10"/>
    </row>
    <row r="1159" spans="1:10" x14ac:dyDescent="0.25">
      <c r="A1159" s="4"/>
      <c r="B1159" s="5"/>
      <c r="C1159" s="4"/>
      <c r="E1159" s="10"/>
      <c r="F1159" s="10"/>
      <c r="G1159" s="10"/>
      <c r="H1159" s="10"/>
      <c r="I1159" s="10"/>
      <c r="J1159" s="10"/>
    </row>
    <row r="1160" spans="1:10" x14ac:dyDescent="0.25">
      <c r="A1160" s="4"/>
      <c r="B1160" s="5"/>
      <c r="C1160" s="4"/>
      <c r="E1160" s="10"/>
      <c r="F1160" s="10"/>
      <c r="G1160" s="10"/>
      <c r="H1160" s="10"/>
      <c r="I1160" s="10"/>
      <c r="J1160" s="10"/>
    </row>
    <row r="1161" spans="1:10" x14ac:dyDescent="0.25">
      <c r="A1161" s="4"/>
      <c r="B1161" s="5"/>
      <c r="C1161" s="4"/>
      <c r="E1161" s="10"/>
      <c r="F1161" s="10"/>
      <c r="G1161" s="10"/>
      <c r="H1161" s="10"/>
      <c r="I1161" s="10"/>
      <c r="J1161" s="10"/>
    </row>
    <row r="1162" spans="1:10" x14ac:dyDescent="0.25">
      <c r="A1162" s="4"/>
      <c r="B1162" s="5"/>
      <c r="C1162" s="4"/>
      <c r="E1162" s="10"/>
      <c r="F1162" s="10"/>
      <c r="G1162" s="10"/>
      <c r="H1162" s="10"/>
      <c r="I1162" s="10"/>
      <c r="J1162" s="10"/>
    </row>
    <row r="1163" spans="1:10" x14ac:dyDescent="0.25">
      <c r="A1163" s="4"/>
      <c r="B1163" s="5"/>
      <c r="C1163" s="4"/>
      <c r="E1163" s="10"/>
      <c r="F1163" s="10"/>
      <c r="G1163" s="10"/>
      <c r="H1163" s="10"/>
      <c r="I1163" s="10"/>
      <c r="J1163" s="10"/>
    </row>
    <row r="1164" spans="1:10" x14ac:dyDescent="0.25">
      <c r="A1164" s="4"/>
      <c r="B1164" s="5"/>
      <c r="C1164" s="4"/>
      <c r="E1164" s="10"/>
      <c r="F1164" s="10"/>
      <c r="G1164" s="10"/>
      <c r="H1164" s="10"/>
      <c r="I1164" s="10"/>
      <c r="J1164" s="10"/>
    </row>
    <row r="1165" spans="1:10" x14ac:dyDescent="0.25">
      <c r="A1165" s="4"/>
      <c r="B1165" s="5"/>
      <c r="C1165" s="4"/>
      <c r="E1165" s="10"/>
      <c r="F1165" s="10"/>
      <c r="G1165" s="10"/>
      <c r="H1165" s="10"/>
      <c r="I1165" s="10"/>
      <c r="J1165" s="10"/>
    </row>
    <row r="1166" spans="1:10" x14ac:dyDescent="0.25">
      <c r="A1166" s="4"/>
      <c r="B1166" s="5"/>
      <c r="C1166" s="4"/>
      <c r="E1166" s="10"/>
      <c r="F1166" s="10"/>
      <c r="G1166" s="10"/>
      <c r="H1166" s="10"/>
      <c r="I1166" s="10"/>
      <c r="J1166" s="10"/>
    </row>
    <row r="1167" spans="1:10" x14ac:dyDescent="0.25">
      <c r="A1167" s="4"/>
      <c r="B1167" s="5"/>
      <c r="C1167" s="4"/>
      <c r="E1167" s="10"/>
      <c r="F1167" s="10"/>
      <c r="G1167" s="10"/>
      <c r="H1167" s="10"/>
      <c r="I1167" s="10"/>
      <c r="J1167" s="10"/>
    </row>
    <row r="1168" spans="1:10" x14ac:dyDescent="0.25">
      <c r="A1168" s="4"/>
      <c r="B1168" s="5"/>
      <c r="C1168" s="4"/>
      <c r="E1168" s="10"/>
      <c r="F1168" s="10"/>
      <c r="G1168" s="10"/>
      <c r="H1168" s="10"/>
      <c r="I1168" s="10"/>
      <c r="J1168" s="10"/>
    </row>
    <row r="1169" spans="1:10" x14ac:dyDescent="0.25">
      <c r="A1169" s="4"/>
      <c r="B1169" s="5"/>
      <c r="C1169" s="4"/>
      <c r="E1169" s="10"/>
      <c r="F1169" s="10"/>
      <c r="G1169" s="10"/>
      <c r="H1169" s="10"/>
      <c r="I1169" s="10"/>
      <c r="J1169" s="10"/>
    </row>
    <row r="1170" spans="1:10" x14ac:dyDescent="0.25">
      <c r="A1170" s="4"/>
      <c r="B1170" s="5"/>
      <c r="C1170" s="4"/>
      <c r="E1170" s="10"/>
      <c r="F1170" s="10"/>
      <c r="G1170" s="10"/>
      <c r="H1170" s="10"/>
      <c r="I1170" s="10"/>
      <c r="J1170" s="10"/>
    </row>
    <row r="1171" spans="1:10" x14ac:dyDescent="0.25">
      <c r="A1171" s="4"/>
      <c r="B1171" s="5"/>
      <c r="C1171" s="4"/>
      <c r="E1171" s="10"/>
      <c r="F1171" s="10"/>
      <c r="G1171" s="10"/>
      <c r="H1171" s="10"/>
      <c r="I1171" s="10"/>
      <c r="J1171" s="10"/>
    </row>
    <row r="1172" spans="1:10" x14ac:dyDescent="0.25">
      <c r="A1172" s="4"/>
      <c r="B1172" s="5"/>
      <c r="C1172" s="4"/>
      <c r="E1172" s="10"/>
      <c r="F1172" s="10"/>
      <c r="G1172" s="10"/>
      <c r="H1172" s="10"/>
      <c r="I1172" s="10"/>
      <c r="J1172" s="10"/>
    </row>
    <row r="1173" spans="1:10" x14ac:dyDescent="0.25">
      <c r="A1173" s="4"/>
      <c r="B1173" s="5"/>
      <c r="C1173" s="4"/>
      <c r="E1173" s="10"/>
      <c r="F1173" s="10"/>
      <c r="G1173" s="10"/>
      <c r="H1173" s="10"/>
      <c r="I1173" s="10"/>
      <c r="J1173" s="10"/>
    </row>
    <row r="1174" spans="1:10" x14ac:dyDescent="0.25">
      <c r="A1174" s="4"/>
      <c r="B1174" s="5"/>
      <c r="C1174" s="4"/>
      <c r="E1174" s="10"/>
      <c r="F1174" s="10"/>
      <c r="G1174" s="10"/>
      <c r="H1174" s="10"/>
      <c r="I1174" s="10"/>
      <c r="J1174" s="10"/>
    </row>
    <row r="1175" spans="1:10" x14ac:dyDescent="0.25">
      <c r="A1175" s="4"/>
      <c r="B1175" s="5"/>
      <c r="C1175" s="4"/>
      <c r="E1175" s="10"/>
      <c r="F1175" s="10"/>
      <c r="G1175" s="10"/>
      <c r="H1175" s="10"/>
      <c r="I1175" s="10"/>
      <c r="J1175" s="10"/>
    </row>
    <row r="1176" spans="1:10" x14ac:dyDescent="0.25">
      <c r="A1176" s="4"/>
      <c r="B1176" s="5"/>
      <c r="C1176" s="4"/>
      <c r="E1176" s="10"/>
      <c r="F1176" s="10"/>
      <c r="G1176" s="10"/>
      <c r="H1176" s="10"/>
      <c r="I1176" s="10"/>
      <c r="J1176" s="10"/>
    </row>
    <row r="1177" spans="1:10" x14ac:dyDescent="0.25">
      <c r="A1177" s="4"/>
      <c r="B1177" s="5"/>
      <c r="C1177" s="4"/>
      <c r="E1177" s="10"/>
      <c r="F1177" s="10"/>
      <c r="G1177" s="10"/>
      <c r="H1177" s="10"/>
      <c r="I1177" s="10"/>
      <c r="J1177" s="10"/>
    </row>
    <row r="1178" spans="1:10" x14ac:dyDescent="0.25">
      <c r="A1178" s="4"/>
      <c r="B1178" s="5"/>
      <c r="C1178" s="4"/>
      <c r="E1178" s="10"/>
      <c r="F1178" s="10"/>
      <c r="G1178" s="10"/>
      <c r="H1178" s="10"/>
      <c r="I1178" s="10"/>
      <c r="J1178" s="10"/>
    </row>
    <row r="1179" spans="1:10" x14ac:dyDescent="0.25">
      <c r="A1179" s="4"/>
      <c r="B1179" s="5"/>
      <c r="C1179" s="4"/>
      <c r="E1179" s="10"/>
      <c r="F1179" s="10"/>
      <c r="G1179" s="10"/>
      <c r="H1179" s="10"/>
      <c r="I1179" s="10"/>
      <c r="J1179" s="10"/>
    </row>
    <row r="1180" spans="1:10" x14ac:dyDescent="0.25">
      <c r="A1180" s="4"/>
      <c r="B1180" s="5"/>
      <c r="C1180" s="4"/>
      <c r="E1180" s="10"/>
      <c r="F1180" s="10"/>
      <c r="G1180" s="10"/>
      <c r="H1180" s="10"/>
      <c r="I1180" s="10"/>
      <c r="J1180" s="10"/>
    </row>
    <row r="1181" spans="1:10" x14ac:dyDescent="0.25">
      <c r="A1181" s="4"/>
      <c r="B1181" s="5"/>
      <c r="C1181" s="4"/>
      <c r="E1181" s="10"/>
      <c r="F1181" s="10"/>
      <c r="G1181" s="10"/>
      <c r="H1181" s="10"/>
      <c r="I1181" s="10"/>
      <c r="J1181" s="10"/>
    </row>
    <row r="1182" spans="1:10" x14ac:dyDescent="0.25">
      <c r="A1182" s="4"/>
      <c r="B1182" s="5"/>
      <c r="C1182" s="4"/>
      <c r="E1182" s="10"/>
      <c r="F1182" s="10"/>
      <c r="G1182" s="10"/>
      <c r="H1182" s="10"/>
      <c r="I1182" s="10"/>
      <c r="J1182" s="10"/>
    </row>
    <row r="1183" spans="1:10" x14ac:dyDescent="0.25">
      <c r="A1183" s="4"/>
      <c r="B1183" s="5"/>
      <c r="C1183" s="4"/>
      <c r="E1183" s="10"/>
      <c r="F1183" s="10"/>
      <c r="G1183" s="10"/>
      <c r="H1183" s="10"/>
      <c r="I1183" s="10"/>
      <c r="J1183" s="10"/>
    </row>
    <row r="1184" spans="1:10" x14ac:dyDescent="0.25">
      <c r="A1184" s="4"/>
      <c r="B1184" s="5"/>
      <c r="C1184" s="4"/>
      <c r="E1184" s="10"/>
      <c r="F1184" s="10"/>
      <c r="G1184" s="10"/>
      <c r="H1184" s="10"/>
      <c r="I1184" s="10"/>
      <c r="J1184" s="10"/>
    </row>
    <row r="1185" spans="1:10" x14ac:dyDescent="0.25">
      <c r="A1185" s="4"/>
      <c r="B1185" s="5"/>
      <c r="C1185" s="4"/>
      <c r="E1185" s="10"/>
      <c r="F1185" s="10"/>
      <c r="G1185" s="10"/>
      <c r="H1185" s="10"/>
      <c r="I1185" s="10"/>
      <c r="J1185" s="10"/>
    </row>
    <row r="1186" spans="1:10" x14ac:dyDescent="0.25">
      <c r="A1186" s="4"/>
      <c r="B1186" s="5"/>
      <c r="C1186" s="4"/>
      <c r="E1186" s="10"/>
      <c r="F1186" s="10"/>
      <c r="G1186" s="10"/>
      <c r="H1186" s="10"/>
      <c r="I1186" s="10"/>
      <c r="J1186" s="10"/>
    </row>
    <row r="1187" spans="1:10" x14ac:dyDescent="0.25">
      <c r="A1187" s="4"/>
      <c r="B1187" s="5"/>
      <c r="C1187" s="4"/>
      <c r="E1187" s="10"/>
      <c r="F1187" s="10"/>
      <c r="G1187" s="10"/>
      <c r="H1187" s="10"/>
      <c r="I1187" s="10"/>
      <c r="J1187" s="10"/>
    </row>
    <row r="1188" spans="1:10" x14ac:dyDescent="0.25">
      <c r="A1188" s="4"/>
      <c r="B1188" s="5"/>
      <c r="C1188" s="4"/>
      <c r="E1188" s="10"/>
      <c r="F1188" s="10"/>
      <c r="G1188" s="10"/>
      <c r="H1188" s="10"/>
      <c r="I1188" s="10"/>
      <c r="J1188" s="10"/>
    </row>
    <row r="1189" spans="1:10" x14ac:dyDescent="0.25">
      <c r="A1189" s="4"/>
      <c r="B1189" s="5"/>
      <c r="C1189" s="4"/>
      <c r="E1189" s="10"/>
      <c r="F1189" s="10"/>
      <c r="G1189" s="10"/>
      <c r="H1189" s="10"/>
      <c r="I1189" s="10"/>
      <c r="J1189" s="10"/>
    </row>
    <row r="1190" spans="1:10" x14ac:dyDescent="0.25">
      <c r="A1190" s="4"/>
      <c r="B1190" s="5"/>
      <c r="C1190" s="4"/>
      <c r="E1190" s="10"/>
      <c r="F1190" s="10"/>
      <c r="G1190" s="10"/>
      <c r="H1190" s="10"/>
      <c r="I1190" s="10"/>
      <c r="J1190" s="10"/>
    </row>
    <row r="1191" spans="1:10" x14ac:dyDescent="0.25">
      <c r="A1191" s="4"/>
      <c r="B1191" s="5"/>
      <c r="C1191" s="4"/>
      <c r="E1191" s="10"/>
      <c r="F1191" s="10"/>
      <c r="G1191" s="10"/>
      <c r="H1191" s="10"/>
      <c r="I1191" s="10"/>
      <c r="J1191" s="10"/>
    </row>
    <row r="1192" spans="1:10" x14ac:dyDescent="0.25">
      <c r="A1192" s="4"/>
      <c r="B1192" s="5"/>
      <c r="C1192" s="4"/>
      <c r="E1192" s="10"/>
      <c r="F1192" s="10"/>
      <c r="G1192" s="10"/>
      <c r="H1192" s="10"/>
      <c r="I1192" s="10"/>
      <c r="J1192" s="10"/>
    </row>
    <row r="1193" spans="1:10" x14ac:dyDescent="0.25">
      <c r="A1193" s="4"/>
      <c r="B1193" s="5"/>
      <c r="C1193" s="4"/>
      <c r="E1193" s="10"/>
      <c r="F1193" s="10"/>
      <c r="G1193" s="10"/>
      <c r="H1193" s="10"/>
      <c r="I1193" s="10"/>
      <c r="J1193" s="10"/>
    </row>
    <row r="1194" spans="1:10" x14ac:dyDescent="0.25">
      <c r="A1194" s="4"/>
      <c r="B1194" s="5"/>
      <c r="C1194" s="4"/>
      <c r="E1194" s="10"/>
      <c r="F1194" s="10"/>
      <c r="G1194" s="10"/>
      <c r="H1194" s="10"/>
      <c r="I1194" s="10"/>
      <c r="J1194" s="10"/>
    </row>
    <row r="1195" spans="1:10" x14ac:dyDescent="0.25">
      <c r="A1195" s="4"/>
      <c r="B1195" s="5"/>
      <c r="C1195" s="4"/>
      <c r="E1195" s="10"/>
      <c r="F1195" s="10"/>
      <c r="G1195" s="10"/>
      <c r="H1195" s="10"/>
      <c r="I1195" s="10"/>
      <c r="J1195" s="10"/>
    </row>
    <row r="1196" spans="1:10" x14ac:dyDescent="0.25">
      <c r="A1196" s="4"/>
      <c r="B1196" s="5"/>
      <c r="C1196" s="4"/>
      <c r="E1196" s="10"/>
      <c r="F1196" s="10"/>
      <c r="G1196" s="10"/>
      <c r="H1196" s="10"/>
      <c r="I1196" s="10"/>
      <c r="J1196" s="10"/>
    </row>
    <row r="1197" spans="1:10" x14ac:dyDescent="0.25">
      <c r="A1197" s="4"/>
      <c r="B1197" s="5"/>
      <c r="C1197" s="4"/>
      <c r="E1197" s="10"/>
      <c r="F1197" s="10"/>
      <c r="G1197" s="10"/>
      <c r="H1197" s="10"/>
      <c r="I1197" s="10"/>
      <c r="J1197" s="10"/>
    </row>
    <row r="1198" spans="1:10" x14ac:dyDescent="0.25">
      <c r="A1198" s="4"/>
      <c r="B1198" s="5"/>
      <c r="C1198" s="4"/>
      <c r="E1198" s="10"/>
      <c r="F1198" s="10"/>
      <c r="G1198" s="10"/>
      <c r="H1198" s="10"/>
      <c r="I1198" s="10"/>
      <c r="J1198" s="10"/>
    </row>
    <row r="1199" spans="1:10" x14ac:dyDescent="0.25">
      <c r="A1199" s="4"/>
      <c r="B1199" s="5"/>
      <c r="C1199" s="4"/>
      <c r="E1199" s="10"/>
      <c r="F1199" s="10"/>
      <c r="G1199" s="10"/>
      <c r="H1199" s="10"/>
      <c r="I1199" s="10"/>
      <c r="J1199" s="10"/>
    </row>
    <row r="1200" spans="1:10" x14ac:dyDescent="0.25">
      <c r="A1200" s="4"/>
      <c r="B1200" s="5"/>
      <c r="C1200" s="4"/>
      <c r="E1200" s="10"/>
      <c r="F1200" s="10"/>
      <c r="G1200" s="10"/>
      <c r="H1200" s="10"/>
      <c r="I1200" s="10"/>
      <c r="J1200" s="10"/>
    </row>
    <row r="1201" spans="1:10" x14ac:dyDescent="0.25">
      <c r="A1201" s="4"/>
      <c r="B1201" s="5"/>
      <c r="C1201" s="4"/>
      <c r="E1201" s="10"/>
      <c r="F1201" s="10"/>
      <c r="G1201" s="10"/>
      <c r="H1201" s="10"/>
      <c r="I1201" s="10"/>
      <c r="J1201" s="10"/>
    </row>
    <row r="1202" spans="1:10" x14ac:dyDescent="0.25">
      <c r="A1202" s="4"/>
      <c r="B1202" s="5"/>
      <c r="C1202" s="4"/>
      <c r="E1202" s="10"/>
      <c r="F1202" s="10"/>
      <c r="G1202" s="10"/>
      <c r="H1202" s="10"/>
      <c r="I1202" s="10"/>
      <c r="J1202" s="10"/>
    </row>
    <row r="1203" spans="1:10" x14ac:dyDescent="0.25">
      <c r="A1203" s="4"/>
      <c r="B1203" s="5"/>
      <c r="C1203" s="4"/>
      <c r="E1203" s="10"/>
      <c r="F1203" s="10"/>
      <c r="G1203" s="10"/>
      <c r="H1203" s="10"/>
      <c r="I1203" s="10"/>
      <c r="J1203" s="10"/>
    </row>
    <row r="1204" spans="1:10" x14ac:dyDescent="0.25">
      <c r="A1204" s="4"/>
      <c r="B1204" s="5"/>
      <c r="C1204" s="4"/>
      <c r="E1204" s="10"/>
      <c r="F1204" s="10"/>
      <c r="G1204" s="10"/>
      <c r="H1204" s="10"/>
      <c r="I1204" s="10"/>
      <c r="J1204" s="10"/>
    </row>
    <row r="1205" spans="1:10" x14ac:dyDescent="0.25">
      <c r="A1205" s="4"/>
      <c r="B1205" s="5"/>
      <c r="C1205" s="4"/>
      <c r="E1205" s="10"/>
      <c r="F1205" s="10"/>
      <c r="G1205" s="10"/>
      <c r="H1205" s="10"/>
      <c r="I1205" s="10"/>
      <c r="J1205" s="10"/>
    </row>
    <row r="1206" spans="1:10" x14ac:dyDescent="0.25">
      <c r="A1206" s="4"/>
      <c r="B1206" s="5"/>
      <c r="C1206" s="4"/>
      <c r="E1206" s="10"/>
      <c r="F1206" s="10"/>
      <c r="G1206" s="10"/>
      <c r="H1206" s="10"/>
      <c r="I1206" s="10"/>
      <c r="J1206" s="10"/>
    </row>
    <row r="1207" spans="1:10" x14ac:dyDescent="0.25">
      <c r="A1207" s="4"/>
      <c r="B1207" s="5"/>
      <c r="C1207" s="4"/>
      <c r="E1207" s="10"/>
      <c r="F1207" s="10"/>
      <c r="G1207" s="10"/>
      <c r="H1207" s="10"/>
      <c r="I1207" s="10"/>
      <c r="J1207" s="10"/>
    </row>
    <row r="1208" spans="1:10" x14ac:dyDescent="0.25">
      <c r="A1208" s="4"/>
      <c r="B1208" s="5"/>
      <c r="C1208" s="4"/>
      <c r="E1208" s="10"/>
      <c r="F1208" s="10"/>
      <c r="G1208" s="10"/>
      <c r="H1208" s="10"/>
      <c r="I1208" s="10"/>
      <c r="J1208" s="10"/>
    </row>
    <row r="1209" spans="1:10" x14ac:dyDescent="0.25">
      <c r="A1209" s="4"/>
      <c r="B1209" s="5"/>
      <c r="C1209" s="4"/>
      <c r="E1209" s="10"/>
      <c r="F1209" s="10"/>
      <c r="G1209" s="10"/>
      <c r="H1209" s="10"/>
      <c r="I1209" s="10"/>
      <c r="J1209" s="10"/>
    </row>
    <row r="1210" spans="1:10" x14ac:dyDescent="0.25">
      <c r="A1210" s="4"/>
      <c r="B1210" s="5"/>
      <c r="C1210" s="4"/>
      <c r="E1210" s="10"/>
      <c r="F1210" s="10"/>
      <c r="G1210" s="10"/>
      <c r="H1210" s="10"/>
      <c r="I1210" s="10"/>
      <c r="J1210" s="10"/>
    </row>
    <row r="1211" spans="1:10" x14ac:dyDescent="0.25">
      <c r="A1211" s="4"/>
      <c r="B1211" s="5"/>
      <c r="C1211" s="4"/>
      <c r="E1211" s="10"/>
      <c r="F1211" s="10"/>
      <c r="G1211" s="10"/>
      <c r="H1211" s="10"/>
      <c r="I1211" s="10"/>
      <c r="J1211" s="10"/>
    </row>
    <row r="1212" spans="1:10" x14ac:dyDescent="0.25">
      <c r="A1212" s="4"/>
      <c r="B1212" s="5"/>
      <c r="C1212" s="4"/>
      <c r="E1212" s="10"/>
      <c r="F1212" s="10"/>
      <c r="G1212" s="10"/>
      <c r="H1212" s="10"/>
      <c r="I1212" s="10"/>
      <c r="J1212" s="10"/>
    </row>
    <row r="1213" spans="1:10" x14ac:dyDescent="0.25">
      <c r="A1213" s="4"/>
      <c r="B1213" s="5"/>
      <c r="C1213" s="4"/>
      <c r="E1213" s="10"/>
      <c r="F1213" s="10"/>
      <c r="G1213" s="10"/>
      <c r="H1213" s="10"/>
      <c r="I1213" s="10"/>
      <c r="J1213" s="10"/>
    </row>
    <row r="1214" spans="1:10" x14ac:dyDescent="0.25">
      <c r="A1214" s="4"/>
      <c r="B1214" s="5"/>
      <c r="C1214" s="4"/>
      <c r="E1214" s="10"/>
      <c r="F1214" s="10"/>
      <c r="G1214" s="10"/>
      <c r="H1214" s="10"/>
      <c r="I1214" s="10"/>
      <c r="J1214" s="10"/>
    </row>
    <row r="1215" spans="1:10" x14ac:dyDescent="0.25">
      <c r="A1215" s="4"/>
      <c r="B1215" s="5"/>
      <c r="C1215" s="4"/>
      <c r="E1215" s="10"/>
      <c r="F1215" s="10"/>
      <c r="G1215" s="10"/>
      <c r="H1215" s="10"/>
      <c r="I1215" s="10"/>
      <c r="J1215" s="10"/>
    </row>
    <row r="1216" spans="1:10" x14ac:dyDescent="0.25">
      <c r="A1216" s="4"/>
      <c r="B1216" s="5"/>
      <c r="C1216" s="4"/>
      <c r="E1216" s="10"/>
      <c r="F1216" s="10"/>
      <c r="G1216" s="10"/>
      <c r="H1216" s="10"/>
      <c r="I1216" s="10"/>
      <c r="J1216" s="10"/>
    </row>
    <row r="1217" spans="1:10" x14ac:dyDescent="0.25">
      <c r="A1217" s="4"/>
      <c r="B1217" s="5"/>
      <c r="C1217" s="4"/>
      <c r="E1217" s="10"/>
      <c r="F1217" s="10"/>
      <c r="G1217" s="10"/>
      <c r="H1217" s="10"/>
      <c r="I1217" s="10"/>
      <c r="J1217" s="10"/>
    </row>
    <row r="1218" spans="1:10" x14ac:dyDescent="0.25">
      <c r="A1218" s="4"/>
      <c r="B1218" s="5"/>
      <c r="C1218" s="4"/>
      <c r="E1218" s="10"/>
      <c r="F1218" s="10"/>
      <c r="G1218" s="10"/>
      <c r="H1218" s="10"/>
      <c r="I1218" s="10"/>
      <c r="J1218" s="10"/>
    </row>
    <row r="1219" spans="1:10" x14ac:dyDescent="0.25">
      <c r="A1219" s="4"/>
      <c r="B1219" s="5"/>
      <c r="C1219" s="4"/>
      <c r="E1219" s="10"/>
      <c r="F1219" s="10"/>
      <c r="G1219" s="10"/>
      <c r="H1219" s="10"/>
      <c r="I1219" s="10"/>
      <c r="J1219" s="10"/>
    </row>
    <row r="1220" spans="1:10" x14ac:dyDescent="0.25">
      <c r="A1220" s="4"/>
      <c r="B1220" s="5"/>
      <c r="C1220" s="4"/>
      <c r="E1220" s="10"/>
      <c r="F1220" s="10"/>
      <c r="G1220" s="10"/>
      <c r="H1220" s="10"/>
      <c r="I1220" s="10"/>
      <c r="J1220" s="10"/>
    </row>
    <row r="1221" spans="1:10" x14ac:dyDescent="0.25">
      <c r="A1221" s="4"/>
      <c r="B1221" s="5"/>
      <c r="C1221" s="4"/>
      <c r="E1221" s="10"/>
      <c r="F1221" s="10"/>
      <c r="G1221" s="10"/>
      <c r="H1221" s="10"/>
      <c r="I1221" s="10"/>
      <c r="J1221" s="10"/>
    </row>
    <row r="1222" spans="1:10" x14ac:dyDescent="0.25">
      <c r="A1222" s="4"/>
      <c r="B1222" s="5"/>
      <c r="C1222" s="4"/>
      <c r="E1222" s="10"/>
      <c r="F1222" s="10"/>
      <c r="G1222" s="10"/>
      <c r="H1222" s="10"/>
      <c r="I1222" s="10"/>
      <c r="J1222" s="10"/>
    </row>
    <row r="1223" spans="1:10" x14ac:dyDescent="0.25">
      <c r="A1223" s="4"/>
      <c r="B1223" s="5"/>
      <c r="C1223" s="4"/>
      <c r="E1223" s="10"/>
      <c r="F1223" s="10"/>
      <c r="G1223" s="10"/>
      <c r="H1223" s="10"/>
      <c r="I1223" s="10"/>
      <c r="J1223" s="10"/>
    </row>
    <row r="1224" spans="1:10" x14ac:dyDescent="0.25">
      <c r="A1224" s="4"/>
      <c r="B1224" s="5"/>
      <c r="C1224" s="4"/>
      <c r="E1224" s="10"/>
      <c r="F1224" s="10"/>
      <c r="G1224" s="10"/>
      <c r="H1224" s="10"/>
      <c r="I1224" s="10"/>
      <c r="J1224" s="10"/>
    </row>
    <row r="1225" spans="1:10" x14ac:dyDescent="0.25">
      <c r="A1225" s="4"/>
      <c r="B1225" s="5"/>
      <c r="C1225" s="4"/>
      <c r="E1225" s="10"/>
      <c r="F1225" s="10"/>
      <c r="G1225" s="10"/>
      <c r="H1225" s="10"/>
      <c r="I1225" s="10"/>
      <c r="J1225" s="10"/>
    </row>
    <row r="1226" spans="1:10" x14ac:dyDescent="0.25">
      <c r="A1226" s="4"/>
      <c r="B1226" s="5"/>
      <c r="C1226" s="4"/>
      <c r="E1226" s="10"/>
      <c r="F1226" s="10"/>
      <c r="G1226" s="10"/>
      <c r="H1226" s="10"/>
      <c r="I1226" s="10"/>
      <c r="J1226" s="10"/>
    </row>
    <row r="1227" spans="1:10" x14ac:dyDescent="0.25">
      <c r="A1227" s="4"/>
      <c r="B1227" s="5"/>
      <c r="C1227" s="4"/>
      <c r="E1227" s="10"/>
      <c r="F1227" s="10"/>
      <c r="G1227" s="10"/>
      <c r="H1227" s="10"/>
      <c r="I1227" s="10"/>
      <c r="J1227" s="10"/>
    </row>
    <row r="1228" spans="1:10" x14ac:dyDescent="0.25">
      <c r="A1228" s="4"/>
      <c r="B1228" s="5"/>
      <c r="C1228" s="4"/>
      <c r="E1228" s="10"/>
      <c r="F1228" s="10"/>
      <c r="G1228" s="10"/>
      <c r="H1228" s="10"/>
      <c r="I1228" s="10"/>
      <c r="J1228" s="10"/>
    </row>
    <row r="1229" spans="1:10" x14ac:dyDescent="0.25">
      <c r="A1229" s="4"/>
      <c r="B1229" s="5"/>
      <c r="C1229" s="4"/>
      <c r="E1229" s="10"/>
      <c r="F1229" s="10"/>
      <c r="G1229" s="10"/>
      <c r="H1229" s="10"/>
      <c r="I1229" s="10"/>
      <c r="J1229" s="10"/>
    </row>
    <row r="1230" spans="1:10" x14ac:dyDescent="0.25">
      <c r="A1230" s="4"/>
      <c r="B1230" s="5"/>
      <c r="C1230" s="4"/>
      <c r="E1230" s="10"/>
      <c r="F1230" s="10"/>
      <c r="G1230" s="10"/>
      <c r="H1230" s="10"/>
      <c r="I1230" s="10"/>
      <c r="J1230" s="10"/>
    </row>
    <row r="1231" spans="1:10" x14ac:dyDescent="0.25">
      <c r="A1231" s="4"/>
      <c r="B1231" s="5"/>
      <c r="C1231" s="4"/>
      <c r="E1231" s="10"/>
      <c r="F1231" s="10"/>
      <c r="G1231" s="10"/>
      <c r="H1231" s="10"/>
      <c r="I1231" s="10"/>
      <c r="J1231" s="10"/>
    </row>
    <row r="1232" spans="1:10" x14ac:dyDescent="0.25">
      <c r="A1232" s="4"/>
      <c r="B1232" s="5"/>
      <c r="C1232" s="4"/>
      <c r="E1232" s="10"/>
      <c r="F1232" s="10"/>
      <c r="G1232" s="10"/>
      <c r="H1232" s="10"/>
      <c r="I1232" s="10"/>
      <c r="J1232" s="10"/>
    </row>
    <row r="1233" spans="1:10" x14ac:dyDescent="0.25">
      <c r="A1233" s="4"/>
      <c r="B1233" s="5"/>
      <c r="C1233" s="4"/>
      <c r="E1233" s="10"/>
      <c r="F1233" s="10"/>
      <c r="G1233" s="10"/>
      <c r="H1233" s="10"/>
      <c r="I1233" s="10"/>
      <c r="J1233" s="10"/>
    </row>
    <row r="1234" spans="1:10" x14ac:dyDescent="0.25">
      <c r="A1234" s="4"/>
      <c r="B1234" s="5"/>
      <c r="C1234" s="4"/>
      <c r="E1234" s="10"/>
      <c r="F1234" s="10"/>
      <c r="G1234" s="10"/>
      <c r="H1234" s="10"/>
      <c r="I1234" s="10"/>
      <c r="J1234" s="10"/>
    </row>
    <row r="1235" spans="1:10" x14ac:dyDescent="0.25">
      <c r="A1235" s="4"/>
      <c r="B1235" s="5"/>
      <c r="C1235" s="4"/>
      <c r="E1235" s="10"/>
      <c r="F1235" s="10"/>
      <c r="G1235" s="10"/>
      <c r="H1235" s="10"/>
      <c r="I1235" s="10"/>
      <c r="J1235" s="10"/>
    </row>
    <row r="1236" spans="1:10" x14ac:dyDescent="0.25">
      <c r="A1236" s="4"/>
      <c r="B1236" s="5"/>
      <c r="C1236" s="4"/>
      <c r="E1236" s="10"/>
      <c r="F1236" s="10"/>
      <c r="G1236" s="10"/>
      <c r="H1236" s="10"/>
      <c r="I1236" s="10"/>
      <c r="J1236" s="10"/>
    </row>
    <row r="1237" spans="1:10" x14ac:dyDescent="0.25">
      <c r="A1237" s="4"/>
      <c r="B1237" s="5"/>
      <c r="C1237" s="4"/>
      <c r="E1237" s="10"/>
      <c r="F1237" s="10"/>
      <c r="G1237" s="10"/>
      <c r="H1237" s="10"/>
      <c r="I1237" s="10"/>
      <c r="J1237" s="10"/>
    </row>
    <row r="1238" spans="1:10" x14ac:dyDescent="0.25">
      <c r="A1238" s="4"/>
      <c r="B1238" s="5"/>
      <c r="C1238" s="4"/>
      <c r="E1238" s="10"/>
      <c r="F1238" s="10"/>
      <c r="G1238" s="10"/>
      <c r="H1238" s="10"/>
      <c r="I1238" s="10"/>
      <c r="J1238" s="10"/>
    </row>
    <row r="1239" spans="1:10" x14ac:dyDescent="0.25">
      <c r="A1239" s="4"/>
      <c r="B1239" s="5"/>
      <c r="C1239" s="4"/>
      <c r="E1239" s="10"/>
      <c r="F1239" s="10"/>
      <c r="G1239" s="10"/>
      <c r="H1239" s="10"/>
      <c r="I1239" s="10"/>
      <c r="J1239" s="10"/>
    </row>
    <row r="1240" spans="1:10" x14ac:dyDescent="0.25">
      <c r="A1240" s="4"/>
      <c r="B1240" s="5"/>
      <c r="C1240" s="4"/>
      <c r="E1240" s="10"/>
      <c r="F1240" s="10"/>
      <c r="G1240" s="10"/>
      <c r="H1240" s="10"/>
      <c r="I1240" s="10"/>
      <c r="J1240" s="10"/>
    </row>
    <row r="1241" spans="1:10" x14ac:dyDescent="0.25">
      <c r="A1241" s="4"/>
      <c r="B1241" s="5"/>
      <c r="C1241" s="4"/>
      <c r="E1241" s="10"/>
      <c r="F1241" s="10"/>
      <c r="G1241" s="10"/>
      <c r="H1241" s="10"/>
      <c r="I1241" s="10"/>
      <c r="J1241" s="10"/>
    </row>
    <row r="1242" spans="1:10" x14ac:dyDescent="0.25">
      <c r="A1242" s="4"/>
      <c r="B1242" s="5"/>
      <c r="C1242" s="4"/>
      <c r="E1242" s="10"/>
      <c r="F1242" s="10"/>
      <c r="G1242" s="10"/>
      <c r="H1242" s="10"/>
      <c r="I1242" s="10"/>
      <c r="J1242" s="10"/>
    </row>
    <row r="1243" spans="1:10" x14ac:dyDescent="0.25">
      <c r="A1243" s="4"/>
      <c r="B1243" s="5"/>
      <c r="C1243" s="4"/>
      <c r="E1243" s="10"/>
      <c r="F1243" s="10"/>
      <c r="G1243" s="10"/>
      <c r="H1243" s="10"/>
      <c r="I1243" s="10"/>
      <c r="J1243" s="10"/>
    </row>
    <row r="1244" spans="1:10" x14ac:dyDescent="0.25">
      <c r="A1244" s="4"/>
      <c r="B1244" s="5"/>
      <c r="C1244" s="4"/>
      <c r="E1244" s="10"/>
      <c r="F1244" s="10"/>
      <c r="G1244" s="10"/>
      <c r="H1244" s="10"/>
      <c r="I1244" s="10"/>
      <c r="J1244" s="10"/>
    </row>
    <row r="1245" spans="1:10" x14ac:dyDescent="0.25">
      <c r="A1245" s="4"/>
      <c r="B1245" s="5"/>
      <c r="C1245" s="4"/>
      <c r="E1245" s="10"/>
      <c r="F1245" s="10"/>
      <c r="G1245" s="10"/>
      <c r="H1245" s="10"/>
      <c r="I1245" s="10"/>
      <c r="J1245" s="10"/>
    </row>
    <row r="1246" spans="1:10" x14ac:dyDescent="0.25">
      <c r="A1246" s="4"/>
      <c r="B1246" s="5"/>
      <c r="C1246" s="4"/>
      <c r="E1246" s="10"/>
      <c r="F1246" s="10"/>
      <c r="G1246" s="10"/>
      <c r="H1246" s="10"/>
      <c r="I1246" s="10"/>
      <c r="J1246" s="10"/>
    </row>
    <row r="1247" spans="1:10" x14ac:dyDescent="0.25">
      <c r="A1247" s="4"/>
      <c r="B1247" s="5"/>
      <c r="C1247" s="4"/>
      <c r="E1247" s="10"/>
      <c r="F1247" s="10"/>
      <c r="G1247" s="10"/>
      <c r="H1247" s="10"/>
      <c r="I1247" s="10"/>
      <c r="J1247" s="10"/>
    </row>
    <row r="1248" spans="1:10" x14ac:dyDescent="0.25">
      <c r="A1248" s="4"/>
      <c r="B1248" s="5"/>
      <c r="C1248" s="4"/>
      <c r="E1248" s="10"/>
      <c r="F1248" s="10"/>
      <c r="G1248" s="10"/>
      <c r="H1248" s="10"/>
      <c r="I1248" s="10"/>
      <c r="J1248" s="10"/>
    </row>
    <row r="1249" spans="1:10" x14ac:dyDescent="0.25">
      <c r="A1249" s="4"/>
      <c r="B1249" s="5"/>
      <c r="C1249" s="4"/>
      <c r="E1249" s="10"/>
      <c r="F1249" s="10"/>
      <c r="G1249" s="10"/>
      <c r="H1249" s="10"/>
      <c r="I1249" s="10"/>
      <c r="J1249" s="10"/>
    </row>
    <row r="1250" spans="1:10" x14ac:dyDescent="0.25">
      <c r="A1250" s="4"/>
      <c r="B1250" s="5"/>
      <c r="C1250" s="4"/>
      <c r="E1250" s="10"/>
      <c r="F1250" s="10"/>
      <c r="G1250" s="10"/>
      <c r="H1250" s="10"/>
      <c r="I1250" s="10"/>
      <c r="J1250" s="10"/>
    </row>
    <row r="1251" spans="1:10" x14ac:dyDescent="0.25">
      <c r="A1251" s="4"/>
      <c r="B1251" s="5"/>
      <c r="C1251" s="4"/>
      <c r="E1251" s="10"/>
      <c r="F1251" s="10"/>
      <c r="G1251" s="10"/>
      <c r="H1251" s="10"/>
      <c r="I1251" s="10"/>
      <c r="J1251" s="10"/>
    </row>
    <row r="1252" spans="1:10" x14ac:dyDescent="0.25">
      <c r="A1252" s="4"/>
      <c r="B1252" s="5"/>
      <c r="C1252" s="4"/>
      <c r="E1252" s="10"/>
      <c r="F1252" s="10"/>
      <c r="G1252" s="10"/>
      <c r="H1252" s="10"/>
      <c r="I1252" s="10"/>
      <c r="J1252" s="10"/>
    </row>
    <row r="1253" spans="1:10" x14ac:dyDescent="0.25">
      <c r="A1253" s="4"/>
      <c r="B1253" s="5"/>
      <c r="C1253" s="4"/>
      <c r="E1253" s="10"/>
      <c r="F1253" s="10"/>
      <c r="G1253" s="10"/>
      <c r="H1253" s="10"/>
      <c r="I1253" s="10"/>
      <c r="J1253" s="10"/>
    </row>
    <row r="1254" spans="1:10" x14ac:dyDescent="0.25">
      <c r="A1254" s="4"/>
      <c r="B1254" s="5"/>
      <c r="C1254" s="4"/>
      <c r="E1254" s="10"/>
      <c r="F1254" s="10"/>
      <c r="G1254" s="10"/>
      <c r="H1254" s="10"/>
      <c r="I1254" s="10"/>
      <c r="J1254" s="10"/>
    </row>
    <row r="1255" spans="1:10" x14ac:dyDescent="0.25">
      <c r="A1255" s="4"/>
      <c r="B1255" s="5"/>
      <c r="C1255" s="4"/>
      <c r="E1255" s="10"/>
      <c r="F1255" s="10"/>
      <c r="G1255" s="10"/>
      <c r="H1255" s="10"/>
      <c r="I1255" s="10"/>
      <c r="J1255" s="10"/>
    </row>
    <row r="1256" spans="1:10" x14ac:dyDescent="0.25">
      <c r="A1256" s="4"/>
      <c r="B1256" s="5"/>
      <c r="C1256" s="4"/>
      <c r="E1256" s="10"/>
      <c r="F1256" s="10"/>
      <c r="G1256" s="10"/>
      <c r="H1256" s="10"/>
      <c r="I1256" s="10"/>
      <c r="J1256" s="10"/>
    </row>
    <row r="1257" spans="1:10" x14ac:dyDescent="0.25">
      <c r="A1257" s="4"/>
      <c r="B1257" s="5"/>
      <c r="C1257" s="4"/>
      <c r="E1257" s="10"/>
      <c r="F1257" s="10"/>
      <c r="G1257" s="10"/>
      <c r="H1257" s="10"/>
      <c r="I1257" s="10"/>
      <c r="J1257" s="10"/>
    </row>
    <row r="1258" spans="1:10" x14ac:dyDescent="0.25">
      <c r="A1258" s="4"/>
      <c r="B1258" s="5"/>
      <c r="C1258" s="4"/>
      <c r="E1258" s="10"/>
      <c r="F1258" s="10"/>
      <c r="G1258" s="10"/>
      <c r="H1258" s="10"/>
      <c r="I1258" s="10"/>
      <c r="J1258" s="10"/>
    </row>
    <row r="1259" spans="1:10" x14ac:dyDescent="0.25">
      <c r="A1259" s="4"/>
      <c r="B1259" s="5"/>
      <c r="C1259" s="4"/>
      <c r="E1259" s="10"/>
      <c r="F1259" s="10"/>
      <c r="G1259" s="10"/>
      <c r="H1259" s="10"/>
      <c r="I1259" s="10"/>
      <c r="J1259" s="10"/>
    </row>
    <row r="1260" spans="1:10" x14ac:dyDescent="0.25">
      <c r="A1260" s="4"/>
      <c r="B1260" s="5"/>
      <c r="C1260" s="4"/>
      <c r="E1260" s="10"/>
      <c r="F1260" s="10"/>
      <c r="G1260" s="10"/>
      <c r="H1260" s="10"/>
      <c r="I1260" s="10"/>
      <c r="J1260" s="10"/>
    </row>
    <row r="1261" spans="1:10" x14ac:dyDescent="0.25">
      <c r="A1261" s="4"/>
      <c r="B1261" s="5"/>
      <c r="C1261" s="4"/>
      <c r="E1261" s="10"/>
      <c r="F1261" s="10"/>
      <c r="G1261" s="10"/>
      <c r="H1261" s="10"/>
      <c r="I1261" s="10"/>
      <c r="J1261" s="10"/>
    </row>
    <row r="1262" spans="1:10" x14ac:dyDescent="0.25">
      <c r="A1262" s="4"/>
      <c r="B1262" s="5"/>
      <c r="C1262" s="4"/>
      <c r="E1262" s="10"/>
      <c r="F1262" s="10"/>
      <c r="G1262" s="10"/>
      <c r="H1262" s="10"/>
      <c r="I1262" s="10"/>
      <c r="J1262" s="10"/>
    </row>
    <row r="1263" spans="1:10" x14ac:dyDescent="0.25">
      <c r="A1263" s="4"/>
      <c r="B1263" s="5"/>
      <c r="C1263" s="4"/>
      <c r="E1263" s="10"/>
      <c r="F1263" s="10"/>
      <c r="G1263" s="10"/>
      <c r="H1263" s="10"/>
      <c r="I1263" s="10"/>
      <c r="J1263" s="10"/>
    </row>
    <row r="1264" spans="1:10" x14ac:dyDescent="0.25">
      <c r="A1264" s="4"/>
      <c r="B1264" s="5"/>
      <c r="C1264" s="4"/>
      <c r="E1264" s="10"/>
      <c r="F1264" s="10"/>
      <c r="G1264" s="10"/>
      <c r="H1264" s="10"/>
      <c r="I1264" s="10"/>
      <c r="J1264" s="10"/>
    </row>
    <row r="1265" spans="1:10" x14ac:dyDescent="0.25">
      <c r="A1265" s="4"/>
      <c r="B1265" s="5"/>
      <c r="C1265" s="4"/>
      <c r="E1265" s="10"/>
      <c r="F1265" s="10"/>
      <c r="G1265" s="10"/>
      <c r="H1265" s="10"/>
      <c r="I1265" s="10"/>
      <c r="J1265" s="10"/>
    </row>
    <row r="1266" spans="1:10" x14ac:dyDescent="0.25">
      <c r="A1266" s="4"/>
      <c r="B1266" s="5"/>
      <c r="C1266" s="4"/>
      <c r="E1266" s="10"/>
      <c r="F1266" s="10"/>
      <c r="G1266" s="10"/>
      <c r="H1266" s="10"/>
      <c r="I1266" s="10"/>
      <c r="J1266" s="10"/>
    </row>
    <row r="1267" spans="1:10" x14ac:dyDescent="0.25">
      <c r="A1267" s="4"/>
      <c r="B1267" s="5"/>
      <c r="C1267" s="4"/>
      <c r="E1267" s="10"/>
      <c r="F1267" s="10"/>
      <c r="G1267" s="10"/>
      <c r="H1267" s="10"/>
      <c r="I1267" s="10"/>
      <c r="J1267" s="10"/>
    </row>
    <row r="1268" spans="1:10" x14ac:dyDescent="0.25">
      <c r="A1268" s="4"/>
      <c r="B1268" s="5"/>
      <c r="C1268" s="4"/>
      <c r="E1268" s="10"/>
      <c r="F1268" s="10"/>
      <c r="G1268" s="10"/>
      <c r="H1268" s="10"/>
      <c r="I1268" s="10"/>
      <c r="J1268" s="10"/>
    </row>
    <row r="1269" spans="1:10" x14ac:dyDescent="0.25">
      <c r="A1269" s="4"/>
      <c r="B1269" s="5"/>
      <c r="C1269" s="4"/>
      <c r="E1269" s="10"/>
      <c r="F1269" s="10"/>
      <c r="G1269" s="10"/>
      <c r="H1269" s="10"/>
      <c r="I1269" s="10"/>
      <c r="J1269" s="10"/>
    </row>
    <row r="1270" spans="1:10" x14ac:dyDescent="0.25">
      <c r="A1270" s="4"/>
      <c r="B1270" s="5"/>
      <c r="C1270" s="4"/>
      <c r="E1270" s="10"/>
      <c r="F1270" s="10"/>
      <c r="G1270" s="10"/>
      <c r="H1270" s="10"/>
      <c r="I1270" s="10"/>
      <c r="J1270" s="10"/>
    </row>
    <row r="1271" spans="1:10" x14ac:dyDescent="0.25">
      <c r="A1271" s="4"/>
      <c r="B1271" s="5"/>
      <c r="C1271" s="4"/>
      <c r="E1271" s="10"/>
      <c r="F1271" s="10"/>
      <c r="G1271" s="10"/>
      <c r="H1271" s="10"/>
      <c r="I1271" s="10"/>
      <c r="J1271" s="10"/>
    </row>
    <row r="1272" spans="1:10" x14ac:dyDescent="0.25">
      <c r="A1272" s="4"/>
      <c r="B1272" s="5"/>
      <c r="C1272" s="4"/>
      <c r="E1272" s="10"/>
      <c r="F1272" s="10"/>
      <c r="G1272" s="10"/>
      <c r="H1272" s="10"/>
      <c r="I1272" s="10"/>
      <c r="J1272" s="10"/>
    </row>
    <row r="1273" spans="1:10" x14ac:dyDescent="0.25">
      <c r="A1273" s="4"/>
      <c r="B1273" s="5"/>
      <c r="C1273" s="4"/>
      <c r="E1273" s="10"/>
      <c r="F1273" s="10"/>
      <c r="G1273" s="10"/>
      <c r="H1273" s="10"/>
      <c r="I1273" s="10"/>
      <c r="J1273" s="10"/>
    </row>
    <row r="1274" spans="1:10" x14ac:dyDescent="0.25">
      <c r="A1274" s="4"/>
      <c r="B1274" s="5"/>
      <c r="C1274" s="4"/>
      <c r="E1274" s="10"/>
      <c r="F1274" s="10"/>
      <c r="G1274" s="10"/>
      <c r="H1274" s="10"/>
      <c r="I1274" s="10"/>
      <c r="J1274" s="10"/>
    </row>
    <row r="1275" spans="1:10" x14ac:dyDescent="0.25">
      <c r="A1275" s="4"/>
      <c r="B1275" s="5"/>
      <c r="C1275" s="4"/>
      <c r="E1275" s="10"/>
      <c r="F1275" s="10"/>
      <c r="G1275" s="10"/>
      <c r="H1275" s="10"/>
      <c r="I1275" s="10"/>
      <c r="J1275" s="10"/>
    </row>
    <row r="1276" spans="1:10" x14ac:dyDescent="0.25">
      <c r="A1276" s="4"/>
      <c r="B1276" s="5"/>
      <c r="C1276" s="4"/>
      <c r="E1276" s="10"/>
      <c r="F1276" s="10"/>
      <c r="G1276" s="10"/>
      <c r="H1276" s="10"/>
      <c r="I1276" s="10"/>
      <c r="J1276" s="10"/>
    </row>
    <row r="1277" spans="1:10" x14ac:dyDescent="0.25">
      <c r="A1277" s="4"/>
      <c r="B1277" s="5"/>
      <c r="C1277" s="4"/>
      <c r="E1277" s="10"/>
      <c r="F1277" s="10"/>
      <c r="G1277" s="10"/>
      <c r="H1277" s="10"/>
      <c r="I1277" s="10"/>
      <c r="J1277" s="10"/>
    </row>
    <row r="1278" spans="1:10" x14ac:dyDescent="0.25">
      <c r="A1278" s="4"/>
      <c r="B1278" s="5"/>
      <c r="C1278" s="4"/>
      <c r="E1278" s="10"/>
      <c r="F1278" s="10"/>
      <c r="G1278" s="10"/>
      <c r="H1278" s="10"/>
      <c r="I1278" s="10"/>
      <c r="J1278" s="10"/>
    </row>
    <row r="1279" spans="1:10" x14ac:dyDescent="0.25">
      <c r="A1279" s="4"/>
      <c r="B1279" s="5"/>
      <c r="C1279" s="4"/>
      <c r="E1279" s="10"/>
      <c r="F1279" s="10"/>
      <c r="G1279" s="10"/>
      <c r="H1279" s="10"/>
      <c r="I1279" s="10"/>
      <c r="J1279" s="10"/>
    </row>
    <row r="1280" spans="1:10" x14ac:dyDescent="0.25">
      <c r="A1280" s="4"/>
      <c r="B1280" s="5"/>
      <c r="C1280" s="4"/>
      <c r="E1280" s="10"/>
      <c r="F1280" s="10"/>
      <c r="G1280" s="10"/>
      <c r="H1280" s="10"/>
      <c r="I1280" s="10"/>
      <c r="J1280" s="10"/>
    </row>
    <row r="1281" spans="1:10" x14ac:dyDescent="0.25">
      <c r="A1281" s="4"/>
      <c r="B1281" s="5"/>
      <c r="C1281" s="4"/>
      <c r="E1281" s="10"/>
      <c r="F1281" s="10"/>
      <c r="G1281" s="10"/>
      <c r="H1281" s="10"/>
      <c r="I1281" s="10"/>
      <c r="J1281" s="10"/>
    </row>
    <row r="1282" spans="1:10" x14ac:dyDescent="0.25">
      <c r="A1282" s="4"/>
      <c r="B1282" s="5"/>
      <c r="C1282" s="4"/>
      <c r="E1282" s="10"/>
      <c r="F1282" s="10"/>
      <c r="G1282" s="10"/>
      <c r="H1282" s="10"/>
      <c r="I1282" s="10"/>
      <c r="J1282" s="10"/>
    </row>
    <row r="1283" spans="1:10" x14ac:dyDescent="0.25">
      <c r="A1283" s="4"/>
      <c r="B1283" s="5"/>
      <c r="C1283" s="4"/>
      <c r="E1283" s="10"/>
      <c r="F1283" s="10"/>
      <c r="G1283" s="10"/>
      <c r="H1283" s="10"/>
      <c r="I1283" s="10"/>
      <c r="J1283" s="10"/>
    </row>
    <row r="1284" spans="1:10" x14ac:dyDescent="0.25">
      <c r="A1284" s="4"/>
      <c r="B1284" s="5"/>
      <c r="C1284" s="4"/>
      <c r="E1284" s="10"/>
      <c r="F1284" s="10"/>
      <c r="G1284" s="10"/>
      <c r="H1284" s="10"/>
      <c r="I1284" s="10"/>
      <c r="J1284" s="10"/>
    </row>
    <row r="1285" spans="1:10" x14ac:dyDescent="0.25">
      <c r="A1285" s="4"/>
      <c r="B1285" s="5"/>
      <c r="C1285" s="4"/>
      <c r="E1285" s="10"/>
      <c r="F1285" s="10"/>
      <c r="G1285" s="10"/>
      <c r="H1285" s="10"/>
      <c r="I1285" s="10"/>
      <c r="J1285" s="10"/>
    </row>
    <row r="1286" spans="1:10" x14ac:dyDescent="0.25">
      <c r="A1286" s="4"/>
      <c r="B1286" s="5"/>
      <c r="C1286" s="4"/>
      <c r="E1286" s="10"/>
      <c r="F1286" s="10"/>
      <c r="G1286" s="10"/>
      <c r="H1286" s="10"/>
      <c r="I1286" s="10"/>
      <c r="J1286" s="10"/>
    </row>
    <row r="1287" spans="1:10" x14ac:dyDescent="0.25">
      <c r="A1287" s="4"/>
      <c r="B1287" s="5"/>
      <c r="C1287" s="4"/>
      <c r="E1287" s="10"/>
      <c r="F1287" s="10"/>
      <c r="G1287" s="10"/>
      <c r="H1287" s="10"/>
      <c r="I1287" s="10"/>
      <c r="J1287" s="10"/>
    </row>
    <row r="1288" spans="1:10" x14ac:dyDescent="0.25">
      <c r="A1288" s="4"/>
      <c r="B1288" s="5"/>
      <c r="C1288" s="4"/>
      <c r="E1288" s="10"/>
      <c r="F1288" s="10"/>
      <c r="G1288" s="10"/>
      <c r="H1288" s="10"/>
      <c r="I1288" s="10"/>
      <c r="J1288" s="10"/>
    </row>
    <row r="1289" spans="1:10" x14ac:dyDescent="0.25">
      <c r="A1289" s="4"/>
      <c r="B1289" s="5"/>
      <c r="C1289" s="4"/>
      <c r="E1289" s="10"/>
      <c r="F1289" s="10"/>
      <c r="G1289" s="10"/>
      <c r="H1289" s="10"/>
      <c r="I1289" s="10"/>
      <c r="J1289" s="10"/>
    </row>
    <row r="1290" spans="1:10" x14ac:dyDescent="0.25">
      <c r="A1290" s="4"/>
      <c r="B1290" s="5"/>
      <c r="C1290" s="4"/>
      <c r="E1290" s="10"/>
      <c r="F1290" s="10"/>
      <c r="G1290" s="10"/>
      <c r="H1290" s="10"/>
      <c r="I1290" s="10"/>
      <c r="J1290" s="10"/>
    </row>
    <row r="1291" spans="1:10" x14ac:dyDescent="0.25">
      <c r="A1291" s="4"/>
      <c r="B1291" s="5"/>
      <c r="C1291" s="4"/>
      <c r="E1291" s="10"/>
      <c r="F1291" s="10"/>
      <c r="G1291" s="10"/>
      <c r="H1291" s="10"/>
      <c r="I1291" s="10"/>
      <c r="J1291" s="10"/>
    </row>
    <row r="1292" spans="1:10" x14ac:dyDescent="0.25">
      <c r="A1292" s="4"/>
      <c r="B1292" s="5"/>
      <c r="C1292" s="4"/>
      <c r="E1292" s="10"/>
      <c r="F1292" s="10"/>
      <c r="G1292" s="10"/>
      <c r="H1292" s="10"/>
      <c r="I1292" s="10"/>
      <c r="J1292" s="10"/>
    </row>
    <row r="1293" spans="1:10" x14ac:dyDescent="0.25">
      <c r="A1293" s="4"/>
      <c r="B1293" s="5"/>
      <c r="C1293" s="4"/>
      <c r="E1293" s="10"/>
      <c r="F1293" s="10"/>
      <c r="G1293" s="10"/>
      <c r="H1293" s="10"/>
      <c r="I1293" s="10"/>
      <c r="J1293" s="10"/>
    </row>
    <row r="1294" spans="1:10" x14ac:dyDescent="0.25">
      <c r="A1294" s="4"/>
      <c r="B1294" s="5"/>
      <c r="C1294" s="4"/>
      <c r="E1294" s="10"/>
      <c r="F1294" s="10"/>
      <c r="G1294" s="10"/>
      <c r="H1294" s="10"/>
      <c r="I1294" s="10"/>
      <c r="J1294" s="10"/>
    </row>
    <row r="1295" spans="1:10" x14ac:dyDescent="0.25">
      <c r="A1295" s="4"/>
      <c r="B1295" s="5"/>
      <c r="C1295" s="4"/>
      <c r="E1295" s="10"/>
      <c r="F1295" s="10"/>
      <c r="G1295" s="10"/>
      <c r="H1295" s="10"/>
      <c r="I1295" s="10"/>
      <c r="J1295" s="10"/>
    </row>
    <row r="1296" spans="1:10" x14ac:dyDescent="0.25">
      <c r="A1296" s="4"/>
      <c r="B1296" s="5"/>
      <c r="C1296" s="4"/>
      <c r="E1296" s="10"/>
      <c r="F1296" s="10"/>
      <c r="G1296" s="10"/>
      <c r="H1296" s="10"/>
      <c r="I1296" s="10"/>
      <c r="J1296" s="10"/>
    </row>
    <row r="1297" spans="1:10" x14ac:dyDescent="0.25">
      <c r="A1297" s="4"/>
      <c r="B1297" s="5"/>
      <c r="C1297" s="4"/>
      <c r="E1297" s="10"/>
      <c r="F1297" s="10"/>
      <c r="G1297" s="10"/>
      <c r="H1297" s="10"/>
      <c r="I1297" s="10"/>
      <c r="J1297" s="10"/>
    </row>
    <row r="1298" spans="1:10" x14ac:dyDescent="0.25">
      <c r="A1298" s="4"/>
      <c r="B1298" s="5"/>
      <c r="C1298" s="4"/>
      <c r="E1298" s="10"/>
      <c r="F1298" s="10"/>
      <c r="G1298" s="10"/>
      <c r="H1298" s="10"/>
      <c r="I1298" s="10"/>
      <c r="J1298" s="10"/>
    </row>
    <row r="1299" spans="1:10" x14ac:dyDescent="0.25">
      <c r="A1299" s="4"/>
      <c r="B1299" s="5"/>
      <c r="C1299" s="4"/>
      <c r="E1299" s="10"/>
      <c r="F1299" s="10"/>
      <c r="G1299" s="10"/>
      <c r="I1299" s="10"/>
      <c r="J1299" s="10"/>
    </row>
    <row r="1300" spans="1:10" x14ac:dyDescent="0.25">
      <c r="A1300" s="4"/>
      <c r="B1300" s="5"/>
      <c r="C1300" s="4"/>
      <c r="E1300" s="10"/>
      <c r="F1300" s="10"/>
      <c r="G1300" s="10"/>
      <c r="I1300" s="10"/>
      <c r="J1300" s="10"/>
    </row>
    <row r="1301" spans="1:10" x14ac:dyDescent="0.25">
      <c r="A1301" s="4"/>
      <c r="B1301" s="5"/>
      <c r="C1301" s="4"/>
      <c r="E1301" s="10"/>
      <c r="F1301" s="10"/>
      <c r="G1301" s="10"/>
      <c r="I1301" s="10"/>
      <c r="J1301" s="10"/>
    </row>
    <row r="1302" spans="1:10" x14ac:dyDescent="0.25">
      <c r="A1302" s="4"/>
      <c r="B1302" s="5"/>
      <c r="C1302" s="4"/>
      <c r="E1302" s="10"/>
      <c r="F1302" s="10"/>
      <c r="G1302" s="10"/>
      <c r="I1302" s="10"/>
      <c r="J1302" s="10"/>
    </row>
    <row r="1303" spans="1:10" x14ac:dyDescent="0.25">
      <c r="A1303" s="4"/>
      <c r="B1303" s="5"/>
      <c r="C1303" s="4"/>
      <c r="E1303" s="10"/>
      <c r="F1303" s="10"/>
      <c r="G1303" s="10"/>
      <c r="I1303" s="10"/>
      <c r="J1303" s="10"/>
    </row>
    <row r="1304" spans="1:10" x14ac:dyDescent="0.25">
      <c r="A1304" s="4"/>
      <c r="B1304" s="5"/>
      <c r="C1304" s="4"/>
      <c r="E1304" s="10"/>
      <c r="F1304" s="10"/>
      <c r="G1304" s="10"/>
      <c r="I1304" s="10"/>
      <c r="J1304" s="10"/>
    </row>
    <row r="1305" spans="1:10" x14ac:dyDescent="0.25">
      <c r="A1305" s="4"/>
      <c r="B1305" s="5"/>
      <c r="C1305" s="4"/>
      <c r="E1305" s="10"/>
      <c r="F1305" s="10"/>
      <c r="G1305" s="10"/>
      <c r="I1305" s="10"/>
      <c r="J1305" s="10"/>
    </row>
    <row r="1306" spans="1:10" x14ac:dyDescent="0.25">
      <c r="A1306" s="4"/>
      <c r="B1306" s="5"/>
      <c r="C1306" s="4"/>
      <c r="E1306" s="10"/>
      <c r="F1306" s="10"/>
      <c r="G1306" s="10"/>
      <c r="I1306" s="10"/>
      <c r="J1306" s="10"/>
    </row>
    <row r="1307" spans="1:10" x14ac:dyDescent="0.25">
      <c r="A1307" s="4"/>
      <c r="B1307" s="5"/>
      <c r="C1307" s="4"/>
      <c r="F1307" s="10"/>
    </row>
    <row r="1308" spans="1:10" x14ac:dyDescent="0.25">
      <c r="A1308" s="4"/>
      <c r="B1308" s="5"/>
      <c r="C1308" s="4"/>
    </row>
    <row r="1309" spans="1:10" x14ac:dyDescent="0.25">
      <c r="A1309" s="4"/>
      <c r="B1309" s="5"/>
      <c r="C1309" s="4"/>
    </row>
    <row r="1310" spans="1:10" x14ac:dyDescent="0.25">
      <c r="A1310" s="4"/>
      <c r="B1310" s="5"/>
      <c r="C1310" s="10"/>
      <c r="D1310" s="10"/>
    </row>
    <row r="1311" spans="1:10" x14ac:dyDescent="0.25">
      <c r="A1311" s="4"/>
      <c r="B1311" s="5"/>
      <c r="C1311" s="10"/>
      <c r="D1311" s="10"/>
    </row>
    <row r="1312" spans="1:10" x14ac:dyDescent="0.25">
      <c r="A1312" s="11"/>
    </row>
    <row r="1313" spans="1:1" x14ac:dyDescent="0.25">
      <c r="A1313" s="11"/>
    </row>
    <row r="1314" spans="1:1" x14ac:dyDescent="0.25">
      <c r="A1314" s="11"/>
    </row>
    <row r="1315" spans="1:1" x14ac:dyDescent="0.25">
      <c r="A1315" s="11"/>
    </row>
    <row r="1316" spans="1:1" x14ac:dyDescent="0.25">
      <c r="A1316" s="11"/>
    </row>
    <row r="1317" spans="1:1" x14ac:dyDescent="0.25">
      <c r="A1317" s="11"/>
    </row>
    <row r="1318" spans="1:1" x14ac:dyDescent="0.25">
      <c r="A1318" s="11"/>
    </row>
    <row r="1319" spans="1:1" x14ac:dyDescent="0.25">
      <c r="A1319" s="11"/>
    </row>
    <row r="1320" spans="1:1" x14ac:dyDescent="0.25">
      <c r="A1320" s="11"/>
    </row>
    <row r="1321" spans="1:1" x14ac:dyDescent="0.25">
      <c r="A1321" s="11"/>
    </row>
    <row r="1322" spans="1:1" x14ac:dyDescent="0.25">
      <c r="A1322" s="11"/>
    </row>
    <row r="1323" spans="1:1" x14ac:dyDescent="0.25">
      <c r="A1323" s="11"/>
    </row>
    <row r="1324" spans="1:1" x14ac:dyDescent="0.25">
      <c r="A1324" s="11"/>
    </row>
    <row r="1325" spans="1:1" x14ac:dyDescent="0.25">
      <c r="A1325" s="11"/>
    </row>
    <row r="1326" spans="1:1" x14ac:dyDescent="0.25">
      <c r="A1326" s="11"/>
    </row>
    <row r="1327" spans="1:1" x14ac:dyDescent="0.25">
      <c r="A1327" s="11"/>
    </row>
    <row r="1328" spans="1:1" x14ac:dyDescent="0.25">
      <c r="A1328" s="11"/>
    </row>
    <row r="1329" spans="1:1" x14ac:dyDescent="0.25">
      <c r="A1329" s="11"/>
    </row>
    <row r="1330" spans="1:1" x14ac:dyDescent="0.25">
      <c r="A1330" s="11"/>
    </row>
    <row r="1331" spans="1:1" x14ac:dyDescent="0.25">
      <c r="A1331" s="11"/>
    </row>
    <row r="1332" spans="1:1" x14ac:dyDescent="0.25">
      <c r="A1332" s="11"/>
    </row>
    <row r="1333" spans="1:1" x14ac:dyDescent="0.25">
      <c r="A1333" s="11"/>
    </row>
    <row r="1334" spans="1:1" x14ac:dyDescent="0.25">
      <c r="A1334" s="11"/>
    </row>
    <row r="1335" spans="1:1" x14ac:dyDescent="0.25">
      <c r="A1335" s="11"/>
    </row>
    <row r="1336" spans="1:1" x14ac:dyDescent="0.25">
      <c r="A1336" s="11"/>
    </row>
    <row r="1337" spans="1:1" x14ac:dyDescent="0.25">
      <c r="A1337" s="11"/>
    </row>
    <row r="1338" spans="1:1" x14ac:dyDescent="0.25">
      <c r="A1338" s="11"/>
    </row>
    <row r="1339" spans="1:1" x14ac:dyDescent="0.25">
      <c r="A1339" s="11"/>
    </row>
    <row r="1340" spans="1:1" x14ac:dyDescent="0.25">
      <c r="A1340" s="11"/>
    </row>
    <row r="1341" spans="1:1" x14ac:dyDescent="0.25">
      <c r="A1341" s="11"/>
    </row>
    <row r="1342" spans="1:1" x14ac:dyDescent="0.25">
      <c r="A1342" s="11"/>
    </row>
    <row r="1343" spans="1:1" x14ac:dyDescent="0.25">
      <c r="A1343" s="11"/>
    </row>
    <row r="1344" spans="1:1" x14ac:dyDescent="0.25">
      <c r="A1344" s="11"/>
    </row>
    <row r="1345" spans="1:1" x14ac:dyDescent="0.25">
      <c r="A1345" s="11"/>
    </row>
    <row r="1346" spans="1:1" x14ac:dyDescent="0.25">
      <c r="A1346" s="11"/>
    </row>
    <row r="1347" spans="1:1" x14ac:dyDescent="0.25">
      <c r="A1347" s="11"/>
    </row>
    <row r="1348" spans="1:1" x14ac:dyDescent="0.25">
      <c r="A1348" s="11"/>
    </row>
    <row r="1349" spans="1:1" x14ac:dyDescent="0.25">
      <c r="A1349" s="11"/>
    </row>
    <row r="1350" spans="1:1" x14ac:dyDescent="0.25">
      <c r="A1350" s="11"/>
    </row>
    <row r="1351" spans="1:1" x14ac:dyDescent="0.25">
      <c r="A1351" s="11"/>
    </row>
    <row r="1352" spans="1:1" x14ac:dyDescent="0.25">
      <c r="A1352" s="11"/>
    </row>
    <row r="1353" spans="1:1" x14ac:dyDescent="0.25">
      <c r="A1353" s="11"/>
    </row>
    <row r="1354" spans="1:1" x14ac:dyDescent="0.25">
      <c r="A1354" s="11"/>
    </row>
    <row r="1355" spans="1:1" x14ac:dyDescent="0.25">
      <c r="A1355" s="11"/>
    </row>
    <row r="1356" spans="1:1" x14ac:dyDescent="0.25">
      <c r="A1356" s="11"/>
    </row>
    <row r="1357" spans="1:1" x14ac:dyDescent="0.25">
      <c r="A1357" s="11"/>
    </row>
    <row r="1358" spans="1:1" x14ac:dyDescent="0.25">
      <c r="A1358" s="11"/>
    </row>
    <row r="1359" spans="1:1" x14ac:dyDescent="0.25">
      <c r="A1359" s="11"/>
    </row>
    <row r="1360" spans="1:1" x14ac:dyDescent="0.25">
      <c r="A1360" s="11"/>
    </row>
    <row r="1361" spans="1:1" x14ac:dyDescent="0.25">
      <c r="A1361" s="11"/>
    </row>
    <row r="1362" spans="1:1" x14ac:dyDescent="0.25">
      <c r="A1362" s="11"/>
    </row>
    <row r="1363" spans="1:1" x14ac:dyDescent="0.25">
      <c r="A1363" s="11"/>
    </row>
    <row r="1364" spans="1:1" x14ac:dyDescent="0.25">
      <c r="A1364" s="11"/>
    </row>
    <row r="1365" spans="1:1" x14ac:dyDescent="0.25">
      <c r="A1365" s="11"/>
    </row>
    <row r="1366" spans="1:1" x14ac:dyDescent="0.25">
      <c r="A1366" s="11"/>
    </row>
    <row r="1367" spans="1:1" x14ac:dyDescent="0.25">
      <c r="A1367" s="11"/>
    </row>
    <row r="1368" spans="1:1" x14ac:dyDescent="0.25">
      <c r="A1368" s="11"/>
    </row>
    <row r="1369" spans="1:1" x14ac:dyDescent="0.25">
      <c r="A1369" s="11"/>
    </row>
    <row r="1370" spans="1:1" x14ac:dyDescent="0.25">
      <c r="A1370" s="11"/>
    </row>
    <row r="1371" spans="1:1" x14ac:dyDescent="0.25">
      <c r="A1371" s="11"/>
    </row>
    <row r="1372" spans="1:1" x14ac:dyDescent="0.25">
      <c r="A1372" s="11"/>
    </row>
    <row r="1373" spans="1:1" x14ac:dyDescent="0.25">
      <c r="A1373" s="11"/>
    </row>
    <row r="1374" spans="1:1" x14ac:dyDescent="0.25">
      <c r="A1374" s="11"/>
    </row>
    <row r="1375" spans="1:1" x14ac:dyDescent="0.25">
      <c r="A1375" s="11"/>
    </row>
    <row r="1376" spans="1:1" x14ac:dyDescent="0.25">
      <c r="A1376" s="11"/>
    </row>
    <row r="1377" spans="1:1" x14ac:dyDescent="0.25">
      <c r="A1377" s="11"/>
    </row>
    <row r="1378" spans="1:1" x14ac:dyDescent="0.25">
      <c r="A1378" s="11"/>
    </row>
    <row r="1379" spans="1:1" x14ac:dyDescent="0.25">
      <c r="A1379" s="11"/>
    </row>
    <row r="1380" spans="1:1" x14ac:dyDescent="0.25">
      <c r="A1380" s="11"/>
    </row>
    <row r="1381" spans="1:1" x14ac:dyDescent="0.25">
      <c r="A1381" s="11"/>
    </row>
    <row r="1382" spans="1:1" x14ac:dyDescent="0.25">
      <c r="A1382" s="11"/>
    </row>
    <row r="1383" spans="1:1" x14ac:dyDescent="0.25">
      <c r="A1383" s="11"/>
    </row>
    <row r="1384" spans="1:1" x14ac:dyDescent="0.25">
      <c r="A1384" s="11"/>
    </row>
    <row r="1385" spans="1:1" x14ac:dyDescent="0.25">
      <c r="A1385" s="11"/>
    </row>
    <row r="1386" spans="1:1" x14ac:dyDescent="0.25">
      <c r="A1386" s="11"/>
    </row>
    <row r="1387" spans="1:1" x14ac:dyDescent="0.25">
      <c r="A1387" s="11"/>
    </row>
    <row r="1388" spans="1:1" x14ac:dyDescent="0.25">
      <c r="A1388" s="11"/>
    </row>
    <row r="1389" spans="1:1" x14ac:dyDescent="0.25">
      <c r="A1389" s="11"/>
    </row>
    <row r="1390" spans="1:1" x14ac:dyDescent="0.25">
      <c r="A1390" s="11"/>
    </row>
    <row r="1391" spans="1:1" x14ac:dyDescent="0.25">
      <c r="A1391" s="11"/>
    </row>
    <row r="1392" spans="1:1" x14ac:dyDescent="0.25">
      <c r="A1392" s="11"/>
    </row>
    <row r="1393" spans="1:1" x14ac:dyDescent="0.25">
      <c r="A1393" s="11"/>
    </row>
    <row r="1394" spans="1:1" x14ac:dyDescent="0.25">
      <c r="A1394" s="11"/>
    </row>
    <row r="1395" spans="1:1" x14ac:dyDescent="0.25">
      <c r="A1395" s="11"/>
    </row>
    <row r="1396" spans="1:1" x14ac:dyDescent="0.25">
      <c r="A1396" s="11"/>
    </row>
    <row r="1397" spans="1:1" x14ac:dyDescent="0.25">
      <c r="A1397" s="11"/>
    </row>
    <row r="1398" spans="1:1" x14ac:dyDescent="0.25">
      <c r="A1398" s="11"/>
    </row>
    <row r="1399" spans="1:1" x14ac:dyDescent="0.25">
      <c r="A1399" s="11"/>
    </row>
    <row r="1400" spans="1:1" x14ac:dyDescent="0.25">
      <c r="A1400" s="11"/>
    </row>
    <row r="1401" spans="1:1" x14ac:dyDescent="0.25">
      <c r="A1401" s="11"/>
    </row>
    <row r="1402" spans="1:1" x14ac:dyDescent="0.25">
      <c r="A1402" s="11"/>
    </row>
    <row r="1403" spans="1:1" x14ac:dyDescent="0.25">
      <c r="A1403" s="11"/>
    </row>
    <row r="1404" spans="1:1" x14ac:dyDescent="0.25">
      <c r="A1404" s="11"/>
    </row>
    <row r="1405" spans="1:1" x14ac:dyDescent="0.25">
      <c r="A1405" s="11"/>
    </row>
    <row r="1406" spans="1:1" x14ac:dyDescent="0.25">
      <c r="A1406" s="11"/>
    </row>
    <row r="1407" spans="1:1" x14ac:dyDescent="0.25">
      <c r="A1407" s="11"/>
    </row>
    <row r="1408" spans="1:1" x14ac:dyDescent="0.25">
      <c r="A1408" s="11"/>
    </row>
    <row r="1409" spans="1:1" x14ac:dyDescent="0.25">
      <c r="A1409" s="11"/>
    </row>
    <row r="1410" spans="1:1" x14ac:dyDescent="0.25">
      <c r="A1410" s="11"/>
    </row>
    <row r="1411" spans="1:1" x14ac:dyDescent="0.25">
      <c r="A1411" s="11"/>
    </row>
    <row r="1412" spans="1:1" x14ac:dyDescent="0.25">
      <c r="A1412" s="11"/>
    </row>
    <row r="1413" spans="1:1" x14ac:dyDescent="0.25">
      <c r="A1413" s="11"/>
    </row>
    <row r="1414" spans="1:1" x14ac:dyDescent="0.25">
      <c r="A1414" s="11"/>
    </row>
    <row r="1415" spans="1:1" x14ac:dyDescent="0.25">
      <c r="A1415" s="11"/>
    </row>
    <row r="1416" spans="1:1" x14ac:dyDescent="0.25">
      <c r="A1416" s="11"/>
    </row>
    <row r="1417" spans="1:1" x14ac:dyDescent="0.25">
      <c r="A1417" s="11"/>
    </row>
    <row r="1418" spans="1:1" x14ac:dyDescent="0.25">
      <c r="A1418" s="11"/>
    </row>
    <row r="1419" spans="1:1" x14ac:dyDescent="0.25">
      <c r="A1419" s="11"/>
    </row>
    <row r="1420" spans="1:1" x14ac:dyDescent="0.25">
      <c r="A1420" s="11"/>
    </row>
    <row r="1421" spans="1:1" x14ac:dyDescent="0.25">
      <c r="A1421" s="11"/>
    </row>
    <row r="1422" spans="1:1" x14ac:dyDescent="0.25">
      <c r="A1422" s="11"/>
    </row>
    <row r="1423" spans="1:1" x14ac:dyDescent="0.25">
      <c r="A1423" s="11"/>
    </row>
    <row r="1424" spans="1:1" x14ac:dyDescent="0.25">
      <c r="A1424" s="11"/>
    </row>
    <row r="1425" spans="1:1" x14ac:dyDescent="0.25">
      <c r="A1425" s="11"/>
    </row>
    <row r="1426" spans="1:1" x14ac:dyDescent="0.25">
      <c r="A1426" s="11"/>
    </row>
    <row r="1427" spans="1:1" x14ac:dyDescent="0.25">
      <c r="A1427" s="11"/>
    </row>
    <row r="1428" spans="1:1" x14ac:dyDescent="0.25">
      <c r="A1428" s="11"/>
    </row>
    <row r="1429" spans="1:1" x14ac:dyDescent="0.25">
      <c r="A1429" s="11"/>
    </row>
    <row r="1430" spans="1:1" x14ac:dyDescent="0.25">
      <c r="A1430" s="11"/>
    </row>
    <row r="1431" spans="1:1" x14ac:dyDescent="0.25">
      <c r="A1431" s="11"/>
    </row>
    <row r="1432" spans="1:1" x14ac:dyDescent="0.25">
      <c r="A1432" s="11"/>
    </row>
    <row r="1433" spans="1:1" x14ac:dyDescent="0.25">
      <c r="A1433" s="11"/>
    </row>
    <row r="1434" spans="1:1" x14ac:dyDescent="0.25">
      <c r="A1434" s="11"/>
    </row>
    <row r="1435" spans="1:1" x14ac:dyDescent="0.25">
      <c r="A1435" s="11"/>
    </row>
    <row r="1436" spans="1:1" x14ac:dyDescent="0.25">
      <c r="A1436" s="11"/>
    </row>
    <row r="1437" spans="1:1" x14ac:dyDescent="0.25">
      <c r="A1437" s="11"/>
    </row>
    <row r="1438" spans="1:1" x14ac:dyDescent="0.25">
      <c r="A1438" s="11"/>
    </row>
    <row r="1439" spans="1:1" x14ac:dyDescent="0.25">
      <c r="A1439" s="11"/>
    </row>
    <row r="1440" spans="1:1" x14ac:dyDescent="0.25">
      <c r="A1440" s="11"/>
    </row>
    <row r="1441" spans="1:1" x14ac:dyDescent="0.25">
      <c r="A1441" s="11"/>
    </row>
    <row r="1442" spans="1:1" x14ac:dyDescent="0.25">
      <c r="A1442" s="11"/>
    </row>
    <row r="1443" spans="1:1" x14ac:dyDescent="0.25">
      <c r="A1443" s="11"/>
    </row>
    <row r="1444" spans="1:1" x14ac:dyDescent="0.25">
      <c r="A1444" s="11"/>
    </row>
    <row r="1445" spans="1:1" x14ac:dyDescent="0.25">
      <c r="A1445" s="11"/>
    </row>
    <row r="1446" spans="1:1" x14ac:dyDescent="0.25">
      <c r="A1446" s="11"/>
    </row>
    <row r="1447" spans="1:1" x14ac:dyDescent="0.25">
      <c r="A1447" s="11"/>
    </row>
    <row r="1448" spans="1:1" x14ac:dyDescent="0.25">
      <c r="A1448" s="11"/>
    </row>
    <row r="1449" spans="1:1" x14ac:dyDescent="0.25">
      <c r="A1449" s="11"/>
    </row>
    <row r="1450" spans="1:1" x14ac:dyDescent="0.25">
      <c r="A1450" s="11"/>
    </row>
    <row r="1451" spans="1:1" x14ac:dyDescent="0.25">
      <c r="A1451" s="11"/>
    </row>
    <row r="1452" spans="1:1" x14ac:dyDescent="0.25">
      <c r="A1452" s="11"/>
    </row>
    <row r="1453" spans="1:1" x14ac:dyDescent="0.25">
      <c r="A1453" s="11"/>
    </row>
    <row r="1454" spans="1:1" x14ac:dyDescent="0.25">
      <c r="A1454" s="11"/>
    </row>
    <row r="1455" spans="1:1" x14ac:dyDescent="0.25">
      <c r="A1455" s="11"/>
    </row>
    <row r="1456" spans="1:1" x14ac:dyDescent="0.25">
      <c r="A1456" s="11"/>
    </row>
    <row r="1457" spans="1:1" x14ac:dyDescent="0.25">
      <c r="A1457" s="11"/>
    </row>
    <row r="1458" spans="1:1" x14ac:dyDescent="0.25">
      <c r="A1458" s="11"/>
    </row>
    <row r="1459" spans="1:1" x14ac:dyDescent="0.25">
      <c r="A1459" s="11"/>
    </row>
    <row r="1460" spans="1:1" x14ac:dyDescent="0.25">
      <c r="A1460" s="11"/>
    </row>
    <row r="1461" spans="1:1" x14ac:dyDescent="0.25">
      <c r="A1461" s="11"/>
    </row>
    <row r="1462" spans="1:1" x14ac:dyDescent="0.25">
      <c r="A1462" s="11"/>
    </row>
    <row r="1463" spans="1:1" x14ac:dyDescent="0.25">
      <c r="A1463" s="11"/>
    </row>
    <row r="1464" spans="1:1" x14ac:dyDescent="0.25">
      <c r="A1464" s="11"/>
    </row>
    <row r="1465" spans="1:1" x14ac:dyDescent="0.25">
      <c r="A1465" s="11"/>
    </row>
    <row r="1466" spans="1:1" x14ac:dyDescent="0.25">
      <c r="A1466" s="11"/>
    </row>
    <row r="1467" spans="1:1" x14ac:dyDescent="0.25">
      <c r="A1467" s="11"/>
    </row>
    <row r="1468" spans="1:1" x14ac:dyDescent="0.25">
      <c r="A1468" s="11"/>
    </row>
    <row r="1469" spans="1:1" x14ac:dyDescent="0.25">
      <c r="A1469" s="11"/>
    </row>
    <row r="1470" spans="1:1" x14ac:dyDescent="0.25">
      <c r="A1470" s="11"/>
    </row>
    <row r="1471" spans="1:1" x14ac:dyDescent="0.25">
      <c r="A1471" s="11"/>
    </row>
    <row r="1472" spans="1:1" x14ac:dyDescent="0.25">
      <c r="A1472" s="11"/>
    </row>
    <row r="1473" spans="1:1" x14ac:dyDescent="0.25">
      <c r="A1473" s="11"/>
    </row>
    <row r="1474" spans="1:1" x14ac:dyDescent="0.25">
      <c r="A1474" s="11"/>
    </row>
    <row r="1475" spans="1:1" x14ac:dyDescent="0.25">
      <c r="A1475" s="11"/>
    </row>
    <row r="1476" spans="1:1" x14ac:dyDescent="0.25">
      <c r="A1476" s="11"/>
    </row>
    <row r="1477" spans="1:1" x14ac:dyDescent="0.25">
      <c r="A1477" s="11"/>
    </row>
    <row r="1478" spans="1:1" x14ac:dyDescent="0.25">
      <c r="A1478" s="11"/>
    </row>
    <row r="1479" spans="1:1" x14ac:dyDescent="0.25">
      <c r="A1479" s="11"/>
    </row>
    <row r="1480" spans="1:1" x14ac:dyDescent="0.25">
      <c r="A1480" s="11"/>
    </row>
    <row r="1481" spans="1:1" x14ac:dyDescent="0.25">
      <c r="A1481" s="11"/>
    </row>
    <row r="1482" spans="1:1" x14ac:dyDescent="0.25">
      <c r="A1482" s="11"/>
    </row>
    <row r="1483" spans="1:1" x14ac:dyDescent="0.25">
      <c r="A1483" s="11"/>
    </row>
    <row r="1484" spans="1:1" x14ac:dyDescent="0.25">
      <c r="A1484" s="11"/>
    </row>
    <row r="1485" spans="1:1" x14ac:dyDescent="0.25">
      <c r="A1485" s="11"/>
    </row>
    <row r="1486" spans="1:1" x14ac:dyDescent="0.25">
      <c r="A1486" s="11"/>
    </row>
    <row r="1487" spans="1:1" x14ac:dyDescent="0.25">
      <c r="A1487" s="11"/>
    </row>
    <row r="1488" spans="1:1" x14ac:dyDescent="0.25">
      <c r="A1488" s="11"/>
    </row>
    <row r="1489" spans="1:1" x14ac:dyDescent="0.25">
      <c r="A1489" s="11"/>
    </row>
    <row r="1490" spans="1:1" x14ac:dyDescent="0.25">
      <c r="A1490" s="11"/>
    </row>
    <row r="1491" spans="1:1" x14ac:dyDescent="0.25">
      <c r="A1491" s="11"/>
    </row>
    <row r="1492" spans="1:1" x14ac:dyDescent="0.25">
      <c r="A1492" s="11"/>
    </row>
    <row r="1493" spans="1:1" x14ac:dyDescent="0.25">
      <c r="A1493" s="11"/>
    </row>
    <row r="1494" spans="1:1" x14ac:dyDescent="0.25">
      <c r="A1494" s="11"/>
    </row>
    <row r="1495" spans="1:1" x14ac:dyDescent="0.25">
      <c r="A1495" s="11"/>
    </row>
    <row r="1496" spans="1:1" x14ac:dyDescent="0.25">
      <c r="A1496" s="11"/>
    </row>
    <row r="1497" spans="1:1" x14ac:dyDescent="0.25">
      <c r="A1497" s="11"/>
    </row>
    <row r="1498" spans="1:1" x14ac:dyDescent="0.25">
      <c r="A1498" s="11"/>
    </row>
    <row r="1499" spans="1:1" x14ac:dyDescent="0.25">
      <c r="A1499" s="11"/>
    </row>
    <row r="1500" spans="1:1" x14ac:dyDescent="0.25">
      <c r="A1500" s="11"/>
    </row>
    <row r="1501" spans="1:1" x14ac:dyDescent="0.25">
      <c r="A1501" s="11"/>
    </row>
    <row r="1502" spans="1:1" x14ac:dyDescent="0.25">
      <c r="A1502" s="11"/>
    </row>
    <row r="1503" spans="1:1" x14ac:dyDescent="0.25">
      <c r="A1503" s="11"/>
    </row>
    <row r="1504" spans="1:1" x14ac:dyDescent="0.25">
      <c r="A1504" s="11"/>
    </row>
    <row r="1505" spans="1:1" x14ac:dyDescent="0.25">
      <c r="A1505" s="11"/>
    </row>
    <row r="1506" spans="1:1" x14ac:dyDescent="0.25">
      <c r="A1506" s="11"/>
    </row>
    <row r="1507" spans="1:1" x14ac:dyDescent="0.25">
      <c r="A1507" s="11"/>
    </row>
    <row r="1508" spans="1:1" x14ac:dyDescent="0.25">
      <c r="A1508" s="11"/>
    </row>
    <row r="1509" spans="1:1" x14ac:dyDescent="0.25">
      <c r="A1509" s="11"/>
    </row>
    <row r="1510" spans="1:1" x14ac:dyDescent="0.25">
      <c r="A1510" s="11"/>
    </row>
    <row r="1511" spans="1:1" x14ac:dyDescent="0.25">
      <c r="A1511" s="11"/>
    </row>
    <row r="1512" spans="1:1" x14ac:dyDescent="0.25">
      <c r="A1512" s="11"/>
    </row>
    <row r="1513" spans="1:1" x14ac:dyDescent="0.25">
      <c r="A1513" s="11"/>
    </row>
    <row r="1514" spans="1:1" x14ac:dyDescent="0.25">
      <c r="A1514" s="11"/>
    </row>
    <row r="1515" spans="1:1" x14ac:dyDescent="0.25">
      <c r="A1515" s="11"/>
    </row>
    <row r="1516" spans="1:1" x14ac:dyDescent="0.25">
      <c r="A1516" s="11"/>
    </row>
    <row r="1517" spans="1:1" x14ac:dyDescent="0.25">
      <c r="A1517" s="11"/>
    </row>
    <row r="1518" spans="1:1" x14ac:dyDescent="0.25">
      <c r="A1518" s="11"/>
    </row>
    <row r="1519" spans="1:1" x14ac:dyDescent="0.25">
      <c r="A1519" s="11"/>
    </row>
    <row r="1520" spans="1:1" x14ac:dyDescent="0.25">
      <c r="A1520" s="11"/>
    </row>
    <row r="1521" spans="1:1" x14ac:dyDescent="0.25">
      <c r="A1521" s="11"/>
    </row>
    <row r="1522" spans="1:1" x14ac:dyDescent="0.25">
      <c r="A1522" s="11"/>
    </row>
    <row r="1523" spans="1:1" x14ac:dyDescent="0.25">
      <c r="A1523" s="11"/>
    </row>
    <row r="1524" spans="1:1" x14ac:dyDescent="0.25">
      <c r="A1524" s="11"/>
    </row>
    <row r="1525" spans="1:1" x14ac:dyDescent="0.25">
      <c r="A1525" s="11"/>
    </row>
    <row r="1526" spans="1:1" x14ac:dyDescent="0.25">
      <c r="A1526" s="11"/>
    </row>
    <row r="1527" spans="1:1" x14ac:dyDescent="0.25">
      <c r="A1527" s="11"/>
    </row>
    <row r="1528" spans="1:1" x14ac:dyDescent="0.25">
      <c r="A1528" s="11"/>
    </row>
    <row r="1529" spans="1:1" x14ac:dyDescent="0.25">
      <c r="A1529" s="11"/>
    </row>
    <row r="1530" spans="1:1" x14ac:dyDescent="0.25">
      <c r="A1530" s="11"/>
    </row>
    <row r="1531" spans="1:1" x14ac:dyDescent="0.25">
      <c r="A1531" s="11"/>
    </row>
    <row r="1532" spans="1:1" x14ac:dyDescent="0.25">
      <c r="A1532" s="11"/>
    </row>
    <row r="1533" spans="1:1" x14ac:dyDescent="0.25">
      <c r="A1533" s="11"/>
    </row>
    <row r="1534" spans="1:1" x14ac:dyDescent="0.25">
      <c r="A1534" s="11"/>
    </row>
    <row r="1535" spans="1:1" x14ac:dyDescent="0.25">
      <c r="A1535" s="11"/>
    </row>
    <row r="1536" spans="1:1" x14ac:dyDescent="0.25">
      <c r="A1536" s="11"/>
    </row>
    <row r="1537" spans="1:1" x14ac:dyDescent="0.25">
      <c r="A1537" s="11"/>
    </row>
    <row r="1538" spans="1:1" x14ac:dyDescent="0.25">
      <c r="A1538" s="11"/>
    </row>
    <row r="1539" spans="1:1" x14ac:dyDescent="0.25">
      <c r="A1539" s="11"/>
    </row>
    <row r="1540" spans="1:1" x14ac:dyDescent="0.25">
      <c r="A1540" s="11"/>
    </row>
    <row r="1541" spans="1:1" x14ac:dyDescent="0.25">
      <c r="A1541" s="11"/>
    </row>
    <row r="1542" spans="1:1" x14ac:dyDescent="0.25">
      <c r="A1542" s="11"/>
    </row>
    <row r="1543" spans="1:1" x14ac:dyDescent="0.25">
      <c r="A1543" s="11"/>
    </row>
    <row r="1544" spans="1:1" x14ac:dyDescent="0.25">
      <c r="A1544" s="11"/>
    </row>
    <row r="1545" spans="1:1" x14ac:dyDescent="0.25">
      <c r="A1545" s="11"/>
    </row>
    <row r="1546" spans="1:1" x14ac:dyDescent="0.25">
      <c r="A1546" s="11"/>
    </row>
    <row r="1547" spans="1:1" x14ac:dyDescent="0.25">
      <c r="A1547" s="11"/>
    </row>
    <row r="1548" spans="1:1" x14ac:dyDescent="0.25">
      <c r="A1548" s="11"/>
    </row>
    <row r="1549" spans="1:1" x14ac:dyDescent="0.25">
      <c r="A1549" s="11"/>
    </row>
    <row r="1550" spans="1:1" x14ac:dyDescent="0.25">
      <c r="A1550" s="11"/>
    </row>
    <row r="1551" spans="1:1" x14ac:dyDescent="0.25">
      <c r="A1551" s="11"/>
    </row>
    <row r="1552" spans="1:1" x14ac:dyDescent="0.25">
      <c r="A1552" s="11"/>
    </row>
    <row r="1553" spans="1:1" x14ac:dyDescent="0.25">
      <c r="A1553" s="11"/>
    </row>
    <row r="1554" spans="1:1" x14ac:dyDescent="0.25">
      <c r="A1554" s="11"/>
    </row>
    <row r="1555" spans="1:1" x14ac:dyDescent="0.25">
      <c r="A1555" s="11"/>
    </row>
    <row r="1556" spans="1:1" x14ac:dyDescent="0.25">
      <c r="A1556" s="11"/>
    </row>
    <row r="1557" spans="1:1" x14ac:dyDescent="0.25">
      <c r="A1557" s="11"/>
    </row>
    <row r="1558" spans="1:1" x14ac:dyDescent="0.25">
      <c r="A1558" s="11"/>
    </row>
    <row r="1559" spans="1:1" x14ac:dyDescent="0.25">
      <c r="A1559" s="11"/>
    </row>
    <row r="1560" spans="1:1" x14ac:dyDescent="0.25">
      <c r="A1560" s="11"/>
    </row>
    <row r="1561" spans="1:1" x14ac:dyDescent="0.25">
      <c r="A1561" s="11"/>
    </row>
    <row r="1562" spans="1:1" x14ac:dyDescent="0.25">
      <c r="A1562" s="11"/>
    </row>
    <row r="1563" spans="1:1" x14ac:dyDescent="0.25">
      <c r="A1563" s="11"/>
    </row>
    <row r="1564" spans="1:1" x14ac:dyDescent="0.25">
      <c r="A1564" s="11"/>
    </row>
    <row r="1565" spans="1:1" x14ac:dyDescent="0.25">
      <c r="A1565" s="11"/>
    </row>
    <row r="1566" spans="1:1" x14ac:dyDescent="0.25">
      <c r="A1566" s="11"/>
    </row>
    <row r="1567" spans="1:1" x14ac:dyDescent="0.25">
      <c r="A1567" s="11"/>
    </row>
    <row r="1568" spans="1:1" x14ac:dyDescent="0.25">
      <c r="A1568" s="11"/>
    </row>
    <row r="1569" spans="1:1" x14ac:dyDescent="0.25">
      <c r="A1569" s="11"/>
    </row>
    <row r="1570" spans="1:1" x14ac:dyDescent="0.25">
      <c r="A1570" s="11"/>
    </row>
    <row r="1571" spans="1:1" x14ac:dyDescent="0.25">
      <c r="A1571" s="11"/>
    </row>
    <row r="1572" spans="1:1" x14ac:dyDescent="0.25">
      <c r="A1572" s="11"/>
    </row>
    <row r="1573" spans="1:1" x14ac:dyDescent="0.25">
      <c r="A1573" s="11"/>
    </row>
    <row r="1574" spans="1:1" x14ac:dyDescent="0.25">
      <c r="A1574" s="11"/>
    </row>
    <row r="1575" spans="1:1" x14ac:dyDescent="0.25">
      <c r="A1575" s="11"/>
    </row>
    <row r="1576" spans="1:1" x14ac:dyDescent="0.25">
      <c r="A1576" s="11"/>
    </row>
    <row r="1577" spans="1:1" x14ac:dyDescent="0.25">
      <c r="A1577" s="11"/>
    </row>
    <row r="1578" spans="1:1" x14ac:dyDescent="0.25">
      <c r="A1578" s="11"/>
    </row>
    <row r="1579" spans="1:1" x14ac:dyDescent="0.25">
      <c r="A1579" s="11"/>
    </row>
    <row r="1580" spans="1:1" x14ac:dyDescent="0.25">
      <c r="A1580" s="11"/>
    </row>
    <row r="1581" spans="1:1" x14ac:dyDescent="0.25">
      <c r="A1581" s="11"/>
    </row>
    <row r="1582" spans="1:1" x14ac:dyDescent="0.25">
      <c r="A1582" s="11"/>
    </row>
    <row r="1583" spans="1:1" x14ac:dyDescent="0.25">
      <c r="A1583" s="11"/>
    </row>
    <row r="1584" spans="1:1" x14ac:dyDescent="0.25">
      <c r="A1584" s="11"/>
    </row>
    <row r="1585" spans="1:1" x14ac:dyDescent="0.25">
      <c r="A1585" s="11"/>
    </row>
    <row r="1586" spans="1:1" x14ac:dyDescent="0.25">
      <c r="A1586" s="11"/>
    </row>
    <row r="1587" spans="1:1" x14ac:dyDescent="0.25">
      <c r="A1587" s="11"/>
    </row>
    <row r="1588" spans="1:1" x14ac:dyDescent="0.25">
      <c r="A1588" s="11"/>
    </row>
    <row r="1589" spans="1:1" x14ac:dyDescent="0.25">
      <c r="A1589" s="11"/>
    </row>
    <row r="1590" spans="1:1" x14ac:dyDescent="0.25">
      <c r="A1590" s="11"/>
    </row>
    <row r="1591" spans="1:1" x14ac:dyDescent="0.25">
      <c r="A1591" s="11"/>
    </row>
    <row r="1592" spans="1:1" x14ac:dyDescent="0.25">
      <c r="A1592" s="11"/>
    </row>
    <row r="1593" spans="1:1" x14ac:dyDescent="0.25">
      <c r="A1593" s="11"/>
    </row>
    <row r="1594" spans="1:1" x14ac:dyDescent="0.25">
      <c r="A1594" s="11"/>
    </row>
    <row r="1595" spans="1:1" x14ac:dyDescent="0.25">
      <c r="A1595" s="11"/>
    </row>
    <row r="1596" spans="1:1" x14ac:dyDescent="0.25">
      <c r="A1596" s="11"/>
    </row>
    <row r="1597" spans="1:1" x14ac:dyDescent="0.25">
      <c r="A1597" s="11"/>
    </row>
    <row r="1598" spans="1:1" x14ac:dyDescent="0.25">
      <c r="A1598" s="11"/>
    </row>
    <row r="1599" spans="1:1" x14ac:dyDescent="0.25">
      <c r="A1599" s="11"/>
    </row>
    <row r="1600" spans="1:1" x14ac:dyDescent="0.25">
      <c r="A1600" s="11"/>
    </row>
    <row r="1601" spans="1:1" x14ac:dyDescent="0.25">
      <c r="A1601" s="11"/>
    </row>
    <row r="1602" spans="1:1" x14ac:dyDescent="0.25">
      <c r="A1602" s="11"/>
    </row>
    <row r="1603" spans="1:1" x14ac:dyDescent="0.25">
      <c r="A1603" s="11"/>
    </row>
    <row r="1604" spans="1:1" x14ac:dyDescent="0.25">
      <c r="A1604" s="11"/>
    </row>
    <row r="1605" spans="1:1" x14ac:dyDescent="0.25">
      <c r="A1605" s="11"/>
    </row>
    <row r="1606" spans="1:1" x14ac:dyDescent="0.25">
      <c r="A1606" s="11"/>
    </row>
    <row r="1607" spans="1:1" x14ac:dyDescent="0.25">
      <c r="A1607" s="11"/>
    </row>
    <row r="1608" spans="1:1" x14ac:dyDescent="0.25">
      <c r="A1608" s="11"/>
    </row>
    <row r="1609" spans="1:1" x14ac:dyDescent="0.25">
      <c r="A1609" s="11"/>
    </row>
    <row r="1610" spans="1:1" x14ac:dyDescent="0.25">
      <c r="A1610" s="11"/>
    </row>
    <row r="1611" spans="1:1" x14ac:dyDescent="0.25">
      <c r="A1611" s="11"/>
    </row>
    <row r="1612" spans="1:1" x14ac:dyDescent="0.25">
      <c r="A1612" s="11"/>
    </row>
    <row r="1613" spans="1:1" x14ac:dyDescent="0.25">
      <c r="A1613" s="11"/>
    </row>
    <row r="1614" spans="1:1" x14ac:dyDescent="0.25">
      <c r="A1614" s="11"/>
    </row>
    <row r="1615" spans="1:1" x14ac:dyDescent="0.25">
      <c r="A1615" s="11"/>
    </row>
    <row r="1616" spans="1:1" x14ac:dyDescent="0.25">
      <c r="A1616" s="11"/>
    </row>
    <row r="1617" spans="1:1" x14ac:dyDescent="0.25">
      <c r="A1617" s="11"/>
    </row>
    <row r="1618" spans="1:1" x14ac:dyDescent="0.25">
      <c r="A1618" s="11"/>
    </row>
    <row r="1619" spans="1:1" x14ac:dyDescent="0.25">
      <c r="A1619" s="11"/>
    </row>
    <row r="1620" spans="1:1" x14ac:dyDescent="0.25">
      <c r="A1620" s="11"/>
    </row>
    <row r="1621" spans="1:1" x14ac:dyDescent="0.25">
      <c r="A1621" s="11"/>
    </row>
    <row r="1622" spans="1:1" x14ac:dyDescent="0.25">
      <c r="A1622" s="11"/>
    </row>
    <row r="1623" spans="1:1" x14ac:dyDescent="0.25">
      <c r="A1623" s="11"/>
    </row>
    <row r="1624" spans="1:1" x14ac:dyDescent="0.25">
      <c r="A1624" s="11"/>
    </row>
    <row r="1625" spans="1:1" x14ac:dyDescent="0.25">
      <c r="A1625" s="11"/>
    </row>
    <row r="1626" spans="1:1" x14ac:dyDescent="0.25">
      <c r="A1626" s="11"/>
    </row>
    <row r="1627" spans="1:1" x14ac:dyDescent="0.25">
      <c r="A1627" s="11"/>
    </row>
    <row r="1628" spans="1:1" x14ac:dyDescent="0.25">
      <c r="A1628" s="11"/>
    </row>
    <row r="1629" spans="1:1" x14ac:dyDescent="0.25">
      <c r="A1629" s="11"/>
    </row>
    <row r="1630" spans="1:1" x14ac:dyDescent="0.25">
      <c r="A1630" s="11"/>
    </row>
    <row r="1631" spans="1:1" x14ac:dyDescent="0.25">
      <c r="A1631" s="11"/>
    </row>
    <row r="1632" spans="1:1" x14ac:dyDescent="0.25">
      <c r="A1632" s="11"/>
    </row>
    <row r="1633" spans="1:1" x14ac:dyDescent="0.25">
      <c r="A1633" s="11"/>
    </row>
    <row r="1634" spans="1:1" x14ac:dyDescent="0.25">
      <c r="A1634" s="11"/>
    </row>
    <row r="1635" spans="1:1" x14ac:dyDescent="0.25">
      <c r="A1635" s="11"/>
    </row>
    <row r="1636" spans="1:1" x14ac:dyDescent="0.25">
      <c r="A1636" s="11"/>
    </row>
    <row r="1637" spans="1:1" x14ac:dyDescent="0.25">
      <c r="A1637" s="11"/>
    </row>
    <row r="1638" spans="1:1" x14ac:dyDescent="0.25">
      <c r="A1638" s="11"/>
    </row>
    <row r="1639" spans="1:1" x14ac:dyDescent="0.25">
      <c r="A1639" s="11"/>
    </row>
    <row r="1640" spans="1:1" x14ac:dyDescent="0.25">
      <c r="A1640" s="11"/>
    </row>
    <row r="1641" spans="1:1" x14ac:dyDescent="0.25">
      <c r="A1641" s="11"/>
    </row>
    <row r="1642" spans="1:1" x14ac:dyDescent="0.25">
      <c r="A1642" s="11"/>
    </row>
    <row r="1643" spans="1:1" x14ac:dyDescent="0.25">
      <c r="A1643" s="11"/>
    </row>
    <row r="1644" spans="1:1" x14ac:dyDescent="0.25">
      <c r="A1644" s="11"/>
    </row>
    <row r="1645" spans="1:1" x14ac:dyDescent="0.25">
      <c r="A1645" s="11"/>
    </row>
    <row r="1646" spans="1:1" x14ac:dyDescent="0.25">
      <c r="A1646" s="11"/>
    </row>
    <row r="1647" spans="1:1" x14ac:dyDescent="0.25">
      <c r="A1647" s="11"/>
    </row>
    <row r="1648" spans="1:1" x14ac:dyDescent="0.25">
      <c r="A1648" s="11"/>
    </row>
    <row r="1649" spans="1:1" x14ac:dyDescent="0.25">
      <c r="A1649" s="11"/>
    </row>
    <row r="1650" spans="1:1" x14ac:dyDescent="0.25">
      <c r="A1650" s="11"/>
    </row>
    <row r="1651" spans="1:1" x14ac:dyDescent="0.25">
      <c r="A1651" s="11"/>
    </row>
    <row r="1652" spans="1:1" x14ac:dyDescent="0.25">
      <c r="A1652" s="11"/>
    </row>
    <row r="1653" spans="1:1" x14ac:dyDescent="0.25">
      <c r="A1653" s="11"/>
    </row>
    <row r="1654" spans="1:1" x14ac:dyDescent="0.25">
      <c r="A1654" s="11"/>
    </row>
    <row r="1655" spans="1:1" x14ac:dyDescent="0.25">
      <c r="A1655" s="11"/>
    </row>
    <row r="1656" spans="1:1" x14ac:dyDescent="0.25">
      <c r="A1656" s="11"/>
    </row>
    <row r="1657" spans="1:1" x14ac:dyDescent="0.25">
      <c r="A1657" s="11"/>
    </row>
    <row r="1658" spans="1:1" x14ac:dyDescent="0.25">
      <c r="A1658" s="11"/>
    </row>
    <row r="1659" spans="1:1" x14ac:dyDescent="0.25">
      <c r="A1659" s="11"/>
    </row>
    <row r="1660" spans="1:1" x14ac:dyDescent="0.25">
      <c r="A1660" s="11"/>
    </row>
    <row r="1661" spans="1:1" x14ac:dyDescent="0.25">
      <c r="A1661" s="11"/>
    </row>
    <row r="1662" spans="1:1" x14ac:dyDescent="0.25">
      <c r="A1662" s="11"/>
    </row>
    <row r="1663" spans="1:1" x14ac:dyDescent="0.25">
      <c r="A1663" s="11"/>
    </row>
    <row r="1664" spans="1:1" x14ac:dyDescent="0.25">
      <c r="A1664" s="11"/>
    </row>
    <row r="1665" spans="1:1" x14ac:dyDescent="0.25">
      <c r="A1665" s="11"/>
    </row>
    <row r="1666" spans="1:1" x14ac:dyDescent="0.25">
      <c r="A1666" s="11"/>
    </row>
    <row r="1667" spans="1:1" x14ac:dyDescent="0.25">
      <c r="A1667" s="11"/>
    </row>
    <row r="1668" spans="1:1" x14ac:dyDescent="0.25">
      <c r="A1668" s="11"/>
    </row>
    <row r="1669" spans="1:1" x14ac:dyDescent="0.25">
      <c r="A1669" s="11"/>
    </row>
    <row r="1670" spans="1:1" x14ac:dyDescent="0.25">
      <c r="A1670" s="11"/>
    </row>
    <row r="1671" spans="1:1" x14ac:dyDescent="0.25">
      <c r="A1671" s="11"/>
    </row>
    <row r="1672" spans="1:1" x14ac:dyDescent="0.25">
      <c r="A1672" s="11"/>
    </row>
    <row r="1673" spans="1:1" x14ac:dyDescent="0.25">
      <c r="A1673" s="11"/>
    </row>
    <row r="1674" spans="1:1" x14ac:dyDescent="0.25">
      <c r="A1674" s="11"/>
    </row>
    <row r="1675" spans="1:1" x14ac:dyDescent="0.25">
      <c r="A1675" s="11"/>
    </row>
    <row r="1676" spans="1:1" x14ac:dyDescent="0.25">
      <c r="A1676" s="11"/>
    </row>
    <row r="1677" spans="1:1" x14ac:dyDescent="0.25">
      <c r="A1677" s="11"/>
    </row>
    <row r="1678" spans="1:1" x14ac:dyDescent="0.25">
      <c r="A1678" s="11"/>
    </row>
    <row r="1679" spans="1:1" x14ac:dyDescent="0.25">
      <c r="A1679" s="11"/>
    </row>
    <row r="1680" spans="1:1" x14ac:dyDescent="0.25">
      <c r="A1680" s="11"/>
    </row>
    <row r="1681" spans="1:1" x14ac:dyDescent="0.25">
      <c r="A1681" s="11"/>
    </row>
    <row r="1682" spans="1:1" x14ac:dyDescent="0.25">
      <c r="A1682" s="11"/>
    </row>
    <row r="1683" spans="1:1" x14ac:dyDescent="0.25">
      <c r="A1683" s="11"/>
    </row>
    <row r="1684" spans="1:1" x14ac:dyDescent="0.25">
      <c r="A1684" s="11"/>
    </row>
    <row r="1685" spans="1:1" x14ac:dyDescent="0.25">
      <c r="A1685" s="11"/>
    </row>
    <row r="1686" spans="1:1" x14ac:dyDescent="0.25">
      <c r="A1686" s="11"/>
    </row>
    <row r="1687" spans="1:1" x14ac:dyDescent="0.25">
      <c r="A1687" s="11"/>
    </row>
    <row r="1688" spans="1:1" x14ac:dyDescent="0.25">
      <c r="A1688" s="11"/>
    </row>
    <row r="1689" spans="1:1" x14ac:dyDescent="0.25">
      <c r="A1689" s="11"/>
    </row>
    <row r="1690" spans="1:1" x14ac:dyDescent="0.25">
      <c r="A1690" s="11"/>
    </row>
    <row r="1691" spans="1:1" x14ac:dyDescent="0.25">
      <c r="A1691" s="11"/>
    </row>
    <row r="1692" spans="1:1" x14ac:dyDescent="0.25">
      <c r="A1692" s="11"/>
    </row>
    <row r="1693" spans="1:1" x14ac:dyDescent="0.25">
      <c r="A1693" s="11"/>
    </row>
    <row r="1694" spans="1:1" x14ac:dyDescent="0.25">
      <c r="A1694" s="11"/>
    </row>
    <row r="1695" spans="1:1" x14ac:dyDescent="0.25">
      <c r="A1695" s="11"/>
    </row>
    <row r="1696" spans="1:1" x14ac:dyDescent="0.25">
      <c r="A1696" s="11"/>
    </row>
    <row r="1697" spans="1:1" x14ac:dyDescent="0.25">
      <c r="A1697" s="11"/>
    </row>
    <row r="1698" spans="1:1" x14ac:dyDescent="0.25">
      <c r="A1698" s="11"/>
    </row>
    <row r="1699" spans="1:1" x14ac:dyDescent="0.25">
      <c r="A1699" s="11"/>
    </row>
    <row r="1700" spans="1:1" x14ac:dyDescent="0.25">
      <c r="A1700" s="11"/>
    </row>
    <row r="1701" spans="1:1" x14ac:dyDescent="0.25">
      <c r="A1701" s="11"/>
    </row>
    <row r="1702" spans="1:1" x14ac:dyDescent="0.25">
      <c r="A1702" s="11"/>
    </row>
    <row r="1703" spans="1:1" x14ac:dyDescent="0.25">
      <c r="A1703" s="11"/>
    </row>
    <row r="1704" spans="1:1" x14ac:dyDescent="0.25">
      <c r="A1704" s="11"/>
    </row>
    <row r="1705" spans="1:1" x14ac:dyDescent="0.25">
      <c r="A1705" s="11"/>
    </row>
    <row r="1706" spans="1:1" x14ac:dyDescent="0.25">
      <c r="A1706" s="11"/>
    </row>
    <row r="1707" spans="1:1" x14ac:dyDescent="0.25">
      <c r="A1707" s="11"/>
    </row>
    <row r="1708" spans="1:1" x14ac:dyDescent="0.25">
      <c r="A1708" s="11"/>
    </row>
    <row r="1709" spans="1:1" x14ac:dyDescent="0.25">
      <c r="A1709" s="11"/>
    </row>
    <row r="1710" spans="1:1" x14ac:dyDescent="0.25">
      <c r="A1710" s="11"/>
    </row>
    <row r="1711" spans="1:1" x14ac:dyDescent="0.25">
      <c r="A1711" s="11"/>
    </row>
    <row r="1712" spans="1:1" x14ac:dyDescent="0.25">
      <c r="A1712" s="11"/>
    </row>
    <row r="1713" spans="1:1" x14ac:dyDescent="0.25">
      <c r="A1713" s="11"/>
    </row>
    <row r="1714" spans="1:1" x14ac:dyDescent="0.25">
      <c r="A1714" s="11"/>
    </row>
    <row r="1715" spans="1:1" x14ac:dyDescent="0.25">
      <c r="A1715" s="11"/>
    </row>
    <row r="1716" spans="1:1" x14ac:dyDescent="0.25">
      <c r="A1716" s="11"/>
    </row>
    <row r="1717" spans="1:1" x14ac:dyDescent="0.25">
      <c r="A1717" s="11"/>
    </row>
    <row r="1718" spans="1:1" x14ac:dyDescent="0.25">
      <c r="A1718" s="11"/>
    </row>
    <row r="1719" spans="1:1" x14ac:dyDescent="0.25">
      <c r="A1719" s="11"/>
    </row>
    <row r="1720" spans="1:1" x14ac:dyDescent="0.25">
      <c r="A1720" s="11"/>
    </row>
    <row r="1721" spans="1:1" x14ac:dyDescent="0.25">
      <c r="A1721" s="11"/>
    </row>
    <row r="1722" spans="1:1" x14ac:dyDescent="0.25">
      <c r="A1722" s="11"/>
    </row>
    <row r="1723" spans="1:1" x14ac:dyDescent="0.25">
      <c r="A1723" s="11"/>
    </row>
    <row r="1724" spans="1:1" x14ac:dyDescent="0.25">
      <c r="A1724" s="11"/>
    </row>
    <row r="1725" spans="1:1" x14ac:dyDescent="0.25">
      <c r="A1725" s="11"/>
    </row>
    <row r="1726" spans="1:1" x14ac:dyDescent="0.25">
      <c r="A1726" s="11"/>
    </row>
    <row r="1727" spans="1:1" x14ac:dyDescent="0.25">
      <c r="A1727" s="11"/>
    </row>
    <row r="1728" spans="1:1" x14ac:dyDescent="0.25">
      <c r="A1728" s="11"/>
    </row>
    <row r="1729" spans="1:1" x14ac:dyDescent="0.25">
      <c r="A1729" s="11"/>
    </row>
    <row r="1730" spans="1:1" x14ac:dyDescent="0.25">
      <c r="A1730" s="11"/>
    </row>
    <row r="1731" spans="1:1" x14ac:dyDescent="0.25">
      <c r="A1731" s="11"/>
    </row>
    <row r="1732" spans="1:1" x14ac:dyDescent="0.25">
      <c r="A1732" s="11"/>
    </row>
    <row r="1733" spans="1:1" x14ac:dyDescent="0.25">
      <c r="A1733" s="11"/>
    </row>
    <row r="1734" spans="1:1" x14ac:dyDescent="0.25">
      <c r="A1734" s="11"/>
    </row>
    <row r="1735" spans="1:1" x14ac:dyDescent="0.25">
      <c r="A1735" s="11"/>
    </row>
    <row r="1736" spans="1:1" x14ac:dyDescent="0.25">
      <c r="A1736" s="11"/>
    </row>
    <row r="1737" spans="1:1" x14ac:dyDescent="0.25">
      <c r="A1737" s="11"/>
    </row>
    <row r="1738" spans="1:1" x14ac:dyDescent="0.25">
      <c r="A1738" s="11"/>
    </row>
    <row r="1739" spans="1:1" x14ac:dyDescent="0.25">
      <c r="A1739" s="11"/>
    </row>
    <row r="1740" spans="1:1" x14ac:dyDescent="0.25">
      <c r="A1740" s="11"/>
    </row>
    <row r="1741" spans="1:1" x14ac:dyDescent="0.25">
      <c r="A1741" s="11"/>
    </row>
    <row r="1742" spans="1:1" x14ac:dyDescent="0.25">
      <c r="A1742" s="11"/>
    </row>
    <row r="1743" spans="1:1" x14ac:dyDescent="0.25">
      <c r="A1743" s="11"/>
    </row>
    <row r="1744" spans="1:1" x14ac:dyDescent="0.25">
      <c r="A1744" s="11"/>
    </row>
    <row r="1745" spans="1:1" x14ac:dyDescent="0.25">
      <c r="A1745" s="11"/>
    </row>
    <row r="1746" spans="1:1" x14ac:dyDescent="0.25">
      <c r="A1746" s="11"/>
    </row>
    <row r="1747" spans="1:1" x14ac:dyDescent="0.25">
      <c r="A1747" s="11"/>
    </row>
    <row r="1748" spans="1:1" x14ac:dyDescent="0.25">
      <c r="A1748" s="11"/>
    </row>
    <row r="1749" spans="1:1" x14ac:dyDescent="0.25">
      <c r="A1749" s="11"/>
    </row>
    <row r="1750" spans="1:1" x14ac:dyDescent="0.25">
      <c r="A1750" s="11"/>
    </row>
    <row r="1751" spans="1:1" x14ac:dyDescent="0.25">
      <c r="A1751" s="11"/>
    </row>
    <row r="1752" spans="1:1" x14ac:dyDescent="0.25">
      <c r="A1752" s="11"/>
    </row>
    <row r="1753" spans="1:1" x14ac:dyDescent="0.25">
      <c r="A1753" s="11"/>
    </row>
    <row r="1754" spans="1:1" x14ac:dyDescent="0.25">
      <c r="A1754" s="11"/>
    </row>
    <row r="1755" spans="1:1" x14ac:dyDescent="0.25">
      <c r="A1755" s="11"/>
    </row>
    <row r="1756" spans="1:1" x14ac:dyDescent="0.25">
      <c r="A1756" s="11"/>
    </row>
    <row r="1757" spans="1:1" x14ac:dyDescent="0.25">
      <c r="A1757" s="11"/>
    </row>
    <row r="1758" spans="1:1" x14ac:dyDescent="0.25">
      <c r="A1758" s="11"/>
    </row>
    <row r="1759" spans="1:1" x14ac:dyDescent="0.25">
      <c r="A1759" s="11"/>
    </row>
    <row r="1760" spans="1:1" x14ac:dyDescent="0.25">
      <c r="A1760" s="11"/>
    </row>
    <row r="1761" spans="1:1" x14ac:dyDescent="0.25">
      <c r="A1761" s="11"/>
    </row>
    <row r="1762" spans="1:1" x14ac:dyDescent="0.25">
      <c r="A1762" s="11"/>
    </row>
    <row r="1763" spans="1:1" x14ac:dyDescent="0.25">
      <c r="A1763" s="11"/>
    </row>
    <row r="1764" spans="1:1" x14ac:dyDescent="0.25">
      <c r="A1764" s="11"/>
    </row>
    <row r="1765" spans="1:1" x14ac:dyDescent="0.25">
      <c r="A1765" s="11"/>
    </row>
    <row r="1766" spans="1:1" x14ac:dyDescent="0.25">
      <c r="A1766" s="11"/>
    </row>
    <row r="1767" spans="1:1" x14ac:dyDescent="0.25">
      <c r="A1767" s="11"/>
    </row>
    <row r="1768" spans="1:1" x14ac:dyDescent="0.25">
      <c r="A1768" s="11"/>
    </row>
    <row r="1769" spans="1:1" x14ac:dyDescent="0.25">
      <c r="A1769" s="11"/>
    </row>
    <row r="1770" spans="1:1" x14ac:dyDescent="0.25">
      <c r="A1770" s="11"/>
    </row>
    <row r="1771" spans="1:1" x14ac:dyDescent="0.25">
      <c r="A1771" s="11"/>
    </row>
    <row r="1772" spans="1:1" x14ac:dyDescent="0.25">
      <c r="A1772" s="11"/>
    </row>
    <row r="1773" spans="1:1" x14ac:dyDescent="0.25">
      <c r="A1773" s="11"/>
    </row>
    <row r="1774" spans="1:1" x14ac:dyDescent="0.25">
      <c r="A1774" s="11"/>
    </row>
    <row r="1775" spans="1:1" x14ac:dyDescent="0.25">
      <c r="A1775" s="11"/>
    </row>
    <row r="1776" spans="1:1" x14ac:dyDescent="0.25">
      <c r="A1776" s="11"/>
    </row>
    <row r="1777" spans="1:1" x14ac:dyDescent="0.25">
      <c r="A1777" s="11"/>
    </row>
    <row r="1778" spans="1:1" x14ac:dyDescent="0.25">
      <c r="A1778" s="11"/>
    </row>
    <row r="1779" spans="1:1" x14ac:dyDescent="0.25">
      <c r="A1779" s="11"/>
    </row>
    <row r="1780" spans="1:1" x14ac:dyDescent="0.25">
      <c r="A1780" s="11"/>
    </row>
    <row r="1781" spans="1:1" x14ac:dyDescent="0.25">
      <c r="A1781" s="11"/>
    </row>
    <row r="1782" spans="1:1" x14ac:dyDescent="0.25">
      <c r="A1782" s="11"/>
    </row>
    <row r="1783" spans="1:1" x14ac:dyDescent="0.25">
      <c r="A1783" s="11"/>
    </row>
    <row r="1784" spans="1:1" x14ac:dyDescent="0.25">
      <c r="A1784" s="11"/>
    </row>
    <row r="1785" spans="1:1" x14ac:dyDescent="0.25">
      <c r="A1785" s="11"/>
    </row>
    <row r="1786" spans="1:1" x14ac:dyDescent="0.25">
      <c r="A1786" s="11"/>
    </row>
    <row r="1787" spans="1:1" x14ac:dyDescent="0.25">
      <c r="A1787" s="11"/>
    </row>
    <row r="1788" spans="1:1" x14ac:dyDescent="0.25">
      <c r="A1788" s="11"/>
    </row>
    <row r="1789" spans="1:1" x14ac:dyDescent="0.25">
      <c r="A1789" s="11"/>
    </row>
    <row r="1790" spans="1:1" x14ac:dyDescent="0.25">
      <c r="A1790" s="11"/>
    </row>
    <row r="1791" spans="1:1" x14ac:dyDescent="0.25">
      <c r="A1791" s="11"/>
    </row>
    <row r="1792" spans="1:1" x14ac:dyDescent="0.25">
      <c r="A1792" s="11"/>
    </row>
    <row r="1793" spans="1:1" x14ac:dyDescent="0.25">
      <c r="A1793" s="11"/>
    </row>
    <row r="1794" spans="1:1" x14ac:dyDescent="0.25">
      <c r="A1794" s="11"/>
    </row>
    <row r="1795" spans="1:1" x14ac:dyDescent="0.25">
      <c r="A1795" s="11"/>
    </row>
    <row r="1796" spans="1:1" x14ac:dyDescent="0.25">
      <c r="A1796" s="11"/>
    </row>
    <row r="1797" spans="1:1" x14ac:dyDescent="0.25">
      <c r="A1797" s="11"/>
    </row>
    <row r="1798" spans="1:1" x14ac:dyDescent="0.25">
      <c r="A1798" s="11"/>
    </row>
    <row r="1799" spans="1:1" x14ac:dyDescent="0.25">
      <c r="A1799" s="11"/>
    </row>
    <row r="1800" spans="1:1" x14ac:dyDescent="0.25">
      <c r="A1800" s="11"/>
    </row>
    <row r="1801" spans="1:1" x14ac:dyDescent="0.25">
      <c r="A1801" s="11"/>
    </row>
    <row r="1802" spans="1:1" x14ac:dyDescent="0.25">
      <c r="A1802" s="11"/>
    </row>
    <row r="1803" spans="1:1" x14ac:dyDescent="0.25">
      <c r="A1803" s="11"/>
    </row>
    <row r="1804" spans="1:1" x14ac:dyDescent="0.25">
      <c r="A1804" s="11"/>
    </row>
    <row r="1805" spans="1:1" x14ac:dyDescent="0.25">
      <c r="A1805" s="11"/>
    </row>
    <row r="1806" spans="1:1" x14ac:dyDescent="0.25">
      <c r="A1806" s="11"/>
    </row>
    <row r="1807" spans="1:1" x14ac:dyDescent="0.25">
      <c r="A1807" s="11"/>
    </row>
    <row r="1808" spans="1:1" x14ac:dyDescent="0.25">
      <c r="A1808" s="11"/>
    </row>
    <row r="1809" spans="1:1" x14ac:dyDescent="0.25">
      <c r="A1809" s="11"/>
    </row>
    <row r="1810" spans="1:1" x14ac:dyDescent="0.25">
      <c r="A1810" s="11"/>
    </row>
    <row r="1811" spans="1:1" x14ac:dyDescent="0.25">
      <c r="A1811" s="11"/>
    </row>
    <row r="1812" spans="1:1" x14ac:dyDescent="0.25">
      <c r="A1812" s="11"/>
    </row>
    <row r="1813" spans="1:1" x14ac:dyDescent="0.25">
      <c r="A1813" s="11"/>
    </row>
    <row r="1814" spans="1:1" x14ac:dyDescent="0.25">
      <c r="A1814" s="11"/>
    </row>
    <row r="1815" spans="1:1" x14ac:dyDescent="0.25">
      <c r="A1815" s="11"/>
    </row>
    <row r="1816" spans="1:1" x14ac:dyDescent="0.25">
      <c r="A1816" s="11"/>
    </row>
    <row r="1817" spans="1:1" x14ac:dyDescent="0.25">
      <c r="A1817" s="11"/>
    </row>
    <row r="1818" spans="1:1" x14ac:dyDescent="0.25">
      <c r="A1818" s="11"/>
    </row>
    <row r="1819" spans="1:1" x14ac:dyDescent="0.25">
      <c r="A1819" s="11"/>
    </row>
    <row r="1820" spans="1:1" x14ac:dyDescent="0.25">
      <c r="A1820" s="11"/>
    </row>
    <row r="1821" spans="1:1" x14ac:dyDescent="0.25">
      <c r="A1821" s="11"/>
    </row>
    <row r="1822" spans="1:1" x14ac:dyDescent="0.25">
      <c r="A1822" s="11"/>
    </row>
    <row r="1823" spans="1:1" x14ac:dyDescent="0.25">
      <c r="A1823" s="11"/>
    </row>
    <row r="1824" spans="1:1" x14ac:dyDescent="0.25">
      <c r="A1824" s="11"/>
    </row>
    <row r="1825" spans="1:1" x14ac:dyDescent="0.25">
      <c r="A1825" s="11"/>
    </row>
    <row r="1826" spans="1:1" x14ac:dyDescent="0.25">
      <c r="A1826" s="11"/>
    </row>
    <row r="1827" spans="1:1" x14ac:dyDescent="0.25">
      <c r="A1827" s="11"/>
    </row>
    <row r="1828" spans="1:1" x14ac:dyDescent="0.25">
      <c r="A1828" s="11"/>
    </row>
    <row r="1829" spans="1:1" x14ac:dyDescent="0.25">
      <c r="A1829" s="11"/>
    </row>
    <row r="1830" spans="1:1" x14ac:dyDescent="0.25">
      <c r="A1830" s="11"/>
    </row>
    <row r="1831" spans="1:1" x14ac:dyDescent="0.25">
      <c r="A1831" s="11"/>
    </row>
    <row r="1832" spans="1:1" x14ac:dyDescent="0.25">
      <c r="A1832" s="11"/>
    </row>
    <row r="1833" spans="1:1" x14ac:dyDescent="0.25">
      <c r="A1833" s="11"/>
    </row>
    <row r="1834" spans="1:1" x14ac:dyDescent="0.25">
      <c r="A1834" s="11"/>
    </row>
    <row r="1835" spans="1:1" x14ac:dyDescent="0.25">
      <c r="A1835" s="11"/>
    </row>
    <row r="1836" spans="1:1" x14ac:dyDescent="0.25">
      <c r="A1836" s="11"/>
    </row>
    <row r="1837" spans="1:1" x14ac:dyDescent="0.25">
      <c r="A1837" s="11"/>
    </row>
    <row r="1838" spans="1:1" x14ac:dyDescent="0.25">
      <c r="A1838" s="11"/>
    </row>
    <row r="1839" spans="1:1" x14ac:dyDescent="0.25">
      <c r="A1839" s="11"/>
    </row>
    <row r="1840" spans="1:1" x14ac:dyDescent="0.25">
      <c r="A1840" s="11"/>
    </row>
    <row r="1841" spans="1:1" x14ac:dyDescent="0.25">
      <c r="A1841" s="11"/>
    </row>
    <row r="1842" spans="1:1" x14ac:dyDescent="0.25">
      <c r="A1842" s="11"/>
    </row>
    <row r="1843" spans="1:1" x14ac:dyDescent="0.25">
      <c r="A1843" s="11"/>
    </row>
    <row r="1844" spans="1:1" x14ac:dyDescent="0.25">
      <c r="A1844" s="11"/>
    </row>
    <row r="1845" spans="1:1" x14ac:dyDescent="0.25">
      <c r="A1845" s="11"/>
    </row>
    <row r="1846" spans="1:1" x14ac:dyDescent="0.25">
      <c r="A1846" s="11"/>
    </row>
    <row r="1847" spans="1:1" x14ac:dyDescent="0.25">
      <c r="A1847" s="11"/>
    </row>
    <row r="1848" spans="1:1" x14ac:dyDescent="0.25">
      <c r="A1848" s="11"/>
    </row>
    <row r="1849" spans="1:1" x14ac:dyDescent="0.25">
      <c r="A1849" s="11"/>
    </row>
    <row r="1850" spans="1:1" x14ac:dyDescent="0.25">
      <c r="A1850" s="11"/>
    </row>
    <row r="1851" spans="1:1" x14ac:dyDescent="0.25">
      <c r="A1851" s="11"/>
    </row>
    <row r="1852" spans="1:1" x14ac:dyDescent="0.25">
      <c r="A1852" s="11"/>
    </row>
    <row r="1853" spans="1:1" x14ac:dyDescent="0.25">
      <c r="A1853" s="11"/>
    </row>
    <row r="1854" spans="1:1" x14ac:dyDescent="0.25">
      <c r="A1854" s="11"/>
    </row>
    <row r="1855" spans="1:1" x14ac:dyDescent="0.25">
      <c r="A1855" s="11"/>
    </row>
    <row r="1856" spans="1:1" x14ac:dyDescent="0.25">
      <c r="A1856" s="11"/>
    </row>
    <row r="1857" spans="1:1" x14ac:dyDescent="0.25">
      <c r="A1857" s="11"/>
    </row>
    <row r="1858" spans="1:1" x14ac:dyDescent="0.25">
      <c r="A1858" s="11"/>
    </row>
    <row r="1859" spans="1:1" x14ac:dyDescent="0.25">
      <c r="A1859" s="11"/>
    </row>
    <row r="1860" spans="1:1" x14ac:dyDescent="0.25">
      <c r="A1860" s="11"/>
    </row>
    <row r="1861" spans="1:1" x14ac:dyDescent="0.25">
      <c r="A1861" s="11"/>
    </row>
    <row r="1862" spans="1:1" x14ac:dyDescent="0.25">
      <c r="A1862" s="11"/>
    </row>
    <row r="1863" spans="1:1" x14ac:dyDescent="0.25">
      <c r="A1863" s="11"/>
    </row>
    <row r="1864" spans="1:1" x14ac:dyDescent="0.25">
      <c r="A1864" s="11"/>
    </row>
    <row r="1865" spans="1:1" x14ac:dyDescent="0.25">
      <c r="A1865" s="11"/>
    </row>
    <row r="1866" spans="1:1" x14ac:dyDescent="0.25">
      <c r="A1866" s="11"/>
    </row>
    <row r="1867" spans="1:1" x14ac:dyDescent="0.25">
      <c r="A1867" s="11"/>
    </row>
    <row r="1868" spans="1:1" x14ac:dyDescent="0.25">
      <c r="A1868" s="11"/>
    </row>
    <row r="1869" spans="1:1" x14ac:dyDescent="0.25">
      <c r="A1869" s="11"/>
    </row>
    <row r="1870" spans="1:1" x14ac:dyDescent="0.25">
      <c r="A1870" s="11"/>
    </row>
    <row r="1871" spans="1:1" x14ac:dyDescent="0.25">
      <c r="A1871" s="11"/>
    </row>
    <row r="1872" spans="1:1" x14ac:dyDescent="0.25">
      <c r="A1872" s="11"/>
    </row>
    <row r="1873" spans="1:1" x14ac:dyDescent="0.25">
      <c r="A1873" s="11"/>
    </row>
    <row r="1874" spans="1:1" x14ac:dyDescent="0.25">
      <c r="A1874" s="11"/>
    </row>
    <row r="1875" spans="1:1" x14ac:dyDescent="0.25">
      <c r="A1875" s="11"/>
    </row>
    <row r="1876" spans="1:1" x14ac:dyDescent="0.25">
      <c r="A1876" s="11"/>
    </row>
    <row r="1877" spans="1:1" x14ac:dyDescent="0.25">
      <c r="A1877" s="11"/>
    </row>
    <row r="1878" spans="1:1" x14ac:dyDescent="0.25">
      <c r="A1878" s="11"/>
    </row>
    <row r="1879" spans="1:1" x14ac:dyDescent="0.25">
      <c r="A1879" s="11"/>
    </row>
    <row r="1880" spans="1:1" x14ac:dyDescent="0.25">
      <c r="A1880" s="11"/>
    </row>
    <row r="1881" spans="1:1" x14ac:dyDescent="0.25">
      <c r="A1881" s="11"/>
    </row>
    <row r="1882" spans="1:1" x14ac:dyDescent="0.25">
      <c r="A1882" s="11"/>
    </row>
    <row r="1883" spans="1:1" x14ac:dyDescent="0.25">
      <c r="A1883" s="11"/>
    </row>
    <row r="1884" spans="1:1" x14ac:dyDescent="0.25">
      <c r="A1884" s="11"/>
    </row>
    <row r="1885" spans="1:1" x14ac:dyDescent="0.25">
      <c r="A1885" s="11"/>
    </row>
    <row r="1886" spans="1:1" x14ac:dyDescent="0.25">
      <c r="A1886" s="11"/>
    </row>
    <row r="1887" spans="1:1" x14ac:dyDescent="0.25">
      <c r="A1887" s="11"/>
    </row>
    <row r="1888" spans="1:1" x14ac:dyDescent="0.25">
      <c r="A1888" s="11"/>
    </row>
    <row r="1889" spans="1:1" x14ac:dyDescent="0.25">
      <c r="A1889" s="11"/>
    </row>
    <row r="1890" spans="1:1" x14ac:dyDescent="0.25">
      <c r="A1890" s="11"/>
    </row>
    <row r="1891" spans="1:1" x14ac:dyDescent="0.25">
      <c r="A1891" s="11"/>
    </row>
    <row r="1892" spans="1:1" x14ac:dyDescent="0.25">
      <c r="A1892" s="11"/>
    </row>
    <row r="1893" spans="1:1" x14ac:dyDescent="0.25">
      <c r="A1893" s="11"/>
    </row>
    <row r="1894" spans="1:1" x14ac:dyDescent="0.25">
      <c r="A1894" s="11"/>
    </row>
    <row r="1895" spans="1:1" x14ac:dyDescent="0.25">
      <c r="A1895" s="11"/>
    </row>
    <row r="1896" spans="1:1" x14ac:dyDescent="0.25">
      <c r="A1896" s="11"/>
    </row>
    <row r="1897" spans="1:1" x14ac:dyDescent="0.25">
      <c r="A1897" s="11"/>
    </row>
    <row r="1898" spans="1:1" x14ac:dyDescent="0.25">
      <c r="A1898" s="11"/>
    </row>
    <row r="1899" spans="1:1" x14ac:dyDescent="0.25">
      <c r="A1899" s="11"/>
    </row>
    <row r="1900" spans="1:1" x14ac:dyDescent="0.25">
      <c r="A1900" s="11"/>
    </row>
    <row r="1901" spans="1:1" x14ac:dyDescent="0.25">
      <c r="A1901" s="11"/>
    </row>
    <row r="1902" spans="1:1" x14ac:dyDescent="0.25">
      <c r="A1902" s="11"/>
    </row>
    <row r="1903" spans="1:1" x14ac:dyDescent="0.25">
      <c r="A1903" s="11"/>
    </row>
    <row r="1904" spans="1:1" x14ac:dyDescent="0.25">
      <c r="A1904" s="11"/>
    </row>
    <row r="1905" spans="1:1" x14ac:dyDescent="0.25">
      <c r="A1905" s="11"/>
    </row>
    <row r="1906" spans="1:1" x14ac:dyDescent="0.25">
      <c r="A1906" s="11"/>
    </row>
    <row r="1907" spans="1:1" x14ac:dyDescent="0.25">
      <c r="A1907" s="11"/>
    </row>
    <row r="1908" spans="1:1" x14ac:dyDescent="0.25">
      <c r="A1908" s="11"/>
    </row>
    <row r="1909" spans="1:1" x14ac:dyDescent="0.25">
      <c r="A1909" s="11"/>
    </row>
    <row r="1910" spans="1:1" x14ac:dyDescent="0.25">
      <c r="A1910" s="11"/>
    </row>
    <row r="1911" spans="1:1" x14ac:dyDescent="0.25">
      <c r="A1911" s="11"/>
    </row>
    <row r="1912" spans="1:1" x14ac:dyDescent="0.25">
      <c r="A1912" s="11"/>
    </row>
    <row r="1913" spans="1:1" x14ac:dyDescent="0.25">
      <c r="A1913" s="11"/>
    </row>
    <row r="1914" spans="1:1" x14ac:dyDescent="0.25">
      <c r="A1914" s="11"/>
    </row>
    <row r="1915" spans="1:1" x14ac:dyDescent="0.25">
      <c r="A1915" s="11"/>
    </row>
    <row r="1916" spans="1:1" x14ac:dyDescent="0.25">
      <c r="A1916" s="11"/>
    </row>
    <row r="1917" spans="1:1" x14ac:dyDescent="0.25">
      <c r="A1917" s="11"/>
    </row>
    <row r="1918" spans="1:1" x14ac:dyDescent="0.25">
      <c r="A1918" s="11"/>
    </row>
    <row r="1919" spans="1:1" x14ac:dyDescent="0.25">
      <c r="A1919" s="11"/>
    </row>
    <row r="1920" spans="1:1" x14ac:dyDescent="0.25">
      <c r="A1920" s="11"/>
    </row>
    <row r="1921" spans="1:1" x14ac:dyDescent="0.25">
      <c r="A1921" s="11"/>
    </row>
    <row r="1922" spans="1:1" x14ac:dyDescent="0.25">
      <c r="A1922" s="11"/>
    </row>
    <row r="1923" spans="1:1" x14ac:dyDescent="0.25">
      <c r="A1923" s="11"/>
    </row>
    <row r="1924" spans="1:1" x14ac:dyDescent="0.25">
      <c r="A1924" s="11"/>
    </row>
    <row r="1925" spans="1:1" x14ac:dyDescent="0.25">
      <c r="A1925" s="11"/>
    </row>
    <row r="1926" spans="1:1" x14ac:dyDescent="0.25">
      <c r="A1926" s="11"/>
    </row>
    <row r="1927" spans="1:1" x14ac:dyDescent="0.25">
      <c r="A1927" s="11"/>
    </row>
    <row r="1928" spans="1:1" x14ac:dyDescent="0.25">
      <c r="A1928" s="11"/>
    </row>
    <row r="1929" spans="1:1" x14ac:dyDescent="0.25">
      <c r="A1929" s="11"/>
    </row>
    <row r="1930" spans="1:1" x14ac:dyDescent="0.25">
      <c r="A1930" s="11"/>
    </row>
    <row r="1931" spans="1:1" x14ac:dyDescent="0.25">
      <c r="A1931" s="11"/>
    </row>
    <row r="1932" spans="1:1" x14ac:dyDescent="0.25">
      <c r="A1932" s="11"/>
    </row>
    <row r="1933" spans="1:1" x14ac:dyDescent="0.25">
      <c r="A1933" s="11"/>
    </row>
    <row r="1934" spans="1:1" x14ac:dyDescent="0.25">
      <c r="A1934" s="11"/>
    </row>
    <row r="1935" spans="1:1" x14ac:dyDescent="0.25">
      <c r="A1935" s="11"/>
    </row>
    <row r="1936" spans="1:1" x14ac:dyDescent="0.25">
      <c r="A1936" s="11"/>
    </row>
    <row r="1937" spans="1:1" x14ac:dyDescent="0.25">
      <c r="A1937" s="11"/>
    </row>
    <row r="1938" spans="1:1" x14ac:dyDescent="0.25">
      <c r="A1938" s="11"/>
    </row>
    <row r="1939" spans="1:1" x14ac:dyDescent="0.25">
      <c r="A1939" s="11"/>
    </row>
    <row r="1940" spans="1:1" x14ac:dyDescent="0.25">
      <c r="A1940" s="11"/>
    </row>
    <row r="1941" spans="1:1" x14ac:dyDescent="0.25">
      <c r="A1941" s="11"/>
    </row>
    <row r="1942" spans="1:1" x14ac:dyDescent="0.25">
      <c r="A1942" s="11"/>
    </row>
    <row r="1943" spans="1:1" x14ac:dyDescent="0.25">
      <c r="A1943" s="11"/>
    </row>
    <row r="1944" spans="1:1" x14ac:dyDescent="0.25">
      <c r="A1944" s="11"/>
    </row>
    <row r="1945" spans="1:1" x14ac:dyDescent="0.25">
      <c r="A1945" s="11"/>
    </row>
    <row r="1946" spans="1:1" x14ac:dyDescent="0.25">
      <c r="A1946" s="11"/>
    </row>
    <row r="1947" spans="1:1" x14ac:dyDescent="0.25">
      <c r="A1947" s="11"/>
    </row>
    <row r="1948" spans="1:1" x14ac:dyDescent="0.25">
      <c r="A1948" s="11"/>
    </row>
    <row r="1949" spans="1:1" x14ac:dyDescent="0.25">
      <c r="A1949" s="11"/>
    </row>
    <row r="1950" spans="1:1" x14ac:dyDescent="0.25">
      <c r="A1950" s="11"/>
    </row>
    <row r="1951" spans="1:1" x14ac:dyDescent="0.25">
      <c r="A1951" s="11"/>
    </row>
    <row r="1952" spans="1:1" x14ac:dyDescent="0.25">
      <c r="A1952" s="11"/>
    </row>
    <row r="1953" spans="1:1" x14ac:dyDescent="0.25">
      <c r="A1953" s="11"/>
    </row>
    <row r="1954" spans="1:1" x14ac:dyDescent="0.25">
      <c r="A1954" s="11"/>
    </row>
    <row r="1955" spans="1:1" x14ac:dyDescent="0.25">
      <c r="A1955" s="11"/>
    </row>
    <row r="1956" spans="1:1" x14ac:dyDescent="0.25">
      <c r="A1956" s="11"/>
    </row>
    <row r="1957" spans="1:1" x14ac:dyDescent="0.25">
      <c r="A1957" s="11"/>
    </row>
    <row r="1958" spans="1:1" x14ac:dyDescent="0.25">
      <c r="A1958" s="11"/>
    </row>
    <row r="1959" spans="1:1" x14ac:dyDescent="0.25">
      <c r="A1959" s="11"/>
    </row>
    <row r="1960" spans="1:1" x14ac:dyDescent="0.25">
      <c r="A1960" s="11"/>
    </row>
    <row r="1961" spans="1:1" x14ac:dyDescent="0.25">
      <c r="A1961" s="11"/>
    </row>
    <row r="1962" spans="1:1" x14ac:dyDescent="0.25">
      <c r="A1962" s="11"/>
    </row>
    <row r="1963" spans="1:1" x14ac:dyDescent="0.25">
      <c r="A1963" s="11"/>
    </row>
    <row r="1964" spans="1:1" x14ac:dyDescent="0.25">
      <c r="A1964" s="11"/>
    </row>
    <row r="1965" spans="1:1" x14ac:dyDescent="0.25">
      <c r="A1965" s="11"/>
    </row>
    <row r="1966" spans="1:1" x14ac:dyDescent="0.25">
      <c r="A1966" s="11"/>
    </row>
    <row r="1967" spans="1:1" x14ac:dyDescent="0.25">
      <c r="A1967" s="11"/>
    </row>
    <row r="1968" spans="1:1" x14ac:dyDescent="0.25">
      <c r="A1968" s="11"/>
    </row>
    <row r="1969" spans="1:1" x14ac:dyDescent="0.25">
      <c r="A1969" s="11"/>
    </row>
    <row r="1970" spans="1:1" x14ac:dyDescent="0.25">
      <c r="A1970" s="11"/>
    </row>
    <row r="1971" spans="1:1" x14ac:dyDescent="0.25">
      <c r="A1971" s="11"/>
    </row>
    <row r="1972" spans="1:1" x14ac:dyDescent="0.25">
      <c r="A1972" s="11"/>
    </row>
    <row r="1973" spans="1:1" x14ac:dyDescent="0.25">
      <c r="A1973" s="11"/>
    </row>
    <row r="1974" spans="1:1" x14ac:dyDescent="0.25">
      <c r="A1974" s="11"/>
    </row>
    <row r="1975" spans="1:1" x14ac:dyDescent="0.25">
      <c r="A1975" s="11"/>
    </row>
    <row r="1976" spans="1:1" x14ac:dyDescent="0.25">
      <c r="A1976" s="11"/>
    </row>
    <row r="1977" spans="1:1" x14ac:dyDescent="0.25">
      <c r="A1977" s="11"/>
    </row>
    <row r="1978" spans="1:1" x14ac:dyDescent="0.25">
      <c r="A1978" s="11"/>
    </row>
    <row r="1979" spans="1:1" x14ac:dyDescent="0.25">
      <c r="A1979" s="11"/>
    </row>
    <row r="1980" spans="1:1" x14ac:dyDescent="0.25">
      <c r="A1980" s="11"/>
    </row>
    <row r="1981" spans="1:1" x14ac:dyDescent="0.25">
      <c r="A1981" s="11"/>
    </row>
    <row r="1982" spans="1:1" x14ac:dyDescent="0.25">
      <c r="A1982" s="11"/>
    </row>
    <row r="1983" spans="1:1" x14ac:dyDescent="0.25">
      <c r="A1983" s="11"/>
    </row>
    <row r="1984" spans="1:1" x14ac:dyDescent="0.25">
      <c r="A1984" s="11"/>
    </row>
    <row r="1985" spans="1:1" x14ac:dyDescent="0.25">
      <c r="A1985" s="11"/>
    </row>
    <row r="1986" spans="1:1" x14ac:dyDescent="0.25">
      <c r="A1986" s="11"/>
    </row>
    <row r="1987" spans="1:1" x14ac:dyDescent="0.25">
      <c r="A1987" s="11"/>
    </row>
    <row r="1988" spans="1:1" x14ac:dyDescent="0.25">
      <c r="A1988" s="11"/>
    </row>
    <row r="1989" spans="1:1" x14ac:dyDescent="0.25">
      <c r="A1989" s="11"/>
    </row>
    <row r="1990" spans="1:1" x14ac:dyDescent="0.25">
      <c r="A1990" s="11"/>
    </row>
    <row r="1991" spans="1:1" x14ac:dyDescent="0.25">
      <c r="A1991" s="11"/>
    </row>
    <row r="1992" spans="1:1" x14ac:dyDescent="0.25">
      <c r="A1992" s="11"/>
    </row>
    <row r="1993" spans="1:1" x14ac:dyDescent="0.25">
      <c r="A1993" s="11"/>
    </row>
    <row r="1994" spans="1:1" x14ac:dyDescent="0.25">
      <c r="A1994" s="11"/>
    </row>
    <row r="1995" spans="1:1" x14ac:dyDescent="0.25">
      <c r="A1995" s="11"/>
    </row>
    <row r="1996" spans="1:1" x14ac:dyDescent="0.25">
      <c r="A1996" s="11"/>
    </row>
    <row r="1997" spans="1:1" x14ac:dyDescent="0.25">
      <c r="A1997" s="11"/>
    </row>
    <row r="1998" spans="1:1" x14ac:dyDescent="0.25">
      <c r="A1998" s="11"/>
    </row>
    <row r="1999" spans="1:1" x14ac:dyDescent="0.25">
      <c r="A1999" s="11"/>
    </row>
    <row r="2000" spans="1:1" x14ac:dyDescent="0.25">
      <c r="A2000" s="11"/>
    </row>
    <row r="2001" spans="1:1" x14ac:dyDescent="0.25">
      <c r="A2001" s="11"/>
    </row>
    <row r="2002" spans="1:1" x14ac:dyDescent="0.25">
      <c r="A2002" s="11"/>
    </row>
    <row r="2003" spans="1:1" x14ac:dyDescent="0.25">
      <c r="A2003" s="11"/>
    </row>
    <row r="2004" spans="1:1" x14ac:dyDescent="0.25">
      <c r="A2004" s="11"/>
    </row>
    <row r="2005" spans="1:1" x14ac:dyDescent="0.25">
      <c r="A2005" s="11"/>
    </row>
    <row r="2006" spans="1:1" x14ac:dyDescent="0.25">
      <c r="A2006" s="11"/>
    </row>
    <row r="2007" spans="1:1" x14ac:dyDescent="0.25">
      <c r="A2007" s="11"/>
    </row>
    <row r="2008" spans="1:1" x14ac:dyDescent="0.25">
      <c r="A2008" s="11"/>
    </row>
    <row r="2009" spans="1:1" x14ac:dyDescent="0.25">
      <c r="A2009" s="11"/>
    </row>
    <row r="2010" spans="1:1" x14ac:dyDescent="0.25">
      <c r="A2010" s="11"/>
    </row>
    <row r="2011" spans="1:1" x14ac:dyDescent="0.25">
      <c r="A2011" s="11"/>
    </row>
    <row r="2012" spans="1:1" x14ac:dyDescent="0.25">
      <c r="A2012" s="11"/>
    </row>
    <row r="2013" spans="1:1" x14ac:dyDescent="0.25">
      <c r="A2013" s="11"/>
    </row>
    <row r="2014" spans="1:1" x14ac:dyDescent="0.25">
      <c r="A2014" s="11"/>
    </row>
    <row r="2015" spans="1:1" x14ac:dyDescent="0.25">
      <c r="A2015" s="11"/>
    </row>
    <row r="2016" spans="1:1" x14ac:dyDescent="0.25">
      <c r="A2016" s="11"/>
    </row>
    <row r="2017" spans="1:1" x14ac:dyDescent="0.25">
      <c r="A2017" s="11"/>
    </row>
    <row r="2018" spans="1:1" x14ac:dyDescent="0.25">
      <c r="A2018" s="11"/>
    </row>
    <row r="2019" spans="1:1" x14ac:dyDescent="0.25">
      <c r="A2019" s="11"/>
    </row>
    <row r="2020" spans="1:1" x14ac:dyDescent="0.25">
      <c r="A2020" s="11"/>
    </row>
    <row r="2021" spans="1:1" x14ac:dyDescent="0.25">
      <c r="A2021" s="11"/>
    </row>
    <row r="2022" spans="1:1" x14ac:dyDescent="0.25">
      <c r="A2022" s="11"/>
    </row>
    <row r="2023" spans="1:1" x14ac:dyDescent="0.25">
      <c r="A2023" s="11"/>
    </row>
    <row r="2024" spans="1:1" x14ac:dyDescent="0.25">
      <c r="A2024" s="11"/>
    </row>
    <row r="2025" spans="1:1" x14ac:dyDescent="0.25">
      <c r="A2025" s="11"/>
    </row>
    <row r="2026" spans="1:1" x14ac:dyDescent="0.25">
      <c r="A2026" s="11"/>
    </row>
    <row r="2027" spans="1:1" x14ac:dyDescent="0.25">
      <c r="A2027" s="11"/>
    </row>
    <row r="2028" spans="1:1" x14ac:dyDescent="0.25">
      <c r="A2028" s="11"/>
    </row>
    <row r="2029" spans="1:1" x14ac:dyDescent="0.25">
      <c r="A2029" s="11"/>
    </row>
    <row r="2030" spans="1:1" x14ac:dyDescent="0.25">
      <c r="A2030" s="11"/>
    </row>
    <row r="2031" spans="1:1" x14ac:dyDescent="0.25">
      <c r="A2031" s="11"/>
    </row>
    <row r="2032" spans="1:1" x14ac:dyDescent="0.25">
      <c r="A2032" s="11"/>
    </row>
    <row r="2033" spans="1:1" x14ac:dyDescent="0.25">
      <c r="A2033" s="11"/>
    </row>
    <row r="2034" spans="1:1" x14ac:dyDescent="0.25">
      <c r="A2034" s="11"/>
    </row>
    <row r="2035" spans="1:1" x14ac:dyDescent="0.25">
      <c r="A2035" s="11"/>
    </row>
    <row r="2036" spans="1:1" x14ac:dyDescent="0.25">
      <c r="A2036" s="11"/>
    </row>
    <row r="2037" spans="1:1" x14ac:dyDescent="0.25">
      <c r="A2037" s="11"/>
    </row>
    <row r="2038" spans="1:1" x14ac:dyDescent="0.25">
      <c r="A2038" s="11"/>
    </row>
    <row r="2039" spans="1:1" x14ac:dyDescent="0.25">
      <c r="A2039" s="11"/>
    </row>
    <row r="2040" spans="1:1" x14ac:dyDescent="0.25">
      <c r="A2040" s="11"/>
    </row>
    <row r="2041" spans="1:1" x14ac:dyDescent="0.25">
      <c r="A2041" s="11"/>
    </row>
    <row r="2042" spans="1:1" x14ac:dyDescent="0.25">
      <c r="A2042" s="11"/>
    </row>
    <row r="2043" spans="1:1" x14ac:dyDescent="0.25">
      <c r="A2043" s="11"/>
    </row>
    <row r="2044" spans="1:1" x14ac:dyDescent="0.25">
      <c r="A2044" s="11"/>
    </row>
    <row r="2045" spans="1:1" x14ac:dyDescent="0.25">
      <c r="A2045" s="11"/>
    </row>
    <row r="2046" spans="1:1" x14ac:dyDescent="0.25">
      <c r="A2046" s="11"/>
    </row>
    <row r="2047" spans="1:1" x14ac:dyDescent="0.25">
      <c r="A2047" s="11"/>
    </row>
    <row r="2048" spans="1:1" x14ac:dyDescent="0.25">
      <c r="A2048" s="11"/>
    </row>
    <row r="2049" spans="1:1" x14ac:dyDescent="0.25">
      <c r="A2049" s="11"/>
    </row>
    <row r="2050" spans="1:1" x14ac:dyDescent="0.25">
      <c r="A2050" s="11"/>
    </row>
    <row r="2051" spans="1:1" x14ac:dyDescent="0.25">
      <c r="A2051" s="11"/>
    </row>
    <row r="2052" spans="1:1" x14ac:dyDescent="0.25">
      <c r="A2052" s="11"/>
    </row>
    <row r="2053" spans="1:1" x14ac:dyDescent="0.25">
      <c r="A2053" s="11"/>
    </row>
    <row r="2054" spans="1:1" x14ac:dyDescent="0.25">
      <c r="A2054" s="11"/>
    </row>
    <row r="2055" spans="1:1" x14ac:dyDescent="0.25">
      <c r="A2055" s="11"/>
    </row>
    <row r="2056" spans="1:1" x14ac:dyDescent="0.25">
      <c r="A2056" s="11"/>
    </row>
    <row r="2057" spans="1:1" x14ac:dyDescent="0.25">
      <c r="A2057" s="11"/>
    </row>
    <row r="2058" spans="1:1" x14ac:dyDescent="0.25">
      <c r="A2058" s="11"/>
    </row>
    <row r="2059" spans="1:1" x14ac:dyDescent="0.25">
      <c r="A2059" s="11"/>
    </row>
    <row r="2060" spans="1:1" x14ac:dyDescent="0.25">
      <c r="A2060" s="11"/>
    </row>
    <row r="2061" spans="1:1" x14ac:dyDescent="0.25">
      <c r="A2061" s="11"/>
    </row>
    <row r="2062" spans="1:1" x14ac:dyDescent="0.25">
      <c r="A2062" s="11"/>
    </row>
    <row r="2063" spans="1:1" x14ac:dyDescent="0.25">
      <c r="A2063" s="11"/>
    </row>
    <row r="2064" spans="1:1" x14ac:dyDescent="0.25">
      <c r="A2064" s="11"/>
    </row>
    <row r="2065" spans="1:1" x14ac:dyDescent="0.25">
      <c r="A2065" s="11"/>
    </row>
    <row r="2066" spans="1:1" x14ac:dyDescent="0.25">
      <c r="A2066" s="11"/>
    </row>
    <row r="2067" spans="1:1" x14ac:dyDescent="0.25">
      <c r="A2067" s="11"/>
    </row>
    <row r="2068" spans="1:1" x14ac:dyDescent="0.25">
      <c r="A2068" s="11"/>
    </row>
    <row r="2069" spans="1:1" x14ac:dyDescent="0.25">
      <c r="A2069" s="11"/>
    </row>
    <row r="2070" spans="1:1" x14ac:dyDescent="0.25">
      <c r="A2070" s="11"/>
    </row>
    <row r="2071" spans="1:1" x14ac:dyDescent="0.25">
      <c r="A2071" s="11"/>
    </row>
    <row r="2072" spans="1:1" x14ac:dyDescent="0.25">
      <c r="A2072" s="11"/>
    </row>
    <row r="2073" spans="1:1" x14ac:dyDescent="0.25">
      <c r="A2073" s="11"/>
    </row>
    <row r="2074" spans="1:1" x14ac:dyDescent="0.25">
      <c r="A2074" s="11"/>
    </row>
    <row r="2075" spans="1:1" x14ac:dyDescent="0.25">
      <c r="A2075" s="11"/>
    </row>
    <row r="2076" spans="1:1" x14ac:dyDescent="0.25">
      <c r="A2076" s="11"/>
    </row>
    <row r="2077" spans="1:1" x14ac:dyDescent="0.25">
      <c r="A2077" s="11"/>
    </row>
    <row r="2078" spans="1:1" x14ac:dyDescent="0.25">
      <c r="A2078" s="11"/>
    </row>
    <row r="2079" spans="1:1" x14ac:dyDescent="0.25">
      <c r="A2079" s="11"/>
    </row>
    <row r="2080" spans="1:1" x14ac:dyDescent="0.25">
      <c r="A2080" s="11"/>
    </row>
    <row r="2081" spans="1:1" x14ac:dyDescent="0.25">
      <c r="A2081" s="11"/>
    </row>
    <row r="2082" spans="1:1" x14ac:dyDescent="0.25">
      <c r="A2082" s="11"/>
    </row>
    <row r="2083" spans="1:1" x14ac:dyDescent="0.25">
      <c r="A2083" s="11"/>
    </row>
    <row r="2084" spans="1:1" x14ac:dyDescent="0.25">
      <c r="A2084" s="11"/>
    </row>
    <row r="2085" spans="1:1" x14ac:dyDescent="0.25">
      <c r="A2085" s="11"/>
    </row>
    <row r="2086" spans="1:1" x14ac:dyDescent="0.25">
      <c r="A2086" s="11"/>
    </row>
    <row r="2087" spans="1:1" x14ac:dyDescent="0.25">
      <c r="A2087" s="11"/>
    </row>
    <row r="2088" spans="1:1" x14ac:dyDescent="0.25">
      <c r="A2088" s="11"/>
    </row>
    <row r="2089" spans="1:1" x14ac:dyDescent="0.25">
      <c r="A2089" s="11"/>
    </row>
    <row r="2090" spans="1:1" x14ac:dyDescent="0.25">
      <c r="A2090" s="11"/>
    </row>
    <row r="2091" spans="1:1" x14ac:dyDescent="0.25">
      <c r="A2091" s="11"/>
    </row>
    <row r="2092" spans="1:1" x14ac:dyDescent="0.25">
      <c r="A2092" s="11"/>
    </row>
    <row r="2093" spans="1:1" x14ac:dyDescent="0.25">
      <c r="A2093" s="11"/>
    </row>
    <row r="2094" spans="1:1" x14ac:dyDescent="0.25">
      <c r="A2094" s="11"/>
    </row>
    <row r="2095" spans="1:1" x14ac:dyDescent="0.25">
      <c r="A2095" s="11"/>
    </row>
    <row r="2096" spans="1:1" x14ac:dyDescent="0.25">
      <c r="A2096" s="11"/>
    </row>
    <row r="2097" spans="1:1" x14ac:dyDescent="0.25">
      <c r="A2097" s="11"/>
    </row>
    <row r="2098" spans="1:1" x14ac:dyDescent="0.25">
      <c r="A2098" s="11"/>
    </row>
    <row r="2099" spans="1:1" x14ac:dyDescent="0.25">
      <c r="A2099" s="11"/>
    </row>
    <row r="2100" spans="1:1" x14ac:dyDescent="0.25">
      <c r="A2100" s="11"/>
    </row>
    <row r="2101" spans="1:1" x14ac:dyDescent="0.25">
      <c r="A2101" s="11"/>
    </row>
    <row r="2102" spans="1:1" x14ac:dyDescent="0.25">
      <c r="A2102" s="11"/>
    </row>
    <row r="2103" spans="1:1" x14ac:dyDescent="0.25">
      <c r="A2103" s="11"/>
    </row>
    <row r="2104" spans="1:1" x14ac:dyDescent="0.25">
      <c r="A2104" s="11"/>
    </row>
    <row r="2105" spans="1:1" x14ac:dyDescent="0.25">
      <c r="A2105" s="11"/>
    </row>
    <row r="2106" spans="1:1" x14ac:dyDescent="0.25">
      <c r="A2106" s="11"/>
    </row>
    <row r="2107" spans="1:1" x14ac:dyDescent="0.25">
      <c r="A2107" s="11"/>
    </row>
    <row r="2108" spans="1:1" x14ac:dyDescent="0.25">
      <c r="A2108" s="11"/>
    </row>
    <row r="2109" spans="1:1" x14ac:dyDescent="0.25">
      <c r="A2109" s="11"/>
    </row>
    <row r="2110" spans="1:1" x14ac:dyDescent="0.25">
      <c r="A2110" s="11"/>
    </row>
    <row r="2111" spans="1:1" x14ac:dyDescent="0.25">
      <c r="A2111" s="11"/>
    </row>
    <row r="2112" spans="1:1" x14ac:dyDescent="0.25">
      <c r="A2112" s="11"/>
    </row>
    <row r="2113" spans="1:1" x14ac:dyDescent="0.25">
      <c r="A2113" s="11"/>
    </row>
    <row r="2114" spans="1:1" x14ac:dyDescent="0.25">
      <c r="A2114" s="11"/>
    </row>
    <row r="2115" spans="1:1" x14ac:dyDescent="0.25">
      <c r="A2115" s="11"/>
    </row>
    <row r="2116" spans="1:1" x14ac:dyDescent="0.25">
      <c r="A2116" s="11"/>
    </row>
    <row r="2117" spans="1:1" x14ac:dyDescent="0.25">
      <c r="A2117" s="11"/>
    </row>
    <row r="2118" spans="1:1" x14ac:dyDescent="0.25">
      <c r="A2118" s="11"/>
    </row>
    <row r="2119" spans="1:1" x14ac:dyDescent="0.25">
      <c r="A2119" s="11"/>
    </row>
    <row r="2120" spans="1:1" x14ac:dyDescent="0.25">
      <c r="A2120" s="11"/>
    </row>
    <row r="2121" spans="1:1" x14ac:dyDescent="0.25">
      <c r="A2121" s="11"/>
    </row>
    <row r="2122" spans="1:1" x14ac:dyDescent="0.25">
      <c r="A2122" s="11"/>
    </row>
    <row r="2123" spans="1:1" x14ac:dyDescent="0.25">
      <c r="A2123" s="11"/>
    </row>
    <row r="2124" spans="1:1" x14ac:dyDescent="0.25">
      <c r="A2124" s="11"/>
    </row>
    <row r="2125" spans="1:1" x14ac:dyDescent="0.25">
      <c r="A2125" s="11"/>
    </row>
    <row r="2126" spans="1:1" x14ac:dyDescent="0.25">
      <c r="A2126" s="11"/>
    </row>
    <row r="2127" spans="1:1" x14ac:dyDescent="0.25">
      <c r="A2127" s="11"/>
    </row>
    <row r="2128" spans="1:1" x14ac:dyDescent="0.25">
      <c r="A2128" s="11"/>
    </row>
    <row r="2129" spans="1:1" x14ac:dyDescent="0.25">
      <c r="A2129" s="11"/>
    </row>
    <row r="2130" spans="1:1" x14ac:dyDescent="0.25">
      <c r="A2130" s="11"/>
    </row>
    <row r="2131" spans="1:1" x14ac:dyDescent="0.25">
      <c r="A2131" s="11"/>
    </row>
    <row r="2132" spans="1:1" x14ac:dyDescent="0.25">
      <c r="A2132" s="11"/>
    </row>
    <row r="2133" spans="1:1" x14ac:dyDescent="0.25">
      <c r="A2133" s="11"/>
    </row>
    <row r="2134" spans="1:1" x14ac:dyDescent="0.25">
      <c r="A2134" s="11"/>
    </row>
    <row r="2135" spans="1:1" x14ac:dyDescent="0.25">
      <c r="A2135" s="11"/>
    </row>
    <row r="2136" spans="1:1" x14ac:dyDescent="0.25">
      <c r="A2136" s="11"/>
    </row>
    <row r="2137" spans="1:1" x14ac:dyDescent="0.25">
      <c r="A2137" s="11"/>
    </row>
    <row r="2138" spans="1:1" x14ac:dyDescent="0.25">
      <c r="A2138" s="11"/>
    </row>
    <row r="2139" spans="1:1" x14ac:dyDescent="0.25">
      <c r="A2139" s="11"/>
    </row>
    <row r="2140" spans="1:1" x14ac:dyDescent="0.25">
      <c r="A2140" s="11"/>
    </row>
    <row r="2141" spans="1:1" x14ac:dyDescent="0.25">
      <c r="A2141" s="11"/>
    </row>
    <row r="2142" spans="1:1" x14ac:dyDescent="0.25">
      <c r="A2142" s="11"/>
    </row>
    <row r="2143" spans="1:1" x14ac:dyDescent="0.25">
      <c r="A2143" s="11"/>
    </row>
    <row r="2144" spans="1:1" x14ac:dyDescent="0.25">
      <c r="A2144" s="11"/>
    </row>
    <row r="2145" spans="1:1" x14ac:dyDescent="0.25">
      <c r="A2145" s="11"/>
    </row>
    <row r="2146" spans="1:1" x14ac:dyDescent="0.25">
      <c r="A2146" s="11"/>
    </row>
    <row r="2147" spans="1:1" x14ac:dyDescent="0.25">
      <c r="A2147" s="11"/>
    </row>
    <row r="2148" spans="1:1" x14ac:dyDescent="0.25">
      <c r="A2148" s="11"/>
    </row>
    <row r="2149" spans="1:1" x14ac:dyDescent="0.25">
      <c r="A2149" s="11"/>
    </row>
    <row r="2150" spans="1:1" x14ac:dyDescent="0.25">
      <c r="A2150" s="11"/>
    </row>
    <row r="2151" spans="1:1" x14ac:dyDescent="0.25">
      <c r="A2151" s="11"/>
    </row>
    <row r="2152" spans="1:1" x14ac:dyDescent="0.25">
      <c r="A2152" s="11"/>
    </row>
    <row r="2153" spans="1:1" x14ac:dyDescent="0.25">
      <c r="A2153" s="11"/>
    </row>
    <row r="2154" spans="1:1" x14ac:dyDescent="0.25">
      <c r="A2154" s="11"/>
    </row>
    <row r="2155" spans="1:1" x14ac:dyDescent="0.25">
      <c r="A2155" s="11"/>
    </row>
    <row r="2156" spans="1:1" x14ac:dyDescent="0.25">
      <c r="A2156" s="11"/>
    </row>
    <row r="2157" spans="1:1" x14ac:dyDescent="0.25">
      <c r="A2157" s="11"/>
    </row>
    <row r="2158" spans="1:1" x14ac:dyDescent="0.25">
      <c r="A2158" s="11"/>
    </row>
    <row r="2159" spans="1:1" x14ac:dyDescent="0.25">
      <c r="A2159" s="11"/>
    </row>
    <row r="2160" spans="1:1" x14ac:dyDescent="0.25">
      <c r="A2160" s="11"/>
    </row>
    <row r="2161" spans="1:1" x14ac:dyDescent="0.25">
      <c r="A2161" s="11"/>
    </row>
    <row r="2162" spans="1:1" x14ac:dyDescent="0.25">
      <c r="A2162" s="11"/>
    </row>
    <row r="2163" spans="1:1" x14ac:dyDescent="0.25">
      <c r="A2163" s="11"/>
    </row>
    <row r="2164" spans="1:1" x14ac:dyDescent="0.25">
      <c r="A2164" s="11"/>
    </row>
    <row r="2165" spans="1:1" x14ac:dyDescent="0.25">
      <c r="A2165" s="11"/>
    </row>
    <row r="2166" spans="1:1" x14ac:dyDescent="0.25">
      <c r="A2166" s="11"/>
    </row>
    <row r="2167" spans="1:1" x14ac:dyDescent="0.25">
      <c r="A2167" s="11"/>
    </row>
    <row r="2168" spans="1:1" x14ac:dyDescent="0.25">
      <c r="A2168" s="11"/>
    </row>
    <row r="2169" spans="1:1" x14ac:dyDescent="0.25">
      <c r="A2169" s="11"/>
    </row>
    <row r="2170" spans="1:1" x14ac:dyDescent="0.25">
      <c r="A2170" s="11"/>
    </row>
    <row r="2171" spans="1:1" x14ac:dyDescent="0.25">
      <c r="A2171" s="11"/>
    </row>
    <row r="2172" spans="1:1" x14ac:dyDescent="0.25">
      <c r="A2172" s="11"/>
    </row>
    <row r="2173" spans="1:1" x14ac:dyDescent="0.25">
      <c r="A2173" s="11"/>
    </row>
    <row r="2174" spans="1:1" x14ac:dyDescent="0.25">
      <c r="A2174" s="11"/>
    </row>
    <row r="2175" spans="1:1" x14ac:dyDescent="0.25">
      <c r="A2175" s="11"/>
    </row>
    <row r="2176" spans="1:1" x14ac:dyDescent="0.25">
      <c r="A2176" s="11"/>
    </row>
    <row r="2177" spans="1:1" x14ac:dyDescent="0.25">
      <c r="A2177" s="11"/>
    </row>
    <row r="2178" spans="1:1" x14ac:dyDescent="0.25">
      <c r="A2178" s="11"/>
    </row>
    <row r="2179" spans="1:1" x14ac:dyDescent="0.25">
      <c r="A2179" s="11"/>
    </row>
    <row r="2180" spans="1:1" x14ac:dyDescent="0.25">
      <c r="A2180" s="11"/>
    </row>
    <row r="2181" spans="1:1" x14ac:dyDescent="0.25">
      <c r="A2181" s="11"/>
    </row>
    <row r="2182" spans="1:1" x14ac:dyDescent="0.25">
      <c r="A2182" s="11"/>
    </row>
    <row r="2183" spans="1:1" x14ac:dyDescent="0.25">
      <c r="A2183" s="11"/>
    </row>
    <row r="2184" spans="1:1" x14ac:dyDescent="0.25">
      <c r="A2184" s="11"/>
    </row>
    <row r="2185" spans="1:1" x14ac:dyDescent="0.25">
      <c r="A2185" s="11"/>
    </row>
    <row r="2186" spans="1:1" x14ac:dyDescent="0.25">
      <c r="A2186" s="11"/>
    </row>
    <row r="2187" spans="1:1" x14ac:dyDescent="0.25">
      <c r="A2187" s="11"/>
    </row>
    <row r="2188" spans="1:1" x14ac:dyDescent="0.25">
      <c r="A2188" s="11"/>
    </row>
    <row r="2189" spans="1:1" x14ac:dyDescent="0.25">
      <c r="A2189" s="11"/>
    </row>
    <row r="2190" spans="1:1" x14ac:dyDescent="0.25">
      <c r="A2190" s="11"/>
    </row>
    <row r="2191" spans="1:1" x14ac:dyDescent="0.25">
      <c r="A2191" s="11"/>
    </row>
    <row r="2192" spans="1:1" x14ac:dyDescent="0.25">
      <c r="A2192" s="11"/>
    </row>
    <row r="2193" spans="1:1" x14ac:dyDescent="0.25">
      <c r="A2193" s="11"/>
    </row>
    <row r="2194" spans="1:1" x14ac:dyDescent="0.25">
      <c r="A2194" s="11"/>
    </row>
    <row r="2195" spans="1:1" x14ac:dyDescent="0.25">
      <c r="A2195" s="11"/>
    </row>
    <row r="2196" spans="1:1" x14ac:dyDescent="0.25">
      <c r="A2196" s="11"/>
    </row>
    <row r="2197" spans="1:1" x14ac:dyDescent="0.25">
      <c r="A2197" s="11"/>
    </row>
    <row r="2198" spans="1:1" x14ac:dyDescent="0.25">
      <c r="A2198" s="11"/>
    </row>
    <row r="2199" spans="1:1" x14ac:dyDescent="0.25">
      <c r="A2199" s="11"/>
    </row>
    <row r="2200" spans="1:1" x14ac:dyDescent="0.25">
      <c r="A2200" s="11"/>
    </row>
    <row r="2201" spans="1:1" x14ac:dyDescent="0.25">
      <c r="A2201" s="11"/>
    </row>
    <row r="2202" spans="1:1" x14ac:dyDescent="0.25">
      <c r="A2202" s="11"/>
    </row>
    <row r="2203" spans="1:1" x14ac:dyDescent="0.25">
      <c r="A2203" s="11"/>
    </row>
    <row r="2204" spans="1:1" x14ac:dyDescent="0.25">
      <c r="A2204" s="11"/>
    </row>
    <row r="2205" spans="1:1" x14ac:dyDescent="0.25">
      <c r="A2205" s="11"/>
    </row>
    <row r="2206" spans="1:1" x14ac:dyDescent="0.25">
      <c r="A2206" s="11"/>
    </row>
    <row r="2207" spans="1:1" x14ac:dyDescent="0.25">
      <c r="A2207" s="11"/>
    </row>
    <row r="2208" spans="1:1" x14ac:dyDescent="0.25">
      <c r="A2208" s="11"/>
    </row>
    <row r="2209" spans="1:1" x14ac:dyDescent="0.25">
      <c r="A2209" s="11"/>
    </row>
    <row r="2210" spans="1:1" x14ac:dyDescent="0.25">
      <c r="A2210" s="11"/>
    </row>
    <row r="2211" spans="1:1" x14ac:dyDescent="0.25">
      <c r="A2211" s="11"/>
    </row>
    <row r="2212" spans="1:1" x14ac:dyDescent="0.25">
      <c r="A2212" s="11"/>
    </row>
    <row r="2213" spans="1:1" x14ac:dyDescent="0.25">
      <c r="A2213" s="11"/>
    </row>
    <row r="2214" spans="1:1" x14ac:dyDescent="0.25">
      <c r="A2214" s="11"/>
    </row>
    <row r="2215" spans="1:1" x14ac:dyDescent="0.25">
      <c r="A2215" s="11"/>
    </row>
    <row r="2216" spans="1:1" x14ac:dyDescent="0.25">
      <c r="A2216" s="11"/>
    </row>
    <row r="2217" spans="1:1" x14ac:dyDescent="0.25">
      <c r="A2217" s="11"/>
    </row>
    <row r="2218" spans="1:1" x14ac:dyDescent="0.25">
      <c r="A2218" s="11"/>
    </row>
    <row r="2219" spans="1:1" x14ac:dyDescent="0.25">
      <c r="A2219" s="11"/>
    </row>
    <row r="2220" spans="1:1" x14ac:dyDescent="0.25">
      <c r="A2220" s="11"/>
    </row>
    <row r="2221" spans="1:1" x14ac:dyDescent="0.25">
      <c r="A2221" s="11"/>
    </row>
    <row r="2222" spans="1:1" x14ac:dyDescent="0.25">
      <c r="A2222" s="11"/>
    </row>
    <row r="2223" spans="1:1" x14ac:dyDescent="0.25">
      <c r="A2223" s="11"/>
    </row>
    <row r="2224" spans="1:1" x14ac:dyDescent="0.25">
      <c r="A2224" s="11"/>
    </row>
    <row r="2225" spans="1:1" x14ac:dyDescent="0.25">
      <c r="A2225" s="11"/>
    </row>
    <row r="2226" spans="1:1" x14ac:dyDescent="0.25">
      <c r="A2226" s="11"/>
    </row>
    <row r="2227" spans="1:1" x14ac:dyDescent="0.25">
      <c r="A2227" s="11"/>
    </row>
    <row r="2228" spans="1:1" x14ac:dyDescent="0.25">
      <c r="A2228" s="11"/>
    </row>
    <row r="2229" spans="1:1" x14ac:dyDescent="0.25">
      <c r="A2229" s="11"/>
    </row>
    <row r="2230" spans="1:1" x14ac:dyDescent="0.25">
      <c r="A2230" s="11"/>
    </row>
    <row r="2231" spans="1:1" x14ac:dyDescent="0.25">
      <c r="A2231" s="11"/>
    </row>
    <row r="2232" spans="1:1" x14ac:dyDescent="0.25">
      <c r="A2232" s="11"/>
    </row>
    <row r="2233" spans="1:1" x14ac:dyDescent="0.25">
      <c r="A2233" s="11"/>
    </row>
    <row r="2234" spans="1:1" x14ac:dyDescent="0.25">
      <c r="A2234" s="11"/>
    </row>
    <row r="2235" spans="1:1" x14ac:dyDescent="0.25">
      <c r="A2235" s="11"/>
    </row>
    <row r="2236" spans="1:1" x14ac:dyDescent="0.25">
      <c r="A2236" s="11"/>
    </row>
    <row r="2237" spans="1:1" x14ac:dyDescent="0.25">
      <c r="A2237" s="11"/>
    </row>
    <row r="2238" spans="1:1" x14ac:dyDescent="0.25">
      <c r="A2238" s="11"/>
    </row>
    <row r="2239" spans="1:1" x14ac:dyDescent="0.25">
      <c r="A2239" s="11"/>
    </row>
    <row r="2240" spans="1:1" x14ac:dyDescent="0.25">
      <c r="A2240" s="11"/>
    </row>
    <row r="2241" spans="1:1" x14ac:dyDescent="0.25">
      <c r="A2241" s="11"/>
    </row>
    <row r="2242" spans="1:1" x14ac:dyDescent="0.25">
      <c r="A2242" s="11"/>
    </row>
    <row r="2243" spans="1:1" x14ac:dyDescent="0.25">
      <c r="A2243" s="11"/>
    </row>
    <row r="2244" spans="1:1" x14ac:dyDescent="0.25">
      <c r="A2244" s="11"/>
    </row>
    <row r="2245" spans="1:1" x14ac:dyDescent="0.25">
      <c r="A2245" s="11"/>
    </row>
    <row r="2246" spans="1:1" x14ac:dyDescent="0.25">
      <c r="A2246" s="11"/>
    </row>
    <row r="2247" spans="1:1" x14ac:dyDescent="0.25">
      <c r="A2247" s="11"/>
    </row>
    <row r="2248" spans="1:1" x14ac:dyDescent="0.25">
      <c r="A2248" s="11"/>
    </row>
    <row r="2249" spans="1:1" x14ac:dyDescent="0.25">
      <c r="A2249" s="11"/>
    </row>
    <row r="2250" spans="1:1" x14ac:dyDescent="0.25">
      <c r="A2250" s="11"/>
    </row>
    <row r="2251" spans="1:1" x14ac:dyDescent="0.25">
      <c r="A2251" s="11"/>
    </row>
    <row r="2252" spans="1:1" x14ac:dyDescent="0.25">
      <c r="A2252" s="11"/>
    </row>
    <row r="2253" spans="1:1" x14ac:dyDescent="0.25">
      <c r="A2253" s="11"/>
    </row>
    <row r="2254" spans="1:1" x14ac:dyDescent="0.25">
      <c r="A2254" s="11"/>
    </row>
    <row r="2255" spans="1:1" x14ac:dyDescent="0.25">
      <c r="A2255" s="11"/>
    </row>
    <row r="2256" spans="1:1" x14ac:dyDescent="0.25">
      <c r="A2256" s="11"/>
    </row>
    <row r="2257" spans="1:1" x14ac:dyDescent="0.25">
      <c r="A2257" s="11"/>
    </row>
    <row r="2258" spans="1:1" x14ac:dyDescent="0.25">
      <c r="A2258" s="11"/>
    </row>
    <row r="2259" spans="1:1" x14ac:dyDescent="0.25">
      <c r="A2259" s="11"/>
    </row>
    <row r="2260" spans="1:1" x14ac:dyDescent="0.25">
      <c r="A2260" s="11"/>
    </row>
    <row r="2261" spans="1:1" x14ac:dyDescent="0.25">
      <c r="A2261" s="11"/>
    </row>
    <row r="2262" spans="1:1" x14ac:dyDescent="0.25">
      <c r="A2262" s="11"/>
    </row>
    <row r="2263" spans="1:1" x14ac:dyDescent="0.25">
      <c r="A2263" s="11"/>
    </row>
    <row r="2264" spans="1:1" x14ac:dyDescent="0.25">
      <c r="A2264" s="11"/>
    </row>
    <row r="2265" spans="1:1" x14ac:dyDescent="0.25">
      <c r="A2265" s="11"/>
    </row>
    <row r="2266" spans="1:1" x14ac:dyDescent="0.25">
      <c r="A2266" s="11"/>
    </row>
    <row r="2267" spans="1:1" x14ac:dyDescent="0.25">
      <c r="A2267" s="11"/>
    </row>
    <row r="2268" spans="1:1" x14ac:dyDescent="0.25">
      <c r="A2268" s="11"/>
    </row>
    <row r="2269" spans="1:1" x14ac:dyDescent="0.25">
      <c r="A2269" s="11"/>
    </row>
    <row r="2270" spans="1:1" x14ac:dyDescent="0.25">
      <c r="A2270" s="11"/>
    </row>
    <row r="2271" spans="1:1" x14ac:dyDescent="0.25">
      <c r="A2271" s="11"/>
    </row>
    <row r="2272" spans="1:1" x14ac:dyDescent="0.25">
      <c r="A2272" s="11"/>
    </row>
    <row r="2273" spans="1:1" x14ac:dyDescent="0.25">
      <c r="A2273" s="11"/>
    </row>
    <row r="2274" spans="1:1" x14ac:dyDescent="0.25">
      <c r="A2274" s="11"/>
    </row>
    <row r="2275" spans="1:1" x14ac:dyDescent="0.25">
      <c r="A2275" s="11"/>
    </row>
    <row r="2276" spans="1:1" x14ac:dyDescent="0.25">
      <c r="A2276" s="11"/>
    </row>
    <row r="2277" spans="1:1" x14ac:dyDescent="0.25">
      <c r="A2277" s="11"/>
    </row>
    <row r="2278" spans="1:1" x14ac:dyDescent="0.25">
      <c r="A2278" s="11"/>
    </row>
    <row r="2279" spans="1:1" x14ac:dyDescent="0.25">
      <c r="A2279" s="11"/>
    </row>
    <row r="2280" spans="1:1" x14ac:dyDescent="0.25">
      <c r="A2280" s="11"/>
    </row>
    <row r="2281" spans="1:1" x14ac:dyDescent="0.25">
      <c r="A2281" s="11"/>
    </row>
    <row r="2282" spans="1:1" x14ac:dyDescent="0.25">
      <c r="A2282" s="11"/>
    </row>
    <row r="2283" spans="1:1" x14ac:dyDescent="0.25">
      <c r="A2283" s="11"/>
    </row>
    <row r="2284" spans="1:1" x14ac:dyDescent="0.25">
      <c r="A2284" s="11"/>
    </row>
    <row r="2285" spans="1:1" x14ac:dyDescent="0.25">
      <c r="A2285" s="11"/>
    </row>
    <row r="2286" spans="1:1" x14ac:dyDescent="0.25">
      <c r="A2286" s="11"/>
    </row>
    <row r="2287" spans="1:1" x14ac:dyDescent="0.25">
      <c r="A2287" s="11"/>
    </row>
    <row r="2288" spans="1:1" x14ac:dyDescent="0.25">
      <c r="A2288" s="11"/>
    </row>
    <row r="2289" spans="1:1" x14ac:dyDescent="0.25">
      <c r="A2289" s="11"/>
    </row>
    <row r="2290" spans="1:1" x14ac:dyDescent="0.25">
      <c r="A2290" s="11"/>
    </row>
    <row r="2291" spans="1:1" x14ac:dyDescent="0.25">
      <c r="A2291" s="11"/>
    </row>
    <row r="2292" spans="1:1" x14ac:dyDescent="0.25">
      <c r="A2292" s="11"/>
    </row>
    <row r="2293" spans="1:1" x14ac:dyDescent="0.25">
      <c r="A2293" s="11"/>
    </row>
    <row r="2294" spans="1:1" x14ac:dyDescent="0.25">
      <c r="A2294" s="11"/>
    </row>
    <row r="2295" spans="1:1" x14ac:dyDescent="0.25">
      <c r="A2295" s="11"/>
    </row>
    <row r="2296" spans="1:1" x14ac:dyDescent="0.25">
      <c r="A2296" s="11"/>
    </row>
    <row r="2297" spans="1:1" x14ac:dyDescent="0.25">
      <c r="A2297" s="11"/>
    </row>
    <row r="2298" spans="1:1" x14ac:dyDescent="0.25">
      <c r="A2298" s="11"/>
    </row>
    <row r="2299" spans="1:1" x14ac:dyDescent="0.25">
      <c r="A2299" s="11"/>
    </row>
    <row r="2300" spans="1:1" x14ac:dyDescent="0.25">
      <c r="A2300" s="11"/>
    </row>
    <row r="2301" spans="1:1" x14ac:dyDescent="0.25">
      <c r="A2301" s="11"/>
    </row>
    <row r="2302" spans="1:1" x14ac:dyDescent="0.25">
      <c r="A2302" s="11"/>
    </row>
    <row r="2303" spans="1:1" x14ac:dyDescent="0.25">
      <c r="A2303" s="11"/>
    </row>
    <row r="2304" spans="1:1" x14ac:dyDescent="0.25">
      <c r="A2304" s="11"/>
    </row>
    <row r="2305" spans="1:1" x14ac:dyDescent="0.25">
      <c r="A2305" s="11"/>
    </row>
    <row r="2306" spans="1:1" x14ac:dyDescent="0.25">
      <c r="A2306" s="11"/>
    </row>
    <row r="2307" spans="1:1" x14ac:dyDescent="0.25">
      <c r="A2307" s="11"/>
    </row>
    <row r="2308" spans="1:1" x14ac:dyDescent="0.25">
      <c r="A2308" s="11"/>
    </row>
    <row r="2309" spans="1:1" x14ac:dyDescent="0.25">
      <c r="A2309" s="11"/>
    </row>
    <row r="2310" spans="1:1" x14ac:dyDescent="0.25">
      <c r="A2310" s="11"/>
    </row>
    <row r="2311" spans="1:1" x14ac:dyDescent="0.25">
      <c r="A2311" s="11"/>
    </row>
    <row r="2312" spans="1:1" x14ac:dyDescent="0.25">
      <c r="A2312" s="11"/>
    </row>
    <row r="2313" spans="1:1" x14ac:dyDescent="0.25">
      <c r="A2313" s="11"/>
    </row>
    <row r="2314" spans="1:1" x14ac:dyDescent="0.25">
      <c r="A2314" s="11"/>
    </row>
    <row r="2315" spans="1:1" x14ac:dyDescent="0.25">
      <c r="A2315" s="11"/>
    </row>
    <row r="2316" spans="1:1" x14ac:dyDescent="0.25">
      <c r="A2316" s="11"/>
    </row>
    <row r="2317" spans="1:1" x14ac:dyDescent="0.25">
      <c r="A2317" s="11"/>
    </row>
    <row r="2318" spans="1:1" x14ac:dyDescent="0.25">
      <c r="A2318" s="11"/>
    </row>
    <row r="2319" spans="1:1" x14ac:dyDescent="0.25">
      <c r="A2319" s="11"/>
    </row>
    <row r="2320" spans="1:1" x14ac:dyDescent="0.25">
      <c r="A2320" s="11"/>
    </row>
    <row r="2321" spans="1:1" x14ac:dyDescent="0.25">
      <c r="A2321" s="11"/>
    </row>
    <row r="2322" spans="1:1" x14ac:dyDescent="0.25">
      <c r="A2322" s="11"/>
    </row>
    <row r="2323" spans="1:1" x14ac:dyDescent="0.25">
      <c r="A2323" s="11"/>
    </row>
    <row r="2324" spans="1:1" x14ac:dyDescent="0.25">
      <c r="A2324" s="11"/>
    </row>
    <row r="2325" spans="1:1" x14ac:dyDescent="0.25">
      <c r="A2325" s="11"/>
    </row>
    <row r="2326" spans="1:1" x14ac:dyDescent="0.25">
      <c r="A2326" s="11"/>
    </row>
    <row r="2327" spans="1:1" x14ac:dyDescent="0.25">
      <c r="A2327" s="11"/>
    </row>
    <row r="2328" spans="1:1" x14ac:dyDescent="0.25">
      <c r="A2328" s="11"/>
    </row>
    <row r="2329" spans="1:1" x14ac:dyDescent="0.25">
      <c r="A2329" s="11"/>
    </row>
    <row r="2330" spans="1:1" x14ac:dyDescent="0.25">
      <c r="A2330" s="11"/>
    </row>
    <row r="2331" spans="1:1" x14ac:dyDescent="0.25">
      <c r="A2331" s="11"/>
    </row>
    <row r="2332" spans="1:1" x14ac:dyDescent="0.25">
      <c r="A2332" s="11"/>
    </row>
    <row r="2333" spans="1:1" x14ac:dyDescent="0.25">
      <c r="A2333" s="11"/>
    </row>
    <row r="2334" spans="1:1" x14ac:dyDescent="0.25">
      <c r="A2334" s="11"/>
    </row>
    <row r="2335" spans="1:1" x14ac:dyDescent="0.25">
      <c r="A2335" s="11"/>
    </row>
    <row r="2336" spans="1:1" x14ac:dyDescent="0.25">
      <c r="A2336" s="11"/>
    </row>
    <row r="2337" spans="1:1" x14ac:dyDescent="0.25">
      <c r="A2337" s="11"/>
    </row>
    <row r="2338" spans="1:1" x14ac:dyDescent="0.25">
      <c r="A2338" s="11"/>
    </row>
    <row r="2339" spans="1:1" x14ac:dyDescent="0.25">
      <c r="A2339" s="11"/>
    </row>
    <row r="2340" spans="1:1" x14ac:dyDescent="0.25">
      <c r="A2340" s="11"/>
    </row>
    <row r="2341" spans="1:1" x14ac:dyDescent="0.25">
      <c r="A2341" s="11"/>
    </row>
    <row r="2342" spans="1:1" x14ac:dyDescent="0.25">
      <c r="A2342" s="11"/>
    </row>
    <row r="2343" spans="1:1" x14ac:dyDescent="0.25">
      <c r="A2343" s="11"/>
    </row>
    <row r="2344" spans="1:1" x14ac:dyDescent="0.25">
      <c r="A2344" s="11"/>
    </row>
    <row r="2345" spans="1:1" x14ac:dyDescent="0.25">
      <c r="A2345" s="11"/>
    </row>
    <row r="2346" spans="1:1" x14ac:dyDescent="0.25">
      <c r="A2346" s="11"/>
    </row>
    <row r="2347" spans="1:1" x14ac:dyDescent="0.25">
      <c r="A2347" s="11"/>
    </row>
    <row r="2348" spans="1:1" x14ac:dyDescent="0.25">
      <c r="A2348" s="11"/>
    </row>
    <row r="2349" spans="1:1" x14ac:dyDescent="0.25">
      <c r="A2349" s="11"/>
    </row>
    <row r="2350" spans="1:1" x14ac:dyDescent="0.25">
      <c r="A2350" s="11"/>
    </row>
    <row r="2351" spans="1:1" x14ac:dyDescent="0.25">
      <c r="A2351" s="11"/>
    </row>
    <row r="2352" spans="1:1" x14ac:dyDescent="0.25">
      <c r="A2352" s="11"/>
    </row>
    <row r="2353" spans="1:1" x14ac:dyDescent="0.25">
      <c r="A2353" s="11"/>
    </row>
    <row r="2354" spans="1:1" x14ac:dyDescent="0.25">
      <c r="A2354" s="11"/>
    </row>
    <row r="2355" spans="1:1" x14ac:dyDescent="0.25">
      <c r="A2355" s="11"/>
    </row>
    <row r="2356" spans="1:1" x14ac:dyDescent="0.25">
      <c r="A2356" s="11"/>
    </row>
    <row r="2357" spans="1:1" x14ac:dyDescent="0.25">
      <c r="A2357" s="11"/>
    </row>
    <row r="2358" spans="1:1" x14ac:dyDescent="0.25">
      <c r="A2358" s="11"/>
    </row>
    <row r="2359" spans="1:1" x14ac:dyDescent="0.25">
      <c r="A2359" s="11"/>
    </row>
    <row r="2360" spans="1:1" x14ac:dyDescent="0.25">
      <c r="A2360" s="11"/>
    </row>
    <row r="2361" spans="1:1" x14ac:dyDescent="0.25">
      <c r="A2361" s="11"/>
    </row>
    <row r="2362" spans="1:1" x14ac:dyDescent="0.25">
      <c r="A2362" s="11"/>
    </row>
    <row r="2363" spans="1:1" x14ac:dyDescent="0.25">
      <c r="A2363" s="11"/>
    </row>
    <row r="2364" spans="1:1" x14ac:dyDescent="0.25">
      <c r="A2364" s="11"/>
    </row>
    <row r="2365" spans="1:1" x14ac:dyDescent="0.25">
      <c r="A2365" s="11"/>
    </row>
    <row r="2366" spans="1:1" x14ac:dyDescent="0.25">
      <c r="A2366" s="11"/>
    </row>
    <row r="2367" spans="1:1" x14ac:dyDescent="0.25">
      <c r="A2367" s="11"/>
    </row>
    <row r="2368" spans="1:1" x14ac:dyDescent="0.25">
      <c r="A2368" s="11"/>
    </row>
    <row r="2369" spans="1:1" x14ac:dyDescent="0.25">
      <c r="A2369" s="11"/>
    </row>
    <row r="2370" spans="1:1" x14ac:dyDescent="0.25">
      <c r="A2370" s="11"/>
    </row>
    <row r="2371" spans="1:1" x14ac:dyDescent="0.25">
      <c r="A2371" s="11"/>
    </row>
    <row r="2372" spans="1:1" x14ac:dyDescent="0.25">
      <c r="A2372" s="11"/>
    </row>
    <row r="2373" spans="1:1" x14ac:dyDescent="0.25">
      <c r="A2373" s="11"/>
    </row>
    <row r="2374" spans="1:1" x14ac:dyDescent="0.25">
      <c r="A2374" s="11"/>
    </row>
    <row r="2375" spans="1:1" x14ac:dyDescent="0.25">
      <c r="A2375" s="11"/>
    </row>
    <row r="2376" spans="1:1" x14ac:dyDescent="0.25">
      <c r="A2376" s="11"/>
    </row>
    <row r="2377" spans="1:1" x14ac:dyDescent="0.25">
      <c r="A2377" s="11"/>
    </row>
    <row r="2378" spans="1:1" x14ac:dyDescent="0.25">
      <c r="A2378" s="11"/>
    </row>
    <row r="2379" spans="1:1" x14ac:dyDescent="0.25">
      <c r="A2379" s="11"/>
    </row>
    <row r="2380" spans="1:1" x14ac:dyDescent="0.25">
      <c r="A2380" s="11"/>
    </row>
    <row r="2381" spans="1:1" x14ac:dyDescent="0.25">
      <c r="A2381" s="11"/>
    </row>
    <row r="2382" spans="1:1" x14ac:dyDescent="0.25">
      <c r="A2382" s="11"/>
    </row>
    <row r="2383" spans="1:1" x14ac:dyDescent="0.25">
      <c r="A2383" s="11"/>
    </row>
    <row r="2384" spans="1:1" x14ac:dyDescent="0.25">
      <c r="A2384" s="11"/>
    </row>
    <row r="2385" spans="1:1" x14ac:dyDescent="0.25">
      <c r="A2385" s="11"/>
    </row>
    <row r="2386" spans="1:1" x14ac:dyDescent="0.25">
      <c r="A2386" s="11"/>
    </row>
    <row r="2387" spans="1:1" x14ac:dyDescent="0.25">
      <c r="A2387" s="11"/>
    </row>
    <row r="2388" spans="1:1" x14ac:dyDescent="0.25">
      <c r="A2388" s="11"/>
    </row>
    <row r="2389" spans="1:1" x14ac:dyDescent="0.25">
      <c r="A2389" s="11"/>
    </row>
    <row r="2390" spans="1:1" x14ac:dyDescent="0.25">
      <c r="A2390" s="11"/>
    </row>
    <row r="2391" spans="1:1" x14ac:dyDescent="0.25">
      <c r="A2391" s="11"/>
    </row>
    <row r="2392" spans="1:1" x14ac:dyDescent="0.25">
      <c r="A2392" s="11"/>
    </row>
    <row r="2393" spans="1:1" x14ac:dyDescent="0.25">
      <c r="A2393" s="11"/>
    </row>
    <row r="2394" spans="1:1" x14ac:dyDescent="0.25">
      <c r="A2394" s="11"/>
    </row>
    <row r="2395" spans="1:1" x14ac:dyDescent="0.25">
      <c r="A2395" s="11"/>
    </row>
    <row r="2396" spans="1:1" x14ac:dyDescent="0.25">
      <c r="A2396" s="11"/>
    </row>
    <row r="2397" spans="1:1" x14ac:dyDescent="0.25">
      <c r="A2397" s="11"/>
    </row>
    <row r="2398" spans="1:1" x14ac:dyDescent="0.25">
      <c r="A2398" s="11"/>
    </row>
    <row r="2399" spans="1:1" x14ac:dyDescent="0.25">
      <c r="A2399" s="11"/>
    </row>
    <row r="2400" spans="1:1" x14ac:dyDescent="0.25">
      <c r="A2400" s="11"/>
    </row>
    <row r="2401" spans="1:1" x14ac:dyDescent="0.25">
      <c r="A2401" s="11"/>
    </row>
    <row r="2402" spans="1:1" x14ac:dyDescent="0.25">
      <c r="A2402" s="11"/>
    </row>
    <row r="2403" spans="1:1" x14ac:dyDescent="0.25">
      <c r="A2403" s="11"/>
    </row>
    <row r="2404" spans="1:1" x14ac:dyDescent="0.25">
      <c r="A2404" s="11"/>
    </row>
    <row r="2405" spans="1:1" x14ac:dyDescent="0.25">
      <c r="A2405" s="11"/>
    </row>
    <row r="2406" spans="1:1" x14ac:dyDescent="0.25">
      <c r="A2406" s="11"/>
    </row>
    <row r="2407" spans="1:1" x14ac:dyDescent="0.25">
      <c r="A2407" s="11"/>
    </row>
    <row r="2408" spans="1:1" x14ac:dyDescent="0.25">
      <c r="A2408" s="11"/>
    </row>
    <row r="2409" spans="1:1" x14ac:dyDescent="0.25">
      <c r="A2409" s="11"/>
    </row>
    <row r="2410" spans="1:1" x14ac:dyDescent="0.25">
      <c r="A2410" s="11"/>
    </row>
    <row r="2411" spans="1:1" x14ac:dyDescent="0.25">
      <c r="A2411" s="11"/>
    </row>
    <row r="2412" spans="1:1" x14ac:dyDescent="0.25">
      <c r="A2412" s="11"/>
    </row>
    <row r="2413" spans="1:1" x14ac:dyDescent="0.25">
      <c r="A2413" s="11"/>
    </row>
    <row r="2414" spans="1:1" x14ac:dyDescent="0.25">
      <c r="A2414" s="11"/>
    </row>
    <row r="2415" spans="1:1" x14ac:dyDescent="0.25">
      <c r="A2415" s="11"/>
    </row>
    <row r="2416" spans="1:1" x14ac:dyDescent="0.25">
      <c r="A2416" s="11"/>
    </row>
    <row r="2417" spans="1:1" x14ac:dyDescent="0.25">
      <c r="A2417" s="11"/>
    </row>
    <row r="2418" spans="1:1" x14ac:dyDescent="0.25">
      <c r="A2418" s="11"/>
    </row>
    <row r="2419" spans="1:1" x14ac:dyDescent="0.25">
      <c r="A2419" s="11"/>
    </row>
    <row r="2420" spans="1:1" x14ac:dyDescent="0.25">
      <c r="A2420" s="11"/>
    </row>
    <row r="2421" spans="1:1" x14ac:dyDescent="0.25">
      <c r="A2421" s="11"/>
    </row>
    <row r="2422" spans="1:1" x14ac:dyDescent="0.25">
      <c r="A2422" s="11"/>
    </row>
    <row r="2423" spans="1:1" x14ac:dyDescent="0.25">
      <c r="A2423" s="11"/>
    </row>
    <row r="2424" spans="1:1" x14ac:dyDescent="0.25">
      <c r="A2424" s="11"/>
    </row>
    <row r="2425" spans="1:1" x14ac:dyDescent="0.25">
      <c r="A2425" s="11"/>
    </row>
    <row r="2426" spans="1:1" x14ac:dyDescent="0.25">
      <c r="A2426" s="11"/>
    </row>
    <row r="2427" spans="1:1" x14ac:dyDescent="0.25">
      <c r="A2427" s="11"/>
    </row>
    <row r="2428" spans="1:1" x14ac:dyDescent="0.25">
      <c r="A2428" s="11"/>
    </row>
    <row r="2429" spans="1:1" x14ac:dyDescent="0.25">
      <c r="A2429" s="11"/>
    </row>
    <row r="2430" spans="1:1" x14ac:dyDescent="0.25">
      <c r="A2430" s="11"/>
    </row>
    <row r="2431" spans="1:1" x14ac:dyDescent="0.25">
      <c r="A2431" s="11"/>
    </row>
    <row r="2432" spans="1:1" x14ac:dyDescent="0.25">
      <c r="A2432" s="11"/>
    </row>
    <row r="2433" spans="1:1" x14ac:dyDescent="0.25">
      <c r="A2433" s="11"/>
    </row>
    <row r="2434" spans="1:1" x14ac:dyDescent="0.25">
      <c r="A2434" s="11"/>
    </row>
    <row r="2435" spans="1:1" x14ac:dyDescent="0.25">
      <c r="A2435" s="11"/>
    </row>
    <row r="2436" spans="1:1" x14ac:dyDescent="0.25">
      <c r="A2436" s="11"/>
    </row>
    <row r="2437" spans="1:1" x14ac:dyDescent="0.25">
      <c r="A2437" s="11"/>
    </row>
    <row r="2438" spans="1:1" x14ac:dyDescent="0.25">
      <c r="A2438" s="11"/>
    </row>
    <row r="2439" spans="1:1" x14ac:dyDescent="0.25">
      <c r="A2439" s="11"/>
    </row>
    <row r="2440" spans="1:1" x14ac:dyDescent="0.25">
      <c r="A2440" s="11"/>
    </row>
    <row r="2441" spans="1:1" x14ac:dyDescent="0.25">
      <c r="A2441" s="11"/>
    </row>
    <row r="2442" spans="1:1" x14ac:dyDescent="0.25">
      <c r="A2442" s="11"/>
    </row>
    <row r="2443" spans="1:1" x14ac:dyDescent="0.25">
      <c r="A2443" s="11"/>
    </row>
    <row r="2444" spans="1:1" x14ac:dyDescent="0.25">
      <c r="A2444" s="11"/>
    </row>
    <row r="2445" spans="1:1" x14ac:dyDescent="0.25">
      <c r="A2445" s="11"/>
    </row>
    <row r="2446" spans="1:1" x14ac:dyDescent="0.25">
      <c r="A2446" s="11"/>
    </row>
    <row r="2447" spans="1:1" x14ac:dyDescent="0.25">
      <c r="A2447" s="11"/>
    </row>
    <row r="2448" spans="1:1" x14ac:dyDescent="0.25">
      <c r="A2448" s="11"/>
    </row>
    <row r="2449" spans="1:1" x14ac:dyDescent="0.25">
      <c r="A2449" s="11"/>
    </row>
    <row r="2450" spans="1:1" x14ac:dyDescent="0.25">
      <c r="A2450" s="11"/>
    </row>
    <row r="2451" spans="1:1" x14ac:dyDescent="0.25">
      <c r="A2451" s="11"/>
    </row>
    <row r="2452" spans="1:1" x14ac:dyDescent="0.25">
      <c r="A2452" s="11"/>
    </row>
    <row r="2453" spans="1:1" x14ac:dyDescent="0.25">
      <c r="A2453" s="11"/>
    </row>
    <row r="2454" spans="1:1" x14ac:dyDescent="0.25">
      <c r="A2454" s="11"/>
    </row>
    <row r="2455" spans="1:1" x14ac:dyDescent="0.25">
      <c r="A2455" s="11"/>
    </row>
    <row r="2456" spans="1:1" x14ac:dyDescent="0.25">
      <c r="A2456" s="11"/>
    </row>
    <row r="2457" spans="1:1" x14ac:dyDescent="0.25">
      <c r="A2457" s="11"/>
    </row>
    <row r="2458" spans="1:1" x14ac:dyDescent="0.25">
      <c r="A2458" s="11"/>
    </row>
    <row r="2459" spans="1:1" x14ac:dyDescent="0.25">
      <c r="A2459" s="11"/>
    </row>
    <row r="2460" spans="1:1" x14ac:dyDescent="0.25">
      <c r="A2460" s="11"/>
    </row>
    <row r="2461" spans="1:1" x14ac:dyDescent="0.25">
      <c r="A2461" s="11"/>
    </row>
    <row r="2462" spans="1:1" x14ac:dyDescent="0.25">
      <c r="A2462" s="11"/>
    </row>
    <row r="2463" spans="1:1" x14ac:dyDescent="0.25">
      <c r="A2463" s="11"/>
    </row>
    <row r="2464" spans="1:1" x14ac:dyDescent="0.25">
      <c r="A2464" s="11"/>
    </row>
    <row r="2465" spans="1:1" x14ac:dyDescent="0.25">
      <c r="A2465" s="11"/>
    </row>
    <row r="2466" spans="1:1" x14ac:dyDescent="0.25">
      <c r="A2466" s="11"/>
    </row>
    <row r="2467" spans="1:1" x14ac:dyDescent="0.25">
      <c r="A2467" s="11"/>
    </row>
    <row r="2468" spans="1:1" x14ac:dyDescent="0.25">
      <c r="A2468" s="11"/>
    </row>
    <row r="2469" spans="1:1" x14ac:dyDescent="0.25">
      <c r="A2469" s="11"/>
    </row>
    <row r="2470" spans="1:1" x14ac:dyDescent="0.25">
      <c r="A2470" s="11"/>
    </row>
    <row r="2471" spans="1:1" x14ac:dyDescent="0.25">
      <c r="A2471" s="11"/>
    </row>
    <row r="2472" spans="1:1" x14ac:dyDescent="0.25">
      <c r="A2472" s="11"/>
    </row>
    <row r="2473" spans="1:1" x14ac:dyDescent="0.25">
      <c r="A2473" s="11"/>
    </row>
    <row r="2474" spans="1:1" x14ac:dyDescent="0.25">
      <c r="A2474" s="11"/>
    </row>
    <row r="2475" spans="1:1" x14ac:dyDescent="0.25">
      <c r="A2475" s="11"/>
    </row>
    <row r="2476" spans="1:1" x14ac:dyDescent="0.25">
      <c r="A2476" s="11"/>
    </row>
    <row r="2477" spans="1:1" x14ac:dyDescent="0.25">
      <c r="A2477" s="11"/>
    </row>
    <row r="2478" spans="1:1" x14ac:dyDescent="0.25">
      <c r="A2478" s="11"/>
    </row>
    <row r="2479" spans="1:1" x14ac:dyDescent="0.25">
      <c r="A2479" s="11"/>
    </row>
    <row r="2480" spans="1:1" x14ac:dyDescent="0.25">
      <c r="A2480" s="11"/>
    </row>
    <row r="2481" spans="1:1" x14ac:dyDescent="0.25">
      <c r="A2481" s="11"/>
    </row>
    <row r="2482" spans="1:1" x14ac:dyDescent="0.25">
      <c r="A2482" s="11"/>
    </row>
    <row r="2483" spans="1:1" x14ac:dyDescent="0.25">
      <c r="A2483" s="11"/>
    </row>
    <row r="2484" spans="1:1" x14ac:dyDescent="0.25">
      <c r="A2484" s="11"/>
    </row>
    <row r="2485" spans="1:1" x14ac:dyDescent="0.25">
      <c r="A2485" s="11"/>
    </row>
    <row r="2486" spans="1:1" x14ac:dyDescent="0.25">
      <c r="A2486" s="11"/>
    </row>
    <row r="2487" spans="1:1" x14ac:dyDescent="0.25">
      <c r="A2487" s="11"/>
    </row>
    <row r="2488" spans="1:1" x14ac:dyDescent="0.25">
      <c r="A2488" s="11"/>
    </row>
    <row r="2489" spans="1:1" x14ac:dyDescent="0.25">
      <c r="A2489" s="11"/>
    </row>
    <row r="2490" spans="1:1" x14ac:dyDescent="0.25">
      <c r="A2490" s="11"/>
    </row>
    <row r="2491" spans="1:1" x14ac:dyDescent="0.25">
      <c r="A2491" s="11"/>
    </row>
    <row r="2492" spans="1:1" x14ac:dyDescent="0.25">
      <c r="A2492" s="11"/>
    </row>
    <row r="2493" spans="1:1" x14ac:dyDescent="0.25">
      <c r="A2493" s="11"/>
    </row>
    <row r="2494" spans="1:1" x14ac:dyDescent="0.25">
      <c r="A2494" s="11"/>
    </row>
    <row r="2495" spans="1:1" x14ac:dyDescent="0.25">
      <c r="A2495" s="11"/>
    </row>
    <row r="2496" spans="1:1" x14ac:dyDescent="0.25">
      <c r="A2496" s="11"/>
    </row>
    <row r="2497" spans="1:1" x14ac:dyDescent="0.25">
      <c r="A2497" s="11"/>
    </row>
    <row r="2498" spans="1:1" x14ac:dyDescent="0.25">
      <c r="A2498" s="11"/>
    </row>
    <row r="2499" spans="1:1" x14ac:dyDescent="0.25">
      <c r="A2499" s="11"/>
    </row>
    <row r="2500" spans="1:1" x14ac:dyDescent="0.25">
      <c r="A2500" s="11"/>
    </row>
    <row r="2501" spans="1:1" x14ac:dyDescent="0.25">
      <c r="A2501" s="11"/>
    </row>
    <row r="2502" spans="1:1" x14ac:dyDescent="0.25">
      <c r="A2502" s="11"/>
    </row>
    <row r="2503" spans="1:1" x14ac:dyDescent="0.25">
      <c r="A2503" s="11"/>
    </row>
    <row r="2504" spans="1:1" x14ac:dyDescent="0.25">
      <c r="A2504" s="11"/>
    </row>
    <row r="2505" spans="1:1" x14ac:dyDescent="0.25">
      <c r="A2505" s="11"/>
    </row>
    <row r="2506" spans="1:1" x14ac:dyDescent="0.25">
      <c r="A2506" s="11"/>
    </row>
    <row r="2507" spans="1:1" x14ac:dyDescent="0.25">
      <c r="A2507" s="11"/>
    </row>
    <row r="2508" spans="1:1" x14ac:dyDescent="0.25">
      <c r="A2508" s="11"/>
    </row>
    <row r="2509" spans="1:1" x14ac:dyDescent="0.25">
      <c r="A2509" s="11"/>
    </row>
    <row r="2510" spans="1:1" x14ac:dyDescent="0.25">
      <c r="A2510" s="11"/>
    </row>
    <row r="2511" spans="1:1" x14ac:dyDescent="0.25">
      <c r="A2511" s="11"/>
    </row>
    <row r="2512" spans="1:1" x14ac:dyDescent="0.25">
      <c r="A2512" s="11"/>
    </row>
    <row r="2513" spans="1:1" x14ac:dyDescent="0.25">
      <c r="A2513" s="11"/>
    </row>
    <row r="2514" spans="1:1" x14ac:dyDescent="0.25">
      <c r="A2514" s="11"/>
    </row>
    <row r="2515" spans="1:1" x14ac:dyDescent="0.25">
      <c r="A2515" s="11"/>
    </row>
    <row r="2516" spans="1:1" x14ac:dyDescent="0.25">
      <c r="A2516" s="11"/>
    </row>
    <row r="2517" spans="1:1" x14ac:dyDescent="0.25">
      <c r="A2517" s="11"/>
    </row>
    <row r="2518" spans="1:1" x14ac:dyDescent="0.25">
      <c r="A2518" s="11"/>
    </row>
    <row r="2519" spans="1:1" x14ac:dyDescent="0.25">
      <c r="A2519" s="11"/>
    </row>
    <row r="2520" spans="1:1" x14ac:dyDescent="0.25">
      <c r="A2520" s="11"/>
    </row>
    <row r="2521" spans="1:1" x14ac:dyDescent="0.25">
      <c r="A2521" s="11"/>
    </row>
    <row r="2522" spans="1:1" x14ac:dyDescent="0.25">
      <c r="A2522" s="11"/>
    </row>
    <row r="2523" spans="1:1" x14ac:dyDescent="0.25">
      <c r="A2523" s="11"/>
    </row>
    <row r="2524" spans="1:1" x14ac:dyDescent="0.25">
      <c r="A2524" s="11"/>
    </row>
    <row r="2525" spans="1:1" x14ac:dyDescent="0.25">
      <c r="A2525" s="11"/>
    </row>
    <row r="2526" spans="1:1" x14ac:dyDescent="0.25">
      <c r="A2526" s="11"/>
    </row>
    <row r="2527" spans="1:1" x14ac:dyDescent="0.25">
      <c r="A2527" s="11"/>
    </row>
    <row r="2528" spans="1:1" x14ac:dyDescent="0.25">
      <c r="A2528" s="11"/>
    </row>
    <row r="2529" spans="1:1" x14ac:dyDescent="0.25">
      <c r="A2529" s="11"/>
    </row>
    <row r="2530" spans="1:1" x14ac:dyDescent="0.25">
      <c r="A2530" s="11"/>
    </row>
    <row r="2531" spans="1:1" x14ac:dyDescent="0.25">
      <c r="A2531" s="11"/>
    </row>
    <row r="2532" spans="1:1" x14ac:dyDescent="0.25">
      <c r="A2532" s="11"/>
    </row>
    <row r="2533" spans="1:1" x14ac:dyDescent="0.25">
      <c r="A2533" s="11"/>
    </row>
    <row r="2534" spans="1:1" x14ac:dyDescent="0.25">
      <c r="A2534" s="11"/>
    </row>
    <row r="2535" spans="1:1" x14ac:dyDescent="0.25">
      <c r="A2535" s="11"/>
    </row>
    <row r="2536" spans="1:1" x14ac:dyDescent="0.25">
      <c r="A2536" s="11"/>
    </row>
    <row r="2537" spans="1:1" x14ac:dyDescent="0.25">
      <c r="A2537" s="11"/>
    </row>
    <row r="2538" spans="1:1" x14ac:dyDescent="0.25">
      <c r="A2538" s="11"/>
    </row>
    <row r="2539" spans="1:1" x14ac:dyDescent="0.25">
      <c r="A2539" s="11"/>
    </row>
    <row r="2540" spans="1:1" x14ac:dyDescent="0.25">
      <c r="A2540" s="11"/>
    </row>
    <row r="2541" spans="1:1" x14ac:dyDescent="0.25">
      <c r="A2541" s="11"/>
    </row>
    <row r="2542" spans="1:1" x14ac:dyDescent="0.25">
      <c r="A2542" s="11"/>
    </row>
    <row r="2543" spans="1:1" x14ac:dyDescent="0.25">
      <c r="A2543" s="11"/>
    </row>
    <row r="2544" spans="1:1" x14ac:dyDescent="0.25">
      <c r="A2544" s="11"/>
    </row>
    <row r="2545" spans="1:1" x14ac:dyDescent="0.25">
      <c r="A2545" s="11"/>
    </row>
    <row r="2546" spans="1:1" x14ac:dyDescent="0.25">
      <c r="A2546" s="11"/>
    </row>
    <row r="2547" spans="1:1" x14ac:dyDescent="0.25">
      <c r="A2547" s="11"/>
    </row>
    <row r="2548" spans="1:1" x14ac:dyDescent="0.25">
      <c r="A2548" s="11"/>
    </row>
    <row r="2549" spans="1:1" x14ac:dyDescent="0.25">
      <c r="A2549" s="11"/>
    </row>
    <row r="2550" spans="1:1" x14ac:dyDescent="0.25">
      <c r="A2550" s="11"/>
    </row>
    <row r="2551" spans="1:1" x14ac:dyDescent="0.25">
      <c r="A2551" s="11"/>
    </row>
    <row r="2552" spans="1:1" x14ac:dyDescent="0.25">
      <c r="A2552" s="11"/>
    </row>
    <row r="2553" spans="1:1" x14ac:dyDescent="0.25">
      <c r="A2553" s="11"/>
    </row>
    <row r="2554" spans="1:1" x14ac:dyDescent="0.25">
      <c r="A2554" s="11"/>
    </row>
    <row r="2555" spans="1:1" x14ac:dyDescent="0.25">
      <c r="A2555" s="11"/>
    </row>
    <row r="2556" spans="1:1" x14ac:dyDescent="0.25">
      <c r="A2556" s="11"/>
    </row>
    <row r="2557" spans="1:1" x14ac:dyDescent="0.25">
      <c r="A2557" s="11"/>
    </row>
    <row r="2558" spans="1:1" x14ac:dyDescent="0.25">
      <c r="A2558" s="11"/>
    </row>
    <row r="2559" spans="1:1" x14ac:dyDescent="0.25">
      <c r="A2559" s="11"/>
    </row>
    <row r="2560" spans="1:1" x14ac:dyDescent="0.25">
      <c r="A2560" s="11"/>
    </row>
    <row r="2561" spans="1:1" x14ac:dyDescent="0.25">
      <c r="A2561" s="11"/>
    </row>
    <row r="2562" spans="1:1" x14ac:dyDescent="0.25">
      <c r="A2562" s="11"/>
    </row>
    <row r="2563" spans="1:1" x14ac:dyDescent="0.25">
      <c r="A2563" s="11"/>
    </row>
    <row r="2564" spans="1:1" x14ac:dyDescent="0.25">
      <c r="A2564" s="11"/>
    </row>
    <row r="2565" spans="1:1" x14ac:dyDescent="0.25">
      <c r="A2565" s="11"/>
    </row>
    <row r="2566" spans="1:1" x14ac:dyDescent="0.25">
      <c r="A2566" s="11"/>
    </row>
    <row r="2567" spans="1:1" x14ac:dyDescent="0.25">
      <c r="A2567" s="11"/>
    </row>
    <row r="2568" spans="1:1" x14ac:dyDescent="0.25">
      <c r="A2568" s="11"/>
    </row>
    <row r="2569" spans="1:1" x14ac:dyDescent="0.25">
      <c r="A2569" s="11"/>
    </row>
    <row r="2570" spans="1:1" x14ac:dyDescent="0.25">
      <c r="A2570" s="11"/>
    </row>
    <row r="2571" spans="1:1" x14ac:dyDescent="0.25">
      <c r="A2571" s="11"/>
    </row>
    <row r="2572" spans="1:1" x14ac:dyDescent="0.25">
      <c r="A2572" s="11"/>
    </row>
    <row r="2573" spans="1:1" x14ac:dyDescent="0.25">
      <c r="A2573" s="11"/>
    </row>
    <row r="2574" spans="1:1" x14ac:dyDescent="0.25">
      <c r="A2574" s="11"/>
    </row>
    <row r="2575" spans="1:1" x14ac:dyDescent="0.25">
      <c r="A2575" s="11"/>
    </row>
    <row r="2576" spans="1:1" x14ac:dyDescent="0.25">
      <c r="A2576" s="11"/>
    </row>
    <row r="2577" spans="1:1" x14ac:dyDescent="0.25">
      <c r="A2577" s="11"/>
    </row>
    <row r="2578" spans="1:1" x14ac:dyDescent="0.25">
      <c r="A2578" s="11"/>
    </row>
    <row r="2579" spans="1:1" x14ac:dyDescent="0.25">
      <c r="A2579" s="11"/>
    </row>
    <row r="2580" spans="1:1" x14ac:dyDescent="0.25">
      <c r="A2580" s="11"/>
    </row>
    <row r="2581" spans="1:1" x14ac:dyDescent="0.25">
      <c r="A2581" s="11"/>
    </row>
    <row r="2582" spans="1:1" x14ac:dyDescent="0.25">
      <c r="A2582" s="11"/>
    </row>
    <row r="2583" spans="1:1" x14ac:dyDescent="0.25">
      <c r="A2583" s="11"/>
    </row>
    <row r="2584" spans="1:1" x14ac:dyDescent="0.25">
      <c r="A2584" s="11"/>
    </row>
    <row r="2585" spans="1:1" x14ac:dyDescent="0.25">
      <c r="A2585" s="11"/>
    </row>
    <row r="2586" spans="1:1" x14ac:dyDescent="0.25">
      <c r="A2586" s="11"/>
    </row>
    <row r="2587" spans="1:1" x14ac:dyDescent="0.25">
      <c r="A2587" s="11"/>
    </row>
    <row r="2588" spans="1:1" x14ac:dyDescent="0.25">
      <c r="A2588" s="11"/>
    </row>
    <row r="2589" spans="1:1" x14ac:dyDescent="0.25">
      <c r="A2589" s="11"/>
    </row>
    <row r="2590" spans="1:1" x14ac:dyDescent="0.25">
      <c r="A2590" s="11"/>
    </row>
    <row r="2591" spans="1:1" x14ac:dyDescent="0.25">
      <c r="A2591" s="11"/>
    </row>
    <row r="2592" spans="1:1" x14ac:dyDescent="0.25">
      <c r="A2592" s="11"/>
    </row>
    <row r="2593" spans="1:1" x14ac:dyDescent="0.25">
      <c r="A2593" s="11"/>
    </row>
    <row r="2594" spans="1:1" x14ac:dyDescent="0.25">
      <c r="A2594" s="11"/>
    </row>
    <row r="2595" spans="1:1" x14ac:dyDescent="0.25">
      <c r="A2595" s="11"/>
    </row>
    <row r="2596" spans="1:1" x14ac:dyDescent="0.25">
      <c r="A2596" s="11"/>
    </row>
    <row r="2597" spans="1:1" x14ac:dyDescent="0.25">
      <c r="A2597" s="11"/>
    </row>
    <row r="2598" spans="1:1" x14ac:dyDescent="0.25">
      <c r="A2598" s="11"/>
    </row>
    <row r="2599" spans="1:1" x14ac:dyDescent="0.25">
      <c r="A2599" s="11"/>
    </row>
    <row r="2600" spans="1:1" x14ac:dyDescent="0.25">
      <c r="A2600" s="11"/>
    </row>
    <row r="2601" spans="1:1" x14ac:dyDescent="0.25">
      <c r="A2601" s="11"/>
    </row>
    <row r="2602" spans="1:1" x14ac:dyDescent="0.25">
      <c r="A2602" s="11"/>
    </row>
    <row r="2603" spans="1:1" x14ac:dyDescent="0.25">
      <c r="A2603" s="11"/>
    </row>
    <row r="2604" spans="1:1" x14ac:dyDescent="0.25">
      <c r="A2604" s="11"/>
    </row>
    <row r="2605" spans="1:1" x14ac:dyDescent="0.25">
      <c r="A2605" s="11"/>
    </row>
    <row r="2606" spans="1:1" x14ac:dyDescent="0.25">
      <c r="A2606" s="11"/>
    </row>
    <row r="2607" spans="1:1" x14ac:dyDescent="0.25">
      <c r="A2607" s="11"/>
    </row>
    <row r="2608" spans="1:1" x14ac:dyDescent="0.25">
      <c r="A2608" s="11"/>
    </row>
    <row r="2609" spans="1:1" x14ac:dyDescent="0.25">
      <c r="A2609" s="11"/>
    </row>
    <row r="2610" spans="1:1" x14ac:dyDescent="0.25">
      <c r="A2610" s="11"/>
    </row>
    <row r="2611" spans="1:1" x14ac:dyDescent="0.25">
      <c r="A2611" s="11"/>
    </row>
    <row r="2612" spans="1:1" x14ac:dyDescent="0.25">
      <c r="A2612" s="11"/>
    </row>
    <row r="2613" spans="1:1" x14ac:dyDescent="0.25">
      <c r="A2613" s="11"/>
    </row>
    <row r="2614" spans="1:1" x14ac:dyDescent="0.25">
      <c r="A2614" s="11"/>
    </row>
    <row r="2615" spans="1:1" x14ac:dyDescent="0.25">
      <c r="A2615" s="11"/>
    </row>
    <row r="2616" spans="1:1" x14ac:dyDescent="0.25">
      <c r="A2616" s="11"/>
    </row>
    <row r="2617" spans="1:1" x14ac:dyDescent="0.25">
      <c r="A2617" s="11"/>
    </row>
    <row r="2618" spans="1:1" x14ac:dyDescent="0.25">
      <c r="A2618" s="11"/>
    </row>
    <row r="2619" spans="1:1" x14ac:dyDescent="0.25">
      <c r="A2619" s="11"/>
    </row>
    <row r="2620" spans="1:1" x14ac:dyDescent="0.25">
      <c r="A2620" s="11"/>
    </row>
    <row r="2621" spans="1:1" x14ac:dyDescent="0.25">
      <c r="A2621" s="11"/>
    </row>
    <row r="2622" spans="1:1" x14ac:dyDescent="0.25">
      <c r="A2622" s="11"/>
    </row>
    <row r="2623" spans="1:1" x14ac:dyDescent="0.25">
      <c r="A2623" s="11"/>
    </row>
    <row r="2624" spans="1:1" x14ac:dyDescent="0.25">
      <c r="A2624" s="11"/>
    </row>
    <row r="2625" spans="1:1" x14ac:dyDescent="0.25">
      <c r="A2625" s="11"/>
    </row>
    <row r="2626" spans="1:1" x14ac:dyDescent="0.25">
      <c r="A2626" s="11"/>
    </row>
    <row r="2627" spans="1:1" x14ac:dyDescent="0.25">
      <c r="A2627" s="11"/>
    </row>
    <row r="2628" spans="1:1" x14ac:dyDescent="0.25">
      <c r="A2628" s="11"/>
    </row>
    <row r="2629" spans="1:1" x14ac:dyDescent="0.25">
      <c r="A2629" s="11"/>
    </row>
    <row r="2630" spans="1:1" x14ac:dyDescent="0.25">
      <c r="A2630" s="11"/>
    </row>
  </sheetData>
  <dataConsolidate/>
  <mergeCells count="6">
    <mergeCell ref="B1:C1"/>
    <mergeCell ref="S7:S9"/>
    <mergeCell ref="L1:M1"/>
    <mergeCell ref="S1:T1"/>
    <mergeCell ref="O1:P1"/>
    <mergeCell ref="E1:J1"/>
  </mergeCells>
  <pageMargins left="0.25" right="0.25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00000000-0002-0000-0100-000000000000}">
          <x14:formula1>
            <xm:f>Appoggio!$C$2:$C$100</xm:f>
          </x14:formula1>
          <xm:sqref>C4</xm:sqref>
        </x14:dataValidation>
        <x14:dataValidation type="list" allowBlank="1" showInputMessage="1" showErrorMessage="1" xr:uid="{00000000-0002-0000-0100-000001000000}">
          <x14:formula1>
            <xm:f>Appoggio!$E$2:$E$3</xm:f>
          </x14:formula1>
          <xm:sqref>C5</xm:sqref>
        </x14:dataValidation>
        <x14:dataValidation type="list" allowBlank="1" showInputMessage="1" showErrorMessage="1" xr:uid="{00000000-0002-0000-0100-000002000000}">
          <x14:formula1>
            <xm:f>Appoggio!$F$2:$F$3</xm:f>
          </x14:formula1>
          <xm:sqref>T10 T6</xm:sqref>
        </x14:dataValidation>
        <x14:dataValidation type="list" allowBlank="1" showInputMessage="1" showErrorMessage="1" xr:uid="{00000000-0002-0000-0100-000003000000}">
          <x14:formula1>
            <xm:f>Appoggio!$I$2:$I$3</xm:f>
          </x14:formula1>
          <xm:sqref>T4</xm:sqref>
        </x14:dataValidation>
        <x14:dataValidation type="list" allowBlank="1" showInputMessage="1" showErrorMessage="1" xr:uid="{00000000-0002-0000-0100-000004000000}">
          <x14:formula1>
            <xm:f>Appoggio!$K$2:$K$5</xm:f>
          </x14:formula1>
          <xm:sqref>C15</xm:sqref>
        </x14:dataValidation>
        <x14:dataValidation type="list" allowBlank="1" showInputMessage="1" showErrorMessage="1" xr:uid="{00000000-0002-0000-0100-000005000000}">
          <x14:formula1>
            <xm:f>Appoggio!$G$2:$G$100</xm:f>
          </x14:formula1>
          <xm:sqref>C14</xm:sqref>
        </x14:dataValidation>
        <x14:dataValidation type="list" allowBlank="1" showInputMessage="1" showErrorMessage="1" xr:uid="{00000000-0002-0000-0100-000006000000}">
          <x14:formula1>
            <xm:f>Appoggio!$P$2:$P$15</xm:f>
          </x14:formula1>
          <xm:sqref>J3</xm:sqref>
        </x14:dataValidation>
        <x14:dataValidation type="list" allowBlank="1" showInputMessage="1" showErrorMessage="1" xr:uid="{00000000-0002-0000-0100-000007000000}">
          <x14:formula1>
            <xm:f>Appoggio!$A$2:$A$5</xm:f>
          </x14:formula1>
          <xm:sqref>T5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14">
    <tabColor theme="3" tint="-0.499984740745262"/>
  </sheetPr>
  <dimension ref="A1:S53"/>
  <sheetViews>
    <sheetView tabSelected="1" zoomScaleNormal="100" workbookViewId="0">
      <selection activeCell="S22" sqref="S22"/>
    </sheetView>
  </sheetViews>
  <sheetFormatPr defaultColWidth="9.125" defaultRowHeight="10.9" x14ac:dyDescent="0.25"/>
  <cols>
    <col min="1" max="9" width="9.125" style="6"/>
    <col min="10" max="10" width="13" style="6" customWidth="1"/>
    <col min="11" max="11" width="7.25" style="6" bestFit="1" customWidth="1"/>
    <col min="12" max="13" width="6.75" style="6" bestFit="1" customWidth="1"/>
    <col min="14" max="14" width="9.125" style="6"/>
    <col min="15" max="15" width="12.625" style="6" customWidth="1"/>
    <col min="16" max="19" width="9.125" style="6"/>
    <col min="20" max="20" width="9.125" style="6" customWidth="1"/>
    <col min="21" max="16384" width="9.125" style="6"/>
  </cols>
  <sheetData>
    <row r="1" spans="1:19" x14ac:dyDescent="0.25">
      <c r="A1" s="99"/>
    </row>
    <row r="2" spans="1:19" ht="11.55" thickBot="1" x14ac:dyDescent="0.3">
      <c r="B2" s="40" t="s">
        <v>61</v>
      </c>
      <c r="J2" s="7" t="s">
        <v>198</v>
      </c>
      <c r="K2" s="6" t="s">
        <v>341</v>
      </c>
    </row>
    <row r="3" spans="1:19" ht="11.25" customHeight="1" x14ac:dyDescent="0.25">
      <c r="B3" s="41"/>
      <c r="C3" s="42"/>
      <c r="D3" s="42"/>
      <c r="E3" s="43"/>
      <c r="G3" s="109" t="s">
        <v>40</v>
      </c>
      <c r="H3" s="110"/>
      <c r="J3" s="109" t="s">
        <v>41</v>
      </c>
      <c r="K3" s="110"/>
      <c r="L3" s="110"/>
      <c r="M3" s="110"/>
    </row>
    <row r="4" spans="1:19" x14ac:dyDescent="0.25">
      <c r="B4" s="44"/>
      <c r="E4" s="45"/>
      <c r="G4" s="18" t="s">
        <v>33</v>
      </c>
      <c r="H4" s="19">
        <v>0.2297347943089359</v>
      </c>
      <c r="J4" s="18" t="s">
        <v>42</v>
      </c>
      <c r="K4" s="18" t="str">
        <f>IF('PRODUCT INFO'!$C$3&lt;=1,"RHP","1Y")</f>
        <v>1Y</v>
      </c>
      <c r="L4" s="18" t="str">
        <f>IF(AND('PRODUCT INFO'!$C$3&lt;3,'PRODUCT INFO'!$C$3&gt;1),"RHP",IF('PRODUCT INFO'!$C$3&lt;=2,"",CONCATENATE(CEILING(('PRODUCT INFO'!$C$3-0.001)/2,1),"Y")))</f>
        <v>3Y</v>
      </c>
      <c r="M4" s="18" t="str">
        <f>IF('PRODUCT INFO'!$C$3&gt;=3,"RHP","")</f>
        <v>RHP</v>
      </c>
    </row>
    <row r="5" spans="1:19" x14ac:dyDescent="0.25">
      <c r="B5" s="44"/>
      <c r="E5" s="45"/>
      <c r="G5" s="18" t="s">
        <v>34</v>
      </c>
      <c r="H5" s="20">
        <v>5</v>
      </c>
      <c r="J5" s="18" t="s">
        <v>158</v>
      </c>
      <c r="K5" s="97">
        <v>2464.9353785421117</v>
      </c>
      <c r="L5" s="97">
        <v>3786.6760030123405</v>
      </c>
      <c r="M5" s="97">
        <v>2174.2488612861048</v>
      </c>
    </row>
    <row r="6" spans="1:19" x14ac:dyDescent="0.25">
      <c r="B6" s="44"/>
      <c r="E6" s="45"/>
      <c r="G6" s="18" t="s">
        <v>35</v>
      </c>
      <c r="H6" s="20">
        <v>3</v>
      </c>
      <c r="J6" s="22"/>
      <c r="K6" s="63">
        <v>-0.75350647660748638</v>
      </c>
      <c r="L6" s="63">
        <v>-0.27631820201583157</v>
      </c>
      <c r="M6" s="63">
        <v>-0.22437408103585943</v>
      </c>
    </row>
    <row r="7" spans="1:19" x14ac:dyDescent="0.25">
      <c r="B7" s="44"/>
      <c r="E7" s="45"/>
      <c r="G7" s="18" t="s">
        <v>32</v>
      </c>
      <c r="H7" s="21">
        <v>5</v>
      </c>
      <c r="J7" s="55" t="s">
        <v>159</v>
      </c>
      <c r="K7" s="97">
        <v>9211.7458101896846</v>
      </c>
      <c r="L7" s="97">
        <v>8610.8576764513418</v>
      </c>
      <c r="M7" s="97">
        <v>6810.4165209471003</v>
      </c>
    </row>
    <row r="8" spans="1:19" x14ac:dyDescent="0.25">
      <c r="B8" s="44"/>
      <c r="E8" s="45"/>
      <c r="J8" s="54"/>
      <c r="K8" s="63">
        <v>-7.8825795959557396E-2</v>
      </c>
      <c r="L8" s="63">
        <v>-4.8588145438683707E-2</v>
      </c>
      <c r="M8" s="63">
        <v>-6.1960893956907195E-2</v>
      </c>
    </row>
    <row r="9" spans="1:19" x14ac:dyDescent="0.25">
      <c r="B9" s="44"/>
      <c r="E9" s="45"/>
      <c r="J9" s="55" t="s">
        <v>160</v>
      </c>
      <c r="K9" s="97">
        <v>10357.51969592179</v>
      </c>
      <c r="L9" s="97">
        <v>11229.328877025049</v>
      </c>
      <c r="M9" s="97">
        <v>12319.913668385347</v>
      </c>
    </row>
    <row r="10" spans="1:19" x14ac:dyDescent="0.25">
      <c r="B10" s="44"/>
      <c r="E10" s="45"/>
      <c r="G10" s="11"/>
      <c r="H10" s="11"/>
      <c r="J10" s="54"/>
      <c r="K10" s="63">
        <v>3.5751969586846691E-2</v>
      </c>
      <c r="L10" s="63">
        <v>3.9367861260411897E-2</v>
      </c>
      <c r="M10" s="63">
        <v>3.535074026476738E-2</v>
      </c>
    </row>
    <row r="11" spans="1:19" x14ac:dyDescent="0.25">
      <c r="B11" s="44"/>
      <c r="E11" s="45"/>
      <c r="H11" s="96"/>
      <c r="J11" s="55" t="s">
        <v>161</v>
      </c>
      <c r="K11" s="97">
        <v>10966.855307569553</v>
      </c>
      <c r="L11" s="97">
        <v>11653.109269050065</v>
      </c>
      <c r="M11" s="97">
        <v>12420.812609099508</v>
      </c>
      <c r="S11" s="66"/>
    </row>
    <row r="12" spans="1:19" x14ac:dyDescent="0.25">
      <c r="B12" s="44"/>
      <c r="E12" s="45"/>
      <c r="J12" s="22"/>
      <c r="K12" s="63">
        <v>9.6685530731254271E-2</v>
      </c>
      <c r="L12" s="63">
        <v>5.2269691357012246E-2</v>
      </c>
      <c r="M12" s="63">
        <v>3.6757893162747864E-2</v>
      </c>
    </row>
    <row r="13" spans="1:19" x14ac:dyDescent="0.25">
      <c r="B13" s="44"/>
      <c r="E13" s="45"/>
    </row>
    <row r="14" spans="1:19" ht="11.25" customHeight="1" x14ac:dyDescent="0.25">
      <c r="B14" s="44"/>
      <c r="E14" s="45"/>
    </row>
    <row r="15" spans="1:19" ht="12.1" customHeight="1" thickBot="1" x14ac:dyDescent="0.3">
      <c r="B15" s="46"/>
      <c r="C15" s="47"/>
      <c r="D15" s="47"/>
      <c r="E15" s="48"/>
      <c r="J15" s="109" t="s">
        <v>162</v>
      </c>
      <c r="K15" s="110"/>
      <c r="L15" s="110"/>
      <c r="M15" s="110"/>
    </row>
    <row r="16" spans="1:19" x14ac:dyDescent="0.25">
      <c r="J16" s="18" t="s">
        <v>163</v>
      </c>
      <c r="K16" s="18" t="str">
        <f>K4</f>
        <v>1Y</v>
      </c>
      <c r="L16" s="18" t="str">
        <f>L4</f>
        <v>3Y</v>
      </c>
      <c r="M16" s="18" t="str">
        <f>M4</f>
        <v>RHP</v>
      </c>
    </row>
    <row r="17" spans="2:13" x14ac:dyDescent="0.25">
      <c r="J17" s="18" t="s">
        <v>154</v>
      </c>
      <c r="K17" s="98">
        <v>932.75000000000011</v>
      </c>
      <c r="L17" s="98">
        <v>912.44444444444457</v>
      </c>
      <c r="M17" s="98">
        <v>832.00000000000011</v>
      </c>
    </row>
    <row r="18" spans="2:13" ht="11.55" thickBot="1" x14ac:dyDescent="0.3">
      <c r="B18" s="40" t="s">
        <v>81</v>
      </c>
      <c r="J18" s="22"/>
      <c r="K18" s="63">
        <v>0.10498425371837068</v>
      </c>
      <c r="L18" s="63">
        <v>3.3053260064903674E-2</v>
      </c>
      <c r="M18" s="63">
        <v>1.5084604030175655E-2</v>
      </c>
    </row>
    <row r="19" spans="2:13" x14ac:dyDescent="0.25">
      <c r="B19" s="41"/>
      <c r="C19" s="42"/>
      <c r="D19" s="42"/>
      <c r="E19" s="43"/>
      <c r="J19" s="18" t="s">
        <v>188</v>
      </c>
      <c r="K19" s="63">
        <v>0.14073622330521737</v>
      </c>
      <c r="L19" s="63">
        <v>7.2421121325315571E-2</v>
      </c>
      <c r="M19" s="63">
        <v>5.0435344294943035E-2</v>
      </c>
    </row>
    <row r="20" spans="2:13" x14ac:dyDescent="0.25">
      <c r="B20" s="44"/>
      <c r="E20" s="45"/>
      <c r="J20" s="18" t="s">
        <v>189</v>
      </c>
      <c r="K20" s="63">
        <v>3.5751969586846691E-2</v>
      </c>
      <c r="L20" s="63">
        <v>3.9367861260411897E-2</v>
      </c>
      <c r="M20" s="63">
        <v>3.535074026476738E-2</v>
      </c>
    </row>
    <row r="21" spans="2:13" ht="11.25" customHeight="1" x14ac:dyDescent="0.25">
      <c r="B21" s="44"/>
      <c r="E21" s="45"/>
    </row>
    <row r="22" spans="2:13" ht="11.25" customHeight="1" x14ac:dyDescent="0.25">
      <c r="B22" s="44"/>
      <c r="E22" s="45"/>
    </row>
    <row r="23" spans="2:13" x14ac:dyDescent="0.25">
      <c r="B23" s="44"/>
      <c r="E23" s="45"/>
    </row>
    <row r="24" spans="2:13" ht="12.1" customHeight="1" x14ac:dyDescent="0.25">
      <c r="B24" s="44"/>
      <c r="E24" s="45"/>
    </row>
    <row r="25" spans="2:13" ht="11.25" customHeight="1" x14ac:dyDescent="0.25">
      <c r="B25" s="44"/>
      <c r="E25" s="45"/>
    </row>
    <row r="26" spans="2:13" ht="11.25" customHeight="1" x14ac:dyDescent="0.25">
      <c r="B26" s="44"/>
      <c r="E26" s="45"/>
    </row>
    <row r="27" spans="2:13" ht="12.1" customHeight="1" thickBot="1" x14ac:dyDescent="0.3">
      <c r="B27" s="46"/>
      <c r="C27" s="47"/>
      <c r="D27" s="47"/>
      <c r="E27" s="48"/>
    </row>
    <row r="30" spans="2:13" ht="11.55" thickBot="1" x14ac:dyDescent="0.3">
      <c r="B30" s="40" t="s">
        <v>62</v>
      </c>
    </row>
    <row r="31" spans="2:13" x14ac:dyDescent="0.25">
      <c r="B31" s="41"/>
      <c r="C31" s="42"/>
      <c r="D31" s="42"/>
      <c r="E31" s="43"/>
    </row>
    <row r="32" spans="2:13" x14ac:dyDescent="0.25">
      <c r="B32" s="44"/>
      <c r="E32" s="45"/>
    </row>
    <row r="33" spans="2:5" ht="11.25" customHeight="1" x14ac:dyDescent="0.25">
      <c r="B33" s="44"/>
      <c r="E33" s="45"/>
    </row>
    <row r="34" spans="2:5" ht="11.25" customHeight="1" x14ac:dyDescent="0.25">
      <c r="B34" s="44"/>
      <c r="E34" s="45"/>
    </row>
    <row r="35" spans="2:5" x14ac:dyDescent="0.25">
      <c r="B35" s="44"/>
      <c r="E35" s="45"/>
    </row>
    <row r="36" spans="2:5" ht="12.1" customHeight="1" x14ac:dyDescent="0.25">
      <c r="B36" s="44"/>
      <c r="E36" s="45"/>
    </row>
    <row r="37" spans="2:5" ht="11.25" customHeight="1" x14ac:dyDescent="0.25">
      <c r="B37" s="44"/>
      <c r="E37" s="45"/>
    </row>
    <row r="38" spans="2:5" ht="11.25" customHeight="1" x14ac:dyDescent="0.25">
      <c r="B38" s="44"/>
      <c r="E38" s="45"/>
    </row>
    <row r="39" spans="2:5" ht="12.1" customHeight="1" thickBot="1" x14ac:dyDescent="0.3">
      <c r="B39" s="46"/>
      <c r="C39" s="47"/>
      <c r="D39" s="47"/>
      <c r="E39" s="48"/>
    </row>
    <row r="41" spans="2:5" ht="11.25" customHeight="1" x14ac:dyDescent="0.25"/>
    <row r="42" spans="2:5" ht="11.55" thickBot="1" x14ac:dyDescent="0.3">
      <c r="B42" s="40" t="s">
        <v>63</v>
      </c>
    </row>
    <row r="43" spans="2:5" x14ac:dyDescent="0.25">
      <c r="B43" s="41"/>
      <c r="C43" s="42"/>
      <c r="D43" s="42"/>
      <c r="E43" s="43"/>
    </row>
    <row r="44" spans="2:5" x14ac:dyDescent="0.25">
      <c r="B44" s="44"/>
      <c r="E44" s="45"/>
    </row>
    <row r="45" spans="2:5" x14ac:dyDescent="0.25">
      <c r="B45" s="44"/>
      <c r="E45" s="45"/>
    </row>
    <row r="46" spans="2:5" x14ac:dyDescent="0.25">
      <c r="B46" s="44"/>
      <c r="E46" s="45"/>
    </row>
    <row r="47" spans="2:5" x14ac:dyDescent="0.25">
      <c r="B47" s="44"/>
      <c r="E47" s="45"/>
    </row>
    <row r="48" spans="2:5" x14ac:dyDescent="0.25">
      <c r="B48" s="44"/>
      <c r="E48" s="45"/>
    </row>
    <row r="49" spans="2:5" x14ac:dyDescent="0.25">
      <c r="B49" s="44"/>
      <c r="E49" s="45"/>
    </row>
    <row r="50" spans="2:5" x14ac:dyDescent="0.25">
      <c r="B50" s="44"/>
      <c r="E50" s="45"/>
    </row>
    <row r="51" spans="2:5" ht="11.55" thickBot="1" x14ac:dyDescent="0.3">
      <c r="B51" s="46"/>
      <c r="C51" s="47"/>
      <c r="D51" s="47"/>
      <c r="E51" s="48"/>
    </row>
    <row r="53" spans="2:5" ht="11.25" customHeight="1" x14ac:dyDescent="0.25"/>
  </sheetData>
  <mergeCells count="3">
    <mergeCell ref="J3:M3"/>
    <mergeCell ref="G3:H3"/>
    <mergeCell ref="J15:M15"/>
  </mergeCells>
  <pageMargins left="0.25" right="0.25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72" r:id="rId4" name="CommandButton33">
          <controlPr defaultSize="0" autoLine="0" autoPict="0" r:id="rId5">
            <anchor moveWithCells="1">
              <from>
                <xdr:col>2</xdr:col>
                <xdr:colOff>0</xdr:colOff>
                <xdr:row>22</xdr:row>
                <xdr:rowOff>120770</xdr:rowOff>
              </from>
              <to>
                <xdr:col>3</xdr:col>
                <xdr:colOff>560717</xdr:colOff>
                <xdr:row>25</xdr:row>
                <xdr:rowOff>120770</xdr:rowOff>
              </to>
            </anchor>
          </controlPr>
        </control>
      </mc:Choice>
      <mc:Fallback>
        <control shapeId="13372" r:id="rId4" name="CommandButton33"/>
      </mc:Fallback>
    </mc:AlternateContent>
    <mc:AlternateContent xmlns:mc="http://schemas.openxmlformats.org/markup-compatibility/2006">
      <mc:Choice Requires="x14">
        <control shapeId="13371" r:id="rId6" name="CommandButton31">
          <controlPr defaultSize="0" autoLine="0" autoPict="0" r:id="rId7">
            <anchor moveWithCells="1">
              <from>
                <xdr:col>2</xdr:col>
                <xdr:colOff>0</xdr:colOff>
                <xdr:row>6</xdr:row>
                <xdr:rowOff>120770</xdr:rowOff>
              </from>
              <to>
                <xdr:col>3</xdr:col>
                <xdr:colOff>560717</xdr:colOff>
                <xdr:row>10</xdr:row>
                <xdr:rowOff>8626</xdr:rowOff>
              </to>
            </anchor>
          </controlPr>
        </control>
      </mc:Choice>
      <mc:Fallback>
        <control shapeId="13371" r:id="rId6" name="CommandButton31"/>
      </mc:Fallback>
    </mc:AlternateContent>
    <mc:AlternateContent xmlns:mc="http://schemas.openxmlformats.org/markup-compatibility/2006">
      <mc:Choice Requires="x14">
        <control shapeId="13369" r:id="rId8" name="CommandButton35">
          <controlPr defaultSize="0" autoLine="0" autoPict="0" r:id="rId9">
            <anchor moveWithCells="1">
              <from>
                <xdr:col>2</xdr:col>
                <xdr:colOff>0</xdr:colOff>
                <xdr:row>34</xdr:row>
                <xdr:rowOff>120770</xdr:rowOff>
              </from>
              <to>
                <xdr:col>3</xdr:col>
                <xdr:colOff>560717</xdr:colOff>
                <xdr:row>37</xdr:row>
                <xdr:rowOff>120770</xdr:rowOff>
              </to>
            </anchor>
          </controlPr>
        </control>
      </mc:Choice>
      <mc:Fallback>
        <control shapeId="13369" r:id="rId8" name="CommandButton35"/>
      </mc:Fallback>
    </mc:AlternateContent>
    <mc:AlternateContent xmlns:mc="http://schemas.openxmlformats.org/markup-compatibility/2006">
      <mc:Choice Requires="x14">
        <control shapeId="13359" r:id="rId10" name="CommandButton30">
          <controlPr defaultSize="0" autoLine="0" autoPict="0" r:id="rId11">
            <anchor moveWithCells="1">
              <from>
                <xdr:col>2</xdr:col>
                <xdr:colOff>0</xdr:colOff>
                <xdr:row>2</xdr:row>
                <xdr:rowOff>120770</xdr:rowOff>
              </from>
              <to>
                <xdr:col>3</xdr:col>
                <xdr:colOff>560717</xdr:colOff>
                <xdr:row>6</xdr:row>
                <xdr:rowOff>8626</xdr:rowOff>
              </to>
            </anchor>
          </controlPr>
        </control>
      </mc:Choice>
      <mc:Fallback>
        <control shapeId="13359" r:id="rId10" name="CommandButton30"/>
      </mc:Fallback>
    </mc:AlternateContent>
    <mc:AlternateContent xmlns:mc="http://schemas.openxmlformats.org/markup-compatibility/2006">
      <mc:Choice Requires="x14">
        <control shapeId="13358" r:id="rId12" name="CommandButton37">
          <controlPr defaultSize="0" autoLine="0" autoPict="0" r:id="rId13">
            <anchor moveWithCells="1">
              <from>
                <xdr:col>2</xdr:col>
                <xdr:colOff>0</xdr:colOff>
                <xdr:row>46</xdr:row>
                <xdr:rowOff>120770</xdr:rowOff>
              </from>
              <to>
                <xdr:col>3</xdr:col>
                <xdr:colOff>560717</xdr:colOff>
                <xdr:row>50</xdr:row>
                <xdr:rowOff>8626</xdr:rowOff>
              </to>
            </anchor>
          </controlPr>
        </control>
      </mc:Choice>
      <mc:Fallback>
        <control shapeId="13358" r:id="rId12" name="CommandButton37"/>
      </mc:Fallback>
    </mc:AlternateContent>
    <mc:AlternateContent xmlns:mc="http://schemas.openxmlformats.org/markup-compatibility/2006">
      <mc:Choice Requires="x14">
        <control shapeId="13357" r:id="rId14" name="CommandButton36">
          <controlPr defaultSize="0" autoLine="0" autoPict="0" r:id="rId15">
            <anchor moveWithCells="1">
              <from>
                <xdr:col>2</xdr:col>
                <xdr:colOff>0</xdr:colOff>
                <xdr:row>42</xdr:row>
                <xdr:rowOff>120770</xdr:rowOff>
              </from>
              <to>
                <xdr:col>3</xdr:col>
                <xdr:colOff>560717</xdr:colOff>
                <xdr:row>46</xdr:row>
                <xdr:rowOff>8626</xdr:rowOff>
              </to>
            </anchor>
          </controlPr>
        </control>
      </mc:Choice>
      <mc:Fallback>
        <control shapeId="13357" r:id="rId14" name="CommandButton36"/>
      </mc:Fallback>
    </mc:AlternateContent>
    <mc:AlternateContent xmlns:mc="http://schemas.openxmlformats.org/markup-compatibility/2006">
      <mc:Choice Requires="x14">
        <control shapeId="13353" r:id="rId16" name="CommandButton32">
          <controlPr defaultSize="0" autoLine="0" autoPict="0" r:id="rId17">
            <anchor moveWithCells="1">
              <from>
                <xdr:col>2</xdr:col>
                <xdr:colOff>0</xdr:colOff>
                <xdr:row>18</xdr:row>
                <xdr:rowOff>120770</xdr:rowOff>
              </from>
              <to>
                <xdr:col>3</xdr:col>
                <xdr:colOff>560717</xdr:colOff>
                <xdr:row>21</xdr:row>
                <xdr:rowOff>146649</xdr:rowOff>
              </to>
            </anchor>
          </controlPr>
        </control>
      </mc:Choice>
      <mc:Fallback>
        <control shapeId="13353" r:id="rId16" name="CommandButton32"/>
      </mc:Fallback>
    </mc:AlternateContent>
    <mc:AlternateContent xmlns:mc="http://schemas.openxmlformats.org/markup-compatibility/2006">
      <mc:Choice Requires="x14">
        <control shapeId="13355" r:id="rId18" name="CommandButton34">
          <controlPr defaultSize="0" autoLine="0" autoPict="0" r:id="rId19">
            <anchor moveWithCells="1">
              <from>
                <xdr:col>2</xdr:col>
                <xdr:colOff>0</xdr:colOff>
                <xdr:row>30</xdr:row>
                <xdr:rowOff>120770</xdr:rowOff>
              </from>
              <to>
                <xdr:col>3</xdr:col>
                <xdr:colOff>560717</xdr:colOff>
                <xdr:row>33</xdr:row>
                <xdr:rowOff>146649</xdr:rowOff>
              </to>
            </anchor>
          </controlPr>
        </control>
      </mc:Choice>
      <mc:Fallback>
        <control shapeId="13355" r:id="rId18" name="CommandButton34"/>
      </mc:Fallback>
    </mc:AlternateContent>
    <mc:AlternateContent xmlns:mc="http://schemas.openxmlformats.org/markup-compatibility/2006">
      <mc:Choice Requires="x14">
        <control shapeId="13376" r:id="rId20" name="CommandButton38">
          <controlPr defaultSize="0" autoLine="0" autoPict="0" r:id="rId21">
            <anchor moveWithCells="1">
              <from>
                <xdr:col>2</xdr:col>
                <xdr:colOff>0</xdr:colOff>
                <xdr:row>10</xdr:row>
                <xdr:rowOff>120770</xdr:rowOff>
              </from>
              <to>
                <xdr:col>3</xdr:col>
                <xdr:colOff>560717</xdr:colOff>
                <xdr:row>14</xdr:row>
                <xdr:rowOff>8626</xdr:rowOff>
              </to>
            </anchor>
          </controlPr>
        </control>
      </mc:Choice>
      <mc:Fallback>
        <control shapeId="13376" r:id="rId20" name="CommandButton38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2">
    <tabColor theme="8" tint="-0.249977111117893"/>
  </sheetPr>
  <dimension ref="A1:U48"/>
  <sheetViews>
    <sheetView workbookViewId="0">
      <selection activeCell="F46" sqref="F46"/>
    </sheetView>
  </sheetViews>
  <sheetFormatPr defaultColWidth="9.125" defaultRowHeight="10.9" x14ac:dyDescent="0.25"/>
  <cols>
    <col min="1" max="1" width="22" style="67" bestFit="1" customWidth="1"/>
    <col min="2" max="8" width="9.125" style="67"/>
    <col min="9" max="9" width="11.875" style="67" bestFit="1" customWidth="1"/>
    <col min="10" max="16384" width="9.125" style="67"/>
  </cols>
  <sheetData>
    <row r="1" spans="1:21" x14ac:dyDescent="0.25">
      <c r="A1" s="67" t="s">
        <v>168</v>
      </c>
      <c r="I1" s="68"/>
      <c r="J1" s="111" t="s">
        <v>169</v>
      </c>
      <c r="K1" s="112"/>
      <c r="L1" s="112"/>
      <c r="N1" s="113" t="s">
        <v>170</v>
      </c>
      <c r="O1" s="113"/>
      <c r="P1" s="113"/>
      <c r="R1" s="114" t="s">
        <v>171</v>
      </c>
      <c r="S1" s="115"/>
      <c r="T1" s="116"/>
    </row>
    <row r="2" spans="1:21" x14ac:dyDescent="0.25">
      <c r="B2" s="67" t="s">
        <v>172</v>
      </c>
      <c r="C2" s="67" t="s">
        <v>187</v>
      </c>
      <c r="D2" s="67" t="s">
        <v>173</v>
      </c>
      <c r="I2" s="69" t="s">
        <v>42</v>
      </c>
      <c r="J2" s="18" t="s">
        <v>191</v>
      </c>
      <c r="K2" s="18" t="s">
        <v>192</v>
      </c>
      <c r="L2" s="18" t="s">
        <v>173</v>
      </c>
      <c r="N2" s="69" t="str">
        <f>J2</f>
        <v>1Y</v>
      </c>
      <c r="O2" s="69" t="str">
        <f>K2</f>
        <v>2Y</v>
      </c>
      <c r="P2" s="69" t="str">
        <f>L2</f>
        <v>RHP</v>
      </c>
      <c r="R2" s="70" t="str">
        <f>N2</f>
        <v>1Y</v>
      </c>
      <c r="S2" s="70" t="str">
        <f>O2</f>
        <v>2Y</v>
      </c>
      <c r="T2" s="70" t="str">
        <f>P2</f>
        <v>RHP</v>
      </c>
    </row>
    <row r="3" spans="1:21" x14ac:dyDescent="0.25">
      <c r="A3" s="67" t="s">
        <v>174</v>
      </c>
      <c r="E3" s="71" t="e">
        <f>TRIM(MID(B3,4,10))/10</f>
        <v>#VALUE!</v>
      </c>
      <c r="F3" s="71" t="e">
        <f t="shared" ref="F3:G6" si="0">TRIM(MID(C3,4,10))/10</f>
        <v>#VALUE!</v>
      </c>
      <c r="G3" s="71" t="e">
        <f t="shared" si="0"/>
        <v>#VALUE!</v>
      </c>
      <c r="I3" s="69" t="s">
        <v>158</v>
      </c>
      <c r="J3" s="92">
        <v>6213.8390419724728</v>
      </c>
      <c r="K3" s="92">
        <v>5864.8240863491119</v>
      </c>
      <c r="L3" s="92">
        <v>3836.8512664619607</v>
      </c>
      <c r="N3" s="72" t="e">
        <f>E3</f>
        <v>#VALUE!</v>
      </c>
      <c r="O3" s="72" t="e">
        <f>F3</f>
        <v>#VALUE!</v>
      </c>
      <c r="P3" s="72" t="e">
        <f>G3</f>
        <v>#VALUE!</v>
      </c>
      <c r="Q3" s="73"/>
      <c r="R3" s="74" t="e">
        <f>N3/J3-1</f>
        <v>#VALUE!</v>
      </c>
      <c r="S3" s="74" t="e">
        <f>O3/K3-1</f>
        <v>#VALUE!</v>
      </c>
      <c r="T3" s="74" t="e">
        <f>P3/L3-1</f>
        <v>#VALUE!</v>
      </c>
    </row>
    <row r="4" spans="1:21" x14ac:dyDescent="0.25">
      <c r="A4" s="67" t="s">
        <v>175</v>
      </c>
      <c r="E4" s="71" t="e">
        <f t="shared" ref="E4:E6" si="1">TRIM(MID(B4,4,10))/10</f>
        <v>#VALUE!</v>
      </c>
      <c r="F4" s="71" t="e">
        <f t="shared" si="0"/>
        <v>#VALUE!</v>
      </c>
      <c r="G4" s="71" t="e">
        <f t="shared" si="0"/>
        <v>#VALUE!</v>
      </c>
      <c r="I4" s="75"/>
      <c r="J4" s="63">
        <v>-0.37861609591226314</v>
      </c>
      <c r="K4" s="63">
        <v>-0.23417860854813047</v>
      </c>
      <c r="L4" s="63">
        <v>-0.21283654069798302</v>
      </c>
      <c r="N4" s="77"/>
      <c r="O4" s="77"/>
      <c r="P4" s="77"/>
      <c r="R4" s="78" t="e">
        <f>J3-N3</f>
        <v>#VALUE!</v>
      </c>
      <c r="S4" s="78" t="e">
        <f>K3-O3</f>
        <v>#VALUE!</v>
      </c>
      <c r="T4" s="78" t="e">
        <f>L3-P3</f>
        <v>#VALUE!</v>
      </c>
    </row>
    <row r="5" spans="1:21" x14ac:dyDescent="0.25">
      <c r="A5" s="67" t="s">
        <v>176</v>
      </c>
      <c r="E5" s="71" t="e">
        <f t="shared" si="1"/>
        <v>#VALUE!</v>
      </c>
      <c r="F5" s="71" t="e">
        <f t="shared" si="0"/>
        <v>#VALUE!</v>
      </c>
      <c r="G5" s="71" t="e">
        <f t="shared" si="0"/>
        <v>#VALUE!</v>
      </c>
      <c r="I5" s="69" t="s">
        <v>159</v>
      </c>
      <c r="J5" s="92">
        <v>9914.9912897568356</v>
      </c>
      <c r="K5" s="92">
        <v>10014.96964951269</v>
      </c>
      <c r="L5" s="92">
        <v>11612.832770964991</v>
      </c>
      <c r="N5" s="72" t="e">
        <f>E4</f>
        <v>#VALUE!</v>
      </c>
      <c r="O5" s="72" t="e">
        <f>F4</f>
        <v>#VALUE!</v>
      </c>
      <c r="P5" s="72" t="e">
        <f>G4</f>
        <v>#VALUE!</v>
      </c>
      <c r="Q5" s="73"/>
      <c r="R5" s="74" t="e">
        <f>N5/J5-1</f>
        <v>#VALUE!</v>
      </c>
      <c r="S5" s="74" t="e">
        <f>O5/K5-1</f>
        <v>#VALUE!</v>
      </c>
      <c r="T5" s="74" t="e">
        <f>P5/L5-1</f>
        <v>#VALUE!</v>
      </c>
    </row>
    <row r="6" spans="1:21" x14ac:dyDescent="0.25">
      <c r="A6" s="67" t="s">
        <v>177</v>
      </c>
      <c r="E6" s="71" t="e">
        <f t="shared" si="1"/>
        <v>#VALUE!</v>
      </c>
      <c r="F6" s="71" t="e">
        <f t="shared" si="0"/>
        <v>#VALUE!</v>
      </c>
      <c r="G6" s="71" t="e">
        <f t="shared" si="0"/>
        <v>#VALUE!</v>
      </c>
      <c r="I6" s="75"/>
      <c r="J6" s="63">
        <v>-8.5008710258175288E-3</v>
      </c>
      <c r="K6" s="63">
        <v>7.4820254130180677E-4</v>
      </c>
      <c r="L6" s="63">
        <v>3.8062191000994068E-2</v>
      </c>
      <c r="N6" s="77"/>
      <c r="O6" s="77"/>
      <c r="P6" s="77"/>
      <c r="R6" s="78" t="e">
        <f>J5-N5</f>
        <v>#VALUE!</v>
      </c>
      <c r="S6" s="78" t="e">
        <f>K5-O5</f>
        <v>#VALUE!</v>
      </c>
      <c r="T6" s="78" t="e">
        <f>L5-P5</f>
        <v>#VALUE!</v>
      </c>
    </row>
    <row r="7" spans="1:21" x14ac:dyDescent="0.25">
      <c r="I7" s="69" t="s">
        <v>160</v>
      </c>
      <c r="J7" s="92">
        <v>10395.509706929444</v>
      </c>
      <c r="K7" s="92">
        <v>10784.339436255086</v>
      </c>
      <c r="L7" s="92">
        <v>11612.832770964991</v>
      </c>
      <c r="N7" s="72" t="e">
        <f>E5</f>
        <v>#VALUE!</v>
      </c>
      <c r="O7" s="72" t="e">
        <f>F5</f>
        <v>#VALUE!</v>
      </c>
      <c r="P7" s="72" t="e">
        <f>G5</f>
        <v>#VALUE!</v>
      </c>
      <c r="Q7" s="73"/>
      <c r="R7" s="74" t="e">
        <f>N7/J7-1</f>
        <v>#VALUE!</v>
      </c>
      <c r="S7" s="74" t="e">
        <f>O7/K7-1</f>
        <v>#VALUE!</v>
      </c>
      <c r="T7" s="74" t="e">
        <f>P7/L7-1</f>
        <v>#VALUE!</v>
      </c>
    </row>
    <row r="8" spans="1:21" x14ac:dyDescent="0.25">
      <c r="I8" s="75"/>
      <c r="J8" s="63">
        <v>3.9550970687029952E-2</v>
      </c>
      <c r="K8" s="63">
        <v>3.8476741837761647E-2</v>
      </c>
      <c r="L8" s="63">
        <v>3.8062191000994068E-2</v>
      </c>
      <c r="N8" s="77"/>
      <c r="O8" s="77"/>
      <c r="P8" s="77"/>
      <c r="R8" s="78" t="e">
        <f>J7-N7</f>
        <v>#VALUE!</v>
      </c>
      <c r="S8" s="78" t="e">
        <f>K7-O7</f>
        <v>#VALUE!</v>
      </c>
      <c r="T8" s="78" t="e">
        <f>L7-P7</f>
        <v>#VALUE!</v>
      </c>
    </row>
    <row r="9" spans="1:21" x14ac:dyDescent="0.25">
      <c r="I9" s="69" t="s">
        <v>161</v>
      </c>
      <c r="J9" s="92">
        <v>10483.798232475883</v>
      </c>
      <c r="K9" s="92">
        <v>10882.007554805175</v>
      </c>
      <c r="L9" s="92">
        <v>11612.832770964991</v>
      </c>
      <c r="N9" s="72" t="e">
        <f>E6</f>
        <v>#VALUE!</v>
      </c>
      <c r="O9" s="72" t="e">
        <f>F6</f>
        <v>#VALUE!</v>
      </c>
      <c r="P9" s="72" t="e">
        <f>G6</f>
        <v>#VALUE!</v>
      </c>
      <c r="Q9" s="73"/>
      <c r="R9" s="74" t="e">
        <f>N9/J9-1</f>
        <v>#VALUE!</v>
      </c>
      <c r="S9" s="74" t="e">
        <f>O9/K9-1</f>
        <v>#VALUE!</v>
      </c>
      <c r="T9" s="74" t="e">
        <f>P9/L9-1</f>
        <v>#VALUE!</v>
      </c>
    </row>
    <row r="10" spans="1:21" x14ac:dyDescent="0.25">
      <c r="I10" s="75"/>
      <c r="J10" s="63">
        <v>4.8379823240085579E-2</v>
      </c>
      <c r="K10" s="63">
        <v>4.3168612993999829E-2</v>
      </c>
      <c r="L10" s="63">
        <v>3.8062191000994068E-2</v>
      </c>
      <c r="N10" s="77"/>
      <c r="O10" s="77"/>
      <c r="P10" s="77"/>
      <c r="R10" s="78" t="e">
        <f>J9-N9</f>
        <v>#VALUE!</v>
      </c>
      <c r="S10" s="78" t="e">
        <f>K9-O9</f>
        <v>#VALUE!</v>
      </c>
      <c r="T10" s="78" t="e">
        <f>L9-P9</f>
        <v>#VALUE!</v>
      </c>
    </row>
    <row r="12" spans="1:21" x14ac:dyDescent="0.25">
      <c r="B12" s="79"/>
    </row>
    <row r="13" spans="1:21" x14ac:dyDescent="0.25">
      <c r="B13" s="79"/>
      <c r="J13" s="68"/>
      <c r="K13" s="68"/>
      <c r="L13" s="68"/>
    </row>
    <row r="14" spans="1:21" x14ac:dyDescent="0.25">
      <c r="B14" s="67" t="s">
        <v>172</v>
      </c>
      <c r="C14" s="67" t="s">
        <v>187</v>
      </c>
      <c r="D14" s="67" t="s">
        <v>173</v>
      </c>
      <c r="I14" s="69" t="s">
        <v>162</v>
      </c>
      <c r="J14" s="18" t="s">
        <v>191</v>
      </c>
      <c r="K14" s="18" t="s">
        <v>192</v>
      </c>
      <c r="L14" s="18" t="s">
        <v>173</v>
      </c>
      <c r="N14" s="69" t="str">
        <f>N2</f>
        <v>1Y</v>
      </c>
      <c r="O14" s="69" t="str">
        <f>O2</f>
        <v>2Y</v>
      </c>
      <c r="P14" s="69" t="str">
        <f>P2</f>
        <v>RHP</v>
      </c>
      <c r="R14" s="70" t="str">
        <f>R2</f>
        <v>1Y</v>
      </c>
      <c r="S14" s="70" t="str">
        <f>S2</f>
        <v>2Y</v>
      </c>
      <c r="T14" s="70" t="str">
        <f>T2</f>
        <v>RHP</v>
      </c>
    </row>
    <row r="15" spans="1:21" x14ac:dyDescent="0.25">
      <c r="A15" s="67" t="s">
        <v>178</v>
      </c>
      <c r="E15" s="80" t="str">
        <f>TRIM(MID(B15,4,10))</f>
        <v/>
      </c>
      <c r="F15" s="80" t="str">
        <f t="shared" ref="F15:G15" si="2">TRIM(MID(C15,4,10))</f>
        <v/>
      </c>
      <c r="G15" s="80" t="str">
        <f t="shared" si="2"/>
        <v/>
      </c>
      <c r="I15" s="69" t="s">
        <v>154</v>
      </c>
      <c r="J15" s="92">
        <v>356.3</v>
      </c>
      <c r="K15" s="92">
        <v>356.3</v>
      </c>
      <c r="L15" s="92">
        <v>281.3</v>
      </c>
      <c r="N15" s="72" t="str">
        <f>E15</f>
        <v/>
      </c>
      <c r="O15" s="72" t="str">
        <f t="shared" ref="O15" si="3">F15</f>
        <v/>
      </c>
      <c r="P15" s="72" t="str">
        <f>G15</f>
        <v/>
      </c>
      <c r="R15" s="81" t="e">
        <f>IF(ABS(R16) &lt;= 1.5,1,0)</f>
        <v>#VALUE!</v>
      </c>
      <c r="S15" s="81" t="e">
        <f>IF(ABS(S16) &lt;= 1.5,1,0)</f>
        <v>#VALUE!</v>
      </c>
      <c r="T15" s="81" t="e">
        <f>IF(ABS(T16) &lt;= 1.5,1,0)</f>
        <v>#VALUE!</v>
      </c>
      <c r="U15" s="82" t="s">
        <v>179</v>
      </c>
    </row>
    <row r="16" spans="1:21" x14ac:dyDescent="0.25">
      <c r="A16" s="67" t="s">
        <v>180</v>
      </c>
      <c r="B16" s="79"/>
      <c r="C16" s="79"/>
      <c r="D16" s="79"/>
      <c r="J16" s="63">
        <v>3.7806053068691586E-2</v>
      </c>
      <c r="K16" s="63">
        <v>1.8578333681478897E-2</v>
      </c>
      <c r="L16" s="63">
        <v>7.4261312174334765E-3</v>
      </c>
      <c r="R16" s="78" t="e">
        <f>J15-N15</f>
        <v>#VALUE!</v>
      </c>
      <c r="S16" s="78" t="e">
        <f>K15-O15</f>
        <v>#VALUE!</v>
      </c>
      <c r="T16" s="78" t="e">
        <f>L15-P15</f>
        <v>#VALUE!</v>
      </c>
    </row>
    <row r="17" spans="1:21" x14ac:dyDescent="0.25">
      <c r="F17" s="79"/>
    </row>
    <row r="18" spans="1:21" x14ac:dyDescent="0.25">
      <c r="A18" s="67" t="s">
        <v>181</v>
      </c>
      <c r="F18" s="79"/>
    </row>
    <row r="19" spans="1:21" x14ac:dyDescent="0.25">
      <c r="A19" s="67" t="s">
        <v>182</v>
      </c>
      <c r="B19" s="83"/>
      <c r="F19" s="79"/>
      <c r="K19" s="117" t="s">
        <v>40</v>
      </c>
      <c r="L19" s="118"/>
      <c r="N19" s="69" t="s">
        <v>33</v>
      </c>
      <c r="R19" s="84" t="s">
        <v>33</v>
      </c>
    </row>
    <row r="20" spans="1:21" x14ac:dyDescent="0.25">
      <c r="A20" s="67" t="s">
        <v>183</v>
      </c>
      <c r="B20" s="83"/>
      <c r="F20" s="79"/>
      <c r="K20" s="69" t="s">
        <v>33</v>
      </c>
      <c r="L20" s="19">
        <v>0.20828844740429187</v>
      </c>
      <c r="N20" s="85">
        <f>B20</f>
        <v>0</v>
      </c>
      <c r="R20" s="86">
        <f>N20-L20</f>
        <v>-0.20828844740429187</v>
      </c>
      <c r="S20" s="81">
        <f>IF(ABS(R20) &lt;= 1.5%,1,0)</f>
        <v>0</v>
      </c>
      <c r="T20" s="82" t="s">
        <v>179</v>
      </c>
    </row>
    <row r="21" spans="1:21" x14ac:dyDescent="0.25">
      <c r="F21" s="79"/>
      <c r="K21" s="69" t="s">
        <v>34</v>
      </c>
      <c r="L21" s="20">
        <v>5</v>
      </c>
      <c r="R21" s="87">
        <f>L20-N20</f>
        <v>0.20828844740429187</v>
      </c>
    </row>
    <row r="22" spans="1:21" x14ac:dyDescent="0.25">
      <c r="K22" s="69" t="s">
        <v>35</v>
      </c>
      <c r="L22" s="20">
        <v>3</v>
      </c>
    </row>
    <row r="23" spans="1:21" x14ac:dyDescent="0.25">
      <c r="K23" s="69" t="s">
        <v>32</v>
      </c>
      <c r="L23" s="21">
        <v>5</v>
      </c>
    </row>
    <row r="25" spans="1:21" x14ac:dyDescent="0.25">
      <c r="J25" s="111" t="s">
        <v>184</v>
      </c>
      <c r="K25" s="112"/>
      <c r="L25" s="112"/>
      <c r="N25" s="111" t="s">
        <v>185</v>
      </c>
      <c r="O25" s="112"/>
      <c r="P25" s="119"/>
      <c r="Q25" s="88"/>
      <c r="R25" s="114" t="s">
        <v>186</v>
      </c>
      <c r="S25" s="115"/>
      <c r="T25" s="116"/>
      <c r="U25" s="75">
        <v>50</v>
      </c>
    </row>
    <row r="26" spans="1:21" x14ac:dyDescent="0.25">
      <c r="I26" s="69" t="s">
        <v>42</v>
      </c>
      <c r="J26" s="69" t="str">
        <f>J14</f>
        <v>1Y</v>
      </c>
      <c r="K26" s="69" t="str">
        <f>K14</f>
        <v>2Y</v>
      </c>
      <c r="L26" s="69" t="str">
        <f>L14</f>
        <v>RHP</v>
      </c>
      <c r="N26" s="69" t="str">
        <f>N14</f>
        <v>1Y</v>
      </c>
      <c r="O26" s="69" t="str">
        <f>O14</f>
        <v>2Y</v>
      </c>
      <c r="P26" s="69" t="str">
        <f>P14</f>
        <v>RHP</v>
      </c>
      <c r="R26" s="70" t="str">
        <f>R14</f>
        <v>1Y</v>
      </c>
      <c r="S26" s="70" t="str">
        <f>S14</f>
        <v>2Y</v>
      </c>
      <c r="T26" s="70" t="str">
        <f>T14</f>
        <v>RHP</v>
      </c>
    </row>
    <row r="27" spans="1:21" x14ac:dyDescent="0.25">
      <c r="I27" s="69" t="s">
        <v>158</v>
      </c>
      <c r="J27" s="93"/>
      <c r="K27" s="93"/>
      <c r="L27" s="93"/>
      <c r="N27" s="93"/>
      <c r="O27" s="93"/>
      <c r="P27" s="93"/>
      <c r="R27" s="81" t="e">
        <f>IF(AND((N3-J27)&gt;=0,(N27-N3)&gt;=0),1,IF(MAX(-(N3-J27),-(N27-N3))&lt;$U$25,1,0))</f>
        <v>#VALUE!</v>
      </c>
      <c r="S27" s="81" t="e">
        <f>IF(AND((O3-K27)&gt;=0,(O27-O3)&gt;=0),1,IF(MAX(-(O3-K27),-(O27-O3))&lt;$U$25,1,0))</f>
        <v>#VALUE!</v>
      </c>
      <c r="T27" s="81" t="e">
        <f>IF(AND((P3-L27)&gt;=0,(P27-P3)&gt;=0),1,IF(MAX(-(P3-L27),-(P27-P3))&lt;$U$25,1,0))</f>
        <v>#VALUE!</v>
      </c>
      <c r="U27" s="82" t="s">
        <v>179</v>
      </c>
    </row>
    <row r="28" spans="1:21" x14ac:dyDescent="0.25">
      <c r="I28" s="75"/>
      <c r="J28" s="76"/>
      <c r="K28" s="76"/>
      <c r="L28" s="76"/>
      <c r="N28" s="76"/>
      <c r="O28" s="76"/>
      <c r="P28" s="76"/>
      <c r="R28" s="78">
        <f>J27-N27</f>
        <v>0</v>
      </c>
      <c r="S28" s="78">
        <f>O27-K27</f>
        <v>0</v>
      </c>
      <c r="T28" s="78">
        <f>P27-L27</f>
        <v>0</v>
      </c>
    </row>
    <row r="29" spans="1:21" x14ac:dyDescent="0.25">
      <c r="I29" s="69" t="s">
        <v>159</v>
      </c>
      <c r="J29" s="93"/>
      <c r="K29" s="93"/>
      <c r="L29" s="93"/>
      <c r="N29" s="93"/>
      <c r="O29" s="93"/>
      <c r="P29" s="93"/>
      <c r="R29" s="81" t="e">
        <f>IF(AND((N5-J29)&gt;=0,(N29-N5)&gt;=0),1,IF(MAX(-(N5-J29),-(N29-N5))&lt;$U$25,1,0))</f>
        <v>#VALUE!</v>
      </c>
      <c r="S29" s="81" t="e">
        <f>IF(AND((O5-K29)&gt;=0,(O29-O5)&gt;=0),1,IF(MAX(-(O5-K29),-(O29-O5))&lt;$U$25,1,0))</f>
        <v>#VALUE!</v>
      </c>
      <c r="T29" s="81" t="e">
        <f>IF(AND((P5-L29)&gt;=0,(P29-P5)&gt;=0),1,IF(MAX(-(P5-L29),-(P29-P5))&lt;$U$25,1,0))</f>
        <v>#VALUE!</v>
      </c>
      <c r="U29" s="82" t="s">
        <v>179</v>
      </c>
    </row>
    <row r="30" spans="1:21" x14ac:dyDescent="0.25">
      <c r="I30" s="75"/>
      <c r="J30" s="76"/>
      <c r="K30" s="76"/>
      <c r="L30" s="76"/>
      <c r="N30" s="76"/>
      <c r="O30" s="76"/>
      <c r="P30" s="76"/>
      <c r="R30" s="78">
        <f>J29-N29</f>
        <v>0</v>
      </c>
      <c r="S30" s="78">
        <f>O29-K29</f>
        <v>0</v>
      </c>
      <c r="T30" s="78">
        <f>P29-L29</f>
        <v>0</v>
      </c>
    </row>
    <row r="31" spans="1:21" x14ac:dyDescent="0.25">
      <c r="I31" s="69" t="s">
        <v>160</v>
      </c>
      <c r="J31" s="93"/>
      <c r="K31" s="93"/>
      <c r="L31" s="93"/>
      <c r="N31" s="93"/>
      <c r="O31" s="93"/>
      <c r="P31" s="93"/>
      <c r="R31" s="81" t="e">
        <f>IF(AND((N7-J31)&gt;=0,(N31-N7)&gt;=0),1,IF(MAX(-(N7-J31),-(N31-N7))&lt;$U$25,1,0))</f>
        <v>#VALUE!</v>
      </c>
      <c r="S31" s="81" t="e">
        <f>IF(AND((O7-K31)&gt;=0,(O31-O7)&gt;=0),1,IF(MAX(-(O7-K31),-(O31-O7))&lt;$U$25,1,0))</f>
        <v>#VALUE!</v>
      </c>
      <c r="T31" s="81" t="e">
        <f>IF(AND((P7-L31)&gt;=0,(P31-P7)&gt;=0),1,IF(MAX(-(P7-L31),-(P31-P7))&lt;$U$25,1,0))</f>
        <v>#VALUE!</v>
      </c>
      <c r="U31" s="82" t="s">
        <v>179</v>
      </c>
    </row>
    <row r="32" spans="1:21" x14ac:dyDescent="0.25">
      <c r="I32" s="75"/>
      <c r="J32" s="76"/>
      <c r="K32" s="76"/>
      <c r="L32" s="76"/>
      <c r="N32" s="76"/>
      <c r="O32" s="76"/>
      <c r="P32" s="76"/>
      <c r="R32" s="78">
        <f>J31-N31</f>
        <v>0</v>
      </c>
      <c r="S32" s="78">
        <f>O31-K31</f>
        <v>0</v>
      </c>
      <c r="T32" s="78">
        <f>P31-L31</f>
        <v>0</v>
      </c>
    </row>
    <row r="33" spans="2:21" x14ac:dyDescent="0.25">
      <c r="I33" s="69" t="s">
        <v>161</v>
      </c>
      <c r="J33" s="93"/>
      <c r="K33" s="93"/>
      <c r="L33" s="93"/>
      <c r="N33" s="93"/>
      <c r="O33" s="93"/>
      <c r="P33" s="93"/>
      <c r="R33" s="81" t="e">
        <f>IF(AND((N9-J33)&gt;=0,(N33-N9)&gt;=0),1,IF(MAX(-(N9-J33),-(N33-N9))&lt;$U$25,1,0))</f>
        <v>#VALUE!</v>
      </c>
      <c r="S33" s="81" t="e">
        <f>IF(AND((O9-K33)&gt;=0,(O33-O9)&gt;=0),1,IF(MAX(-(O9-K33),-(O33-O9))&lt;$U$25,1,0))</f>
        <v>#VALUE!</v>
      </c>
      <c r="T33" s="81" t="e">
        <f>IF(AND((P9-L33)&gt;=0,(P33-P9)&gt;=0),1,IF(MAX(-(P9-L33),-(P33-P9))&lt;$U$25,1,0))</f>
        <v>#VALUE!</v>
      </c>
      <c r="U33" s="82" t="s">
        <v>179</v>
      </c>
    </row>
    <row r="34" spans="2:21" x14ac:dyDescent="0.25">
      <c r="I34" s="75"/>
      <c r="J34" s="76"/>
      <c r="K34" s="76"/>
      <c r="L34" s="76"/>
      <c r="N34" s="76"/>
      <c r="O34" s="76"/>
      <c r="P34" s="76"/>
      <c r="R34" s="78">
        <f>J33-N33</f>
        <v>0</v>
      </c>
      <c r="S34" s="78">
        <f>O33-K33</f>
        <v>0</v>
      </c>
      <c r="T34" s="78">
        <f>P33-L33</f>
        <v>0</v>
      </c>
    </row>
    <row r="35" spans="2:21" x14ac:dyDescent="0.25">
      <c r="B35" s="89"/>
      <c r="C35" s="90"/>
      <c r="D35" s="90"/>
      <c r="E35" s="90"/>
      <c r="F35" s="90"/>
    </row>
    <row r="41" spans="2:21" ht="14.3" x14ac:dyDescent="0.25">
      <c r="K41" s="91"/>
      <c r="L41" s="91"/>
      <c r="M41" s="91"/>
      <c r="N41" s="91"/>
      <c r="O41" s="91"/>
      <c r="P41" s="91"/>
      <c r="Q41" s="91"/>
    </row>
    <row r="42" spans="2:21" ht="14.3" x14ac:dyDescent="0.25">
      <c r="K42" s="91"/>
      <c r="L42" s="91"/>
      <c r="M42" s="91"/>
      <c r="N42" s="91"/>
      <c r="O42" s="91"/>
      <c r="P42" s="91"/>
      <c r="Q42" s="91"/>
    </row>
    <row r="43" spans="2:21" ht="14.3" x14ac:dyDescent="0.25">
      <c r="K43" s="91"/>
      <c r="L43" s="91"/>
      <c r="M43" s="91"/>
      <c r="N43" s="91"/>
    </row>
    <row r="44" spans="2:21" ht="14.3" x14ac:dyDescent="0.25">
      <c r="K44" s="91"/>
      <c r="L44" s="91"/>
      <c r="M44" s="91"/>
      <c r="N44" s="91"/>
    </row>
    <row r="45" spans="2:21" ht="14.3" x14ac:dyDescent="0.25">
      <c r="K45" s="91"/>
    </row>
    <row r="46" spans="2:21" ht="14.3" x14ac:dyDescent="0.25">
      <c r="K46" s="91"/>
    </row>
    <row r="47" spans="2:21" ht="14.3" x14ac:dyDescent="0.25">
      <c r="K47" s="91"/>
    </row>
    <row r="48" spans="2:21" ht="14.3" x14ac:dyDescent="0.25">
      <c r="K48" s="91"/>
    </row>
  </sheetData>
  <mergeCells count="7">
    <mergeCell ref="J1:L1"/>
    <mergeCell ref="N1:P1"/>
    <mergeCell ref="R1:T1"/>
    <mergeCell ref="K19:L19"/>
    <mergeCell ref="J25:L25"/>
    <mergeCell ref="N25:P25"/>
    <mergeCell ref="R25:T25"/>
  </mergeCells>
  <conditionalFormatting sqref="R29">
    <cfRule type="cellIs" dxfId="14" priority="13" operator="equal">
      <formula>1</formula>
    </cfRule>
  </conditionalFormatting>
  <conditionalFormatting sqref="S29">
    <cfRule type="cellIs" dxfId="13" priority="12" operator="equal">
      <formula>1</formula>
    </cfRule>
  </conditionalFormatting>
  <conditionalFormatting sqref="R31">
    <cfRule type="cellIs" dxfId="12" priority="11" operator="equal">
      <formula>1</formula>
    </cfRule>
  </conditionalFormatting>
  <conditionalFormatting sqref="S31">
    <cfRule type="cellIs" dxfId="11" priority="10" operator="equal">
      <formula>1</formula>
    </cfRule>
  </conditionalFormatting>
  <conditionalFormatting sqref="R33">
    <cfRule type="cellIs" dxfId="10" priority="9" operator="equal">
      <formula>1</formula>
    </cfRule>
  </conditionalFormatting>
  <conditionalFormatting sqref="S33">
    <cfRule type="cellIs" dxfId="9" priority="8" operator="equal">
      <formula>1</formula>
    </cfRule>
  </conditionalFormatting>
  <conditionalFormatting sqref="S20">
    <cfRule type="cellIs" dxfId="8" priority="7" operator="equal">
      <formula>1</formula>
    </cfRule>
  </conditionalFormatting>
  <conditionalFormatting sqref="S27">
    <cfRule type="cellIs" dxfId="7" priority="14" operator="equal">
      <formula>1</formula>
    </cfRule>
  </conditionalFormatting>
  <conditionalFormatting sqref="R15:S15">
    <cfRule type="cellIs" dxfId="6" priority="6" operator="equal">
      <formula>1</formula>
    </cfRule>
  </conditionalFormatting>
  <conditionalFormatting sqref="T15">
    <cfRule type="cellIs" dxfId="5" priority="5" operator="equal">
      <formula>1</formula>
    </cfRule>
  </conditionalFormatting>
  <conditionalFormatting sqref="T27">
    <cfRule type="cellIs" dxfId="4" priority="4" operator="equal">
      <formula>1</formula>
    </cfRule>
  </conditionalFormatting>
  <conditionalFormatting sqref="T29">
    <cfRule type="cellIs" dxfId="3" priority="3" operator="equal">
      <formula>1</formula>
    </cfRule>
  </conditionalFormatting>
  <conditionalFormatting sqref="T31">
    <cfRule type="cellIs" dxfId="2" priority="2" operator="equal">
      <formula>1</formula>
    </cfRule>
  </conditionalFormatting>
  <conditionalFormatting sqref="T33">
    <cfRule type="cellIs" dxfId="1" priority="1" operator="equal">
      <formula>1</formula>
    </cfRule>
  </conditionalFormatting>
  <conditionalFormatting sqref="R27">
    <cfRule type="cellIs" dxfId="0" priority="15" operator="equal">
      <formula>1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11">
    <tabColor theme="5" tint="-0.499984740745262"/>
  </sheetPr>
  <dimension ref="A1:BR2578"/>
  <sheetViews>
    <sheetView workbookViewId="0">
      <selection activeCell="A11" sqref="A11:A2578"/>
    </sheetView>
  </sheetViews>
  <sheetFormatPr defaultColWidth="9.125" defaultRowHeight="10.9" x14ac:dyDescent="0.25"/>
  <cols>
    <col min="1" max="1" width="10.375" style="1" bestFit="1" customWidth="1"/>
    <col min="2" max="2" width="7.625" style="1" bestFit="1" customWidth="1"/>
    <col min="3" max="3" width="11.625" style="1" bestFit="1" customWidth="1"/>
    <col min="4" max="4" width="7.625" style="1" bestFit="1" customWidth="1"/>
    <col min="5" max="5" width="11.625" style="1" bestFit="1" customWidth="1"/>
    <col min="6" max="6" width="7.625" style="1" bestFit="1" customWidth="1"/>
    <col min="7" max="7" width="11.625" style="1" bestFit="1" customWidth="1"/>
    <col min="8" max="8" width="7.625" style="1" bestFit="1" customWidth="1"/>
    <col min="9" max="9" width="11.625" style="1" bestFit="1" customWidth="1"/>
    <col min="10" max="10" width="7.625" style="1" bestFit="1" customWidth="1"/>
    <col min="11" max="11" width="11.625" style="1" bestFit="1" customWidth="1"/>
    <col min="12" max="12" width="7.625" style="1" bestFit="1" customWidth="1"/>
    <col min="13" max="13" width="10.625" style="1" bestFit="1" customWidth="1"/>
    <col min="14" max="14" width="7.625" style="1" bestFit="1" customWidth="1"/>
    <col min="15" max="15" width="10.625" style="1" bestFit="1" customWidth="1"/>
    <col min="16" max="16" width="7.625" style="1" bestFit="1" customWidth="1"/>
    <col min="17" max="17" width="10.625" style="1" bestFit="1" customWidth="1"/>
    <col min="18" max="18" width="7.625" style="1" bestFit="1" customWidth="1"/>
    <col min="19" max="19" width="10.625" style="1" bestFit="1" customWidth="1"/>
    <col min="20" max="20" width="7.625" style="1" bestFit="1" customWidth="1"/>
    <col min="21" max="21" width="10.625" style="1" bestFit="1" customWidth="1"/>
    <col min="22" max="22" width="7.625" style="1" bestFit="1" customWidth="1"/>
    <col min="23" max="23" width="10.625" style="1" bestFit="1" customWidth="1"/>
    <col min="24" max="24" width="7.625" style="1" bestFit="1" customWidth="1"/>
    <col min="25" max="25" width="10.625" style="1" bestFit="1" customWidth="1"/>
    <col min="26" max="26" width="7.625" style="1" bestFit="1" customWidth="1"/>
    <col min="27" max="27" width="10.625" style="1" bestFit="1" customWidth="1"/>
    <col min="28" max="28" width="7.625" style="1" bestFit="1" customWidth="1"/>
    <col min="29" max="29" width="10.625" style="1" bestFit="1" customWidth="1"/>
    <col min="30" max="30" width="7.625" style="1" bestFit="1" customWidth="1"/>
    <col min="31" max="31" width="10.625" style="1" bestFit="1" customWidth="1"/>
    <col min="32" max="32" width="7.625" style="1" bestFit="1" customWidth="1"/>
    <col min="33" max="33" width="10.625" style="1" bestFit="1" customWidth="1"/>
    <col min="34" max="34" width="7.625" style="1" bestFit="1" customWidth="1"/>
    <col min="35" max="35" width="10.625" style="1" bestFit="1" customWidth="1"/>
    <col min="36" max="36" width="7.625" style="1" bestFit="1" customWidth="1"/>
    <col min="37" max="16384" width="9.125" style="1"/>
  </cols>
  <sheetData>
    <row r="1" spans="1:70" x14ac:dyDescent="0.25">
      <c r="A1" s="120" t="s">
        <v>67</v>
      </c>
      <c r="B1" s="120"/>
    </row>
    <row r="2" spans="1:70" x14ac:dyDescent="0.25">
      <c r="A2" s="13" t="s">
        <v>3</v>
      </c>
      <c r="B2" s="13">
        <v>10</v>
      </c>
      <c r="C2" s="13" t="s">
        <v>3</v>
      </c>
      <c r="D2" s="13">
        <v>10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</row>
    <row r="3" spans="1:70" x14ac:dyDescent="0.25">
      <c r="A3" s="13" t="s">
        <v>1</v>
      </c>
      <c r="B3" s="16">
        <f>DATE(YEAR(B4)-$B$2,MONTH(B4),DAY(B4)-1)</f>
        <v>39900</v>
      </c>
      <c r="C3" s="13" t="s">
        <v>1</v>
      </c>
      <c r="D3" s="16">
        <f>DATE(YEAR(D4)-$B$2,MONTH(D4),DAY(D4)-1)</f>
        <v>39900</v>
      </c>
      <c r="E3" s="24"/>
      <c r="F3" s="59"/>
      <c r="G3" s="24"/>
      <c r="H3" s="59"/>
      <c r="I3" s="24"/>
      <c r="J3" s="59"/>
      <c r="K3" s="24"/>
      <c r="L3" s="59"/>
      <c r="M3" s="24"/>
      <c r="N3" s="59"/>
      <c r="O3" s="24"/>
      <c r="P3" s="59"/>
      <c r="Q3" s="24"/>
      <c r="R3" s="59"/>
      <c r="S3" s="24"/>
      <c r="T3" s="59"/>
      <c r="U3" s="24"/>
      <c r="V3" s="59"/>
      <c r="W3" s="24"/>
      <c r="X3" s="59"/>
      <c r="Y3" s="24"/>
      <c r="Z3" s="59"/>
      <c r="AA3" s="24"/>
      <c r="AB3" s="59"/>
      <c r="AC3" s="24"/>
      <c r="AD3" s="59"/>
      <c r="AE3" s="24"/>
      <c r="AF3" s="59"/>
      <c r="AG3" s="24"/>
      <c r="AH3" s="59"/>
      <c r="AI3" s="24"/>
      <c r="AJ3" s="59"/>
      <c r="AK3" s="24"/>
      <c r="AL3" s="59"/>
      <c r="AM3" s="24"/>
      <c r="AN3" s="59"/>
      <c r="AO3" s="24"/>
      <c r="AP3" s="59"/>
      <c r="AQ3" s="24"/>
      <c r="AR3" s="59"/>
      <c r="AS3" s="24"/>
      <c r="AT3" s="59"/>
      <c r="AU3" s="24"/>
      <c r="AV3" s="59"/>
      <c r="AW3" s="24"/>
      <c r="AX3" s="59"/>
      <c r="AY3" s="24"/>
      <c r="AZ3" s="59"/>
      <c r="BA3" s="24"/>
      <c r="BB3" s="59"/>
      <c r="BC3" s="24"/>
      <c r="BD3" s="59"/>
      <c r="BE3" s="24"/>
      <c r="BF3" s="59"/>
      <c r="BG3" s="24"/>
      <c r="BH3" s="59"/>
      <c r="BI3" s="24"/>
      <c r="BJ3" s="59"/>
      <c r="BK3" s="24"/>
      <c r="BL3" s="59"/>
      <c r="BM3" s="24"/>
      <c r="BN3" s="59"/>
      <c r="BO3" s="24"/>
      <c r="BP3" s="59"/>
      <c r="BQ3" s="24"/>
      <c r="BR3" s="59"/>
    </row>
    <row r="4" spans="1:70" x14ac:dyDescent="0.25">
      <c r="A4" s="13" t="s">
        <v>2</v>
      </c>
      <c r="B4" s="25">
        <f>'UNDERLYING INFO'!$B$1</f>
        <v>43553</v>
      </c>
      <c r="C4" s="13" t="s">
        <v>2</v>
      </c>
      <c r="D4" s="25">
        <f>'UNDERLYING INFO'!$B$1</f>
        <v>43553</v>
      </c>
      <c r="E4" s="24"/>
      <c r="F4" s="25"/>
      <c r="G4" s="24"/>
      <c r="H4" s="25"/>
      <c r="I4" s="24"/>
      <c r="J4" s="25"/>
      <c r="K4" s="24"/>
      <c r="L4" s="25"/>
      <c r="M4" s="24"/>
      <c r="N4" s="25"/>
      <c r="O4" s="24"/>
      <c r="P4" s="25"/>
      <c r="Q4" s="24"/>
      <c r="R4" s="25"/>
      <c r="S4" s="24"/>
      <c r="T4" s="25"/>
      <c r="U4" s="24"/>
      <c r="V4" s="25"/>
      <c r="W4" s="24"/>
      <c r="X4" s="25"/>
      <c r="Y4" s="24"/>
      <c r="Z4" s="25"/>
      <c r="AA4" s="24"/>
      <c r="AB4" s="25"/>
      <c r="AC4" s="24"/>
      <c r="AD4" s="25"/>
      <c r="AE4" s="24"/>
      <c r="AF4" s="25"/>
      <c r="AG4" s="24"/>
      <c r="AH4" s="25"/>
      <c r="AI4" s="24"/>
      <c r="AJ4" s="25"/>
      <c r="AK4" s="24"/>
      <c r="AL4" s="25"/>
      <c r="AM4" s="24"/>
      <c r="AN4" s="25"/>
      <c r="AO4" s="24"/>
      <c r="AP4" s="25"/>
      <c r="AQ4" s="24"/>
      <c r="AR4" s="25"/>
      <c r="AS4" s="24"/>
      <c r="AT4" s="25"/>
      <c r="AU4" s="24"/>
      <c r="AV4" s="25"/>
      <c r="AW4" s="24"/>
      <c r="AX4" s="25"/>
      <c r="AY4" s="24"/>
      <c r="AZ4" s="25"/>
      <c r="BA4" s="24"/>
      <c r="BB4" s="25"/>
      <c r="BC4" s="24"/>
      <c r="BD4" s="25"/>
      <c r="BE4" s="24"/>
      <c r="BF4" s="25"/>
      <c r="BG4" s="24"/>
      <c r="BH4" s="25"/>
      <c r="BI4" s="24"/>
      <c r="BJ4" s="25"/>
      <c r="BK4" s="24"/>
      <c r="BL4" s="25"/>
      <c r="BM4" s="24"/>
      <c r="BN4" s="25"/>
      <c r="BO4" s="24"/>
      <c r="BP4" s="25"/>
      <c r="BQ4" s="24"/>
      <c r="BR4" s="25"/>
    </row>
    <row r="5" spans="1:70" x14ac:dyDescent="0.25">
      <c r="A5" s="13" t="s">
        <v>46</v>
      </c>
      <c r="B5" s="26" t="str">
        <f>'UNDERLYING INFO'!B7</f>
        <v>D</v>
      </c>
      <c r="C5" s="13" t="s">
        <v>46</v>
      </c>
      <c r="D5" s="26" t="str">
        <f>'UNDERLYING INFO'!D7</f>
        <v>D</v>
      </c>
      <c r="E5" s="24"/>
      <c r="F5" s="26"/>
      <c r="G5" s="24"/>
      <c r="H5" s="26"/>
      <c r="I5" s="24"/>
      <c r="J5" s="26"/>
      <c r="K5" s="24"/>
      <c r="L5" s="26"/>
      <c r="M5" s="24"/>
      <c r="N5" s="26"/>
      <c r="O5" s="24"/>
      <c r="P5" s="26"/>
      <c r="Q5" s="24"/>
      <c r="R5" s="26"/>
      <c r="S5" s="24"/>
      <c r="T5" s="26"/>
      <c r="U5" s="24"/>
      <c r="V5" s="26"/>
      <c r="W5" s="24"/>
      <c r="X5" s="26"/>
      <c r="Y5" s="24"/>
      <c r="Z5" s="26"/>
      <c r="AA5" s="24"/>
      <c r="AB5" s="26"/>
      <c r="AC5" s="24"/>
      <c r="AD5" s="26"/>
      <c r="AE5" s="24"/>
      <c r="AF5" s="26"/>
      <c r="AG5" s="24"/>
      <c r="AH5" s="26"/>
      <c r="AI5" s="24"/>
      <c r="AJ5" s="26"/>
      <c r="AK5" s="24"/>
      <c r="AL5" s="26"/>
      <c r="AM5" s="24"/>
      <c r="AN5" s="26"/>
      <c r="AO5" s="24"/>
      <c r="AP5" s="26"/>
      <c r="AQ5" s="24"/>
      <c r="AR5" s="26"/>
      <c r="AS5" s="24"/>
      <c r="AT5" s="26"/>
      <c r="AU5" s="24"/>
      <c r="AV5" s="26"/>
      <c r="AW5" s="24"/>
      <c r="AX5" s="26"/>
      <c r="AY5" s="24"/>
      <c r="AZ5" s="26"/>
      <c r="BA5" s="24"/>
      <c r="BB5" s="26"/>
      <c r="BC5" s="24"/>
      <c r="BD5" s="26"/>
      <c r="BE5" s="24"/>
      <c r="BF5" s="26"/>
      <c r="BG5" s="24"/>
      <c r="BH5" s="26"/>
      <c r="BI5" s="24"/>
      <c r="BJ5" s="26"/>
      <c r="BK5" s="24"/>
      <c r="BL5" s="26"/>
      <c r="BM5" s="24"/>
      <c r="BN5" s="26"/>
      <c r="BO5" s="24"/>
      <c r="BP5" s="26"/>
      <c r="BQ5" s="24"/>
      <c r="BR5" s="26"/>
    </row>
    <row r="6" spans="1:70" x14ac:dyDescent="0.25">
      <c r="A6" s="13" t="s">
        <v>48</v>
      </c>
      <c r="B6" s="26" t="str">
        <f>'UNDERLYING INFO'!B6</f>
        <v>EUR</v>
      </c>
      <c r="C6" s="13" t="s">
        <v>48</v>
      </c>
      <c r="D6" s="26" t="str">
        <f>'UNDERLYING INFO'!D6</f>
        <v>EUR</v>
      </c>
      <c r="E6" s="24"/>
      <c r="F6" s="26"/>
      <c r="G6" s="24"/>
      <c r="H6" s="26"/>
      <c r="I6" s="24"/>
      <c r="J6" s="26"/>
      <c r="K6" s="24"/>
      <c r="L6" s="26"/>
      <c r="M6" s="24"/>
      <c r="N6" s="26"/>
      <c r="O6" s="24"/>
      <c r="P6" s="26"/>
      <c r="Q6" s="24"/>
      <c r="R6" s="26"/>
      <c r="S6" s="24"/>
      <c r="T6" s="26"/>
      <c r="U6" s="24"/>
      <c r="V6" s="26"/>
      <c r="W6" s="24"/>
      <c r="X6" s="26"/>
      <c r="Y6" s="24"/>
      <c r="Z6" s="26"/>
      <c r="AA6" s="24"/>
      <c r="AB6" s="26"/>
      <c r="AC6" s="24"/>
      <c r="AD6" s="26"/>
      <c r="AE6" s="24"/>
      <c r="AF6" s="26"/>
      <c r="AG6" s="24"/>
      <c r="AH6" s="26"/>
      <c r="AI6" s="24"/>
      <c r="AJ6" s="26"/>
      <c r="AK6" s="24"/>
      <c r="AL6" s="26"/>
      <c r="AM6" s="24"/>
      <c r="AN6" s="26"/>
      <c r="AO6" s="24"/>
      <c r="AP6" s="26"/>
      <c r="AQ6" s="24"/>
      <c r="AR6" s="26"/>
      <c r="AS6" s="24"/>
      <c r="AT6" s="26"/>
      <c r="AU6" s="24"/>
      <c r="AV6" s="26"/>
      <c r="AW6" s="24"/>
      <c r="AX6" s="26"/>
      <c r="AY6" s="24"/>
      <c r="AZ6" s="26"/>
      <c r="BA6" s="24"/>
      <c r="BB6" s="26"/>
      <c r="BC6" s="24"/>
      <c r="BD6" s="26"/>
      <c r="BE6" s="24"/>
      <c r="BF6" s="26"/>
      <c r="BG6" s="24"/>
      <c r="BH6" s="26"/>
      <c r="BI6" s="24"/>
      <c r="BJ6" s="26"/>
      <c r="BK6" s="24"/>
      <c r="BL6" s="26"/>
      <c r="BM6" s="24"/>
      <c r="BN6" s="26"/>
      <c r="BO6" s="24"/>
      <c r="BP6" s="26"/>
      <c r="BQ6" s="24"/>
      <c r="BR6" s="26"/>
    </row>
    <row r="7" spans="1:70" x14ac:dyDescent="0.25">
      <c r="A7" s="13" t="s">
        <v>49</v>
      </c>
      <c r="B7" s="26"/>
      <c r="C7" s="13" t="s">
        <v>49</v>
      </c>
      <c r="D7" s="26"/>
      <c r="E7" s="24"/>
      <c r="F7" s="26"/>
      <c r="G7" s="24"/>
      <c r="H7" s="26"/>
      <c r="I7" s="24"/>
      <c r="J7" s="26"/>
      <c r="K7" s="24"/>
      <c r="L7" s="26"/>
      <c r="M7" s="24"/>
      <c r="N7" s="26"/>
      <c r="O7" s="24"/>
      <c r="P7" s="26"/>
      <c r="Q7" s="24"/>
      <c r="R7" s="26"/>
      <c r="S7" s="24"/>
      <c r="T7" s="26"/>
      <c r="U7" s="24"/>
      <c r="V7" s="26"/>
      <c r="W7" s="24"/>
      <c r="X7" s="26"/>
      <c r="Y7" s="24"/>
      <c r="Z7" s="26"/>
      <c r="AA7" s="24"/>
      <c r="AB7" s="26"/>
      <c r="AC7" s="24"/>
      <c r="AD7" s="26"/>
      <c r="AE7" s="24"/>
      <c r="AF7" s="26"/>
      <c r="AG7" s="24"/>
      <c r="AH7" s="26"/>
      <c r="AI7" s="24"/>
      <c r="AJ7" s="26"/>
      <c r="AK7" s="24"/>
      <c r="AL7" s="26"/>
      <c r="AM7" s="24"/>
      <c r="AN7" s="26"/>
      <c r="AO7" s="24"/>
      <c r="AP7" s="26"/>
      <c r="AQ7" s="24"/>
      <c r="AR7" s="26"/>
      <c r="AS7" s="24"/>
      <c r="AT7" s="26"/>
      <c r="AU7" s="24"/>
      <c r="AV7" s="26"/>
      <c r="AW7" s="24"/>
      <c r="AX7" s="26"/>
      <c r="AY7" s="24"/>
      <c r="AZ7" s="26"/>
      <c r="BA7" s="24"/>
      <c r="BB7" s="26"/>
      <c r="BC7" s="24"/>
      <c r="BD7" s="26"/>
      <c r="BE7" s="24"/>
      <c r="BF7" s="26"/>
      <c r="BG7" s="24"/>
      <c r="BH7" s="26"/>
      <c r="BI7" s="24"/>
      <c r="BJ7" s="26"/>
      <c r="BK7" s="24"/>
      <c r="BL7" s="26"/>
      <c r="BM7" s="24"/>
      <c r="BN7" s="26"/>
      <c r="BO7" s="24"/>
      <c r="BP7" s="26"/>
      <c r="BQ7" s="24"/>
      <c r="BR7" s="26"/>
    </row>
    <row r="8" spans="1:70" x14ac:dyDescent="0.25">
      <c r="A8" s="13" t="str">
        <f>CONCATENATE('UNDERLYING INFO'!B4," ",'UNDERLYING INFO'!B5)</f>
        <v>SX5E Index</v>
      </c>
      <c r="B8" s="27"/>
      <c r="C8" s="13" t="str">
        <f>CONCATENATE('UNDERLYING INFO'!D4," ",'UNDERLYING INFO'!D5)</f>
        <v>FTSEMIB Index</v>
      </c>
      <c r="D8" s="27"/>
      <c r="E8" s="24"/>
      <c r="F8" s="27"/>
      <c r="G8" s="24"/>
      <c r="H8" s="27"/>
      <c r="I8" s="24"/>
      <c r="J8" s="27"/>
      <c r="K8" s="24"/>
      <c r="L8" s="27"/>
      <c r="M8" s="24"/>
      <c r="N8" s="27"/>
      <c r="O8" s="24"/>
      <c r="P8" s="27"/>
      <c r="Q8" s="24"/>
      <c r="R8" s="27"/>
      <c r="S8" s="24"/>
      <c r="T8" s="27"/>
      <c r="U8" s="24"/>
      <c r="V8" s="27"/>
      <c r="W8" s="24"/>
      <c r="X8" s="27"/>
      <c r="Y8" s="24"/>
      <c r="Z8" s="27"/>
      <c r="AA8" s="24"/>
      <c r="AB8" s="27"/>
      <c r="AC8" s="24"/>
      <c r="AD8" s="27"/>
      <c r="AE8" s="24"/>
      <c r="AF8" s="27"/>
      <c r="AG8" s="24"/>
      <c r="AH8" s="27"/>
      <c r="AI8" s="24"/>
      <c r="AJ8" s="27"/>
      <c r="AK8" s="24"/>
      <c r="AL8" s="27"/>
      <c r="AM8" s="24"/>
      <c r="AN8" s="27"/>
      <c r="AO8" s="24"/>
      <c r="AP8" s="27"/>
      <c r="AQ8" s="24"/>
      <c r="AR8" s="27"/>
      <c r="AS8" s="24"/>
      <c r="AT8" s="27"/>
      <c r="AU8" s="24"/>
      <c r="AV8" s="27"/>
      <c r="AW8" s="24"/>
      <c r="AX8" s="27"/>
      <c r="AY8" s="24"/>
      <c r="AZ8" s="27"/>
      <c r="BA8" s="24"/>
      <c r="BB8" s="27"/>
      <c r="BC8" s="24"/>
      <c r="BD8" s="27"/>
      <c r="BE8" s="24"/>
      <c r="BF8" s="27"/>
      <c r="BG8" s="24"/>
      <c r="BH8" s="27"/>
      <c r="BI8" s="24"/>
      <c r="BJ8" s="27"/>
      <c r="BK8" s="24"/>
      <c r="BL8" s="27"/>
      <c r="BM8" s="24"/>
      <c r="BN8" s="27"/>
      <c r="BO8" s="24"/>
      <c r="BP8" s="27"/>
      <c r="BQ8" s="24"/>
      <c r="BR8" s="27"/>
    </row>
    <row r="9" spans="1:70" x14ac:dyDescent="0.25">
      <c r="A9" s="13" t="s">
        <v>0</v>
      </c>
      <c r="B9" s="13" t="s">
        <v>45</v>
      </c>
      <c r="C9" s="13" t="s">
        <v>0</v>
      </c>
      <c r="D9" s="13" t="s">
        <v>45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</row>
    <row r="10" spans="1:70" x14ac:dyDescent="0.25">
      <c r="A10" s="59">
        <v>39902</v>
      </c>
      <c r="B10" s="60">
        <v>2010.61</v>
      </c>
      <c r="C10" s="59">
        <v>39902</v>
      </c>
      <c r="D10" s="60">
        <v>15269</v>
      </c>
      <c r="E10" s="59"/>
      <c r="F10" s="60"/>
      <c r="G10" s="59"/>
      <c r="H10" s="60"/>
      <c r="I10" s="59"/>
      <c r="J10" s="60"/>
      <c r="K10" s="59"/>
      <c r="L10" s="60"/>
      <c r="M10" s="59"/>
      <c r="N10" s="60"/>
      <c r="O10" s="59"/>
      <c r="P10" s="60"/>
      <c r="Q10" s="59"/>
      <c r="R10" s="60"/>
      <c r="S10" s="59"/>
      <c r="T10" s="60"/>
      <c r="U10" s="59"/>
      <c r="V10" s="60"/>
      <c r="W10" s="59"/>
      <c r="X10" s="60"/>
      <c r="Y10" s="59"/>
      <c r="Z10" s="60"/>
      <c r="AA10" s="59"/>
      <c r="AB10" s="60"/>
      <c r="AC10" s="59"/>
      <c r="AD10" s="60"/>
      <c r="AE10" s="59"/>
      <c r="AF10" s="60"/>
      <c r="AG10" s="59"/>
      <c r="AH10" s="60"/>
      <c r="AI10" s="59"/>
      <c r="AJ10" s="60"/>
      <c r="AK10" s="59"/>
      <c r="AL10" s="60"/>
      <c r="AM10" s="30"/>
      <c r="AN10" s="24"/>
      <c r="AO10" s="30"/>
      <c r="AP10" s="24"/>
      <c r="AQ10" s="30"/>
      <c r="AR10" s="24"/>
      <c r="AS10" s="30"/>
      <c r="AT10" s="24"/>
      <c r="AU10" s="30"/>
      <c r="AV10" s="24"/>
      <c r="AW10" s="30"/>
      <c r="AX10" s="24"/>
      <c r="AY10" s="30"/>
      <c r="AZ10" s="24"/>
      <c r="BA10" s="30"/>
      <c r="BB10" s="24"/>
      <c r="BC10" s="30"/>
      <c r="BD10" s="24"/>
      <c r="BE10" s="30"/>
      <c r="BF10" s="24"/>
      <c r="BG10" s="30"/>
      <c r="BH10" s="24"/>
      <c r="BI10" s="30"/>
      <c r="BJ10" s="24"/>
      <c r="BK10" s="30"/>
      <c r="BL10" s="24"/>
      <c r="BM10" s="30"/>
      <c r="BN10" s="24"/>
      <c r="BO10" s="30"/>
      <c r="BP10" s="24"/>
      <c r="BQ10" s="30"/>
      <c r="BR10" s="24"/>
    </row>
    <row r="11" spans="1:70" x14ac:dyDescent="0.25">
      <c r="A11" s="2">
        <v>39903</v>
      </c>
      <c r="B11" s="3">
        <v>2071.13</v>
      </c>
      <c r="C11" s="2">
        <v>39903</v>
      </c>
      <c r="D11" s="3">
        <v>15875</v>
      </c>
      <c r="E11" s="2"/>
      <c r="F11" s="3"/>
      <c r="G11" s="2"/>
      <c r="H11" s="3"/>
      <c r="I11" s="65"/>
      <c r="K11" s="65"/>
      <c r="M11" s="65"/>
      <c r="O11" s="65"/>
      <c r="Q11" s="65"/>
      <c r="S11" s="65"/>
      <c r="U11" s="65"/>
      <c r="W11" s="65"/>
      <c r="Y11" s="65"/>
      <c r="AA11" s="65"/>
      <c r="AC11" s="65"/>
      <c r="AE11" s="65"/>
      <c r="AG11" s="65"/>
      <c r="AI11" s="65"/>
      <c r="AK11" s="65"/>
    </row>
    <row r="12" spans="1:70" x14ac:dyDescent="0.25">
      <c r="A12" s="2">
        <v>39904</v>
      </c>
      <c r="B12" s="3">
        <v>2097.5700000000002</v>
      </c>
      <c r="C12" s="2">
        <v>39904</v>
      </c>
      <c r="D12" s="3">
        <v>16047</v>
      </c>
      <c r="E12" s="2"/>
      <c r="F12" s="3"/>
      <c r="G12" s="2"/>
      <c r="H12" s="3"/>
      <c r="I12" s="65"/>
      <c r="K12" s="65"/>
      <c r="M12" s="65"/>
      <c r="O12" s="65"/>
      <c r="Q12" s="65"/>
      <c r="S12" s="65"/>
      <c r="U12" s="65"/>
      <c r="W12" s="65"/>
      <c r="Y12" s="65"/>
      <c r="AA12" s="65"/>
      <c r="AC12" s="65"/>
      <c r="AE12" s="65"/>
      <c r="AG12" s="65"/>
      <c r="AI12" s="65"/>
      <c r="AK12" s="65"/>
    </row>
    <row r="13" spans="1:70" x14ac:dyDescent="0.25">
      <c r="A13" s="2">
        <v>39905</v>
      </c>
      <c r="B13" s="3">
        <v>2216.4899999999998</v>
      </c>
      <c r="C13" s="2">
        <v>39905</v>
      </c>
      <c r="D13" s="3">
        <v>16811</v>
      </c>
      <c r="E13" s="2"/>
      <c r="F13" s="3"/>
      <c r="G13" s="2"/>
      <c r="H13" s="3"/>
      <c r="I13" s="65"/>
      <c r="K13" s="65"/>
      <c r="M13" s="65"/>
      <c r="O13" s="65"/>
      <c r="Q13" s="65"/>
      <c r="S13" s="65"/>
      <c r="U13" s="65"/>
      <c r="W13" s="65"/>
      <c r="Y13" s="65"/>
      <c r="AA13" s="65"/>
      <c r="AC13" s="65"/>
      <c r="AE13" s="65"/>
      <c r="AG13" s="65"/>
      <c r="AI13" s="65"/>
      <c r="AK13" s="65"/>
    </row>
    <row r="14" spans="1:70" x14ac:dyDescent="0.25">
      <c r="A14" s="2">
        <v>39906</v>
      </c>
      <c r="B14" s="3">
        <v>2198.75</v>
      </c>
      <c r="C14" s="2">
        <v>39906</v>
      </c>
      <c r="D14" s="3">
        <v>16900</v>
      </c>
      <c r="E14" s="2"/>
      <c r="F14" s="3"/>
      <c r="G14" s="2"/>
      <c r="H14" s="3"/>
      <c r="I14" s="65"/>
      <c r="K14" s="65"/>
      <c r="M14" s="65"/>
      <c r="O14" s="65"/>
      <c r="Q14" s="65"/>
      <c r="S14" s="65"/>
      <c r="U14" s="65"/>
      <c r="W14" s="65"/>
      <c r="Y14" s="65"/>
      <c r="AA14" s="65"/>
      <c r="AC14" s="65"/>
      <c r="AE14" s="65"/>
      <c r="AG14" s="65"/>
      <c r="AI14" s="65"/>
      <c r="AK14" s="65"/>
    </row>
    <row r="15" spans="1:70" x14ac:dyDescent="0.25">
      <c r="A15" s="2">
        <v>39909</v>
      </c>
      <c r="B15" s="3">
        <v>2179.73</v>
      </c>
      <c r="C15" s="2">
        <v>39909</v>
      </c>
      <c r="D15" s="3">
        <v>16690</v>
      </c>
      <c r="E15" s="2"/>
      <c r="F15" s="3"/>
      <c r="G15" s="2"/>
      <c r="H15" s="3"/>
      <c r="I15" s="65"/>
      <c r="K15" s="65"/>
      <c r="M15" s="65"/>
      <c r="O15" s="65"/>
      <c r="Q15" s="65"/>
      <c r="S15" s="65"/>
      <c r="U15" s="65"/>
      <c r="W15" s="65"/>
      <c r="Y15" s="65"/>
      <c r="AA15" s="65"/>
      <c r="AC15" s="65"/>
      <c r="AE15" s="65"/>
      <c r="AG15" s="65"/>
      <c r="AI15" s="65"/>
      <c r="AK15" s="65"/>
    </row>
    <row r="16" spans="1:70" x14ac:dyDescent="0.25">
      <c r="A16" s="2">
        <v>39910</v>
      </c>
      <c r="B16" s="3">
        <v>2165.56</v>
      </c>
      <c r="C16" s="2">
        <v>39910</v>
      </c>
      <c r="D16" s="3">
        <v>16561.18</v>
      </c>
      <c r="E16" s="2"/>
      <c r="F16" s="3"/>
      <c r="G16" s="2"/>
      <c r="H16" s="3"/>
      <c r="I16" s="65"/>
      <c r="K16" s="65"/>
      <c r="M16" s="65"/>
      <c r="O16" s="65"/>
      <c r="Q16" s="65"/>
      <c r="S16" s="65"/>
      <c r="U16" s="65"/>
      <c r="W16" s="65"/>
      <c r="Y16" s="65"/>
      <c r="AA16" s="65"/>
      <c r="AC16" s="65"/>
      <c r="AE16" s="65"/>
      <c r="AG16" s="65"/>
      <c r="AI16" s="65"/>
      <c r="AK16" s="65"/>
    </row>
    <row r="17" spans="1:37" x14ac:dyDescent="0.25">
      <c r="A17" s="2">
        <v>39911</v>
      </c>
      <c r="B17" s="3">
        <v>2186.79</v>
      </c>
      <c r="C17" s="2">
        <v>39911</v>
      </c>
      <c r="D17" s="3">
        <v>16939.330000000002</v>
      </c>
      <c r="E17" s="2"/>
      <c r="F17" s="3"/>
      <c r="G17" s="2"/>
      <c r="H17" s="3"/>
      <c r="I17" s="65"/>
      <c r="K17" s="65"/>
      <c r="M17" s="65"/>
      <c r="O17" s="65"/>
      <c r="Q17" s="65"/>
      <c r="S17" s="65"/>
      <c r="U17" s="65"/>
      <c r="W17" s="65"/>
      <c r="Y17" s="65"/>
      <c r="AA17" s="65"/>
      <c r="AC17" s="65"/>
      <c r="AE17" s="65"/>
      <c r="AG17" s="65"/>
      <c r="AI17" s="65"/>
      <c r="AK17" s="65"/>
    </row>
    <row r="18" spans="1:37" x14ac:dyDescent="0.25">
      <c r="A18" s="2">
        <v>39912</v>
      </c>
      <c r="B18" s="3">
        <v>2247.89</v>
      </c>
      <c r="C18" s="2">
        <v>39912</v>
      </c>
      <c r="D18" s="3">
        <v>17407.97</v>
      </c>
      <c r="E18" s="2"/>
      <c r="F18" s="3"/>
      <c r="G18" s="2"/>
      <c r="H18" s="3"/>
      <c r="I18" s="65"/>
      <c r="K18" s="65"/>
      <c r="M18" s="65"/>
      <c r="O18" s="65"/>
      <c r="Q18" s="65"/>
      <c r="S18" s="65"/>
      <c r="U18" s="65"/>
      <c r="W18" s="65"/>
      <c r="Y18" s="65"/>
      <c r="AA18" s="65"/>
      <c r="AC18" s="65"/>
      <c r="AE18" s="65"/>
      <c r="AG18" s="65"/>
      <c r="AI18" s="65"/>
      <c r="AK18" s="65"/>
    </row>
    <row r="19" spans="1:37" x14ac:dyDescent="0.25">
      <c r="A19" s="2">
        <v>39917</v>
      </c>
      <c r="B19" s="3">
        <v>2278.65</v>
      </c>
      <c r="C19" s="2">
        <v>39917</v>
      </c>
      <c r="D19" s="3">
        <v>17815.580000000002</v>
      </c>
      <c r="E19" s="2"/>
      <c r="F19" s="3"/>
      <c r="G19" s="2"/>
      <c r="H19" s="3"/>
      <c r="I19" s="65"/>
      <c r="K19" s="65"/>
      <c r="M19" s="65"/>
      <c r="O19" s="65"/>
      <c r="Q19" s="65"/>
      <c r="S19" s="65"/>
      <c r="U19" s="65"/>
      <c r="W19" s="65"/>
      <c r="Y19" s="65"/>
      <c r="AA19" s="65"/>
      <c r="AC19" s="65"/>
      <c r="AE19" s="65"/>
      <c r="AG19" s="65"/>
      <c r="AI19" s="65"/>
      <c r="AK19" s="65"/>
    </row>
    <row r="20" spans="1:37" x14ac:dyDescent="0.25">
      <c r="A20" s="2">
        <v>39918</v>
      </c>
      <c r="B20" s="3">
        <v>2262.96</v>
      </c>
      <c r="C20" s="2">
        <v>39918</v>
      </c>
      <c r="D20" s="3">
        <v>17811.48</v>
      </c>
      <c r="E20" s="2"/>
      <c r="F20" s="3"/>
      <c r="G20" s="2"/>
      <c r="H20" s="3"/>
      <c r="I20" s="65"/>
      <c r="K20" s="65"/>
      <c r="M20" s="65"/>
      <c r="O20" s="65"/>
      <c r="Q20" s="65"/>
      <c r="S20" s="65"/>
      <c r="U20" s="65"/>
      <c r="W20" s="65"/>
      <c r="Y20" s="65"/>
      <c r="AA20" s="65"/>
      <c r="AC20" s="65"/>
      <c r="AE20" s="65"/>
      <c r="AG20" s="65"/>
      <c r="AI20" s="65"/>
      <c r="AK20" s="65"/>
    </row>
    <row r="21" spans="1:37" x14ac:dyDescent="0.25">
      <c r="A21" s="2">
        <v>39919</v>
      </c>
      <c r="B21" s="3">
        <v>2300.5100000000002</v>
      </c>
      <c r="C21" s="2">
        <v>39919</v>
      </c>
      <c r="D21" s="3">
        <v>18153.55</v>
      </c>
      <c r="E21" s="2"/>
      <c r="F21" s="3"/>
      <c r="G21" s="2"/>
      <c r="H21" s="3"/>
      <c r="I21" s="65"/>
      <c r="K21" s="65"/>
      <c r="M21" s="65"/>
      <c r="O21" s="65"/>
      <c r="Q21" s="65"/>
      <c r="S21" s="65"/>
      <c r="U21" s="65"/>
      <c r="W21" s="65"/>
      <c r="Y21" s="65"/>
      <c r="AA21" s="65"/>
      <c r="AC21" s="65"/>
      <c r="AE21" s="65"/>
      <c r="AG21" s="65"/>
      <c r="AI21" s="65"/>
      <c r="AK21" s="65"/>
    </row>
    <row r="22" spans="1:37" x14ac:dyDescent="0.25">
      <c r="A22" s="2">
        <v>39920</v>
      </c>
      <c r="B22" s="3">
        <v>2341.15</v>
      </c>
      <c r="C22" s="2">
        <v>39920</v>
      </c>
      <c r="D22" s="3">
        <v>18509.830000000002</v>
      </c>
      <c r="E22" s="2"/>
      <c r="F22" s="3"/>
      <c r="G22" s="2"/>
      <c r="H22" s="3"/>
      <c r="I22" s="65"/>
      <c r="K22" s="65"/>
      <c r="M22" s="65"/>
      <c r="O22" s="65"/>
      <c r="Q22" s="65"/>
      <c r="S22" s="65"/>
      <c r="U22" s="65"/>
      <c r="W22" s="65"/>
      <c r="Y22" s="65"/>
      <c r="AA22" s="65"/>
      <c r="AC22" s="65"/>
      <c r="AE22" s="65"/>
      <c r="AG22" s="65"/>
      <c r="AI22" s="65"/>
      <c r="AK22" s="65"/>
    </row>
    <row r="23" spans="1:37" x14ac:dyDescent="0.25">
      <c r="A23" s="2">
        <v>39923</v>
      </c>
      <c r="B23" s="3">
        <v>2249.44</v>
      </c>
      <c r="C23" s="2">
        <v>39923</v>
      </c>
      <c r="D23" s="3">
        <v>17731.36</v>
      </c>
      <c r="E23" s="2"/>
      <c r="F23" s="3"/>
      <c r="G23" s="2"/>
      <c r="H23" s="3"/>
      <c r="I23" s="65"/>
      <c r="K23" s="65"/>
      <c r="M23" s="65"/>
      <c r="O23" s="65"/>
      <c r="Q23" s="65"/>
      <c r="S23" s="65"/>
      <c r="U23" s="65"/>
      <c r="W23" s="65"/>
      <c r="Y23" s="65"/>
      <c r="AA23" s="65"/>
      <c r="AC23" s="65"/>
      <c r="AE23" s="65"/>
      <c r="AG23" s="65"/>
      <c r="AI23" s="65"/>
      <c r="AK23" s="65"/>
    </row>
    <row r="24" spans="1:37" x14ac:dyDescent="0.25">
      <c r="A24" s="2">
        <v>39924</v>
      </c>
      <c r="B24" s="3">
        <v>2243.63</v>
      </c>
      <c r="C24" s="2">
        <v>39924</v>
      </c>
      <c r="D24" s="3">
        <v>17688.27</v>
      </c>
      <c r="E24" s="2"/>
      <c r="F24" s="3"/>
      <c r="G24" s="2"/>
      <c r="H24" s="3"/>
      <c r="I24" s="65"/>
      <c r="K24" s="65"/>
      <c r="M24" s="65"/>
      <c r="O24" s="65"/>
      <c r="Q24" s="65"/>
      <c r="S24" s="65"/>
      <c r="U24" s="65"/>
      <c r="W24" s="65"/>
      <c r="Y24" s="65"/>
      <c r="AA24" s="65"/>
      <c r="AC24" s="65"/>
      <c r="AE24" s="65"/>
      <c r="AG24" s="65"/>
      <c r="AI24" s="65"/>
      <c r="AK24" s="65"/>
    </row>
    <row r="25" spans="1:37" x14ac:dyDescent="0.25">
      <c r="A25" s="2">
        <v>39925</v>
      </c>
      <c r="B25" s="3">
        <v>2285.69</v>
      </c>
      <c r="C25" s="2">
        <v>39925</v>
      </c>
      <c r="D25" s="3">
        <v>18085.990000000002</v>
      </c>
      <c r="E25" s="2"/>
      <c r="F25" s="3"/>
      <c r="G25" s="2"/>
      <c r="H25" s="3"/>
      <c r="I25" s="65"/>
      <c r="K25" s="65"/>
      <c r="M25" s="65"/>
      <c r="O25" s="65"/>
      <c r="Q25" s="65"/>
      <c r="S25" s="65"/>
      <c r="U25" s="65"/>
      <c r="W25" s="65"/>
      <c r="Y25" s="65"/>
      <c r="AA25" s="65"/>
      <c r="AC25" s="65"/>
      <c r="AE25" s="65"/>
      <c r="AG25" s="65"/>
      <c r="AI25" s="65"/>
      <c r="AK25" s="65"/>
    </row>
    <row r="26" spans="1:37" x14ac:dyDescent="0.25">
      <c r="A26" s="2">
        <v>39926</v>
      </c>
      <c r="B26" s="3">
        <v>2259.54</v>
      </c>
      <c r="C26" s="2">
        <v>39926</v>
      </c>
      <c r="D26" s="3">
        <v>18144.759999999998</v>
      </c>
      <c r="E26" s="2"/>
      <c r="F26" s="3"/>
      <c r="G26" s="2"/>
      <c r="H26" s="3"/>
      <c r="I26" s="65"/>
      <c r="K26" s="65"/>
      <c r="M26" s="65"/>
      <c r="O26" s="65"/>
      <c r="Q26" s="65"/>
      <c r="S26" s="65"/>
      <c r="U26" s="65"/>
      <c r="W26" s="65"/>
      <c r="Y26" s="65"/>
      <c r="AA26" s="65"/>
      <c r="AC26" s="65"/>
      <c r="AE26" s="65"/>
      <c r="AG26" s="65"/>
      <c r="AI26" s="65"/>
      <c r="AK26" s="65"/>
    </row>
    <row r="27" spans="1:37" x14ac:dyDescent="0.25">
      <c r="A27" s="2">
        <v>39927</v>
      </c>
      <c r="B27" s="3">
        <v>2319.89</v>
      </c>
      <c r="C27" s="2">
        <v>39927</v>
      </c>
      <c r="D27" s="3">
        <v>18651.36</v>
      </c>
      <c r="E27" s="2"/>
      <c r="F27" s="3"/>
      <c r="G27" s="2"/>
      <c r="H27" s="3"/>
      <c r="I27" s="65"/>
      <c r="K27" s="65"/>
      <c r="M27" s="65"/>
      <c r="O27" s="65"/>
      <c r="Q27" s="65"/>
      <c r="S27" s="65"/>
      <c r="U27" s="65"/>
      <c r="W27" s="65"/>
      <c r="Y27" s="65"/>
      <c r="AA27" s="65"/>
      <c r="AC27" s="65"/>
      <c r="AE27" s="65"/>
      <c r="AG27" s="65"/>
      <c r="AI27" s="65"/>
      <c r="AK27" s="65"/>
    </row>
    <row r="28" spans="1:37" x14ac:dyDescent="0.25">
      <c r="A28" s="2">
        <v>39930</v>
      </c>
      <c r="B28" s="3">
        <v>2317.36</v>
      </c>
      <c r="C28" s="2">
        <v>39930</v>
      </c>
      <c r="D28" s="3">
        <v>18823.439999999999</v>
      </c>
      <c r="E28" s="2"/>
      <c r="F28" s="3"/>
      <c r="G28" s="2"/>
      <c r="H28" s="3"/>
      <c r="I28" s="65"/>
      <c r="K28" s="65"/>
      <c r="M28" s="65"/>
      <c r="O28" s="65"/>
      <c r="Q28" s="65"/>
      <c r="S28" s="65"/>
      <c r="U28" s="65"/>
      <c r="W28" s="65"/>
      <c r="Y28" s="65"/>
      <c r="AA28" s="65"/>
      <c r="AC28" s="65"/>
      <c r="AE28" s="65"/>
      <c r="AG28" s="65"/>
      <c r="AI28" s="65"/>
      <c r="AK28" s="65"/>
    </row>
    <row r="29" spans="1:37" x14ac:dyDescent="0.25">
      <c r="A29" s="2">
        <v>39931</v>
      </c>
      <c r="B29" s="3">
        <v>2280.52</v>
      </c>
      <c r="C29" s="2">
        <v>39931</v>
      </c>
      <c r="D29" s="3">
        <v>18497.77</v>
      </c>
      <c r="E29" s="2"/>
      <c r="F29" s="3"/>
      <c r="G29" s="2"/>
      <c r="H29" s="3"/>
      <c r="I29" s="65"/>
      <c r="K29" s="65"/>
      <c r="M29" s="65"/>
      <c r="O29" s="65"/>
      <c r="Q29" s="65"/>
      <c r="S29" s="65"/>
      <c r="U29" s="65"/>
      <c r="W29" s="65"/>
      <c r="Y29" s="65"/>
      <c r="AA29" s="65"/>
      <c r="AC29" s="65"/>
      <c r="AE29" s="65"/>
      <c r="AG29" s="65"/>
      <c r="AI29" s="65"/>
      <c r="AK29" s="65"/>
    </row>
    <row r="30" spans="1:37" x14ac:dyDescent="0.25">
      <c r="A30" s="2">
        <v>39932</v>
      </c>
      <c r="B30" s="3">
        <v>2334.59</v>
      </c>
      <c r="C30" s="2">
        <v>39932</v>
      </c>
      <c r="D30" s="3">
        <v>18903.82</v>
      </c>
      <c r="E30" s="2"/>
      <c r="F30" s="3"/>
      <c r="G30" s="2"/>
      <c r="H30" s="3"/>
      <c r="I30" s="65"/>
      <c r="K30" s="65"/>
      <c r="M30" s="65"/>
      <c r="O30" s="65"/>
      <c r="Q30" s="65"/>
      <c r="S30" s="65"/>
      <c r="U30" s="65"/>
      <c r="W30" s="65"/>
      <c r="Y30" s="65"/>
      <c r="AA30" s="65"/>
      <c r="AC30" s="65"/>
      <c r="AE30" s="65"/>
      <c r="AG30" s="65"/>
      <c r="AI30" s="65"/>
      <c r="AK30" s="65"/>
    </row>
    <row r="31" spans="1:37" x14ac:dyDescent="0.25">
      <c r="A31" s="2">
        <v>39933</v>
      </c>
      <c r="B31" s="3">
        <v>2375.34</v>
      </c>
      <c r="C31" s="2">
        <v>39933</v>
      </c>
      <c r="D31" s="3">
        <v>19176.54</v>
      </c>
      <c r="E31" s="2"/>
      <c r="F31" s="3"/>
      <c r="G31" s="2"/>
      <c r="H31" s="3"/>
      <c r="I31" s="65"/>
      <c r="K31" s="65"/>
      <c r="M31" s="65"/>
      <c r="O31" s="65"/>
      <c r="Q31" s="65"/>
      <c r="S31" s="65"/>
      <c r="U31" s="65"/>
      <c r="W31" s="65"/>
      <c r="Y31" s="65"/>
      <c r="AA31" s="65"/>
      <c r="AC31" s="65"/>
      <c r="AE31" s="65"/>
      <c r="AG31" s="65"/>
      <c r="AI31" s="65"/>
      <c r="AK31" s="65"/>
    </row>
    <row r="32" spans="1:37" x14ac:dyDescent="0.25">
      <c r="A32" s="2">
        <v>39934</v>
      </c>
      <c r="B32" s="3">
        <v>2375.34</v>
      </c>
      <c r="C32" s="2">
        <v>39937</v>
      </c>
      <c r="D32" s="3">
        <v>19792.12</v>
      </c>
      <c r="E32" s="2"/>
      <c r="F32" s="3"/>
      <c r="G32" s="2"/>
      <c r="H32" s="3"/>
      <c r="I32" s="65"/>
      <c r="K32" s="65"/>
      <c r="M32" s="65"/>
      <c r="O32" s="65"/>
      <c r="Q32" s="65"/>
      <c r="S32" s="65"/>
      <c r="U32" s="65"/>
      <c r="W32" s="65"/>
      <c r="Y32" s="65"/>
      <c r="AA32" s="65"/>
      <c r="AC32" s="65"/>
      <c r="AE32" s="65"/>
      <c r="AG32" s="65"/>
      <c r="AI32" s="65"/>
      <c r="AK32" s="65"/>
    </row>
    <row r="33" spans="1:37" x14ac:dyDescent="0.25">
      <c r="A33" s="2">
        <v>39937</v>
      </c>
      <c r="B33" s="3">
        <v>2419.5300000000002</v>
      </c>
      <c r="C33" s="2">
        <v>39938</v>
      </c>
      <c r="D33" s="3">
        <v>19685.22</v>
      </c>
      <c r="E33" s="2"/>
      <c r="F33" s="3"/>
      <c r="G33" s="2"/>
      <c r="H33" s="3"/>
      <c r="I33" s="65"/>
      <c r="K33" s="65"/>
      <c r="M33" s="65"/>
      <c r="O33" s="65"/>
      <c r="Q33" s="65"/>
      <c r="S33" s="65"/>
      <c r="U33" s="65"/>
      <c r="W33" s="65"/>
      <c r="Y33" s="65"/>
      <c r="AA33" s="65"/>
      <c r="AC33" s="65"/>
      <c r="AE33" s="65"/>
      <c r="AG33" s="65"/>
      <c r="AI33" s="65"/>
      <c r="AK33" s="65"/>
    </row>
    <row r="34" spans="1:37" x14ac:dyDescent="0.25">
      <c r="A34" s="2">
        <v>39938</v>
      </c>
      <c r="B34" s="3">
        <v>2407.5500000000002</v>
      </c>
      <c r="C34" s="2">
        <v>39939</v>
      </c>
      <c r="D34" s="3">
        <v>20104.21</v>
      </c>
      <c r="E34" s="2"/>
      <c r="F34" s="3"/>
      <c r="G34" s="2"/>
      <c r="H34" s="3"/>
      <c r="I34" s="65"/>
      <c r="K34" s="65"/>
      <c r="M34" s="65"/>
      <c r="O34" s="65"/>
      <c r="Q34" s="65"/>
      <c r="S34" s="65"/>
      <c r="U34" s="65"/>
      <c r="W34" s="65"/>
      <c r="Y34" s="65"/>
      <c r="AA34" s="65"/>
      <c r="AC34" s="65"/>
      <c r="AE34" s="65"/>
      <c r="AG34" s="65"/>
      <c r="AI34" s="65"/>
      <c r="AK34" s="65"/>
    </row>
    <row r="35" spans="1:37" x14ac:dyDescent="0.25">
      <c r="A35" s="2">
        <v>39939</v>
      </c>
      <c r="B35" s="3">
        <v>2437.27</v>
      </c>
      <c r="C35" s="2">
        <v>39940</v>
      </c>
      <c r="D35" s="3">
        <v>19814.21</v>
      </c>
      <c r="E35" s="2"/>
      <c r="F35" s="3"/>
      <c r="G35" s="2"/>
      <c r="H35" s="3"/>
      <c r="I35" s="65"/>
      <c r="K35" s="65"/>
      <c r="M35" s="65"/>
      <c r="O35" s="65"/>
      <c r="Q35" s="65"/>
      <c r="S35" s="65"/>
      <c r="U35" s="65"/>
      <c r="W35" s="65"/>
      <c r="Y35" s="65"/>
      <c r="AA35" s="65"/>
      <c r="AC35" s="65"/>
      <c r="AE35" s="65"/>
      <c r="AG35" s="65"/>
      <c r="AI35" s="65"/>
      <c r="AK35" s="65"/>
    </row>
    <row r="36" spans="1:37" x14ac:dyDescent="0.25">
      <c r="A36" s="2">
        <v>39940</v>
      </c>
      <c r="B36" s="3">
        <v>2406.08</v>
      </c>
      <c r="C36" s="2">
        <v>39941</v>
      </c>
      <c r="D36" s="3">
        <v>20508.55</v>
      </c>
      <c r="E36" s="2"/>
      <c r="F36" s="3"/>
      <c r="G36" s="2"/>
      <c r="H36" s="3"/>
      <c r="I36" s="65"/>
      <c r="K36" s="65"/>
      <c r="M36" s="65"/>
      <c r="O36" s="65"/>
      <c r="Q36" s="65"/>
      <c r="S36" s="65"/>
      <c r="U36" s="65"/>
      <c r="W36" s="65"/>
      <c r="Y36" s="65"/>
      <c r="AA36" s="65"/>
      <c r="AC36" s="65"/>
      <c r="AE36" s="65"/>
      <c r="AG36" s="65"/>
      <c r="AI36" s="65"/>
      <c r="AK36" s="65"/>
    </row>
    <row r="37" spans="1:37" x14ac:dyDescent="0.25">
      <c r="A37" s="2">
        <v>39941</v>
      </c>
      <c r="B37" s="3">
        <v>2462.39</v>
      </c>
      <c r="C37" s="2">
        <v>39944</v>
      </c>
      <c r="D37" s="3">
        <v>20200.28</v>
      </c>
      <c r="E37" s="2"/>
      <c r="F37" s="3"/>
      <c r="G37" s="2"/>
      <c r="H37" s="3"/>
      <c r="I37" s="65"/>
      <c r="K37" s="65"/>
      <c r="M37" s="65"/>
      <c r="O37" s="65"/>
      <c r="Q37" s="65"/>
      <c r="S37" s="65"/>
      <c r="U37" s="65"/>
      <c r="W37" s="65"/>
      <c r="Y37" s="65"/>
      <c r="AA37" s="65"/>
      <c r="AC37" s="65"/>
      <c r="AE37" s="65"/>
      <c r="AG37" s="65"/>
      <c r="AI37" s="65"/>
      <c r="AK37" s="65"/>
    </row>
    <row r="38" spans="1:37" x14ac:dyDescent="0.25">
      <c r="A38" s="2">
        <v>39944</v>
      </c>
      <c r="B38" s="3">
        <v>2433.59</v>
      </c>
      <c r="C38" s="2">
        <v>39945</v>
      </c>
      <c r="D38" s="3">
        <v>20337.150000000001</v>
      </c>
      <c r="E38" s="2"/>
      <c r="F38" s="3"/>
      <c r="G38" s="2"/>
      <c r="H38" s="3"/>
      <c r="I38" s="65"/>
      <c r="K38" s="65"/>
      <c r="M38" s="65"/>
      <c r="O38" s="65"/>
      <c r="Q38" s="65"/>
      <c r="S38" s="65"/>
      <c r="U38" s="65"/>
      <c r="W38" s="65"/>
      <c r="Y38" s="65"/>
      <c r="AA38" s="65"/>
      <c r="AC38" s="65"/>
      <c r="AE38" s="65"/>
      <c r="AG38" s="65"/>
      <c r="AI38" s="65"/>
      <c r="AK38" s="65"/>
    </row>
    <row r="39" spans="1:37" x14ac:dyDescent="0.25">
      <c r="A39" s="2">
        <v>39945</v>
      </c>
      <c r="B39" s="3">
        <v>2424.34</v>
      </c>
      <c r="C39" s="2">
        <v>39946</v>
      </c>
      <c r="D39" s="3">
        <v>19380.88</v>
      </c>
      <c r="E39" s="2"/>
      <c r="F39" s="3"/>
      <c r="G39" s="2"/>
      <c r="H39" s="3"/>
      <c r="I39" s="65"/>
      <c r="K39" s="65"/>
      <c r="M39" s="65"/>
      <c r="O39" s="65"/>
      <c r="Q39" s="65"/>
      <c r="S39" s="65"/>
      <c r="U39" s="65"/>
      <c r="W39" s="65"/>
      <c r="Y39" s="65"/>
      <c r="AA39" s="65"/>
      <c r="AC39" s="65"/>
      <c r="AE39" s="65"/>
      <c r="AG39" s="65"/>
      <c r="AI39" s="65"/>
      <c r="AK39" s="65"/>
    </row>
    <row r="40" spans="1:37" x14ac:dyDescent="0.25">
      <c r="A40" s="2">
        <v>39946</v>
      </c>
      <c r="B40" s="3">
        <v>2357.3000000000002</v>
      </c>
      <c r="C40" s="2">
        <v>39947</v>
      </c>
      <c r="D40" s="3">
        <v>19271.419999999998</v>
      </c>
      <c r="E40" s="2"/>
      <c r="F40" s="3"/>
      <c r="G40" s="2"/>
      <c r="H40" s="3"/>
      <c r="I40" s="65"/>
      <c r="K40" s="65"/>
      <c r="M40" s="65"/>
      <c r="O40" s="65"/>
      <c r="Q40" s="65"/>
      <c r="S40" s="65"/>
      <c r="U40" s="65"/>
      <c r="W40" s="65"/>
      <c r="Y40" s="65"/>
      <c r="AA40" s="65"/>
      <c r="AC40" s="65"/>
      <c r="AE40" s="65"/>
      <c r="AG40" s="65"/>
      <c r="AI40" s="65"/>
      <c r="AK40" s="65"/>
    </row>
    <row r="41" spans="1:37" x14ac:dyDescent="0.25">
      <c r="A41" s="2">
        <v>39947</v>
      </c>
      <c r="B41" s="3">
        <v>2353.5300000000002</v>
      </c>
      <c r="C41" s="2">
        <v>39948</v>
      </c>
      <c r="D41" s="3">
        <v>19548.330000000002</v>
      </c>
      <c r="E41" s="2"/>
      <c r="F41" s="3"/>
      <c r="G41" s="2"/>
      <c r="H41" s="3"/>
      <c r="I41" s="65"/>
      <c r="K41" s="65"/>
      <c r="M41" s="65"/>
      <c r="O41" s="65"/>
      <c r="Q41" s="65"/>
      <c r="S41" s="65"/>
      <c r="U41" s="65"/>
      <c r="W41" s="65"/>
      <c r="Y41" s="65"/>
      <c r="AA41" s="65"/>
      <c r="AC41" s="65"/>
      <c r="AE41" s="65"/>
      <c r="AG41" s="65"/>
      <c r="AI41" s="65"/>
      <c r="AK41" s="65"/>
    </row>
    <row r="42" spans="1:37" x14ac:dyDescent="0.25">
      <c r="A42" s="2">
        <v>39948</v>
      </c>
      <c r="B42" s="3">
        <v>2364.1</v>
      </c>
      <c r="C42" s="2">
        <v>39951</v>
      </c>
      <c r="D42" s="3">
        <v>19953.12</v>
      </c>
      <c r="E42" s="2"/>
      <c r="F42" s="3"/>
      <c r="G42" s="2"/>
      <c r="H42" s="3"/>
      <c r="I42" s="65"/>
      <c r="K42" s="65"/>
      <c r="M42" s="65"/>
      <c r="O42" s="65"/>
      <c r="Q42" s="65"/>
      <c r="S42" s="65"/>
      <c r="U42" s="65"/>
      <c r="W42" s="65"/>
      <c r="Y42" s="65"/>
      <c r="AA42" s="65"/>
      <c r="AC42" s="65"/>
      <c r="AE42" s="65"/>
      <c r="AG42" s="65"/>
      <c r="AI42" s="65"/>
      <c r="AK42" s="65"/>
    </row>
    <row r="43" spans="1:37" x14ac:dyDescent="0.25">
      <c r="A43" s="2">
        <v>39951</v>
      </c>
      <c r="B43" s="3">
        <v>2422.7399999999998</v>
      </c>
      <c r="C43" s="2">
        <v>39952</v>
      </c>
      <c r="D43" s="3">
        <v>20171.7</v>
      </c>
      <c r="E43" s="2"/>
      <c r="F43" s="3"/>
      <c r="G43" s="2"/>
      <c r="H43" s="3"/>
      <c r="I43" s="65"/>
      <c r="K43" s="65"/>
      <c r="M43" s="65"/>
      <c r="O43" s="65"/>
      <c r="Q43" s="65"/>
      <c r="S43" s="65"/>
      <c r="U43" s="65"/>
      <c r="W43" s="65"/>
      <c r="Y43" s="65"/>
      <c r="AA43" s="65"/>
      <c r="AC43" s="65"/>
      <c r="AE43" s="65"/>
      <c r="AG43" s="65"/>
      <c r="AI43" s="65"/>
      <c r="AK43" s="65"/>
    </row>
    <row r="44" spans="1:37" x14ac:dyDescent="0.25">
      <c r="A44" s="2">
        <v>39952</v>
      </c>
      <c r="B44" s="3">
        <v>2459.59</v>
      </c>
      <c r="C44" s="2">
        <v>39953</v>
      </c>
      <c r="D44" s="3">
        <v>20524.89</v>
      </c>
      <c r="E44" s="2"/>
      <c r="F44" s="3"/>
      <c r="G44" s="2"/>
      <c r="H44" s="3"/>
      <c r="I44" s="65"/>
      <c r="K44" s="65"/>
      <c r="M44" s="65"/>
      <c r="O44" s="65"/>
      <c r="Q44" s="65"/>
      <c r="S44" s="65"/>
      <c r="U44" s="65"/>
      <c r="W44" s="65"/>
      <c r="Y44" s="65"/>
      <c r="AA44" s="65"/>
      <c r="AC44" s="65"/>
      <c r="AE44" s="65"/>
      <c r="AG44" s="65"/>
      <c r="AI44" s="65"/>
      <c r="AK44" s="65"/>
    </row>
    <row r="45" spans="1:37" x14ac:dyDescent="0.25">
      <c r="A45" s="2">
        <v>39953</v>
      </c>
      <c r="B45" s="3">
        <v>2487.17</v>
      </c>
      <c r="C45" s="2">
        <v>39954</v>
      </c>
      <c r="D45" s="3">
        <v>19882.57</v>
      </c>
      <c r="E45" s="2"/>
      <c r="F45" s="3"/>
      <c r="G45" s="2"/>
      <c r="H45" s="3"/>
      <c r="I45" s="65"/>
      <c r="K45" s="65"/>
      <c r="M45" s="65"/>
      <c r="O45" s="65"/>
      <c r="Q45" s="65"/>
      <c r="S45" s="65"/>
      <c r="U45" s="65"/>
      <c r="W45" s="65"/>
      <c r="Y45" s="65"/>
      <c r="AA45" s="65"/>
      <c r="AC45" s="65"/>
      <c r="AE45" s="65"/>
      <c r="AG45" s="65"/>
      <c r="AI45" s="65"/>
      <c r="AK45" s="65"/>
    </row>
    <row r="46" spans="1:37" x14ac:dyDescent="0.25">
      <c r="A46" s="2">
        <v>39954</v>
      </c>
      <c r="B46" s="3">
        <v>2423.7199999999998</v>
      </c>
      <c r="C46" s="2">
        <v>39955</v>
      </c>
      <c r="D46" s="3">
        <v>20007.23</v>
      </c>
      <c r="E46" s="2"/>
      <c r="F46" s="3"/>
      <c r="G46" s="2"/>
      <c r="H46" s="3"/>
      <c r="I46" s="65"/>
      <c r="K46" s="65"/>
      <c r="M46" s="65"/>
      <c r="O46" s="65"/>
      <c r="Q46" s="65"/>
      <c r="S46" s="65"/>
      <c r="U46" s="65"/>
      <c r="W46" s="65"/>
      <c r="Y46" s="65"/>
      <c r="AA46" s="65"/>
      <c r="AC46" s="65"/>
      <c r="AE46" s="65"/>
      <c r="AG46" s="65"/>
      <c r="AI46" s="65"/>
      <c r="AK46" s="65"/>
    </row>
    <row r="47" spans="1:37" x14ac:dyDescent="0.25">
      <c r="A47" s="2">
        <v>39955</v>
      </c>
      <c r="B47" s="3">
        <v>2433.52</v>
      </c>
      <c r="C47" s="2">
        <v>39958</v>
      </c>
      <c r="D47" s="3">
        <v>19967.169999999998</v>
      </c>
      <c r="E47" s="2"/>
      <c r="F47" s="3"/>
      <c r="G47" s="2"/>
      <c r="H47" s="3"/>
      <c r="I47" s="65"/>
      <c r="K47" s="65"/>
      <c r="M47" s="65"/>
      <c r="O47" s="65"/>
      <c r="Q47" s="65"/>
      <c r="S47" s="65"/>
      <c r="U47" s="65"/>
      <c r="W47" s="65"/>
      <c r="Y47" s="65"/>
      <c r="AA47" s="65"/>
      <c r="AC47" s="65"/>
      <c r="AE47" s="65"/>
      <c r="AG47" s="65"/>
      <c r="AI47" s="65"/>
      <c r="AK47" s="65"/>
    </row>
    <row r="48" spans="1:37" x14ac:dyDescent="0.25">
      <c r="A48" s="2">
        <v>39958</v>
      </c>
      <c r="B48" s="3">
        <v>2440.23</v>
      </c>
      <c r="C48" s="2">
        <v>39959</v>
      </c>
      <c r="D48" s="3">
        <v>20297.009999999998</v>
      </c>
      <c r="E48" s="2"/>
      <c r="F48" s="3"/>
      <c r="G48" s="2"/>
      <c r="H48" s="3"/>
      <c r="I48" s="65"/>
      <c r="K48" s="65"/>
      <c r="M48" s="65"/>
      <c r="O48" s="65"/>
      <c r="Q48" s="65"/>
      <c r="S48" s="65"/>
      <c r="U48" s="65"/>
      <c r="W48" s="65"/>
      <c r="Y48" s="65"/>
      <c r="AA48" s="65"/>
      <c r="AC48" s="65"/>
      <c r="AE48" s="65"/>
      <c r="AG48" s="65"/>
      <c r="AI48" s="65"/>
      <c r="AK48" s="65"/>
    </row>
    <row r="49" spans="1:37" x14ac:dyDescent="0.25">
      <c r="A49" s="2">
        <v>39959</v>
      </c>
      <c r="B49" s="3">
        <v>2468.4499999999998</v>
      </c>
      <c r="C49" s="2">
        <v>39960</v>
      </c>
      <c r="D49" s="3">
        <v>20312.150000000001</v>
      </c>
      <c r="E49" s="2"/>
      <c r="F49" s="3"/>
      <c r="G49" s="2"/>
      <c r="H49" s="3"/>
      <c r="I49" s="65"/>
      <c r="K49" s="65"/>
      <c r="M49" s="65"/>
      <c r="O49" s="65"/>
      <c r="Q49" s="65"/>
      <c r="S49" s="65"/>
      <c r="U49" s="65"/>
      <c r="W49" s="65"/>
      <c r="Y49" s="65"/>
      <c r="AA49" s="65"/>
      <c r="AC49" s="65"/>
      <c r="AE49" s="65"/>
      <c r="AG49" s="65"/>
      <c r="AI49" s="65"/>
      <c r="AK49" s="65"/>
    </row>
    <row r="50" spans="1:37" x14ac:dyDescent="0.25">
      <c r="A50" s="2">
        <v>39960</v>
      </c>
      <c r="B50" s="3">
        <v>2479.48</v>
      </c>
      <c r="C50" s="2">
        <v>39961</v>
      </c>
      <c r="D50" s="3">
        <v>20150.099999999999</v>
      </c>
      <c r="E50" s="2"/>
      <c r="F50" s="3"/>
      <c r="G50" s="2"/>
      <c r="H50" s="3"/>
      <c r="I50" s="65"/>
      <c r="K50" s="65"/>
      <c r="M50" s="65"/>
      <c r="O50" s="65"/>
      <c r="Q50" s="65"/>
      <c r="S50" s="65"/>
      <c r="U50" s="65"/>
      <c r="W50" s="65"/>
      <c r="Y50" s="65"/>
      <c r="AA50" s="65"/>
      <c r="AC50" s="65"/>
      <c r="AE50" s="65"/>
      <c r="AG50" s="65"/>
      <c r="AI50" s="65"/>
      <c r="AK50" s="65"/>
    </row>
    <row r="51" spans="1:37" x14ac:dyDescent="0.25">
      <c r="A51" s="2">
        <v>39961</v>
      </c>
      <c r="B51" s="3">
        <v>2453.15</v>
      </c>
      <c r="C51" s="2">
        <v>39962</v>
      </c>
      <c r="D51" s="3">
        <v>19883.63</v>
      </c>
      <c r="E51" s="2"/>
      <c r="F51" s="3"/>
      <c r="G51" s="2"/>
      <c r="H51" s="3"/>
      <c r="I51" s="65"/>
      <c r="K51" s="65"/>
      <c r="M51" s="65"/>
      <c r="O51" s="65"/>
      <c r="Q51" s="65"/>
      <c r="S51" s="65"/>
      <c r="U51" s="65"/>
      <c r="W51" s="65"/>
      <c r="Y51" s="65"/>
      <c r="AA51" s="65"/>
      <c r="AC51" s="65"/>
      <c r="AE51" s="65"/>
      <c r="AG51" s="65"/>
      <c r="AI51" s="65"/>
      <c r="AK51" s="65"/>
    </row>
    <row r="52" spans="1:37" x14ac:dyDescent="0.25">
      <c r="A52" s="2">
        <v>39962</v>
      </c>
      <c r="B52" s="3">
        <v>2451.2399999999998</v>
      </c>
      <c r="C52" s="2">
        <v>39965</v>
      </c>
      <c r="D52" s="3">
        <v>20511.71</v>
      </c>
      <c r="E52" s="2"/>
      <c r="F52" s="3"/>
      <c r="G52" s="2"/>
      <c r="H52" s="3"/>
      <c r="I52" s="65"/>
      <c r="K52" s="65"/>
      <c r="M52" s="65"/>
      <c r="O52" s="65"/>
      <c r="Q52" s="65"/>
      <c r="S52" s="65"/>
      <c r="U52" s="65"/>
      <c r="W52" s="65"/>
      <c r="Y52" s="65"/>
      <c r="AA52" s="65"/>
      <c r="AC52" s="65"/>
      <c r="AE52" s="65"/>
      <c r="AG52" s="65"/>
      <c r="AI52" s="65"/>
      <c r="AK52" s="65"/>
    </row>
    <row r="53" spans="1:37" x14ac:dyDescent="0.25">
      <c r="A53" s="2">
        <v>39965</v>
      </c>
      <c r="B53" s="3">
        <v>2537.35</v>
      </c>
      <c r="C53" s="2">
        <v>39966</v>
      </c>
      <c r="D53" s="3">
        <v>20523.71</v>
      </c>
      <c r="E53" s="2"/>
      <c r="F53" s="3"/>
      <c r="G53" s="2"/>
      <c r="H53" s="3"/>
      <c r="I53" s="65"/>
      <c r="K53" s="65"/>
      <c r="M53" s="65"/>
      <c r="O53" s="65"/>
      <c r="Q53" s="65"/>
      <c r="S53" s="65"/>
      <c r="U53" s="65"/>
      <c r="W53" s="65"/>
      <c r="Y53" s="65"/>
      <c r="AA53" s="65"/>
      <c r="AC53" s="65"/>
      <c r="AE53" s="65"/>
      <c r="AG53" s="65"/>
      <c r="AI53" s="65"/>
      <c r="AK53" s="65"/>
    </row>
    <row r="54" spans="1:37" x14ac:dyDescent="0.25">
      <c r="A54" s="2">
        <v>39966</v>
      </c>
      <c r="B54" s="3">
        <v>2534.17</v>
      </c>
      <c r="C54" s="2">
        <v>39967</v>
      </c>
      <c r="D54" s="3">
        <v>20117.66</v>
      </c>
      <c r="E54" s="2"/>
      <c r="F54" s="3"/>
      <c r="G54" s="2"/>
      <c r="H54" s="3"/>
      <c r="I54" s="65"/>
      <c r="K54" s="65"/>
      <c r="M54" s="65"/>
      <c r="O54" s="65"/>
      <c r="Q54" s="65"/>
      <c r="S54" s="65"/>
      <c r="U54" s="65"/>
      <c r="W54" s="65"/>
      <c r="Y54" s="65"/>
      <c r="AA54" s="65"/>
      <c r="AC54" s="65"/>
      <c r="AE54" s="65"/>
      <c r="AG54" s="65"/>
      <c r="AI54" s="65"/>
      <c r="AK54" s="65"/>
    </row>
    <row r="55" spans="1:37" x14ac:dyDescent="0.25">
      <c r="A55" s="2">
        <v>39967</v>
      </c>
      <c r="B55" s="3">
        <v>2483.39</v>
      </c>
      <c r="C55" s="2">
        <v>39968</v>
      </c>
      <c r="D55" s="3">
        <v>20129.43</v>
      </c>
      <c r="E55" s="2"/>
      <c r="F55" s="3"/>
      <c r="G55" s="2"/>
      <c r="H55" s="3"/>
      <c r="I55" s="65"/>
      <c r="K55" s="65"/>
      <c r="M55" s="65"/>
      <c r="O55" s="65"/>
      <c r="Q55" s="65"/>
      <c r="S55" s="65"/>
      <c r="U55" s="65"/>
      <c r="W55" s="65"/>
      <c r="Y55" s="65"/>
      <c r="AA55" s="65"/>
      <c r="AC55" s="65"/>
      <c r="AE55" s="65"/>
      <c r="AG55" s="65"/>
      <c r="AI55" s="65"/>
      <c r="AK55" s="65"/>
    </row>
    <row r="56" spans="1:37" x14ac:dyDescent="0.25">
      <c r="A56" s="2">
        <v>39968</v>
      </c>
      <c r="B56" s="3">
        <v>2487.08</v>
      </c>
      <c r="C56" s="2">
        <v>39969</v>
      </c>
      <c r="D56" s="3">
        <v>20170.080000000002</v>
      </c>
      <c r="E56" s="2"/>
      <c r="F56" s="3"/>
      <c r="G56" s="2"/>
      <c r="H56" s="3"/>
      <c r="I56" s="65"/>
      <c r="K56" s="65"/>
      <c r="M56" s="65"/>
      <c r="O56" s="65"/>
      <c r="Q56" s="65"/>
      <c r="S56" s="65"/>
      <c r="U56" s="65"/>
      <c r="W56" s="65"/>
      <c r="Y56" s="65"/>
      <c r="AA56" s="65"/>
      <c r="AC56" s="65"/>
      <c r="AE56" s="65"/>
      <c r="AG56" s="65"/>
      <c r="AI56" s="65"/>
      <c r="AK56" s="65"/>
    </row>
    <row r="57" spans="1:37" x14ac:dyDescent="0.25">
      <c r="A57" s="2">
        <v>39969</v>
      </c>
      <c r="B57" s="3">
        <v>2503.17</v>
      </c>
      <c r="C57" s="2">
        <v>39972</v>
      </c>
      <c r="D57" s="3">
        <v>19889.599999999999</v>
      </c>
      <c r="E57" s="2"/>
      <c r="F57" s="3"/>
      <c r="G57" s="2"/>
      <c r="H57" s="3"/>
      <c r="I57" s="65"/>
      <c r="K57" s="65"/>
      <c r="M57" s="65"/>
      <c r="O57" s="65"/>
      <c r="Q57" s="65"/>
      <c r="S57" s="65"/>
      <c r="U57" s="65"/>
      <c r="W57" s="65"/>
      <c r="Y57" s="65"/>
      <c r="AA57" s="65"/>
      <c r="AC57" s="65"/>
      <c r="AE57" s="65"/>
      <c r="AG57" s="65"/>
      <c r="AI57" s="65"/>
      <c r="AK57" s="65"/>
    </row>
    <row r="58" spans="1:37" x14ac:dyDescent="0.25">
      <c r="A58" s="2">
        <v>39972</v>
      </c>
      <c r="B58" s="3">
        <v>2468.37</v>
      </c>
      <c r="C58" s="2">
        <v>39973</v>
      </c>
      <c r="D58" s="3">
        <v>20070.63</v>
      </c>
      <c r="E58" s="2"/>
      <c r="F58" s="3"/>
      <c r="G58" s="2"/>
      <c r="H58" s="3"/>
      <c r="I58" s="65"/>
      <c r="K58" s="65"/>
      <c r="M58" s="65"/>
      <c r="O58" s="65"/>
      <c r="Q58" s="65"/>
      <c r="S58" s="65"/>
      <c r="U58" s="65"/>
      <c r="W58" s="65"/>
      <c r="Y58" s="65"/>
      <c r="AA58" s="65"/>
      <c r="AC58" s="65"/>
      <c r="AE58" s="65"/>
      <c r="AG58" s="65"/>
      <c r="AI58" s="65"/>
      <c r="AK58" s="65"/>
    </row>
    <row r="59" spans="1:37" x14ac:dyDescent="0.25">
      <c r="A59" s="2">
        <v>39973</v>
      </c>
      <c r="B59" s="3">
        <v>2479.38</v>
      </c>
      <c r="C59" s="2">
        <v>39974</v>
      </c>
      <c r="D59" s="3">
        <v>20299.03</v>
      </c>
      <c r="E59" s="2"/>
      <c r="F59" s="3"/>
      <c r="G59" s="2"/>
      <c r="H59" s="3"/>
      <c r="I59" s="65"/>
      <c r="K59" s="65"/>
      <c r="M59" s="65"/>
      <c r="O59" s="65"/>
      <c r="Q59" s="65"/>
      <c r="S59" s="65"/>
      <c r="U59" s="65"/>
      <c r="W59" s="65"/>
      <c r="Y59" s="65"/>
      <c r="AA59" s="65"/>
      <c r="AC59" s="65"/>
      <c r="AE59" s="65"/>
      <c r="AG59" s="65"/>
      <c r="AI59" s="65"/>
      <c r="AK59" s="65"/>
    </row>
    <row r="60" spans="1:37" x14ac:dyDescent="0.25">
      <c r="A60" s="2">
        <v>39974</v>
      </c>
      <c r="B60" s="3">
        <v>2500.94</v>
      </c>
      <c r="C60" s="2">
        <v>39975</v>
      </c>
      <c r="D60" s="3">
        <v>20585.060000000001</v>
      </c>
      <c r="E60" s="2"/>
      <c r="F60" s="3"/>
      <c r="G60" s="2"/>
      <c r="H60" s="3"/>
      <c r="I60" s="65"/>
      <c r="K60" s="65"/>
      <c r="M60" s="65"/>
      <c r="O60" s="65"/>
      <c r="Q60" s="65"/>
      <c r="S60" s="65"/>
      <c r="U60" s="65"/>
      <c r="W60" s="65"/>
      <c r="Y60" s="65"/>
      <c r="AA60" s="65"/>
      <c r="AC60" s="65"/>
      <c r="AE60" s="65"/>
      <c r="AG60" s="65"/>
      <c r="AI60" s="65"/>
      <c r="AK60" s="65"/>
    </row>
    <row r="61" spans="1:37" x14ac:dyDescent="0.25">
      <c r="A61" s="2">
        <v>39975</v>
      </c>
      <c r="B61" s="3">
        <v>2522.33</v>
      </c>
      <c r="C61" s="2">
        <v>39976</v>
      </c>
      <c r="D61" s="3">
        <v>20384.22</v>
      </c>
      <c r="E61" s="2"/>
      <c r="F61" s="3"/>
      <c r="G61" s="2"/>
      <c r="H61" s="3"/>
      <c r="I61" s="65"/>
      <c r="K61" s="65"/>
      <c r="M61" s="65"/>
      <c r="O61" s="65"/>
      <c r="Q61" s="65"/>
      <c r="S61" s="65"/>
      <c r="U61" s="65"/>
      <c r="W61" s="65"/>
      <c r="Y61" s="65"/>
      <c r="AA61" s="65"/>
      <c r="AC61" s="65"/>
      <c r="AE61" s="65"/>
      <c r="AG61" s="65"/>
      <c r="AI61" s="65"/>
      <c r="AK61" s="65"/>
    </row>
    <row r="62" spans="1:37" x14ac:dyDescent="0.25">
      <c r="A62" s="2">
        <v>39976</v>
      </c>
      <c r="B62" s="3">
        <v>2509.2199999999998</v>
      </c>
      <c r="C62" s="2">
        <v>39979</v>
      </c>
      <c r="D62" s="3">
        <v>19770.490000000002</v>
      </c>
      <c r="E62" s="2"/>
      <c r="F62" s="3"/>
      <c r="G62" s="2"/>
      <c r="H62" s="3"/>
      <c r="I62" s="65"/>
      <c r="K62" s="65"/>
      <c r="M62" s="65"/>
      <c r="O62" s="65"/>
      <c r="Q62" s="65"/>
      <c r="S62" s="65"/>
      <c r="U62" s="65"/>
      <c r="W62" s="65"/>
      <c r="Y62" s="65"/>
      <c r="AA62" s="65"/>
      <c r="AC62" s="65"/>
      <c r="AE62" s="65"/>
      <c r="AG62" s="65"/>
      <c r="AI62" s="65"/>
      <c r="AK62" s="65"/>
    </row>
    <row r="63" spans="1:37" x14ac:dyDescent="0.25">
      <c r="A63" s="2">
        <v>39979</v>
      </c>
      <c r="B63" s="3">
        <v>2431.4</v>
      </c>
      <c r="C63" s="2">
        <v>39980</v>
      </c>
      <c r="D63" s="3">
        <v>19589.63</v>
      </c>
      <c r="E63" s="2"/>
      <c r="F63" s="3"/>
      <c r="G63" s="2"/>
      <c r="H63" s="3"/>
      <c r="I63" s="65"/>
      <c r="K63" s="65"/>
      <c r="M63" s="65"/>
      <c r="O63" s="65"/>
      <c r="Q63" s="65"/>
      <c r="S63" s="65"/>
      <c r="U63" s="65"/>
      <c r="W63" s="65"/>
      <c r="Y63" s="65"/>
      <c r="AA63" s="65"/>
      <c r="AC63" s="65"/>
      <c r="AE63" s="65"/>
      <c r="AG63" s="65"/>
      <c r="AI63" s="65"/>
      <c r="AK63" s="65"/>
    </row>
    <row r="64" spans="1:37" x14ac:dyDescent="0.25">
      <c r="A64" s="2">
        <v>39980</v>
      </c>
      <c r="B64" s="3">
        <v>2425.9699999999998</v>
      </c>
      <c r="C64" s="2">
        <v>39981</v>
      </c>
      <c r="D64" s="3">
        <v>19023.05</v>
      </c>
      <c r="E64" s="2"/>
      <c r="F64" s="3"/>
      <c r="G64" s="2"/>
      <c r="H64" s="3"/>
      <c r="I64" s="65"/>
      <c r="K64" s="65"/>
      <c r="M64" s="65"/>
      <c r="O64" s="65"/>
      <c r="Q64" s="65"/>
      <c r="S64" s="65"/>
      <c r="U64" s="65"/>
      <c r="W64" s="65"/>
      <c r="Y64" s="65"/>
      <c r="AA64" s="65"/>
      <c r="AC64" s="65"/>
      <c r="AE64" s="65"/>
      <c r="AG64" s="65"/>
      <c r="AI64" s="65"/>
      <c r="AK64" s="65"/>
    </row>
    <row r="65" spans="1:37" x14ac:dyDescent="0.25">
      <c r="A65" s="2">
        <v>39981</v>
      </c>
      <c r="B65" s="3">
        <v>2383.71</v>
      </c>
      <c r="C65" s="2">
        <v>39982</v>
      </c>
      <c r="D65" s="3">
        <v>19233.79</v>
      </c>
      <c r="E65" s="2"/>
      <c r="F65" s="3"/>
      <c r="G65" s="2"/>
      <c r="H65" s="3"/>
      <c r="I65" s="65"/>
      <c r="K65" s="65"/>
      <c r="M65" s="65"/>
      <c r="O65" s="65"/>
      <c r="Q65" s="65"/>
      <c r="S65" s="65"/>
      <c r="U65" s="65"/>
      <c r="W65" s="65"/>
      <c r="Y65" s="65"/>
      <c r="AA65" s="65"/>
      <c r="AC65" s="65"/>
      <c r="AE65" s="65"/>
      <c r="AG65" s="65"/>
      <c r="AI65" s="65"/>
      <c r="AK65" s="65"/>
    </row>
    <row r="66" spans="1:37" x14ac:dyDescent="0.25">
      <c r="A66" s="2">
        <v>39982</v>
      </c>
      <c r="B66" s="3">
        <v>2414.44</v>
      </c>
      <c r="C66" s="2">
        <v>39983</v>
      </c>
      <c r="D66" s="3">
        <v>19347.98</v>
      </c>
      <c r="E66" s="2"/>
      <c r="F66" s="3"/>
      <c r="G66" s="2"/>
      <c r="H66" s="3"/>
      <c r="I66" s="65"/>
      <c r="K66" s="65"/>
      <c r="M66" s="65"/>
      <c r="O66" s="65"/>
      <c r="Q66" s="65"/>
      <c r="S66" s="65"/>
      <c r="U66" s="65"/>
      <c r="W66" s="65"/>
      <c r="Y66" s="65"/>
      <c r="AA66" s="65"/>
      <c r="AC66" s="65"/>
      <c r="AE66" s="65"/>
      <c r="AG66" s="65"/>
      <c r="AI66" s="65"/>
      <c r="AK66" s="65"/>
    </row>
    <row r="67" spans="1:37" x14ac:dyDescent="0.25">
      <c r="A67" s="2">
        <v>39983</v>
      </c>
      <c r="B67" s="3">
        <v>2434.77</v>
      </c>
      <c r="C67" s="2">
        <v>39986</v>
      </c>
      <c r="D67" s="3">
        <v>18541.3</v>
      </c>
      <c r="E67" s="2"/>
      <c r="F67" s="3"/>
      <c r="G67" s="2"/>
      <c r="H67" s="3"/>
      <c r="I67" s="65"/>
      <c r="K67" s="65"/>
      <c r="M67" s="65"/>
      <c r="O67" s="65"/>
      <c r="Q67" s="65"/>
      <c r="S67" s="65"/>
      <c r="U67" s="65"/>
      <c r="W67" s="65"/>
      <c r="Y67" s="65"/>
      <c r="AA67" s="65"/>
      <c r="AC67" s="65"/>
      <c r="AE67" s="65"/>
      <c r="AG67" s="65"/>
      <c r="AI67" s="65"/>
      <c r="AK67" s="65"/>
    </row>
    <row r="68" spans="1:37" x14ac:dyDescent="0.25">
      <c r="A68" s="2">
        <v>39986</v>
      </c>
      <c r="B68" s="3">
        <v>2359.2800000000002</v>
      </c>
      <c r="C68" s="2">
        <v>39987</v>
      </c>
      <c r="D68" s="3">
        <v>18464.060000000001</v>
      </c>
      <c r="E68" s="2"/>
      <c r="F68" s="3"/>
      <c r="G68" s="2"/>
      <c r="H68" s="3"/>
      <c r="I68" s="65"/>
      <c r="K68" s="65"/>
      <c r="M68" s="65"/>
      <c r="O68" s="65"/>
      <c r="Q68" s="65"/>
      <c r="S68" s="65"/>
      <c r="U68" s="65"/>
      <c r="W68" s="65"/>
      <c r="Y68" s="65"/>
      <c r="AA68" s="65"/>
      <c r="AC68" s="65"/>
      <c r="AE68" s="65"/>
      <c r="AG68" s="65"/>
      <c r="AI68" s="65"/>
      <c r="AK68" s="65"/>
    </row>
    <row r="69" spans="1:37" x14ac:dyDescent="0.25">
      <c r="A69" s="2">
        <v>39987</v>
      </c>
      <c r="B69" s="3">
        <v>2353.48</v>
      </c>
      <c r="C69" s="2">
        <v>39988</v>
      </c>
      <c r="D69" s="3">
        <v>19040.59</v>
      </c>
      <c r="E69" s="2"/>
      <c r="F69" s="3"/>
      <c r="G69" s="2"/>
      <c r="H69" s="3"/>
      <c r="I69" s="65"/>
      <c r="K69" s="65"/>
      <c r="M69" s="65"/>
      <c r="O69" s="65"/>
      <c r="Q69" s="65"/>
      <c r="S69" s="65"/>
      <c r="U69" s="65"/>
      <c r="W69" s="65"/>
      <c r="Y69" s="65"/>
      <c r="AA69" s="65"/>
      <c r="AC69" s="65"/>
      <c r="AE69" s="65"/>
      <c r="AG69" s="65"/>
      <c r="AI69" s="65"/>
      <c r="AK69" s="65"/>
    </row>
    <row r="70" spans="1:37" x14ac:dyDescent="0.25">
      <c r="A70" s="2">
        <v>39988</v>
      </c>
      <c r="B70" s="3">
        <v>2418.46</v>
      </c>
      <c r="C70" s="2">
        <v>39989</v>
      </c>
      <c r="D70" s="3">
        <v>18940.63</v>
      </c>
      <c r="E70" s="2"/>
      <c r="F70" s="3"/>
      <c r="G70" s="2"/>
      <c r="H70" s="3"/>
      <c r="I70" s="65"/>
      <c r="K70" s="65"/>
      <c r="M70" s="65"/>
      <c r="O70" s="65"/>
      <c r="Q70" s="65"/>
      <c r="S70" s="65"/>
      <c r="U70" s="65"/>
      <c r="W70" s="65"/>
      <c r="Y70" s="65"/>
      <c r="AA70" s="65"/>
      <c r="AC70" s="65"/>
      <c r="AE70" s="65"/>
      <c r="AG70" s="65"/>
      <c r="AI70" s="65"/>
      <c r="AK70" s="65"/>
    </row>
    <row r="71" spans="1:37" x14ac:dyDescent="0.25">
      <c r="A71" s="2">
        <v>39989</v>
      </c>
      <c r="B71" s="3">
        <v>2402.3200000000002</v>
      </c>
      <c r="C71" s="2">
        <v>39990</v>
      </c>
      <c r="D71" s="3">
        <v>18831.48</v>
      </c>
      <c r="E71" s="2"/>
      <c r="F71" s="3"/>
      <c r="G71" s="2"/>
      <c r="H71" s="3"/>
      <c r="I71" s="65"/>
      <c r="K71" s="65"/>
      <c r="M71" s="65"/>
      <c r="O71" s="65"/>
      <c r="Q71" s="65"/>
      <c r="S71" s="65"/>
      <c r="U71" s="65"/>
      <c r="W71" s="65"/>
      <c r="Y71" s="65"/>
      <c r="AA71" s="65"/>
      <c r="AC71" s="65"/>
      <c r="AE71" s="65"/>
      <c r="AG71" s="65"/>
      <c r="AI71" s="65"/>
      <c r="AK71" s="65"/>
    </row>
    <row r="72" spans="1:37" x14ac:dyDescent="0.25">
      <c r="A72" s="2">
        <v>39990</v>
      </c>
      <c r="B72" s="3">
        <v>2389.91</v>
      </c>
      <c r="C72" s="2">
        <v>39993</v>
      </c>
      <c r="D72" s="3">
        <v>19096.16</v>
      </c>
      <c r="E72" s="2"/>
      <c r="F72" s="3"/>
      <c r="G72" s="2"/>
      <c r="H72" s="3"/>
      <c r="I72" s="65"/>
      <c r="K72" s="65"/>
      <c r="M72" s="65"/>
      <c r="O72" s="65"/>
      <c r="Q72" s="65"/>
      <c r="S72" s="65"/>
      <c r="U72" s="65"/>
      <c r="W72" s="65"/>
      <c r="Y72" s="65"/>
      <c r="AA72" s="65"/>
      <c r="AC72" s="65"/>
      <c r="AE72" s="65"/>
      <c r="AG72" s="65"/>
      <c r="AI72" s="65"/>
      <c r="AK72" s="65"/>
    </row>
    <row r="73" spans="1:37" x14ac:dyDescent="0.25">
      <c r="A73" s="2">
        <v>39993</v>
      </c>
      <c r="B73" s="3">
        <v>2437.7199999999998</v>
      </c>
      <c r="C73" s="2">
        <v>39994</v>
      </c>
      <c r="D73" s="3">
        <v>19063.12</v>
      </c>
      <c r="E73" s="2"/>
      <c r="F73" s="3"/>
      <c r="G73" s="2"/>
      <c r="H73" s="3"/>
      <c r="I73" s="65"/>
      <c r="K73" s="65"/>
      <c r="M73" s="65"/>
      <c r="O73" s="65"/>
      <c r="Q73" s="65"/>
      <c r="S73" s="65"/>
      <c r="U73" s="65"/>
      <c r="W73" s="65"/>
      <c r="Y73" s="65"/>
      <c r="AA73" s="65"/>
      <c r="AC73" s="65"/>
      <c r="AE73" s="65"/>
      <c r="AG73" s="65"/>
      <c r="AI73" s="65"/>
      <c r="AK73" s="65"/>
    </row>
    <row r="74" spans="1:37" x14ac:dyDescent="0.25">
      <c r="A74" s="2">
        <v>39994</v>
      </c>
      <c r="B74" s="3">
        <v>2401.69</v>
      </c>
      <c r="C74" s="2">
        <v>39995</v>
      </c>
      <c r="D74" s="3">
        <v>19443.18</v>
      </c>
      <c r="E74" s="2"/>
      <c r="F74" s="3"/>
      <c r="G74" s="2"/>
      <c r="H74" s="3"/>
      <c r="I74" s="65"/>
      <c r="K74" s="65"/>
      <c r="M74" s="65"/>
      <c r="O74" s="65"/>
      <c r="Q74" s="65"/>
      <c r="S74" s="65"/>
      <c r="U74" s="65"/>
      <c r="W74" s="65"/>
      <c r="Y74" s="65"/>
      <c r="AA74" s="65"/>
      <c r="AC74" s="65"/>
      <c r="AE74" s="65"/>
      <c r="AG74" s="65"/>
      <c r="AI74" s="65"/>
      <c r="AK74" s="65"/>
    </row>
    <row r="75" spans="1:37" x14ac:dyDescent="0.25">
      <c r="A75" s="2">
        <v>39995</v>
      </c>
      <c r="B75" s="3">
        <v>2449.73</v>
      </c>
      <c r="C75" s="2">
        <v>39996</v>
      </c>
      <c r="D75" s="3">
        <v>18928.66</v>
      </c>
      <c r="E75" s="2"/>
      <c r="F75" s="3"/>
      <c r="G75" s="2"/>
      <c r="H75" s="3"/>
      <c r="I75" s="65"/>
      <c r="K75" s="65"/>
      <c r="M75" s="65"/>
      <c r="O75" s="65"/>
      <c r="Q75" s="65"/>
      <c r="S75" s="65"/>
      <c r="U75" s="65"/>
      <c r="W75" s="65"/>
      <c r="Y75" s="65"/>
      <c r="AA75" s="65"/>
      <c r="AC75" s="65"/>
      <c r="AE75" s="65"/>
      <c r="AG75" s="65"/>
      <c r="AI75" s="65"/>
      <c r="AK75" s="65"/>
    </row>
    <row r="76" spans="1:37" x14ac:dyDescent="0.25">
      <c r="A76" s="2">
        <v>39996</v>
      </c>
      <c r="B76" s="3">
        <v>2369.65</v>
      </c>
      <c r="C76" s="2">
        <v>39997</v>
      </c>
      <c r="D76" s="3">
        <v>18942.22</v>
      </c>
      <c r="E76" s="2"/>
      <c r="F76" s="3"/>
      <c r="G76" s="2"/>
      <c r="H76" s="3"/>
      <c r="I76" s="65"/>
      <c r="K76" s="65"/>
      <c r="M76" s="65"/>
      <c r="O76" s="65"/>
      <c r="Q76" s="65"/>
      <c r="S76" s="65"/>
      <c r="U76" s="65"/>
      <c r="W76" s="65"/>
      <c r="Y76" s="65"/>
      <c r="AA76" s="65"/>
      <c r="AC76" s="65"/>
      <c r="AE76" s="65"/>
      <c r="AG76" s="65"/>
      <c r="AI76" s="65"/>
      <c r="AK76" s="65"/>
    </row>
    <row r="77" spans="1:37" x14ac:dyDescent="0.25">
      <c r="A77" s="2">
        <v>39997</v>
      </c>
      <c r="B77" s="3">
        <v>2376.48</v>
      </c>
      <c r="C77" s="2">
        <v>40000</v>
      </c>
      <c r="D77" s="3">
        <v>18558.46</v>
      </c>
      <c r="E77" s="2"/>
      <c r="F77" s="3"/>
      <c r="G77" s="2"/>
      <c r="H77" s="3"/>
      <c r="I77" s="65"/>
      <c r="K77" s="65"/>
      <c r="M77" s="65"/>
      <c r="O77" s="65"/>
      <c r="Q77" s="65"/>
      <c r="S77" s="65"/>
      <c r="U77" s="65"/>
      <c r="W77" s="65"/>
      <c r="Y77" s="65"/>
      <c r="AA77" s="65"/>
      <c r="AC77" s="65"/>
      <c r="AE77" s="65"/>
      <c r="AG77" s="65"/>
      <c r="AI77" s="65"/>
      <c r="AK77" s="65"/>
    </row>
    <row r="78" spans="1:37" x14ac:dyDescent="0.25">
      <c r="A78" s="2">
        <v>40000</v>
      </c>
      <c r="B78" s="3">
        <v>2343.88</v>
      </c>
      <c r="C78" s="2">
        <v>40001</v>
      </c>
      <c r="D78" s="3">
        <v>18321.28</v>
      </c>
      <c r="E78" s="2"/>
      <c r="F78" s="3"/>
      <c r="G78" s="2"/>
      <c r="H78" s="3"/>
      <c r="I78" s="65"/>
      <c r="K78" s="65"/>
      <c r="M78" s="65"/>
      <c r="O78" s="65"/>
      <c r="Q78" s="65"/>
      <c r="S78" s="65"/>
      <c r="U78" s="65"/>
      <c r="W78" s="65"/>
      <c r="Y78" s="65"/>
      <c r="AA78" s="65"/>
      <c r="AC78" s="65"/>
      <c r="AE78" s="65"/>
      <c r="AG78" s="65"/>
      <c r="AI78" s="65"/>
      <c r="AK78" s="65"/>
    </row>
    <row r="79" spans="1:37" x14ac:dyDescent="0.25">
      <c r="A79" s="2">
        <v>40001</v>
      </c>
      <c r="B79" s="3">
        <v>2320.9</v>
      </c>
      <c r="C79" s="2">
        <v>40002</v>
      </c>
      <c r="D79" s="3">
        <v>17947.41</v>
      </c>
      <c r="E79" s="2"/>
      <c r="F79" s="3"/>
      <c r="G79" s="2"/>
      <c r="H79" s="3"/>
      <c r="I79" s="65"/>
      <c r="K79" s="65"/>
      <c r="M79" s="65"/>
      <c r="O79" s="65"/>
      <c r="Q79" s="65"/>
      <c r="S79" s="65"/>
      <c r="U79" s="65"/>
      <c r="W79" s="65"/>
      <c r="Y79" s="65"/>
      <c r="AA79" s="65"/>
      <c r="AC79" s="65"/>
      <c r="AE79" s="65"/>
      <c r="AG79" s="65"/>
      <c r="AI79" s="65"/>
      <c r="AK79" s="65"/>
    </row>
    <row r="80" spans="1:37" x14ac:dyDescent="0.25">
      <c r="A80" s="2">
        <v>40002</v>
      </c>
      <c r="B80" s="3">
        <v>2291.33</v>
      </c>
      <c r="C80" s="2">
        <v>40003</v>
      </c>
      <c r="D80" s="3">
        <v>18158.560000000001</v>
      </c>
      <c r="E80" s="2"/>
      <c r="F80" s="3"/>
      <c r="G80" s="2"/>
      <c r="H80" s="3"/>
      <c r="I80" s="65"/>
      <c r="K80" s="65"/>
      <c r="M80" s="65"/>
      <c r="O80" s="65"/>
      <c r="Q80" s="65"/>
      <c r="S80" s="65"/>
      <c r="U80" s="65"/>
      <c r="W80" s="65"/>
      <c r="Y80" s="65"/>
      <c r="AA80" s="65"/>
      <c r="AC80" s="65"/>
      <c r="AE80" s="65"/>
      <c r="AG80" s="65"/>
      <c r="AI80" s="65"/>
      <c r="AK80" s="65"/>
    </row>
    <row r="81" spans="1:37" x14ac:dyDescent="0.25">
      <c r="A81" s="2">
        <v>40003</v>
      </c>
      <c r="B81" s="3">
        <v>2313.87</v>
      </c>
      <c r="C81" s="2">
        <v>40004</v>
      </c>
      <c r="D81" s="3">
        <v>17836.990000000002</v>
      </c>
      <c r="E81" s="2"/>
      <c r="F81" s="3"/>
      <c r="G81" s="2"/>
      <c r="H81" s="3"/>
      <c r="I81" s="65"/>
      <c r="K81" s="65"/>
      <c r="M81" s="65"/>
      <c r="O81" s="65"/>
      <c r="Q81" s="65"/>
      <c r="S81" s="65"/>
      <c r="U81" s="65"/>
      <c r="W81" s="65"/>
      <c r="Y81" s="65"/>
      <c r="AA81" s="65"/>
      <c r="AC81" s="65"/>
      <c r="AE81" s="65"/>
      <c r="AG81" s="65"/>
      <c r="AI81" s="65"/>
      <c r="AK81" s="65"/>
    </row>
    <row r="82" spans="1:37" x14ac:dyDescent="0.25">
      <c r="A82" s="2">
        <v>40004</v>
      </c>
      <c r="B82" s="3">
        <v>2281.4699999999998</v>
      </c>
      <c r="C82" s="2">
        <v>40007</v>
      </c>
      <c r="D82" s="3">
        <v>18217.47</v>
      </c>
      <c r="E82" s="2"/>
      <c r="F82" s="3"/>
      <c r="G82" s="2"/>
      <c r="H82" s="3"/>
      <c r="I82" s="65"/>
      <c r="K82" s="65"/>
      <c r="M82" s="65"/>
      <c r="O82" s="65"/>
      <c r="Q82" s="65"/>
      <c r="S82" s="65"/>
      <c r="U82" s="65"/>
      <c r="W82" s="65"/>
      <c r="Y82" s="65"/>
      <c r="AA82" s="65"/>
      <c r="AC82" s="65"/>
      <c r="AE82" s="65"/>
      <c r="AG82" s="65"/>
      <c r="AI82" s="65"/>
      <c r="AK82" s="65"/>
    </row>
    <row r="83" spans="1:37" x14ac:dyDescent="0.25">
      <c r="A83" s="2">
        <v>40007</v>
      </c>
      <c r="B83" s="3">
        <v>2345.2199999999998</v>
      </c>
      <c r="C83" s="2">
        <v>40008</v>
      </c>
      <c r="D83" s="3">
        <v>18450.54</v>
      </c>
      <c r="E83" s="2"/>
      <c r="F83" s="3"/>
      <c r="G83" s="2"/>
      <c r="H83" s="3"/>
      <c r="I83" s="65"/>
      <c r="K83" s="65"/>
      <c r="M83" s="65"/>
      <c r="O83" s="65"/>
      <c r="Q83" s="65"/>
      <c r="S83" s="65"/>
      <c r="U83" s="65"/>
      <c r="W83" s="65"/>
      <c r="Y83" s="65"/>
      <c r="AA83" s="65"/>
      <c r="AC83" s="65"/>
      <c r="AE83" s="65"/>
      <c r="AG83" s="65"/>
      <c r="AI83" s="65"/>
      <c r="AK83" s="65"/>
    </row>
    <row r="84" spans="1:37" x14ac:dyDescent="0.25">
      <c r="A84" s="2">
        <v>40008</v>
      </c>
      <c r="B84" s="3">
        <v>2370.71</v>
      </c>
      <c r="C84" s="2">
        <v>40009</v>
      </c>
      <c r="D84" s="3">
        <v>19130</v>
      </c>
      <c r="E84" s="2"/>
      <c r="F84" s="3"/>
      <c r="G84" s="2"/>
      <c r="H84" s="3"/>
      <c r="I84" s="65"/>
      <c r="K84" s="65"/>
      <c r="M84" s="65"/>
      <c r="O84" s="65"/>
      <c r="Q84" s="65"/>
      <c r="S84" s="65"/>
      <c r="U84" s="65"/>
      <c r="W84" s="65"/>
      <c r="Y84" s="65"/>
      <c r="AA84" s="65"/>
      <c r="AC84" s="65"/>
      <c r="AE84" s="65"/>
      <c r="AG84" s="65"/>
      <c r="AI84" s="65"/>
      <c r="AK84" s="65"/>
    </row>
    <row r="85" spans="1:37" x14ac:dyDescent="0.25">
      <c r="A85" s="2">
        <v>40009</v>
      </c>
      <c r="B85" s="3">
        <v>2451.02</v>
      </c>
      <c r="C85" s="2">
        <v>40010</v>
      </c>
      <c r="D85" s="3">
        <v>19232.95</v>
      </c>
      <c r="E85" s="2"/>
      <c r="F85" s="3"/>
      <c r="G85" s="2"/>
      <c r="H85" s="3"/>
      <c r="I85" s="65"/>
      <c r="K85" s="65"/>
      <c r="M85" s="65"/>
      <c r="O85" s="65"/>
      <c r="Q85" s="65"/>
      <c r="S85" s="65"/>
      <c r="U85" s="65"/>
      <c r="W85" s="65"/>
      <c r="Y85" s="65"/>
      <c r="AA85" s="65"/>
      <c r="AC85" s="65"/>
      <c r="AE85" s="65"/>
      <c r="AG85" s="65"/>
      <c r="AI85" s="65"/>
      <c r="AK85" s="65"/>
    </row>
    <row r="86" spans="1:37" x14ac:dyDescent="0.25">
      <c r="A86" s="2">
        <v>40010</v>
      </c>
      <c r="B86" s="3">
        <v>2458.9699999999998</v>
      </c>
      <c r="C86" s="2">
        <v>40011</v>
      </c>
      <c r="D86" s="3">
        <v>19282.580000000002</v>
      </c>
      <c r="E86" s="2"/>
      <c r="F86" s="3"/>
      <c r="G86" s="2"/>
      <c r="H86" s="3"/>
      <c r="I86" s="65"/>
      <c r="K86" s="65"/>
      <c r="M86" s="65"/>
      <c r="O86" s="65"/>
      <c r="Q86" s="65"/>
      <c r="S86" s="65"/>
      <c r="U86" s="65"/>
      <c r="W86" s="65"/>
      <c r="Y86" s="65"/>
      <c r="AA86" s="65"/>
      <c r="AC86" s="65"/>
      <c r="AE86" s="65"/>
      <c r="AG86" s="65"/>
      <c r="AI86" s="65"/>
      <c r="AK86" s="65"/>
    </row>
    <row r="87" spans="1:37" x14ac:dyDescent="0.25">
      <c r="A87" s="2">
        <v>40011</v>
      </c>
      <c r="B87" s="3">
        <v>2469.1999999999998</v>
      </c>
      <c r="C87" s="2">
        <v>40014</v>
      </c>
      <c r="D87" s="3">
        <v>19516.72</v>
      </c>
      <c r="E87" s="2"/>
      <c r="F87" s="3"/>
      <c r="G87" s="2"/>
      <c r="H87" s="3"/>
      <c r="I87" s="65"/>
      <c r="K87" s="65"/>
      <c r="M87" s="65"/>
      <c r="O87" s="65"/>
      <c r="Q87" s="65"/>
      <c r="S87" s="65"/>
      <c r="U87" s="65"/>
      <c r="W87" s="65"/>
      <c r="Y87" s="65"/>
      <c r="AA87" s="65"/>
      <c r="AC87" s="65"/>
      <c r="AE87" s="65"/>
      <c r="AG87" s="65"/>
      <c r="AI87" s="65"/>
      <c r="AK87" s="65"/>
    </row>
    <row r="88" spans="1:37" x14ac:dyDescent="0.25">
      <c r="A88" s="2">
        <v>40014</v>
      </c>
      <c r="B88" s="3">
        <v>2500.69</v>
      </c>
      <c r="C88" s="2">
        <v>40015</v>
      </c>
      <c r="D88" s="3">
        <v>19830.29</v>
      </c>
      <c r="E88" s="2"/>
      <c r="F88" s="3"/>
      <c r="G88" s="2"/>
      <c r="H88" s="3"/>
      <c r="I88" s="65"/>
      <c r="K88" s="65"/>
      <c r="M88" s="65"/>
      <c r="O88" s="65"/>
      <c r="Q88" s="65"/>
      <c r="S88" s="65"/>
      <c r="U88" s="65"/>
      <c r="W88" s="65"/>
      <c r="Y88" s="65"/>
      <c r="AA88" s="65"/>
      <c r="AC88" s="65"/>
      <c r="AE88" s="65"/>
      <c r="AG88" s="65"/>
      <c r="AI88" s="65"/>
      <c r="AK88" s="65"/>
    </row>
    <row r="89" spans="1:37" x14ac:dyDescent="0.25">
      <c r="A89" s="2">
        <v>40015</v>
      </c>
      <c r="B89" s="3">
        <v>2519.9899999999998</v>
      </c>
      <c r="C89" s="2">
        <v>40016</v>
      </c>
      <c r="D89" s="3">
        <v>19925.71</v>
      </c>
      <c r="E89" s="2"/>
      <c r="F89" s="3"/>
      <c r="G89" s="2"/>
      <c r="H89" s="3"/>
      <c r="I89" s="65"/>
      <c r="K89" s="65"/>
      <c r="M89" s="65"/>
      <c r="O89" s="65"/>
      <c r="Q89" s="65"/>
      <c r="S89" s="65"/>
      <c r="U89" s="65"/>
      <c r="W89" s="65"/>
      <c r="Y89" s="65"/>
      <c r="AA89" s="65"/>
      <c r="AC89" s="65"/>
      <c r="AE89" s="65"/>
      <c r="AG89" s="65"/>
      <c r="AI89" s="65"/>
      <c r="AK89" s="65"/>
    </row>
    <row r="90" spans="1:37" x14ac:dyDescent="0.25">
      <c r="A90" s="2">
        <v>40016</v>
      </c>
      <c r="B90" s="3">
        <v>2528.85</v>
      </c>
      <c r="C90" s="2">
        <v>40017</v>
      </c>
      <c r="D90" s="3">
        <v>20242.310000000001</v>
      </c>
      <c r="E90" s="2"/>
      <c r="F90" s="3"/>
      <c r="G90" s="2"/>
      <c r="H90" s="3"/>
      <c r="I90" s="65"/>
      <c r="K90" s="65"/>
      <c r="M90" s="65"/>
      <c r="O90" s="65"/>
      <c r="Q90" s="65"/>
      <c r="S90" s="65"/>
      <c r="U90" s="65"/>
      <c r="W90" s="65"/>
      <c r="Y90" s="65"/>
      <c r="AA90" s="65"/>
      <c r="AC90" s="65"/>
      <c r="AE90" s="65"/>
      <c r="AG90" s="65"/>
      <c r="AI90" s="65"/>
      <c r="AK90" s="65"/>
    </row>
    <row r="91" spans="1:37" x14ac:dyDescent="0.25">
      <c r="A91" s="2">
        <v>40017</v>
      </c>
      <c r="B91" s="3">
        <v>2585.79</v>
      </c>
      <c r="C91" s="2">
        <v>40018</v>
      </c>
      <c r="D91" s="3">
        <v>20161.18</v>
      </c>
      <c r="E91" s="2"/>
      <c r="F91" s="3"/>
      <c r="G91" s="2"/>
      <c r="H91" s="3"/>
      <c r="I91" s="65"/>
      <c r="K91" s="65"/>
      <c r="M91" s="65"/>
      <c r="O91" s="65"/>
      <c r="Q91" s="65"/>
      <c r="S91" s="65"/>
      <c r="U91" s="65"/>
      <c r="W91" s="65"/>
      <c r="Y91" s="65"/>
      <c r="AA91" s="65"/>
      <c r="AC91" s="65"/>
      <c r="AE91" s="65"/>
      <c r="AG91" s="65"/>
      <c r="AI91" s="65"/>
      <c r="AK91" s="65"/>
    </row>
    <row r="92" spans="1:37" x14ac:dyDescent="0.25">
      <c r="A92" s="2">
        <v>40018</v>
      </c>
      <c r="B92" s="3">
        <v>2582.7600000000002</v>
      </c>
      <c r="C92" s="2">
        <v>40021</v>
      </c>
      <c r="D92" s="3">
        <v>20346.099999999999</v>
      </c>
      <c r="E92" s="2"/>
      <c r="F92" s="3"/>
      <c r="G92" s="2"/>
      <c r="H92" s="3"/>
      <c r="I92" s="65"/>
      <c r="K92" s="65"/>
      <c r="M92" s="65"/>
      <c r="O92" s="65"/>
      <c r="Q92" s="65"/>
      <c r="S92" s="65"/>
      <c r="U92" s="65"/>
      <c r="W92" s="65"/>
      <c r="Y92" s="65"/>
      <c r="AA92" s="65"/>
      <c r="AC92" s="65"/>
      <c r="AE92" s="65"/>
      <c r="AG92" s="65"/>
      <c r="AI92" s="65"/>
      <c r="AK92" s="65"/>
    </row>
    <row r="93" spans="1:37" x14ac:dyDescent="0.25">
      <c r="A93" s="2">
        <v>40021</v>
      </c>
      <c r="B93" s="3">
        <v>2601.41</v>
      </c>
      <c r="C93" s="2">
        <v>40022</v>
      </c>
      <c r="D93" s="3">
        <v>20012.349999999999</v>
      </c>
      <c r="E93" s="2"/>
      <c r="F93" s="3"/>
      <c r="G93" s="2"/>
      <c r="H93" s="3"/>
      <c r="I93" s="65"/>
      <c r="K93" s="65"/>
      <c r="M93" s="65"/>
      <c r="O93" s="65"/>
      <c r="Q93" s="65"/>
      <c r="S93" s="65"/>
      <c r="U93" s="65"/>
      <c r="W93" s="65"/>
      <c r="Y93" s="65"/>
      <c r="AA93" s="65"/>
      <c r="AC93" s="65"/>
      <c r="AE93" s="65"/>
      <c r="AG93" s="65"/>
      <c r="AI93" s="65"/>
      <c r="AK93" s="65"/>
    </row>
    <row r="94" spans="1:37" x14ac:dyDescent="0.25">
      <c r="A94" s="2">
        <v>40022</v>
      </c>
      <c r="B94" s="3">
        <v>2573.08</v>
      </c>
      <c r="C94" s="2">
        <v>40023</v>
      </c>
      <c r="D94" s="3">
        <v>20281.97</v>
      </c>
      <c r="E94" s="2"/>
      <c r="F94" s="3"/>
      <c r="G94" s="2"/>
      <c r="H94" s="3"/>
      <c r="I94" s="65"/>
      <c r="K94" s="65"/>
      <c r="M94" s="65"/>
      <c r="O94" s="65"/>
      <c r="Q94" s="65"/>
      <c r="S94" s="65"/>
      <c r="U94" s="65"/>
      <c r="W94" s="65"/>
      <c r="Y94" s="65"/>
      <c r="AA94" s="65"/>
      <c r="AC94" s="65"/>
      <c r="AE94" s="65"/>
      <c r="AG94" s="65"/>
      <c r="AI94" s="65"/>
      <c r="AK94" s="65"/>
    </row>
    <row r="95" spans="1:37" x14ac:dyDescent="0.25">
      <c r="A95" s="2">
        <v>40023</v>
      </c>
      <c r="B95" s="3">
        <v>2600.31</v>
      </c>
      <c r="C95" s="2">
        <v>40024</v>
      </c>
      <c r="D95" s="3">
        <v>20818.599999999999</v>
      </c>
      <c r="E95" s="2"/>
      <c r="F95" s="3"/>
      <c r="G95" s="2"/>
      <c r="H95" s="3"/>
      <c r="I95" s="65"/>
      <c r="K95" s="65"/>
      <c r="M95" s="65"/>
      <c r="O95" s="65"/>
      <c r="Q95" s="65"/>
      <c r="S95" s="65"/>
      <c r="U95" s="65"/>
      <c r="W95" s="65"/>
      <c r="Y95" s="65"/>
      <c r="AA95" s="65"/>
      <c r="AC95" s="65"/>
      <c r="AE95" s="65"/>
      <c r="AG95" s="65"/>
      <c r="AI95" s="65"/>
      <c r="AK95" s="65"/>
    </row>
    <row r="96" spans="1:37" x14ac:dyDescent="0.25">
      <c r="A96" s="2">
        <v>40024</v>
      </c>
      <c r="B96" s="3">
        <v>2654.74</v>
      </c>
      <c r="C96" s="2">
        <v>40025</v>
      </c>
      <c r="D96" s="3">
        <v>20575.52</v>
      </c>
      <c r="E96" s="2"/>
      <c r="F96" s="3"/>
      <c r="G96" s="2"/>
      <c r="H96" s="3"/>
      <c r="I96" s="65"/>
      <c r="K96" s="65"/>
      <c r="M96" s="65"/>
      <c r="O96" s="65"/>
      <c r="Q96" s="65"/>
      <c r="S96" s="65"/>
      <c r="U96" s="65"/>
      <c r="W96" s="65"/>
      <c r="Y96" s="65"/>
      <c r="AA96" s="65"/>
      <c r="AC96" s="65"/>
      <c r="AE96" s="65"/>
      <c r="AG96" s="65"/>
      <c r="AI96" s="65"/>
      <c r="AK96" s="65"/>
    </row>
    <row r="97" spans="1:37" x14ac:dyDescent="0.25">
      <c r="A97" s="2">
        <v>40025</v>
      </c>
      <c r="B97" s="3">
        <v>2638.13</v>
      </c>
      <c r="C97" s="2">
        <v>40028</v>
      </c>
      <c r="D97" s="3">
        <v>20914.439999999999</v>
      </c>
      <c r="E97" s="2"/>
      <c r="F97" s="3"/>
      <c r="G97" s="2"/>
      <c r="H97" s="3"/>
      <c r="I97" s="65"/>
      <c r="K97" s="65"/>
      <c r="M97" s="65"/>
      <c r="O97" s="65"/>
      <c r="Q97" s="65"/>
      <c r="S97" s="65"/>
      <c r="U97" s="65"/>
      <c r="W97" s="65"/>
      <c r="Y97" s="65"/>
      <c r="AA97" s="65"/>
      <c r="AC97" s="65"/>
      <c r="AE97" s="65"/>
      <c r="AG97" s="65"/>
      <c r="AI97" s="65"/>
      <c r="AK97" s="65"/>
    </row>
    <row r="98" spans="1:37" x14ac:dyDescent="0.25">
      <c r="A98" s="2">
        <v>40028</v>
      </c>
      <c r="B98" s="3">
        <v>2674.07</v>
      </c>
      <c r="C98" s="2">
        <v>40029</v>
      </c>
      <c r="D98" s="3">
        <v>20966.87</v>
      </c>
      <c r="E98" s="2"/>
      <c r="F98" s="3"/>
      <c r="G98" s="2"/>
      <c r="H98" s="3"/>
      <c r="I98" s="65"/>
      <c r="K98" s="65"/>
      <c r="M98" s="65"/>
      <c r="O98" s="65"/>
      <c r="Q98" s="65"/>
      <c r="S98" s="65"/>
      <c r="U98" s="65"/>
      <c r="W98" s="65"/>
      <c r="Y98" s="65"/>
      <c r="AA98" s="65"/>
      <c r="AC98" s="65"/>
      <c r="AE98" s="65"/>
      <c r="AG98" s="65"/>
      <c r="AI98" s="65"/>
      <c r="AK98" s="65"/>
    </row>
    <row r="99" spans="1:37" x14ac:dyDescent="0.25">
      <c r="A99" s="2">
        <v>40029</v>
      </c>
      <c r="B99" s="3">
        <v>2670.96</v>
      </c>
      <c r="C99" s="2">
        <v>40030</v>
      </c>
      <c r="D99" s="3">
        <v>20962.5</v>
      </c>
      <c r="E99" s="2"/>
      <c r="F99" s="3"/>
      <c r="G99" s="2"/>
      <c r="H99" s="3"/>
      <c r="I99" s="65"/>
      <c r="K99" s="65"/>
      <c r="M99" s="65"/>
      <c r="O99" s="65"/>
      <c r="Q99" s="65"/>
      <c r="S99" s="65"/>
      <c r="U99" s="65"/>
      <c r="W99" s="65"/>
      <c r="Y99" s="65"/>
      <c r="AA99" s="65"/>
      <c r="AC99" s="65"/>
      <c r="AE99" s="65"/>
      <c r="AG99" s="65"/>
      <c r="AI99" s="65"/>
      <c r="AK99" s="65"/>
    </row>
    <row r="100" spans="1:37" x14ac:dyDescent="0.25">
      <c r="A100" s="2">
        <v>40030</v>
      </c>
      <c r="B100" s="3">
        <v>2643.13</v>
      </c>
      <c r="C100" s="2">
        <v>40031</v>
      </c>
      <c r="D100" s="3">
        <v>21128.66</v>
      </c>
      <c r="E100" s="2"/>
      <c r="F100" s="3"/>
      <c r="G100" s="2"/>
      <c r="H100" s="3"/>
      <c r="I100" s="65"/>
      <c r="K100" s="65"/>
      <c r="M100" s="65"/>
      <c r="O100" s="65"/>
      <c r="Q100" s="65"/>
      <c r="S100" s="65"/>
      <c r="U100" s="65"/>
      <c r="W100" s="65"/>
      <c r="Y100" s="65"/>
      <c r="AA100" s="65"/>
      <c r="AC100" s="65"/>
      <c r="AE100" s="65"/>
      <c r="AG100" s="65"/>
      <c r="AI100" s="65"/>
      <c r="AK100" s="65"/>
    </row>
    <row r="101" spans="1:37" x14ac:dyDescent="0.25">
      <c r="A101" s="2">
        <v>40031</v>
      </c>
      <c r="B101" s="3">
        <v>2662.01</v>
      </c>
      <c r="C101" s="2">
        <v>40032</v>
      </c>
      <c r="D101" s="3">
        <v>21402.19</v>
      </c>
      <c r="E101" s="2"/>
      <c r="F101" s="3"/>
      <c r="G101" s="2"/>
      <c r="H101" s="3"/>
      <c r="I101" s="65"/>
      <c r="K101" s="65"/>
      <c r="M101" s="65"/>
      <c r="O101" s="65"/>
      <c r="Q101" s="65"/>
      <c r="S101" s="65"/>
      <c r="U101" s="65"/>
      <c r="W101" s="65"/>
      <c r="Y101" s="65"/>
      <c r="AA101" s="65"/>
      <c r="AC101" s="65"/>
      <c r="AE101" s="65"/>
      <c r="AG101" s="65"/>
      <c r="AI101" s="65"/>
      <c r="AK101" s="65"/>
    </row>
    <row r="102" spans="1:37" x14ac:dyDescent="0.25">
      <c r="A102" s="2">
        <v>40032</v>
      </c>
      <c r="B102" s="3">
        <v>2706.22</v>
      </c>
      <c r="C102" s="2">
        <v>40035</v>
      </c>
      <c r="D102" s="3">
        <v>21576.57</v>
      </c>
      <c r="E102" s="2"/>
      <c r="F102" s="3"/>
      <c r="G102" s="2"/>
      <c r="H102" s="3"/>
      <c r="I102" s="65"/>
      <c r="K102" s="65"/>
      <c r="M102" s="65"/>
      <c r="O102" s="65"/>
      <c r="Q102" s="65"/>
      <c r="S102" s="65"/>
      <c r="U102" s="65"/>
      <c r="W102" s="65"/>
      <c r="Y102" s="65"/>
      <c r="AA102" s="65"/>
      <c r="AC102" s="65"/>
      <c r="AE102" s="65"/>
      <c r="AG102" s="65"/>
      <c r="AI102" s="65"/>
      <c r="AK102" s="65"/>
    </row>
    <row r="103" spans="1:37" x14ac:dyDescent="0.25">
      <c r="A103" s="2">
        <v>40035</v>
      </c>
      <c r="B103" s="3">
        <v>2693.61</v>
      </c>
      <c r="C103" s="2">
        <v>40036</v>
      </c>
      <c r="D103" s="3">
        <v>21268.51</v>
      </c>
      <c r="E103" s="2"/>
      <c r="F103" s="3"/>
      <c r="G103" s="2"/>
      <c r="H103" s="3"/>
      <c r="I103" s="65"/>
      <c r="K103" s="65"/>
      <c r="M103" s="65"/>
      <c r="O103" s="65"/>
      <c r="Q103" s="65"/>
      <c r="S103" s="65"/>
      <c r="U103" s="65"/>
      <c r="W103" s="65"/>
      <c r="Y103" s="65"/>
      <c r="AA103" s="65"/>
      <c r="AC103" s="65"/>
      <c r="AE103" s="65"/>
      <c r="AG103" s="65"/>
      <c r="AI103" s="65"/>
      <c r="AK103" s="65"/>
    </row>
    <row r="104" spans="1:37" x14ac:dyDescent="0.25">
      <c r="A104" s="2">
        <v>40036</v>
      </c>
      <c r="B104" s="3">
        <v>2650.94</v>
      </c>
      <c r="C104" s="2">
        <v>40037</v>
      </c>
      <c r="D104" s="3">
        <v>21546.38</v>
      </c>
      <c r="E104" s="2"/>
      <c r="F104" s="3"/>
      <c r="G104" s="2"/>
      <c r="H104" s="3"/>
      <c r="I104" s="65"/>
      <c r="K104" s="65"/>
      <c r="M104" s="65"/>
      <c r="O104" s="65"/>
      <c r="Q104" s="65"/>
      <c r="S104" s="65"/>
      <c r="U104" s="65"/>
      <c r="W104" s="65"/>
      <c r="Y104" s="65"/>
      <c r="AA104" s="65"/>
      <c r="AC104" s="65"/>
      <c r="AE104" s="65"/>
      <c r="AG104" s="65"/>
      <c r="AI104" s="65"/>
      <c r="AK104" s="65"/>
    </row>
    <row r="105" spans="1:37" x14ac:dyDescent="0.25">
      <c r="A105" s="2">
        <v>40037</v>
      </c>
      <c r="B105" s="3">
        <v>2688.21</v>
      </c>
      <c r="C105" s="2">
        <v>40038</v>
      </c>
      <c r="D105" s="3">
        <v>21827.19</v>
      </c>
      <c r="E105" s="2"/>
      <c r="F105" s="3"/>
      <c r="G105" s="2"/>
      <c r="H105" s="3"/>
      <c r="I105" s="65"/>
      <c r="K105" s="65"/>
      <c r="M105" s="65"/>
      <c r="O105" s="65"/>
      <c r="Q105" s="65"/>
      <c r="S105" s="65"/>
      <c r="U105" s="65"/>
      <c r="W105" s="65"/>
      <c r="Y105" s="65"/>
      <c r="AA105" s="65"/>
      <c r="AC105" s="65"/>
      <c r="AE105" s="65"/>
      <c r="AG105" s="65"/>
      <c r="AI105" s="65"/>
      <c r="AK105" s="65"/>
    </row>
    <row r="106" spans="1:37" x14ac:dyDescent="0.25">
      <c r="A106" s="2">
        <v>40038</v>
      </c>
      <c r="B106" s="3">
        <v>2705.74</v>
      </c>
      <c r="C106" s="2">
        <v>40039</v>
      </c>
      <c r="D106" s="3">
        <v>21552.39</v>
      </c>
      <c r="E106" s="2"/>
      <c r="F106" s="3"/>
      <c r="G106" s="2"/>
      <c r="H106" s="3"/>
      <c r="I106" s="65"/>
      <c r="K106" s="65"/>
      <c r="M106" s="65"/>
      <c r="O106" s="65"/>
      <c r="Q106" s="65"/>
      <c r="S106" s="65"/>
      <c r="U106" s="65"/>
      <c r="W106" s="65"/>
      <c r="Y106" s="65"/>
      <c r="AA106" s="65"/>
      <c r="AC106" s="65"/>
      <c r="AE106" s="65"/>
      <c r="AG106" s="65"/>
      <c r="AI106" s="65"/>
      <c r="AK106" s="65"/>
    </row>
    <row r="107" spans="1:37" x14ac:dyDescent="0.25">
      <c r="A107" s="2">
        <v>40039</v>
      </c>
      <c r="B107" s="3">
        <v>2669.41</v>
      </c>
      <c r="C107" s="2">
        <v>40042</v>
      </c>
      <c r="D107" s="3">
        <v>20962.38</v>
      </c>
      <c r="E107" s="2"/>
      <c r="F107" s="3"/>
      <c r="G107" s="2"/>
      <c r="H107" s="3"/>
      <c r="I107" s="65"/>
      <c r="K107" s="65"/>
      <c r="M107" s="65"/>
      <c r="O107" s="65"/>
      <c r="Q107" s="65"/>
      <c r="S107" s="65"/>
      <c r="U107" s="65"/>
      <c r="W107" s="65"/>
      <c r="Y107" s="65"/>
      <c r="AA107" s="65"/>
      <c r="AC107" s="65"/>
      <c r="AE107" s="65"/>
      <c r="AG107" s="65"/>
      <c r="AI107" s="65"/>
      <c r="AK107" s="65"/>
    </row>
    <row r="108" spans="1:37" x14ac:dyDescent="0.25">
      <c r="A108" s="2">
        <v>40042</v>
      </c>
      <c r="B108" s="3">
        <v>2603.79</v>
      </c>
      <c r="C108" s="2">
        <v>40043</v>
      </c>
      <c r="D108" s="3">
        <v>21247.8</v>
      </c>
      <c r="E108" s="2"/>
      <c r="F108" s="3"/>
      <c r="G108" s="2"/>
      <c r="H108" s="3"/>
      <c r="I108" s="65"/>
      <c r="K108" s="65"/>
      <c r="M108" s="65"/>
      <c r="O108" s="65"/>
      <c r="Q108" s="65"/>
      <c r="S108" s="65"/>
      <c r="U108" s="65"/>
      <c r="W108" s="65"/>
      <c r="Y108" s="65"/>
      <c r="AA108" s="65"/>
      <c r="AC108" s="65"/>
      <c r="AE108" s="65"/>
      <c r="AG108" s="65"/>
      <c r="AI108" s="65"/>
      <c r="AK108" s="65"/>
    </row>
    <row r="109" spans="1:37" x14ac:dyDescent="0.25">
      <c r="A109" s="2">
        <v>40043</v>
      </c>
      <c r="B109" s="3">
        <v>2630.6</v>
      </c>
      <c r="C109" s="2">
        <v>40044</v>
      </c>
      <c r="D109" s="3">
        <v>21132.22</v>
      </c>
      <c r="E109" s="2"/>
      <c r="F109" s="3"/>
      <c r="G109" s="2"/>
      <c r="H109" s="3"/>
      <c r="I109" s="65"/>
      <c r="K109" s="65"/>
      <c r="M109" s="65"/>
      <c r="O109" s="65"/>
      <c r="Q109" s="65"/>
      <c r="S109" s="65"/>
      <c r="U109" s="65"/>
      <c r="W109" s="65"/>
      <c r="Y109" s="65"/>
      <c r="AA109" s="65"/>
      <c r="AC109" s="65"/>
      <c r="AE109" s="65"/>
      <c r="AG109" s="65"/>
      <c r="AI109" s="65"/>
      <c r="AK109" s="65"/>
    </row>
    <row r="110" spans="1:37" x14ac:dyDescent="0.25">
      <c r="A110" s="2">
        <v>40044</v>
      </c>
      <c r="B110" s="3">
        <v>2622.88</v>
      </c>
      <c r="C110" s="2">
        <v>40045</v>
      </c>
      <c r="D110" s="3">
        <v>21394.400000000001</v>
      </c>
      <c r="E110" s="2"/>
      <c r="F110" s="3"/>
      <c r="G110" s="2"/>
      <c r="H110" s="3"/>
      <c r="I110" s="65"/>
      <c r="K110" s="65"/>
      <c r="M110" s="65"/>
      <c r="O110" s="65"/>
      <c r="Q110" s="65"/>
      <c r="S110" s="65"/>
      <c r="U110" s="65"/>
      <c r="W110" s="65"/>
      <c r="Y110" s="65"/>
      <c r="AA110" s="65"/>
      <c r="AC110" s="65"/>
      <c r="AE110" s="65"/>
      <c r="AG110" s="65"/>
      <c r="AI110" s="65"/>
      <c r="AK110" s="65"/>
    </row>
    <row r="111" spans="1:37" x14ac:dyDescent="0.25">
      <c r="A111" s="2">
        <v>40045</v>
      </c>
      <c r="B111" s="3">
        <v>2663.67</v>
      </c>
      <c r="C111" s="2">
        <v>40046</v>
      </c>
      <c r="D111" s="3">
        <v>21896.49</v>
      </c>
      <c r="E111" s="2"/>
      <c r="F111" s="3"/>
      <c r="G111" s="2"/>
      <c r="H111" s="3"/>
      <c r="I111" s="65"/>
      <c r="K111" s="65"/>
      <c r="M111" s="65"/>
      <c r="O111" s="65"/>
      <c r="Q111" s="65"/>
      <c r="S111" s="65"/>
      <c r="U111" s="65"/>
      <c r="W111" s="65"/>
      <c r="Y111" s="65"/>
      <c r="AA111" s="65"/>
      <c r="AC111" s="65"/>
      <c r="AE111" s="65"/>
      <c r="AG111" s="65"/>
      <c r="AI111" s="65"/>
      <c r="AK111" s="65"/>
    </row>
    <row r="112" spans="1:37" x14ac:dyDescent="0.25">
      <c r="A112" s="2">
        <v>40046</v>
      </c>
      <c r="B112" s="3">
        <v>2745.62</v>
      </c>
      <c r="C112" s="2">
        <v>40049</v>
      </c>
      <c r="D112" s="3">
        <v>22354.86</v>
      </c>
      <c r="E112" s="2"/>
      <c r="F112" s="3"/>
      <c r="G112" s="2"/>
      <c r="H112" s="3"/>
      <c r="I112" s="65"/>
      <c r="K112" s="65"/>
      <c r="M112" s="65"/>
      <c r="O112" s="65"/>
      <c r="Q112" s="65"/>
      <c r="S112" s="65"/>
      <c r="U112" s="65"/>
      <c r="W112" s="65"/>
      <c r="Y112" s="65"/>
      <c r="AA112" s="65"/>
      <c r="AC112" s="65"/>
      <c r="AE112" s="65"/>
      <c r="AG112" s="65"/>
      <c r="AI112" s="65"/>
      <c r="AK112" s="65"/>
    </row>
    <row r="113" spans="1:37" x14ac:dyDescent="0.25">
      <c r="A113" s="2">
        <v>40049</v>
      </c>
      <c r="B113" s="3">
        <v>2778.34</v>
      </c>
      <c r="C113" s="2">
        <v>40050</v>
      </c>
      <c r="D113" s="3">
        <v>22473.83</v>
      </c>
      <c r="E113" s="2"/>
      <c r="F113" s="3"/>
      <c r="G113" s="2"/>
      <c r="H113" s="3"/>
      <c r="I113" s="65"/>
      <c r="K113" s="65"/>
      <c r="M113" s="65"/>
      <c r="O113" s="65"/>
      <c r="Q113" s="65"/>
      <c r="S113" s="65"/>
      <c r="U113" s="65"/>
      <c r="W113" s="65"/>
      <c r="Y113" s="65"/>
      <c r="AA113" s="65"/>
      <c r="AC113" s="65"/>
      <c r="AE113" s="65"/>
      <c r="AG113" s="65"/>
      <c r="AI113" s="65"/>
      <c r="AK113" s="65"/>
    </row>
    <row r="114" spans="1:37" x14ac:dyDescent="0.25">
      <c r="A114" s="2">
        <v>40050</v>
      </c>
      <c r="B114" s="3">
        <v>2801.14</v>
      </c>
      <c r="C114" s="2">
        <v>40051</v>
      </c>
      <c r="D114" s="3">
        <v>22554.65</v>
      </c>
      <c r="E114" s="2"/>
      <c r="F114" s="3"/>
      <c r="G114" s="2"/>
      <c r="H114" s="3"/>
      <c r="I114" s="65"/>
      <c r="K114" s="65"/>
      <c r="M114" s="65"/>
      <c r="O114" s="65"/>
      <c r="Q114" s="65"/>
      <c r="S114" s="65"/>
      <c r="U114" s="65"/>
      <c r="W114" s="65"/>
      <c r="Y114" s="65"/>
      <c r="AA114" s="65"/>
      <c r="AC114" s="65"/>
      <c r="AE114" s="65"/>
      <c r="AG114" s="65"/>
      <c r="AI114" s="65"/>
      <c r="AK114" s="65"/>
    </row>
    <row r="115" spans="1:37" x14ac:dyDescent="0.25">
      <c r="A115" s="2">
        <v>40051</v>
      </c>
      <c r="B115" s="3">
        <v>2788.9</v>
      </c>
      <c r="C115" s="2">
        <v>40052</v>
      </c>
      <c r="D115" s="3">
        <v>22474.78</v>
      </c>
      <c r="E115" s="2"/>
      <c r="F115" s="3"/>
      <c r="G115" s="2"/>
      <c r="H115" s="3"/>
      <c r="I115" s="65"/>
      <c r="K115" s="65"/>
      <c r="M115" s="65"/>
      <c r="O115" s="65"/>
      <c r="Q115" s="65"/>
      <c r="S115" s="65"/>
      <c r="U115" s="65"/>
      <c r="W115" s="65"/>
      <c r="Y115" s="65"/>
      <c r="AA115" s="65"/>
      <c r="AC115" s="65"/>
      <c r="AE115" s="65"/>
      <c r="AG115" s="65"/>
      <c r="AI115" s="65"/>
      <c r="AK115" s="65"/>
    </row>
    <row r="116" spans="1:37" x14ac:dyDescent="0.25">
      <c r="A116" s="2">
        <v>40052</v>
      </c>
      <c r="B116" s="3">
        <v>2777.62</v>
      </c>
      <c r="C116" s="2">
        <v>40053</v>
      </c>
      <c r="D116" s="3">
        <v>22672.54</v>
      </c>
      <c r="E116" s="2"/>
      <c r="F116" s="3"/>
      <c r="G116" s="2"/>
      <c r="H116" s="3"/>
      <c r="I116" s="65"/>
      <c r="K116" s="65"/>
      <c r="M116" s="65"/>
      <c r="O116" s="65"/>
      <c r="Q116" s="65"/>
      <c r="S116" s="65"/>
      <c r="U116" s="65"/>
      <c r="W116" s="65"/>
      <c r="Y116" s="65"/>
      <c r="AA116" s="65"/>
      <c r="AC116" s="65"/>
      <c r="AE116" s="65"/>
      <c r="AG116" s="65"/>
      <c r="AI116" s="65"/>
      <c r="AK116" s="65"/>
    </row>
    <row r="117" spans="1:37" x14ac:dyDescent="0.25">
      <c r="A117" s="2">
        <v>40053</v>
      </c>
      <c r="B117" s="3">
        <v>2803.65</v>
      </c>
      <c r="C117" s="2">
        <v>40056</v>
      </c>
      <c r="D117" s="3">
        <v>22420.43</v>
      </c>
      <c r="E117" s="2"/>
      <c r="F117" s="3"/>
      <c r="G117" s="2"/>
      <c r="H117" s="3"/>
      <c r="I117" s="65"/>
      <c r="K117" s="65"/>
      <c r="M117" s="65"/>
      <c r="O117" s="65"/>
      <c r="Q117" s="65"/>
      <c r="S117" s="65"/>
      <c r="U117" s="65"/>
      <c r="W117" s="65"/>
      <c r="Y117" s="65"/>
      <c r="AA117" s="65"/>
      <c r="AC117" s="65"/>
      <c r="AE117" s="65"/>
      <c r="AG117" s="65"/>
      <c r="AI117" s="65"/>
      <c r="AK117" s="65"/>
    </row>
    <row r="118" spans="1:37" x14ac:dyDescent="0.25">
      <c r="A118" s="2">
        <v>40056</v>
      </c>
      <c r="B118" s="3">
        <v>2775.17</v>
      </c>
      <c r="C118" s="2">
        <v>40057</v>
      </c>
      <c r="D118" s="3">
        <v>21966.19</v>
      </c>
      <c r="E118" s="2"/>
      <c r="F118" s="3"/>
      <c r="G118" s="2"/>
      <c r="H118" s="3"/>
      <c r="I118" s="65"/>
      <c r="K118" s="65"/>
      <c r="M118" s="65"/>
      <c r="O118" s="65"/>
      <c r="Q118" s="65"/>
      <c r="S118" s="65"/>
      <c r="U118" s="65"/>
      <c r="W118" s="65"/>
      <c r="Y118" s="65"/>
      <c r="AA118" s="65"/>
      <c r="AC118" s="65"/>
      <c r="AE118" s="65"/>
      <c r="AG118" s="65"/>
      <c r="AI118" s="65"/>
      <c r="AK118" s="65"/>
    </row>
    <row r="119" spans="1:37" x14ac:dyDescent="0.25">
      <c r="A119" s="2">
        <v>40057</v>
      </c>
      <c r="B119" s="3">
        <v>2715.74</v>
      </c>
      <c r="C119" s="2">
        <v>40058</v>
      </c>
      <c r="D119" s="3">
        <v>21773.61</v>
      </c>
      <c r="E119" s="2"/>
      <c r="F119" s="3"/>
      <c r="G119" s="2"/>
      <c r="H119" s="3"/>
      <c r="I119" s="65"/>
      <c r="K119" s="65"/>
      <c r="M119" s="65"/>
      <c r="O119" s="65"/>
      <c r="Q119" s="65"/>
      <c r="S119" s="65"/>
      <c r="U119" s="65"/>
      <c r="W119" s="65"/>
      <c r="Y119" s="65"/>
      <c r="AA119" s="65"/>
      <c r="AC119" s="65"/>
      <c r="AE119" s="65"/>
      <c r="AG119" s="65"/>
      <c r="AI119" s="65"/>
      <c r="AK119" s="65"/>
    </row>
    <row r="120" spans="1:37" x14ac:dyDescent="0.25">
      <c r="A120" s="2">
        <v>40058</v>
      </c>
      <c r="B120" s="3">
        <v>2703.76</v>
      </c>
      <c r="C120" s="2">
        <v>40059</v>
      </c>
      <c r="D120" s="3">
        <v>21936.59</v>
      </c>
      <c r="E120" s="2"/>
      <c r="F120" s="3"/>
      <c r="G120" s="2"/>
      <c r="H120" s="3"/>
      <c r="I120" s="65"/>
      <c r="K120" s="65"/>
      <c r="M120" s="65"/>
      <c r="O120" s="65"/>
      <c r="Q120" s="65"/>
      <c r="S120" s="65"/>
      <c r="U120" s="65"/>
      <c r="W120" s="65"/>
      <c r="Y120" s="65"/>
      <c r="AA120" s="65"/>
      <c r="AC120" s="65"/>
      <c r="AE120" s="65"/>
      <c r="AG120" s="65"/>
      <c r="AI120" s="65"/>
      <c r="AK120" s="65"/>
    </row>
    <row r="121" spans="1:37" x14ac:dyDescent="0.25">
      <c r="A121" s="2">
        <v>40059</v>
      </c>
      <c r="B121" s="3">
        <v>2699.22</v>
      </c>
      <c r="C121" s="2">
        <v>40060</v>
      </c>
      <c r="D121" s="3">
        <v>22214.61</v>
      </c>
      <c r="E121" s="2"/>
      <c r="F121" s="3"/>
      <c r="G121" s="2"/>
      <c r="H121" s="3"/>
      <c r="I121" s="65"/>
      <c r="K121" s="65"/>
      <c r="M121" s="65"/>
      <c r="O121" s="65"/>
      <c r="Q121" s="65"/>
      <c r="S121" s="65"/>
      <c r="U121" s="65"/>
      <c r="W121" s="65"/>
      <c r="Y121" s="65"/>
      <c r="AA121" s="65"/>
      <c r="AC121" s="65"/>
      <c r="AE121" s="65"/>
      <c r="AG121" s="65"/>
      <c r="AI121" s="65"/>
      <c r="AK121" s="65"/>
    </row>
    <row r="122" spans="1:37" x14ac:dyDescent="0.25">
      <c r="A122" s="2">
        <v>40060</v>
      </c>
      <c r="B122" s="3">
        <v>2743.34</v>
      </c>
      <c r="C122" s="2">
        <v>40063</v>
      </c>
      <c r="D122" s="3">
        <v>22563.33</v>
      </c>
      <c r="E122" s="2"/>
      <c r="F122" s="3"/>
      <c r="G122" s="2"/>
      <c r="H122" s="3"/>
      <c r="I122" s="65"/>
      <c r="K122" s="65"/>
      <c r="M122" s="65"/>
      <c r="O122" s="65"/>
      <c r="Q122" s="65"/>
      <c r="S122" s="65"/>
      <c r="U122" s="65"/>
      <c r="W122" s="65"/>
      <c r="Y122" s="65"/>
      <c r="AA122" s="65"/>
      <c r="AC122" s="65"/>
      <c r="AE122" s="65"/>
      <c r="AG122" s="65"/>
      <c r="AI122" s="65"/>
      <c r="AK122" s="65"/>
    </row>
    <row r="123" spans="1:37" x14ac:dyDescent="0.25">
      <c r="A123" s="2">
        <v>40063</v>
      </c>
      <c r="B123" s="3">
        <v>2783.84</v>
      </c>
      <c r="C123" s="2">
        <v>40064</v>
      </c>
      <c r="D123" s="3">
        <v>22542.93</v>
      </c>
      <c r="E123" s="2"/>
      <c r="F123" s="3"/>
      <c r="G123" s="2"/>
      <c r="H123" s="3"/>
      <c r="I123" s="65"/>
      <c r="K123" s="65"/>
      <c r="M123" s="65"/>
      <c r="O123" s="65"/>
      <c r="Q123" s="65"/>
      <c r="S123" s="65"/>
      <c r="U123" s="65"/>
      <c r="W123" s="65"/>
      <c r="Y123" s="65"/>
      <c r="AA123" s="65"/>
      <c r="AC123" s="65"/>
      <c r="AE123" s="65"/>
      <c r="AG123" s="65"/>
      <c r="AI123" s="65"/>
      <c r="AK123" s="65"/>
    </row>
    <row r="124" spans="1:37" x14ac:dyDescent="0.25">
      <c r="A124" s="2">
        <v>40064</v>
      </c>
      <c r="B124" s="3">
        <v>2786.25</v>
      </c>
      <c r="C124" s="2">
        <v>40065</v>
      </c>
      <c r="D124" s="3">
        <v>22802.04</v>
      </c>
      <c r="E124" s="2"/>
      <c r="F124" s="3"/>
      <c r="G124" s="2"/>
      <c r="H124" s="3"/>
      <c r="I124" s="65"/>
      <c r="K124" s="65"/>
      <c r="M124" s="65"/>
      <c r="O124" s="65"/>
      <c r="Q124" s="65"/>
      <c r="S124" s="65"/>
      <c r="U124" s="65"/>
      <c r="W124" s="65"/>
      <c r="Y124" s="65"/>
      <c r="AA124" s="65"/>
      <c r="AC124" s="65"/>
      <c r="AE124" s="65"/>
      <c r="AG124" s="65"/>
      <c r="AI124" s="65"/>
      <c r="AK124" s="65"/>
    </row>
    <row r="125" spans="1:37" x14ac:dyDescent="0.25">
      <c r="A125" s="2">
        <v>40065</v>
      </c>
      <c r="B125" s="3">
        <v>2820.58</v>
      </c>
      <c r="C125" s="2">
        <v>40066</v>
      </c>
      <c r="D125" s="3">
        <v>22849.87</v>
      </c>
      <c r="E125" s="2"/>
      <c r="F125" s="3"/>
      <c r="G125" s="2"/>
      <c r="H125" s="3"/>
      <c r="I125" s="65"/>
      <c r="K125" s="65"/>
      <c r="M125" s="65"/>
      <c r="O125" s="65"/>
      <c r="Q125" s="65"/>
      <c r="S125" s="65"/>
      <c r="U125" s="65"/>
      <c r="W125" s="65"/>
      <c r="Y125" s="65"/>
      <c r="AA125" s="65"/>
      <c r="AC125" s="65"/>
      <c r="AE125" s="65"/>
      <c r="AG125" s="65"/>
      <c r="AI125" s="65"/>
      <c r="AK125" s="65"/>
    </row>
    <row r="126" spans="1:37" x14ac:dyDescent="0.25">
      <c r="A126" s="2">
        <v>40066</v>
      </c>
      <c r="B126" s="3">
        <v>2817.5</v>
      </c>
      <c r="C126" s="2">
        <v>40067</v>
      </c>
      <c r="D126" s="3">
        <v>23039.35</v>
      </c>
      <c r="E126" s="2"/>
      <c r="F126" s="3"/>
      <c r="G126" s="2"/>
      <c r="H126" s="3"/>
      <c r="I126" s="65"/>
      <c r="K126" s="65"/>
      <c r="M126" s="65"/>
      <c r="O126" s="65"/>
      <c r="Q126" s="65"/>
      <c r="S126" s="65"/>
      <c r="U126" s="65"/>
      <c r="W126" s="65"/>
      <c r="Y126" s="65"/>
      <c r="AA126" s="65"/>
      <c r="AC126" s="65"/>
      <c r="AE126" s="65"/>
      <c r="AG126" s="65"/>
      <c r="AI126" s="65"/>
      <c r="AK126" s="65"/>
    </row>
    <row r="127" spans="1:37" x14ac:dyDescent="0.25">
      <c r="A127" s="2">
        <v>40067</v>
      </c>
      <c r="B127" s="3">
        <v>2831.37</v>
      </c>
      <c r="C127" s="2">
        <v>40070</v>
      </c>
      <c r="D127" s="3">
        <v>23029.31</v>
      </c>
      <c r="E127" s="2"/>
      <c r="F127" s="3"/>
      <c r="G127" s="2"/>
      <c r="H127" s="3"/>
      <c r="I127" s="65"/>
      <c r="K127" s="65"/>
      <c r="M127" s="65"/>
      <c r="O127" s="65"/>
      <c r="Q127" s="65"/>
      <c r="S127" s="65"/>
      <c r="U127" s="65"/>
      <c r="W127" s="65"/>
      <c r="Y127" s="65"/>
      <c r="AA127" s="65"/>
      <c r="AC127" s="65"/>
      <c r="AE127" s="65"/>
      <c r="AG127" s="65"/>
      <c r="AI127" s="65"/>
      <c r="AK127" s="65"/>
    </row>
    <row r="128" spans="1:37" x14ac:dyDescent="0.25">
      <c r="A128" s="2">
        <v>40070</v>
      </c>
      <c r="B128" s="3">
        <v>2829.25</v>
      </c>
      <c r="C128" s="2">
        <v>40071</v>
      </c>
      <c r="D128" s="3">
        <v>23108.13</v>
      </c>
      <c r="E128" s="2"/>
      <c r="F128" s="3"/>
      <c r="G128" s="2"/>
      <c r="H128" s="3"/>
      <c r="I128" s="65"/>
      <c r="K128" s="65"/>
      <c r="M128" s="65"/>
      <c r="O128" s="65"/>
      <c r="Q128" s="65"/>
      <c r="S128" s="65"/>
      <c r="U128" s="65"/>
      <c r="W128" s="65"/>
      <c r="Y128" s="65"/>
      <c r="AA128" s="65"/>
      <c r="AC128" s="65"/>
      <c r="AE128" s="65"/>
      <c r="AG128" s="65"/>
      <c r="AI128" s="65"/>
      <c r="AK128" s="65"/>
    </row>
    <row r="129" spans="1:37" x14ac:dyDescent="0.25">
      <c r="A129" s="2">
        <v>40071</v>
      </c>
      <c r="B129" s="3">
        <v>2843</v>
      </c>
      <c r="C129" s="2">
        <v>40072</v>
      </c>
      <c r="D129" s="3">
        <v>23465.49</v>
      </c>
      <c r="E129" s="2"/>
      <c r="F129" s="3"/>
      <c r="G129" s="2"/>
      <c r="H129" s="3"/>
      <c r="I129" s="65"/>
      <c r="K129" s="65"/>
      <c r="M129" s="65"/>
      <c r="O129" s="65"/>
      <c r="Q129" s="65"/>
      <c r="S129" s="65"/>
      <c r="U129" s="65"/>
      <c r="W129" s="65"/>
      <c r="Y129" s="65"/>
      <c r="AA129" s="65"/>
      <c r="AC129" s="65"/>
      <c r="AE129" s="65"/>
      <c r="AG129" s="65"/>
      <c r="AI129" s="65"/>
      <c r="AK129" s="65"/>
    </row>
    <row r="130" spans="1:37" x14ac:dyDescent="0.25">
      <c r="A130" s="2">
        <v>40072</v>
      </c>
      <c r="B130" s="3">
        <v>2882.28</v>
      </c>
      <c r="C130" s="2">
        <v>40073</v>
      </c>
      <c r="D130" s="3">
        <v>23583.01</v>
      </c>
      <c r="E130" s="2"/>
      <c r="F130" s="3"/>
      <c r="G130" s="2"/>
      <c r="H130" s="3"/>
      <c r="I130" s="65"/>
      <c r="K130" s="65"/>
      <c r="M130" s="65"/>
      <c r="O130" s="65"/>
      <c r="Q130" s="65"/>
      <c r="S130" s="65"/>
      <c r="U130" s="65"/>
      <c r="W130" s="65"/>
      <c r="Y130" s="65"/>
      <c r="AA130" s="65"/>
      <c r="AC130" s="65"/>
      <c r="AE130" s="65"/>
      <c r="AG130" s="65"/>
      <c r="AI130" s="65"/>
      <c r="AK130" s="65"/>
    </row>
    <row r="131" spans="1:37" x14ac:dyDescent="0.25">
      <c r="A131" s="2">
        <v>40073</v>
      </c>
      <c r="B131" s="3">
        <v>2895.45</v>
      </c>
      <c r="C131" s="2">
        <v>40074</v>
      </c>
      <c r="D131" s="3">
        <v>23483.97</v>
      </c>
      <c r="E131" s="2"/>
      <c r="F131" s="3"/>
      <c r="G131" s="2"/>
      <c r="H131" s="3"/>
      <c r="I131" s="65"/>
      <c r="K131" s="65"/>
      <c r="M131" s="65"/>
      <c r="O131" s="65"/>
      <c r="Q131" s="65"/>
      <c r="S131" s="65"/>
      <c r="U131" s="65"/>
      <c r="W131" s="65"/>
      <c r="Y131" s="65"/>
      <c r="AA131" s="65"/>
      <c r="AC131" s="65"/>
      <c r="AE131" s="65"/>
      <c r="AG131" s="65"/>
      <c r="AI131" s="65"/>
      <c r="AK131" s="65"/>
    </row>
    <row r="132" spans="1:37" x14ac:dyDescent="0.25">
      <c r="A132" s="2">
        <v>40074</v>
      </c>
      <c r="B132" s="3">
        <v>2887.24</v>
      </c>
      <c r="C132" s="2">
        <v>40077</v>
      </c>
      <c r="D132" s="3">
        <v>23047.87</v>
      </c>
      <c r="E132" s="2"/>
      <c r="F132" s="3"/>
      <c r="G132" s="2"/>
      <c r="H132" s="3"/>
      <c r="I132" s="65"/>
      <c r="K132" s="65"/>
      <c r="M132" s="65"/>
      <c r="O132" s="65"/>
      <c r="Q132" s="65"/>
      <c r="S132" s="65"/>
      <c r="U132" s="65"/>
      <c r="W132" s="65"/>
      <c r="Y132" s="65"/>
      <c r="AA132" s="65"/>
      <c r="AC132" s="65"/>
      <c r="AE132" s="65"/>
      <c r="AG132" s="65"/>
      <c r="AI132" s="65"/>
      <c r="AK132" s="65"/>
    </row>
    <row r="133" spans="1:37" x14ac:dyDescent="0.25">
      <c r="A133" s="2">
        <v>40077</v>
      </c>
      <c r="B133" s="3">
        <v>2872.51</v>
      </c>
      <c r="C133" s="2">
        <v>40078</v>
      </c>
      <c r="D133" s="3">
        <v>23066.9</v>
      </c>
      <c r="E133" s="2"/>
      <c r="F133" s="3"/>
      <c r="G133" s="2"/>
      <c r="H133" s="3"/>
      <c r="I133" s="65"/>
      <c r="K133" s="65"/>
      <c r="M133" s="65"/>
      <c r="O133" s="65"/>
      <c r="Q133" s="65"/>
      <c r="S133" s="65"/>
      <c r="U133" s="65"/>
      <c r="W133" s="65"/>
      <c r="Y133" s="65"/>
      <c r="AA133" s="65"/>
      <c r="AC133" s="65"/>
      <c r="AE133" s="65"/>
      <c r="AG133" s="65"/>
      <c r="AI133" s="65"/>
      <c r="AK133" s="65"/>
    </row>
    <row r="134" spans="1:37" x14ac:dyDescent="0.25">
      <c r="A134" s="2">
        <v>40078</v>
      </c>
      <c r="B134" s="3">
        <v>2881.6</v>
      </c>
      <c r="C134" s="2">
        <v>40079</v>
      </c>
      <c r="D134" s="3">
        <v>23239.05</v>
      </c>
      <c r="E134" s="2"/>
      <c r="F134" s="3"/>
      <c r="G134" s="2"/>
      <c r="H134" s="3"/>
      <c r="I134" s="65"/>
      <c r="K134" s="65"/>
      <c r="M134" s="65"/>
      <c r="O134" s="65"/>
      <c r="Q134" s="65"/>
      <c r="S134" s="65"/>
      <c r="U134" s="65"/>
      <c r="W134" s="65"/>
      <c r="Y134" s="65"/>
      <c r="AA134" s="65"/>
      <c r="AC134" s="65"/>
      <c r="AE134" s="65"/>
      <c r="AG134" s="65"/>
      <c r="AI134" s="65"/>
      <c r="AK134" s="65"/>
    </row>
    <row r="135" spans="1:37" x14ac:dyDescent="0.25">
      <c r="A135" s="2">
        <v>40079</v>
      </c>
      <c r="B135" s="3">
        <v>2887.24</v>
      </c>
      <c r="C135" s="2">
        <v>40080</v>
      </c>
      <c r="D135" s="3">
        <v>22953.4</v>
      </c>
      <c r="E135" s="2"/>
      <c r="F135" s="3"/>
      <c r="G135" s="2"/>
      <c r="H135" s="3"/>
      <c r="I135" s="65"/>
      <c r="K135" s="65"/>
      <c r="M135" s="65"/>
      <c r="O135" s="65"/>
      <c r="Q135" s="65"/>
      <c r="S135" s="65"/>
      <c r="U135" s="65"/>
      <c r="W135" s="65"/>
      <c r="Y135" s="65"/>
      <c r="AA135" s="65"/>
      <c r="AC135" s="65"/>
      <c r="AE135" s="65"/>
      <c r="AG135" s="65"/>
      <c r="AI135" s="65"/>
      <c r="AK135" s="65"/>
    </row>
    <row r="136" spans="1:37" x14ac:dyDescent="0.25">
      <c r="A136" s="2">
        <v>40080</v>
      </c>
      <c r="B136" s="3">
        <v>2838.22</v>
      </c>
      <c r="C136" s="2">
        <v>40081</v>
      </c>
      <c r="D136" s="3">
        <v>23102.74</v>
      </c>
      <c r="E136" s="2"/>
      <c r="F136" s="3"/>
      <c r="G136" s="2"/>
      <c r="H136" s="3"/>
      <c r="I136" s="65"/>
      <c r="K136" s="65"/>
      <c r="M136" s="65"/>
      <c r="O136" s="65"/>
      <c r="Q136" s="65"/>
      <c r="S136" s="65"/>
      <c r="U136" s="65"/>
      <c r="W136" s="65"/>
      <c r="Y136" s="65"/>
      <c r="AA136" s="65"/>
      <c r="AC136" s="65"/>
      <c r="AE136" s="65"/>
      <c r="AG136" s="65"/>
      <c r="AI136" s="65"/>
      <c r="AK136" s="65"/>
    </row>
    <row r="137" spans="1:37" x14ac:dyDescent="0.25">
      <c r="A137" s="2">
        <v>40081</v>
      </c>
      <c r="B137" s="3">
        <v>2831.95</v>
      </c>
      <c r="C137" s="2">
        <v>40084</v>
      </c>
      <c r="D137" s="3">
        <v>23478.43</v>
      </c>
      <c r="E137" s="2"/>
      <c r="F137" s="3"/>
      <c r="G137" s="2"/>
      <c r="H137" s="3"/>
      <c r="I137" s="65"/>
      <c r="K137" s="65"/>
      <c r="M137" s="65"/>
      <c r="O137" s="65"/>
      <c r="Q137" s="65"/>
      <c r="S137" s="65"/>
      <c r="U137" s="65"/>
      <c r="W137" s="65"/>
      <c r="Y137" s="65"/>
      <c r="AA137" s="65"/>
      <c r="AC137" s="65"/>
      <c r="AE137" s="65"/>
      <c r="AG137" s="65"/>
      <c r="AI137" s="65"/>
      <c r="AK137" s="65"/>
    </row>
    <row r="138" spans="1:37" x14ac:dyDescent="0.25">
      <c r="A138" s="2">
        <v>40084</v>
      </c>
      <c r="B138" s="3">
        <v>2899.12</v>
      </c>
      <c r="C138" s="2">
        <v>40085</v>
      </c>
      <c r="D138" s="3">
        <v>23565.62</v>
      </c>
      <c r="E138" s="2"/>
      <c r="F138" s="3"/>
      <c r="G138" s="2"/>
      <c r="H138" s="3"/>
      <c r="I138" s="65"/>
      <c r="K138" s="65"/>
      <c r="M138" s="65"/>
      <c r="O138" s="65"/>
      <c r="Q138" s="65"/>
      <c r="S138" s="65"/>
      <c r="U138" s="65"/>
      <c r="W138" s="65"/>
      <c r="Y138" s="65"/>
      <c r="AA138" s="65"/>
      <c r="AC138" s="65"/>
      <c r="AE138" s="65"/>
      <c r="AG138" s="65"/>
      <c r="AI138" s="65"/>
      <c r="AK138" s="65"/>
    </row>
    <row r="139" spans="1:37" x14ac:dyDescent="0.25">
      <c r="A139" s="2">
        <v>40085</v>
      </c>
      <c r="B139" s="3">
        <v>2892.44</v>
      </c>
      <c r="C139" s="2">
        <v>40086</v>
      </c>
      <c r="D139" s="3">
        <v>23472.73</v>
      </c>
      <c r="E139" s="2"/>
      <c r="F139" s="3"/>
      <c r="G139" s="2"/>
      <c r="H139" s="3"/>
      <c r="I139" s="65"/>
      <c r="K139" s="65"/>
      <c r="M139" s="65"/>
      <c r="O139" s="65"/>
      <c r="Q139" s="65"/>
      <c r="S139" s="65"/>
      <c r="U139" s="65"/>
      <c r="W139" s="65"/>
      <c r="Y139" s="65"/>
      <c r="AA139" s="65"/>
      <c r="AC139" s="65"/>
      <c r="AE139" s="65"/>
      <c r="AG139" s="65"/>
      <c r="AI139" s="65"/>
      <c r="AK139" s="65"/>
    </row>
    <row r="140" spans="1:37" x14ac:dyDescent="0.25">
      <c r="A140" s="2">
        <v>40086</v>
      </c>
      <c r="B140" s="3">
        <v>2872.63</v>
      </c>
      <c r="C140" s="2">
        <v>40087</v>
      </c>
      <c r="D140" s="3">
        <v>23053.51</v>
      </c>
      <c r="E140" s="2"/>
      <c r="F140" s="3"/>
      <c r="G140" s="2"/>
      <c r="H140" s="3"/>
      <c r="I140" s="65"/>
      <c r="K140" s="65"/>
      <c r="M140" s="65"/>
      <c r="O140" s="65"/>
      <c r="Q140" s="65"/>
      <c r="S140" s="65"/>
      <c r="U140" s="65"/>
      <c r="W140" s="65"/>
      <c r="Y140" s="65"/>
      <c r="AA140" s="65"/>
      <c r="AC140" s="65"/>
      <c r="AE140" s="65"/>
      <c r="AG140" s="65"/>
      <c r="AI140" s="65"/>
      <c r="AK140" s="65"/>
    </row>
    <row r="141" spans="1:37" x14ac:dyDescent="0.25">
      <c r="A141" s="2">
        <v>40087</v>
      </c>
      <c r="B141" s="3">
        <v>2810.46</v>
      </c>
      <c r="C141" s="2">
        <v>40088</v>
      </c>
      <c r="D141" s="3">
        <v>22652.94</v>
      </c>
      <c r="E141" s="2"/>
      <c r="F141" s="3"/>
      <c r="G141" s="2"/>
      <c r="H141" s="3"/>
      <c r="I141" s="65"/>
      <c r="K141" s="65"/>
      <c r="M141" s="65"/>
      <c r="O141" s="65"/>
      <c r="Q141" s="65"/>
      <c r="S141" s="65"/>
      <c r="U141" s="65"/>
      <c r="W141" s="65"/>
      <c r="Y141" s="65"/>
      <c r="AA141" s="65"/>
      <c r="AC141" s="65"/>
      <c r="AE141" s="65"/>
      <c r="AG141" s="65"/>
      <c r="AI141" s="65"/>
      <c r="AK141" s="65"/>
    </row>
    <row r="142" spans="1:37" x14ac:dyDescent="0.25">
      <c r="A142" s="2">
        <v>40088</v>
      </c>
      <c r="B142" s="3">
        <v>2760.6</v>
      </c>
      <c r="C142" s="2">
        <v>40091</v>
      </c>
      <c r="D142" s="3">
        <v>22830.85</v>
      </c>
      <c r="E142" s="2"/>
      <c r="F142" s="3"/>
      <c r="G142" s="2"/>
      <c r="H142" s="3"/>
      <c r="I142" s="65"/>
      <c r="K142" s="65"/>
      <c r="M142" s="65"/>
      <c r="O142" s="65"/>
      <c r="Q142" s="65"/>
      <c r="S142" s="65"/>
      <c r="U142" s="65"/>
      <c r="W142" s="65"/>
      <c r="Y142" s="65"/>
      <c r="AA142" s="65"/>
      <c r="AC142" s="65"/>
      <c r="AE142" s="65"/>
      <c r="AG142" s="65"/>
      <c r="AI142" s="65"/>
      <c r="AK142" s="65"/>
    </row>
    <row r="143" spans="1:37" x14ac:dyDescent="0.25">
      <c r="A143" s="2">
        <v>40091</v>
      </c>
      <c r="B143" s="3">
        <v>2790.78</v>
      </c>
      <c r="C143" s="2">
        <v>40092</v>
      </c>
      <c r="D143" s="3">
        <v>23459.59</v>
      </c>
      <c r="E143" s="2"/>
      <c r="F143" s="3"/>
      <c r="G143" s="2"/>
      <c r="H143" s="3"/>
      <c r="I143" s="65"/>
      <c r="K143" s="65"/>
      <c r="M143" s="65"/>
      <c r="O143" s="65"/>
      <c r="Q143" s="65"/>
      <c r="S143" s="65"/>
      <c r="U143" s="65"/>
      <c r="W143" s="65"/>
      <c r="Y143" s="65"/>
      <c r="AA143" s="65"/>
      <c r="AC143" s="65"/>
      <c r="AE143" s="65"/>
      <c r="AG143" s="65"/>
      <c r="AI143" s="65"/>
      <c r="AK143" s="65"/>
    </row>
    <row r="144" spans="1:37" x14ac:dyDescent="0.25">
      <c r="A144" s="2">
        <v>40092</v>
      </c>
      <c r="B144" s="3">
        <v>2865.7</v>
      </c>
      <c r="C144" s="2">
        <v>40093</v>
      </c>
      <c r="D144" s="3">
        <v>23414.28</v>
      </c>
      <c r="E144" s="2"/>
      <c r="F144" s="3"/>
      <c r="G144" s="2"/>
      <c r="H144" s="3"/>
      <c r="I144" s="65"/>
      <c r="K144" s="65"/>
      <c r="M144" s="65"/>
      <c r="O144" s="65"/>
      <c r="Q144" s="65"/>
      <c r="S144" s="65"/>
      <c r="U144" s="65"/>
      <c r="W144" s="65"/>
      <c r="Y144" s="65"/>
      <c r="AA144" s="65"/>
      <c r="AC144" s="65"/>
      <c r="AE144" s="65"/>
      <c r="AG144" s="65"/>
      <c r="AI144" s="65"/>
      <c r="AK144" s="65"/>
    </row>
    <row r="145" spans="1:37" x14ac:dyDescent="0.25">
      <c r="A145" s="2">
        <v>40093</v>
      </c>
      <c r="B145" s="3">
        <v>2852.17</v>
      </c>
      <c r="C145" s="2">
        <v>40094</v>
      </c>
      <c r="D145" s="3">
        <v>23663.68</v>
      </c>
      <c r="E145" s="2"/>
      <c r="F145" s="3"/>
      <c r="G145" s="2"/>
      <c r="H145" s="3"/>
      <c r="I145" s="65"/>
      <c r="K145" s="65"/>
      <c r="M145" s="65"/>
      <c r="O145" s="65"/>
      <c r="Q145" s="65"/>
      <c r="S145" s="65"/>
      <c r="U145" s="65"/>
      <c r="W145" s="65"/>
      <c r="Y145" s="65"/>
      <c r="AA145" s="65"/>
      <c r="AC145" s="65"/>
      <c r="AE145" s="65"/>
      <c r="AG145" s="65"/>
      <c r="AI145" s="65"/>
      <c r="AK145" s="65"/>
    </row>
    <row r="146" spans="1:37" x14ac:dyDescent="0.25">
      <c r="A146" s="2">
        <v>40094</v>
      </c>
      <c r="B146" s="3">
        <v>2887.61</v>
      </c>
      <c r="C146" s="2">
        <v>40095</v>
      </c>
      <c r="D146" s="3">
        <v>23770.560000000001</v>
      </c>
      <c r="E146" s="2"/>
      <c r="F146" s="3"/>
      <c r="G146" s="2"/>
      <c r="H146" s="3"/>
      <c r="I146" s="65"/>
      <c r="K146" s="65"/>
      <c r="M146" s="65"/>
      <c r="O146" s="65"/>
      <c r="Q146" s="65"/>
      <c r="S146" s="65"/>
      <c r="U146" s="65"/>
      <c r="W146" s="65"/>
      <c r="Y146" s="65"/>
      <c r="AA146" s="65"/>
      <c r="AC146" s="65"/>
      <c r="AE146" s="65"/>
      <c r="AG146" s="65"/>
      <c r="AI146" s="65"/>
      <c r="AK146" s="65"/>
    </row>
    <row r="147" spans="1:37" x14ac:dyDescent="0.25">
      <c r="A147" s="2">
        <v>40095</v>
      </c>
      <c r="B147" s="3">
        <v>2882.18</v>
      </c>
      <c r="C147" s="2">
        <v>40098</v>
      </c>
      <c r="D147" s="3">
        <v>24140.95</v>
      </c>
      <c r="E147" s="2"/>
      <c r="F147" s="3"/>
      <c r="G147" s="2"/>
      <c r="H147" s="3"/>
      <c r="I147" s="65"/>
      <c r="K147" s="65"/>
      <c r="M147" s="65"/>
      <c r="O147" s="65"/>
      <c r="Q147" s="65"/>
      <c r="S147" s="65"/>
      <c r="U147" s="65"/>
      <c r="W147" s="65"/>
      <c r="Y147" s="65"/>
      <c r="AA147" s="65"/>
      <c r="AC147" s="65"/>
      <c r="AE147" s="65"/>
      <c r="AG147" s="65"/>
      <c r="AI147" s="65"/>
      <c r="AK147" s="65"/>
    </row>
    <row r="148" spans="1:37" x14ac:dyDescent="0.25">
      <c r="A148" s="2">
        <v>40098</v>
      </c>
      <c r="B148" s="3">
        <v>2914.35</v>
      </c>
      <c r="C148" s="2">
        <v>40099</v>
      </c>
      <c r="D148" s="3">
        <v>23928.77</v>
      </c>
      <c r="E148" s="2"/>
      <c r="F148" s="3"/>
      <c r="G148" s="2"/>
      <c r="H148" s="3"/>
      <c r="I148" s="65"/>
      <c r="K148" s="65"/>
      <c r="M148" s="65"/>
      <c r="O148" s="65"/>
      <c r="Q148" s="65"/>
      <c r="S148" s="65"/>
      <c r="U148" s="65"/>
      <c r="W148" s="65"/>
      <c r="Y148" s="65"/>
      <c r="AA148" s="65"/>
      <c r="AC148" s="65"/>
      <c r="AE148" s="65"/>
      <c r="AG148" s="65"/>
      <c r="AI148" s="65"/>
      <c r="AK148" s="65"/>
    </row>
    <row r="149" spans="1:37" x14ac:dyDescent="0.25">
      <c r="A149" s="2">
        <v>40099</v>
      </c>
      <c r="B149" s="3">
        <v>2879.06</v>
      </c>
      <c r="C149" s="2">
        <v>40100</v>
      </c>
      <c r="D149" s="3">
        <v>24348.23</v>
      </c>
      <c r="E149" s="2"/>
      <c r="F149" s="3"/>
      <c r="G149" s="2"/>
      <c r="H149" s="3"/>
      <c r="I149" s="65"/>
      <c r="K149" s="65"/>
      <c r="M149" s="65"/>
      <c r="O149" s="65"/>
      <c r="Q149" s="65"/>
      <c r="S149" s="65"/>
      <c r="U149" s="65"/>
      <c r="W149" s="65"/>
      <c r="Y149" s="65"/>
      <c r="AA149" s="65"/>
      <c r="AC149" s="65"/>
      <c r="AE149" s="65"/>
      <c r="AG149" s="65"/>
      <c r="AI149" s="65"/>
      <c r="AK149" s="65"/>
    </row>
    <row r="150" spans="1:37" x14ac:dyDescent="0.25">
      <c r="A150" s="2">
        <v>40100</v>
      </c>
      <c r="B150" s="3">
        <v>2950.82</v>
      </c>
      <c r="C150" s="2">
        <v>40101</v>
      </c>
      <c r="D150" s="3">
        <v>24339.759999999998</v>
      </c>
      <c r="E150" s="2"/>
      <c r="F150" s="3"/>
      <c r="G150" s="2"/>
      <c r="H150" s="3"/>
      <c r="I150" s="65"/>
      <c r="K150" s="65"/>
      <c r="M150" s="65"/>
      <c r="O150" s="65"/>
      <c r="Q150" s="65"/>
      <c r="S150" s="65"/>
      <c r="U150" s="65"/>
      <c r="W150" s="65"/>
      <c r="Y150" s="65"/>
      <c r="AA150" s="65"/>
      <c r="AC150" s="65"/>
      <c r="AE150" s="65"/>
      <c r="AG150" s="65"/>
      <c r="AI150" s="65"/>
      <c r="AK150" s="65"/>
    </row>
    <row r="151" spans="1:37" x14ac:dyDescent="0.25">
      <c r="A151" s="2">
        <v>40101</v>
      </c>
      <c r="B151" s="3">
        <v>2939.09</v>
      </c>
      <c r="C151" s="2">
        <v>40102</v>
      </c>
      <c r="D151" s="3">
        <v>24152.34</v>
      </c>
      <c r="E151" s="2"/>
      <c r="F151" s="3"/>
      <c r="G151" s="2"/>
      <c r="H151" s="3"/>
      <c r="I151" s="65"/>
      <c r="K151" s="65"/>
      <c r="M151" s="65"/>
      <c r="O151" s="65"/>
      <c r="Q151" s="65"/>
      <c r="S151" s="65"/>
      <c r="U151" s="65"/>
      <c r="W151" s="65"/>
      <c r="Y151" s="65"/>
      <c r="AA151" s="65"/>
      <c r="AC151" s="65"/>
      <c r="AE151" s="65"/>
      <c r="AG151" s="65"/>
      <c r="AI151" s="65"/>
      <c r="AK151" s="65"/>
    </row>
    <row r="152" spans="1:37" x14ac:dyDescent="0.25">
      <c r="A152" s="2">
        <v>40102</v>
      </c>
      <c r="B152" s="3">
        <v>2893.53</v>
      </c>
      <c r="C152" s="2">
        <v>40105</v>
      </c>
      <c r="D152" s="3">
        <v>24425.98</v>
      </c>
      <c r="E152" s="2"/>
      <c r="F152" s="3"/>
      <c r="G152" s="2"/>
      <c r="H152" s="3"/>
      <c r="I152" s="65"/>
      <c r="K152" s="65"/>
      <c r="M152" s="65"/>
      <c r="O152" s="65"/>
      <c r="Q152" s="65"/>
      <c r="S152" s="65"/>
      <c r="U152" s="65"/>
      <c r="W152" s="65"/>
      <c r="Y152" s="65"/>
      <c r="AA152" s="65"/>
      <c r="AC152" s="65"/>
      <c r="AE152" s="65"/>
      <c r="AG152" s="65"/>
      <c r="AI152" s="65"/>
      <c r="AK152" s="65"/>
    </row>
    <row r="153" spans="1:37" x14ac:dyDescent="0.25">
      <c r="A153" s="2">
        <v>40105</v>
      </c>
      <c r="B153" s="3">
        <v>2947.41</v>
      </c>
      <c r="C153" s="2">
        <v>40106</v>
      </c>
      <c r="D153" s="3">
        <v>24228.05</v>
      </c>
      <c r="E153" s="2"/>
      <c r="F153" s="3"/>
      <c r="G153" s="2"/>
      <c r="H153" s="3"/>
      <c r="I153" s="65"/>
      <c r="K153" s="65"/>
      <c r="M153" s="65"/>
      <c r="O153" s="65"/>
      <c r="Q153" s="65"/>
      <c r="S153" s="65"/>
      <c r="U153" s="65"/>
      <c r="W153" s="65"/>
      <c r="Y153" s="65"/>
      <c r="AA153" s="65"/>
      <c r="AC153" s="65"/>
      <c r="AE153" s="65"/>
      <c r="AG153" s="65"/>
      <c r="AI153" s="65"/>
      <c r="AK153" s="65"/>
    </row>
    <row r="154" spans="1:37" x14ac:dyDescent="0.25">
      <c r="A154" s="2">
        <v>40106</v>
      </c>
      <c r="B154" s="3">
        <v>2925.08</v>
      </c>
      <c r="C154" s="2">
        <v>40107</v>
      </c>
      <c r="D154" s="3">
        <v>24175.87</v>
      </c>
      <c r="E154" s="2"/>
      <c r="F154" s="3"/>
      <c r="G154" s="2"/>
      <c r="H154" s="3"/>
      <c r="I154" s="65"/>
      <c r="K154" s="65"/>
      <c r="M154" s="65"/>
      <c r="O154" s="65"/>
      <c r="Q154" s="65"/>
      <c r="S154" s="65"/>
      <c r="U154" s="65"/>
      <c r="W154" s="65"/>
      <c r="Y154" s="65"/>
      <c r="AA154" s="65"/>
      <c r="AC154" s="65"/>
      <c r="AE154" s="65"/>
      <c r="AG154" s="65"/>
      <c r="AI154" s="65"/>
      <c r="AK154" s="65"/>
    </row>
    <row r="155" spans="1:37" x14ac:dyDescent="0.25">
      <c r="A155" s="2">
        <v>40107</v>
      </c>
      <c r="B155" s="3">
        <v>2936.83</v>
      </c>
      <c r="C155" s="2">
        <v>40108</v>
      </c>
      <c r="D155" s="3">
        <v>23813.41</v>
      </c>
      <c r="E155" s="2"/>
      <c r="F155" s="3"/>
      <c r="G155" s="2"/>
      <c r="H155" s="3"/>
      <c r="I155" s="65"/>
      <c r="K155" s="65"/>
      <c r="M155" s="65"/>
      <c r="O155" s="65"/>
      <c r="Q155" s="65"/>
      <c r="S155" s="65"/>
      <c r="U155" s="65"/>
      <c r="W155" s="65"/>
      <c r="Y155" s="65"/>
      <c r="AA155" s="65"/>
      <c r="AC155" s="65"/>
      <c r="AE155" s="65"/>
      <c r="AG155" s="65"/>
      <c r="AI155" s="65"/>
      <c r="AK155" s="65"/>
    </row>
    <row r="156" spans="1:37" x14ac:dyDescent="0.25">
      <c r="A156" s="2">
        <v>40108</v>
      </c>
      <c r="B156" s="3">
        <v>2902.19</v>
      </c>
      <c r="C156" s="2">
        <v>40109</v>
      </c>
      <c r="D156" s="3">
        <v>23420.560000000001</v>
      </c>
      <c r="E156" s="2"/>
      <c r="F156" s="3"/>
      <c r="G156" s="2"/>
      <c r="H156" s="3"/>
      <c r="I156" s="65"/>
      <c r="K156" s="65"/>
      <c r="M156" s="65"/>
      <c r="O156" s="65"/>
      <c r="Q156" s="65"/>
      <c r="S156" s="65"/>
      <c r="U156" s="65"/>
      <c r="W156" s="65"/>
      <c r="Y156" s="65"/>
      <c r="AA156" s="65"/>
      <c r="AC156" s="65"/>
      <c r="AE156" s="65"/>
      <c r="AG156" s="65"/>
      <c r="AI156" s="65"/>
      <c r="AK156" s="65"/>
    </row>
    <row r="157" spans="1:37" x14ac:dyDescent="0.25">
      <c r="A157" s="2">
        <v>40109</v>
      </c>
      <c r="B157" s="3">
        <v>2886.08</v>
      </c>
      <c r="C157" s="2">
        <v>40112</v>
      </c>
      <c r="D157" s="3">
        <v>23001.56</v>
      </c>
      <c r="E157" s="2"/>
      <c r="F157" s="3"/>
      <c r="G157" s="2"/>
      <c r="H157" s="3"/>
      <c r="I157" s="65"/>
      <c r="K157" s="65"/>
      <c r="M157" s="65"/>
      <c r="O157" s="65"/>
      <c r="Q157" s="65"/>
      <c r="S157" s="65"/>
      <c r="U157" s="65"/>
      <c r="W157" s="65"/>
      <c r="Y157" s="65"/>
      <c r="AA157" s="65"/>
      <c r="AC157" s="65"/>
      <c r="AE157" s="65"/>
      <c r="AG157" s="65"/>
      <c r="AI157" s="65"/>
      <c r="AK157" s="65"/>
    </row>
    <row r="158" spans="1:37" x14ac:dyDescent="0.25">
      <c r="A158" s="2">
        <v>40112</v>
      </c>
      <c r="B158" s="3">
        <v>2834.82</v>
      </c>
      <c r="C158" s="2">
        <v>40113</v>
      </c>
      <c r="D158" s="3">
        <v>22829.52</v>
      </c>
      <c r="E158" s="2"/>
      <c r="F158" s="3"/>
      <c r="G158" s="2"/>
      <c r="H158" s="3"/>
      <c r="I158" s="65"/>
      <c r="K158" s="65"/>
      <c r="M158" s="65"/>
      <c r="O158" s="65"/>
      <c r="Q158" s="65"/>
      <c r="S158" s="65"/>
      <c r="U158" s="65"/>
      <c r="W158" s="65"/>
      <c r="Y158" s="65"/>
      <c r="AA158" s="65"/>
      <c r="AC158" s="65"/>
      <c r="AE158" s="65"/>
      <c r="AG158" s="65"/>
      <c r="AI158" s="65"/>
      <c r="AK158" s="65"/>
    </row>
    <row r="159" spans="1:37" x14ac:dyDescent="0.25">
      <c r="A159" s="2">
        <v>40113</v>
      </c>
      <c r="B159" s="3">
        <v>2835.17</v>
      </c>
      <c r="C159" s="2">
        <v>40114</v>
      </c>
      <c r="D159" s="3">
        <v>22315.61</v>
      </c>
      <c r="E159" s="2"/>
      <c r="F159" s="3"/>
      <c r="G159" s="2"/>
      <c r="H159" s="3"/>
      <c r="I159" s="65"/>
      <c r="K159" s="65"/>
      <c r="M159" s="65"/>
      <c r="O159" s="65"/>
      <c r="Q159" s="65"/>
      <c r="S159" s="65"/>
      <c r="U159" s="65"/>
      <c r="W159" s="65"/>
      <c r="Y159" s="65"/>
      <c r="AA159" s="65"/>
      <c r="AC159" s="65"/>
      <c r="AE159" s="65"/>
      <c r="AG159" s="65"/>
      <c r="AI159" s="65"/>
      <c r="AK159" s="65"/>
    </row>
    <row r="160" spans="1:37" x14ac:dyDescent="0.25">
      <c r="A160" s="2">
        <v>40114</v>
      </c>
      <c r="B160" s="3">
        <v>2778.46</v>
      </c>
      <c r="C160" s="2">
        <v>40115</v>
      </c>
      <c r="D160" s="3">
        <v>22772.560000000001</v>
      </c>
      <c r="E160" s="2"/>
      <c r="F160" s="3"/>
      <c r="G160" s="2"/>
      <c r="H160" s="3"/>
      <c r="I160" s="65"/>
      <c r="K160" s="65"/>
      <c r="M160" s="65"/>
      <c r="O160" s="65"/>
      <c r="Q160" s="65"/>
      <c r="S160" s="65"/>
      <c r="U160" s="65"/>
      <c r="W160" s="65"/>
      <c r="Y160" s="65"/>
      <c r="AA160" s="65"/>
      <c r="AC160" s="65"/>
      <c r="AE160" s="65"/>
      <c r="AG160" s="65"/>
      <c r="AI160" s="65"/>
      <c r="AK160" s="65"/>
    </row>
    <row r="161" spans="1:37" x14ac:dyDescent="0.25">
      <c r="A161" s="2">
        <v>40115</v>
      </c>
      <c r="B161" s="3">
        <v>2824.78</v>
      </c>
      <c r="C161" s="2">
        <v>40116</v>
      </c>
      <c r="D161" s="3">
        <v>22060.33</v>
      </c>
      <c r="E161" s="2"/>
      <c r="F161" s="3"/>
      <c r="G161" s="2"/>
      <c r="H161" s="3"/>
      <c r="I161" s="65"/>
      <c r="K161" s="65"/>
      <c r="M161" s="65"/>
      <c r="O161" s="65"/>
      <c r="Q161" s="65"/>
      <c r="S161" s="65"/>
      <c r="U161" s="65"/>
      <c r="W161" s="65"/>
      <c r="Y161" s="65"/>
      <c r="AA161" s="65"/>
      <c r="AC161" s="65"/>
      <c r="AE161" s="65"/>
      <c r="AG161" s="65"/>
      <c r="AI161" s="65"/>
      <c r="AK161" s="65"/>
    </row>
    <row r="162" spans="1:37" x14ac:dyDescent="0.25">
      <c r="A162" s="2">
        <v>40116</v>
      </c>
      <c r="B162" s="3">
        <v>2743.5</v>
      </c>
      <c r="C162" s="2">
        <v>40119</v>
      </c>
      <c r="D162" s="3">
        <v>22298.31</v>
      </c>
      <c r="E162" s="2"/>
      <c r="F162" s="3"/>
      <c r="G162" s="2"/>
      <c r="H162" s="3"/>
      <c r="I162" s="65"/>
      <c r="K162" s="65"/>
      <c r="M162" s="65"/>
      <c r="O162" s="65"/>
      <c r="Q162" s="65"/>
      <c r="S162" s="65"/>
      <c r="U162" s="65"/>
      <c r="W162" s="65"/>
      <c r="Y162" s="65"/>
      <c r="AA162" s="65"/>
      <c r="AC162" s="65"/>
      <c r="AE162" s="65"/>
      <c r="AG162" s="65"/>
      <c r="AI162" s="65"/>
      <c r="AK162" s="65"/>
    </row>
    <row r="163" spans="1:37" x14ac:dyDescent="0.25">
      <c r="A163" s="2">
        <v>40119</v>
      </c>
      <c r="B163" s="3">
        <v>2762.95</v>
      </c>
      <c r="C163" s="2">
        <v>40120</v>
      </c>
      <c r="D163" s="3">
        <v>21946.91</v>
      </c>
      <c r="E163" s="2"/>
      <c r="F163" s="3"/>
      <c r="G163" s="2"/>
      <c r="H163" s="3"/>
      <c r="I163" s="65"/>
      <c r="K163" s="65"/>
      <c r="M163" s="65"/>
      <c r="O163" s="65"/>
      <c r="Q163" s="65"/>
      <c r="S163" s="65"/>
      <c r="U163" s="65"/>
      <c r="W163" s="65"/>
      <c r="Y163" s="65"/>
      <c r="AA163" s="65"/>
      <c r="AC163" s="65"/>
      <c r="AE163" s="65"/>
      <c r="AG163" s="65"/>
      <c r="AI163" s="65"/>
      <c r="AK163" s="65"/>
    </row>
    <row r="164" spans="1:37" x14ac:dyDescent="0.25">
      <c r="A164" s="2">
        <v>40120</v>
      </c>
      <c r="B164" s="3">
        <v>2712.3</v>
      </c>
      <c r="C164" s="2">
        <v>40121</v>
      </c>
      <c r="D164" s="3">
        <v>22385.73</v>
      </c>
      <c r="E164" s="2"/>
      <c r="F164" s="3"/>
      <c r="G164" s="2"/>
      <c r="H164" s="3"/>
      <c r="I164" s="65"/>
      <c r="K164" s="65"/>
      <c r="M164" s="65"/>
      <c r="O164" s="65"/>
      <c r="Q164" s="65"/>
      <c r="S164" s="65"/>
      <c r="U164" s="65"/>
      <c r="W164" s="65"/>
      <c r="Y164" s="65"/>
      <c r="AA164" s="65"/>
      <c r="AC164" s="65"/>
      <c r="AE164" s="65"/>
      <c r="AG164" s="65"/>
      <c r="AI164" s="65"/>
      <c r="AK164" s="65"/>
    </row>
    <row r="165" spans="1:37" x14ac:dyDescent="0.25">
      <c r="A165" s="2">
        <v>40121</v>
      </c>
      <c r="B165" s="3">
        <v>2763.29</v>
      </c>
      <c r="C165" s="2">
        <v>40122</v>
      </c>
      <c r="D165" s="3">
        <v>22582.240000000002</v>
      </c>
      <c r="E165" s="2"/>
      <c r="F165" s="3"/>
      <c r="G165" s="2"/>
      <c r="H165" s="3"/>
      <c r="I165" s="65"/>
      <c r="K165" s="65"/>
      <c r="M165" s="65"/>
      <c r="O165" s="65"/>
      <c r="Q165" s="65"/>
      <c r="S165" s="65"/>
      <c r="U165" s="65"/>
      <c r="W165" s="65"/>
      <c r="Y165" s="65"/>
      <c r="AA165" s="65"/>
      <c r="AC165" s="65"/>
      <c r="AE165" s="65"/>
      <c r="AG165" s="65"/>
      <c r="AI165" s="65"/>
      <c r="AK165" s="65"/>
    </row>
    <row r="166" spans="1:37" x14ac:dyDescent="0.25">
      <c r="A166" s="2">
        <v>40122</v>
      </c>
      <c r="B166" s="3">
        <v>2793.44</v>
      </c>
      <c r="C166" s="2">
        <v>40123</v>
      </c>
      <c r="D166" s="3">
        <v>22549.64</v>
      </c>
      <c r="E166" s="2"/>
      <c r="F166" s="3"/>
      <c r="G166" s="2"/>
      <c r="H166" s="3"/>
      <c r="I166" s="65"/>
      <c r="K166" s="65"/>
      <c r="M166" s="65"/>
      <c r="O166" s="65"/>
      <c r="Q166" s="65"/>
      <c r="S166" s="65"/>
      <c r="U166" s="65"/>
      <c r="W166" s="65"/>
      <c r="Y166" s="65"/>
      <c r="AA166" s="65"/>
      <c r="AC166" s="65"/>
      <c r="AE166" s="65"/>
      <c r="AG166" s="65"/>
      <c r="AI166" s="65"/>
      <c r="AK166" s="65"/>
    </row>
    <row r="167" spans="1:37" x14ac:dyDescent="0.25">
      <c r="A167" s="2">
        <v>40123</v>
      </c>
      <c r="B167" s="3">
        <v>2794.25</v>
      </c>
      <c r="C167" s="2">
        <v>40126</v>
      </c>
      <c r="D167" s="3">
        <v>23065.93</v>
      </c>
      <c r="E167" s="2"/>
      <c r="F167" s="3"/>
      <c r="G167" s="2"/>
      <c r="H167" s="3"/>
      <c r="I167" s="65"/>
      <c r="K167" s="65"/>
      <c r="M167" s="65"/>
      <c r="O167" s="65"/>
      <c r="Q167" s="65"/>
      <c r="S167" s="65"/>
      <c r="U167" s="65"/>
      <c r="W167" s="65"/>
      <c r="Y167" s="65"/>
      <c r="AA167" s="65"/>
      <c r="AC167" s="65"/>
      <c r="AE167" s="65"/>
      <c r="AG167" s="65"/>
      <c r="AI167" s="65"/>
      <c r="AK167" s="65"/>
    </row>
    <row r="168" spans="1:37" x14ac:dyDescent="0.25">
      <c r="A168" s="2">
        <v>40126</v>
      </c>
      <c r="B168" s="3">
        <v>2860.11</v>
      </c>
      <c r="C168" s="2">
        <v>40127</v>
      </c>
      <c r="D168" s="3">
        <v>23013.66</v>
      </c>
      <c r="E168" s="2"/>
      <c r="F168" s="3"/>
      <c r="G168" s="2"/>
      <c r="H168" s="3"/>
      <c r="I168" s="65"/>
      <c r="K168" s="65"/>
      <c r="M168" s="65"/>
      <c r="O168" s="65"/>
      <c r="Q168" s="65"/>
      <c r="S168" s="65"/>
      <c r="U168" s="65"/>
      <c r="W168" s="65"/>
      <c r="Y168" s="65"/>
      <c r="AA168" s="65"/>
      <c r="AC168" s="65"/>
      <c r="AE168" s="65"/>
      <c r="AG168" s="65"/>
      <c r="AI168" s="65"/>
      <c r="AK168" s="65"/>
    </row>
    <row r="169" spans="1:37" x14ac:dyDescent="0.25">
      <c r="A169" s="2">
        <v>40127</v>
      </c>
      <c r="B169" s="3">
        <v>2856.44</v>
      </c>
      <c r="C169" s="2">
        <v>40128</v>
      </c>
      <c r="D169" s="3">
        <v>23266.6</v>
      </c>
      <c r="E169" s="2"/>
      <c r="F169" s="3"/>
      <c r="G169" s="2"/>
      <c r="H169" s="3"/>
      <c r="I169" s="65"/>
      <c r="K169" s="65"/>
      <c r="M169" s="65"/>
      <c r="O169" s="65"/>
      <c r="Q169" s="65"/>
      <c r="S169" s="65"/>
      <c r="U169" s="65"/>
      <c r="W169" s="65"/>
      <c r="Y169" s="65"/>
      <c r="AA169" s="65"/>
      <c r="AC169" s="65"/>
      <c r="AE169" s="65"/>
      <c r="AG169" s="65"/>
      <c r="AI169" s="65"/>
      <c r="AK169" s="65"/>
    </row>
    <row r="170" spans="1:37" x14ac:dyDescent="0.25">
      <c r="A170" s="2">
        <v>40128</v>
      </c>
      <c r="B170" s="3">
        <v>2881.01</v>
      </c>
      <c r="C170" s="2">
        <v>40129</v>
      </c>
      <c r="D170" s="3">
        <v>23209.47</v>
      </c>
      <c r="E170" s="2"/>
      <c r="F170" s="3"/>
      <c r="G170" s="2"/>
      <c r="H170" s="3"/>
      <c r="I170" s="65"/>
      <c r="K170" s="65"/>
      <c r="M170" s="65"/>
      <c r="O170" s="65"/>
      <c r="Q170" s="65"/>
      <c r="S170" s="65"/>
      <c r="U170" s="65"/>
      <c r="W170" s="65"/>
      <c r="Y170" s="65"/>
      <c r="AA170" s="65"/>
      <c r="AC170" s="65"/>
      <c r="AE170" s="65"/>
      <c r="AG170" s="65"/>
      <c r="AI170" s="65"/>
      <c r="AK170" s="65"/>
    </row>
    <row r="171" spans="1:37" x14ac:dyDescent="0.25">
      <c r="A171" s="2">
        <v>40129</v>
      </c>
      <c r="B171" s="3">
        <v>2876.92</v>
      </c>
      <c r="C171" s="2">
        <v>40130</v>
      </c>
      <c r="D171" s="3">
        <v>23284.2</v>
      </c>
      <c r="E171" s="2"/>
      <c r="F171" s="3"/>
      <c r="G171" s="2"/>
      <c r="H171" s="3"/>
      <c r="I171" s="65"/>
      <c r="K171" s="65"/>
      <c r="M171" s="65"/>
      <c r="O171" s="65"/>
      <c r="Q171" s="65"/>
      <c r="S171" s="65"/>
      <c r="U171" s="65"/>
      <c r="W171" s="65"/>
      <c r="Y171" s="65"/>
      <c r="AA171" s="65"/>
      <c r="AC171" s="65"/>
      <c r="AE171" s="65"/>
      <c r="AG171" s="65"/>
      <c r="AI171" s="65"/>
      <c r="AK171" s="65"/>
    </row>
    <row r="172" spans="1:37" x14ac:dyDescent="0.25">
      <c r="A172" s="2">
        <v>40130</v>
      </c>
      <c r="B172" s="3">
        <v>2883.04</v>
      </c>
      <c r="C172" s="2">
        <v>40133</v>
      </c>
      <c r="D172" s="3">
        <v>23620.44</v>
      </c>
      <c r="E172" s="2"/>
      <c r="F172" s="3"/>
      <c r="G172" s="2"/>
      <c r="H172" s="3"/>
      <c r="I172" s="65"/>
      <c r="K172" s="65"/>
      <c r="M172" s="65"/>
      <c r="O172" s="65"/>
      <c r="Q172" s="65"/>
      <c r="S172" s="65"/>
      <c r="U172" s="65"/>
      <c r="W172" s="65"/>
      <c r="Y172" s="65"/>
      <c r="AA172" s="65"/>
      <c r="AC172" s="65"/>
      <c r="AE172" s="65"/>
      <c r="AG172" s="65"/>
      <c r="AI172" s="65"/>
      <c r="AK172" s="65"/>
    </row>
    <row r="173" spans="1:37" x14ac:dyDescent="0.25">
      <c r="A173" s="2">
        <v>40133</v>
      </c>
      <c r="B173" s="3">
        <v>2926.15</v>
      </c>
      <c r="C173" s="2">
        <v>40134</v>
      </c>
      <c r="D173" s="3">
        <v>23381.18</v>
      </c>
      <c r="E173" s="2"/>
      <c r="F173" s="3"/>
      <c r="G173" s="2"/>
      <c r="H173" s="3"/>
      <c r="I173" s="65"/>
      <c r="K173" s="65"/>
      <c r="M173" s="65"/>
      <c r="O173" s="65"/>
      <c r="Q173" s="65"/>
      <c r="S173" s="65"/>
      <c r="U173" s="65"/>
      <c r="W173" s="65"/>
      <c r="Y173" s="65"/>
      <c r="AA173" s="65"/>
      <c r="AC173" s="65"/>
      <c r="AE173" s="65"/>
      <c r="AG173" s="65"/>
      <c r="AI173" s="65"/>
      <c r="AK173" s="65"/>
    </row>
    <row r="174" spans="1:37" x14ac:dyDescent="0.25">
      <c r="A174" s="2">
        <v>40134</v>
      </c>
      <c r="B174" s="3">
        <v>2906.92</v>
      </c>
      <c r="C174" s="2">
        <v>40135</v>
      </c>
      <c r="D174" s="3">
        <v>23334.74</v>
      </c>
      <c r="E174" s="2"/>
      <c r="F174" s="3"/>
      <c r="G174" s="2"/>
      <c r="H174" s="3"/>
      <c r="I174" s="65"/>
      <c r="K174" s="65"/>
      <c r="M174" s="65"/>
      <c r="O174" s="65"/>
      <c r="Q174" s="65"/>
      <c r="S174" s="65"/>
      <c r="U174" s="65"/>
      <c r="W174" s="65"/>
      <c r="Y174" s="65"/>
      <c r="AA174" s="65"/>
      <c r="AC174" s="65"/>
      <c r="AE174" s="65"/>
      <c r="AG174" s="65"/>
      <c r="AI174" s="65"/>
      <c r="AK174" s="65"/>
    </row>
    <row r="175" spans="1:37" x14ac:dyDescent="0.25">
      <c r="A175" s="2">
        <v>40135</v>
      </c>
      <c r="B175" s="3">
        <v>2908.53</v>
      </c>
      <c r="C175" s="2">
        <v>40136</v>
      </c>
      <c r="D175" s="3">
        <v>22823.22</v>
      </c>
      <c r="E175" s="2"/>
      <c r="F175" s="3"/>
      <c r="G175" s="2"/>
      <c r="H175" s="3"/>
      <c r="I175" s="65"/>
      <c r="K175" s="65"/>
      <c r="M175" s="65"/>
      <c r="O175" s="65"/>
      <c r="Q175" s="65"/>
      <c r="S175" s="65"/>
      <c r="U175" s="65"/>
      <c r="W175" s="65"/>
      <c r="Y175" s="65"/>
      <c r="AA175" s="65"/>
      <c r="AC175" s="65"/>
      <c r="AE175" s="65"/>
      <c r="AG175" s="65"/>
      <c r="AI175" s="65"/>
      <c r="AK175" s="65"/>
    </row>
    <row r="176" spans="1:37" x14ac:dyDescent="0.25">
      <c r="A176" s="2">
        <v>40136</v>
      </c>
      <c r="B176" s="3">
        <v>2860.29</v>
      </c>
      <c r="C176" s="2">
        <v>40137</v>
      </c>
      <c r="D176" s="3">
        <v>22511.68</v>
      </c>
      <c r="E176" s="2"/>
      <c r="F176" s="3"/>
      <c r="G176" s="2"/>
      <c r="H176" s="3"/>
      <c r="I176" s="65"/>
      <c r="K176" s="65"/>
      <c r="M176" s="65"/>
      <c r="O176" s="65"/>
      <c r="Q176" s="65"/>
      <c r="S176" s="65"/>
      <c r="U176" s="65"/>
      <c r="W176" s="65"/>
      <c r="Y176" s="65"/>
      <c r="AA176" s="65"/>
      <c r="AC176" s="65"/>
      <c r="AE176" s="65"/>
      <c r="AG176" s="65"/>
      <c r="AI176" s="65"/>
      <c r="AK176" s="65"/>
    </row>
    <row r="177" spans="1:37" x14ac:dyDescent="0.25">
      <c r="A177" s="2">
        <v>40137</v>
      </c>
      <c r="B177" s="3">
        <v>2833.06</v>
      </c>
      <c r="C177" s="2">
        <v>40140</v>
      </c>
      <c r="D177" s="3">
        <v>22956.44</v>
      </c>
      <c r="E177" s="2"/>
      <c r="F177" s="3"/>
      <c r="G177" s="2"/>
      <c r="H177" s="3"/>
      <c r="I177" s="65"/>
      <c r="K177" s="65"/>
      <c r="M177" s="65"/>
      <c r="O177" s="65"/>
      <c r="Q177" s="65"/>
      <c r="S177" s="65"/>
      <c r="U177" s="65"/>
      <c r="W177" s="65"/>
      <c r="Y177" s="65"/>
      <c r="AA177" s="65"/>
      <c r="AC177" s="65"/>
      <c r="AE177" s="65"/>
      <c r="AG177" s="65"/>
      <c r="AI177" s="65"/>
      <c r="AK177" s="65"/>
    </row>
    <row r="178" spans="1:37" x14ac:dyDescent="0.25">
      <c r="A178" s="2">
        <v>40140</v>
      </c>
      <c r="B178" s="3">
        <v>2898.19</v>
      </c>
      <c r="C178" s="2">
        <v>40141</v>
      </c>
      <c r="D178" s="3">
        <v>22708.45</v>
      </c>
      <c r="E178" s="2"/>
      <c r="F178" s="3"/>
      <c r="G178" s="2"/>
      <c r="H178" s="3"/>
      <c r="I178" s="65"/>
      <c r="K178" s="65"/>
      <c r="M178" s="65"/>
      <c r="O178" s="65"/>
      <c r="Q178" s="65"/>
      <c r="S178" s="65"/>
      <c r="U178" s="65"/>
      <c r="W178" s="65"/>
      <c r="Y178" s="65"/>
      <c r="AA178" s="65"/>
      <c r="AC178" s="65"/>
      <c r="AE178" s="65"/>
      <c r="AG178" s="65"/>
      <c r="AI178" s="65"/>
      <c r="AK178" s="65"/>
    </row>
    <row r="179" spans="1:37" x14ac:dyDescent="0.25">
      <c r="A179" s="2">
        <v>40141</v>
      </c>
      <c r="B179" s="3">
        <v>2877.58</v>
      </c>
      <c r="C179" s="2">
        <v>40142</v>
      </c>
      <c r="D179" s="3">
        <v>22741.85</v>
      </c>
      <c r="E179" s="2"/>
      <c r="F179" s="3"/>
      <c r="G179" s="2"/>
      <c r="H179" s="3"/>
      <c r="I179" s="65"/>
      <c r="K179" s="65"/>
      <c r="M179" s="65"/>
      <c r="O179" s="65"/>
      <c r="Q179" s="65"/>
      <c r="S179" s="65"/>
      <c r="U179" s="65"/>
      <c r="W179" s="65"/>
      <c r="Y179" s="65"/>
      <c r="AA179" s="65"/>
      <c r="AC179" s="65"/>
      <c r="AE179" s="65"/>
      <c r="AG179" s="65"/>
      <c r="AI179" s="65"/>
      <c r="AK179" s="65"/>
    </row>
    <row r="180" spans="1:37" x14ac:dyDescent="0.25">
      <c r="A180" s="2">
        <v>40142</v>
      </c>
      <c r="B180" s="3">
        <v>2896.9</v>
      </c>
      <c r="C180" s="2">
        <v>40143</v>
      </c>
      <c r="D180" s="3">
        <v>21922.45</v>
      </c>
      <c r="E180" s="2"/>
      <c r="F180" s="3"/>
      <c r="G180" s="2"/>
      <c r="H180" s="3"/>
      <c r="I180" s="65"/>
      <c r="K180" s="65"/>
      <c r="M180" s="65"/>
      <c r="O180" s="65"/>
      <c r="Q180" s="65"/>
      <c r="S180" s="65"/>
      <c r="U180" s="65"/>
      <c r="W180" s="65"/>
      <c r="Y180" s="65"/>
      <c r="AA180" s="65"/>
      <c r="AC180" s="65"/>
      <c r="AE180" s="65"/>
      <c r="AG180" s="65"/>
      <c r="AI180" s="65"/>
      <c r="AK180" s="65"/>
    </row>
    <row r="181" spans="1:37" x14ac:dyDescent="0.25">
      <c r="A181" s="2">
        <v>40143</v>
      </c>
      <c r="B181" s="3">
        <v>2799.44</v>
      </c>
      <c r="C181" s="2">
        <v>40144</v>
      </c>
      <c r="D181" s="3">
        <v>22205.279999999999</v>
      </c>
      <c r="E181" s="2"/>
      <c r="F181" s="3"/>
      <c r="G181" s="2"/>
      <c r="H181" s="3"/>
      <c r="I181" s="65"/>
      <c r="K181" s="65"/>
      <c r="M181" s="65"/>
      <c r="O181" s="65"/>
      <c r="Q181" s="65"/>
      <c r="S181" s="65"/>
      <c r="U181" s="65"/>
      <c r="W181" s="65"/>
      <c r="Y181" s="65"/>
      <c r="AA181" s="65"/>
      <c r="AC181" s="65"/>
      <c r="AE181" s="65"/>
      <c r="AG181" s="65"/>
      <c r="AI181" s="65"/>
      <c r="AK181" s="65"/>
    </row>
    <row r="182" spans="1:37" x14ac:dyDescent="0.25">
      <c r="A182" s="2">
        <v>40144</v>
      </c>
      <c r="B182" s="3">
        <v>2831.14</v>
      </c>
      <c r="C182" s="2">
        <v>40147</v>
      </c>
      <c r="D182" s="3">
        <v>21928.16</v>
      </c>
      <c r="E182" s="2"/>
      <c r="F182" s="3"/>
      <c r="G182" s="2"/>
      <c r="H182" s="3"/>
      <c r="I182" s="65"/>
      <c r="K182" s="65"/>
      <c r="M182" s="65"/>
      <c r="O182" s="65"/>
      <c r="Q182" s="65"/>
      <c r="S182" s="65"/>
      <c r="U182" s="65"/>
      <c r="W182" s="65"/>
      <c r="Y182" s="65"/>
      <c r="AA182" s="65"/>
      <c r="AC182" s="65"/>
      <c r="AE182" s="65"/>
      <c r="AG182" s="65"/>
      <c r="AI182" s="65"/>
      <c r="AK182" s="65"/>
    </row>
    <row r="183" spans="1:37" x14ac:dyDescent="0.25">
      <c r="A183" s="2">
        <v>40147</v>
      </c>
      <c r="B183" s="3">
        <v>2797.25</v>
      </c>
      <c r="C183" s="2">
        <v>40148</v>
      </c>
      <c r="D183" s="3">
        <v>22556.05</v>
      </c>
      <c r="E183" s="2"/>
      <c r="F183" s="3"/>
      <c r="G183" s="2"/>
      <c r="H183" s="3"/>
      <c r="I183" s="65"/>
      <c r="K183" s="65"/>
      <c r="M183" s="65"/>
      <c r="O183" s="65"/>
      <c r="Q183" s="65"/>
      <c r="S183" s="65"/>
      <c r="U183" s="65"/>
      <c r="W183" s="65"/>
      <c r="Y183" s="65"/>
      <c r="AA183" s="65"/>
      <c r="AC183" s="65"/>
      <c r="AE183" s="65"/>
      <c r="AG183" s="65"/>
      <c r="AI183" s="65"/>
      <c r="AK183" s="65"/>
    </row>
    <row r="184" spans="1:37" x14ac:dyDescent="0.25">
      <c r="A184" s="2">
        <v>40148</v>
      </c>
      <c r="B184" s="3">
        <v>2871.75</v>
      </c>
      <c r="C184" s="2">
        <v>40149</v>
      </c>
      <c r="D184" s="3">
        <v>22572.880000000001</v>
      </c>
      <c r="E184" s="2"/>
      <c r="F184" s="3"/>
      <c r="G184" s="2"/>
      <c r="H184" s="3"/>
      <c r="I184" s="65"/>
      <c r="K184" s="65"/>
      <c r="M184" s="65"/>
      <c r="O184" s="65"/>
      <c r="Q184" s="65"/>
      <c r="S184" s="65"/>
      <c r="U184" s="65"/>
      <c r="W184" s="65"/>
      <c r="Y184" s="65"/>
      <c r="AA184" s="65"/>
      <c r="AC184" s="65"/>
      <c r="AE184" s="65"/>
      <c r="AG184" s="65"/>
      <c r="AI184" s="65"/>
      <c r="AK184" s="65"/>
    </row>
    <row r="185" spans="1:37" x14ac:dyDescent="0.25">
      <c r="A185" s="2">
        <v>40149</v>
      </c>
      <c r="B185" s="3">
        <v>2877.94</v>
      </c>
      <c r="C185" s="2">
        <v>40150</v>
      </c>
      <c r="D185" s="3">
        <v>22615.94</v>
      </c>
      <c r="E185" s="2"/>
      <c r="F185" s="3"/>
      <c r="G185" s="2"/>
      <c r="H185" s="3"/>
      <c r="I185" s="65"/>
      <c r="K185" s="65"/>
      <c r="M185" s="65"/>
      <c r="O185" s="65"/>
      <c r="Q185" s="65"/>
      <c r="S185" s="65"/>
      <c r="U185" s="65"/>
      <c r="W185" s="65"/>
      <c r="Y185" s="65"/>
      <c r="AA185" s="65"/>
      <c r="AC185" s="65"/>
      <c r="AE185" s="65"/>
      <c r="AG185" s="65"/>
      <c r="AI185" s="65"/>
      <c r="AK185" s="65"/>
    </row>
    <row r="186" spans="1:37" x14ac:dyDescent="0.25">
      <c r="A186" s="2">
        <v>40150</v>
      </c>
      <c r="B186" s="3">
        <v>2876.14</v>
      </c>
      <c r="C186" s="2">
        <v>40151</v>
      </c>
      <c r="D186" s="3">
        <v>22926.03</v>
      </c>
      <c r="E186" s="2"/>
      <c r="F186" s="3"/>
      <c r="G186" s="2"/>
      <c r="H186" s="3"/>
      <c r="I186" s="65"/>
      <c r="K186" s="65"/>
      <c r="M186" s="65"/>
      <c r="O186" s="65"/>
      <c r="Q186" s="65"/>
      <c r="S186" s="65"/>
      <c r="U186" s="65"/>
      <c r="W186" s="65"/>
      <c r="Y186" s="65"/>
      <c r="AA186" s="65"/>
      <c r="AC186" s="65"/>
      <c r="AE186" s="65"/>
      <c r="AG186" s="65"/>
      <c r="AI186" s="65"/>
      <c r="AK186" s="65"/>
    </row>
    <row r="187" spans="1:37" x14ac:dyDescent="0.25">
      <c r="A187" s="2">
        <v>40151</v>
      </c>
      <c r="B187" s="3">
        <v>2910.33</v>
      </c>
      <c r="C187" s="2">
        <v>40154</v>
      </c>
      <c r="D187" s="3">
        <v>22788.52</v>
      </c>
      <c r="E187" s="2"/>
      <c r="F187" s="3"/>
      <c r="G187" s="2"/>
      <c r="H187" s="3"/>
      <c r="I187" s="65"/>
      <c r="K187" s="65"/>
      <c r="M187" s="65"/>
      <c r="O187" s="65"/>
      <c r="Q187" s="65"/>
      <c r="S187" s="65"/>
      <c r="U187" s="65"/>
      <c r="W187" s="65"/>
      <c r="Y187" s="65"/>
      <c r="AA187" s="65"/>
      <c r="AC187" s="65"/>
      <c r="AE187" s="65"/>
      <c r="AG187" s="65"/>
      <c r="AI187" s="65"/>
      <c r="AK187" s="65"/>
    </row>
    <row r="188" spans="1:37" x14ac:dyDescent="0.25">
      <c r="A188" s="2">
        <v>40154</v>
      </c>
      <c r="B188" s="3">
        <v>2896.23</v>
      </c>
      <c r="C188" s="2">
        <v>40155</v>
      </c>
      <c r="D188" s="3">
        <v>22404.32</v>
      </c>
      <c r="E188" s="2"/>
      <c r="F188" s="3"/>
      <c r="G188" s="2"/>
      <c r="H188" s="3"/>
      <c r="I188" s="65"/>
      <c r="K188" s="65"/>
      <c r="M188" s="65"/>
      <c r="O188" s="65"/>
      <c r="Q188" s="65"/>
      <c r="S188" s="65"/>
      <c r="U188" s="65"/>
      <c r="W188" s="65"/>
      <c r="Y188" s="65"/>
      <c r="AA188" s="65"/>
      <c r="AC188" s="65"/>
      <c r="AE188" s="65"/>
      <c r="AG188" s="65"/>
      <c r="AI188" s="65"/>
      <c r="AK188" s="65"/>
    </row>
    <row r="189" spans="1:37" x14ac:dyDescent="0.25">
      <c r="A189" s="2">
        <v>40155</v>
      </c>
      <c r="B189" s="3">
        <v>2849.17</v>
      </c>
      <c r="C189" s="2">
        <v>40156</v>
      </c>
      <c r="D189" s="3">
        <v>22236.23</v>
      </c>
      <c r="E189" s="2"/>
      <c r="F189" s="3"/>
      <c r="G189" s="2"/>
      <c r="H189" s="3"/>
      <c r="I189" s="65"/>
      <c r="K189" s="65"/>
      <c r="M189" s="65"/>
      <c r="O189" s="65"/>
      <c r="Q189" s="65"/>
      <c r="S189" s="65"/>
      <c r="U189" s="65"/>
      <c r="W189" s="65"/>
      <c r="Y189" s="65"/>
      <c r="AA189" s="65"/>
      <c r="AC189" s="65"/>
      <c r="AE189" s="65"/>
      <c r="AG189" s="65"/>
      <c r="AI189" s="65"/>
      <c r="AK189" s="65"/>
    </row>
    <row r="190" spans="1:37" x14ac:dyDescent="0.25">
      <c r="A190" s="2">
        <v>40156</v>
      </c>
      <c r="B190" s="3">
        <v>2818.1</v>
      </c>
      <c r="C190" s="2">
        <v>40157</v>
      </c>
      <c r="D190" s="3">
        <v>22385.67</v>
      </c>
      <c r="E190" s="2"/>
      <c r="F190" s="3"/>
      <c r="G190" s="2"/>
      <c r="H190" s="3"/>
      <c r="I190" s="65"/>
      <c r="K190" s="65"/>
      <c r="M190" s="65"/>
      <c r="O190" s="65"/>
      <c r="Q190" s="65"/>
      <c r="S190" s="65"/>
      <c r="U190" s="65"/>
      <c r="W190" s="65"/>
      <c r="Y190" s="65"/>
      <c r="AA190" s="65"/>
      <c r="AC190" s="65"/>
      <c r="AE190" s="65"/>
      <c r="AG190" s="65"/>
      <c r="AI190" s="65"/>
      <c r="AK190" s="65"/>
    </row>
    <row r="191" spans="1:37" x14ac:dyDescent="0.25">
      <c r="A191" s="2">
        <v>40157</v>
      </c>
      <c r="B191" s="3">
        <v>2851.29</v>
      </c>
      <c r="C191" s="2">
        <v>40158</v>
      </c>
      <c r="D191" s="3">
        <v>22411.51</v>
      </c>
      <c r="E191" s="2"/>
      <c r="F191" s="3"/>
      <c r="G191" s="2"/>
      <c r="H191" s="3"/>
      <c r="I191" s="65"/>
      <c r="K191" s="65"/>
      <c r="M191" s="65"/>
      <c r="O191" s="65"/>
      <c r="Q191" s="65"/>
      <c r="S191" s="65"/>
      <c r="U191" s="65"/>
      <c r="W191" s="65"/>
      <c r="Y191" s="65"/>
      <c r="AA191" s="65"/>
      <c r="AC191" s="65"/>
      <c r="AE191" s="65"/>
      <c r="AG191" s="65"/>
      <c r="AI191" s="65"/>
      <c r="AK191" s="65"/>
    </row>
    <row r="192" spans="1:37" x14ac:dyDescent="0.25">
      <c r="A192" s="2">
        <v>40158</v>
      </c>
      <c r="B192" s="3">
        <v>2862.32</v>
      </c>
      <c r="C192" s="2">
        <v>40161</v>
      </c>
      <c r="D192" s="3">
        <v>22652.34</v>
      </c>
      <c r="E192" s="2"/>
      <c r="F192" s="3"/>
      <c r="G192" s="2"/>
      <c r="H192" s="3"/>
      <c r="I192" s="65"/>
      <c r="K192" s="65"/>
      <c r="M192" s="65"/>
      <c r="O192" s="65"/>
      <c r="Q192" s="65"/>
      <c r="S192" s="65"/>
      <c r="U192" s="65"/>
      <c r="W192" s="65"/>
      <c r="Y192" s="65"/>
      <c r="AA192" s="65"/>
      <c r="AC192" s="65"/>
      <c r="AE192" s="65"/>
      <c r="AG192" s="65"/>
      <c r="AI192" s="65"/>
      <c r="AK192" s="65"/>
    </row>
    <row r="193" spans="1:37" x14ac:dyDescent="0.25">
      <c r="A193" s="2">
        <v>40161</v>
      </c>
      <c r="B193" s="3">
        <v>2885</v>
      </c>
      <c r="C193" s="2">
        <v>40162</v>
      </c>
      <c r="D193" s="3">
        <v>22617.23</v>
      </c>
      <c r="E193" s="2"/>
      <c r="F193" s="3"/>
      <c r="G193" s="2"/>
      <c r="H193" s="3"/>
      <c r="I193" s="65"/>
      <c r="K193" s="65"/>
      <c r="M193" s="65"/>
      <c r="O193" s="65"/>
      <c r="Q193" s="65"/>
      <c r="S193" s="65"/>
      <c r="U193" s="65"/>
      <c r="W193" s="65"/>
      <c r="Y193" s="65"/>
      <c r="AA193" s="65"/>
      <c r="AC193" s="65"/>
      <c r="AE193" s="65"/>
      <c r="AG193" s="65"/>
      <c r="AI193" s="65"/>
      <c r="AK193" s="65"/>
    </row>
    <row r="194" spans="1:37" x14ac:dyDescent="0.25">
      <c r="A194" s="2">
        <v>40162</v>
      </c>
      <c r="B194" s="3">
        <v>2888.58</v>
      </c>
      <c r="C194" s="2">
        <v>40163</v>
      </c>
      <c r="D194" s="3">
        <v>22889.59</v>
      </c>
      <c r="E194" s="2"/>
      <c r="F194" s="3"/>
      <c r="G194" s="2"/>
      <c r="H194" s="3"/>
      <c r="I194" s="65"/>
      <c r="K194" s="65"/>
      <c r="M194" s="65"/>
      <c r="O194" s="65"/>
      <c r="Q194" s="65"/>
      <c r="S194" s="65"/>
      <c r="U194" s="65"/>
      <c r="W194" s="65"/>
      <c r="Y194" s="65"/>
      <c r="AA194" s="65"/>
      <c r="AC194" s="65"/>
      <c r="AE194" s="65"/>
      <c r="AG194" s="65"/>
      <c r="AI194" s="65"/>
      <c r="AK194" s="65"/>
    </row>
    <row r="195" spans="1:37" x14ac:dyDescent="0.25">
      <c r="A195" s="2">
        <v>40163</v>
      </c>
      <c r="B195" s="3">
        <v>2926.52</v>
      </c>
      <c r="C195" s="2">
        <v>40164</v>
      </c>
      <c r="D195" s="3">
        <v>22677.74</v>
      </c>
      <c r="E195" s="2"/>
      <c r="F195" s="3"/>
      <c r="G195" s="2"/>
      <c r="H195" s="3"/>
      <c r="I195" s="65"/>
      <c r="K195" s="65"/>
      <c r="M195" s="65"/>
      <c r="O195" s="65"/>
      <c r="Q195" s="65"/>
      <c r="S195" s="65"/>
      <c r="U195" s="65"/>
      <c r="W195" s="65"/>
      <c r="Y195" s="65"/>
      <c r="AA195" s="65"/>
      <c r="AC195" s="65"/>
      <c r="AE195" s="65"/>
      <c r="AG195" s="65"/>
      <c r="AI195" s="65"/>
      <c r="AK195" s="65"/>
    </row>
    <row r="196" spans="1:37" x14ac:dyDescent="0.25">
      <c r="A196" s="2">
        <v>40164</v>
      </c>
      <c r="B196" s="3">
        <v>2891.66</v>
      </c>
      <c r="C196" s="2">
        <v>40165</v>
      </c>
      <c r="D196" s="3">
        <v>22472.43</v>
      </c>
      <c r="E196" s="2"/>
      <c r="F196" s="3"/>
      <c r="G196" s="2"/>
      <c r="H196" s="3"/>
      <c r="I196" s="65"/>
      <c r="K196" s="65"/>
      <c r="M196" s="65"/>
      <c r="O196" s="65"/>
      <c r="Q196" s="65"/>
      <c r="S196" s="65"/>
      <c r="U196" s="65"/>
      <c r="W196" s="65"/>
      <c r="Y196" s="65"/>
      <c r="AA196" s="65"/>
      <c r="AC196" s="65"/>
      <c r="AE196" s="65"/>
      <c r="AG196" s="65"/>
      <c r="AI196" s="65"/>
      <c r="AK196" s="65"/>
    </row>
    <row r="197" spans="1:37" x14ac:dyDescent="0.25">
      <c r="A197" s="2">
        <v>40165</v>
      </c>
      <c r="B197" s="3">
        <v>2871.22</v>
      </c>
      <c r="C197" s="2">
        <v>40168</v>
      </c>
      <c r="D197" s="3">
        <v>22738.68</v>
      </c>
      <c r="E197" s="2"/>
      <c r="F197" s="3"/>
      <c r="G197" s="2"/>
      <c r="H197" s="3"/>
      <c r="I197" s="65"/>
      <c r="K197" s="65"/>
      <c r="M197" s="65"/>
      <c r="O197" s="65"/>
      <c r="Q197" s="65"/>
      <c r="S197" s="65"/>
      <c r="U197" s="65"/>
      <c r="W197" s="65"/>
      <c r="Y197" s="65"/>
      <c r="AA197" s="65"/>
      <c r="AC197" s="65"/>
      <c r="AE197" s="65"/>
      <c r="AG197" s="65"/>
      <c r="AI197" s="65"/>
      <c r="AK197" s="65"/>
    </row>
    <row r="198" spans="1:37" x14ac:dyDescent="0.25">
      <c r="A198" s="2">
        <v>40168</v>
      </c>
      <c r="B198" s="3">
        <v>2926.05</v>
      </c>
      <c r="C198" s="2">
        <v>40169</v>
      </c>
      <c r="D198" s="3">
        <v>22982.560000000001</v>
      </c>
      <c r="E198" s="2"/>
      <c r="F198" s="3"/>
      <c r="G198" s="2"/>
      <c r="H198" s="3"/>
      <c r="I198" s="65"/>
      <c r="K198" s="65"/>
      <c r="M198" s="65"/>
      <c r="O198" s="65"/>
      <c r="Q198" s="65"/>
      <c r="S198" s="65"/>
      <c r="U198" s="65"/>
      <c r="W198" s="65"/>
      <c r="Y198" s="65"/>
      <c r="AA198" s="65"/>
      <c r="AC198" s="65"/>
      <c r="AE198" s="65"/>
      <c r="AG198" s="65"/>
      <c r="AI198" s="65"/>
      <c r="AK198" s="65"/>
    </row>
    <row r="199" spans="1:37" x14ac:dyDescent="0.25">
      <c r="A199" s="2">
        <v>40169</v>
      </c>
      <c r="B199" s="3">
        <v>2945.71</v>
      </c>
      <c r="C199" s="2">
        <v>40170</v>
      </c>
      <c r="D199" s="3">
        <v>23109.119999999999</v>
      </c>
      <c r="E199" s="2"/>
      <c r="F199" s="3"/>
      <c r="G199" s="2"/>
      <c r="H199" s="3"/>
      <c r="I199" s="65"/>
      <c r="K199" s="65"/>
      <c r="M199" s="65"/>
      <c r="O199" s="65"/>
      <c r="Q199" s="65"/>
      <c r="S199" s="65"/>
      <c r="U199" s="65"/>
      <c r="W199" s="65"/>
      <c r="Y199" s="65"/>
      <c r="AA199" s="65"/>
      <c r="AC199" s="65"/>
      <c r="AE199" s="65"/>
      <c r="AG199" s="65"/>
      <c r="AI199" s="65"/>
      <c r="AK199" s="65"/>
    </row>
    <row r="200" spans="1:37" x14ac:dyDescent="0.25">
      <c r="A200" s="2">
        <v>40170</v>
      </c>
      <c r="B200" s="3">
        <v>2957.48</v>
      </c>
      <c r="C200" s="2">
        <v>40175</v>
      </c>
      <c r="D200" s="3">
        <v>23302.560000000001</v>
      </c>
      <c r="E200" s="2"/>
      <c r="F200" s="3"/>
      <c r="G200" s="2"/>
      <c r="H200" s="3"/>
      <c r="I200" s="65"/>
      <c r="K200" s="65"/>
      <c r="M200" s="65"/>
      <c r="O200" s="65"/>
      <c r="Q200" s="65"/>
      <c r="S200" s="65"/>
      <c r="U200" s="65"/>
      <c r="W200" s="65"/>
      <c r="Y200" s="65"/>
      <c r="AA200" s="65"/>
      <c r="AC200" s="65"/>
      <c r="AE200" s="65"/>
      <c r="AG200" s="65"/>
      <c r="AI200" s="65"/>
      <c r="AK200" s="65"/>
    </row>
    <row r="201" spans="1:37" x14ac:dyDescent="0.25">
      <c r="A201" s="2">
        <v>40171</v>
      </c>
      <c r="B201" s="3">
        <v>2957.03</v>
      </c>
      <c r="C201" s="2">
        <v>40176</v>
      </c>
      <c r="D201" s="3">
        <v>23376.240000000002</v>
      </c>
      <c r="E201" s="2"/>
      <c r="F201" s="3"/>
      <c r="G201" s="2"/>
      <c r="H201" s="3"/>
      <c r="I201" s="65"/>
      <c r="K201" s="65"/>
      <c r="M201" s="65"/>
      <c r="O201" s="65"/>
      <c r="Q201" s="65"/>
      <c r="S201" s="65"/>
      <c r="U201" s="65"/>
      <c r="W201" s="65"/>
      <c r="Y201" s="65"/>
      <c r="AA201" s="65"/>
      <c r="AC201" s="65"/>
      <c r="AE201" s="65"/>
      <c r="AG201" s="65"/>
      <c r="AI201" s="65"/>
      <c r="AK201" s="65"/>
    </row>
    <row r="202" spans="1:37" x14ac:dyDescent="0.25">
      <c r="A202" s="2">
        <v>40175</v>
      </c>
      <c r="B202" s="3">
        <v>2982.42</v>
      </c>
      <c r="C202" s="2">
        <v>40177</v>
      </c>
      <c r="D202" s="3">
        <v>23248.39</v>
      </c>
      <c r="E202" s="2"/>
      <c r="F202" s="3"/>
      <c r="G202" s="2"/>
      <c r="H202" s="3"/>
      <c r="I202" s="65"/>
      <c r="K202" s="65"/>
      <c r="M202" s="65"/>
      <c r="O202" s="65"/>
      <c r="Q202" s="65"/>
      <c r="S202" s="65"/>
      <c r="U202" s="65"/>
      <c r="W202" s="65"/>
      <c r="Y202" s="65"/>
      <c r="AA202" s="65"/>
      <c r="AC202" s="65"/>
      <c r="AE202" s="65"/>
      <c r="AG202" s="65"/>
      <c r="AI202" s="65"/>
      <c r="AK202" s="65"/>
    </row>
    <row r="203" spans="1:37" x14ac:dyDescent="0.25">
      <c r="A203" s="2">
        <v>40176</v>
      </c>
      <c r="B203" s="3">
        <v>2992.08</v>
      </c>
      <c r="C203" s="2">
        <v>40182</v>
      </c>
      <c r="D203" s="3">
        <v>23545.02</v>
      </c>
      <c r="E203" s="2"/>
      <c r="F203" s="3"/>
      <c r="G203" s="2"/>
      <c r="H203" s="3"/>
      <c r="I203" s="65"/>
      <c r="K203" s="65"/>
      <c r="M203" s="65"/>
      <c r="O203" s="65"/>
      <c r="Q203" s="65"/>
      <c r="S203" s="65"/>
      <c r="U203" s="65"/>
      <c r="W203" s="65"/>
      <c r="Y203" s="65"/>
      <c r="AA203" s="65"/>
      <c r="AC203" s="65"/>
      <c r="AE203" s="65"/>
      <c r="AG203" s="65"/>
      <c r="AI203" s="65"/>
      <c r="AK203" s="65"/>
    </row>
    <row r="204" spans="1:37" x14ac:dyDescent="0.25">
      <c r="A204" s="2">
        <v>40177</v>
      </c>
      <c r="B204" s="3">
        <v>2966.24</v>
      </c>
      <c r="C204" s="2">
        <v>40183</v>
      </c>
      <c r="D204" s="3">
        <v>23555.73</v>
      </c>
      <c r="E204" s="2"/>
      <c r="F204" s="3"/>
      <c r="G204" s="2"/>
      <c r="H204" s="3"/>
      <c r="I204" s="65"/>
      <c r="K204" s="65"/>
      <c r="M204" s="65"/>
      <c r="O204" s="65"/>
      <c r="Q204" s="65"/>
      <c r="S204" s="65"/>
      <c r="U204" s="65"/>
      <c r="W204" s="65"/>
      <c r="Y204" s="65"/>
      <c r="AA204" s="65"/>
      <c r="AC204" s="65"/>
      <c r="AE204" s="65"/>
      <c r="AG204" s="65"/>
      <c r="AI204" s="65"/>
      <c r="AK204" s="65"/>
    </row>
    <row r="205" spans="1:37" x14ac:dyDescent="0.25">
      <c r="A205" s="2">
        <v>40178</v>
      </c>
      <c r="B205" s="3">
        <v>2964.96</v>
      </c>
      <c r="C205" s="2">
        <v>40184</v>
      </c>
      <c r="D205" s="3">
        <v>23622.29</v>
      </c>
      <c r="E205" s="2"/>
      <c r="F205" s="3"/>
      <c r="G205" s="2"/>
      <c r="H205" s="3"/>
      <c r="I205" s="65"/>
      <c r="K205" s="65"/>
      <c r="M205" s="65"/>
      <c r="O205" s="65"/>
      <c r="Q205" s="65"/>
      <c r="S205" s="65"/>
      <c r="U205" s="65"/>
      <c r="W205" s="65"/>
      <c r="Y205" s="65"/>
      <c r="AA205" s="65"/>
      <c r="AC205" s="65"/>
      <c r="AE205" s="65"/>
      <c r="AG205" s="65"/>
      <c r="AI205" s="65"/>
      <c r="AK205" s="65"/>
    </row>
    <row r="206" spans="1:37" x14ac:dyDescent="0.25">
      <c r="A206" s="2">
        <v>40182</v>
      </c>
      <c r="B206" s="3">
        <v>3017.8</v>
      </c>
      <c r="C206" s="2">
        <v>40185</v>
      </c>
      <c r="D206" s="3">
        <v>23709.01</v>
      </c>
      <c r="E206" s="2"/>
      <c r="F206" s="3"/>
      <c r="G206" s="2"/>
      <c r="H206" s="3"/>
      <c r="I206" s="65"/>
      <c r="K206" s="65"/>
      <c r="M206" s="65"/>
      <c r="O206" s="65"/>
      <c r="Q206" s="65"/>
      <c r="S206" s="65"/>
      <c r="U206" s="65"/>
      <c r="W206" s="65"/>
      <c r="Y206" s="65"/>
      <c r="AA206" s="65"/>
      <c r="AC206" s="65"/>
      <c r="AE206" s="65"/>
      <c r="AG206" s="65"/>
      <c r="AI206" s="65"/>
      <c r="AK206" s="65"/>
    </row>
    <row r="207" spans="1:37" x14ac:dyDescent="0.25">
      <c r="A207" s="2">
        <v>40183</v>
      </c>
      <c r="B207" s="3">
        <v>3012.36</v>
      </c>
      <c r="C207" s="2">
        <v>40186</v>
      </c>
      <c r="D207" s="3">
        <v>23811.13</v>
      </c>
      <c r="E207" s="2"/>
      <c r="F207" s="3"/>
      <c r="G207" s="2"/>
      <c r="H207" s="3"/>
      <c r="I207" s="65"/>
      <c r="K207" s="65"/>
      <c r="M207" s="65"/>
      <c r="O207" s="65"/>
      <c r="Q207" s="65"/>
      <c r="S207" s="65"/>
      <c r="U207" s="65"/>
      <c r="W207" s="65"/>
      <c r="Y207" s="65"/>
      <c r="AA207" s="65"/>
      <c r="AC207" s="65"/>
      <c r="AE207" s="65"/>
      <c r="AG207" s="65"/>
      <c r="AI207" s="65"/>
      <c r="AK207" s="65"/>
    </row>
    <row r="208" spans="1:37" x14ac:dyDescent="0.25">
      <c r="A208" s="2">
        <v>40184</v>
      </c>
      <c r="B208" s="3">
        <v>3009.66</v>
      </c>
      <c r="C208" s="2">
        <v>40189</v>
      </c>
      <c r="D208" s="3">
        <v>23774.76</v>
      </c>
      <c r="E208" s="2"/>
      <c r="F208" s="3"/>
      <c r="G208" s="2"/>
      <c r="H208" s="3"/>
      <c r="I208" s="65"/>
      <c r="K208" s="65"/>
      <c r="M208" s="65"/>
      <c r="O208" s="65"/>
      <c r="Q208" s="65"/>
      <c r="S208" s="65"/>
      <c r="U208" s="65"/>
      <c r="W208" s="65"/>
      <c r="Y208" s="65"/>
      <c r="AA208" s="65"/>
      <c r="AC208" s="65"/>
      <c r="AE208" s="65"/>
      <c r="AG208" s="65"/>
      <c r="AI208" s="65"/>
      <c r="AK208" s="65"/>
    </row>
    <row r="209" spans="1:37" x14ac:dyDescent="0.25">
      <c r="A209" s="2">
        <v>40185</v>
      </c>
      <c r="B209" s="3">
        <v>3007.34</v>
      </c>
      <c r="C209" s="2">
        <v>40190</v>
      </c>
      <c r="D209" s="3">
        <v>23583.35</v>
      </c>
      <c r="E209" s="2"/>
      <c r="F209" s="3"/>
      <c r="G209" s="2"/>
      <c r="H209" s="3"/>
      <c r="I209" s="65"/>
      <c r="K209" s="65"/>
      <c r="M209" s="65"/>
      <c r="O209" s="65"/>
      <c r="Q209" s="65"/>
      <c r="S209" s="65"/>
      <c r="U209" s="65"/>
      <c r="W209" s="65"/>
      <c r="Y209" s="65"/>
      <c r="AA209" s="65"/>
      <c r="AC209" s="65"/>
      <c r="AE209" s="65"/>
      <c r="AG209" s="65"/>
      <c r="AI209" s="65"/>
      <c r="AK209" s="65"/>
    </row>
    <row r="210" spans="1:37" x14ac:dyDescent="0.25">
      <c r="A210" s="2">
        <v>40186</v>
      </c>
      <c r="B210" s="3">
        <v>3017.85</v>
      </c>
      <c r="C210" s="2">
        <v>40191</v>
      </c>
      <c r="D210" s="3">
        <v>23658.400000000001</v>
      </c>
      <c r="E210" s="2"/>
      <c r="F210" s="3"/>
      <c r="G210" s="2"/>
      <c r="H210" s="3"/>
      <c r="I210" s="65"/>
      <c r="K210" s="65"/>
      <c r="M210" s="65"/>
      <c r="O210" s="65"/>
      <c r="Q210" s="65"/>
      <c r="S210" s="65"/>
      <c r="U210" s="65"/>
      <c r="W210" s="65"/>
      <c r="Y210" s="65"/>
      <c r="AA210" s="65"/>
      <c r="AC210" s="65"/>
      <c r="AE210" s="65"/>
      <c r="AG210" s="65"/>
      <c r="AI210" s="65"/>
      <c r="AK210" s="65"/>
    </row>
    <row r="211" spans="1:37" x14ac:dyDescent="0.25">
      <c r="A211" s="2">
        <v>40189</v>
      </c>
      <c r="B211" s="3">
        <v>3010.24</v>
      </c>
      <c r="C211" s="2">
        <v>40192</v>
      </c>
      <c r="D211" s="3">
        <v>23805.99</v>
      </c>
      <c r="E211" s="2"/>
      <c r="F211" s="3"/>
      <c r="G211" s="2"/>
      <c r="H211" s="3"/>
      <c r="I211" s="65"/>
      <c r="K211" s="65"/>
      <c r="M211" s="65"/>
      <c r="O211" s="65"/>
      <c r="Q211" s="65"/>
      <c r="S211" s="65"/>
      <c r="U211" s="65"/>
      <c r="W211" s="65"/>
      <c r="Y211" s="65"/>
      <c r="AA211" s="65"/>
      <c r="AC211" s="65"/>
      <c r="AE211" s="65"/>
      <c r="AG211" s="65"/>
      <c r="AI211" s="65"/>
      <c r="AK211" s="65"/>
    </row>
    <row r="212" spans="1:37" x14ac:dyDescent="0.25">
      <c r="A212" s="2">
        <v>40190</v>
      </c>
      <c r="B212" s="3">
        <v>2976.89</v>
      </c>
      <c r="C212" s="2">
        <v>40193</v>
      </c>
      <c r="D212" s="3">
        <v>23472.11</v>
      </c>
      <c r="E212" s="2"/>
      <c r="F212" s="3"/>
      <c r="G212" s="2"/>
      <c r="H212" s="3"/>
      <c r="I212" s="65"/>
      <c r="K212" s="65"/>
      <c r="M212" s="65"/>
      <c r="O212" s="65"/>
      <c r="Q212" s="65"/>
      <c r="S212" s="65"/>
      <c r="U212" s="65"/>
      <c r="W212" s="65"/>
      <c r="Y212" s="65"/>
      <c r="AA212" s="65"/>
      <c r="AC212" s="65"/>
      <c r="AE212" s="65"/>
      <c r="AG212" s="65"/>
      <c r="AI212" s="65"/>
      <c r="AK212" s="65"/>
    </row>
    <row r="213" spans="1:37" x14ac:dyDescent="0.25">
      <c r="A213" s="2">
        <v>40191</v>
      </c>
      <c r="B213" s="3">
        <v>2978.41</v>
      </c>
      <c r="C213" s="2">
        <v>40196</v>
      </c>
      <c r="D213" s="3">
        <v>23509.759999999998</v>
      </c>
      <c r="E213" s="2"/>
      <c r="F213" s="3"/>
      <c r="G213" s="2"/>
      <c r="H213" s="3"/>
      <c r="I213" s="65"/>
      <c r="K213" s="65"/>
      <c r="M213" s="65"/>
      <c r="O213" s="65"/>
      <c r="Q213" s="65"/>
      <c r="S213" s="65"/>
      <c r="U213" s="65"/>
      <c r="W213" s="65"/>
      <c r="Y213" s="65"/>
      <c r="AA213" s="65"/>
      <c r="AC213" s="65"/>
      <c r="AE213" s="65"/>
      <c r="AG213" s="65"/>
      <c r="AI213" s="65"/>
      <c r="AK213" s="65"/>
    </row>
    <row r="214" spans="1:37" x14ac:dyDescent="0.25">
      <c r="A214" s="2">
        <v>40192</v>
      </c>
      <c r="B214" s="3">
        <v>2989.71</v>
      </c>
      <c r="C214" s="2">
        <v>40197</v>
      </c>
      <c r="D214" s="3">
        <v>23705.67</v>
      </c>
      <c r="E214" s="2"/>
      <c r="F214" s="3"/>
      <c r="G214" s="2"/>
      <c r="H214" s="3"/>
      <c r="I214" s="65"/>
      <c r="K214" s="65"/>
      <c r="M214" s="65"/>
      <c r="O214" s="65"/>
      <c r="Q214" s="65"/>
      <c r="S214" s="65"/>
      <c r="U214" s="65"/>
      <c r="W214" s="65"/>
      <c r="Y214" s="65"/>
      <c r="AA214" s="65"/>
      <c r="AC214" s="65"/>
      <c r="AE214" s="65"/>
      <c r="AG214" s="65"/>
      <c r="AI214" s="65"/>
      <c r="AK214" s="65"/>
    </row>
    <row r="215" spans="1:37" x14ac:dyDescent="0.25">
      <c r="A215" s="2">
        <v>40193</v>
      </c>
      <c r="B215" s="3">
        <v>2940.25</v>
      </c>
      <c r="C215" s="2">
        <v>40198</v>
      </c>
      <c r="D215" s="3">
        <v>23126.02</v>
      </c>
      <c r="E215" s="2"/>
      <c r="F215" s="3"/>
      <c r="G215" s="2"/>
      <c r="H215" s="3"/>
      <c r="I215" s="65"/>
      <c r="K215" s="65"/>
      <c r="M215" s="65"/>
      <c r="O215" s="65"/>
      <c r="Q215" s="65"/>
      <c r="S215" s="65"/>
      <c r="U215" s="65"/>
      <c r="W215" s="65"/>
      <c r="Y215" s="65"/>
      <c r="AA215" s="65"/>
      <c r="AC215" s="65"/>
      <c r="AE215" s="65"/>
      <c r="AG215" s="65"/>
      <c r="AI215" s="65"/>
      <c r="AK215" s="65"/>
    </row>
    <row r="216" spans="1:37" x14ac:dyDescent="0.25">
      <c r="A216" s="2">
        <v>40196</v>
      </c>
      <c r="B216" s="3">
        <v>2957.87</v>
      </c>
      <c r="C216" s="2">
        <v>40199</v>
      </c>
      <c r="D216" s="3">
        <v>22876.46</v>
      </c>
      <c r="E216" s="2"/>
      <c r="F216" s="3"/>
      <c r="G216" s="2"/>
      <c r="H216" s="3"/>
      <c r="I216" s="65"/>
      <c r="K216" s="65"/>
      <c r="M216" s="65"/>
      <c r="O216" s="65"/>
      <c r="Q216" s="65"/>
      <c r="S216" s="65"/>
      <c r="U216" s="65"/>
      <c r="W216" s="65"/>
      <c r="Y216" s="65"/>
      <c r="AA216" s="65"/>
      <c r="AC216" s="65"/>
      <c r="AE216" s="65"/>
      <c r="AG216" s="65"/>
      <c r="AI216" s="65"/>
      <c r="AK216" s="65"/>
    </row>
    <row r="217" spans="1:37" x14ac:dyDescent="0.25">
      <c r="A217" s="2">
        <v>40197</v>
      </c>
      <c r="B217" s="3">
        <v>2984.82</v>
      </c>
      <c r="C217" s="2">
        <v>40200</v>
      </c>
      <c r="D217" s="3">
        <v>22567.81</v>
      </c>
      <c r="E217" s="2"/>
      <c r="F217" s="3"/>
      <c r="G217" s="2"/>
      <c r="H217" s="3"/>
      <c r="I217" s="65"/>
      <c r="K217" s="65"/>
      <c r="M217" s="65"/>
      <c r="O217" s="65"/>
      <c r="Q217" s="65"/>
      <c r="S217" s="65"/>
      <c r="U217" s="65"/>
      <c r="W217" s="65"/>
      <c r="Y217" s="65"/>
      <c r="AA217" s="65"/>
      <c r="AC217" s="65"/>
      <c r="AE217" s="65"/>
      <c r="AG217" s="65"/>
      <c r="AI217" s="65"/>
      <c r="AK217" s="65"/>
    </row>
    <row r="218" spans="1:37" x14ac:dyDescent="0.25">
      <c r="A218" s="2">
        <v>40198</v>
      </c>
      <c r="B218" s="3">
        <v>2914.6</v>
      </c>
      <c r="C218" s="2">
        <v>40203</v>
      </c>
      <c r="D218" s="3">
        <v>22373.09</v>
      </c>
      <c r="E218" s="2"/>
      <c r="F218" s="3"/>
      <c r="G218" s="2"/>
      <c r="H218" s="3"/>
      <c r="I218" s="65"/>
      <c r="K218" s="65"/>
      <c r="M218" s="65"/>
      <c r="O218" s="65"/>
      <c r="Q218" s="65"/>
      <c r="S218" s="65"/>
      <c r="U218" s="65"/>
      <c r="W218" s="65"/>
      <c r="Y218" s="65"/>
      <c r="AA218" s="65"/>
      <c r="AC218" s="65"/>
      <c r="AE218" s="65"/>
      <c r="AG218" s="65"/>
      <c r="AI218" s="65"/>
      <c r="AK218" s="65"/>
    </row>
    <row r="219" spans="1:37" x14ac:dyDescent="0.25">
      <c r="A219" s="2">
        <v>40199</v>
      </c>
      <c r="B219" s="3">
        <v>2863.25</v>
      </c>
      <c r="C219" s="2">
        <v>40204</v>
      </c>
      <c r="D219" s="3">
        <v>22407.71</v>
      </c>
      <c r="E219" s="2"/>
      <c r="F219" s="3"/>
      <c r="G219" s="2"/>
      <c r="H219" s="3"/>
      <c r="I219" s="65"/>
      <c r="K219" s="65"/>
      <c r="M219" s="65"/>
      <c r="O219" s="65"/>
      <c r="Q219" s="65"/>
      <c r="S219" s="65"/>
      <c r="U219" s="65"/>
      <c r="W219" s="65"/>
      <c r="Y219" s="65"/>
      <c r="AA219" s="65"/>
      <c r="AC219" s="65"/>
      <c r="AE219" s="65"/>
      <c r="AG219" s="65"/>
      <c r="AI219" s="65"/>
      <c r="AK219" s="65"/>
    </row>
    <row r="220" spans="1:37" x14ac:dyDescent="0.25">
      <c r="A220" s="2">
        <v>40200</v>
      </c>
      <c r="B220" s="3">
        <v>2836.8</v>
      </c>
      <c r="C220" s="2">
        <v>40205</v>
      </c>
      <c r="D220" s="3">
        <v>21997.59</v>
      </c>
      <c r="E220" s="2"/>
      <c r="F220" s="3"/>
      <c r="G220" s="2"/>
      <c r="H220" s="3"/>
      <c r="I220" s="65"/>
      <c r="K220" s="65"/>
      <c r="M220" s="65"/>
      <c r="O220" s="65"/>
      <c r="Q220" s="65"/>
      <c r="S220" s="65"/>
      <c r="U220" s="65"/>
      <c r="W220" s="65"/>
      <c r="Y220" s="65"/>
      <c r="AA220" s="65"/>
      <c r="AC220" s="65"/>
      <c r="AE220" s="65"/>
      <c r="AG220" s="65"/>
      <c r="AI220" s="65"/>
      <c r="AK220" s="65"/>
    </row>
    <row r="221" spans="1:37" x14ac:dyDescent="0.25">
      <c r="A221" s="2">
        <v>40203</v>
      </c>
      <c r="B221" s="3">
        <v>2807.3</v>
      </c>
      <c r="C221" s="2">
        <v>40206</v>
      </c>
      <c r="D221" s="3">
        <v>21603.13</v>
      </c>
      <c r="E221" s="2"/>
      <c r="F221" s="3"/>
      <c r="G221" s="2"/>
      <c r="H221" s="3"/>
      <c r="I221" s="65"/>
      <c r="K221" s="65"/>
      <c r="M221" s="65"/>
      <c r="O221" s="65"/>
      <c r="Q221" s="65"/>
      <c r="S221" s="65"/>
      <c r="U221" s="65"/>
      <c r="W221" s="65"/>
      <c r="Y221" s="65"/>
      <c r="AA221" s="65"/>
      <c r="AC221" s="65"/>
      <c r="AE221" s="65"/>
      <c r="AG221" s="65"/>
      <c r="AI221" s="65"/>
      <c r="AK221" s="65"/>
    </row>
    <row r="222" spans="1:37" x14ac:dyDescent="0.25">
      <c r="A222" s="2">
        <v>40204</v>
      </c>
      <c r="B222" s="3">
        <v>2827.74</v>
      </c>
      <c r="C222" s="2">
        <v>40207</v>
      </c>
      <c r="D222" s="3">
        <v>21896.29</v>
      </c>
      <c r="E222" s="2"/>
      <c r="F222" s="3"/>
      <c r="G222" s="2"/>
      <c r="H222" s="3"/>
      <c r="I222" s="65"/>
      <c r="K222" s="65"/>
      <c r="M222" s="65"/>
      <c r="O222" s="65"/>
      <c r="Q222" s="65"/>
      <c r="S222" s="65"/>
      <c r="U222" s="65"/>
      <c r="W222" s="65"/>
      <c r="Y222" s="65"/>
      <c r="AA222" s="65"/>
      <c r="AC222" s="65"/>
      <c r="AE222" s="65"/>
      <c r="AG222" s="65"/>
      <c r="AI222" s="65"/>
      <c r="AK222" s="65"/>
    </row>
    <row r="223" spans="1:37" x14ac:dyDescent="0.25">
      <c r="A223" s="2">
        <v>40205</v>
      </c>
      <c r="B223" s="3">
        <v>2787.4</v>
      </c>
      <c r="C223" s="2">
        <v>40210</v>
      </c>
      <c r="D223" s="3">
        <v>22012</v>
      </c>
      <c r="E223" s="2"/>
      <c r="F223" s="3"/>
      <c r="G223" s="2"/>
      <c r="H223" s="3"/>
      <c r="I223" s="65"/>
      <c r="K223" s="65"/>
      <c r="M223" s="65"/>
      <c r="O223" s="65"/>
      <c r="Q223" s="65"/>
      <c r="S223" s="65"/>
      <c r="U223" s="65"/>
      <c r="W223" s="65"/>
      <c r="Y223" s="65"/>
      <c r="AA223" s="65"/>
      <c r="AC223" s="65"/>
      <c r="AE223" s="65"/>
      <c r="AG223" s="65"/>
      <c r="AI223" s="65"/>
      <c r="AK223" s="65"/>
    </row>
    <row r="224" spans="1:37" x14ac:dyDescent="0.25">
      <c r="A224" s="2">
        <v>40206</v>
      </c>
      <c r="B224" s="3">
        <v>2737.33</v>
      </c>
      <c r="C224" s="2">
        <v>40211</v>
      </c>
      <c r="D224" s="3">
        <v>22413.74</v>
      </c>
      <c r="E224" s="2"/>
      <c r="F224" s="3"/>
      <c r="G224" s="2"/>
      <c r="H224" s="3"/>
      <c r="I224" s="65"/>
      <c r="K224" s="65"/>
      <c r="M224" s="65"/>
      <c r="O224" s="65"/>
      <c r="Q224" s="65"/>
      <c r="S224" s="65"/>
      <c r="U224" s="65"/>
      <c r="W224" s="65"/>
      <c r="Y224" s="65"/>
      <c r="AA224" s="65"/>
      <c r="AC224" s="65"/>
      <c r="AE224" s="65"/>
      <c r="AG224" s="65"/>
      <c r="AI224" s="65"/>
      <c r="AK224" s="65"/>
    </row>
    <row r="225" spans="1:37" x14ac:dyDescent="0.25">
      <c r="A225" s="2">
        <v>40207</v>
      </c>
      <c r="B225" s="3">
        <v>2776.83</v>
      </c>
      <c r="C225" s="2">
        <v>40212</v>
      </c>
      <c r="D225" s="3">
        <v>22169.25</v>
      </c>
      <c r="E225" s="2"/>
      <c r="F225" s="3"/>
      <c r="G225" s="2"/>
      <c r="H225" s="3"/>
      <c r="I225" s="65"/>
      <c r="K225" s="65"/>
      <c r="M225" s="65"/>
      <c r="O225" s="65"/>
      <c r="Q225" s="65"/>
      <c r="S225" s="65"/>
      <c r="U225" s="65"/>
      <c r="W225" s="65"/>
      <c r="Y225" s="65"/>
      <c r="AA225" s="65"/>
      <c r="AC225" s="65"/>
      <c r="AE225" s="65"/>
      <c r="AG225" s="65"/>
      <c r="AI225" s="65"/>
      <c r="AK225" s="65"/>
    </row>
    <row r="226" spans="1:37" x14ac:dyDescent="0.25">
      <c r="A226" s="2">
        <v>40210</v>
      </c>
      <c r="B226" s="3">
        <v>2793.29</v>
      </c>
      <c r="C226" s="2">
        <v>40213</v>
      </c>
      <c r="D226" s="3">
        <v>21404.82</v>
      </c>
      <c r="E226" s="2"/>
      <c r="F226" s="3"/>
      <c r="G226" s="2"/>
      <c r="H226" s="3"/>
      <c r="I226" s="65"/>
      <c r="K226" s="65"/>
      <c r="M226" s="65"/>
      <c r="O226" s="65"/>
      <c r="Q226" s="65"/>
      <c r="S226" s="65"/>
      <c r="U226" s="65"/>
      <c r="W226" s="65"/>
      <c r="Y226" s="65"/>
      <c r="AA226" s="65"/>
      <c r="AC226" s="65"/>
      <c r="AE226" s="65"/>
      <c r="AG226" s="65"/>
      <c r="AI226" s="65"/>
      <c r="AK226" s="65"/>
    </row>
    <row r="227" spans="1:37" x14ac:dyDescent="0.25">
      <c r="A227" s="2">
        <v>40211</v>
      </c>
      <c r="B227" s="3">
        <v>2830.01</v>
      </c>
      <c r="C227" s="2">
        <v>40214</v>
      </c>
      <c r="D227" s="3">
        <v>20815.88</v>
      </c>
      <c r="E227" s="2"/>
      <c r="F227" s="3"/>
      <c r="G227" s="2"/>
      <c r="H227" s="3"/>
      <c r="I227" s="65"/>
      <c r="K227" s="65"/>
      <c r="M227" s="65"/>
      <c r="O227" s="65"/>
      <c r="Q227" s="65"/>
      <c r="S227" s="65"/>
      <c r="U227" s="65"/>
      <c r="W227" s="65"/>
      <c r="Y227" s="65"/>
      <c r="AA227" s="65"/>
      <c r="AC227" s="65"/>
      <c r="AE227" s="65"/>
      <c r="AG227" s="65"/>
      <c r="AI227" s="65"/>
      <c r="AK227" s="65"/>
    </row>
    <row r="228" spans="1:37" x14ac:dyDescent="0.25">
      <c r="A228" s="2">
        <v>40212</v>
      </c>
      <c r="B228" s="3">
        <v>2804.61</v>
      </c>
      <c r="C228" s="2">
        <v>40217</v>
      </c>
      <c r="D228" s="3">
        <v>20938.240000000002</v>
      </c>
      <c r="E228" s="2"/>
      <c r="F228" s="3"/>
      <c r="G228" s="2"/>
      <c r="H228" s="3"/>
      <c r="I228" s="65"/>
      <c r="K228" s="65"/>
      <c r="M228" s="65"/>
      <c r="O228" s="65"/>
      <c r="Q228" s="65"/>
      <c r="S228" s="65"/>
      <c r="U228" s="65"/>
      <c r="W228" s="65"/>
      <c r="Y228" s="65"/>
      <c r="AA228" s="65"/>
      <c r="AC228" s="65"/>
      <c r="AE228" s="65"/>
      <c r="AG228" s="65"/>
      <c r="AI228" s="65"/>
      <c r="AK228" s="65"/>
    </row>
    <row r="229" spans="1:37" x14ac:dyDescent="0.25">
      <c r="A229" s="2">
        <v>40213</v>
      </c>
      <c r="B229" s="3">
        <v>2707.45</v>
      </c>
      <c r="C229" s="2">
        <v>40218</v>
      </c>
      <c r="D229" s="3">
        <v>20818.97</v>
      </c>
      <c r="E229" s="2"/>
      <c r="F229" s="3"/>
      <c r="G229" s="2"/>
      <c r="H229" s="3"/>
      <c r="I229" s="65"/>
      <c r="K229" s="65"/>
      <c r="M229" s="65"/>
      <c r="O229" s="65"/>
      <c r="Q229" s="65"/>
      <c r="S229" s="65"/>
      <c r="U229" s="65"/>
      <c r="W229" s="65"/>
      <c r="Y229" s="65"/>
      <c r="AA229" s="65"/>
      <c r="AC229" s="65"/>
      <c r="AE229" s="65"/>
      <c r="AG229" s="65"/>
      <c r="AI229" s="65"/>
      <c r="AK229" s="65"/>
    </row>
    <row r="230" spans="1:37" x14ac:dyDescent="0.25">
      <c r="A230" s="2">
        <v>40214</v>
      </c>
      <c r="B230" s="3">
        <v>2631.64</v>
      </c>
      <c r="C230" s="2">
        <v>40219</v>
      </c>
      <c r="D230" s="3">
        <v>21241.63</v>
      </c>
      <c r="E230" s="2"/>
      <c r="F230" s="3"/>
      <c r="G230" s="2"/>
      <c r="H230" s="3"/>
      <c r="I230" s="65"/>
      <c r="K230" s="65"/>
      <c r="M230" s="65"/>
      <c r="O230" s="65"/>
      <c r="Q230" s="65"/>
      <c r="S230" s="65"/>
      <c r="U230" s="65"/>
      <c r="W230" s="65"/>
      <c r="Y230" s="65"/>
      <c r="AA230" s="65"/>
      <c r="AC230" s="65"/>
      <c r="AE230" s="65"/>
      <c r="AG230" s="65"/>
      <c r="AI230" s="65"/>
      <c r="AK230" s="65"/>
    </row>
    <row r="231" spans="1:37" x14ac:dyDescent="0.25">
      <c r="A231" s="2">
        <v>40217</v>
      </c>
      <c r="B231" s="3">
        <v>2664.29</v>
      </c>
      <c r="C231" s="2">
        <v>40220</v>
      </c>
      <c r="D231" s="3">
        <v>21076.45</v>
      </c>
      <c r="E231" s="2"/>
      <c r="F231" s="3"/>
      <c r="G231" s="2"/>
      <c r="H231" s="3"/>
      <c r="I231" s="65"/>
      <c r="K231" s="65"/>
      <c r="M231" s="65"/>
      <c r="O231" s="65"/>
      <c r="Q231" s="65"/>
      <c r="S231" s="65"/>
      <c r="U231" s="65"/>
      <c r="W231" s="65"/>
      <c r="Y231" s="65"/>
      <c r="AA231" s="65"/>
      <c r="AC231" s="65"/>
      <c r="AE231" s="65"/>
      <c r="AG231" s="65"/>
      <c r="AI231" s="65"/>
      <c r="AK231" s="65"/>
    </row>
    <row r="232" spans="1:37" x14ac:dyDescent="0.25">
      <c r="A232" s="2">
        <v>40218</v>
      </c>
      <c r="B232" s="3">
        <v>2668.43</v>
      </c>
      <c r="C232" s="2">
        <v>40221</v>
      </c>
      <c r="D232" s="3">
        <v>21035.91</v>
      </c>
      <c r="E232" s="2"/>
      <c r="F232" s="3"/>
      <c r="G232" s="2"/>
      <c r="H232" s="3"/>
      <c r="I232" s="65"/>
      <c r="K232" s="65"/>
      <c r="M232" s="65"/>
      <c r="O232" s="65"/>
      <c r="Q232" s="65"/>
      <c r="S232" s="65"/>
      <c r="U232" s="65"/>
      <c r="W232" s="65"/>
      <c r="Y232" s="65"/>
      <c r="AA232" s="65"/>
      <c r="AC232" s="65"/>
      <c r="AE232" s="65"/>
      <c r="AG232" s="65"/>
      <c r="AI232" s="65"/>
      <c r="AK232" s="65"/>
    </row>
    <row r="233" spans="1:37" x14ac:dyDescent="0.25">
      <c r="A233" s="2">
        <v>40219</v>
      </c>
      <c r="B233" s="3">
        <v>2700.17</v>
      </c>
      <c r="C233" s="2">
        <v>40224</v>
      </c>
      <c r="D233" s="3">
        <v>21122.47</v>
      </c>
      <c r="E233" s="2"/>
      <c r="F233" s="3"/>
      <c r="G233" s="2"/>
      <c r="H233" s="3"/>
      <c r="I233" s="65"/>
      <c r="K233" s="65"/>
      <c r="M233" s="65"/>
      <c r="O233" s="65"/>
      <c r="Q233" s="65"/>
      <c r="S233" s="65"/>
      <c r="U233" s="65"/>
      <c r="W233" s="65"/>
      <c r="Y233" s="65"/>
      <c r="AA233" s="65"/>
      <c r="AC233" s="65"/>
      <c r="AE233" s="65"/>
      <c r="AG233" s="65"/>
      <c r="AI233" s="65"/>
      <c r="AK233" s="65"/>
    </row>
    <row r="234" spans="1:37" x14ac:dyDescent="0.25">
      <c r="A234" s="2">
        <v>40220</v>
      </c>
      <c r="B234" s="3">
        <v>2680.25</v>
      </c>
      <c r="C234" s="2">
        <v>40225</v>
      </c>
      <c r="D234" s="3">
        <v>21289.200000000001</v>
      </c>
      <c r="E234" s="2"/>
      <c r="F234" s="3"/>
      <c r="G234" s="2"/>
      <c r="H234" s="3"/>
      <c r="I234" s="65"/>
      <c r="K234" s="65"/>
      <c r="M234" s="65"/>
      <c r="O234" s="65"/>
      <c r="Q234" s="65"/>
      <c r="S234" s="65"/>
      <c r="U234" s="65"/>
      <c r="W234" s="65"/>
      <c r="Y234" s="65"/>
      <c r="AA234" s="65"/>
      <c r="AC234" s="65"/>
      <c r="AE234" s="65"/>
      <c r="AG234" s="65"/>
      <c r="AI234" s="65"/>
      <c r="AK234" s="65"/>
    </row>
    <row r="235" spans="1:37" x14ac:dyDescent="0.25">
      <c r="A235" s="2">
        <v>40221</v>
      </c>
      <c r="B235" s="3">
        <v>2674.46</v>
      </c>
      <c r="C235" s="2">
        <v>40226</v>
      </c>
      <c r="D235" s="3">
        <v>21650.81</v>
      </c>
      <c r="E235" s="2"/>
      <c r="F235" s="3"/>
      <c r="G235" s="2"/>
      <c r="H235" s="3"/>
      <c r="I235" s="65"/>
      <c r="K235" s="65"/>
      <c r="M235" s="65"/>
      <c r="O235" s="65"/>
      <c r="Q235" s="65"/>
      <c r="S235" s="65"/>
      <c r="U235" s="65"/>
      <c r="W235" s="65"/>
      <c r="Y235" s="65"/>
      <c r="AA235" s="65"/>
      <c r="AC235" s="65"/>
      <c r="AE235" s="65"/>
      <c r="AG235" s="65"/>
      <c r="AI235" s="65"/>
      <c r="AK235" s="65"/>
    </row>
    <row r="236" spans="1:37" x14ac:dyDescent="0.25">
      <c r="A236" s="2">
        <v>40224</v>
      </c>
      <c r="B236" s="3">
        <v>2683.83</v>
      </c>
      <c r="C236" s="2">
        <v>40227</v>
      </c>
      <c r="D236" s="3">
        <v>21686.12</v>
      </c>
      <c r="E236" s="2"/>
      <c r="F236" s="3"/>
      <c r="G236" s="2"/>
      <c r="H236" s="3"/>
      <c r="I236" s="65"/>
      <c r="K236" s="65"/>
      <c r="M236" s="65"/>
      <c r="O236" s="65"/>
      <c r="Q236" s="65"/>
      <c r="S236" s="65"/>
      <c r="U236" s="65"/>
      <c r="W236" s="65"/>
      <c r="Y236" s="65"/>
      <c r="AA236" s="65"/>
      <c r="AC236" s="65"/>
      <c r="AE236" s="65"/>
      <c r="AG236" s="65"/>
      <c r="AI236" s="65"/>
      <c r="AK236" s="65"/>
    </row>
    <row r="237" spans="1:37" x14ac:dyDescent="0.25">
      <c r="A237" s="2">
        <v>40225</v>
      </c>
      <c r="B237" s="3">
        <v>2720.77</v>
      </c>
      <c r="C237" s="2">
        <v>40228</v>
      </c>
      <c r="D237" s="3">
        <v>21772.33</v>
      </c>
      <c r="E237" s="2"/>
      <c r="F237" s="3"/>
      <c r="G237" s="2"/>
      <c r="H237" s="3"/>
      <c r="I237" s="65"/>
      <c r="K237" s="65"/>
      <c r="M237" s="65"/>
      <c r="O237" s="65"/>
      <c r="Q237" s="65"/>
      <c r="S237" s="65"/>
      <c r="U237" s="65"/>
      <c r="W237" s="65"/>
      <c r="Y237" s="65"/>
      <c r="AA237" s="65"/>
      <c r="AC237" s="65"/>
      <c r="AE237" s="65"/>
      <c r="AG237" s="65"/>
      <c r="AI237" s="65"/>
      <c r="AK237" s="65"/>
    </row>
    <row r="238" spans="1:37" x14ac:dyDescent="0.25">
      <c r="A238" s="2">
        <v>40226</v>
      </c>
      <c r="B238" s="3">
        <v>2762.25</v>
      </c>
      <c r="C238" s="2">
        <v>40231</v>
      </c>
      <c r="D238" s="3">
        <v>21704.78</v>
      </c>
      <c r="E238" s="2"/>
      <c r="F238" s="3"/>
      <c r="G238" s="2"/>
      <c r="H238" s="3"/>
      <c r="I238" s="65"/>
      <c r="K238" s="65"/>
      <c r="M238" s="65"/>
      <c r="O238" s="65"/>
      <c r="Q238" s="65"/>
      <c r="S238" s="65"/>
      <c r="U238" s="65"/>
      <c r="W238" s="65"/>
      <c r="Y238" s="65"/>
      <c r="AA238" s="65"/>
      <c r="AC238" s="65"/>
      <c r="AE238" s="65"/>
      <c r="AG238" s="65"/>
      <c r="AI238" s="65"/>
      <c r="AK238" s="65"/>
    </row>
    <row r="239" spans="1:37" x14ac:dyDescent="0.25">
      <c r="A239" s="2">
        <v>40227</v>
      </c>
      <c r="B239" s="3">
        <v>2778.3</v>
      </c>
      <c r="C239" s="2">
        <v>40232</v>
      </c>
      <c r="D239" s="3">
        <v>21224.07</v>
      </c>
      <c r="E239" s="2"/>
      <c r="F239" s="3"/>
      <c r="G239" s="2"/>
      <c r="H239" s="3"/>
      <c r="I239" s="65"/>
      <c r="K239" s="65"/>
      <c r="M239" s="65"/>
      <c r="O239" s="65"/>
      <c r="Q239" s="65"/>
      <c r="S239" s="65"/>
      <c r="U239" s="65"/>
      <c r="W239" s="65"/>
      <c r="Y239" s="65"/>
      <c r="AA239" s="65"/>
      <c r="AC239" s="65"/>
      <c r="AE239" s="65"/>
      <c r="AG239" s="65"/>
      <c r="AI239" s="65"/>
      <c r="AK239" s="65"/>
    </row>
    <row r="240" spans="1:37" x14ac:dyDescent="0.25">
      <c r="A240" s="2">
        <v>40228</v>
      </c>
      <c r="B240" s="3">
        <v>2793.37</v>
      </c>
      <c r="C240" s="2">
        <v>40233</v>
      </c>
      <c r="D240" s="3">
        <v>21346.31</v>
      </c>
      <c r="E240" s="2"/>
      <c r="F240" s="3"/>
      <c r="G240" s="2"/>
      <c r="H240" s="3"/>
      <c r="I240" s="65"/>
      <c r="K240" s="65"/>
      <c r="M240" s="65"/>
      <c r="O240" s="65"/>
      <c r="Q240" s="65"/>
      <c r="S240" s="65"/>
      <c r="U240" s="65"/>
      <c r="W240" s="65"/>
      <c r="Y240" s="65"/>
      <c r="AA240" s="65"/>
      <c r="AC240" s="65"/>
      <c r="AE240" s="65"/>
      <c r="AG240" s="65"/>
      <c r="AI240" s="65"/>
      <c r="AK240" s="65"/>
    </row>
    <row r="241" spans="1:37" x14ac:dyDescent="0.25">
      <c r="A241" s="2">
        <v>40231</v>
      </c>
      <c r="B241" s="3">
        <v>2778.12</v>
      </c>
      <c r="C241" s="2">
        <v>40234</v>
      </c>
      <c r="D241" s="3">
        <v>20843.23</v>
      </c>
      <c r="E241" s="2"/>
      <c r="F241" s="3"/>
      <c r="G241" s="2"/>
      <c r="H241" s="3"/>
      <c r="I241" s="65"/>
      <c r="K241" s="65"/>
      <c r="M241" s="65"/>
      <c r="O241" s="65"/>
      <c r="Q241" s="65"/>
      <c r="S241" s="65"/>
      <c r="U241" s="65"/>
      <c r="W241" s="65"/>
      <c r="Y241" s="65"/>
      <c r="AA241" s="65"/>
      <c r="AC241" s="65"/>
      <c r="AE241" s="65"/>
      <c r="AG241" s="65"/>
      <c r="AI241" s="65"/>
      <c r="AK241" s="65"/>
    </row>
    <row r="242" spans="1:37" x14ac:dyDescent="0.25">
      <c r="A242" s="2">
        <v>40232</v>
      </c>
      <c r="B242" s="3">
        <v>2730.57</v>
      </c>
      <c r="C242" s="2">
        <v>40235</v>
      </c>
      <c r="D242" s="3">
        <v>21068.32</v>
      </c>
      <c r="E242" s="2"/>
      <c r="F242" s="3"/>
      <c r="G242" s="2"/>
      <c r="H242" s="3"/>
      <c r="I242" s="65"/>
      <c r="K242" s="65"/>
      <c r="M242" s="65"/>
      <c r="O242" s="65"/>
      <c r="Q242" s="65"/>
      <c r="S242" s="65"/>
      <c r="U242" s="65"/>
      <c r="W242" s="65"/>
      <c r="Y242" s="65"/>
      <c r="AA242" s="65"/>
      <c r="AC242" s="65"/>
      <c r="AE242" s="65"/>
      <c r="AG242" s="65"/>
      <c r="AI242" s="65"/>
      <c r="AK242" s="65"/>
    </row>
    <row r="243" spans="1:37" x14ac:dyDescent="0.25">
      <c r="A243" s="2">
        <v>40233</v>
      </c>
      <c r="B243" s="3">
        <v>2734.95</v>
      </c>
      <c r="C243" s="2">
        <v>40238</v>
      </c>
      <c r="D243" s="3">
        <v>21320.799999999999</v>
      </c>
      <c r="E243" s="2"/>
      <c r="F243" s="3"/>
      <c r="G243" s="2"/>
      <c r="H243" s="3"/>
      <c r="I243" s="65"/>
      <c r="K243" s="65"/>
      <c r="M243" s="65"/>
      <c r="O243" s="65"/>
      <c r="Q243" s="65"/>
      <c r="S243" s="65"/>
      <c r="U243" s="65"/>
      <c r="W243" s="65"/>
      <c r="Y243" s="65"/>
      <c r="AA243" s="65"/>
      <c r="AC243" s="65"/>
      <c r="AE243" s="65"/>
      <c r="AG243" s="65"/>
      <c r="AI243" s="65"/>
      <c r="AK243" s="65"/>
    </row>
    <row r="244" spans="1:37" x14ac:dyDescent="0.25">
      <c r="A244" s="2">
        <v>40234</v>
      </c>
      <c r="B244" s="3">
        <v>2684.42</v>
      </c>
      <c r="C244" s="2">
        <v>40239</v>
      </c>
      <c r="D244" s="3">
        <v>21431.41</v>
      </c>
      <c r="E244" s="2"/>
      <c r="F244" s="3"/>
      <c r="G244" s="2"/>
      <c r="H244" s="3"/>
      <c r="I244" s="65"/>
      <c r="K244" s="65"/>
      <c r="M244" s="65"/>
      <c r="O244" s="65"/>
      <c r="Q244" s="65"/>
      <c r="S244" s="65"/>
      <c r="U244" s="65"/>
      <c r="W244" s="65"/>
      <c r="Y244" s="65"/>
      <c r="AA244" s="65"/>
      <c r="AC244" s="65"/>
      <c r="AE244" s="65"/>
      <c r="AG244" s="65"/>
      <c r="AI244" s="65"/>
      <c r="AK244" s="65"/>
    </row>
    <row r="245" spans="1:37" x14ac:dyDescent="0.25">
      <c r="A245" s="2">
        <v>40235</v>
      </c>
      <c r="B245" s="3">
        <v>2728.47</v>
      </c>
      <c r="C245" s="2">
        <v>40240</v>
      </c>
      <c r="D245" s="3">
        <v>21745.06</v>
      </c>
      <c r="E245" s="2"/>
      <c r="F245" s="3"/>
      <c r="G245" s="2"/>
      <c r="H245" s="3"/>
      <c r="I245" s="65"/>
      <c r="K245" s="65"/>
      <c r="M245" s="65"/>
      <c r="O245" s="65"/>
      <c r="Q245" s="65"/>
      <c r="S245" s="65"/>
      <c r="U245" s="65"/>
      <c r="W245" s="65"/>
      <c r="Y245" s="65"/>
      <c r="AA245" s="65"/>
      <c r="AC245" s="65"/>
      <c r="AE245" s="65"/>
      <c r="AG245" s="65"/>
      <c r="AI245" s="65"/>
      <c r="AK245" s="65"/>
    </row>
    <row r="246" spans="1:37" x14ac:dyDescent="0.25">
      <c r="A246" s="2">
        <v>40238</v>
      </c>
      <c r="B246" s="3">
        <v>2772.7</v>
      </c>
      <c r="C246" s="2">
        <v>40241</v>
      </c>
      <c r="D246" s="3">
        <v>21844.560000000001</v>
      </c>
      <c r="E246" s="2"/>
      <c r="F246" s="3"/>
      <c r="G246" s="2"/>
      <c r="H246" s="3"/>
      <c r="I246" s="65"/>
      <c r="K246" s="65"/>
      <c r="M246" s="65"/>
      <c r="O246" s="65"/>
      <c r="Q246" s="65"/>
      <c r="S246" s="65"/>
      <c r="U246" s="65"/>
      <c r="W246" s="65"/>
      <c r="Y246" s="65"/>
      <c r="AA246" s="65"/>
      <c r="AC246" s="65"/>
      <c r="AE246" s="65"/>
      <c r="AG246" s="65"/>
      <c r="AI246" s="65"/>
      <c r="AK246" s="65"/>
    </row>
    <row r="247" spans="1:37" x14ac:dyDescent="0.25">
      <c r="A247" s="2">
        <v>40239</v>
      </c>
      <c r="B247" s="3">
        <v>2796.33</v>
      </c>
      <c r="C247" s="2">
        <v>40242</v>
      </c>
      <c r="D247" s="3">
        <v>22278.12</v>
      </c>
      <c r="E247" s="2"/>
      <c r="F247" s="3"/>
      <c r="G247" s="2"/>
      <c r="H247" s="3"/>
      <c r="I247" s="65"/>
      <c r="K247" s="65"/>
      <c r="M247" s="65"/>
      <c r="O247" s="65"/>
      <c r="Q247" s="65"/>
      <c r="S247" s="65"/>
      <c r="U247" s="65"/>
      <c r="W247" s="65"/>
      <c r="Y247" s="65"/>
      <c r="AA247" s="65"/>
      <c r="AC247" s="65"/>
      <c r="AE247" s="65"/>
      <c r="AG247" s="65"/>
      <c r="AI247" s="65"/>
      <c r="AK247" s="65"/>
    </row>
    <row r="248" spans="1:37" x14ac:dyDescent="0.25">
      <c r="A248" s="2">
        <v>40240</v>
      </c>
      <c r="B248" s="3">
        <v>2822.59</v>
      </c>
      <c r="C248" s="2">
        <v>40245</v>
      </c>
      <c r="D248" s="3">
        <v>22398.21</v>
      </c>
      <c r="E248" s="2"/>
      <c r="F248" s="3"/>
      <c r="G248" s="2"/>
      <c r="H248" s="3"/>
      <c r="I248" s="65"/>
      <c r="K248" s="65"/>
      <c r="M248" s="65"/>
      <c r="O248" s="65"/>
      <c r="Q248" s="65"/>
      <c r="S248" s="65"/>
      <c r="U248" s="65"/>
      <c r="W248" s="65"/>
      <c r="Y248" s="65"/>
      <c r="AA248" s="65"/>
      <c r="AC248" s="65"/>
      <c r="AE248" s="65"/>
      <c r="AG248" s="65"/>
      <c r="AI248" s="65"/>
      <c r="AK248" s="65"/>
    </row>
    <row r="249" spans="1:37" x14ac:dyDescent="0.25">
      <c r="A249" s="2">
        <v>40241</v>
      </c>
      <c r="B249" s="3">
        <v>2816.1</v>
      </c>
      <c r="C249" s="2">
        <v>40246</v>
      </c>
      <c r="D249" s="3">
        <v>22355.8</v>
      </c>
      <c r="E249" s="2"/>
      <c r="F249" s="3"/>
      <c r="G249" s="2"/>
      <c r="H249" s="3"/>
      <c r="I249" s="65"/>
      <c r="K249" s="65"/>
      <c r="M249" s="65"/>
      <c r="O249" s="65"/>
      <c r="Q249" s="65"/>
      <c r="S249" s="65"/>
      <c r="U249" s="65"/>
      <c r="W249" s="65"/>
      <c r="Y249" s="65"/>
      <c r="AA249" s="65"/>
      <c r="AC249" s="65"/>
      <c r="AE249" s="65"/>
      <c r="AG249" s="65"/>
      <c r="AI249" s="65"/>
      <c r="AK249" s="65"/>
    </row>
    <row r="250" spans="1:37" x14ac:dyDescent="0.25">
      <c r="A250" s="2">
        <v>40242</v>
      </c>
      <c r="B250" s="3">
        <v>2877.44</v>
      </c>
      <c r="C250" s="2">
        <v>40247</v>
      </c>
      <c r="D250" s="3">
        <v>22638.65</v>
      </c>
      <c r="E250" s="2"/>
      <c r="F250" s="3"/>
      <c r="G250" s="2"/>
      <c r="H250" s="3"/>
      <c r="I250" s="65"/>
      <c r="K250" s="65"/>
      <c r="M250" s="65"/>
      <c r="O250" s="65"/>
      <c r="Q250" s="65"/>
      <c r="S250" s="65"/>
      <c r="U250" s="65"/>
      <c r="W250" s="65"/>
      <c r="Y250" s="65"/>
      <c r="AA250" s="65"/>
      <c r="AC250" s="65"/>
      <c r="AE250" s="65"/>
      <c r="AG250" s="65"/>
      <c r="AI250" s="65"/>
      <c r="AK250" s="65"/>
    </row>
    <row r="251" spans="1:37" x14ac:dyDescent="0.25">
      <c r="A251" s="2">
        <v>40245</v>
      </c>
      <c r="B251" s="3">
        <v>2879.29</v>
      </c>
      <c r="C251" s="2">
        <v>40248</v>
      </c>
      <c r="D251" s="3">
        <v>22540.85</v>
      </c>
      <c r="E251" s="2"/>
      <c r="F251" s="3"/>
      <c r="G251" s="2"/>
      <c r="H251" s="3"/>
      <c r="I251" s="65"/>
      <c r="K251" s="65"/>
      <c r="M251" s="65"/>
      <c r="O251" s="65"/>
      <c r="Q251" s="65"/>
      <c r="S251" s="65"/>
      <c r="U251" s="65"/>
      <c r="W251" s="65"/>
      <c r="Y251" s="65"/>
      <c r="AA251" s="65"/>
      <c r="AC251" s="65"/>
      <c r="AE251" s="65"/>
      <c r="AG251" s="65"/>
      <c r="AI251" s="65"/>
      <c r="AK251" s="65"/>
    </row>
    <row r="252" spans="1:37" x14ac:dyDescent="0.25">
      <c r="A252" s="2">
        <v>40246</v>
      </c>
      <c r="B252" s="3">
        <v>2880.71</v>
      </c>
      <c r="C252" s="2">
        <v>40249</v>
      </c>
      <c r="D252" s="3">
        <v>22565.19</v>
      </c>
      <c r="E252" s="2"/>
      <c r="F252" s="3"/>
      <c r="G252" s="2"/>
      <c r="H252" s="3"/>
      <c r="I252" s="65"/>
      <c r="K252" s="65"/>
      <c r="M252" s="65"/>
      <c r="O252" s="65"/>
      <c r="Q252" s="65"/>
      <c r="S252" s="65"/>
      <c r="U252" s="65"/>
      <c r="W252" s="65"/>
      <c r="Y252" s="65"/>
      <c r="AA252" s="65"/>
      <c r="AC252" s="65"/>
      <c r="AE252" s="65"/>
      <c r="AG252" s="65"/>
      <c r="AI252" s="65"/>
      <c r="AK252" s="65"/>
    </row>
    <row r="253" spans="1:37" x14ac:dyDescent="0.25">
      <c r="A253" s="2">
        <v>40247</v>
      </c>
      <c r="B253" s="3">
        <v>2909.4</v>
      </c>
      <c r="C253" s="2">
        <v>40252</v>
      </c>
      <c r="D253" s="3">
        <v>22373.23</v>
      </c>
      <c r="E253" s="2"/>
      <c r="F253" s="3"/>
      <c r="G253" s="2"/>
      <c r="H253" s="3"/>
      <c r="I253" s="65"/>
      <c r="K253" s="65"/>
      <c r="M253" s="65"/>
      <c r="O253" s="65"/>
      <c r="Q253" s="65"/>
      <c r="S253" s="65"/>
      <c r="U253" s="65"/>
      <c r="W253" s="65"/>
      <c r="Y253" s="65"/>
      <c r="AA253" s="65"/>
      <c r="AC253" s="65"/>
      <c r="AE253" s="65"/>
      <c r="AG253" s="65"/>
      <c r="AI253" s="65"/>
      <c r="AK253" s="65"/>
    </row>
    <row r="254" spans="1:37" x14ac:dyDescent="0.25">
      <c r="A254" s="2">
        <v>40248</v>
      </c>
      <c r="B254" s="3">
        <v>2895.74</v>
      </c>
      <c r="C254" s="2">
        <v>40253</v>
      </c>
      <c r="D254" s="3">
        <v>22619.85</v>
      </c>
      <c r="E254" s="2"/>
      <c r="F254" s="3"/>
      <c r="G254" s="2"/>
      <c r="H254" s="3"/>
      <c r="I254" s="65"/>
      <c r="K254" s="65"/>
      <c r="M254" s="65"/>
      <c r="O254" s="65"/>
      <c r="Q254" s="65"/>
      <c r="S254" s="65"/>
      <c r="U254" s="65"/>
      <c r="W254" s="65"/>
      <c r="Y254" s="65"/>
      <c r="AA254" s="65"/>
      <c r="AC254" s="65"/>
      <c r="AE254" s="65"/>
      <c r="AG254" s="65"/>
      <c r="AI254" s="65"/>
      <c r="AK254" s="65"/>
    </row>
    <row r="255" spans="1:37" x14ac:dyDescent="0.25">
      <c r="A255" s="2">
        <v>40249</v>
      </c>
      <c r="B255" s="3">
        <v>2898.36</v>
      </c>
      <c r="C255" s="2">
        <v>40254</v>
      </c>
      <c r="D255" s="3">
        <v>22902.58</v>
      </c>
      <c r="E255" s="2"/>
      <c r="F255" s="3"/>
      <c r="G255" s="2"/>
      <c r="H255" s="3"/>
      <c r="I255" s="65"/>
      <c r="K255" s="65"/>
      <c r="M255" s="65"/>
      <c r="O255" s="65"/>
      <c r="Q255" s="65"/>
      <c r="S255" s="65"/>
      <c r="U255" s="65"/>
      <c r="W255" s="65"/>
      <c r="Y255" s="65"/>
      <c r="AA255" s="65"/>
      <c r="AC255" s="65"/>
      <c r="AE255" s="65"/>
      <c r="AG255" s="65"/>
      <c r="AI255" s="65"/>
      <c r="AK255" s="65"/>
    </row>
    <row r="256" spans="1:37" x14ac:dyDescent="0.25">
      <c r="A256" s="2">
        <v>40252</v>
      </c>
      <c r="B256" s="3">
        <v>2870.55</v>
      </c>
      <c r="C256" s="2">
        <v>40255</v>
      </c>
      <c r="D256" s="3">
        <v>22785.15</v>
      </c>
      <c r="E256" s="2"/>
      <c r="F256" s="3"/>
      <c r="G256" s="2"/>
      <c r="H256" s="3"/>
      <c r="I256" s="65"/>
      <c r="K256" s="65"/>
      <c r="M256" s="65"/>
      <c r="O256" s="65"/>
      <c r="Q256" s="65"/>
      <c r="S256" s="65"/>
      <c r="U256" s="65"/>
      <c r="W256" s="65"/>
      <c r="Y256" s="65"/>
      <c r="AA256" s="65"/>
      <c r="AC256" s="65"/>
      <c r="AE256" s="65"/>
      <c r="AG256" s="65"/>
      <c r="AI256" s="65"/>
      <c r="AK256" s="65"/>
    </row>
    <row r="257" spans="1:37" x14ac:dyDescent="0.25">
      <c r="A257" s="2">
        <v>40253</v>
      </c>
      <c r="B257" s="3">
        <v>2905.93</v>
      </c>
      <c r="C257" s="2">
        <v>40256</v>
      </c>
      <c r="D257" s="3">
        <v>22687.3</v>
      </c>
      <c r="E257" s="2"/>
      <c r="F257" s="3"/>
      <c r="G257" s="2"/>
      <c r="H257" s="3"/>
      <c r="I257" s="65"/>
      <c r="K257" s="65"/>
      <c r="M257" s="65"/>
      <c r="O257" s="65"/>
      <c r="Q257" s="65"/>
      <c r="S257" s="65"/>
      <c r="U257" s="65"/>
      <c r="W257" s="65"/>
      <c r="Y257" s="65"/>
      <c r="AA257" s="65"/>
      <c r="AC257" s="65"/>
      <c r="AE257" s="65"/>
      <c r="AG257" s="65"/>
      <c r="AI257" s="65"/>
      <c r="AK257" s="65"/>
    </row>
    <row r="258" spans="1:37" x14ac:dyDescent="0.25">
      <c r="A258" s="2">
        <v>40254</v>
      </c>
      <c r="B258" s="3">
        <v>2931.31</v>
      </c>
      <c r="C258" s="2">
        <v>40259</v>
      </c>
      <c r="D258" s="3">
        <v>22622.81</v>
      </c>
      <c r="E258" s="2"/>
      <c r="F258" s="3"/>
      <c r="G258" s="2"/>
      <c r="H258" s="3"/>
      <c r="I258" s="65"/>
      <c r="K258" s="65"/>
      <c r="M258" s="65"/>
      <c r="O258" s="65"/>
      <c r="Q258" s="65"/>
      <c r="S258" s="65"/>
      <c r="U258" s="65"/>
      <c r="W258" s="65"/>
      <c r="Y258" s="65"/>
      <c r="AA258" s="65"/>
      <c r="AC258" s="65"/>
      <c r="AE258" s="65"/>
      <c r="AG258" s="65"/>
      <c r="AI258" s="65"/>
      <c r="AK258" s="65"/>
    </row>
    <row r="259" spans="1:37" x14ac:dyDescent="0.25">
      <c r="A259" s="2">
        <v>40255</v>
      </c>
      <c r="B259" s="3">
        <v>2913.74</v>
      </c>
      <c r="C259" s="2">
        <v>40260</v>
      </c>
      <c r="D259" s="3">
        <v>22765.89</v>
      </c>
      <c r="E259" s="2"/>
      <c r="F259" s="3"/>
      <c r="G259" s="2"/>
      <c r="H259" s="3"/>
      <c r="I259" s="65"/>
      <c r="K259" s="65"/>
      <c r="M259" s="65"/>
      <c r="O259" s="65"/>
      <c r="Q259" s="65"/>
      <c r="S259" s="65"/>
      <c r="U259" s="65"/>
      <c r="W259" s="65"/>
      <c r="Y259" s="65"/>
      <c r="AA259" s="65"/>
      <c r="AC259" s="65"/>
      <c r="AE259" s="65"/>
      <c r="AG259" s="65"/>
      <c r="AI259" s="65"/>
      <c r="AK259" s="65"/>
    </row>
    <row r="260" spans="1:37" x14ac:dyDescent="0.25">
      <c r="A260" s="2">
        <v>40256</v>
      </c>
      <c r="B260" s="3">
        <v>2897.95</v>
      </c>
      <c r="C260" s="2">
        <v>40261</v>
      </c>
      <c r="D260" s="3">
        <v>22798.7</v>
      </c>
      <c r="E260" s="2"/>
      <c r="F260" s="3"/>
      <c r="G260" s="2"/>
      <c r="H260" s="3"/>
      <c r="I260" s="65"/>
      <c r="K260" s="65"/>
      <c r="M260" s="65"/>
      <c r="O260" s="65"/>
      <c r="Q260" s="65"/>
      <c r="S260" s="65"/>
      <c r="U260" s="65"/>
      <c r="W260" s="65"/>
      <c r="Y260" s="65"/>
      <c r="AA260" s="65"/>
      <c r="AC260" s="65"/>
      <c r="AE260" s="65"/>
      <c r="AG260" s="65"/>
      <c r="AI260" s="65"/>
      <c r="AK260" s="65"/>
    </row>
    <row r="261" spans="1:37" x14ac:dyDescent="0.25">
      <c r="A261" s="2">
        <v>40259</v>
      </c>
      <c r="B261" s="3">
        <v>2890.75</v>
      </c>
      <c r="C261" s="2">
        <v>40262</v>
      </c>
      <c r="D261" s="3">
        <v>23034.46</v>
      </c>
      <c r="E261" s="2"/>
      <c r="F261" s="3"/>
      <c r="G261" s="2"/>
      <c r="H261" s="3"/>
      <c r="I261" s="65"/>
      <c r="K261" s="65"/>
      <c r="M261" s="65"/>
      <c r="O261" s="65"/>
      <c r="Q261" s="65"/>
      <c r="S261" s="65"/>
      <c r="U261" s="65"/>
      <c r="W261" s="65"/>
      <c r="Y261" s="65"/>
      <c r="AA261" s="65"/>
      <c r="AC261" s="65"/>
      <c r="AE261" s="65"/>
      <c r="AG261" s="65"/>
      <c r="AI261" s="65"/>
      <c r="AK261" s="65"/>
    </row>
    <row r="262" spans="1:37" x14ac:dyDescent="0.25">
      <c r="A262" s="2">
        <v>40260</v>
      </c>
      <c r="B262" s="3">
        <v>2910.52</v>
      </c>
      <c r="C262" s="2">
        <v>40263</v>
      </c>
      <c r="D262" s="3">
        <v>23063.87</v>
      </c>
      <c r="E262" s="2"/>
      <c r="F262" s="3"/>
      <c r="G262" s="2"/>
      <c r="H262" s="3"/>
      <c r="I262" s="65"/>
      <c r="K262" s="65"/>
      <c r="M262" s="65"/>
      <c r="O262" s="65"/>
      <c r="Q262" s="65"/>
      <c r="S262" s="65"/>
      <c r="U262" s="65"/>
      <c r="W262" s="65"/>
      <c r="Y262" s="65"/>
      <c r="AA262" s="65"/>
      <c r="AC262" s="65"/>
      <c r="AE262" s="65"/>
      <c r="AG262" s="65"/>
      <c r="AI262" s="65"/>
      <c r="AK262" s="65"/>
    </row>
    <row r="263" spans="1:37" x14ac:dyDescent="0.25">
      <c r="A263" s="2">
        <v>40261</v>
      </c>
      <c r="B263" s="3">
        <v>2903.94</v>
      </c>
      <c r="C263" s="2">
        <v>40266</v>
      </c>
      <c r="D263" s="3">
        <v>23104.97</v>
      </c>
      <c r="E263" s="2"/>
      <c r="F263" s="3"/>
      <c r="G263" s="2"/>
      <c r="H263" s="3"/>
      <c r="I263" s="65"/>
      <c r="K263" s="65"/>
      <c r="M263" s="65"/>
      <c r="O263" s="65"/>
      <c r="Q263" s="65"/>
      <c r="S263" s="65"/>
      <c r="U263" s="65"/>
      <c r="W263" s="65"/>
      <c r="Y263" s="65"/>
      <c r="AA263" s="65"/>
      <c r="AC263" s="65"/>
      <c r="AE263" s="65"/>
      <c r="AG263" s="65"/>
      <c r="AI263" s="65"/>
      <c r="AK263" s="65"/>
    </row>
    <row r="264" spans="1:37" x14ac:dyDescent="0.25">
      <c r="A264" s="2">
        <v>40262</v>
      </c>
      <c r="B264" s="3">
        <v>2948.09</v>
      </c>
      <c r="C264" s="2">
        <v>40267</v>
      </c>
      <c r="D264" s="3">
        <v>23003.34</v>
      </c>
      <c r="E264" s="2"/>
      <c r="F264" s="3"/>
      <c r="G264" s="2"/>
      <c r="H264" s="3"/>
      <c r="I264" s="65"/>
      <c r="K264" s="65"/>
      <c r="M264" s="65"/>
      <c r="O264" s="65"/>
      <c r="Q264" s="65"/>
      <c r="S264" s="65"/>
      <c r="U264" s="65"/>
      <c r="W264" s="65"/>
      <c r="Y264" s="65"/>
      <c r="AA264" s="65"/>
      <c r="AC264" s="65"/>
      <c r="AE264" s="65"/>
      <c r="AG264" s="65"/>
      <c r="AI264" s="65"/>
      <c r="AK264" s="65"/>
    </row>
    <row r="265" spans="1:37" x14ac:dyDescent="0.25">
      <c r="A265" s="2">
        <v>40263</v>
      </c>
      <c r="B265" s="3">
        <v>2940.94</v>
      </c>
      <c r="C265" s="2">
        <v>40268</v>
      </c>
      <c r="D265" s="3">
        <v>22847.97</v>
      </c>
      <c r="E265" s="2"/>
      <c r="F265" s="3"/>
      <c r="G265" s="2"/>
      <c r="H265" s="3"/>
      <c r="I265" s="65"/>
      <c r="K265" s="65"/>
      <c r="M265" s="65"/>
      <c r="O265" s="65"/>
      <c r="Q265" s="65"/>
      <c r="S265" s="65"/>
      <c r="U265" s="65"/>
      <c r="W265" s="65"/>
      <c r="Y265" s="65"/>
      <c r="AA265" s="65"/>
      <c r="AC265" s="65"/>
      <c r="AE265" s="65"/>
      <c r="AG265" s="65"/>
      <c r="AI265" s="65"/>
      <c r="AK265" s="65"/>
    </row>
    <row r="266" spans="1:37" x14ac:dyDescent="0.25">
      <c r="A266" s="2">
        <v>40266</v>
      </c>
      <c r="B266" s="3">
        <v>2947.49</v>
      </c>
      <c r="C266" s="2">
        <v>40269</v>
      </c>
      <c r="D266" s="3">
        <v>23206.66</v>
      </c>
      <c r="E266" s="2"/>
      <c r="F266" s="3"/>
      <c r="G266" s="2"/>
      <c r="H266" s="3"/>
      <c r="I266" s="65"/>
      <c r="K266" s="65"/>
      <c r="M266" s="65"/>
      <c r="O266" s="65"/>
      <c r="Q266" s="65"/>
      <c r="S266" s="65"/>
      <c r="U266" s="65"/>
      <c r="W266" s="65"/>
      <c r="Y266" s="65"/>
      <c r="AA266" s="65"/>
      <c r="AC266" s="65"/>
      <c r="AE266" s="65"/>
      <c r="AG266" s="65"/>
      <c r="AI266" s="65"/>
      <c r="AK266" s="65"/>
    </row>
    <row r="267" spans="1:37" x14ac:dyDescent="0.25">
      <c r="A267" s="2">
        <v>40267</v>
      </c>
      <c r="B267" s="3">
        <v>2939.68</v>
      </c>
      <c r="C267" s="2">
        <v>40274</v>
      </c>
      <c r="D267" s="3">
        <v>23346.66</v>
      </c>
      <c r="E267" s="2"/>
      <c r="F267" s="3"/>
      <c r="G267" s="2"/>
      <c r="H267" s="3"/>
      <c r="I267" s="65"/>
      <c r="K267" s="65"/>
      <c r="M267" s="65"/>
      <c r="O267" s="65"/>
      <c r="Q267" s="65"/>
      <c r="S267" s="65"/>
      <c r="U267" s="65"/>
      <c r="W267" s="65"/>
      <c r="Y267" s="65"/>
      <c r="AA267" s="65"/>
      <c r="AC267" s="65"/>
      <c r="AE267" s="65"/>
      <c r="AG267" s="65"/>
      <c r="AI267" s="65"/>
      <c r="AK267" s="65"/>
    </row>
    <row r="268" spans="1:37" x14ac:dyDescent="0.25">
      <c r="A268" s="2">
        <v>40268</v>
      </c>
      <c r="B268" s="3">
        <v>2931.16</v>
      </c>
      <c r="C268" s="2">
        <v>40275</v>
      </c>
      <c r="D268" s="3">
        <v>23151.3</v>
      </c>
      <c r="E268" s="2"/>
      <c r="F268" s="3"/>
      <c r="G268" s="2"/>
      <c r="H268" s="3"/>
      <c r="I268" s="65"/>
      <c r="K268" s="65"/>
      <c r="M268" s="65"/>
      <c r="O268" s="65"/>
      <c r="Q268" s="65"/>
      <c r="S268" s="65"/>
      <c r="U268" s="65"/>
      <c r="W268" s="65"/>
      <c r="Y268" s="65"/>
      <c r="AA268" s="65"/>
      <c r="AC268" s="65"/>
      <c r="AE268" s="65"/>
      <c r="AG268" s="65"/>
      <c r="AI268" s="65"/>
      <c r="AK268" s="65"/>
    </row>
    <row r="269" spans="1:37" x14ac:dyDescent="0.25">
      <c r="A269" s="2">
        <v>40269</v>
      </c>
      <c r="B269" s="3">
        <v>2978.5</v>
      </c>
      <c r="C269" s="2">
        <v>40276</v>
      </c>
      <c r="D269" s="3">
        <v>22820.01</v>
      </c>
      <c r="E269" s="2"/>
      <c r="F269" s="3"/>
      <c r="G269" s="2"/>
      <c r="H269" s="3"/>
      <c r="I269" s="65"/>
      <c r="K269" s="65"/>
      <c r="M269" s="65"/>
      <c r="O269" s="65"/>
      <c r="Q269" s="65"/>
      <c r="S269" s="65"/>
      <c r="U269" s="65"/>
      <c r="W269" s="65"/>
      <c r="Y269" s="65"/>
      <c r="AA269" s="65"/>
      <c r="AC269" s="65"/>
      <c r="AE269" s="65"/>
      <c r="AG269" s="65"/>
      <c r="AI269" s="65"/>
      <c r="AK269" s="65"/>
    </row>
    <row r="270" spans="1:37" x14ac:dyDescent="0.25">
      <c r="A270" s="2">
        <v>40274</v>
      </c>
      <c r="B270" s="3">
        <v>2989.49</v>
      </c>
      <c r="C270" s="2">
        <v>40277</v>
      </c>
      <c r="D270" s="3">
        <v>23103.87</v>
      </c>
      <c r="E270" s="2"/>
      <c r="F270" s="3"/>
      <c r="G270" s="2"/>
      <c r="H270" s="3"/>
      <c r="I270" s="65"/>
      <c r="K270" s="65"/>
      <c r="M270" s="65"/>
      <c r="O270" s="65"/>
      <c r="Q270" s="65"/>
      <c r="S270" s="65"/>
      <c r="U270" s="65"/>
      <c r="W270" s="65"/>
      <c r="Y270" s="65"/>
      <c r="AA270" s="65"/>
      <c r="AC270" s="65"/>
      <c r="AE270" s="65"/>
      <c r="AG270" s="65"/>
      <c r="AI270" s="65"/>
      <c r="AK270" s="65"/>
    </row>
    <row r="271" spans="1:37" x14ac:dyDescent="0.25">
      <c r="A271" s="2">
        <v>40275</v>
      </c>
      <c r="B271" s="3">
        <v>2974.62</v>
      </c>
      <c r="C271" s="2">
        <v>40280</v>
      </c>
      <c r="D271" s="3">
        <v>23291.65</v>
      </c>
      <c r="E271" s="2"/>
      <c r="F271" s="3"/>
      <c r="G271" s="2"/>
      <c r="H271" s="3"/>
      <c r="I271" s="65"/>
      <c r="K271" s="65"/>
      <c r="M271" s="65"/>
      <c r="O271" s="65"/>
      <c r="Q271" s="65"/>
      <c r="S271" s="65"/>
      <c r="U271" s="65"/>
      <c r="W271" s="65"/>
      <c r="Y271" s="65"/>
      <c r="AA271" s="65"/>
      <c r="AC271" s="65"/>
      <c r="AE271" s="65"/>
      <c r="AG271" s="65"/>
      <c r="AI271" s="65"/>
      <c r="AK271" s="65"/>
    </row>
    <row r="272" spans="1:37" x14ac:dyDescent="0.25">
      <c r="A272" s="2">
        <v>40276</v>
      </c>
      <c r="B272" s="3">
        <v>2942.31</v>
      </c>
      <c r="C272" s="2">
        <v>40281</v>
      </c>
      <c r="D272" s="3">
        <v>23195.56</v>
      </c>
      <c r="E272" s="2"/>
      <c r="F272" s="3"/>
      <c r="G272" s="2"/>
      <c r="H272" s="3"/>
      <c r="I272" s="65"/>
      <c r="K272" s="65"/>
      <c r="M272" s="65"/>
      <c r="O272" s="65"/>
      <c r="Q272" s="65"/>
      <c r="S272" s="65"/>
      <c r="U272" s="65"/>
      <c r="W272" s="65"/>
      <c r="Y272" s="65"/>
      <c r="AA272" s="65"/>
      <c r="AC272" s="65"/>
      <c r="AE272" s="65"/>
      <c r="AG272" s="65"/>
      <c r="AI272" s="65"/>
      <c r="AK272" s="65"/>
    </row>
    <row r="273" spans="1:37" x14ac:dyDescent="0.25">
      <c r="A273" s="2">
        <v>40277</v>
      </c>
      <c r="B273" s="3">
        <v>2993.54</v>
      </c>
      <c r="C273" s="2">
        <v>40282</v>
      </c>
      <c r="D273" s="3">
        <v>23480.42</v>
      </c>
      <c r="E273" s="2"/>
      <c r="F273" s="3"/>
      <c r="G273" s="2"/>
      <c r="H273" s="3"/>
      <c r="I273" s="65"/>
      <c r="K273" s="65"/>
      <c r="M273" s="65"/>
      <c r="O273" s="65"/>
      <c r="Q273" s="65"/>
      <c r="S273" s="65"/>
      <c r="U273" s="65"/>
      <c r="W273" s="65"/>
      <c r="Y273" s="65"/>
      <c r="AA273" s="65"/>
      <c r="AC273" s="65"/>
      <c r="AE273" s="65"/>
      <c r="AG273" s="65"/>
      <c r="AI273" s="65"/>
      <c r="AK273" s="65"/>
    </row>
    <row r="274" spans="1:37" x14ac:dyDescent="0.25">
      <c r="A274" s="2">
        <v>40280</v>
      </c>
      <c r="B274" s="3">
        <v>3002.23</v>
      </c>
      <c r="C274" s="2">
        <v>40283</v>
      </c>
      <c r="D274" s="3">
        <v>23539.24</v>
      </c>
      <c r="E274" s="2"/>
      <c r="F274" s="3"/>
      <c r="G274" s="2"/>
      <c r="H274" s="3"/>
      <c r="I274" s="65"/>
      <c r="K274" s="65"/>
      <c r="M274" s="65"/>
      <c r="O274" s="65"/>
      <c r="Q274" s="65"/>
      <c r="S274" s="65"/>
      <c r="U274" s="65"/>
      <c r="W274" s="65"/>
      <c r="Y274" s="65"/>
      <c r="AA274" s="65"/>
      <c r="AC274" s="65"/>
      <c r="AE274" s="65"/>
      <c r="AG274" s="65"/>
      <c r="AI274" s="65"/>
      <c r="AK274" s="65"/>
    </row>
    <row r="275" spans="1:37" x14ac:dyDescent="0.25">
      <c r="A275" s="2">
        <v>40281</v>
      </c>
      <c r="B275" s="3">
        <v>2988.24</v>
      </c>
      <c r="C275" s="2">
        <v>40284</v>
      </c>
      <c r="D275" s="3">
        <v>23007.22</v>
      </c>
      <c r="E275" s="2"/>
      <c r="F275" s="3"/>
      <c r="G275" s="2"/>
      <c r="H275" s="3"/>
      <c r="I275" s="65"/>
      <c r="K275" s="65"/>
      <c r="M275" s="65"/>
      <c r="O275" s="65"/>
      <c r="Q275" s="65"/>
      <c r="S275" s="65"/>
      <c r="U275" s="65"/>
      <c r="W275" s="65"/>
      <c r="Y275" s="65"/>
      <c r="AA275" s="65"/>
      <c r="AC275" s="65"/>
      <c r="AE275" s="65"/>
      <c r="AG275" s="65"/>
      <c r="AI275" s="65"/>
      <c r="AK275" s="65"/>
    </row>
    <row r="276" spans="1:37" x14ac:dyDescent="0.25">
      <c r="A276" s="2">
        <v>40282</v>
      </c>
      <c r="B276" s="3">
        <v>3008.03</v>
      </c>
      <c r="C276" s="2">
        <v>40287</v>
      </c>
      <c r="D276" s="3">
        <v>22785.78</v>
      </c>
      <c r="E276" s="2"/>
      <c r="F276" s="3"/>
      <c r="G276" s="2"/>
      <c r="H276" s="3"/>
      <c r="I276" s="65"/>
      <c r="K276" s="65"/>
      <c r="M276" s="65"/>
      <c r="O276" s="65"/>
      <c r="Q276" s="65"/>
      <c r="S276" s="65"/>
      <c r="U276" s="65"/>
      <c r="W276" s="65"/>
      <c r="Y276" s="65"/>
      <c r="AA276" s="65"/>
      <c r="AC276" s="65"/>
      <c r="AE276" s="65"/>
      <c r="AG276" s="65"/>
      <c r="AI276" s="65"/>
      <c r="AK276" s="65"/>
    </row>
    <row r="277" spans="1:37" x14ac:dyDescent="0.25">
      <c r="A277" s="2">
        <v>40283</v>
      </c>
      <c r="B277" s="3">
        <v>3012.65</v>
      </c>
      <c r="C277" s="2">
        <v>40288</v>
      </c>
      <c r="D277" s="3">
        <v>23271.68</v>
      </c>
      <c r="E277" s="2"/>
      <c r="F277" s="3"/>
      <c r="G277" s="2"/>
      <c r="H277" s="3"/>
      <c r="I277" s="65"/>
      <c r="K277" s="65"/>
      <c r="M277" s="65"/>
      <c r="O277" s="65"/>
      <c r="Q277" s="65"/>
      <c r="S277" s="65"/>
      <c r="U277" s="65"/>
      <c r="W277" s="65"/>
      <c r="Y277" s="65"/>
      <c r="AA277" s="65"/>
      <c r="AC277" s="65"/>
      <c r="AE277" s="65"/>
      <c r="AG277" s="65"/>
      <c r="AI277" s="65"/>
      <c r="AK277" s="65"/>
    </row>
    <row r="278" spans="1:37" x14ac:dyDescent="0.25">
      <c r="A278" s="2">
        <v>40284</v>
      </c>
      <c r="B278" s="3">
        <v>2949.65</v>
      </c>
      <c r="C278" s="2">
        <v>40289</v>
      </c>
      <c r="D278" s="3">
        <v>23045.05</v>
      </c>
      <c r="E278" s="2"/>
      <c r="F278" s="3"/>
      <c r="G278" s="2"/>
      <c r="H278" s="3"/>
      <c r="I278" s="65"/>
      <c r="K278" s="65"/>
      <c r="M278" s="65"/>
      <c r="O278" s="65"/>
      <c r="Q278" s="65"/>
      <c r="S278" s="65"/>
      <c r="U278" s="65"/>
      <c r="W278" s="65"/>
      <c r="Y278" s="65"/>
      <c r="AA278" s="65"/>
      <c r="AC278" s="65"/>
      <c r="AE278" s="65"/>
      <c r="AG278" s="65"/>
      <c r="AI278" s="65"/>
      <c r="AK278" s="65"/>
    </row>
    <row r="279" spans="1:37" x14ac:dyDescent="0.25">
      <c r="A279" s="2">
        <v>40287</v>
      </c>
      <c r="B279" s="3">
        <v>2940.19</v>
      </c>
      <c r="C279" s="2">
        <v>40290</v>
      </c>
      <c r="D279" s="3">
        <v>22616.5</v>
      </c>
      <c r="E279" s="2"/>
      <c r="F279" s="3"/>
      <c r="G279" s="2"/>
      <c r="H279" s="3"/>
      <c r="I279" s="65"/>
      <c r="K279" s="65"/>
      <c r="M279" s="65"/>
      <c r="O279" s="65"/>
      <c r="Q279" s="65"/>
      <c r="S279" s="65"/>
      <c r="U279" s="65"/>
      <c r="W279" s="65"/>
      <c r="Y279" s="65"/>
      <c r="AA279" s="65"/>
      <c r="AC279" s="65"/>
      <c r="AE279" s="65"/>
      <c r="AG279" s="65"/>
      <c r="AI279" s="65"/>
      <c r="AK279" s="65"/>
    </row>
    <row r="280" spans="1:37" x14ac:dyDescent="0.25">
      <c r="A280" s="2">
        <v>40288</v>
      </c>
      <c r="B280" s="3">
        <v>2983.91</v>
      </c>
      <c r="C280" s="2">
        <v>40291</v>
      </c>
      <c r="D280" s="3">
        <v>22726</v>
      </c>
      <c r="E280" s="2"/>
      <c r="F280" s="3"/>
      <c r="G280" s="2"/>
      <c r="H280" s="3"/>
      <c r="I280" s="65"/>
      <c r="K280" s="65"/>
      <c r="M280" s="65"/>
      <c r="O280" s="65"/>
      <c r="Q280" s="65"/>
      <c r="S280" s="65"/>
      <c r="U280" s="65"/>
      <c r="W280" s="65"/>
      <c r="Y280" s="65"/>
      <c r="AA280" s="65"/>
      <c r="AC280" s="65"/>
      <c r="AE280" s="65"/>
      <c r="AG280" s="65"/>
      <c r="AI280" s="65"/>
      <c r="AK280" s="65"/>
    </row>
    <row r="281" spans="1:37" x14ac:dyDescent="0.25">
      <c r="A281" s="2">
        <v>40289</v>
      </c>
      <c r="B281" s="3">
        <v>2947.64</v>
      </c>
      <c r="C281" s="2">
        <v>40294</v>
      </c>
      <c r="D281" s="3">
        <v>22783.27</v>
      </c>
      <c r="E281" s="2"/>
      <c r="F281" s="3"/>
      <c r="G281" s="2"/>
      <c r="H281" s="3"/>
      <c r="I281" s="65"/>
      <c r="K281" s="65"/>
      <c r="M281" s="65"/>
      <c r="O281" s="65"/>
      <c r="Q281" s="65"/>
      <c r="S281" s="65"/>
      <c r="U281" s="65"/>
      <c r="W281" s="65"/>
      <c r="Y281" s="65"/>
      <c r="AA281" s="65"/>
      <c r="AC281" s="65"/>
      <c r="AE281" s="65"/>
      <c r="AG281" s="65"/>
      <c r="AI281" s="65"/>
      <c r="AK281" s="65"/>
    </row>
    <row r="282" spans="1:37" x14ac:dyDescent="0.25">
      <c r="A282" s="2">
        <v>40290</v>
      </c>
      <c r="B282" s="3">
        <v>2897.59</v>
      </c>
      <c r="C282" s="2">
        <v>40295</v>
      </c>
      <c r="D282" s="3">
        <v>22036.47</v>
      </c>
      <c r="E282" s="2"/>
      <c r="F282" s="3"/>
      <c r="G282" s="2"/>
      <c r="H282" s="3"/>
      <c r="I282" s="65"/>
      <c r="K282" s="65"/>
      <c r="M282" s="65"/>
      <c r="O282" s="65"/>
      <c r="Q282" s="65"/>
      <c r="S282" s="65"/>
      <c r="U282" s="65"/>
      <c r="W282" s="65"/>
      <c r="Y282" s="65"/>
      <c r="AA282" s="65"/>
      <c r="AC282" s="65"/>
      <c r="AE282" s="65"/>
      <c r="AG282" s="65"/>
      <c r="AI282" s="65"/>
      <c r="AK282" s="65"/>
    </row>
    <row r="283" spans="1:37" x14ac:dyDescent="0.25">
      <c r="A283" s="2">
        <v>40291</v>
      </c>
      <c r="B283" s="3">
        <v>2918.11</v>
      </c>
      <c r="C283" s="2">
        <v>40296</v>
      </c>
      <c r="D283" s="3">
        <v>21501.24</v>
      </c>
      <c r="E283" s="2"/>
      <c r="F283" s="3"/>
      <c r="G283" s="2"/>
      <c r="H283" s="3"/>
      <c r="I283" s="65"/>
      <c r="K283" s="65"/>
      <c r="M283" s="65"/>
      <c r="O283" s="65"/>
      <c r="Q283" s="65"/>
      <c r="S283" s="65"/>
      <c r="U283" s="65"/>
      <c r="W283" s="65"/>
      <c r="Y283" s="65"/>
      <c r="AA283" s="65"/>
      <c r="AC283" s="65"/>
      <c r="AE283" s="65"/>
      <c r="AG283" s="65"/>
      <c r="AI283" s="65"/>
      <c r="AK283" s="65"/>
    </row>
    <row r="284" spans="1:37" x14ac:dyDescent="0.25">
      <c r="A284" s="2">
        <v>40294</v>
      </c>
      <c r="B284" s="3">
        <v>2947.04</v>
      </c>
      <c r="C284" s="2">
        <v>40297</v>
      </c>
      <c r="D284" s="3">
        <v>21695.7</v>
      </c>
      <c r="E284" s="2"/>
      <c r="F284" s="3"/>
      <c r="G284" s="2"/>
      <c r="H284" s="3"/>
      <c r="I284" s="65"/>
      <c r="K284" s="65"/>
      <c r="M284" s="65"/>
      <c r="O284" s="65"/>
      <c r="Q284" s="65"/>
      <c r="S284" s="65"/>
      <c r="U284" s="65"/>
      <c r="W284" s="65"/>
      <c r="Y284" s="65"/>
      <c r="AA284" s="65"/>
      <c r="AC284" s="65"/>
      <c r="AE284" s="65"/>
      <c r="AG284" s="65"/>
      <c r="AI284" s="65"/>
      <c r="AK284" s="65"/>
    </row>
    <row r="285" spans="1:37" x14ac:dyDescent="0.25">
      <c r="A285" s="2">
        <v>40295</v>
      </c>
      <c r="B285" s="3">
        <v>2838.78</v>
      </c>
      <c r="C285" s="2">
        <v>40298</v>
      </c>
      <c r="D285" s="3">
        <v>21562.48</v>
      </c>
      <c r="E285" s="2"/>
      <c r="F285" s="3"/>
      <c r="G285" s="2"/>
      <c r="H285" s="3"/>
      <c r="I285" s="65"/>
      <c r="K285" s="65"/>
      <c r="M285" s="65"/>
      <c r="O285" s="65"/>
      <c r="Q285" s="65"/>
      <c r="S285" s="65"/>
      <c r="U285" s="65"/>
      <c r="W285" s="65"/>
      <c r="Y285" s="65"/>
      <c r="AA285" s="65"/>
      <c r="AC285" s="65"/>
      <c r="AE285" s="65"/>
      <c r="AG285" s="65"/>
      <c r="AI285" s="65"/>
      <c r="AK285" s="65"/>
    </row>
    <row r="286" spans="1:37" x14ac:dyDescent="0.25">
      <c r="A286" s="2">
        <v>40296</v>
      </c>
      <c r="B286" s="3">
        <v>2788.54</v>
      </c>
      <c r="C286" s="2">
        <v>40301</v>
      </c>
      <c r="D286" s="3">
        <v>21628.91</v>
      </c>
      <c r="E286" s="2"/>
      <c r="F286" s="3"/>
      <c r="G286" s="2"/>
      <c r="H286" s="3"/>
      <c r="I286" s="65"/>
      <c r="K286" s="65"/>
      <c r="M286" s="65"/>
      <c r="O286" s="65"/>
      <c r="Q286" s="65"/>
      <c r="S286" s="65"/>
      <c r="U286" s="65"/>
      <c r="W286" s="65"/>
      <c r="Y286" s="65"/>
      <c r="AA286" s="65"/>
      <c r="AC286" s="65"/>
      <c r="AE286" s="65"/>
      <c r="AG286" s="65"/>
      <c r="AI286" s="65"/>
      <c r="AK286" s="65"/>
    </row>
    <row r="287" spans="1:37" x14ac:dyDescent="0.25">
      <c r="A287" s="2">
        <v>40297</v>
      </c>
      <c r="B287" s="3">
        <v>2828.12</v>
      </c>
      <c r="C287" s="2">
        <v>40302</v>
      </c>
      <c r="D287" s="3">
        <v>20613.25</v>
      </c>
      <c r="E287" s="2"/>
      <c r="F287" s="3"/>
      <c r="G287" s="2"/>
      <c r="H287" s="3"/>
      <c r="I287" s="65"/>
      <c r="K287" s="65"/>
      <c r="M287" s="65"/>
      <c r="O287" s="65"/>
      <c r="Q287" s="65"/>
      <c r="S287" s="65"/>
      <c r="U287" s="65"/>
      <c r="W287" s="65"/>
      <c r="Y287" s="65"/>
      <c r="AA287" s="65"/>
      <c r="AC287" s="65"/>
      <c r="AE287" s="65"/>
      <c r="AG287" s="65"/>
      <c r="AI287" s="65"/>
      <c r="AK287" s="65"/>
    </row>
    <row r="288" spans="1:37" x14ac:dyDescent="0.25">
      <c r="A288" s="2">
        <v>40298</v>
      </c>
      <c r="B288" s="3">
        <v>2816.86</v>
      </c>
      <c r="C288" s="2">
        <v>40303</v>
      </c>
      <c r="D288" s="3">
        <v>20351.95</v>
      </c>
      <c r="E288" s="2"/>
      <c r="F288" s="3"/>
      <c r="G288" s="2"/>
      <c r="H288" s="3"/>
      <c r="I288" s="65"/>
      <c r="K288" s="65"/>
      <c r="M288" s="65"/>
      <c r="O288" s="65"/>
      <c r="Q288" s="65"/>
      <c r="S288" s="65"/>
      <c r="U288" s="65"/>
      <c r="W288" s="65"/>
      <c r="Y288" s="65"/>
      <c r="AA288" s="65"/>
      <c r="AC288" s="65"/>
      <c r="AE288" s="65"/>
      <c r="AG288" s="65"/>
      <c r="AI288" s="65"/>
      <c r="AK288" s="65"/>
    </row>
    <row r="289" spans="1:37" x14ac:dyDescent="0.25">
      <c r="A289" s="2">
        <v>40301</v>
      </c>
      <c r="B289" s="3">
        <v>2816.5</v>
      </c>
      <c r="C289" s="2">
        <v>40304</v>
      </c>
      <c r="D289" s="3">
        <v>19483.93</v>
      </c>
      <c r="E289" s="2"/>
      <c r="F289" s="3"/>
      <c r="G289" s="2"/>
      <c r="H289" s="3"/>
      <c r="I289" s="65"/>
      <c r="K289" s="65"/>
      <c r="M289" s="65"/>
      <c r="O289" s="65"/>
      <c r="Q289" s="65"/>
      <c r="S289" s="65"/>
      <c r="U289" s="65"/>
      <c r="W289" s="65"/>
      <c r="Y289" s="65"/>
      <c r="AA289" s="65"/>
      <c r="AC289" s="65"/>
      <c r="AE289" s="65"/>
      <c r="AG289" s="65"/>
      <c r="AI289" s="65"/>
      <c r="AK289" s="65"/>
    </row>
    <row r="290" spans="1:37" x14ac:dyDescent="0.25">
      <c r="A290" s="2">
        <v>40302</v>
      </c>
      <c r="B290" s="3">
        <v>2708.12</v>
      </c>
      <c r="C290" s="2">
        <v>40305</v>
      </c>
      <c r="D290" s="3">
        <v>18846.18</v>
      </c>
      <c r="E290" s="2"/>
      <c r="F290" s="3"/>
      <c r="G290" s="2"/>
      <c r="H290" s="3"/>
      <c r="I290" s="65"/>
      <c r="K290" s="65"/>
      <c r="M290" s="65"/>
      <c r="O290" s="65"/>
      <c r="Q290" s="65"/>
      <c r="S290" s="65"/>
      <c r="U290" s="65"/>
      <c r="W290" s="65"/>
      <c r="Y290" s="65"/>
      <c r="AA290" s="65"/>
      <c r="AC290" s="65"/>
      <c r="AE290" s="65"/>
      <c r="AG290" s="65"/>
      <c r="AI290" s="65"/>
      <c r="AK290" s="65"/>
    </row>
    <row r="291" spans="1:37" x14ac:dyDescent="0.25">
      <c r="A291" s="2">
        <v>40303</v>
      </c>
      <c r="B291" s="3">
        <v>2679.3</v>
      </c>
      <c r="C291" s="2">
        <v>40308</v>
      </c>
      <c r="D291" s="3">
        <v>20971.21</v>
      </c>
      <c r="E291" s="2"/>
      <c r="F291" s="3"/>
      <c r="G291" s="2"/>
      <c r="H291" s="3"/>
      <c r="I291" s="65"/>
      <c r="K291" s="65"/>
      <c r="M291" s="65"/>
      <c r="O291" s="65"/>
      <c r="Q291" s="65"/>
      <c r="S291" s="65"/>
      <c r="U291" s="65"/>
      <c r="W291" s="65"/>
      <c r="Y291" s="65"/>
      <c r="AA291" s="65"/>
      <c r="AC291" s="65"/>
      <c r="AE291" s="65"/>
      <c r="AG291" s="65"/>
      <c r="AI291" s="65"/>
      <c r="AK291" s="65"/>
    </row>
    <row r="292" spans="1:37" x14ac:dyDescent="0.25">
      <c r="A292" s="2">
        <v>40304</v>
      </c>
      <c r="B292" s="3">
        <v>2611.41</v>
      </c>
      <c r="C292" s="2">
        <v>40309</v>
      </c>
      <c r="D292" s="3">
        <v>20874.650000000001</v>
      </c>
      <c r="E292" s="2"/>
      <c r="F292" s="3"/>
      <c r="G292" s="2"/>
      <c r="H292" s="3"/>
      <c r="I292" s="65"/>
      <c r="K292" s="65"/>
      <c r="M292" s="65"/>
      <c r="O292" s="65"/>
      <c r="Q292" s="65"/>
      <c r="S292" s="65"/>
      <c r="U292" s="65"/>
      <c r="W292" s="65"/>
      <c r="Y292" s="65"/>
      <c r="AA292" s="65"/>
      <c r="AC292" s="65"/>
      <c r="AE292" s="65"/>
      <c r="AG292" s="65"/>
      <c r="AI292" s="65"/>
      <c r="AK292" s="65"/>
    </row>
    <row r="293" spans="1:37" x14ac:dyDescent="0.25">
      <c r="A293" s="2">
        <v>40305</v>
      </c>
      <c r="B293" s="3">
        <v>2500.1799999999998</v>
      </c>
      <c r="C293" s="2">
        <v>40310</v>
      </c>
      <c r="D293" s="3">
        <v>21029.48</v>
      </c>
      <c r="E293" s="2"/>
      <c r="F293" s="3"/>
      <c r="G293" s="2"/>
      <c r="H293" s="3"/>
      <c r="I293" s="65"/>
      <c r="K293" s="65"/>
      <c r="M293" s="65"/>
      <c r="O293" s="65"/>
      <c r="Q293" s="65"/>
      <c r="S293" s="65"/>
      <c r="U293" s="65"/>
      <c r="W293" s="65"/>
      <c r="Y293" s="65"/>
      <c r="AA293" s="65"/>
      <c r="AC293" s="65"/>
      <c r="AE293" s="65"/>
      <c r="AG293" s="65"/>
      <c r="AI293" s="65"/>
      <c r="AK293" s="65"/>
    </row>
    <row r="294" spans="1:37" x14ac:dyDescent="0.25">
      <c r="A294" s="2">
        <v>40308</v>
      </c>
      <c r="B294" s="3">
        <v>2758.89</v>
      </c>
      <c r="C294" s="2">
        <v>40311</v>
      </c>
      <c r="D294" s="3">
        <v>20878.830000000002</v>
      </c>
      <c r="E294" s="2"/>
      <c r="F294" s="3"/>
      <c r="G294" s="2"/>
      <c r="H294" s="3"/>
      <c r="I294" s="65"/>
      <c r="K294" s="65"/>
      <c r="M294" s="65"/>
      <c r="O294" s="65"/>
      <c r="Q294" s="65"/>
      <c r="S294" s="65"/>
      <c r="U294" s="65"/>
      <c r="W294" s="65"/>
      <c r="Y294" s="65"/>
      <c r="AA294" s="65"/>
      <c r="AC294" s="65"/>
      <c r="AE294" s="65"/>
      <c r="AG294" s="65"/>
      <c r="AI294" s="65"/>
      <c r="AK294" s="65"/>
    </row>
    <row r="295" spans="1:37" x14ac:dyDescent="0.25">
      <c r="A295" s="2">
        <v>40309</v>
      </c>
      <c r="B295" s="3">
        <v>2730.48</v>
      </c>
      <c r="C295" s="2">
        <v>40312</v>
      </c>
      <c r="D295" s="3">
        <v>19781.169999999998</v>
      </c>
      <c r="E295" s="2"/>
      <c r="F295" s="3"/>
      <c r="G295" s="2"/>
      <c r="H295" s="3"/>
      <c r="I295" s="65"/>
      <c r="K295" s="65"/>
      <c r="M295" s="65"/>
      <c r="O295" s="65"/>
      <c r="Q295" s="65"/>
      <c r="S295" s="65"/>
      <c r="U295" s="65"/>
      <c r="W295" s="65"/>
      <c r="Y295" s="65"/>
      <c r="AA295" s="65"/>
      <c r="AC295" s="65"/>
      <c r="AE295" s="65"/>
      <c r="AG295" s="65"/>
      <c r="AI295" s="65"/>
      <c r="AK295" s="65"/>
    </row>
    <row r="296" spans="1:37" x14ac:dyDescent="0.25">
      <c r="A296" s="2">
        <v>40310</v>
      </c>
      <c r="B296" s="3">
        <v>2764.31</v>
      </c>
      <c r="C296" s="2">
        <v>40315</v>
      </c>
      <c r="D296" s="3">
        <v>19826.830000000002</v>
      </c>
      <c r="E296" s="2"/>
      <c r="F296" s="3"/>
      <c r="G296" s="2"/>
      <c r="H296" s="3"/>
      <c r="I296" s="65"/>
      <c r="K296" s="65"/>
      <c r="M296" s="65"/>
      <c r="O296" s="65"/>
      <c r="Q296" s="65"/>
      <c r="S296" s="65"/>
      <c r="U296" s="65"/>
      <c r="W296" s="65"/>
      <c r="Y296" s="65"/>
      <c r="AA296" s="65"/>
      <c r="AC296" s="65"/>
      <c r="AE296" s="65"/>
      <c r="AG296" s="65"/>
      <c r="AI296" s="65"/>
      <c r="AK296" s="65"/>
    </row>
    <row r="297" spans="1:37" x14ac:dyDescent="0.25">
      <c r="A297" s="2">
        <v>40311</v>
      </c>
      <c r="B297" s="3">
        <v>2764.05</v>
      </c>
      <c r="C297" s="2">
        <v>40316</v>
      </c>
      <c r="D297" s="3">
        <v>20314.21</v>
      </c>
      <c r="E297" s="2"/>
      <c r="F297" s="3"/>
      <c r="G297" s="2"/>
      <c r="H297" s="3"/>
      <c r="I297" s="65"/>
      <c r="K297" s="65"/>
      <c r="M297" s="65"/>
      <c r="O297" s="65"/>
      <c r="Q297" s="65"/>
      <c r="S297" s="65"/>
      <c r="U297" s="65"/>
      <c r="W297" s="65"/>
      <c r="Y297" s="65"/>
      <c r="AA297" s="65"/>
      <c r="AC297" s="65"/>
      <c r="AE297" s="65"/>
      <c r="AG297" s="65"/>
      <c r="AI297" s="65"/>
      <c r="AK297" s="65"/>
    </row>
    <row r="298" spans="1:37" x14ac:dyDescent="0.25">
      <c r="A298" s="2">
        <v>40312</v>
      </c>
      <c r="B298" s="3">
        <v>2633.92</v>
      </c>
      <c r="C298" s="2">
        <v>40317</v>
      </c>
      <c r="D298" s="3">
        <v>19612.66</v>
      </c>
      <c r="E298" s="2"/>
      <c r="F298" s="3"/>
      <c r="G298" s="2"/>
      <c r="H298" s="3"/>
      <c r="I298" s="65"/>
      <c r="K298" s="65"/>
      <c r="M298" s="65"/>
      <c r="O298" s="65"/>
      <c r="Q298" s="65"/>
      <c r="S298" s="65"/>
      <c r="U298" s="65"/>
      <c r="W298" s="65"/>
      <c r="Y298" s="65"/>
      <c r="AA298" s="65"/>
      <c r="AC298" s="65"/>
      <c r="AE298" s="65"/>
      <c r="AG298" s="65"/>
      <c r="AI298" s="65"/>
      <c r="AK298" s="65"/>
    </row>
    <row r="299" spans="1:37" x14ac:dyDescent="0.25">
      <c r="A299" s="2">
        <v>40315</v>
      </c>
      <c r="B299" s="3">
        <v>2635.34</v>
      </c>
      <c r="C299" s="2">
        <v>40318</v>
      </c>
      <c r="D299" s="3">
        <v>19282.05</v>
      </c>
      <c r="E299" s="2"/>
      <c r="F299" s="3"/>
      <c r="G299" s="2"/>
      <c r="H299" s="3"/>
      <c r="I299" s="65"/>
      <c r="K299" s="65"/>
      <c r="M299" s="65"/>
      <c r="O299" s="65"/>
      <c r="Q299" s="65"/>
      <c r="S299" s="65"/>
      <c r="U299" s="65"/>
      <c r="W299" s="65"/>
      <c r="Y299" s="65"/>
      <c r="AA299" s="65"/>
      <c r="AC299" s="65"/>
      <c r="AE299" s="65"/>
      <c r="AG299" s="65"/>
      <c r="AI299" s="65"/>
      <c r="AK299" s="65"/>
    </row>
    <row r="300" spans="1:37" x14ac:dyDescent="0.25">
      <c r="A300" s="2">
        <v>40316</v>
      </c>
      <c r="B300" s="3">
        <v>2698.21</v>
      </c>
      <c r="C300" s="2">
        <v>40319</v>
      </c>
      <c r="D300" s="3">
        <v>19535.91</v>
      </c>
      <c r="E300" s="2"/>
      <c r="F300" s="3"/>
      <c r="G300" s="2"/>
      <c r="H300" s="3"/>
      <c r="I300" s="65"/>
      <c r="K300" s="65"/>
      <c r="M300" s="65"/>
      <c r="O300" s="65"/>
      <c r="Q300" s="65"/>
      <c r="S300" s="65"/>
      <c r="U300" s="65"/>
      <c r="W300" s="65"/>
      <c r="Y300" s="65"/>
      <c r="AA300" s="65"/>
      <c r="AC300" s="65"/>
      <c r="AE300" s="65"/>
      <c r="AG300" s="65"/>
      <c r="AI300" s="65"/>
      <c r="AK300" s="65"/>
    </row>
    <row r="301" spans="1:37" x14ac:dyDescent="0.25">
      <c r="A301" s="2">
        <v>40317</v>
      </c>
      <c r="B301" s="3">
        <v>2619.48</v>
      </c>
      <c r="C301" s="2">
        <v>40322</v>
      </c>
      <c r="D301" s="3">
        <v>19030.490000000002</v>
      </c>
      <c r="E301" s="2"/>
      <c r="F301" s="3"/>
      <c r="G301" s="2"/>
      <c r="H301" s="3"/>
      <c r="I301" s="65"/>
      <c r="K301" s="65"/>
      <c r="M301" s="65"/>
      <c r="O301" s="65"/>
      <c r="Q301" s="65"/>
      <c r="S301" s="65"/>
      <c r="U301" s="65"/>
      <c r="W301" s="65"/>
      <c r="Y301" s="65"/>
      <c r="AA301" s="65"/>
      <c r="AC301" s="65"/>
      <c r="AE301" s="65"/>
      <c r="AG301" s="65"/>
      <c r="AI301" s="65"/>
      <c r="AK301" s="65"/>
    </row>
    <row r="302" spans="1:37" x14ac:dyDescent="0.25">
      <c r="A302" s="2">
        <v>40318</v>
      </c>
      <c r="B302" s="3">
        <v>2569.58</v>
      </c>
      <c r="C302" s="2">
        <v>40323</v>
      </c>
      <c r="D302" s="3">
        <v>18382.71</v>
      </c>
      <c r="E302" s="2"/>
      <c r="F302" s="3"/>
      <c r="G302" s="2"/>
      <c r="H302" s="3"/>
      <c r="I302" s="65"/>
      <c r="K302" s="65"/>
      <c r="M302" s="65"/>
      <c r="O302" s="65"/>
      <c r="Q302" s="65"/>
      <c r="S302" s="65"/>
      <c r="U302" s="65"/>
      <c r="W302" s="65"/>
      <c r="Y302" s="65"/>
      <c r="AA302" s="65"/>
      <c r="AC302" s="65"/>
      <c r="AE302" s="65"/>
      <c r="AG302" s="65"/>
      <c r="AI302" s="65"/>
      <c r="AK302" s="65"/>
    </row>
    <row r="303" spans="1:37" x14ac:dyDescent="0.25">
      <c r="A303" s="2">
        <v>40319</v>
      </c>
      <c r="B303" s="3">
        <v>2574.1799999999998</v>
      </c>
      <c r="C303" s="2">
        <v>40324</v>
      </c>
      <c r="D303" s="3">
        <v>18778.41</v>
      </c>
      <c r="E303" s="2"/>
      <c r="F303" s="3"/>
      <c r="G303" s="2"/>
      <c r="H303" s="3"/>
      <c r="I303" s="65"/>
      <c r="K303" s="65"/>
      <c r="M303" s="65"/>
      <c r="O303" s="65"/>
      <c r="Q303" s="65"/>
      <c r="S303" s="65"/>
      <c r="U303" s="65"/>
      <c r="W303" s="65"/>
      <c r="Y303" s="65"/>
      <c r="AA303" s="65"/>
      <c r="AC303" s="65"/>
      <c r="AE303" s="65"/>
      <c r="AG303" s="65"/>
      <c r="AI303" s="65"/>
      <c r="AK303" s="65"/>
    </row>
    <row r="304" spans="1:37" x14ac:dyDescent="0.25">
      <c r="A304" s="2">
        <v>40322</v>
      </c>
      <c r="B304" s="3">
        <v>2558.27</v>
      </c>
      <c r="C304" s="2">
        <v>40325</v>
      </c>
      <c r="D304" s="3">
        <v>19631.87</v>
      </c>
      <c r="E304" s="2"/>
      <c r="F304" s="3"/>
      <c r="G304" s="2"/>
      <c r="H304" s="3"/>
      <c r="I304" s="65"/>
      <c r="K304" s="65"/>
      <c r="M304" s="65"/>
      <c r="O304" s="65"/>
      <c r="Q304" s="65"/>
      <c r="S304" s="65"/>
      <c r="U304" s="65"/>
      <c r="W304" s="65"/>
      <c r="Y304" s="65"/>
      <c r="AA304" s="65"/>
      <c r="AC304" s="65"/>
      <c r="AE304" s="65"/>
      <c r="AG304" s="65"/>
      <c r="AI304" s="65"/>
      <c r="AK304" s="65"/>
    </row>
    <row r="305" spans="1:37" x14ac:dyDescent="0.25">
      <c r="A305" s="2">
        <v>40323</v>
      </c>
      <c r="B305" s="3">
        <v>2488.5</v>
      </c>
      <c r="C305" s="2">
        <v>40326</v>
      </c>
      <c r="D305" s="3">
        <v>19475.88</v>
      </c>
      <c r="E305" s="2"/>
      <c r="F305" s="3"/>
      <c r="G305" s="2"/>
      <c r="H305" s="3"/>
      <c r="I305" s="65"/>
      <c r="K305" s="65"/>
      <c r="M305" s="65"/>
      <c r="O305" s="65"/>
      <c r="Q305" s="65"/>
      <c r="S305" s="65"/>
      <c r="U305" s="65"/>
      <c r="W305" s="65"/>
      <c r="Y305" s="65"/>
      <c r="AA305" s="65"/>
      <c r="AC305" s="65"/>
      <c r="AE305" s="65"/>
      <c r="AG305" s="65"/>
      <c r="AI305" s="65"/>
      <c r="AK305" s="65"/>
    </row>
    <row r="306" spans="1:37" x14ac:dyDescent="0.25">
      <c r="A306" s="2">
        <v>40324</v>
      </c>
      <c r="B306" s="3">
        <v>2530.34</v>
      </c>
      <c r="C306" s="2">
        <v>40329</v>
      </c>
      <c r="D306" s="3">
        <v>19543.97</v>
      </c>
      <c r="E306" s="2"/>
      <c r="F306" s="3"/>
      <c r="G306" s="2"/>
      <c r="H306" s="3"/>
      <c r="I306" s="65"/>
      <c r="K306" s="65"/>
      <c r="M306" s="65"/>
      <c r="O306" s="65"/>
      <c r="Q306" s="65"/>
      <c r="S306" s="65"/>
      <c r="U306" s="65"/>
      <c r="W306" s="65"/>
      <c r="Y306" s="65"/>
      <c r="AA306" s="65"/>
      <c r="AC306" s="65"/>
      <c r="AE306" s="65"/>
      <c r="AG306" s="65"/>
      <c r="AI306" s="65"/>
      <c r="AK306" s="65"/>
    </row>
    <row r="307" spans="1:37" x14ac:dyDescent="0.25">
      <c r="A307" s="2">
        <v>40325</v>
      </c>
      <c r="B307" s="3">
        <v>2619.36</v>
      </c>
      <c r="C307" s="2">
        <v>40330</v>
      </c>
      <c r="D307" s="3">
        <v>19279.18</v>
      </c>
      <c r="E307" s="2"/>
      <c r="F307" s="3"/>
      <c r="G307" s="2"/>
      <c r="H307" s="3"/>
      <c r="I307" s="65"/>
      <c r="K307" s="65"/>
      <c r="M307" s="65"/>
      <c r="O307" s="65"/>
      <c r="Q307" s="65"/>
      <c r="S307" s="65"/>
      <c r="U307" s="65"/>
      <c r="W307" s="65"/>
      <c r="Y307" s="65"/>
      <c r="AA307" s="65"/>
      <c r="AC307" s="65"/>
      <c r="AE307" s="65"/>
      <c r="AG307" s="65"/>
      <c r="AI307" s="65"/>
      <c r="AK307" s="65"/>
    </row>
    <row r="308" spans="1:37" x14ac:dyDescent="0.25">
      <c r="A308" s="2">
        <v>40326</v>
      </c>
      <c r="B308" s="3">
        <v>2614.06</v>
      </c>
      <c r="C308" s="2">
        <v>40331</v>
      </c>
      <c r="D308" s="3">
        <v>19183.13</v>
      </c>
      <c r="E308" s="2"/>
      <c r="F308" s="3"/>
      <c r="G308" s="2"/>
      <c r="H308" s="3"/>
      <c r="I308" s="65"/>
      <c r="K308" s="65"/>
      <c r="M308" s="65"/>
      <c r="O308" s="65"/>
      <c r="Q308" s="65"/>
      <c r="S308" s="65"/>
      <c r="U308" s="65"/>
      <c r="W308" s="65"/>
      <c r="Y308" s="65"/>
      <c r="AA308" s="65"/>
      <c r="AC308" s="65"/>
      <c r="AE308" s="65"/>
      <c r="AG308" s="65"/>
      <c r="AI308" s="65"/>
      <c r="AK308" s="65"/>
    </row>
    <row r="309" spans="1:37" x14ac:dyDescent="0.25">
      <c r="A309" s="2">
        <v>40329</v>
      </c>
      <c r="B309" s="3">
        <v>2610.2600000000002</v>
      </c>
      <c r="C309" s="2">
        <v>40332</v>
      </c>
      <c r="D309" s="3">
        <v>19473.349999999999</v>
      </c>
      <c r="E309" s="2"/>
      <c r="F309" s="3"/>
      <c r="G309" s="2"/>
      <c r="H309" s="3"/>
      <c r="I309" s="65"/>
      <c r="K309" s="65"/>
      <c r="M309" s="65"/>
      <c r="O309" s="65"/>
      <c r="Q309" s="65"/>
      <c r="S309" s="65"/>
      <c r="U309" s="65"/>
      <c r="W309" s="65"/>
      <c r="Y309" s="65"/>
      <c r="AA309" s="65"/>
      <c r="AC309" s="65"/>
      <c r="AE309" s="65"/>
      <c r="AG309" s="65"/>
      <c r="AI309" s="65"/>
      <c r="AK309" s="65"/>
    </row>
    <row r="310" spans="1:37" x14ac:dyDescent="0.25">
      <c r="A310" s="2">
        <v>40330</v>
      </c>
      <c r="B310" s="3">
        <v>2606.58</v>
      </c>
      <c r="C310" s="2">
        <v>40333</v>
      </c>
      <c r="D310" s="3">
        <v>18734.73</v>
      </c>
      <c r="E310" s="2"/>
      <c r="F310" s="3"/>
      <c r="G310" s="2"/>
      <c r="H310" s="3"/>
      <c r="I310" s="65"/>
      <c r="K310" s="65"/>
      <c r="M310" s="65"/>
      <c r="O310" s="65"/>
      <c r="Q310" s="65"/>
      <c r="S310" s="65"/>
      <c r="U310" s="65"/>
      <c r="W310" s="65"/>
      <c r="Y310" s="65"/>
      <c r="AA310" s="65"/>
      <c r="AC310" s="65"/>
      <c r="AE310" s="65"/>
      <c r="AG310" s="65"/>
      <c r="AI310" s="65"/>
      <c r="AK310" s="65"/>
    </row>
    <row r="311" spans="1:37" x14ac:dyDescent="0.25">
      <c r="A311" s="2">
        <v>40331</v>
      </c>
      <c r="B311" s="3">
        <v>2601.98</v>
      </c>
      <c r="C311" s="2">
        <v>40336</v>
      </c>
      <c r="D311" s="3">
        <v>18631.18</v>
      </c>
      <c r="E311" s="2"/>
      <c r="F311" s="3"/>
      <c r="G311" s="2"/>
      <c r="H311" s="3"/>
      <c r="I311" s="65"/>
      <c r="K311" s="65"/>
      <c r="M311" s="65"/>
      <c r="O311" s="65"/>
      <c r="Q311" s="65"/>
      <c r="S311" s="65"/>
      <c r="U311" s="65"/>
      <c r="W311" s="65"/>
      <c r="Y311" s="65"/>
      <c r="AA311" s="65"/>
      <c r="AC311" s="65"/>
      <c r="AE311" s="65"/>
      <c r="AG311" s="65"/>
      <c r="AI311" s="65"/>
      <c r="AK311" s="65"/>
    </row>
    <row r="312" spans="1:37" x14ac:dyDescent="0.25">
      <c r="A312" s="2">
        <v>40332</v>
      </c>
      <c r="B312" s="3">
        <v>2634.16</v>
      </c>
      <c r="C312" s="2">
        <v>40337</v>
      </c>
      <c r="D312" s="3">
        <v>18542.8</v>
      </c>
      <c r="E312" s="2"/>
      <c r="F312" s="3"/>
      <c r="G312" s="2"/>
      <c r="H312" s="3"/>
      <c r="I312" s="65"/>
      <c r="K312" s="65"/>
      <c r="M312" s="65"/>
      <c r="O312" s="65"/>
      <c r="Q312" s="65"/>
      <c r="S312" s="65"/>
      <c r="U312" s="65"/>
      <c r="W312" s="65"/>
      <c r="Y312" s="65"/>
      <c r="AA312" s="65"/>
      <c r="AC312" s="65"/>
      <c r="AE312" s="65"/>
      <c r="AG312" s="65"/>
      <c r="AI312" s="65"/>
      <c r="AK312" s="65"/>
    </row>
    <row r="313" spans="1:37" x14ac:dyDescent="0.25">
      <c r="A313" s="2">
        <v>40333</v>
      </c>
      <c r="B313" s="3">
        <v>2553.59</v>
      </c>
      <c r="C313" s="2">
        <v>40338</v>
      </c>
      <c r="D313" s="3">
        <v>18912.91</v>
      </c>
      <c r="E313" s="2"/>
      <c r="F313" s="3"/>
      <c r="G313" s="2"/>
      <c r="H313" s="3"/>
      <c r="I313" s="65"/>
      <c r="K313" s="65"/>
      <c r="M313" s="65"/>
      <c r="O313" s="65"/>
      <c r="Q313" s="65"/>
      <c r="S313" s="65"/>
      <c r="U313" s="65"/>
      <c r="W313" s="65"/>
      <c r="Y313" s="65"/>
      <c r="AA313" s="65"/>
      <c r="AC313" s="65"/>
      <c r="AE313" s="65"/>
      <c r="AG313" s="65"/>
      <c r="AI313" s="65"/>
      <c r="AK313" s="65"/>
    </row>
    <row r="314" spans="1:37" x14ac:dyDescent="0.25">
      <c r="A314" s="2">
        <v>40336</v>
      </c>
      <c r="B314" s="3">
        <v>2529.9699999999998</v>
      </c>
      <c r="C314" s="2">
        <v>40339</v>
      </c>
      <c r="D314" s="3">
        <v>19391.09</v>
      </c>
      <c r="E314" s="2"/>
      <c r="F314" s="3"/>
      <c r="G314" s="2"/>
      <c r="H314" s="3"/>
      <c r="I314" s="65"/>
      <c r="K314" s="65"/>
      <c r="M314" s="65"/>
      <c r="O314" s="65"/>
      <c r="Q314" s="65"/>
      <c r="S314" s="65"/>
      <c r="U314" s="65"/>
      <c r="W314" s="65"/>
      <c r="Y314" s="65"/>
      <c r="AA314" s="65"/>
      <c r="AC314" s="65"/>
      <c r="AE314" s="65"/>
      <c r="AG314" s="65"/>
      <c r="AI314" s="65"/>
      <c r="AK314" s="65"/>
    </row>
    <row r="315" spans="1:37" x14ac:dyDescent="0.25">
      <c r="A315" s="2">
        <v>40337</v>
      </c>
      <c r="B315" s="3">
        <v>2510.84</v>
      </c>
      <c r="C315" s="2">
        <v>40340</v>
      </c>
      <c r="D315" s="3">
        <v>19660.27</v>
      </c>
      <c r="E315" s="2"/>
      <c r="F315" s="3"/>
      <c r="G315" s="2"/>
      <c r="H315" s="3"/>
      <c r="I315" s="65"/>
      <c r="K315" s="65"/>
      <c r="M315" s="65"/>
      <c r="O315" s="65"/>
      <c r="Q315" s="65"/>
      <c r="S315" s="65"/>
      <c r="U315" s="65"/>
      <c r="W315" s="65"/>
      <c r="Y315" s="65"/>
      <c r="AA315" s="65"/>
      <c r="AC315" s="65"/>
      <c r="AE315" s="65"/>
      <c r="AG315" s="65"/>
      <c r="AI315" s="65"/>
      <c r="AK315" s="65"/>
    </row>
    <row r="316" spans="1:37" x14ac:dyDescent="0.25">
      <c r="A316" s="2">
        <v>40338</v>
      </c>
      <c r="B316" s="3">
        <v>2556.6799999999998</v>
      </c>
      <c r="C316" s="2">
        <v>40343</v>
      </c>
      <c r="D316" s="3">
        <v>20188.54</v>
      </c>
      <c r="E316" s="2"/>
      <c r="F316" s="3"/>
      <c r="G316" s="2"/>
      <c r="H316" s="3"/>
      <c r="I316" s="65"/>
      <c r="K316" s="65"/>
      <c r="M316" s="65"/>
      <c r="O316" s="65"/>
      <c r="Q316" s="65"/>
      <c r="S316" s="65"/>
      <c r="U316" s="65"/>
      <c r="W316" s="65"/>
      <c r="Y316" s="65"/>
      <c r="AA316" s="65"/>
      <c r="AC316" s="65"/>
      <c r="AE316" s="65"/>
      <c r="AG316" s="65"/>
      <c r="AI316" s="65"/>
      <c r="AK316" s="65"/>
    </row>
    <row r="317" spans="1:37" x14ac:dyDescent="0.25">
      <c r="A317" s="2">
        <v>40339</v>
      </c>
      <c r="B317" s="3">
        <v>2608.7399999999998</v>
      </c>
      <c r="C317" s="2">
        <v>40344</v>
      </c>
      <c r="D317" s="3">
        <v>20582.72</v>
      </c>
      <c r="E317" s="2"/>
      <c r="F317" s="3"/>
      <c r="G317" s="2"/>
      <c r="H317" s="3"/>
      <c r="I317" s="65"/>
      <c r="K317" s="65"/>
      <c r="M317" s="65"/>
      <c r="O317" s="65"/>
      <c r="Q317" s="65"/>
      <c r="S317" s="65"/>
      <c r="U317" s="65"/>
      <c r="W317" s="65"/>
      <c r="Y317" s="65"/>
      <c r="AA317" s="65"/>
      <c r="AC317" s="65"/>
      <c r="AE317" s="65"/>
      <c r="AG317" s="65"/>
      <c r="AI317" s="65"/>
      <c r="AK317" s="65"/>
    </row>
    <row r="318" spans="1:37" x14ac:dyDescent="0.25">
      <c r="A318" s="2">
        <v>40340</v>
      </c>
      <c r="B318" s="3">
        <v>2638.31</v>
      </c>
      <c r="C318" s="2">
        <v>40345</v>
      </c>
      <c r="D318" s="3">
        <v>20562.63</v>
      </c>
      <c r="E318" s="2"/>
      <c r="F318" s="3"/>
      <c r="G318" s="2"/>
      <c r="H318" s="3"/>
      <c r="I318" s="65"/>
      <c r="K318" s="65"/>
      <c r="M318" s="65"/>
      <c r="O318" s="65"/>
      <c r="Q318" s="65"/>
      <c r="S318" s="65"/>
      <c r="U318" s="65"/>
      <c r="W318" s="65"/>
      <c r="Y318" s="65"/>
      <c r="AA318" s="65"/>
      <c r="AC318" s="65"/>
      <c r="AE318" s="65"/>
      <c r="AG318" s="65"/>
      <c r="AI318" s="65"/>
      <c r="AK318" s="65"/>
    </row>
    <row r="319" spans="1:37" x14ac:dyDescent="0.25">
      <c r="A319" s="2">
        <v>40343</v>
      </c>
      <c r="B319" s="3">
        <v>2683.46</v>
      </c>
      <c r="C319" s="2">
        <v>40346</v>
      </c>
      <c r="D319" s="3">
        <v>20568.91</v>
      </c>
      <c r="E319" s="2"/>
      <c r="F319" s="3"/>
      <c r="G319" s="2"/>
      <c r="H319" s="3"/>
      <c r="I319" s="65"/>
      <c r="K319" s="65"/>
      <c r="M319" s="65"/>
      <c r="O319" s="65"/>
      <c r="Q319" s="65"/>
      <c r="S319" s="65"/>
      <c r="U319" s="65"/>
      <c r="W319" s="65"/>
      <c r="Y319" s="65"/>
      <c r="AA319" s="65"/>
      <c r="AC319" s="65"/>
      <c r="AE319" s="65"/>
      <c r="AG319" s="65"/>
      <c r="AI319" s="65"/>
      <c r="AK319" s="65"/>
    </row>
    <row r="320" spans="1:37" x14ac:dyDescent="0.25">
      <c r="A320" s="2">
        <v>40344</v>
      </c>
      <c r="B320" s="3">
        <v>2716.3</v>
      </c>
      <c r="C320" s="2">
        <v>40347</v>
      </c>
      <c r="D320" s="3">
        <v>20752.310000000001</v>
      </c>
      <c r="E320" s="2"/>
      <c r="F320" s="3"/>
      <c r="G320" s="2"/>
      <c r="H320" s="3"/>
      <c r="I320" s="65"/>
      <c r="K320" s="65"/>
      <c r="M320" s="65"/>
      <c r="O320" s="65"/>
      <c r="Q320" s="65"/>
      <c r="S320" s="65"/>
      <c r="U320" s="65"/>
      <c r="W320" s="65"/>
      <c r="Y320" s="65"/>
      <c r="AA320" s="65"/>
      <c r="AC320" s="65"/>
      <c r="AE320" s="65"/>
      <c r="AG320" s="65"/>
      <c r="AI320" s="65"/>
      <c r="AK320" s="65"/>
    </row>
    <row r="321" spans="1:37" x14ac:dyDescent="0.25">
      <c r="A321" s="2">
        <v>40345</v>
      </c>
      <c r="B321" s="3">
        <v>2718.73</v>
      </c>
      <c r="C321" s="2">
        <v>40350</v>
      </c>
      <c r="D321" s="3">
        <v>20810.439999999999</v>
      </c>
      <c r="E321" s="2"/>
      <c r="F321" s="3"/>
      <c r="G321" s="2"/>
      <c r="H321" s="3"/>
      <c r="I321" s="65"/>
      <c r="K321" s="65"/>
      <c r="M321" s="65"/>
      <c r="O321" s="65"/>
      <c r="Q321" s="65"/>
      <c r="S321" s="65"/>
      <c r="U321" s="65"/>
      <c r="W321" s="65"/>
      <c r="Y321" s="65"/>
      <c r="AA321" s="65"/>
      <c r="AC321" s="65"/>
      <c r="AE321" s="65"/>
      <c r="AG321" s="65"/>
      <c r="AI321" s="65"/>
      <c r="AK321" s="65"/>
    </row>
    <row r="322" spans="1:37" x14ac:dyDescent="0.25">
      <c r="A322" s="2">
        <v>40346</v>
      </c>
      <c r="B322" s="3">
        <v>2728.12</v>
      </c>
      <c r="C322" s="2">
        <v>40351</v>
      </c>
      <c r="D322" s="3">
        <v>20609.03</v>
      </c>
      <c r="E322" s="2"/>
      <c r="F322" s="3"/>
      <c r="G322" s="2"/>
      <c r="H322" s="3"/>
      <c r="I322" s="65"/>
      <c r="K322" s="65"/>
      <c r="M322" s="65"/>
      <c r="O322" s="65"/>
      <c r="Q322" s="65"/>
      <c r="S322" s="65"/>
      <c r="U322" s="65"/>
      <c r="W322" s="65"/>
      <c r="Y322" s="65"/>
      <c r="AA322" s="65"/>
      <c r="AC322" s="65"/>
      <c r="AE322" s="65"/>
      <c r="AG322" s="65"/>
      <c r="AI322" s="65"/>
      <c r="AK322" s="65"/>
    </row>
    <row r="323" spans="1:37" x14ac:dyDescent="0.25">
      <c r="A323" s="2">
        <v>40347</v>
      </c>
      <c r="B323" s="3">
        <v>2737.02</v>
      </c>
      <c r="C323" s="2">
        <v>40352</v>
      </c>
      <c r="D323" s="3">
        <v>20358.919999999998</v>
      </c>
      <c r="E323" s="2"/>
      <c r="F323" s="3"/>
      <c r="G323" s="2"/>
      <c r="H323" s="3"/>
      <c r="I323" s="65"/>
      <c r="K323" s="65"/>
      <c r="M323" s="65"/>
      <c r="O323" s="65"/>
      <c r="Q323" s="65"/>
      <c r="S323" s="65"/>
      <c r="U323" s="65"/>
      <c r="W323" s="65"/>
      <c r="Y323" s="65"/>
      <c r="AA323" s="65"/>
      <c r="AC323" s="65"/>
      <c r="AE323" s="65"/>
      <c r="AG323" s="65"/>
      <c r="AI323" s="65"/>
      <c r="AK323" s="65"/>
    </row>
    <row r="324" spans="1:37" x14ac:dyDescent="0.25">
      <c r="A324" s="2">
        <v>40350</v>
      </c>
      <c r="B324" s="3">
        <v>2768.27</v>
      </c>
      <c r="C324" s="2">
        <v>40353</v>
      </c>
      <c r="D324" s="3">
        <v>19942.39</v>
      </c>
      <c r="E324" s="2"/>
      <c r="F324" s="3"/>
      <c r="G324" s="2"/>
      <c r="H324" s="3"/>
      <c r="I324" s="65"/>
      <c r="K324" s="65"/>
      <c r="M324" s="65"/>
      <c r="O324" s="65"/>
      <c r="Q324" s="65"/>
      <c r="S324" s="65"/>
      <c r="U324" s="65"/>
      <c r="W324" s="65"/>
      <c r="Y324" s="65"/>
      <c r="AA324" s="65"/>
      <c r="AC324" s="65"/>
      <c r="AE324" s="65"/>
      <c r="AG324" s="65"/>
      <c r="AI324" s="65"/>
      <c r="AK324" s="65"/>
    </row>
    <row r="325" spans="1:37" x14ac:dyDescent="0.25">
      <c r="A325" s="2">
        <v>40351</v>
      </c>
      <c r="B325" s="3">
        <v>2745.97</v>
      </c>
      <c r="C325" s="2">
        <v>40354</v>
      </c>
      <c r="D325" s="3">
        <v>19961.740000000002</v>
      </c>
      <c r="E325" s="2"/>
      <c r="F325" s="3"/>
      <c r="G325" s="2"/>
      <c r="H325" s="3"/>
      <c r="I325" s="65"/>
      <c r="K325" s="65"/>
      <c r="M325" s="65"/>
      <c r="O325" s="65"/>
      <c r="Q325" s="65"/>
      <c r="S325" s="65"/>
      <c r="U325" s="65"/>
      <c r="W325" s="65"/>
      <c r="Y325" s="65"/>
      <c r="AA325" s="65"/>
      <c r="AC325" s="65"/>
      <c r="AE325" s="65"/>
      <c r="AG325" s="65"/>
      <c r="AI325" s="65"/>
      <c r="AK325" s="65"/>
    </row>
    <row r="326" spans="1:37" x14ac:dyDescent="0.25">
      <c r="A326" s="2">
        <v>40352</v>
      </c>
      <c r="B326" s="3">
        <v>2704.8</v>
      </c>
      <c r="C326" s="2">
        <v>40357</v>
      </c>
      <c r="D326" s="3">
        <v>20130.61</v>
      </c>
      <c r="E326" s="2"/>
      <c r="F326" s="3"/>
      <c r="G326" s="2"/>
      <c r="H326" s="3"/>
      <c r="I326" s="65"/>
      <c r="K326" s="65"/>
      <c r="M326" s="65"/>
      <c r="O326" s="65"/>
      <c r="Q326" s="65"/>
      <c r="S326" s="65"/>
      <c r="U326" s="65"/>
      <c r="W326" s="65"/>
      <c r="Y326" s="65"/>
      <c r="AA326" s="65"/>
      <c r="AC326" s="65"/>
      <c r="AE326" s="65"/>
      <c r="AG326" s="65"/>
      <c r="AI326" s="65"/>
      <c r="AK326" s="65"/>
    </row>
    <row r="327" spans="1:37" x14ac:dyDescent="0.25">
      <c r="A327" s="2">
        <v>40353</v>
      </c>
      <c r="B327" s="3">
        <v>2645.32</v>
      </c>
      <c r="C327" s="2">
        <v>40358</v>
      </c>
      <c r="D327" s="3">
        <v>19236.259999999998</v>
      </c>
      <c r="E327" s="2"/>
      <c r="F327" s="3"/>
      <c r="G327" s="2"/>
      <c r="H327" s="3"/>
      <c r="I327" s="65"/>
      <c r="K327" s="65"/>
      <c r="M327" s="65"/>
      <c r="O327" s="65"/>
      <c r="Q327" s="65"/>
      <c r="S327" s="65"/>
      <c r="U327" s="65"/>
      <c r="W327" s="65"/>
      <c r="Y327" s="65"/>
      <c r="AA327" s="65"/>
      <c r="AC327" s="65"/>
      <c r="AE327" s="65"/>
      <c r="AG327" s="65"/>
      <c r="AI327" s="65"/>
      <c r="AK327" s="65"/>
    </row>
    <row r="328" spans="1:37" x14ac:dyDescent="0.25">
      <c r="A328" s="2">
        <v>40354</v>
      </c>
      <c r="B328" s="3">
        <v>2629.25</v>
      </c>
      <c r="C328" s="2">
        <v>40359</v>
      </c>
      <c r="D328" s="3">
        <v>19311.75</v>
      </c>
      <c r="E328" s="2"/>
      <c r="F328" s="3"/>
      <c r="G328" s="2"/>
      <c r="H328" s="3"/>
      <c r="I328" s="65"/>
      <c r="K328" s="65"/>
      <c r="M328" s="65"/>
      <c r="O328" s="65"/>
      <c r="Q328" s="65"/>
      <c r="S328" s="65"/>
      <c r="U328" s="65"/>
      <c r="W328" s="65"/>
      <c r="Y328" s="65"/>
      <c r="AA328" s="65"/>
      <c r="AC328" s="65"/>
      <c r="AE328" s="65"/>
      <c r="AG328" s="65"/>
      <c r="AI328" s="65"/>
      <c r="AK328" s="65"/>
    </row>
    <row r="329" spans="1:37" x14ac:dyDescent="0.25">
      <c r="A329" s="2">
        <v>40357</v>
      </c>
      <c r="B329" s="3">
        <v>2668.67</v>
      </c>
      <c r="C329" s="2">
        <v>40360</v>
      </c>
      <c r="D329" s="3">
        <v>18943.759999999998</v>
      </c>
      <c r="E329" s="2"/>
      <c r="F329" s="3"/>
      <c r="G329" s="2"/>
      <c r="H329" s="3"/>
      <c r="I329" s="65"/>
      <c r="K329" s="65"/>
      <c r="M329" s="65"/>
      <c r="O329" s="65"/>
      <c r="Q329" s="65"/>
      <c r="S329" s="65"/>
      <c r="U329" s="65"/>
      <c r="W329" s="65"/>
      <c r="Y329" s="65"/>
      <c r="AA329" s="65"/>
      <c r="AC329" s="65"/>
      <c r="AE329" s="65"/>
      <c r="AG329" s="65"/>
      <c r="AI329" s="65"/>
      <c r="AK329" s="65"/>
    </row>
    <row r="330" spans="1:37" x14ac:dyDescent="0.25">
      <c r="A330" s="2">
        <v>40358</v>
      </c>
      <c r="B330" s="3">
        <v>2556.34</v>
      </c>
      <c r="C330" s="2">
        <v>40361</v>
      </c>
      <c r="D330" s="3">
        <v>19073.849999999999</v>
      </c>
      <c r="E330" s="2"/>
      <c r="F330" s="3"/>
      <c r="G330" s="2"/>
      <c r="H330" s="3"/>
      <c r="I330" s="65"/>
      <c r="K330" s="65"/>
      <c r="M330" s="65"/>
      <c r="O330" s="65"/>
      <c r="Q330" s="65"/>
      <c r="S330" s="65"/>
      <c r="U330" s="65"/>
      <c r="W330" s="65"/>
      <c r="Y330" s="65"/>
      <c r="AA330" s="65"/>
      <c r="AC330" s="65"/>
      <c r="AE330" s="65"/>
      <c r="AG330" s="65"/>
      <c r="AI330" s="65"/>
      <c r="AK330" s="65"/>
    </row>
    <row r="331" spans="1:37" x14ac:dyDescent="0.25">
      <c r="A331" s="2">
        <v>40359</v>
      </c>
      <c r="B331" s="3">
        <v>2573.3200000000002</v>
      </c>
      <c r="C331" s="2">
        <v>40364</v>
      </c>
      <c r="D331" s="3">
        <v>18848.560000000001</v>
      </c>
      <c r="E331" s="2"/>
      <c r="F331" s="3"/>
      <c r="G331" s="2"/>
      <c r="H331" s="3"/>
      <c r="I331" s="65"/>
      <c r="K331" s="65"/>
      <c r="M331" s="65"/>
      <c r="O331" s="65"/>
      <c r="Q331" s="65"/>
      <c r="S331" s="65"/>
      <c r="U331" s="65"/>
      <c r="W331" s="65"/>
      <c r="Y331" s="65"/>
      <c r="AA331" s="65"/>
      <c r="AC331" s="65"/>
      <c r="AE331" s="65"/>
      <c r="AG331" s="65"/>
      <c r="AI331" s="65"/>
      <c r="AK331" s="65"/>
    </row>
    <row r="332" spans="1:37" x14ac:dyDescent="0.25">
      <c r="A332" s="2">
        <v>40360</v>
      </c>
      <c r="B332" s="3">
        <v>2518.65</v>
      </c>
      <c r="C332" s="2">
        <v>40365</v>
      </c>
      <c r="D332" s="3">
        <v>19356.66</v>
      </c>
      <c r="E332" s="2"/>
      <c r="F332" s="3"/>
      <c r="G332" s="2"/>
      <c r="H332" s="3"/>
      <c r="I332" s="65"/>
      <c r="K332" s="65"/>
      <c r="M332" s="65"/>
      <c r="O332" s="65"/>
      <c r="Q332" s="65"/>
      <c r="S332" s="65"/>
      <c r="U332" s="65"/>
      <c r="W332" s="65"/>
      <c r="Y332" s="65"/>
      <c r="AA332" s="65"/>
      <c r="AC332" s="65"/>
      <c r="AE332" s="65"/>
      <c r="AG332" s="65"/>
      <c r="AI332" s="65"/>
      <c r="AK332" s="65"/>
    </row>
    <row r="333" spans="1:37" x14ac:dyDescent="0.25">
      <c r="A333" s="2">
        <v>40361</v>
      </c>
      <c r="B333" s="3">
        <v>2522.36</v>
      </c>
      <c r="C333" s="2">
        <v>40366</v>
      </c>
      <c r="D333" s="3">
        <v>20013.07</v>
      </c>
      <c r="E333" s="2"/>
      <c r="F333" s="3"/>
      <c r="G333" s="2"/>
      <c r="H333" s="3"/>
      <c r="I333" s="65"/>
      <c r="K333" s="65"/>
      <c r="M333" s="65"/>
      <c r="O333" s="65"/>
      <c r="Q333" s="65"/>
      <c r="S333" s="65"/>
      <c r="U333" s="65"/>
      <c r="W333" s="65"/>
      <c r="Y333" s="65"/>
      <c r="AA333" s="65"/>
      <c r="AC333" s="65"/>
      <c r="AE333" s="65"/>
      <c r="AG333" s="65"/>
      <c r="AI333" s="65"/>
      <c r="AK333" s="65"/>
    </row>
    <row r="334" spans="1:37" x14ac:dyDescent="0.25">
      <c r="A334" s="2">
        <v>40364</v>
      </c>
      <c r="B334" s="3">
        <v>2507.83</v>
      </c>
      <c r="C334" s="2">
        <v>40367</v>
      </c>
      <c r="D334" s="3">
        <v>20243.73</v>
      </c>
      <c r="E334" s="2"/>
      <c r="F334" s="3"/>
      <c r="G334" s="2"/>
      <c r="H334" s="3"/>
      <c r="I334" s="65"/>
      <c r="K334" s="65"/>
      <c r="M334" s="65"/>
      <c r="O334" s="65"/>
      <c r="Q334" s="65"/>
      <c r="S334" s="65"/>
      <c r="U334" s="65"/>
      <c r="W334" s="65"/>
      <c r="Y334" s="65"/>
      <c r="AA334" s="65"/>
      <c r="AC334" s="65"/>
      <c r="AE334" s="65"/>
      <c r="AG334" s="65"/>
      <c r="AI334" s="65"/>
      <c r="AK334" s="65"/>
    </row>
    <row r="335" spans="1:37" x14ac:dyDescent="0.25">
      <c r="A335" s="2">
        <v>40365</v>
      </c>
      <c r="B335" s="3">
        <v>2578.69</v>
      </c>
      <c r="C335" s="2">
        <v>40368</v>
      </c>
      <c r="D335" s="3">
        <v>20478.98</v>
      </c>
      <c r="E335" s="2"/>
      <c r="F335" s="3"/>
      <c r="G335" s="2"/>
      <c r="H335" s="3"/>
      <c r="I335" s="65"/>
      <c r="K335" s="65"/>
      <c r="M335" s="65"/>
      <c r="O335" s="65"/>
      <c r="Q335" s="65"/>
      <c r="S335" s="65"/>
      <c r="U335" s="65"/>
      <c r="W335" s="65"/>
      <c r="Y335" s="65"/>
      <c r="AA335" s="65"/>
      <c r="AC335" s="65"/>
      <c r="AE335" s="65"/>
      <c r="AG335" s="65"/>
      <c r="AI335" s="65"/>
      <c r="AK335" s="65"/>
    </row>
    <row r="336" spans="1:37" x14ac:dyDescent="0.25">
      <c r="A336" s="2">
        <v>40366</v>
      </c>
      <c r="B336" s="3">
        <v>2634.39</v>
      </c>
      <c r="C336" s="2">
        <v>40371</v>
      </c>
      <c r="D336" s="3">
        <v>20517.919999999998</v>
      </c>
      <c r="E336" s="2"/>
      <c r="F336" s="3"/>
      <c r="G336" s="2"/>
      <c r="H336" s="3"/>
      <c r="I336" s="65"/>
      <c r="K336" s="65"/>
      <c r="M336" s="65"/>
      <c r="O336" s="65"/>
      <c r="Q336" s="65"/>
      <c r="S336" s="65"/>
      <c r="U336" s="65"/>
      <c r="W336" s="65"/>
      <c r="Y336" s="65"/>
      <c r="AA336" s="65"/>
      <c r="AC336" s="65"/>
      <c r="AE336" s="65"/>
      <c r="AG336" s="65"/>
      <c r="AI336" s="65"/>
      <c r="AK336" s="65"/>
    </row>
    <row r="337" spans="1:37" x14ac:dyDescent="0.25">
      <c r="A337" s="2">
        <v>40367</v>
      </c>
      <c r="B337" s="3">
        <v>2666.42</v>
      </c>
      <c r="C337" s="2">
        <v>40372</v>
      </c>
      <c r="D337" s="3">
        <v>20851.849999999999</v>
      </c>
      <c r="E337" s="2"/>
      <c r="F337" s="3"/>
      <c r="G337" s="2"/>
      <c r="H337" s="3"/>
      <c r="I337" s="65"/>
      <c r="K337" s="65"/>
      <c r="M337" s="65"/>
      <c r="O337" s="65"/>
      <c r="Q337" s="65"/>
      <c r="S337" s="65"/>
      <c r="U337" s="65"/>
      <c r="W337" s="65"/>
      <c r="Y337" s="65"/>
      <c r="AA337" s="65"/>
      <c r="AC337" s="65"/>
      <c r="AE337" s="65"/>
      <c r="AG337" s="65"/>
      <c r="AI337" s="65"/>
      <c r="AK337" s="65"/>
    </row>
    <row r="338" spans="1:37" x14ac:dyDescent="0.25">
      <c r="A338" s="2">
        <v>40368</v>
      </c>
      <c r="B338" s="3">
        <v>2681.2</v>
      </c>
      <c r="C338" s="2">
        <v>40373</v>
      </c>
      <c r="D338" s="3">
        <v>20804.37</v>
      </c>
      <c r="E338" s="2"/>
      <c r="F338" s="3"/>
      <c r="G338" s="2"/>
      <c r="H338" s="3"/>
      <c r="I338" s="65"/>
      <c r="K338" s="65"/>
      <c r="M338" s="65"/>
      <c r="O338" s="65"/>
      <c r="Q338" s="65"/>
      <c r="S338" s="65"/>
      <c r="U338" s="65"/>
      <c r="W338" s="65"/>
      <c r="Y338" s="65"/>
      <c r="AA338" s="65"/>
      <c r="AC338" s="65"/>
      <c r="AE338" s="65"/>
      <c r="AG338" s="65"/>
      <c r="AI338" s="65"/>
      <c r="AK338" s="65"/>
    </row>
    <row r="339" spans="1:37" x14ac:dyDescent="0.25">
      <c r="A339" s="2">
        <v>40371</v>
      </c>
      <c r="B339" s="3">
        <v>2686.09</v>
      </c>
      <c r="C339" s="2">
        <v>40374</v>
      </c>
      <c r="D339" s="3">
        <v>20480.080000000002</v>
      </c>
      <c r="E339" s="2"/>
      <c r="F339" s="3"/>
      <c r="G339" s="2"/>
      <c r="H339" s="3"/>
      <c r="I339" s="65"/>
      <c r="K339" s="65"/>
      <c r="M339" s="65"/>
      <c r="O339" s="65"/>
      <c r="Q339" s="65"/>
      <c r="S339" s="65"/>
      <c r="U339" s="65"/>
      <c r="W339" s="65"/>
      <c r="Y339" s="65"/>
      <c r="AA339" s="65"/>
      <c r="AC339" s="65"/>
      <c r="AE339" s="65"/>
      <c r="AG339" s="65"/>
      <c r="AI339" s="65"/>
      <c r="AK339" s="65"/>
    </row>
    <row r="340" spans="1:37" x14ac:dyDescent="0.25">
      <c r="A340" s="2">
        <v>40372</v>
      </c>
      <c r="B340" s="3">
        <v>2737.59</v>
      </c>
      <c r="C340" s="2">
        <v>40375</v>
      </c>
      <c r="D340" s="3">
        <v>20161.02</v>
      </c>
      <c r="E340" s="2"/>
      <c r="F340" s="3"/>
      <c r="G340" s="2"/>
      <c r="H340" s="3"/>
      <c r="I340" s="65"/>
      <c r="K340" s="65"/>
      <c r="M340" s="65"/>
      <c r="O340" s="65"/>
      <c r="Q340" s="65"/>
      <c r="S340" s="65"/>
      <c r="U340" s="65"/>
      <c r="W340" s="65"/>
      <c r="Y340" s="65"/>
      <c r="AA340" s="65"/>
      <c r="AC340" s="65"/>
      <c r="AE340" s="65"/>
      <c r="AG340" s="65"/>
      <c r="AI340" s="65"/>
      <c r="AK340" s="65"/>
    </row>
    <row r="341" spans="1:37" x14ac:dyDescent="0.25">
      <c r="A341" s="2">
        <v>40373</v>
      </c>
      <c r="B341" s="3">
        <v>2738.96</v>
      </c>
      <c r="C341" s="2">
        <v>40378</v>
      </c>
      <c r="D341" s="3">
        <v>20117.54</v>
      </c>
      <c r="E341" s="2"/>
      <c r="F341" s="3"/>
      <c r="G341" s="2"/>
      <c r="H341" s="3"/>
      <c r="I341" s="65"/>
      <c r="K341" s="65"/>
      <c r="M341" s="65"/>
      <c r="O341" s="65"/>
      <c r="Q341" s="65"/>
      <c r="S341" s="65"/>
      <c r="U341" s="65"/>
      <c r="W341" s="65"/>
      <c r="Y341" s="65"/>
      <c r="AA341" s="65"/>
      <c r="AC341" s="65"/>
      <c r="AE341" s="65"/>
      <c r="AG341" s="65"/>
      <c r="AI341" s="65"/>
      <c r="AK341" s="65"/>
    </row>
    <row r="342" spans="1:37" x14ac:dyDescent="0.25">
      <c r="A342" s="2">
        <v>40374</v>
      </c>
      <c r="B342" s="3">
        <v>2702.81</v>
      </c>
      <c r="C342" s="2">
        <v>40379</v>
      </c>
      <c r="D342" s="3">
        <v>19985.32</v>
      </c>
      <c r="E342" s="2"/>
      <c r="F342" s="3"/>
      <c r="G342" s="2"/>
      <c r="H342" s="3"/>
      <c r="I342" s="65"/>
      <c r="K342" s="65"/>
      <c r="M342" s="65"/>
      <c r="O342" s="65"/>
      <c r="Q342" s="65"/>
      <c r="S342" s="65"/>
      <c r="U342" s="65"/>
      <c r="W342" s="65"/>
      <c r="Y342" s="65"/>
      <c r="AA342" s="65"/>
      <c r="AC342" s="65"/>
      <c r="AE342" s="65"/>
      <c r="AG342" s="65"/>
      <c r="AI342" s="65"/>
      <c r="AK342" s="65"/>
    </row>
    <row r="343" spans="1:37" x14ac:dyDescent="0.25">
      <c r="A343" s="2">
        <v>40375</v>
      </c>
      <c r="B343" s="3">
        <v>2645.61</v>
      </c>
      <c r="C343" s="2">
        <v>40380</v>
      </c>
      <c r="D343" s="3">
        <v>20137.919999999998</v>
      </c>
      <c r="E343" s="2"/>
      <c r="F343" s="3"/>
      <c r="G343" s="2"/>
      <c r="H343" s="3"/>
      <c r="I343" s="65"/>
      <c r="K343" s="65"/>
      <c r="M343" s="65"/>
      <c r="O343" s="65"/>
      <c r="Q343" s="65"/>
      <c r="S343" s="65"/>
      <c r="U343" s="65"/>
      <c r="W343" s="65"/>
      <c r="Y343" s="65"/>
      <c r="AA343" s="65"/>
      <c r="AC343" s="65"/>
      <c r="AE343" s="65"/>
      <c r="AG343" s="65"/>
      <c r="AI343" s="65"/>
      <c r="AK343" s="65"/>
    </row>
    <row r="344" spans="1:37" x14ac:dyDescent="0.25">
      <c r="A344" s="2">
        <v>40378</v>
      </c>
      <c r="B344" s="3">
        <v>2634.6</v>
      </c>
      <c r="C344" s="2">
        <v>40381</v>
      </c>
      <c r="D344" s="3">
        <v>20694.259999999998</v>
      </c>
      <c r="E344" s="2"/>
      <c r="F344" s="3"/>
      <c r="G344" s="2"/>
      <c r="H344" s="3"/>
      <c r="I344" s="65"/>
      <c r="K344" s="65"/>
      <c r="M344" s="65"/>
      <c r="O344" s="65"/>
      <c r="Q344" s="65"/>
      <c r="S344" s="65"/>
      <c r="U344" s="65"/>
      <c r="W344" s="65"/>
      <c r="Y344" s="65"/>
      <c r="AA344" s="65"/>
      <c r="AC344" s="65"/>
      <c r="AE344" s="65"/>
      <c r="AG344" s="65"/>
      <c r="AI344" s="65"/>
      <c r="AK344" s="65"/>
    </row>
    <row r="345" spans="1:37" x14ac:dyDescent="0.25">
      <c r="A345" s="2">
        <v>40379</v>
      </c>
      <c r="B345" s="3">
        <v>2627.28</v>
      </c>
      <c r="C345" s="2">
        <v>40382</v>
      </c>
      <c r="D345" s="3">
        <v>20604.080000000002</v>
      </c>
      <c r="E345" s="2"/>
      <c r="F345" s="3"/>
      <c r="G345" s="2"/>
      <c r="H345" s="3"/>
      <c r="I345" s="65"/>
      <c r="K345" s="65"/>
      <c r="M345" s="65"/>
      <c r="O345" s="65"/>
      <c r="Q345" s="65"/>
      <c r="S345" s="65"/>
      <c r="U345" s="65"/>
      <c r="W345" s="65"/>
      <c r="Y345" s="65"/>
      <c r="AA345" s="65"/>
      <c r="AC345" s="65"/>
      <c r="AE345" s="65"/>
      <c r="AG345" s="65"/>
      <c r="AI345" s="65"/>
      <c r="AK345" s="65"/>
    </row>
    <row r="346" spans="1:37" x14ac:dyDescent="0.25">
      <c r="A346" s="2">
        <v>40380</v>
      </c>
      <c r="B346" s="3">
        <v>2639.52</v>
      </c>
      <c r="C346" s="2">
        <v>40385</v>
      </c>
      <c r="D346" s="3">
        <v>20819.96</v>
      </c>
      <c r="E346" s="2"/>
      <c r="F346" s="3"/>
      <c r="G346" s="2"/>
      <c r="H346" s="3"/>
      <c r="I346" s="65"/>
      <c r="K346" s="65"/>
      <c r="M346" s="65"/>
      <c r="O346" s="65"/>
      <c r="Q346" s="65"/>
      <c r="S346" s="65"/>
      <c r="U346" s="65"/>
      <c r="W346" s="65"/>
      <c r="Y346" s="65"/>
      <c r="AA346" s="65"/>
      <c r="AC346" s="65"/>
      <c r="AE346" s="65"/>
      <c r="AG346" s="65"/>
      <c r="AI346" s="65"/>
      <c r="AK346" s="65"/>
    </row>
    <row r="347" spans="1:37" x14ac:dyDescent="0.25">
      <c r="A347" s="2">
        <v>40381</v>
      </c>
      <c r="B347" s="3">
        <v>2714.21</v>
      </c>
      <c r="C347" s="2">
        <v>40386</v>
      </c>
      <c r="D347" s="3">
        <v>21158.080000000002</v>
      </c>
      <c r="E347" s="2"/>
      <c r="F347" s="3"/>
      <c r="G347" s="2"/>
      <c r="H347" s="3"/>
      <c r="I347" s="65"/>
      <c r="K347" s="65"/>
      <c r="M347" s="65"/>
      <c r="O347" s="65"/>
      <c r="Q347" s="65"/>
      <c r="S347" s="65"/>
      <c r="U347" s="65"/>
      <c r="W347" s="65"/>
      <c r="Y347" s="65"/>
      <c r="AA347" s="65"/>
      <c r="AC347" s="65"/>
      <c r="AE347" s="65"/>
      <c r="AG347" s="65"/>
      <c r="AI347" s="65"/>
      <c r="AK347" s="65"/>
    </row>
    <row r="348" spans="1:37" x14ac:dyDescent="0.25">
      <c r="A348" s="2">
        <v>40382</v>
      </c>
      <c r="B348" s="3">
        <v>2719.13</v>
      </c>
      <c r="C348" s="2">
        <v>40387</v>
      </c>
      <c r="D348" s="3">
        <v>21082.06</v>
      </c>
      <c r="E348" s="2"/>
      <c r="F348" s="3"/>
      <c r="G348" s="2"/>
      <c r="H348" s="3"/>
      <c r="I348" s="65"/>
      <c r="K348" s="65"/>
      <c r="M348" s="65"/>
      <c r="O348" s="65"/>
      <c r="Q348" s="65"/>
      <c r="S348" s="65"/>
      <c r="U348" s="65"/>
      <c r="W348" s="65"/>
      <c r="Y348" s="65"/>
      <c r="AA348" s="65"/>
      <c r="AC348" s="65"/>
      <c r="AE348" s="65"/>
      <c r="AG348" s="65"/>
      <c r="AI348" s="65"/>
      <c r="AK348" s="65"/>
    </row>
    <row r="349" spans="1:37" x14ac:dyDescent="0.25">
      <c r="A349" s="2">
        <v>40385</v>
      </c>
      <c r="B349" s="3">
        <v>2743.12</v>
      </c>
      <c r="C349" s="2">
        <v>40388</v>
      </c>
      <c r="D349" s="3">
        <v>21096.97</v>
      </c>
      <c r="E349" s="2"/>
      <c r="F349" s="3"/>
      <c r="G349" s="2"/>
      <c r="H349" s="3"/>
      <c r="I349" s="65"/>
      <c r="K349" s="65"/>
      <c r="M349" s="65"/>
      <c r="O349" s="65"/>
      <c r="Q349" s="65"/>
      <c r="S349" s="65"/>
      <c r="U349" s="65"/>
      <c r="W349" s="65"/>
      <c r="Y349" s="65"/>
      <c r="AA349" s="65"/>
      <c r="AC349" s="65"/>
      <c r="AE349" s="65"/>
      <c r="AG349" s="65"/>
      <c r="AI349" s="65"/>
      <c r="AK349" s="65"/>
    </row>
    <row r="350" spans="1:37" x14ac:dyDescent="0.25">
      <c r="A350" s="2">
        <v>40386</v>
      </c>
      <c r="B350" s="3">
        <v>2769.31</v>
      </c>
      <c r="C350" s="2">
        <v>40389</v>
      </c>
      <c r="D350" s="3">
        <v>21021.56</v>
      </c>
      <c r="E350" s="2"/>
      <c r="F350" s="3"/>
      <c r="G350" s="2"/>
      <c r="H350" s="3"/>
      <c r="I350" s="65"/>
      <c r="K350" s="65"/>
      <c r="M350" s="65"/>
      <c r="O350" s="65"/>
      <c r="Q350" s="65"/>
      <c r="S350" s="65"/>
      <c r="U350" s="65"/>
      <c r="W350" s="65"/>
      <c r="Y350" s="65"/>
      <c r="AA350" s="65"/>
      <c r="AC350" s="65"/>
      <c r="AE350" s="65"/>
      <c r="AG350" s="65"/>
      <c r="AI350" s="65"/>
      <c r="AK350" s="65"/>
    </row>
    <row r="351" spans="1:37" x14ac:dyDescent="0.25">
      <c r="A351" s="2">
        <v>40387</v>
      </c>
      <c r="B351" s="3">
        <v>2766.11</v>
      </c>
      <c r="C351" s="2">
        <v>40392</v>
      </c>
      <c r="D351" s="3">
        <v>21547.84</v>
      </c>
      <c r="E351" s="2"/>
      <c r="F351" s="3"/>
      <c r="G351" s="2"/>
      <c r="H351" s="3"/>
      <c r="I351" s="65"/>
      <c r="K351" s="65"/>
      <c r="M351" s="65"/>
      <c r="O351" s="65"/>
      <c r="Q351" s="65"/>
      <c r="S351" s="65"/>
      <c r="U351" s="65"/>
      <c r="W351" s="65"/>
      <c r="Y351" s="65"/>
      <c r="AA351" s="65"/>
      <c r="AC351" s="65"/>
      <c r="AE351" s="65"/>
      <c r="AG351" s="65"/>
      <c r="AI351" s="65"/>
      <c r="AK351" s="65"/>
    </row>
    <row r="352" spans="1:37" x14ac:dyDescent="0.25">
      <c r="A352" s="2">
        <v>40388</v>
      </c>
      <c r="B352" s="3">
        <v>2752.93</v>
      </c>
      <c r="C352" s="2">
        <v>40393</v>
      </c>
      <c r="D352" s="3">
        <v>21498.32</v>
      </c>
      <c r="E352" s="2"/>
      <c r="F352" s="3"/>
      <c r="G352" s="2"/>
      <c r="H352" s="3"/>
      <c r="I352" s="65"/>
      <c r="K352" s="65"/>
      <c r="M352" s="65"/>
      <c r="O352" s="65"/>
      <c r="Q352" s="65"/>
      <c r="S352" s="65"/>
      <c r="U352" s="65"/>
      <c r="W352" s="65"/>
      <c r="Y352" s="65"/>
      <c r="AA352" s="65"/>
      <c r="AC352" s="65"/>
      <c r="AE352" s="65"/>
      <c r="AG352" s="65"/>
      <c r="AI352" s="65"/>
      <c r="AK352" s="65"/>
    </row>
    <row r="353" spans="1:37" x14ac:dyDescent="0.25">
      <c r="A353" s="2">
        <v>40389</v>
      </c>
      <c r="B353" s="3">
        <v>2742.14</v>
      </c>
      <c r="C353" s="2">
        <v>40394</v>
      </c>
      <c r="D353" s="3">
        <v>21466.44</v>
      </c>
      <c r="E353" s="2"/>
      <c r="F353" s="3"/>
      <c r="G353" s="2"/>
      <c r="H353" s="3"/>
      <c r="I353" s="65"/>
      <c r="K353" s="65"/>
      <c r="M353" s="65"/>
      <c r="O353" s="65"/>
      <c r="Q353" s="65"/>
      <c r="S353" s="65"/>
      <c r="U353" s="65"/>
      <c r="W353" s="65"/>
      <c r="Y353" s="65"/>
      <c r="AA353" s="65"/>
      <c r="AC353" s="65"/>
      <c r="AE353" s="65"/>
      <c r="AG353" s="65"/>
      <c r="AI353" s="65"/>
      <c r="AK353" s="65"/>
    </row>
    <row r="354" spans="1:37" x14ac:dyDescent="0.25">
      <c r="A354" s="2">
        <v>40392</v>
      </c>
      <c r="B354" s="3">
        <v>2822.17</v>
      </c>
      <c r="C354" s="2">
        <v>40395</v>
      </c>
      <c r="D354" s="3">
        <v>21302.97</v>
      </c>
      <c r="E354" s="2"/>
      <c r="F354" s="3"/>
      <c r="G354" s="2"/>
      <c r="H354" s="3"/>
      <c r="I354" s="65"/>
      <c r="K354" s="65"/>
      <c r="M354" s="65"/>
      <c r="O354" s="65"/>
      <c r="Q354" s="65"/>
      <c r="S354" s="65"/>
      <c r="U354" s="65"/>
      <c r="W354" s="65"/>
      <c r="Y354" s="65"/>
      <c r="AA354" s="65"/>
      <c r="AC354" s="65"/>
      <c r="AE354" s="65"/>
      <c r="AG354" s="65"/>
      <c r="AI354" s="65"/>
      <c r="AK354" s="65"/>
    </row>
    <row r="355" spans="1:37" x14ac:dyDescent="0.25">
      <c r="A355" s="2">
        <v>40393</v>
      </c>
      <c r="B355" s="3">
        <v>2818.97</v>
      </c>
      <c r="C355" s="2">
        <v>40396</v>
      </c>
      <c r="D355" s="3">
        <v>21084.47</v>
      </c>
      <c r="E355" s="2"/>
      <c r="F355" s="3"/>
      <c r="G355" s="2"/>
      <c r="H355" s="3"/>
      <c r="I355" s="65"/>
      <c r="K355" s="65"/>
      <c r="M355" s="65"/>
      <c r="O355" s="65"/>
      <c r="Q355" s="65"/>
      <c r="S355" s="65"/>
      <c r="U355" s="65"/>
      <c r="W355" s="65"/>
      <c r="Y355" s="65"/>
      <c r="AA355" s="65"/>
      <c r="AC355" s="65"/>
      <c r="AE355" s="65"/>
      <c r="AG355" s="65"/>
      <c r="AI355" s="65"/>
      <c r="AK355" s="65"/>
    </row>
    <row r="356" spans="1:37" x14ac:dyDescent="0.25">
      <c r="A356" s="2">
        <v>40394</v>
      </c>
      <c r="B356" s="3">
        <v>2825.08</v>
      </c>
      <c r="C356" s="2">
        <v>40399</v>
      </c>
      <c r="D356" s="3">
        <v>21341.62</v>
      </c>
      <c r="E356" s="2"/>
      <c r="F356" s="3"/>
      <c r="G356" s="2"/>
      <c r="H356" s="3"/>
      <c r="I356" s="65"/>
      <c r="K356" s="65"/>
      <c r="M356" s="65"/>
      <c r="O356" s="65"/>
      <c r="Q356" s="65"/>
      <c r="S356" s="65"/>
      <c r="U356" s="65"/>
      <c r="W356" s="65"/>
      <c r="Y356" s="65"/>
      <c r="AA356" s="65"/>
      <c r="AC356" s="65"/>
      <c r="AE356" s="65"/>
      <c r="AG356" s="65"/>
      <c r="AI356" s="65"/>
      <c r="AK356" s="65"/>
    </row>
    <row r="357" spans="1:37" x14ac:dyDescent="0.25">
      <c r="A357" s="2">
        <v>40395</v>
      </c>
      <c r="B357" s="3">
        <v>2819.34</v>
      </c>
      <c r="C357" s="2">
        <v>40400</v>
      </c>
      <c r="D357" s="3">
        <v>21259.89</v>
      </c>
      <c r="E357" s="2"/>
      <c r="F357" s="3"/>
      <c r="G357" s="2"/>
      <c r="H357" s="3"/>
      <c r="I357" s="65"/>
      <c r="K357" s="65"/>
      <c r="M357" s="65"/>
      <c r="O357" s="65"/>
      <c r="Q357" s="65"/>
      <c r="S357" s="65"/>
      <c r="U357" s="65"/>
      <c r="W357" s="65"/>
      <c r="Y357" s="65"/>
      <c r="AA357" s="65"/>
      <c r="AC357" s="65"/>
      <c r="AE357" s="65"/>
      <c r="AG357" s="65"/>
      <c r="AI357" s="65"/>
      <c r="AK357" s="65"/>
    </row>
    <row r="358" spans="1:37" x14ac:dyDescent="0.25">
      <c r="A358" s="2">
        <v>40396</v>
      </c>
      <c r="B358" s="3">
        <v>2779.34</v>
      </c>
      <c r="C358" s="2">
        <v>40401</v>
      </c>
      <c r="D358" s="3">
        <v>20579.240000000002</v>
      </c>
      <c r="E358" s="2"/>
      <c r="F358" s="3"/>
      <c r="G358" s="2"/>
      <c r="H358" s="3"/>
      <c r="I358" s="65"/>
      <c r="K358" s="65"/>
      <c r="M358" s="65"/>
      <c r="O358" s="65"/>
      <c r="Q358" s="65"/>
      <c r="S358" s="65"/>
      <c r="U358" s="65"/>
      <c r="W358" s="65"/>
      <c r="Y358" s="65"/>
      <c r="AA358" s="65"/>
      <c r="AC358" s="65"/>
      <c r="AE358" s="65"/>
      <c r="AG358" s="65"/>
      <c r="AI358" s="65"/>
      <c r="AK358" s="65"/>
    </row>
    <row r="359" spans="1:37" x14ac:dyDescent="0.25">
      <c r="A359" s="2">
        <v>40399</v>
      </c>
      <c r="B359" s="3">
        <v>2827.27</v>
      </c>
      <c r="C359" s="2">
        <v>40402</v>
      </c>
      <c r="D359" s="3">
        <v>20539.400000000001</v>
      </c>
      <c r="E359" s="2"/>
      <c r="F359" s="3"/>
      <c r="G359" s="2"/>
      <c r="H359" s="3"/>
      <c r="I359" s="65"/>
      <c r="K359" s="65"/>
      <c r="M359" s="65"/>
      <c r="O359" s="65"/>
      <c r="Q359" s="65"/>
      <c r="S359" s="65"/>
      <c r="U359" s="65"/>
      <c r="W359" s="65"/>
      <c r="Y359" s="65"/>
      <c r="AA359" s="65"/>
      <c r="AC359" s="65"/>
      <c r="AE359" s="65"/>
      <c r="AG359" s="65"/>
      <c r="AI359" s="65"/>
      <c r="AK359" s="65"/>
    </row>
    <row r="360" spans="1:37" x14ac:dyDescent="0.25">
      <c r="A360" s="2">
        <v>40400</v>
      </c>
      <c r="B360" s="3">
        <v>2800.02</v>
      </c>
      <c r="C360" s="2">
        <v>40403</v>
      </c>
      <c r="D360" s="3">
        <v>20473.150000000001</v>
      </c>
      <c r="E360" s="2"/>
      <c r="F360" s="3"/>
      <c r="G360" s="2"/>
      <c r="H360" s="3"/>
      <c r="I360" s="65"/>
      <c r="K360" s="65"/>
      <c r="M360" s="65"/>
      <c r="O360" s="65"/>
      <c r="Q360" s="65"/>
      <c r="S360" s="65"/>
      <c r="U360" s="65"/>
      <c r="W360" s="65"/>
      <c r="Y360" s="65"/>
      <c r="AA360" s="65"/>
      <c r="AC360" s="65"/>
      <c r="AE360" s="65"/>
      <c r="AG360" s="65"/>
      <c r="AI360" s="65"/>
      <c r="AK360" s="65"/>
    </row>
    <row r="361" spans="1:37" x14ac:dyDescent="0.25">
      <c r="A361" s="2">
        <v>40401</v>
      </c>
      <c r="B361" s="3">
        <v>2724.16</v>
      </c>
      <c r="C361" s="2">
        <v>40406</v>
      </c>
      <c r="D361" s="3">
        <v>20409.060000000001</v>
      </c>
      <c r="E361" s="2"/>
      <c r="F361" s="3"/>
      <c r="G361" s="2"/>
      <c r="H361" s="3"/>
      <c r="I361" s="65"/>
      <c r="K361" s="65"/>
      <c r="M361" s="65"/>
      <c r="O361" s="65"/>
      <c r="Q361" s="65"/>
      <c r="S361" s="65"/>
      <c r="U361" s="65"/>
      <c r="W361" s="65"/>
      <c r="Y361" s="65"/>
      <c r="AA361" s="65"/>
      <c r="AC361" s="65"/>
      <c r="AE361" s="65"/>
      <c r="AG361" s="65"/>
      <c r="AI361" s="65"/>
      <c r="AK361" s="65"/>
    </row>
    <row r="362" spans="1:37" x14ac:dyDescent="0.25">
      <c r="A362" s="2">
        <v>40402</v>
      </c>
      <c r="B362" s="3">
        <v>2720.85</v>
      </c>
      <c r="C362" s="2">
        <v>40407</v>
      </c>
      <c r="D362" s="3">
        <v>20668.57</v>
      </c>
      <c r="E362" s="2"/>
      <c r="F362" s="3"/>
      <c r="G362" s="2"/>
      <c r="H362" s="3"/>
      <c r="I362" s="65"/>
      <c r="K362" s="65"/>
      <c r="M362" s="65"/>
      <c r="O362" s="65"/>
      <c r="Q362" s="65"/>
      <c r="S362" s="65"/>
      <c r="U362" s="65"/>
      <c r="W362" s="65"/>
      <c r="Y362" s="65"/>
      <c r="AA362" s="65"/>
      <c r="AC362" s="65"/>
      <c r="AE362" s="65"/>
      <c r="AG362" s="65"/>
      <c r="AI362" s="65"/>
      <c r="AK362" s="65"/>
    </row>
    <row r="363" spans="1:37" x14ac:dyDescent="0.25">
      <c r="A363" s="2">
        <v>40403</v>
      </c>
      <c r="B363" s="3">
        <v>2708.73</v>
      </c>
      <c r="C363" s="2">
        <v>40408</v>
      </c>
      <c r="D363" s="3">
        <v>20536.77</v>
      </c>
      <c r="E363" s="2"/>
      <c r="F363" s="3"/>
      <c r="G363" s="2"/>
      <c r="H363" s="3"/>
      <c r="I363" s="65"/>
      <c r="K363" s="65"/>
      <c r="M363" s="65"/>
      <c r="O363" s="65"/>
      <c r="Q363" s="65"/>
      <c r="S363" s="65"/>
      <c r="U363" s="65"/>
      <c r="W363" s="65"/>
      <c r="Y363" s="65"/>
      <c r="AA363" s="65"/>
      <c r="AC363" s="65"/>
      <c r="AE363" s="65"/>
      <c r="AG363" s="65"/>
      <c r="AI363" s="65"/>
      <c r="AK363" s="65"/>
    </row>
    <row r="364" spans="1:37" x14ac:dyDescent="0.25">
      <c r="A364" s="2">
        <v>40406</v>
      </c>
      <c r="B364" s="3">
        <v>2698.29</v>
      </c>
      <c r="C364" s="2">
        <v>40409</v>
      </c>
      <c r="D364" s="3">
        <v>20115.689999999999</v>
      </c>
      <c r="E364" s="2"/>
      <c r="F364" s="3"/>
      <c r="G364" s="2"/>
      <c r="H364" s="3"/>
      <c r="I364" s="65"/>
      <c r="K364" s="65"/>
      <c r="M364" s="65"/>
      <c r="O364" s="65"/>
      <c r="Q364" s="65"/>
      <c r="S364" s="65"/>
      <c r="U364" s="65"/>
      <c r="W364" s="65"/>
      <c r="Y364" s="65"/>
      <c r="AA364" s="65"/>
      <c r="AC364" s="65"/>
      <c r="AE364" s="65"/>
      <c r="AG364" s="65"/>
      <c r="AI364" s="65"/>
      <c r="AK364" s="65"/>
    </row>
    <row r="365" spans="1:37" x14ac:dyDescent="0.25">
      <c r="A365" s="2">
        <v>40407</v>
      </c>
      <c r="B365" s="3">
        <v>2737.69</v>
      </c>
      <c r="C365" s="2">
        <v>40410</v>
      </c>
      <c r="D365" s="3">
        <v>19870.46</v>
      </c>
      <c r="E365" s="2"/>
      <c r="F365" s="3"/>
      <c r="G365" s="2"/>
      <c r="H365" s="3"/>
      <c r="I365" s="65"/>
      <c r="K365" s="65"/>
      <c r="M365" s="65"/>
      <c r="O365" s="65"/>
      <c r="Q365" s="65"/>
      <c r="S365" s="65"/>
      <c r="U365" s="65"/>
      <c r="W365" s="65"/>
      <c r="Y365" s="65"/>
      <c r="AA365" s="65"/>
      <c r="AC365" s="65"/>
      <c r="AE365" s="65"/>
      <c r="AG365" s="65"/>
      <c r="AI365" s="65"/>
      <c r="AK365" s="65"/>
    </row>
    <row r="366" spans="1:37" x14ac:dyDescent="0.25">
      <c r="A366" s="2">
        <v>40408</v>
      </c>
      <c r="B366" s="3">
        <v>2728.66</v>
      </c>
      <c r="C366" s="2">
        <v>40413</v>
      </c>
      <c r="D366" s="3">
        <v>20010.34</v>
      </c>
      <c r="E366" s="2"/>
      <c r="F366" s="3"/>
      <c r="G366" s="2"/>
      <c r="H366" s="3"/>
      <c r="I366" s="65"/>
      <c r="K366" s="65"/>
      <c r="M366" s="65"/>
      <c r="O366" s="65"/>
      <c r="Q366" s="65"/>
      <c r="S366" s="65"/>
      <c r="U366" s="65"/>
      <c r="W366" s="65"/>
      <c r="Y366" s="65"/>
      <c r="AA366" s="65"/>
      <c r="AC366" s="65"/>
      <c r="AE366" s="65"/>
      <c r="AG366" s="65"/>
      <c r="AI366" s="65"/>
      <c r="AK366" s="65"/>
    </row>
    <row r="367" spans="1:37" x14ac:dyDescent="0.25">
      <c r="A367" s="2">
        <v>40409</v>
      </c>
      <c r="B367" s="3">
        <v>2675.02</v>
      </c>
      <c r="C367" s="2">
        <v>40414</v>
      </c>
      <c r="D367" s="3">
        <v>19694.88</v>
      </c>
      <c r="E367" s="2"/>
      <c r="F367" s="3"/>
      <c r="G367" s="2"/>
      <c r="H367" s="3"/>
      <c r="I367" s="65"/>
      <c r="K367" s="65"/>
      <c r="M367" s="65"/>
      <c r="O367" s="65"/>
      <c r="Q367" s="65"/>
      <c r="S367" s="65"/>
      <c r="U367" s="65"/>
      <c r="W367" s="65"/>
      <c r="Y367" s="65"/>
      <c r="AA367" s="65"/>
      <c r="AC367" s="65"/>
      <c r="AE367" s="65"/>
      <c r="AG367" s="65"/>
      <c r="AI367" s="65"/>
      <c r="AK367" s="65"/>
    </row>
    <row r="368" spans="1:37" x14ac:dyDescent="0.25">
      <c r="A368" s="2">
        <v>40410</v>
      </c>
      <c r="B368" s="3">
        <v>2643.98</v>
      </c>
      <c r="C368" s="2">
        <v>40415</v>
      </c>
      <c r="D368" s="3">
        <v>19465.45</v>
      </c>
      <c r="E368" s="2"/>
      <c r="F368" s="3"/>
      <c r="G368" s="2"/>
      <c r="H368" s="3"/>
      <c r="I368" s="65"/>
      <c r="K368" s="65"/>
      <c r="M368" s="65"/>
      <c r="O368" s="65"/>
      <c r="Q368" s="65"/>
      <c r="S368" s="65"/>
      <c r="U368" s="65"/>
      <c r="W368" s="65"/>
      <c r="Y368" s="65"/>
      <c r="AA368" s="65"/>
      <c r="AC368" s="65"/>
      <c r="AE368" s="65"/>
      <c r="AG368" s="65"/>
      <c r="AI368" s="65"/>
      <c r="AK368" s="65"/>
    </row>
    <row r="369" spans="1:37" x14ac:dyDescent="0.25">
      <c r="A369" s="2">
        <v>40413</v>
      </c>
      <c r="B369" s="3">
        <v>2660.84</v>
      </c>
      <c r="C369" s="2">
        <v>40416</v>
      </c>
      <c r="D369" s="3">
        <v>19735.47</v>
      </c>
      <c r="E369" s="2"/>
      <c r="F369" s="3"/>
      <c r="G369" s="2"/>
      <c r="H369" s="3"/>
      <c r="I369" s="65"/>
      <c r="K369" s="65"/>
      <c r="M369" s="65"/>
      <c r="O369" s="65"/>
      <c r="Q369" s="65"/>
      <c r="S369" s="65"/>
      <c r="U369" s="65"/>
      <c r="W369" s="65"/>
      <c r="Y369" s="65"/>
      <c r="AA369" s="65"/>
      <c r="AC369" s="65"/>
      <c r="AE369" s="65"/>
      <c r="AG369" s="65"/>
      <c r="AI369" s="65"/>
      <c r="AK369" s="65"/>
    </row>
    <row r="370" spans="1:37" x14ac:dyDescent="0.25">
      <c r="A370" s="2">
        <v>40414</v>
      </c>
      <c r="B370" s="3">
        <v>2614.54</v>
      </c>
      <c r="C370" s="2">
        <v>40417</v>
      </c>
      <c r="D370" s="3">
        <v>19817.46</v>
      </c>
      <c r="E370" s="2"/>
      <c r="F370" s="3"/>
      <c r="G370" s="2"/>
      <c r="H370" s="3"/>
      <c r="I370" s="65"/>
      <c r="K370" s="65"/>
      <c r="M370" s="65"/>
      <c r="O370" s="65"/>
      <c r="Q370" s="65"/>
      <c r="S370" s="65"/>
      <c r="U370" s="65"/>
      <c r="W370" s="65"/>
      <c r="Y370" s="65"/>
      <c r="AA370" s="65"/>
      <c r="AC370" s="65"/>
      <c r="AE370" s="65"/>
      <c r="AG370" s="65"/>
      <c r="AI370" s="65"/>
      <c r="AK370" s="65"/>
    </row>
    <row r="371" spans="1:37" x14ac:dyDescent="0.25">
      <c r="A371" s="2">
        <v>40415</v>
      </c>
      <c r="B371" s="3">
        <v>2587.4</v>
      </c>
      <c r="C371" s="2">
        <v>40420</v>
      </c>
      <c r="D371" s="3">
        <v>19699.66</v>
      </c>
      <c r="E371" s="2"/>
      <c r="F371" s="3"/>
      <c r="G371" s="2"/>
      <c r="H371" s="3"/>
      <c r="I371" s="65"/>
      <c r="K371" s="65"/>
      <c r="M371" s="65"/>
      <c r="O371" s="65"/>
      <c r="Q371" s="65"/>
      <c r="S371" s="65"/>
      <c r="U371" s="65"/>
      <c r="W371" s="65"/>
      <c r="Y371" s="65"/>
      <c r="AA371" s="65"/>
      <c r="AC371" s="65"/>
      <c r="AE371" s="65"/>
      <c r="AG371" s="65"/>
      <c r="AI371" s="65"/>
      <c r="AK371" s="65"/>
    </row>
    <row r="372" spans="1:37" x14ac:dyDescent="0.25">
      <c r="A372" s="2">
        <v>40416</v>
      </c>
      <c r="B372" s="3">
        <v>2606.89</v>
      </c>
      <c r="C372" s="2">
        <v>40421</v>
      </c>
      <c r="D372" s="3">
        <v>19734.57</v>
      </c>
      <c r="E372" s="2"/>
      <c r="F372" s="3"/>
      <c r="G372" s="2"/>
      <c r="H372" s="3"/>
      <c r="I372" s="65"/>
      <c r="K372" s="65"/>
      <c r="M372" s="65"/>
      <c r="O372" s="65"/>
      <c r="Q372" s="65"/>
      <c r="S372" s="65"/>
      <c r="U372" s="65"/>
      <c r="W372" s="65"/>
      <c r="Y372" s="65"/>
      <c r="AA372" s="65"/>
      <c r="AC372" s="65"/>
      <c r="AE372" s="65"/>
      <c r="AG372" s="65"/>
      <c r="AI372" s="65"/>
      <c r="AK372" s="65"/>
    </row>
    <row r="373" spans="1:37" x14ac:dyDescent="0.25">
      <c r="A373" s="2">
        <v>40417</v>
      </c>
      <c r="B373" s="3">
        <v>2630.35</v>
      </c>
      <c r="C373" s="2">
        <v>40422</v>
      </c>
      <c r="D373" s="3">
        <v>20369.96</v>
      </c>
      <c r="E373" s="2"/>
      <c r="F373" s="3"/>
      <c r="G373" s="2"/>
      <c r="H373" s="3"/>
      <c r="I373" s="65"/>
      <c r="K373" s="65"/>
      <c r="M373" s="65"/>
      <c r="O373" s="65"/>
      <c r="Q373" s="65"/>
      <c r="S373" s="65"/>
      <c r="U373" s="65"/>
      <c r="W373" s="65"/>
      <c r="Y373" s="65"/>
      <c r="AA373" s="65"/>
      <c r="AC373" s="65"/>
      <c r="AE373" s="65"/>
      <c r="AG373" s="65"/>
      <c r="AI373" s="65"/>
      <c r="AK373" s="65"/>
    </row>
    <row r="374" spans="1:37" x14ac:dyDescent="0.25">
      <c r="A374" s="2">
        <v>40420</v>
      </c>
      <c r="B374" s="3">
        <v>2616.5700000000002</v>
      </c>
      <c r="C374" s="2">
        <v>40423</v>
      </c>
      <c r="D374" s="3">
        <v>20412.28</v>
      </c>
      <c r="E374" s="2"/>
      <c r="F374" s="3"/>
      <c r="G374" s="2"/>
      <c r="H374" s="3"/>
      <c r="I374" s="65"/>
      <c r="K374" s="65"/>
      <c r="M374" s="65"/>
      <c r="O374" s="65"/>
      <c r="Q374" s="65"/>
      <c r="S374" s="65"/>
      <c r="U374" s="65"/>
      <c r="W374" s="65"/>
      <c r="Y374" s="65"/>
      <c r="AA374" s="65"/>
      <c r="AC374" s="65"/>
      <c r="AE374" s="65"/>
      <c r="AG374" s="65"/>
      <c r="AI374" s="65"/>
      <c r="AK374" s="65"/>
    </row>
    <row r="375" spans="1:37" x14ac:dyDescent="0.25">
      <c r="A375" s="2">
        <v>40421</v>
      </c>
      <c r="B375" s="3">
        <v>2622.95</v>
      </c>
      <c r="C375" s="2">
        <v>40424</v>
      </c>
      <c r="D375" s="3">
        <v>20639.86</v>
      </c>
      <c r="E375" s="2"/>
      <c r="F375" s="3"/>
      <c r="G375" s="2"/>
      <c r="H375" s="3"/>
      <c r="I375" s="65"/>
      <c r="K375" s="65"/>
      <c r="M375" s="65"/>
      <c r="O375" s="65"/>
      <c r="Q375" s="65"/>
      <c r="S375" s="65"/>
      <c r="U375" s="65"/>
      <c r="W375" s="65"/>
      <c r="Y375" s="65"/>
      <c r="AA375" s="65"/>
      <c r="AC375" s="65"/>
      <c r="AE375" s="65"/>
      <c r="AG375" s="65"/>
      <c r="AI375" s="65"/>
      <c r="AK375" s="65"/>
    </row>
    <row r="376" spans="1:37" x14ac:dyDescent="0.25">
      <c r="A376" s="2">
        <v>40422</v>
      </c>
      <c r="B376" s="3">
        <v>2715.27</v>
      </c>
      <c r="C376" s="2">
        <v>40427</v>
      </c>
      <c r="D376" s="3">
        <v>20660.91</v>
      </c>
      <c r="E376" s="2"/>
      <c r="F376" s="3"/>
      <c r="G376" s="2"/>
      <c r="H376" s="3"/>
      <c r="I376" s="65"/>
      <c r="K376" s="65"/>
      <c r="M376" s="65"/>
      <c r="O376" s="65"/>
      <c r="Q376" s="65"/>
      <c r="S376" s="65"/>
      <c r="U376" s="65"/>
      <c r="W376" s="65"/>
      <c r="Y376" s="65"/>
      <c r="AA376" s="65"/>
      <c r="AC376" s="65"/>
      <c r="AE376" s="65"/>
      <c r="AG376" s="65"/>
      <c r="AI376" s="65"/>
      <c r="AK376" s="65"/>
    </row>
    <row r="377" spans="1:37" x14ac:dyDescent="0.25">
      <c r="A377" s="2">
        <v>40423</v>
      </c>
      <c r="B377" s="3">
        <v>2715.19</v>
      </c>
      <c r="C377" s="2">
        <v>40428</v>
      </c>
      <c r="D377" s="3">
        <v>20395.45</v>
      </c>
      <c r="E377" s="2"/>
      <c r="F377" s="3"/>
      <c r="G377" s="2"/>
      <c r="H377" s="3"/>
      <c r="I377" s="65"/>
      <c r="K377" s="65"/>
      <c r="M377" s="65"/>
      <c r="O377" s="65"/>
      <c r="Q377" s="65"/>
      <c r="S377" s="65"/>
      <c r="U377" s="65"/>
      <c r="W377" s="65"/>
      <c r="Y377" s="65"/>
      <c r="AA377" s="65"/>
      <c r="AC377" s="65"/>
      <c r="AE377" s="65"/>
      <c r="AG377" s="65"/>
      <c r="AI377" s="65"/>
      <c r="AK377" s="65"/>
    </row>
    <row r="378" spans="1:37" x14ac:dyDescent="0.25">
      <c r="A378" s="2">
        <v>40424</v>
      </c>
      <c r="B378" s="3">
        <v>2746.23</v>
      </c>
      <c r="C378" s="2">
        <v>40429</v>
      </c>
      <c r="D378" s="3">
        <v>20580.259999999998</v>
      </c>
      <c r="E378" s="2"/>
      <c r="F378" s="3"/>
      <c r="G378" s="2"/>
      <c r="H378" s="3"/>
      <c r="I378" s="65"/>
      <c r="K378" s="65"/>
      <c r="M378" s="65"/>
      <c r="O378" s="65"/>
      <c r="Q378" s="65"/>
      <c r="S378" s="65"/>
      <c r="U378" s="65"/>
      <c r="W378" s="65"/>
      <c r="Y378" s="65"/>
      <c r="AA378" s="65"/>
      <c r="AC378" s="65"/>
      <c r="AE378" s="65"/>
      <c r="AG378" s="65"/>
      <c r="AI378" s="65"/>
      <c r="AK378" s="65"/>
    </row>
    <row r="379" spans="1:37" x14ac:dyDescent="0.25">
      <c r="A379" s="2">
        <v>40427</v>
      </c>
      <c r="B379" s="3">
        <v>2753.6</v>
      </c>
      <c r="C379" s="2">
        <v>40430</v>
      </c>
      <c r="D379" s="3">
        <v>20858.47</v>
      </c>
      <c r="E379" s="2"/>
      <c r="F379" s="3"/>
      <c r="G379" s="2"/>
      <c r="H379" s="3"/>
      <c r="I379" s="65"/>
      <c r="K379" s="65"/>
      <c r="M379" s="65"/>
      <c r="O379" s="65"/>
      <c r="Q379" s="65"/>
      <c r="S379" s="65"/>
      <c r="U379" s="65"/>
      <c r="W379" s="65"/>
      <c r="Y379" s="65"/>
      <c r="AA379" s="65"/>
      <c r="AC379" s="65"/>
      <c r="AE379" s="65"/>
      <c r="AG379" s="65"/>
      <c r="AI379" s="65"/>
      <c r="AK379" s="65"/>
    </row>
    <row r="380" spans="1:37" x14ac:dyDescent="0.25">
      <c r="A380" s="2">
        <v>40428</v>
      </c>
      <c r="B380" s="3">
        <v>2727.16</v>
      </c>
      <c r="C380" s="2">
        <v>40431</v>
      </c>
      <c r="D380" s="3">
        <v>20833.189999999999</v>
      </c>
      <c r="E380" s="2"/>
      <c r="F380" s="3"/>
      <c r="G380" s="2"/>
      <c r="H380" s="3"/>
      <c r="I380" s="65"/>
      <c r="K380" s="65"/>
      <c r="M380" s="65"/>
      <c r="O380" s="65"/>
      <c r="Q380" s="65"/>
      <c r="S380" s="65"/>
      <c r="U380" s="65"/>
      <c r="W380" s="65"/>
      <c r="Y380" s="65"/>
      <c r="AA380" s="65"/>
      <c r="AC380" s="65"/>
      <c r="AE380" s="65"/>
      <c r="AG380" s="65"/>
      <c r="AI380" s="65"/>
      <c r="AK380" s="65"/>
    </row>
    <row r="381" spans="1:37" x14ac:dyDescent="0.25">
      <c r="A381" s="2">
        <v>40429</v>
      </c>
      <c r="B381" s="3">
        <v>2752.89</v>
      </c>
      <c r="C381" s="2">
        <v>40434</v>
      </c>
      <c r="D381" s="3">
        <v>21001.62</v>
      </c>
      <c r="E381" s="2"/>
      <c r="F381" s="3"/>
      <c r="G381" s="2"/>
      <c r="H381" s="3"/>
      <c r="I381" s="65"/>
      <c r="K381" s="65"/>
      <c r="M381" s="65"/>
      <c r="O381" s="65"/>
      <c r="Q381" s="65"/>
      <c r="S381" s="65"/>
      <c r="U381" s="65"/>
      <c r="W381" s="65"/>
      <c r="Y381" s="65"/>
      <c r="AA381" s="65"/>
      <c r="AC381" s="65"/>
      <c r="AE381" s="65"/>
      <c r="AG381" s="65"/>
      <c r="AI381" s="65"/>
      <c r="AK381" s="65"/>
    </row>
    <row r="382" spans="1:37" x14ac:dyDescent="0.25">
      <c r="A382" s="2">
        <v>40430</v>
      </c>
      <c r="B382" s="3">
        <v>2782.43</v>
      </c>
      <c r="C382" s="2">
        <v>40435</v>
      </c>
      <c r="D382" s="3">
        <v>21003.94</v>
      </c>
      <c r="E382" s="2"/>
      <c r="F382" s="3"/>
      <c r="G382" s="2"/>
      <c r="H382" s="3"/>
      <c r="I382" s="65"/>
      <c r="K382" s="65"/>
      <c r="M382" s="65"/>
      <c r="O382" s="65"/>
      <c r="Q382" s="65"/>
      <c r="S382" s="65"/>
      <c r="U382" s="65"/>
      <c r="W382" s="65"/>
      <c r="Y382" s="65"/>
      <c r="AA382" s="65"/>
      <c r="AC382" s="65"/>
      <c r="AE382" s="65"/>
      <c r="AG382" s="65"/>
      <c r="AI382" s="65"/>
      <c r="AK382" s="65"/>
    </row>
    <row r="383" spans="1:37" x14ac:dyDescent="0.25">
      <c r="A383" s="2">
        <v>40431</v>
      </c>
      <c r="B383" s="3">
        <v>2780.4</v>
      </c>
      <c r="C383" s="2">
        <v>40436</v>
      </c>
      <c r="D383" s="3">
        <v>20872.79</v>
      </c>
      <c r="E383" s="2"/>
      <c r="F383" s="3"/>
      <c r="G383" s="2"/>
      <c r="H383" s="3"/>
      <c r="I383" s="65"/>
      <c r="K383" s="65"/>
      <c r="M383" s="65"/>
      <c r="O383" s="65"/>
      <c r="Q383" s="65"/>
      <c r="S383" s="65"/>
      <c r="U383" s="65"/>
      <c r="W383" s="65"/>
      <c r="Y383" s="65"/>
      <c r="AA383" s="65"/>
      <c r="AC383" s="65"/>
      <c r="AE383" s="65"/>
      <c r="AG383" s="65"/>
      <c r="AI383" s="65"/>
      <c r="AK383" s="65"/>
    </row>
    <row r="384" spans="1:37" x14ac:dyDescent="0.25">
      <c r="A384" s="2">
        <v>40434</v>
      </c>
      <c r="B384" s="3">
        <v>2805.06</v>
      </c>
      <c r="C384" s="2">
        <v>40437</v>
      </c>
      <c r="D384" s="3">
        <v>20684.36</v>
      </c>
      <c r="E384" s="2"/>
      <c r="F384" s="3"/>
      <c r="G384" s="2"/>
      <c r="H384" s="3"/>
      <c r="I384" s="65"/>
      <c r="K384" s="65"/>
      <c r="M384" s="65"/>
      <c r="O384" s="65"/>
      <c r="Q384" s="65"/>
      <c r="S384" s="65"/>
      <c r="U384" s="65"/>
      <c r="W384" s="65"/>
      <c r="Y384" s="65"/>
      <c r="AA384" s="65"/>
      <c r="AC384" s="65"/>
      <c r="AE384" s="65"/>
      <c r="AG384" s="65"/>
      <c r="AI384" s="65"/>
      <c r="AK384" s="65"/>
    </row>
    <row r="385" spans="1:37" x14ac:dyDescent="0.25">
      <c r="A385" s="2">
        <v>40435</v>
      </c>
      <c r="B385" s="3">
        <v>2806.47</v>
      </c>
      <c r="C385" s="2">
        <v>40438</v>
      </c>
      <c r="D385" s="3">
        <v>20517.96</v>
      </c>
      <c r="E385" s="2"/>
      <c r="F385" s="3"/>
      <c r="G385" s="2"/>
      <c r="H385" s="3"/>
      <c r="I385" s="65"/>
      <c r="K385" s="65"/>
      <c r="M385" s="65"/>
      <c r="O385" s="65"/>
      <c r="Q385" s="65"/>
      <c r="S385" s="65"/>
      <c r="U385" s="65"/>
      <c r="W385" s="65"/>
      <c r="Y385" s="65"/>
      <c r="AA385" s="65"/>
      <c r="AC385" s="65"/>
      <c r="AE385" s="65"/>
      <c r="AG385" s="65"/>
      <c r="AI385" s="65"/>
      <c r="AK385" s="65"/>
    </row>
    <row r="386" spans="1:37" x14ac:dyDescent="0.25">
      <c r="A386" s="2">
        <v>40436</v>
      </c>
      <c r="B386" s="3">
        <v>2794.36</v>
      </c>
      <c r="C386" s="2">
        <v>40441</v>
      </c>
      <c r="D386" s="3">
        <v>20753.54</v>
      </c>
      <c r="E386" s="2"/>
      <c r="F386" s="3"/>
      <c r="G386" s="2"/>
      <c r="H386" s="3"/>
      <c r="I386" s="65"/>
      <c r="K386" s="65"/>
      <c r="M386" s="65"/>
      <c r="O386" s="65"/>
      <c r="Q386" s="65"/>
      <c r="S386" s="65"/>
      <c r="U386" s="65"/>
      <c r="W386" s="65"/>
      <c r="Y386" s="65"/>
      <c r="AA386" s="65"/>
      <c r="AC386" s="65"/>
      <c r="AE386" s="65"/>
      <c r="AG386" s="65"/>
      <c r="AI386" s="65"/>
      <c r="AK386" s="65"/>
    </row>
    <row r="387" spans="1:37" x14ac:dyDescent="0.25">
      <c r="A387" s="2">
        <v>40437</v>
      </c>
      <c r="B387" s="3">
        <v>2784.61</v>
      </c>
      <c r="C387" s="2">
        <v>40442</v>
      </c>
      <c r="D387" s="3">
        <v>20740.73</v>
      </c>
      <c r="E387" s="2"/>
      <c r="F387" s="3"/>
      <c r="G387" s="2"/>
      <c r="H387" s="3"/>
      <c r="I387" s="65"/>
      <c r="K387" s="65"/>
      <c r="M387" s="65"/>
      <c r="O387" s="65"/>
      <c r="Q387" s="65"/>
      <c r="S387" s="65"/>
      <c r="U387" s="65"/>
      <c r="W387" s="65"/>
      <c r="Y387" s="65"/>
      <c r="AA387" s="65"/>
      <c r="AC387" s="65"/>
      <c r="AE387" s="65"/>
      <c r="AG387" s="65"/>
      <c r="AI387" s="65"/>
      <c r="AK387" s="65"/>
    </row>
    <row r="388" spans="1:37" x14ac:dyDescent="0.25">
      <c r="A388" s="2">
        <v>40438</v>
      </c>
      <c r="B388" s="3">
        <v>2757.37</v>
      </c>
      <c r="C388" s="2">
        <v>40443</v>
      </c>
      <c r="D388" s="3">
        <v>20365.3</v>
      </c>
      <c r="E388" s="2"/>
      <c r="F388" s="3"/>
      <c r="G388" s="2"/>
      <c r="H388" s="3"/>
      <c r="I388" s="65"/>
      <c r="K388" s="65"/>
      <c r="M388" s="65"/>
      <c r="O388" s="65"/>
      <c r="Q388" s="65"/>
      <c r="S388" s="65"/>
      <c r="U388" s="65"/>
      <c r="W388" s="65"/>
      <c r="Y388" s="65"/>
      <c r="AA388" s="65"/>
      <c r="AC388" s="65"/>
      <c r="AE388" s="65"/>
      <c r="AG388" s="65"/>
      <c r="AI388" s="65"/>
      <c r="AK388" s="65"/>
    </row>
    <row r="389" spans="1:37" x14ac:dyDescent="0.25">
      <c r="A389" s="2">
        <v>40441</v>
      </c>
      <c r="B389" s="3">
        <v>2802.67</v>
      </c>
      <c r="C389" s="2">
        <v>40444</v>
      </c>
      <c r="D389" s="3">
        <v>20262.8</v>
      </c>
      <c r="E389" s="2"/>
      <c r="F389" s="3"/>
      <c r="G389" s="2"/>
      <c r="H389" s="3"/>
      <c r="I389" s="65"/>
      <c r="K389" s="65"/>
      <c r="M389" s="65"/>
      <c r="O389" s="65"/>
      <c r="Q389" s="65"/>
      <c r="S389" s="65"/>
      <c r="U389" s="65"/>
      <c r="W389" s="65"/>
      <c r="Y389" s="65"/>
      <c r="AA389" s="65"/>
      <c r="AC389" s="65"/>
      <c r="AE389" s="65"/>
      <c r="AG389" s="65"/>
      <c r="AI389" s="65"/>
      <c r="AK389" s="65"/>
    </row>
    <row r="390" spans="1:37" x14ac:dyDescent="0.25">
      <c r="A390" s="2">
        <v>40442</v>
      </c>
      <c r="B390" s="3">
        <v>2794.55</v>
      </c>
      <c r="C390" s="2">
        <v>40445</v>
      </c>
      <c r="D390" s="3">
        <v>20607.72</v>
      </c>
      <c r="E390" s="2"/>
      <c r="F390" s="3"/>
      <c r="G390" s="2"/>
      <c r="H390" s="3"/>
      <c r="I390" s="65"/>
      <c r="K390" s="65"/>
      <c r="M390" s="65"/>
      <c r="O390" s="65"/>
      <c r="Q390" s="65"/>
      <c r="S390" s="65"/>
      <c r="U390" s="65"/>
      <c r="W390" s="65"/>
      <c r="Y390" s="65"/>
      <c r="AA390" s="65"/>
      <c r="AC390" s="65"/>
      <c r="AE390" s="65"/>
      <c r="AG390" s="65"/>
      <c r="AI390" s="65"/>
      <c r="AK390" s="65"/>
    </row>
    <row r="391" spans="1:37" x14ac:dyDescent="0.25">
      <c r="A391" s="2">
        <v>40443</v>
      </c>
      <c r="B391" s="3">
        <v>2752.77</v>
      </c>
      <c r="C391" s="2">
        <v>40448</v>
      </c>
      <c r="D391" s="3">
        <v>20593.939999999999</v>
      </c>
      <c r="E391" s="2"/>
      <c r="F391" s="3"/>
      <c r="G391" s="2"/>
      <c r="H391" s="3"/>
      <c r="I391" s="65"/>
      <c r="K391" s="65"/>
      <c r="M391" s="65"/>
      <c r="O391" s="65"/>
      <c r="Q391" s="65"/>
      <c r="S391" s="65"/>
      <c r="U391" s="65"/>
      <c r="W391" s="65"/>
      <c r="Y391" s="65"/>
      <c r="AA391" s="65"/>
      <c r="AC391" s="65"/>
      <c r="AE391" s="65"/>
      <c r="AG391" s="65"/>
      <c r="AI391" s="65"/>
      <c r="AK391" s="65"/>
    </row>
    <row r="392" spans="1:37" x14ac:dyDescent="0.25">
      <c r="A392" s="2">
        <v>40444</v>
      </c>
      <c r="B392" s="3">
        <v>2738.61</v>
      </c>
      <c r="C392" s="2">
        <v>40449</v>
      </c>
      <c r="D392" s="3">
        <v>20541.59</v>
      </c>
      <c r="E392" s="2"/>
      <c r="F392" s="3"/>
      <c r="G392" s="2"/>
      <c r="H392" s="3"/>
      <c r="I392" s="65"/>
      <c r="K392" s="65"/>
      <c r="M392" s="65"/>
      <c r="O392" s="65"/>
      <c r="Q392" s="65"/>
      <c r="S392" s="65"/>
      <c r="U392" s="65"/>
      <c r="W392" s="65"/>
      <c r="Y392" s="65"/>
      <c r="AA392" s="65"/>
      <c r="AC392" s="65"/>
      <c r="AE392" s="65"/>
      <c r="AG392" s="65"/>
      <c r="AI392" s="65"/>
      <c r="AK392" s="65"/>
    </row>
    <row r="393" spans="1:37" x14ac:dyDescent="0.25">
      <c r="A393" s="2">
        <v>40445</v>
      </c>
      <c r="B393" s="3">
        <v>2792.75</v>
      </c>
      <c r="C393" s="2">
        <v>40450</v>
      </c>
      <c r="D393" s="3">
        <v>20372.45</v>
      </c>
      <c r="E393" s="2"/>
      <c r="F393" s="3"/>
      <c r="G393" s="2"/>
      <c r="H393" s="3"/>
      <c r="I393" s="65"/>
      <c r="K393" s="65"/>
      <c r="M393" s="65"/>
      <c r="O393" s="65"/>
      <c r="Q393" s="65"/>
      <c r="S393" s="65"/>
      <c r="U393" s="65"/>
      <c r="W393" s="65"/>
      <c r="Y393" s="65"/>
      <c r="AA393" s="65"/>
      <c r="AC393" s="65"/>
      <c r="AE393" s="65"/>
      <c r="AG393" s="65"/>
      <c r="AI393" s="65"/>
      <c r="AK393" s="65"/>
    </row>
    <row r="394" spans="1:37" x14ac:dyDescent="0.25">
      <c r="A394" s="2">
        <v>40448</v>
      </c>
      <c r="B394" s="3">
        <v>2776.33</v>
      </c>
      <c r="C394" s="2">
        <v>40451</v>
      </c>
      <c r="D394" s="3">
        <v>20505.2</v>
      </c>
      <c r="E394" s="2"/>
      <c r="F394" s="3"/>
      <c r="G394" s="2"/>
      <c r="H394" s="3"/>
      <c r="I394" s="65"/>
      <c r="K394" s="65"/>
      <c r="M394" s="65"/>
      <c r="O394" s="65"/>
      <c r="Q394" s="65"/>
      <c r="S394" s="65"/>
      <c r="U394" s="65"/>
      <c r="W394" s="65"/>
      <c r="Y394" s="65"/>
      <c r="AA394" s="65"/>
      <c r="AC394" s="65"/>
      <c r="AE394" s="65"/>
      <c r="AG394" s="65"/>
      <c r="AI394" s="65"/>
      <c r="AK394" s="65"/>
    </row>
    <row r="395" spans="1:37" x14ac:dyDescent="0.25">
      <c r="A395" s="2">
        <v>40449</v>
      </c>
      <c r="B395" s="3">
        <v>2774.62</v>
      </c>
      <c r="C395" s="2">
        <v>40452</v>
      </c>
      <c r="D395" s="3">
        <v>20391.27</v>
      </c>
      <c r="E395" s="2"/>
      <c r="F395" s="3"/>
      <c r="G395" s="2"/>
      <c r="H395" s="3"/>
      <c r="I395" s="65"/>
      <c r="K395" s="65"/>
      <c r="M395" s="65"/>
      <c r="O395" s="65"/>
      <c r="Q395" s="65"/>
      <c r="S395" s="65"/>
      <c r="U395" s="65"/>
      <c r="W395" s="65"/>
      <c r="Y395" s="65"/>
      <c r="AA395" s="65"/>
      <c r="AC395" s="65"/>
      <c r="AE395" s="65"/>
      <c r="AG395" s="65"/>
      <c r="AI395" s="65"/>
      <c r="AK395" s="65"/>
    </row>
    <row r="396" spans="1:37" x14ac:dyDescent="0.25">
      <c r="A396" s="2">
        <v>40450</v>
      </c>
      <c r="B396" s="3">
        <v>2752.71</v>
      </c>
      <c r="C396" s="2">
        <v>40455</v>
      </c>
      <c r="D396" s="3">
        <v>20090.97</v>
      </c>
      <c r="E396" s="2"/>
      <c r="F396" s="3"/>
      <c r="G396" s="2"/>
      <c r="H396" s="3"/>
      <c r="I396" s="65"/>
      <c r="K396" s="65"/>
      <c r="M396" s="65"/>
      <c r="O396" s="65"/>
      <c r="Q396" s="65"/>
      <c r="S396" s="65"/>
      <c r="U396" s="65"/>
      <c r="W396" s="65"/>
      <c r="Y396" s="65"/>
      <c r="AA396" s="65"/>
      <c r="AC396" s="65"/>
      <c r="AE396" s="65"/>
      <c r="AG396" s="65"/>
      <c r="AI396" s="65"/>
      <c r="AK396" s="65"/>
    </row>
    <row r="397" spans="1:37" x14ac:dyDescent="0.25">
      <c r="A397" s="2">
        <v>40451</v>
      </c>
      <c r="B397" s="3">
        <v>2747.9</v>
      </c>
      <c r="C397" s="2">
        <v>40456</v>
      </c>
      <c r="D397" s="3">
        <v>20510.02</v>
      </c>
      <c r="E397" s="2"/>
      <c r="F397" s="3"/>
      <c r="G397" s="2"/>
      <c r="H397" s="3"/>
      <c r="I397" s="65"/>
      <c r="K397" s="65"/>
      <c r="M397" s="65"/>
      <c r="O397" s="65"/>
      <c r="Q397" s="65"/>
      <c r="S397" s="65"/>
      <c r="U397" s="65"/>
      <c r="W397" s="65"/>
      <c r="Y397" s="65"/>
      <c r="AA397" s="65"/>
      <c r="AC397" s="65"/>
      <c r="AE397" s="65"/>
      <c r="AG397" s="65"/>
      <c r="AI397" s="65"/>
      <c r="AK397" s="65"/>
    </row>
    <row r="398" spans="1:37" x14ac:dyDescent="0.25">
      <c r="A398" s="2">
        <v>40452</v>
      </c>
      <c r="B398" s="3">
        <v>2732.91</v>
      </c>
      <c r="C398" s="2">
        <v>40457</v>
      </c>
      <c r="D398" s="3">
        <v>20568.310000000001</v>
      </c>
      <c r="E398" s="2"/>
      <c r="F398" s="3"/>
      <c r="G398" s="2"/>
      <c r="H398" s="3"/>
      <c r="I398" s="65"/>
      <c r="K398" s="65"/>
      <c r="M398" s="65"/>
      <c r="O398" s="65"/>
      <c r="Q398" s="65"/>
      <c r="S398" s="65"/>
      <c r="U398" s="65"/>
      <c r="W398" s="65"/>
      <c r="Y398" s="65"/>
      <c r="AA398" s="65"/>
      <c r="AC398" s="65"/>
      <c r="AE398" s="65"/>
      <c r="AG398" s="65"/>
      <c r="AI398" s="65"/>
      <c r="AK398" s="65"/>
    </row>
    <row r="399" spans="1:37" x14ac:dyDescent="0.25">
      <c r="A399" s="2">
        <v>40455</v>
      </c>
      <c r="B399" s="3">
        <v>2701.02</v>
      </c>
      <c r="C399" s="2">
        <v>40458</v>
      </c>
      <c r="D399" s="3">
        <v>20691.900000000001</v>
      </c>
      <c r="E399" s="2"/>
      <c r="F399" s="3"/>
      <c r="G399" s="2"/>
      <c r="H399" s="3"/>
      <c r="I399" s="65"/>
      <c r="K399" s="65"/>
      <c r="M399" s="65"/>
      <c r="O399" s="65"/>
      <c r="Q399" s="65"/>
      <c r="S399" s="65"/>
      <c r="U399" s="65"/>
      <c r="W399" s="65"/>
      <c r="Y399" s="65"/>
      <c r="AA399" s="65"/>
      <c r="AC399" s="65"/>
      <c r="AE399" s="65"/>
      <c r="AG399" s="65"/>
      <c r="AI399" s="65"/>
      <c r="AK399" s="65"/>
    </row>
    <row r="400" spans="1:37" x14ac:dyDescent="0.25">
      <c r="A400" s="2">
        <v>40456</v>
      </c>
      <c r="B400" s="3">
        <v>2758.56</v>
      </c>
      <c r="C400" s="2">
        <v>40459</v>
      </c>
      <c r="D400" s="3">
        <v>20750.740000000002</v>
      </c>
      <c r="E400" s="2"/>
      <c r="F400" s="3"/>
      <c r="G400" s="2"/>
      <c r="H400" s="3"/>
      <c r="I400" s="65"/>
      <c r="K400" s="65"/>
      <c r="M400" s="65"/>
      <c r="O400" s="65"/>
      <c r="Q400" s="65"/>
      <c r="S400" s="65"/>
      <c r="U400" s="65"/>
      <c r="W400" s="65"/>
      <c r="Y400" s="65"/>
      <c r="AA400" s="65"/>
      <c r="AC400" s="65"/>
      <c r="AE400" s="65"/>
      <c r="AG400" s="65"/>
      <c r="AI400" s="65"/>
      <c r="AK400" s="65"/>
    </row>
    <row r="401" spans="1:37" x14ac:dyDescent="0.25">
      <c r="A401" s="2">
        <v>40457</v>
      </c>
      <c r="B401" s="3">
        <v>2780</v>
      </c>
      <c r="C401" s="2">
        <v>40462</v>
      </c>
      <c r="D401" s="3">
        <v>20837.71</v>
      </c>
      <c r="E401" s="2"/>
      <c r="F401" s="3"/>
      <c r="G401" s="2"/>
      <c r="H401" s="3"/>
      <c r="I401" s="65"/>
      <c r="K401" s="65"/>
      <c r="M401" s="65"/>
      <c r="O401" s="65"/>
      <c r="Q401" s="65"/>
      <c r="S401" s="65"/>
      <c r="U401" s="65"/>
      <c r="W401" s="65"/>
      <c r="Y401" s="65"/>
      <c r="AA401" s="65"/>
      <c r="AC401" s="65"/>
      <c r="AE401" s="65"/>
      <c r="AG401" s="65"/>
      <c r="AI401" s="65"/>
      <c r="AK401" s="65"/>
    </row>
    <row r="402" spans="1:37" x14ac:dyDescent="0.25">
      <c r="A402" s="2">
        <v>40458</v>
      </c>
      <c r="B402" s="3">
        <v>2786.88</v>
      </c>
      <c r="C402" s="2">
        <v>40463</v>
      </c>
      <c r="D402" s="3">
        <v>20750.22</v>
      </c>
      <c r="E402" s="2"/>
      <c r="F402" s="3"/>
      <c r="G402" s="2"/>
      <c r="H402" s="3"/>
      <c r="I402" s="65"/>
      <c r="K402" s="65"/>
      <c r="M402" s="65"/>
      <c r="O402" s="65"/>
      <c r="Q402" s="65"/>
      <c r="S402" s="65"/>
      <c r="U402" s="65"/>
      <c r="W402" s="65"/>
      <c r="Y402" s="65"/>
      <c r="AA402" s="65"/>
      <c r="AC402" s="65"/>
      <c r="AE402" s="65"/>
      <c r="AG402" s="65"/>
      <c r="AI402" s="65"/>
      <c r="AK402" s="65"/>
    </row>
    <row r="403" spans="1:37" x14ac:dyDescent="0.25">
      <c r="A403" s="2">
        <v>40459</v>
      </c>
      <c r="B403" s="3">
        <v>2785.43</v>
      </c>
      <c r="C403" s="2">
        <v>40464</v>
      </c>
      <c r="D403" s="3">
        <v>21145.26</v>
      </c>
      <c r="E403" s="2"/>
      <c r="F403" s="3"/>
      <c r="G403" s="2"/>
      <c r="H403" s="3"/>
      <c r="I403" s="65"/>
      <c r="K403" s="65"/>
      <c r="M403" s="65"/>
      <c r="O403" s="65"/>
      <c r="Q403" s="65"/>
      <c r="S403" s="65"/>
      <c r="U403" s="65"/>
      <c r="W403" s="65"/>
      <c r="Y403" s="65"/>
      <c r="AA403" s="65"/>
      <c r="AC403" s="65"/>
      <c r="AE403" s="65"/>
      <c r="AG403" s="65"/>
      <c r="AI403" s="65"/>
      <c r="AK403" s="65"/>
    </row>
    <row r="404" spans="1:37" x14ac:dyDescent="0.25">
      <c r="A404" s="2">
        <v>40462</v>
      </c>
      <c r="B404" s="3">
        <v>2789.72</v>
      </c>
      <c r="C404" s="2">
        <v>40465</v>
      </c>
      <c r="D404" s="3">
        <v>21094.86</v>
      </c>
      <c r="E404" s="2"/>
      <c r="F404" s="3"/>
      <c r="G404" s="2"/>
      <c r="H404" s="3"/>
      <c r="I404" s="65"/>
      <c r="K404" s="65"/>
      <c r="M404" s="65"/>
      <c r="O404" s="65"/>
      <c r="Q404" s="65"/>
      <c r="S404" s="65"/>
      <c r="U404" s="65"/>
      <c r="W404" s="65"/>
      <c r="Y404" s="65"/>
      <c r="AA404" s="65"/>
      <c r="AC404" s="65"/>
      <c r="AE404" s="65"/>
      <c r="AG404" s="65"/>
      <c r="AI404" s="65"/>
      <c r="AK404" s="65"/>
    </row>
    <row r="405" spans="1:37" x14ac:dyDescent="0.25">
      <c r="A405" s="2">
        <v>40463</v>
      </c>
      <c r="B405" s="3">
        <v>2775.75</v>
      </c>
      <c r="C405" s="2">
        <v>40466</v>
      </c>
      <c r="D405" s="3">
        <v>21062.18</v>
      </c>
      <c r="E405" s="2"/>
      <c r="F405" s="3"/>
      <c r="G405" s="2"/>
      <c r="H405" s="3"/>
      <c r="I405" s="65"/>
      <c r="K405" s="65"/>
      <c r="M405" s="65"/>
      <c r="O405" s="65"/>
      <c r="Q405" s="65"/>
      <c r="S405" s="65"/>
      <c r="U405" s="65"/>
      <c r="W405" s="65"/>
      <c r="Y405" s="65"/>
      <c r="AA405" s="65"/>
      <c r="AC405" s="65"/>
      <c r="AE405" s="65"/>
      <c r="AG405" s="65"/>
      <c r="AI405" s="65"/>
      <c r="AK405" s="65"/>
    </row>
    <row r="406" spans="1:37" x14ac:dyDescent="0.25">
      <c r="A406" s="2">
        <v>40464</v>
      </c>
      <c r="B406" s="3">
        <v>2840.55</v>
      </c>
      <c r="C406" s="2">
        <v>40469</v>
      </c>
      <c r="D406" s="3">
        <v>21258.59</v>
      </c>
      <c r="E406" s="2"/>
      <c r="F406" s="3"/>
      <c r="G406" s="2"/>
      <c r="H406" s="3"/>
      <c r="I406" s="65"/>
      <c r="K406" s="65"/>
      <c r="M406" s="65"/>
      <c r="O406" s="65"/>
      <c r="Q406" s="65"/>
      <c r="S406" s="65"/>
      <c r="U406" s="65"/>
      <c r="W406" s="65"/>
      <c r="Y406" s="65"/>
      <c r="AA406" s="65"/>
      <c r="AC406" s="65"/>
      <c r="AE406" s="65"/>
      <c r="AG406" s="65"/>
      <c r="AI406" s="65"/>
      <c r="AK406" s="65"/>
    </row>
    <row r="407" spans="1:37" x14ac:dyDescent="0.25">
      <c r="A407" s="2">
        <v>40465</v>
      </c>
      <c r="B407" s="3">
        <v>2836.11</v>
      </c>
      <c r="C407" s="2">
        <v>40470</v>
      </c>
      <c r="D407" s="3">
        <v>21233.48</v>
      </c>
      <c r="E407" s="2"/>
      <c r="F407" s="3"/>
      <c r="G407" s="2"/>
      <c r="H407" s="3"/>
      <c r="I407" s="65"/>
      <c r="K407" s="65"/>
      <c r="M407" s="65"/>
      <c r="O407" s="65"/>
      <c r="Q407" s="65"/>
      <c r="S407" s="65"/>
      <c r="U407" s="65"/>
      <c r="W407" s="65"/>
      <c r="Y407" s="65"/>
      <c r="AA407" s="65"/>
      <c r="AC407" s="65"/>
      <c r="AE407" s="65"/>
      <c r="AG407" s="65"/>
      <c r="AI407" s="65"/>
      <c r="AK407" s="65"/>
    </row>
    <row r="408" spans="1:37" x14ac:dyDescent="0.25">
      <c r="A408" s="2">
        <v>40466</v>
      </c>
      <c r="B408" s="3">
        <v>2841.65</v>
      </c>
      <c r="C408" s="2">
        <v>40471</v>
      </c>
      <c r="D408" s="3">
        <v>21425.79</v>
      </c>
      <c r="E408" s="2"/>
      <c r="F408" s="3"/>
      <c r="G408" s="2"/>
      <c r="H408" s="3"/>
      <c r="I408" s="65"/>
      <c r="K408" s="65"/>
      <c r="M408" s="65"/>
      <c r="O408" s="65"/>
      <c r="Q408" s="65"/>
      <c r="S408" s="65"/>
      <c r="U408" s="65"/>
      <c r="W408" s="65"/>
      <c r="Y408" s="65"/>
      <c r="AA408" s="65"/>
      <c r="AC408" s="65"/>
      <c r="AE408" s="65"/>
      <c r="AG408" s="65"/>
      <c r="AI408" s="65"/>
      <c r="AK408" s="65"/>
    </row>
    <row r="409" spans="1:37" x14ac:dyDescent="0.25">
      <c r="A409" s="2">
        <v>40469</v>
      </c>
      <c r="B409" s="3">
        <v>2850.72</v>
      </c>
      <c r="C409" s="2">
        <v>40472</v>
      </c>
      <c r="D409" s="3">
        <v>21616.43</v>
      </c>
      <c r="E409" s="2"/>
      <c r="F409" s="3"/>
      <c r="G409" s="2"/>
      <c r="H409" s="3"/>
      <c r="I409" s="65"/>
      <c r="K409" s="65"/>
      <c r="M409" s="65"/>
      <c r="O409" s="65"/>
      <c r="Q409" s="65"/>
      <c r="S409" s="65"/>
      <c r="U409" s="65"/>
      <c r="W409" s="65"/>
      <c r="Y409" s="65"/>
      <c r="AA409" s="65"/>
      <c r="AC409" s="65"/>
      <c r="AE409" s="65"/>
      <c r="AG409" s="65"/>
      <c r="AI409" s="65"/>
      <c r="AK409" s="65"/>
    </row>
    <row r="410" spans="1:37" x14ac:dyDescent="0.25">
      <c r="A410" s="2">
        <v>40470</v>
      </c>
      <c r="B410" s="3">
        <v>2837.33</v>
      </c>
      <c r="C410" s="2">
        <v>40473</v>
      </c>
      <c r="D410" s="3">
        <v>21536.21</v>
      </c>
      <c r="E410" s="2"/>
      <c r="F410" s="3"/>
      <c r="G410" s="2"/>
      <c r="H410" s="3"/>
      <c r="I410" s="65"/>
      <c r="K410" s="65"/>
      <c r="M410" s="65"/>
      <c r="O410" s="65"/>
      <c r="Q410" s="65"/>
      <c r="S410" s="65"/>
      <c r="U410" s="65"/>
      <c r="W410" s="65"/>
      <c r="Y410" s="65"/>
      <c r="AA410" s="65"/>
      <c r="AC410" s="65"/>
      <c r="AE410" s="65"/>
      <c r="AG410" s="65"/>
      <c r="AI410" s="65"/>
      <c r="AK410" s="65"/>
    </row>
    <row r="411" spans="1:37" x14ac:dyDescent="0.25">
      <c r="A411" s="2">
        <v>40471</v>
      </c>
      <c r="B411" s="3">
        <v>2851.52</v>
      </c>
      <c r="C411" s="2">
        <v>40476</v>
      </c>
      <c r="D411" s="3">
        <v>21435.03</v>
      </c>
      <c r="E411" s="2"/>
      <c r="F411" s="3"/>
      <c r="G411" s="2"/>
      <c r="H411" s="3"/>
      <c r="I411" s="65"/>
      <c r="K411" s="65"/>
      <c r="M411" s="65"/>
      <c r="O411" s="65"/>
      <c r="Q411" s="65"/>
      <c r="S411" s="65"/>
      <c r="U411" s="65"/>
      <c r="W411" s="65"/>
      <c r="Y411" s="65"/>
      <c r="AA411" s="65"/>
      <c r="AC411" s="65"/>
      <c r="AE411" s="65"/>
      <c r="AG411" s="65"/>
      <c r="AI411" s="65"/>
      <c r="AK411" s="65"/>
    </row>
    <row r="412" spans="1:37" x14ac:dyDescent="0.25">
      <c r="A412" s="2">
        <v>40472</v>
      </c>
      <c r="B412" s="3">
        <v>2882.29</v>
      </c>
      <c r="C412" s="2">
        <v>40477</v>
      </c>
      <c r="D412" s="3">
        <v>21363.52</v>
      </c>
      <c r="E412" s="2"/>
      <c r="F412" s="3"/>
      <c r="G412" s="2"/>
      <c r="H412" s="3"/>
      <c r="I412" s="65"/>
      <c r="K412" s="65"/>
      <c r="M412" s="65"/>
      <c r="O412" s="65"/>
      <c r="Q412" s="65"/>
      <c r="S412" s="65"/>
      <c r="U412" s="65"/>
      <c r="W412" s="65"/>
      <c r="Y412" s="65"/>
      <c r="AA412" s="65"/>
      <c r="AC412" s="65"/>
      <c r="AE412" s="65"/>
      <c r="AG412" s="65"/>
      <c r="AI412" s="65"/>
      <c r="AK412" s="65"/>
    </row>
    <row r="413" spans="1:37" x14ac:dyDescent="0.25">
      <c r="A413" s="2">
        <v>40473</v>
      </c>
      <c r="B413" s="3">
        <v>2873.74</v>
      </c>
      <c r="C413" s="2">
        <v>40478</v>
      </c>
      <c r="D413" s="3">
        <v>21250.82</v>
      </c>
      <c r="E413" s="2"/>
      <c r="F413" s="3"/>
      <c r="G413" s="2"/>
      <c r="H413" s="3"/>
      <c r="I413" s="65"/>
      <c r="K413" s="65"/>
      <c r="M413" s="65"/>
      <c r="O413" s="65"/>
      <c r="Q413" s="65"/>
      <c r="S413" s="65"/>
      <c r="U413" s="65"/>
      <c r="W413" s="65"/>
      <c r="Y413" s="65"/>
      <c r="AA413" s="65"/>
      <c r="AC413" s="65"/>
      <c r="AE413" s="65"/>
      <c r="AG413" s="65"/>
      <c r="AI413" s="65"/>
      <c r="AK413" s="65"/>
    </row>
    <row r="414" spans="1:37" x14ac:dyDescent="0.25">
      <c r="A414" s="2">
        <v>40476</v>
      </c>
      <c r="B414" s="3">
        <v>2871.48</v>
      </c>
      <c r="C414" s="2">
        <v>40479</v>
      </c>
      <c r="D414" s="3">
        <v>21509.62</v>
      </c>
      <c r="E414" s="2"/>
      <c r="F414" s="3"/>
      <c r="G414" s="2"/>
      <c r="H414" s="3"/>
      <c r="I414" s="65"/>
      <c r="K414" s="65"/>
      <c r="M414" s="65"/>
      <c r="O414" s="65"/>
      <c r="Q414" s="65"/>
      <c r="S414" s="65"/>
      <c r="U414" s="65"/>
      <c r="W414" s="65"/>
      <c r="Y414" s="65"/>
      <c r="AA414" s="65"/>
      <c r="AC414" s="65"/>
      <c r="AE414" s="65"/>
      <c r="AG414" s="65"/>
      <c r="AI414" s="65"/>
      <c r="AK414" s="65"/>
    </row>
    <row r="415" spans="1:37" x14ac:dyDescent="0.25">
      <c r="A415" s="2">
        <v>40477</v>
      </c>
      <c r="B415" s="3">
        <v>2856.31</v>
      </c>
      <c r="C415" s="2">
        <v>40480</v>
      </c>
      <c r="D415" s="3">
        <v>21450.61</v>
      </c>
      <c r="E415" s="2"/>
      <c r="F415" s="3"/>
      <c r="G415" s="2"/>
      <c r="H415" s="3"/>
      <c r="I415" s="65"/>
      <c r="K415" s="65"/>
      <c r="M415" s="65"/>
      <c r="O415" s="65"/>
      <c r="Q415" s="65"/>
      <c r="S415" s="65"/>
      <c r="U415" s="65"/>
      <c r="W415" s="65"/>
      <c r="Y415" s="65"/>
      <c r="AA415" s="65"/>
      <c r="AC415" s="65"/>
      <c r="AE415" s="65"/>
      <c r="AG415" s="65"/>
      <c r="AI415" s="65"/>
      <c r="AK415" s="65"/>
    </row>
    <row r="416" spans="1:37" x14ac:dyDescent="0.25">
      <c r="A416" s="2">
        <v>40478</v>
      </c>
      <c r="B416" s="3">
        <v>2829.42</v>
      </c>
      <c r="C416" s="2">
        <v>40483</v>
      </c>
      <c r="D416" s="3">
        <v>21184.93</v>
      </c>
      <c r="E416" s="2"/>
      <c r="F416" s="3"/>
      <c r="G416" s="2"/>
      <c r="H416" s="3"/>
      <c r="I416" s="65"/>
      <c r="K416" s="65"/>
      <c r="M416" s="65"/>
      <c r="O416" s="65"/>
      <c r="Q416" s="65"/>
      <c r="S416" s="65"/>
      <c r="U416" s="65"/>
      <c r="W416" s="65"/>
      <c r="Y416" s="65"/>
      <c r="AA416" s="65"/>
      <c r="AC416" s="65"/>
      <c r="AE416" s="65"/>
      <c r="AG416" s="65"/>
      <c r="AI416" s="65"/>
      <c r="AK416" s="65"/>
    </row>
    <row r="417" spans="1:37" x14ac:dyDescent="0.25">
      <c r="A417" s="2">
        <v>40479</v>
      </c>
      <c r="B417" s="3">
        <v>2845.53</v>
      </c>
      <c r="C417" s="2">
        <v>40484</v>
      </c>
      <c r="D417" s="3">
        <v>21397.82</v>
      </c>
      <c r="E417" s="2"/>
      <c r="F417" s="3"/>
      <c r="G417" s="2"/>
      <c r="H417" s="3"/>
      <c r="I417" s="65"/>
      <c r="K417" s="65"/>
      <c r="M417" s="65"/>
      <c r="O417" s="65"/>
      <c r="Q417" s="65"/>
      <c r="S417" s="65"/>
      <c r="U417" s="65"/>
      <c r="W417" s="65"/>
      <c r="Y417" s="65"/>
      <c r="AA417" s="65"/>
      <c r="AC417" s="65"/>
      <c r="AE417" s="65"/>
      <c r="AG417" s="65"/>
      <c r="AI417" s="65"/>
      <c r="AK417" s="65"/>
    </row>
    <row r="418" spans="1:37" x14ac:dyDescent="0.25">
      <c r="A418" s="2">
        <v>40480</v>
      </c>
      <c r="B418" s="3">
        <v>2844.99</v>
      </c>
      <c r="C418" s="2">
        <v>40485</v>
      </c>
      <c r="D418" s="3">
        <v>21180.81</v>
      </c>
      <c r="E418" s="2"/>
      <c r="F418" s="3"/>
      <c r="G418" s="2"/>
      <c r="H418" s="3"/>
      <c r="I418" s="65"/>
      <c r="K418" s="65"/>
      <c r="M418" s="65"/>
      <c r="O418" s="65"/>
      <c r="Q418" s="65"/>
      <c r="S418" s="65"/>
      <c r="U418" s="65"/>
      <c r="W418" s="65"/>
      <c r="Y418" s="65"/>
      <c r="AA418" s="65"/>
      <c r="AC418" s="65"/>
      <c r="AE418" s="65"/>
      <c r="AG418" s="65"/>
      <c r="AI418" s="65"/>
      <c r="AK418" s="65"/>
    </row>
    <row r="419" spans="1:37" x14ac:dyDescent="0.25">
      <c r="A419" s="2">
        <v>40483</v>
      </c>
      <c r="B419" s="3">
        <v>2836.73</v>
      </c>
      <c r="C419" s="2">
        <v>40486</v>
      </c>
      <c r="D419" s="3">
        <v>21469.19</v>
      </c>
      <c r="E419" s="2"/>
      <c r="F419" s="3"/>
      <c r="G419" s="2"/>
      <c r="H419" s="3"/>
      <c r="I419" s="65"/>
      <c r="K419" s="65"/>
      <c r="M419" s="65"/>
      <c r="O419" s="65"/>
      <c r="Q419" s="65"/>
      <c r="S419" s="65"/>
      <c r="U419" s="65"/>
      <c r="W419" s="65"/>
      <c r="Y419" s="65"/>
      <c r="AA419" s="65"/>
      <c r="AC419" s="65"/>
      <c r="AE419" s="65"/>
      <c r="AG419" s="65"/>
      <c r="AI419" s="65"/>
      <c r="AK419" s="65"/>
    </row>
    <row r="420" spans="1:37" x14ac:dyDescent="0.25">
      <c r="A420" s="2">
        <v>40484</v>
      </c>
      <c r="B420" s="3">
        <v>2861.01</v>
      </c>
      <c r="C420" s="2">
        <v>40487</v>
      </c>
      <c r="D420" s="3">
        <v>21194.74</v>
      </c>
      <c r="E420" s="2"/>
      <c r="F420" s="3"/>
      <c r="G420" s="2"/>
      <c r="H420" s="3"/>
      <c r="I420" s="65"/>
      <c r="K420" s="65"/>
      <c r="M420" s="65"/>
      <c r="O420" s="65"/>
      <c r="Q420" s="65"/>
      <c r="S420" s="65"/>
      <c r="U420" s="65"/>
      <c r="W420" s="65"/>
      <c r="Y420" s="65"/>
      <c r="AA420" s="65"/>
      <c r="AC420" s="65"/>
      <c r="AE420" s="65"/>
      <c r="AG420" s="65"/>
      <c r="AI420" s="65"/>
      <c r="AK420" s="65"/>
    </row>
    <row r="421" spans="1:37" x14ac:dyDescent="0.25">
      <c r="A421" s="2">
        <v>40485</v>
      </c>
      <c r="B421" s="3">
        <v>2830.43</v>
      </c>
      <c r="C421" s="2">
        <v>40490</v>
      </c>
      <c r="D421" s="3">
        <v>21228.98</v>
      </c>
      <c r="E421" s="2"/>
      <c r="F421" s="3"/>
      <c r="G421" s="2"/>
      <c r="H421" s="3"/>
      <c r="I421" s="65"/>
      <c r="K421" s="65"/>
      <c r="M421" s="65"/>
      <c r="O421" s="65"/>
      <c r="Q421" s="65"/>
      <c r="S421" s="65"/>
      <c r="U421" s="65"/>
      <c r="W421" s="65"/>
      <c r="Y421" s="65"/>
      <c r="AA421" s="65"/>
      <c r="AC421" s="65"/>
      <c r="AE421" s="65"/>
      <c r="AG421" s="65"/>
      <c r="AI421" s="65"/>
      <c r="AK421" s="65"/>
    </row>
    <row r="422" spans="1:37" x14ac:dyDescent="0.25">
      <c r="A422" s="2">
        <v>40486</v>
      </c>
      <c r="B422" s="3">
        <v>2884.21</v>
      </c>
      <c r="C422" s="2">
        <v>40491</v>
      </c>
      <c r="D422" s="3">
        <v>21578.48</v>
      </c>
      <c r="E422" s="2"/>
      <c r="F422" s="3"/>
      <c r="G422" s="2"/>
      <c r="H422" s="3"/>
      <c r="I422" s="65"/>
      <c r="K422" s="65"/>
      <c r="M422" s="65"/>
      <c r="O422" s="65"/>
      <c r="Q422" s="65"/>
      <c r="S422" s="65"/>
      <c r="U422" s="65"/>
      <c r="W422" s="65"/>
      <c r="Y422" s="65"/>
      <c r="AA422" s="65"/>
      <c r="AC422" s="65"/>
      <c r="AE422" s="65"/>
      <c r="AG422" s="65"/>
      <c r="AI422" s="65"/>
      <c r="AK422" s="65"/>
    </row>
    <row r="423" spans="1:37" x14ac:dyDescent="0.25">
      <c r="A423" s="2">
        <v>40487</v>
      </c>
      <c r="B423" s="3">
        <v>2875.94</v>
      </c>
      <c r="C423" s="2">
        <v>40492</v>
      </c>
      <c r="D423" s="3">
        <v>21058.01</v>
      </c>
      <c r="E423" s="2"/>
      <c r="F423" s="3"/>
      <c r="G423" s="2"/>
      <c r="H423" s="3"/>
      <c r="I423" s="65"/>
      <c r="K423" s="65"/>
      <c r="M423" s="65"/>
      <c r="O423" s="65"/>
      <c r="Q423" s="65"/>
      <c r="S423" s="65"/>
      <c r="U423" s="65"/>
      <c r="W423" s="65"/>
      <c r="Y423" s="65"/>
      <c r="AA423" s="65"/>
      <c r="AC423" s="65"/>
      <c r="AE423" s="65"/>
      <c r="AG423" s="65"/>
      <c r="AI423" s="65"/>
      <c r="AK423" s="65"/>
    </row>
    <row r="424" spans="1:37" x14ac:dyDescent="0.25">
      <c r="A424" s="2">
        <v>40490</v>
      </c>
      <c r="B424" s="3">
        <v>2867.96</v>
      </c>
      <c r="C424" s="2">
        <v>40493</v>
      </c>
      <c r="D424" s="3">
        <v>20855.96</v>
      </c>
      <c r="E424" s="2"/>
      <c r="F424" s="3"/>
      <c r="G424" s="2"/>
      <c r="H424" s="3"/>
      <c r="I424" s="65"/>
      <c r="K424" s="65"/>
      <c r="M424" s="65"/>
      <c r="O424" s="65"/>
      <c r="Q424" s="65"/>
      <c r="S424" s="65"/>
      <c r="U424" s="65"/>
      <c r="W424" s="65"/>
      <c r="Y424" s="65"/>
      <c r="AA424" s="65"/>
      <c r="AC424" s="65"/>
      <c r="AE424" s="65"/>
      <c r="AG424" s="65"/>
      <c r="AI424" s="65"/>
      <c r="AK424" s="65"/>
    </row>
    <row r="425" spans="1:37" x14ac:dyDescent="0.25">
      <c r="A425" s="2">
        <v>40491</v>
      </c>
      <c r="B425" s="3">
        <v>2890.64</v>
      </c>
      <c r="C425" s="2">
        <v>40494</v>
      </c>
      <c r="D425" s="3">
        <v>20829.830000000002</v>
      </c>
      <c r="E425" s="2"/>
      <c r="F425" s="3"/>
      <c r="G425" s="2"/>
      <c r="H425" s="3"/>
      <c r="I425" s="65"/>
      <c r="K425" s="65"/>
      <c r="M425" s="65"/>
      <c r="O425" s="65"/>
      <c r="Q425" s="65"/>
      <c r="S425" s="65"/>
      <c r="U425" s="65"/>
      <c r="W425" s="65"/>
      <c r="Y425" s="65"/>
      <c r="AA425" s="65"/>
      <c r="AC425" s="65"/>
      <c r="AE425" s="65"/>
      <c r="AG425" s="65"/>
      <c r="AI425" s="65"/>
      <c r="AK425" s="65"/>
    </row>
    <row r="426" spans="1:37" x14ac:dyDescent="0.25">
      <c r="A426" s="2">
        <v>40492</v>
      </c>
      <c r="B426" s="3">
        <v>2845.93</v>
      </c>
      <c r="C426" s="2">
        <v>40497</v>
      </c>
      <c r="D426" s="3">
        <v>20993.27</v>
      </c>
      <c r="E426" s="2"/>
      <c r="F426" s="3"/>
      <c r="G426" s="2"/>
      <c r="H426" s="3"/>
      <c r="I426" s="65"/>
      <c r="K426" s="65"/>
      <c r="M426" s="65"/>
      <c r="O426" s="65"/>
      <c r="Q426" s="65"/>
      <c r="S426" s="65"/>
      <c r="U426" s="65"/>
      <c r="W426" s="65"/>
      <c r="Y426" s="65"/>
      <c r="AA426" s="65"/>
      <c r="AC426" s="65"/>
      <c r="AE426" s="65"/>
      <c r="AG426" s="65"/>
      <c r="AI426" s="65"/>
      <c r="AK426" s="65"/>
    </row>
    <row r="427" spans="1:37" x14ac:dyDescent="0.25">
      <c r="A427" s="2">
        <v>40493</v>
      </c>
      <c r="B427" s="3">
        <v>2831.22</v>
      </c>
      <c r="C427" s="2">
        <v>40498</v>
      </c>
      <c r="D427" s="3">
        <v>20563.07</v>
      </c>
      <c r="E427" s="2"/>
      <c r="F427" s="3"/>
      <c r="G427" s="2"/>
      <c r="H427" s="3"/>
      <c r="I427" s="65"/>
      <c r="K427" s="65"/>
      <c r="M427" s="65"/>
      <c r="O427" s="65"/>
      <c r="Q427" s="65"/>
      <c r="S427" s="65"/>
      <c r="U427" s="65"/>
      <c r="W427" s="65"/>
      <c r="Y427" s="65"/>
      <c r="AA427" s="65"/>
      <c r="AC427" s="65"/>
      <c r="AE427" s="65"/>
      <c r="AG427" s="65"/>
      <c r="AI427" s="65"/>
      <c r="AK427" s="65"/>
    </row>
    <row r="428" spans="1:37" x14ac:dyDescent="0.25">
      <c r="A428" s="2">
        <v>40494</v>
      </c>
      <c r="B428" s="3">
        <v>2822.43</v>
      </c>
      <c r="C428" s="2">
        <v>40499</v>
      </c>
      <c r="D428" s="3">
        <v>20639.080000000002</v>
      </c>
      <c r="E428" s="2"/>
      <c r="F428" s="3"/>
      <c r="G428" s="2"/>
      <c r="H428" s="3"/>
      <c r="I428" s="65"/>
      <c r="K428" s="65"/>
      <c r="M428" s="65"/>
      <c r="O428" s="65"/>
      <c r="Q428" s="65"/>
      <c r="S428" s="65"/>
      <c r="U428" s="65"/>
      <c r="W428" s="65"/>
      <c r="Y428" s="65"/>
      <c r="AA428" s="65"/>
      <c r="AC428" s="65"/>
      <c r="AE428" s="65"/>
      <c r="AG428" s="65"/>
      <c r="AI428" s="65"/>
      <c r="AK428" s="65"/>
    </row>
    <row r="429" spans="1:37" x14ac:dyDescent="0.25">
      <c r="A429" s="2">
        <v>40497</v>
      </c>
      <c r="B429" s="3">
        <v>2848.45</v>
      </c>
      <c r="C429" s="2">
        <v>40500</v>
      </c>
      <c r="D429" s="3">
        <v>20880.38</v>
      </c>
      <c r="E429" s="2"/>
      <c r="F429" s="3"/>
      <c r="G429" s="2"/>
      <c r="H429" s="3"/>
      <c r="I429" s="65"/>
      <c r="K429" s="65"/>
      <c r="M429" s="65"/>
      <c r="O429" s="65"/>
      <c r="Q429" s="65"/>
      <c r="S429" s="65"/>
      <c r="U429" s="65"/>
      <c r="W429" s="65"/>
      <c r="Y429" s="65"/>
      <c r="AA429" s="65"/>
      <c r="AC429" s="65"/>
      <c r="AE429" s="65"/>
      <c r="AG429" s="65"/>
      <c r="AI429" s="65"/>
      <c r="AK429" s="65"/>
    </row>
    <row r="430" spans="1:37" x14ac:dyDescent="0.25">
      <c r="A430" s="2">
        <v>40498</v>
      </c>
      <c r="B430" s="3">
        <v>2781.77</v>
      </c>
      <c r="C430" s="2">
        <v>40501</v>
      </c>
      <c r="D430" s="3">
        <v>20773.12</v>
      </c>
      <c r="E430" s="2"/>
      <c r="F430" s="3"/>
      <c r="G430" s="2"/>
      <c r="H430" s="3"/>
      <c r="I430" s="65"/>
      <c r="K430" s="65"/>
      <c r="M430" s="65"/>
      <c r="O430" s="65"/>
      <c r="Q430" s="65"/>
      <c r="S430" s="65"/>
      <c r="U430" s="65"/>
      <c r="W430" s="65"/>
      <c r="Y430" s="65"/>
      <c r="AA430" s="65"/>
      <c r="AC430" s="65"/>
      <c r="AE430" s="65"/>
      <c r="AG430" s="65"/>
      <c r="AI430" s="65"/>
      <c r="AK430" s="65"/>
    </row>
    <row r="431" spans="1:37" x14ac:dyDescent="0.25">
      <c r="A431" s="2">
        <v>40499</v>
      </c>
      <c r="B431" s="3">
        <v>2802.7</v>
      </c>
      <c r="C431" s="2">
        <v>40504</v>
      </c>
      <c r="D431" s="3">
        <v>20372.2</v>
      </c>
      <c r="E431" s="2"/>
      <c r="F431" s="3"/>
      <c r="G431" s="2"/>
      <c r="H431" s="3"/>
      <c r="I431" s="65"/>
      <c r="K431" s="65"/>
      <c r="M431" s="65"/>
      <c r="O431" s="65"/>
      <c r="Q431" s="65"/>
      <c r="S431" s="65"/>
      <c r="U431" s="65"/>
      <c r="W431" s="65"/>
      <c r="Y431" s="65"/>
      <c r="AA431" s="65"/>
      <c r="AC431" s="65"/>
      <c r="AE431" s="65"/>
      <c r="AG431" s="65"/>
      <c r="AI431" s="65"/>
      <c r="AK431" s="65"/>
    </row>
    <row r="432" spans="1:37" x14ac:dyDescent="0.25">
      <c r="A432" s="2">
        <v>40500</v>
      </c>
      <c r="B432" s="3">
        <v>2855.23</v>
      </c>
      <c r="C432" s="2">
        <v>40505</v>
      </c>
      <c r="D432" s="3">
        <v>19950.96</v>
      </c>
      <c r="E432" s="2"/>
      <c r="F432" s="3"/>
      <c r="G432" s="2"/>
      <c r="H432" s="3"/>
      <c r="I432" s="65"/>
      <c r="K432" s="65"/>
      <c r="M432" s="65"/>
      <c r="O432" s="65"/>
      <c r="Q432" s="65"/>
      <c r="S432" s="65"/>
      <c r="U432" s="65"/>
      <c r="W432" s="65"/>
      <c r="Y432" s="65"/>
      <c r="AA432" s="65"/>
      <c r="AC432" s="65"/>
      <c r="AE432" s="65"/>
      <c r="AG432" s="65"/>
      <c r="AI432" s="65"/>
      <c r="AK432" s="65"/>
    </row>
    <row r="433" spans="1:37" x14ac:dyDescent="0.25">
      <c r="A433" s="2">
        <v>40501</v>
      </c>
      <c r="B433" s="3">
        <v>2845.75</v>
      </c>
      <c r="C433" s="2">
        <v>40506</v>
      </c>
      <c r="D433" s="3">
        <v>19941.189999999999</v>
      </c>
      <c r="E433" s="2"/>
      <c r="F433" s="3"/>
      <c r="G433" s="2"/>
      <c r="H433" s="3"/>
      <c r="I433" s="65"/>
      <c r="K433" s="65"/>
      <c r="M433" s="65"/>
      <c r="O433" s="65"/>
      <c r="Q433" s="65"/>
      <c r="S433" s="65"/>
      <c r="U433" s="65"/>
      <c r="W433" s="65"/>
      <c r="Y433" s="65"/>
      <c r="AA433" s="65"/>
      <c r="AC433" s="65"/>
      <c r="AE433" s="65"/>
      <c r="AG433" s="65"/>
      <c r="AI433" s="65"/>
      <c r="AK433" s="65"/>
    </row>
    <row r="434" spans="1:37" x14ac:dyDescent="0.25">
      <c r="A434" s="2">
        <v>40504</v>
      </c>
      <c r="B434" s="3">
        <v>2811.43</v>
      </c>
      <c r="C434" s="2">
        <v>40507</v>
      </c>
      <c r="D434" s="3">
        <v>19945.939999999999</v>
      </c>
      <c r="E434" s="2"/>
      <c r="F434" s="3"/>
      <c r="G434" s="2"/>
      <c r="H434" s="3"/>
      <c r="I434" s="65"/>
      <c r="K434" s="65"/>
      <c r="M434" s="65"/>
      <c r="O434" s="65"/>
      <c r="Q434" s="65"/>
      <c r="S434" s="65"/>
      <c r="U434" s="65"/>
      <c r="W434" s="65"/>
      <c r="Y434" s="65"/>
      <c r="AA434" s="65"/>
      <c r="AC434" s="65"/>
      <c r="AE434" s="65"/>
      <c r="AG434" s="65"/>
      <c r="AI434" s="65"/>
      <c r="AK434" s="65"/>
    </row>
    <row r="435" spans="1:37" x14ac:dyDescent="0.25">
      <c r="A435" s="2">
        <v>40505</v>
      </c>
      <c r="B435" s="3">
        <v>2739.37</v>
      </c>
      <c r="C435" s="2">
        <v>40508</v>
      </c>
      <c r="D435" s="3">
        <v>19844.310000000001</v>
      </c>
      <c r="E435" s="2"/>
      <c r="F435" s="3"/>
      <c r="G435" s="2"/>
      <c r="H435" s="3"/>
      <c r="I435" s="65"/>
      <c r="K435" s="65"/>
      <c r="M435" s="65"/>
      <c r="O435" s="65"/>
      <c r="Q435" s="65"/>
      <c r="S435" s="65"/>
      <c r="U435" s="65"/>
      <c r="W435" s="65"/>
      <c r="Y435" s="65"/>
      <c r="AA435" s="65"/>
      <c r="AC435" s="65"/>
      <c r="AE435" s="65"/>
      <c r="AG435" s="65"/>
      <c r="AI435" s="65"/>
      <c r="AK435" s="65"/>
    </row>
    <row r="436" spans="1:37" x14ac:dyDescent="0.25">
      <c r="A436" s="2">
        <v>40506</v>
      </c>
      <c r="B436" s="3">
        <v>2758.02</v>
      </c>
      <c r="C436" s="2">
        <v>40511</v>
      </c>
      <c r="D436" s="3">
        <v>19314.38</v>
      </c>
      <c r="E436" s="2"/>
      <c r="F436" s="3"/>
      <c r="G436" s="2"/>
      <c r="H436" s="3"/>
      <c r="I436" s="65"/>
      <c r="K436" s="65"/>
      <c r="M436" s="65"/>
      <c r="O436" s="65"/>
      <c r="Q436" s="65"/>
      <c r="S436" s="65"/>
      <c r="U436" s="65"/>
      <c r="W436" s="65"/>
      <c r="Y436" s="65"/>
      <c r="AA436" s="65"/>
      <c r="AC436" s="65"/>
      <c r="AE436" s="65"/>
      <c r="AG436" s="65"/>
      <c r="AI436" s="65"/>
      <c r="AK436" s="65"/>
    </row>
    <row r="437" spans="1:37" x14ac:dyDescent="0.25">
      <c r="A437" s="2">
        <v>40507</v>
      </c>
      <c r="B437" s="3">
        <v>2765.05</v>
      </c>
      <c r="C437" s="2">
        <v>40512</v>
      </c>
      <c r="D437" s="3">
        <v>19105.71</v>
      </c>
      <c r="E437" s="2"/>
      <c r="F437" s="3"/>
      <c r="G437" s="2"/>
      <c r="H437" s="3"/>
      <c r="I437" s="65"/>
      <c r="K437" s="65"/>
      <c r="M437" s="65"/>
      <c r="O437" s="65"/>
      <c r="Q437" s="65"/>
      <c r="S437" s="65"/>
      <c r="U437" s="65"/>
      <c r="W437" s="65"/>
      <c r="Y437" s="65"/>
      <c r="AA437" s="65"/>
      <c r="AC437" s="65"/>
      <c r="AE437" s="65"/>
      <c r="AG437" s="65"/>
      <c r="AI437" s="65"/>
      <c r="AK437" s="65"/>
    </row>
    <row r="438" spans="1:37" x14ac:dyDescent="0.25">
      <c r="A438" s="2">
        <v>40508</v>
      </c>
      <c r="B438" s="3">
        <v>2736.96</v>
      </c>
      <c r="C438" s="2">
        <v>40513</v>
      </c>
      <c r="D438" s="3">
        <v>19566.060000000001</v>
      </c>
      <c r="E438" s="2"/>
      <c r="F438" s="3"/>
      <c r="G438" s="2"/>
      <c r="H438" s="3"/>
      <c r="I438" s="65"/>
      <c r="K438" s="65"/>
      <c r="M438" s="65"/>
      <c r="O438" s="65"/>
      <c r="Q438" s="65"/>
      <c r="S438" s="65"/>
      <c r="U438" s="65"/>
      <c r="W438" s="65"/>
      <c r="Y438" s="65"/>
      <c r="AA438" s="65"/>
      <c r="AC438" s="65"/>
      <c r="AE438" s="65"/>
      <c r="AG438" s="65"/>
      <c r="AI438" s="65"/>
      <c r="AK438" s="65"/>
    </row>
    <row r="439" spans="1:37" x14ac:dyDescent="0.25">
      <c r="A439" s="2">
        <v>40511</v>
      </c>
      <c r="B439" s="3">
        <v>2669.96</v>
      </c>
      <c r="C439" s="2">
        <v>40514</v>
      </c>
      <c r="D439" s="3">
        <v>20054.09</v>
      </c>
      <c r="E439" s="2"/>
      <c r="F439" s="3"/>
      <c r="G439" s="2"/>
      <c r="H439" s="3"/>
      <c r="I439" s="65"/>
      <c r="K439" s="65"/>
      <c r="M439" s="65"/>
      <c r="O439" s="65"/>
      <c r="Q439" s="65"/>
      <c r="S439" s="65"/>
      <c r="U439" s="65"/>
      <c r="W439" s="65"/>
      <c r="Y439" s="65"/>
      <c r="AA439" s="65"/>
      <c r="AC439" s="65"/>
      <c r="AE439" s="65"/>
      <c r="AG439" s="65"/>
      <c r="AI439" s="65"/>
      <c r="AK439" s="65"/>
    </row>
    <row r="440" spans="1:37" x14ac:dyDescent="0.25">
      <c r="A440" s="2">
        <v>40512</v>
      </c>
      <c r="B440" s="3">
        <v>2650.99</v>
      </c>
      <c r="C440" s="2">
        <v>40515</v>
      </c>
      <c r="D440" s="3">
        <v>20120.8</v>
      </c>
      <c r="E440" s="2"/>
      <c r="F440" s="3"/>
      <c r="G440" s="2"/>
      <c r="H440" s="3"/>
      <c r="I440" s="65"/>
      <c r="K440" s="65"/>
      <c r="M440" s="65"/>
      <c r="O440" s="65"/>
      <c r="Q440" s="65"/>
      <c r="S440" s="65"/>
      <c r="U440" s="65"/>
      <c r="W440" s="65"/>
      <c r="Y440" s="65"/>
      <c r="AA440" s="65"/>
      <c r="AC440" s="65"/>
      <c r="AE440" s="65"/>
      <c r="AG440" s="65"/>
      <c r="AI440" s="65"/>
      <c r="AK440" s="65"/>
    </row>
    <row r="441" spans="1:37" x14ac:dyDescent="0.25">
      <c r="A441" s="2">
        <v>40513</v>
      </c>
      <c r="B441" s="3">
        <v>2721.87</v>
      </c>
      <c r="C441" s="2">
        <v>40518</v>
      </c>
      <c r="D441" s="3">
        <v>19930.29</v>
      </c>
      <c r="E441" s="2"/>
      <c r="F441" s="3"/>
      <c r="G441" s="2"/>
      <c r="H441" s="3"/>
      <c r="I441" s="65"/>
      <c r="K441" s="65"/>
      <c r="M441" s="65"/>
      <c r="O441" s="65"/>
      <c r="Q441" s="65"/>
      <c r="S441" s="65"/>
      <c r="U441" s="65"/>
      <c r="W441" s="65"/>
      <c r="Y441" s="65"/>
      <c r="AA441" s="65"/>
      <c r="AC441" s="65"/>
      <c r="AE441" s="65"/>
      <c r="AG441" s="65"/>
      <c r="AI441" s="65"/>
      <c r="AK441" s="65"/>
    </row>
    <row r="442" spans="1:37" x14ac:dyDescent="0.25">
      <c r="A442" s="2">
        <v>40514</v>
      </c>
      <c r="B442" s="3">
        <v>2781.39</v>
      </c>
      <c r="C442" s="2">
        <v>40519</v>
      </c>
      <c r="D442" s="3">
        <v>20112.439999999999</v>
      </c>
      <c r="E442" s="2"/>
      <c r="F442" s="3"/>
      <c r="G442" s="2"/>
      <c r="H442" s="3"/>
      <c r="I442" s="65"/>
      <c r="K442" s="65"/>
      <c r="M442" s="65"/>
      <c r="O442" s="65"/>
      <c r="Q442" s="65"/>
      <c r="S442" s="65"/>
      <c r="U442" s="65"/>
      <c r="W442" s="65"/>
      <c r="Y442" s="65"/>
      <c r="AA442" s="65"/>
      <c r="AC442" s="65"/>
      <c r="AE442" s="65"/>
      <c r="AG442" s="65"/>
      <c r="AI442" s="65"/>
      <c r="AK442" s="65"/>
    </row>
    <row r="443" spans="1:37" x14ac:dyDescent="0.25">
      <c r="A443" s="2">
        <v>40515</v>
      </c>
      <c r="B443" s="3">
        <v>2782.39</v>
      </c>
      <c r="C443" s="2">
        <v>40520</v>
      </c>
      <c r="D443" s="3">
        <v>20393.95</v>
      </c>
      <c r="E443" s="2"/>
      <c r="F443" s="3"/>
      <c r="G443" s="2"/>
      <c r="H443" s="3"/>
      <c r="I443" s="65"/>
      <c r="K443" s="65"/>
      <c r="M443" s="65"/>
      <c r="O443" s="65"/>
      <c r="Q443" s="65"/>
      <c r="S443" s="65"/>
      <c r="U443" s="65"/>
      <c r="W443" s="65"/>
      <c r="Y443" s="65"/>
      <c r="AA443" s="65"/>
      <c r="AC443" s="65"/>
      <c r="AE443" s="65"/>
      <c r="AG443" s="65"/>
      <c r="AI443" s="65"/>
      <c r="AK443" s="65"/>
    </row>
    <row r="444" spans="1:37" x14ac:dyDescent="0.25">
      <c r="A444" s="2">
        <v>40518</v>
      </c>
      <c r="B444" s="3">
        <v>2769.96</v>
      </c>
      <c r="C444" s="2">
        <v>40521</v>
      </c>
      <c r="D444" s="3">
        <v>20533.560000000001</v>
      </c>
      <c r="E444" s="2"/>
      <c r="F444" s="3"/>
      <c r="G444" s="2"/>
      <c r="H444" s="3"/>
      <c r="I444" s="65"/>
      <c r="K444" s="65"/>
      <c r="M444" s="65"/>
      <c r="O444" s="65"/>
      <c r="Q444" s="65"/>
      <c r="S444" s="65"/>
      <c r="U444" s="65"/>
      <c r="W444" s="65"/>
      <c r="Y444" s="65"/>
      <c r="AA444" s="65"/>
      <c r="AC444" s="65"/>
      <c r="AE444" s="65"/>
      <c r="AG444" s="65"/>
      <c r="AI444" s="65"/>
      <c r="AK444" s="65"/>
    </row>
    <row r="445" spans="1:37" x14ac:dyDescent="0.25">
      <c r="A445" s="2">
        <v>40519</v>
      </c>
      <c r="B445" s="3">
        <v>2802.74</v>
      </c>
      <c r="C445" s="2">
        <v>40522</v>
      </c>
      <c r="D445" s="3">
        <v>20487.34</v>
      </c>
      <c r="E445" s="2"/>
      <c r="F445" s="3"/>
      <c r="G445" s="2"/>
      <c r="H445" s="3"/>
      <c r="I445" s="65"/>
      <c r="K445" s="65"/>
      <c r="M445" s="65"/>
      <c r="O445" s="65"/>
      <c r="Q445" s="65"/>
      <c r="S445" s="65"/>
      <c r="U445" s="65"/>
      <c r="W445" s="65"/>
      <c r="Y445" s="65"/>
      <c r="AA445" s="65"/>
      <c r="AC445" s="65"/>
      <c r="AE445" s="65"/>
      <c r="AG445" s="65"/>
      <c r="AI445" s="65"/>
      <c r="AK445" s="65"/>
    </row>
    <row r="446" spans="1:37" x14ac:dyDescent="0.25">
      <c r="A446" s="2">
        <v>40520</v>
      </c>
      <c r="B446" s="3">
        <v>2818.95</v>
      </c>
      <c r="C446" s="2">
        <v>40525</v>
      </c>
      <c r="D446" s="3">
        <v>20634.599999999999</v>
      </c>
      <c r="E446" s="2"/>
      <c r="F446" s="3"/>
      <c r="G446" s="2"/>
      <c r="H446" s="3"/>
      <c r="I446" s="65"/>
      <c r="K446" s="65"/>
      <c r="M446" s="65"/>
      <c r="O446" s="65"/>
      <c r="Q446" s="65"/>
      <c r="S446" s="65"/>
      <c r="U446" s="65"/>
      <c r="W446" s="65"/>
      <c r="Y446" s="65"/>
      <c r="AA446" s="65"/>
      <c r="AC446" s="65"/>
      <c r="AE446" s="65"/>
      <c r="AG446" s="65"/>
      <c r="AI446" s="65"/>
      <c r="AK446" s="65"/>
    </row>
    <row r="447" spans="1:37" x14ac:dyDescent="0.25">
      <c r="A447" s="2">
        <v>40521</v>
      </c>
      <c r="B447" s="3">
        <v>2840.71</v>
      </c>
      <c r="C447" s="2">
        <v>40526</v>
      </c>
      <c r="D447" s="3">
        <v>20708.580000000002</v>
      </c>
      <c r="E447" s="2"/>
      <c r="F447" s="3"/>
      <c r="G447" s="2"/>
      <c r="H447" s="3"/>
      <c r="I447" s="65"/>
      <c r="K447" s="65"/>
      <c r="M447" s="65"/>
      <c r="O447" s="65"/>
      <c r="Q447" s="65"/>
      <c r="S447" s="65"/>
      <c r="U447" s="65"/>
      <c r="W447" s="65"/>
      <c r="Y447" s="65"/>
      <c r="AA447" s="65"/>
      <c r="AC447" s="65"/>
      <c r="AE447" s="65"/>
      <c r="AG447" s="65"/>
      <c r="AI447" s="65"/>
      <c r="AK447" s="65"/>
    </row>
    <row r="448" spans="1:37" x14ac:dyDescent="0.25">
      <c r="A448" s="2">
        <v>40522</v>
      </c>
      <c r="B448" s="3">
        <v>2839.53</v>
      </c>
      <c r="C448" s="2">
        <v>40527</v>
      </c>
      <c r="D448" s="3">
        <v>20410.27</v>
      </c>
      <c r="E448" s="2"/>
      <c r="F448" s="3"/>
      <c r="G448" s="2"/>
      <c r="H448" s="3"/>
      <c r="I448" s="65"/>
      <c r="K448" s="65"/>
      <c r="M448" s="65"/>
      <c r="O448" s="65"/>
      <c r="Q448" s="65"/>
      <c r="S448" s="65"/>
      <c r="U448" s="65"/>
      <c r="W448" s="65"/>
      <c r="Y448" s="65"/>
      <c r="AA448" s="65"/>
      <c r="AC448" s="65"/>
      <c r="AE448" s="65"/>
      <c r="AG448" s="65"/>
      <c r="AI448" s="65"/>
      <c r="AK448" s="65"/>
    </row>
    <row r="449" spans="1:37" x14ac:dyDescent="0.25">
      <c r="A449" s="2">
        <v>40525</v>
      </c>
      <c r="B449" s="3">
        <v>2855.37</v>
      </c>
      <c r="C449" s="2">
        <v>40528</v>
      </c>
      <c r="D449" s="3">
        <v>20366.62</v>
      </c>
      <c r="E449" s="2"/>
      <c r="F449" s="3"/>
      <c r="G449" s="2"/>
      <c r="H449" s="3"/>
      <c r="I449" s="65"/>
      <c r="K449" s="65"/>
      <c r="M449" s="65"/>
      <c r="O449" s="65"/>
      <c r="Q449" s="65"/>
      <c r="S449" s="65"/>
      <c r="U449" s="65"/>
      <c r="W449" s="65"/>
      <c r="Y449" s="65"/>
      <c r="AA449" s="65"/>
      <c r="AC449" s="65"/>
      <c r="AE449" s="65"/>
      <c r="AG449" s="65"/>
      <c r="AI449" s="65"/>
      <c r="AK449" s="65"/>
    </row>
    <row r="450" spans="1:37" x14ac:dyDescent="0.25">
      <c r="A450" s="2">
        <v>40526</v>
      </c>
      <c r="B450" s="3">
        <v>2861.67</v>
      </c>
      <c r="C450" s="2">
        <v>40529</v>
      </c>
      <c r="D450" s="3">
        <v>20069.18</v>
      </c>
      <c r="E450" s="2"/>
      <c r="F450" s="3"/>
      <c r="G450" s="2"/>
      <c r="H450" s="3"/>
      <c r="I450" s="65"/>
      <c r="K450" s="65"/>
      <c r="M450" s="65"/>
      <c r="O450" s="65"/>
      <c r="Q450" s="65"/>
      <c r="S450" s="65"/>
      <c r="U450" s="65"/>
      <c r="W450" s="65"/>
      <c r="Y450" s="65"/>
      <c r="AA450" s="65"/>
      <c r="AC450" s="65"/>
      <c r="AE450" s="65"/>
      <c r="AG450" s="65"/>
      <c r="AI450" s="65"/>
      <c r="AK450" s="65"/>
    </row>
    <row r="451" spans="1:37" x14ac:dyDescent="0.25">
      <c r="A451" s="2">
        <v>40527</v>
      </c>
      <c r="B451" s="3">
        <v>2841.99</v>
      </c>
      <c r="C451" s="2">
        <v>40532</v>
      </c>
      <c r="D451" s="3">
        <v>20373.66</v>
      </c>
      <c r="E451" s="2"/>
      <c r="F451" s="3"/>
      <c r="G451" s="2"/>
      <c r="H451" s="3"/>
      <c r="I451" s="65"/>
      <c r="K451" s="65"/>
      <c r="M451" s="65"/>
      <c r="O451" s="65"/>
      <c r="Q451" s="65"/>
      <c r="S451" s="65"/>
      <c r="U451" s="65"/>
      <c r="W451" s="65"/>
      <c r="Y451" s="65"/>
      <c r="AA451" s="65"/>
      <c r="AC451" s="65"/>
      <c r="AE451" s="65"/>
      <c r="AG451" s="65"/>
      <c r="AI451" s="65"/>
      <c r="AK451" s="65"/>
    </row>
    <row r="452" spans="1:37" x14ac:dyDescent="0.25">
      <c r="A452" s="2">
        <v>40528</v>
      </c>
      <c r="B452" s="3">
        <v>2845.78</v>
      </c>
      <c r="C452" s="2">
        <v>40533</v>
      </c>
      <c r="D452" s="3">
        <v>20736.599999999999</v>
      </c>
      <c r="E452" s="2"/>
      <c r="F452" s="3"/>
      <c r="G452" s="2"/>
      <c r="H452" s="3"/>
      <c r="I452" s="65"/>
      <c r="K452" s="65"/>
      <c r="M452" s="65"/>
      <c r="O452" s="65"/>
      <c r="Q452" s="65"/>
      <c r="S452" s="65"/>
      <c r="U452" s="65"/>
      <c r="W452" s="65"/>
      <c r="Y452" s="65"/>
      <c r="AA452" s="65"/>
      <c r="AC452" s="65"/>
      <c r="AE452" s="65"/>
      <c r="AG452" s="65"/>
      <c r="AI452" s="65"/>
      <c r="AK452" s="65"/>
    </row>
    <row r="453" spans="1:37" x14ac:dyDescent="0.25">
      <c r="A453" s="2">
        <v>40529</v>
      </c>
      <c r="B453" s="3">
        <v>2821.77</v>
      </c>
      <c r="C453" s="2">
        <v>40534</v>
      </c>
      <c r="D453" s="3">
        <v>20733.37</v>
      </c>
      <c r="E453" s="2"/>
      <c r="F453" s="3"/>
      <c r="G453" s="2"/>
      <c r="H453" s="3"/>
      <c r="I453" s="65"/>
      <c r="K453" s="65"/>
      <c r="M453" s="65"/>
      <c r="O453" s="65"/>
      <c r="Q453" s="65"/>
      <c r="S453" s="65"/>
      <c r="U453" s="65"/>
      <c r="W453" s="65"/>
      <c r="Y453" s="65"/>
      <c r="AA453" s="65"/>
      <c r="AC453" s="65"/>
      <c r="AE453" s="65"/>
      <c r="AG453" s="65"/>
      <c r="AI453" s="65"/>
      <c r="AK453" s="65"/>
    </row>
    <row r="454" spans="1:37" x14ac:dyDescent="0.25">
      <c r="A454" s="2">
        <v>40532</v>
      </c>
      <c r="B454" s="3">
        <v>2839.22</v>
      </c>
      <c r="C454" s="2">
        <v>40535</v>
      </c>
      <c r="D454" s="3">
        <v>20774.16</v>
      </c>
      <c r="E454" s="2"/>
      <c r="F454" s="3"/>
      <c r="G454" s="2"/>
      <c r="H454" s="3"/>
      <c r="I454" s="65"/>
      <c r="K454" s="65"/>
      <c r="M454" s="65"/>
      <c r="O454" s="65"/>
      <c r="Q454" s="65"/>
      <c r="S454" s="65"/>
      <c r="U454" s="65"/>
      <c r="W454" s="65"/>
      <c r="Y454" s="65"/>
      <c r="AA454" s="65"/>
      <c r="AC454" s="65"/>
      <c r="AE454" s="65"/>
      <c r="AG454" s="65"/>
      <c r="AI454" s="65"/>
      <c r="AK454" s="65"/>
    </row>
    <row r="455" spans="1:37" x14ac:dyDescent="0.25">
      <c r="A455" s="2">
        <v>40533</v>
      </c>
      <c r="B455" s="3">
        <v>2876.99</v>
      </c>
      <c r="C455" s="2">
        <v>40539</v>
      </c>
      <c r="D455" s="3">
        <v>20513.509999999998</v>
      </c>
      <c r="E455" s="2"/>
      <c r="F455" s="3"/>
      <c r="G455" s="2"/>
      <c r="H455" s="3"/>
      <c r="I455" s="65"/>
      <c r="K455" s="65"/>
      <c r="M455" s="65"/>
      <c r="O455" s="65"/>
      <c r="Q455" s="65"/>
      <c r="S455" s="65"/>
      <c r="U455" s="65"/>
      <c r="W455" s="65"/>
      <c r="Y455" s="65"/>
      <c r="AA455" s="65"/>
      <c r="AC455" s="65"/>
      <c r="AE455" s="65"/>
      <c r="AG455" s="65"/>
      <c r="AI455" s="65"/>
      <c r="AK455" s="65"/>
    </row>
    <row r="456" spans="1:37" x14ac:dyDescent="0.25">
      <c r="A456" s="2">
        <v>40534</v>
      </c>
      <c r="B456" s="3">
        <v>2869.63</v>
      </c>
      <c r="C456" s="2">
        <v>40540</v>
      </c>
      <c r="D456" s="3">
        <v>20448.48</v>
      </c>
      <c r="E456" s="2"/>
      <c r="F456" s="3"/>
      <c r="G456" s="2"/>
      <c r="H456" s="3"/>
      <c r="I456" s="65"/>
      <c r="K456" s="65"/>
      <c r="M456" s="65"/>
      <c r="O456" s="65"/>
      <c r="Q456" s="65"/>
      <c r="S456" s="65"/>
      <c r="U456" s="65"/>
      <c r="W456" s="65"/>
      <c r="Y456" s="65"/>
      <c r="AA456" s="65"/>
      <c r="AC456" s="65"/>
      <c r="AE456" s="65"/>
      <c r="AG456" s="65"/>
      <c r="AI456" s="65"/>
      <c r="AK456" s="65"/>
    </row>
    <row r="457" spans="1:37" x14ac:dyDescent="0.25">
      <c r="A457" s="2">
        <v>40535</v>
      </c>
      <c r="B457" s="3">
        <v>2864.52</v>
      </c>
      <c r="C457" s="2">
        <v>40541</v>
      </c>
      <c r="D457" s="3">
        <v>20471.009999999998</v>
      </c>
      <c r="E457" s="2"/>
      <c r="F457" s="3"/>
      <c r="G457" s="2"/>
      <c r="H457" s="3"/>
      <c r="I457" s="65"/>
      <c r="K457" s="65"/>
      <c r="M457" s="65"/>
      <c r="O457" s="65"/>
      <c r="Q457" s="65"/>
      <c r="S457" s="65"/>
      <c r="U457" s="65"/>
      <c r="W457" s="65"/>
      <c r="Y457" s="65"/>
      <c r="AA457" s="65"/>
      <c r="AC457" s="65"/>
      <c r="AE457" s="65"/>
      <c r="AG457" s="65"/>
      <c r="AI457" s="65"/>
      <c r="AK457" s="65"/>
    </row>
    <row r="458" spans="1:37" x14ac:dyDescent="0.25">
      <c r="A458" s="2">
        <v>40536</v>
      </c>
      <c r="B458" s="3">
        <v>2861.94</v>
      </c>
      <c r="C458" s="2">
        <v>40542</v>
      </c>
      <c r="D458" s="3">
        <v>20173.29</v>
      </c>
      <c r="E458" s="2"/>
      <c r="F458" s="3"/>
      <c r="G458" s="2"/>
      <c r="H458" s="3"/>
      <c r="I458" s="65"/>
      <c r="K458" s="65"/>
      <c r="M458" s="65"/>
      <c r="O458" s="65"/>
      <c r="Q458" s="65"/>
      <c r="S458" s="65"/>
      <c r="U458" s="65"/>
      <c r="W458" s="65"/>
      <c r="Y458" s="65"/>
      <c r="AA458" s="65"/>
      <c r="AC458" s="65"/>
      <c r="AE458" s="65"/>
      <c r="AG458" s="65"/>
      <c r="AI458" s="65"/>
      <c r="AK458" s="65"/>
    </row>
    <row r="459" spans="1:37" x14ac:dyDescent="0.25">
      <c r="A459" s="2">
        <v>40539</v>
      </c>
      <c r="B459" s="3">
        <v>2826.51</v>
      </c>
      <c r="C459" s="2">
        <v>40546</v>
      </c>
      <c r="D459" s="3">
        <v>20436.28</v>
      </c>
      <c r="E459" s="2"/>
      <c r="F459" s="3"/>
      <c r="G459" s="2"/>
      <c r="H459" s="3"/>
      <c r="I459" s="65"/>
      <c r="K459" s="65"/>
      <c r="M459" s="65"/>
      <c r="O459" s="65"/>
      <c r="Q459" s="65"/>
      <c r="S459" s="65"/>
      <c r="U459" s="65"/>
      <c r="W459" s="65"/>
      <c r="Y459" s="65"/>
      <c r="AA459" s="65"/>
      <c r="AC459" s="65"/>
      <c r="AE459" s="65"/>
      <c r="AG459" s="65"/>
      <c r="AI459" s="65"/>
      <c r="AK459" s="65"/>
    </row>
    <row r="460" spans="1:37" x14ac:dyDescent="0.25">
      <c r="A460" s="2">
        <v>40540</v>
      </c>
      <c r="B460" s="3">
        <v>2824.3</v>
      </c>
      <c r="C460" s="2">
        <v>40547</v>
      </c>
      <c r="D460" s="3">
        <v>20547.03</v>
      </c>
      <c r="E460" s="2"/>
      <c r="F460" s="3"/>
      <c r="G460" s="2"/>
      <c r="H460" s="3"/>
      <c r="I460" s="65"/>
      <c r="K460" s="65"/>
      <c r="M460" s="65"/>
      <c r="O460" s="65"/>
      <c r="Q460" s="65"/>
      <c r="S460" s="65"/>
      <c r="U460" s="65"/>
      <c r="W460" s="65"/>
      <c r="Y460" s="65"/>
      <c r="AA460" s="65"/>
      <c r="AC460" s="65"/>
      <c r="AE460" s="65"/>
      <c r="AG460" s="65"/>
      <c r="AI460" s="65"/>
      <c r="AK460" s="65"/>
    </row>
    <row r="461" spans="1:37" x14ac:dyDescent="0.25">
      <c r="A461" s="2">
        <v>40541</v>
      </c>
      <c r="B461" s="3">
        <v>2841.23</v>
      </c>
      <c r="C461" s="2">
        <v>40548</v>
      </c>
      <c r="D461" s="3">
        <v>20551.580000000002</v>
      </c>
      <c r="E461" s="2"/>
      <c r="F461" s="3"/>
      <c r="G461" s="2"/>
      <c r="H461" s="3"/>
      <c r="I461" s="65"/>
      <c r="K461" s="65"/>
      <c r="M461" s="65"/>
      <c r="O461" s="65"/>
      <c r="Q461" s="65"/>
      <c r="S461" s="65"/>
      <c r="U461" s="65"/>
      <c r="W461" s="65"/>
      <c r="Y461" s="65"/>
      <c r="AA461" s="65"/>
      <c r="AC461" s="65"/>
      <c r="AE461" s="65"/>
      <c r="AG461" s="65"/>
      <c r="AI461" s="65"/>
      <c r="AK461" s="65"/>
    </row>
    <row r="462" spans="1:37" x14ac:dyDescent="0.25">
      <c r="A462" s="2">
        <v>40542</v>
      </c>
      <c r="B462" s="3">
        <v>2807.04</v>
      </c>
      <c r="C462" s="2">
        <v>40549</v>
      </c>
      <c r="D462" s="3">
        <v>20637.39</v>
      </c>
      <c r="E462" s="2"/>
      <c r="F462" s="3"/>
      <c r="G462" s="2"/>
      <c r="H462" s="3"/>
      <c r="I462" s="65"/>
      <c r="K462" s="65"/>
      <c r="M462" s="65"/>
      <c r="O462" s="65"/>
      <c r="Q462" s="65"/>
      <c r="S462" s="65"/>
      <c r="U462" s="65"/>
      <c r="W462" s="65"/>
      <c r="Y462" s="65"/>
      <c r="AA462" s="65"/>
      <c r="AC462" s="65"/>
      <c r="AE462" s="65"/>
      <c r="AG462" s="65"/>
      <c r="AI462" s="65"/>
      <c r="AK462" s="65"/>
    </row>
    <row r="463" spans="1:37" x14ac:dyDescent="0.25">
      <c r="A463" s="2">
        <v>40543</v>
      </c>
      <c r="B463" s="3">
        <v>2792.82</v>
      </c>
      <c r="C463" s="2">
        <v>40550</v>
      </c>
      <c r="D463" s="3">
        <v>20542.060000000001</v>
      </c>
      <c r="E463" s="2"/>
      <c r="F463" s="3"/>
      <c r="G463" s="2"/>
      <c r="H463" s="3"/>
      <c r="I463" s="65"/>
      <c r="K463" s="65"/>
      <c r="M463" s="65"/>
      <c r="O463" s="65"/>
      <c r="Q463" s="65"/>
      <c r="S463" s="65"/>
      <c r="U463" s="65"/>
      <c r="W463" s="65"/>
      <c r="Y463" s="65"/>
      <c r="AA463" s="65"/>
      <c r="AC463" s="65"/>
      <c r="AE463" s="65"/>
      <c r="AG463" s="65"/>
      <c r="AI463" s="65"/>
      <c r="AK463" s="65"/>
    </row>
    <row r="464" spans="1:37" x14ac:dyDescent="0.25">
      <c r="A464" s="2">
        <v>40546</v>
      </c>
      <c r="B464" s="3">
        <v>2839.43</v>
      </c>
      <c r="C464" s="2">
        <v>40553</v>
      </c>
      <c r="D464" s="3">
        <v>20058.18</v>
      </c>
      <c r="E464" s="2"/>
      <c r="F464" s="3"/>
      <c r="G464" s="2"/>
      <c r="H464" s="3"/>
      <c r="I464" s="65"/>
      <c r="K464" s="65"/>
      <c r="M464" s="65"/>
      <c r="O464" s="65"/>
      <c r="Q464" s="65"/>
      <c r="S464" s="65"/>
      <c r="U464" s="65"/>
      <c r="W464" s="65"/>
      <c r="Y464" s="65"/>
      <c r="AA464" s="65"/>
      <c r="AC464" s="65"/>
      <c r="AE464" s="65"/>
      <c r="AG464" s="65"/>
      <c r="AI464" s="65"/>
      <c r="AK464" s="65"/>
    </row>
    <row r="465" spans="1:37" x14ac:dyDescent="0.25">
      <c r="A465" s="2">
        <v>40547</v>
      </c>
      <c r="B465" s="3">
        <v>2844.17</v>
      </c>
      <c r="C465" s="2">
        <v>40554</v>
      </c>
      <c r="D465" s="3">
        <v>20339.05</v>
      </c>
      <c r="E465" s="2"/>
      <c r="F465" s="3"/>
      <c r="G465" s="2"/>
      <c r="H465" s="3"/>
      <c r="I465" s="65"/>
      <c r="K465" s="65"/>
      <c r="M465" s="65"/>
      <c r="O465" s="65"/>
      <c r="Q465" s="65"/>
      <c r="S465" s="65"/>
      <c r="U465" s="65"/>
      <c r="W465" s="65"/>
      <c r="Y465" s="65"/>
      <c r="AA465" s="65"/>
      <c r="AC465" s="65"/>
      <c r="AE465" s="65"/>
      <c r="AG465" s="65"/>
      <c r="AI465" s="65"/>
      <c r="AK465" s="65"/>
    </row>
    <row r="466" spans="1:37" x14ac:dyDescent="0.25">
      <c r="A466" s="2">
        <v>40548</v>
      </c>
      <c r="B466" s="3">
        <v>2833.74</v>
      </c>
      <c r="C466" s="2">
        <v>40555</v>
      </c>
      <c r="D466" s="3">
        <v>21116.39</v>
      </c>
      <c r="E466" s="2"/>
      <c r="F466" s="3"/>
      <c r="G466" s="2"/>
      <c r="H466" s="3"/>
      <c r="I466" s="65"/>
      <c r="K466" s="65"/>
      <c r="M466" s="65"/>
      <c r="O466" s="65"/>
      <c r="Q466" s="65"/>
      <c r="S466" s="65"/>
      <c r="U466" s="65"/>
      <c r="W466" s="65"/>
      <c r="Y466" s="65"/>
      <c r="AA466" s="65"/>
      <c r="AC466" s="65"/>
      <c r="AE466" s="65"/>
      <c r="AG466" s="65"/>
      <c r="AI466" s="65"/>
      <c r="AK466" s="65"/>
    </row>
    <row r="467" spans="1:37" x14ac:dyDescent="0.25">
      <c r="A467" s="2">
        <v>40549</v>
      </c>
      <c r="B467" s="3">
        <v>2836.23</v>
      </c>
      <c r="C467" s="2">
        <v>40556</v>
      </c>
      <c r="D467" s="3">
        <v>21308.13</v>
      </c>
      <c r="E467" s="2"/>
      <c r="F467" s="3"/>
      <c r="G467" s="2"/>
      <c r="H467" s="3"/>
      <c r="I467" s="65"/>
      <c r="K467" s="65"/>
      <c r="M467" s="65"/>
      <c r="O467" s="65"/>
      <c r="Q467" s="65"/>
      <c r="S467" s="65"/>
      <c r="U467" s="65"/>
      <c r="W467" s="65"/>
      <c r="Y467" s="65"/>
      <c r="AA467" s="65"/>
      <c r="AC467" s="65"/>
      <c r="AE467" s="65"/>
      <c r="AG467" s="65"/>
      <c r="AI467" s="65"/>
      <c r="AK467" s="65"/>
    </row>
    <row r="468" spans="1:37" x14ac:dyDescent="0.25">
      <c r="A468" s="2">
        <v>40550</v>
      </c>
      <c r="B468" s="3">
        <v>2808.25</v>
      </c>
      <c r="C468" s="2">
        <v>40557</v>
      </c>
      <c r="D468" s="3">
        <v>21460.09</v>
      </c>
      <c r="E468" s="2"/>
      <c r="F468" s="3"/>
      <c r="G468" s="2"/>
      <c r="H468" s="3"/>
      <c r="I468" s="65"/>
      <c r="K468" s="65"/>
      <c r="M468" s="65"/>
      <c r="O468" s="65"/>
      <c r="Q468" s="65"/>
      <c r="S468" s="65"/>
      <c r="U468" s="65"/>
      <c r="W468" s="65"/>
      <c r="Y468" s="65"/>
      <c r="AA468" s="65"/>
      <c r="AC468" s="65"/>
      <c r="AE468" s="65"/>
      <c r="AG468" s="65"/>
      <c r="AI468" s="65"/>
      <c r="AK468" s="65"/>
    </row>
    <row r="469" spans="1:37" x14ac:dyDescent="0.25">
      <c r="A469" s="2">
        <v>40553</v>
      </c>
      <c r="B469" s="3">
        <v>2760.88</v>
      </c>
      <c r="C469" s="2">
        <v>40560</v>
      </c>
      <c r="D469" s="3">
        <v>21344.14</v>
      </c>
      <c r="E469" s="2"/>
      <c r="F469" s="3"/>
      <c r="G469" s="2"/>
      <c r="H469" s="3"/>
      <c r="I469" s="65"/>
      <c r="K469" s="65"/>
      <c r="M469" s="65"/>
      <c r="O469" s="65"/>
      <c r="Q469" s="65"/>
      <c r="S469" s="65"/>
      <c r="U469" s="65"/>
      <c r="W469" s="65"/>
      <c r="Y469" s="65"/>
      <c r="AA469" s="65"/>
      <c r="AC469" s="65"/>
      <c r="AE469" s="65"/>
      <c r="AG469" s="65"/>
      <c r="AI469" s="65"/>
      <c r="AK469" s="65"/>
    </row>
    <row r="470" spans="1:37" x14ac:dyDescent="0.25">
      <c r="A470" s="2">
        <v>40554</v>
      </c>
      <c r="B470" s="3">
        <v>2796.6</v>
      </c>
      <c r="C470" s="2">
        <v>40561</v>
      </c>
      <c r="D470" s="3">
        <v>21590.86</v>
      </c>
      <c r="E470" s="2"/>
      <c r="F470" s="3"/>
      <c r="G470" s="2"/>
      <c r="H470" s="3"/>
      <c r="I470" s="65"/>
      <c r="K470" s="65"/>
      <c r="M470" s="65"/>
      <c r="O470" s="65"/>
      <c r="Q470" s="65"/>
      <c r="S470" s="65"/>
      <c r="U470" s="65"/>
      <c r="W470" s="65"/>
      <c r="Y470" s="65"/>
      <c r="AA470" s="65"/>
      <c r="AC470" s="65"/>
      <c r="AE470" s="65"/>
      <c r="AG470" s="65"/>
      <c r="AI470" s="65"/>
      <c r="AK470" s="65"/>
    </row>
    <row r="471" spans="1:37" x14ac:dyDescent="0.25">
      <c r="A471" s="2">
        <v>40555</v>
      </c>
      <c r="B471" s="3">
        <v>2879.11</v>
      </c>
      <c r="C471" s="2">
        <v>40562</v>
      </c>
      <c r="D471" s="3">
        <v>21712.14</v>
      </c>
      <c r="E471" s="2"/>
      <c r="F471" s="3"/>
      <c r="G471" s="2"/>
      <c r="H471" s="3"/>
      <c r="I471" s="65"/>
      <c r="K471" s="65"/>
      <c r="M471" s="65"/>
      <c r="O471" s="65"/>
      <c r="Q471" s="65"/>
      <c r="S471" s="65"/>
      <c r="U471" s="65"/>
      <c r="W471" s="65"/>
      <c r="Y471" s="65"/>
      <c r="AA471" s="65"/>
      <c r="AC471" s="65"/>
      <c r="AE471" s="65"/>
      <c r="AG471" s="65"/>
      <c r="AI471" s="65"/>
      <c r="AK471" s="65"/>
    </row>
    <row r="472" spans="1:37" x14ac:dyDescent="0.25">
      <c r="A472" s="2">
        <v>40556</v>
      </c>
      <c r="B472" s="3">
        <v>2915.62</v>
      </c>
      <c r="C472" s="2">
        <v>40563</v>
      </c>
      <c r="D472" s="3">
        <v>21792.28</v>
      </c>
      <c r="E472" s="2"/>
      <c r="F472" s="3"/>
      <c r="G472" s="2"/>
      <c r="H472" s="3"/>
      <c r="I472" s="65"/>
      <c r="K472" s="65"/>
      <c r="M472" s="65"/>
      <c r="O472" s="65"/>
      <c r="Q472" s="65"/>
      <c r="S472" s="65"/>
      <c r="U472" s="65"/>
      <c r="W472" s="65"/>
      <c r="Y472" s="65"/>
      <c r="AA472" s="65"/>
      <c r="AC472" s="65"/>
      <c r="AE472" s="65"/>
      <c r="AG472" s="65"/>
      <c r="AI472" s="65"/>
      <c r="AK472" s="65"/>
    </row>
    <row r="473" spans="1:37" x14ac:dyDescent="0.25">
      <c r="A473" s="2">
        <v>40557</v>
      </c>
      <c r="B473" s="3">
        <v>2920.4</v>
      </c>
      <c r="C473" s="2">
        <v>40564</v>
      </c>
      <c r="D473" s="3">
        <v>22093.85</v>
      </c>
      <c r="E473" s="2"/>
      <c r="F473" s="3"/>
      <c r="G473" s="2"/>
      <c r="H473" s="3"/>
      <c r="I473" s="65"/>
      <c r="K473" s="65"/>
      <c r="M473" s="65"/>
      <c r="O473" s="65"/>
      <c r="Q473" s="65"/>
      <c r="S473" s="65"/>
      <c r="U473" s="65"/>
      <c r="W473" s="65"/>
      <c r="Y473" s="65"/>
      <c r="AA473" s="65"/>
      <c r="AC473" s="65"/>
      <c r="AE473" s="65"/>
      <c r="AG473" s="65"/>
      <c r="AI473" s="65"/>
      <c r="AK473" s="65"/>
    </row>
    <row r="474" spans="1:37" x14ac:dyDescent="0.25">
      <c r="A474" s="2">
        <v>40560</v>
      </c>
      <c r="B474" s="3">
        <v>2910.63</v>
      </c>
      <c r="C474" s="2">
        <v>40567</v>
      </c>
      <c r="D474" s="3">
        <v>22156.85</v>
      </c>
      <c r="E474" s="2"/>
      <c r="F474" s="3"/>
      <c r="G474" s="2"/>
      <c r="H474" s="3"/>
      <c r="I474" s="65"/>
      <c r="K474" s="65"/>
      <c r="M474" s="65"/>
      <c r="O474" s="65"/>
      <c r="Q474" s="65"/>
      <c r="S474" s="65"/>
      <c r="U474" s="65"/>
      <c r="W474" s="65"/>
      <c r="Y474" s="65"/>
      <c r="AA474" s="65"/>
      <c r="AC474" s="65"/>
      <c r="AE474" s="65"/>
      <c r="AG474" s="65"/>
      <c r="AI474" s="65"/>
      <c r="AK474" s="65"/>
    </row>
    <row r="475" spans="1:37" x14ac:dyDescent="0.25">
      <c r="A475" s="2">
        <v>40561</v>
      </c>
      <c r="B475" s="3">
        <v>2945.62</v>
      </c>
      <c r="C475" s="2">
        <v>40568</v>
      </c>
      <c r="D475" s="3">
        <v>21940.13</v>
      </c>
      <c r="E475" s="2"/>
      <c r="F475" s="3"/>
      <c r="G475" s="2"/>
      <c r="H475" s="3"/>
      <c r="I475" s="65"/>
      <c r="K475" s="65"/>
      <c r="M475" s="65"/>
      <c r="O475" s="65"/>
      <c r="Q475" s="65"/>
      <c r="S475" s="65"/>
      <c r="U475" s="65"/>
      <c r="W475" s="65"/>
      <c r="Y475" s="65"/>
      <c r="AA475" s="65"/>
      <c r="AC475" s="65"/>
      <c r="AE475" s="65"/>
      <c r="AG475" s="65"/>
      <c r="AI475" s="65"/>
      <c r="AK475" s="65"/>
    </row>
    <row r="476" spans="1:37" x14ac:dyDescent="0.25">
      <c r="A476" s="2">
        <v>40562</v>
      </c>
      <c r="B476" s="3">
        <v>2923.76</v>
      </c>
      <c r="C476" s="2">
        <v>40569</v>
      </c>
      <c r="D476" s="3">
        <v>22007</v>
      </c>
      <c r="E476" s="2"/>
      <c r="F476" s="3"/>
      <c r="G476" s="2"/>
      <c r="H476" s="3"/>
      <c r="I476" s="65"/>
      <c r="K476" s="65"/>
      <c r="M476" s="65"/>
      <c r="O476" s="65"/>
      <c r="Q476" s="65"/>
      <c r="S476" s="65"/>
      <c r="U476" s="65"/>
      <c r="W476" s="65"/>
      <c r="Y476" s="65"/>
      <c r="AA476" s="65"/>
      <c r="AC476" s="65"/>
      <c r="AE476" s="65"/>
      <c r="AG476" s="65"/>
      <c r="AI476" s="65"/>
      <c r="AK476" s="65"/>
    </row>
    <row r="477" spans="1:37" x14ac:dyDescent="0.25">
      <c r="A477" s="2">
        <v>40563</v>
      </c>
      <c r="B477" s="3">
        <v>2927.42</v>
      </c>
      <c r="C477" s="2">
        <v>40570</v>
      </c>
      <c r="D477" s="3">
        <v>22311.52</v>
      </c>
      <c r="E477" s="2"/>
      <c r="F477" s="3"/>
      <c r="G477" s="2"/>
      <c r="H477" s="3"/>
      <c r="I477" s="65"/>
      <c r="K477" s="65"/>
      <c r="M477" s="65"/>
      <c r="O477" s="65"/>
      <c r="Q477" s="65"/>
      <c r="S477" s="65"/>
      <c r="U477" s="65"/>
      <c r="W477" s="65"/>
      <c r="Y477" s="65"/>
      <c r="AA477" s="65"/>
      <c r="AC477" s="65"/>
      <c r="AE477" s="65"/>
      <c r="AG477" s="65"/>
      <c r="AI477" s="65"/>
      <c r="AK477" s="65"/>
    </row>
    <row r="478" spans="1:37" x14ac:dyDescent="0.25">
      <c r="A478" s="2">
        <v>40564</v>
      </c>
      <c r="B478" s="3">
        <v>2970.56</v>
      </c>
      <c r="C478" s="2">
        <v>40571</v>
      </c>
      <c r="D478" s="3">
        <v>22025.11</v>
      </c>
      <c r="E478" s="2"/>
      <c r="F478" s="3"/>
      <c r="G478" s="2"/>
      <c r="H478" s="3"/>
      <c r="I478" s="65"/>
      <c r="K478" s="65"/>
      <c r="M478" s="65"/>
      <c r="O478" s="65"/>
      <c r="Q478" s="65"/>
      <c r="S478" s="65"/>
      <c r="U478" s="65"/>
      <c r="W478" s="65"/>
      <c r="Y478" s="65"/>
      <c r="AA478" s="65"/>
      <c r="AC478" s="65"/>
      <c r="AE478" s="65"/>
      <c r="AG478" s="65"/>
      <c r="AI478" s="65"/>
      <c r="AK478" s="65"/>
    </row>
    <row r="479" spans="1:37" x14ac:dyDescent="0.25">
      <c r="A479" s="2">
        <v>40567</v>
      </c>
      <c r="B479" s="3">
        <v>2979.06</v>
      </c>
      <c r="C479" s="2">
        <v>40574</v>
      </c>
      <c r="D479" s="3">
        <v>22050.45</v>
      </c>
      <c r="E479" s="2"/>
      <c r="F479" s="3"/>
      <c r="G479" s="2"/>
      <c r="H479" s="3"/>
      <c r="I479" s="65"/>
      <c r="K479" s="65"/>
      <c r="M479" s="65"/>
      <c r="O479" s="65"/>
      <c r="Q479" s="65"/>
      <c r="S479" s="65"/>
      <c r="U479" s="65"/>
      <c r="W479" s="65"/>
      <c r="Y479" s="65"/>
      <c r="AA479" s="65"/>
      <c r="AC479" s="65"/>
      <c r="AE479" s="65"/>
      <c r="AG479" s="65"/>
      <c r="AI479" s="65"/>
      <c r="AK479" s="65"/>
    </row>
    <row r="480" spans="1:37" x14ac:dyDescent="0.25">
      <c r="A480" s="2">
        <v>40568</v>
      </c>
      <c r="B480" s="3">
        <v>2957.78</v>
      </c>
      <c r="C480" s="2">
        <v>40575</v>
      </c>
      <c r="D480" s="3">
        <v>22525.59</v>
      </c>
      <c r="E480" s="2"/>
      <c r="F480" s="3"/>
      <c r="G480" s="2"/>
      <c r="H480" s="3"/>
      <c r="I480" s="65"/>
      <c r="K480" s="65"/>
      <c r="M480" s="65"/>
      <c r="O480" s="65"/>
      <c r="Q480" s="65"/>
      <c r="S480" s="65"/>
      <c r="U480" s="65"/>
      <c r="W480" s="65"/>
      <c r="Y480" s="65"/>
      <c r="AA480" s="65"/>
      <c r="AC480" s="65"/>
      <c r="AE480" s="65"/>
      <c r="AG480" s="65"/>
      <c r="AI480" s="65"/>
      <c r="AK480" s="65"/>
    </row>
    <row r="481" spans="1:37" x14ac:dyDescent="0.25">
      <c r="A481" s="2">
        <v>40569</v>
      </c>
      <c r="B481" s="3">
        <v>2967.78</v>
      </c>
      <c r="C481" s="2">
        <v>40576</v>
      </c>
      <c r="D481" s="3">
        <v>22653.59</v>
      </c>
      <c r="E481" s="2"/>
      <c r="F481" s="3"/>
      <c r="G481" s="2"/>
      <c r="H481" s="3"/>
      <c r="I481" s="65"/>
      <c r="K481" s="65"/>
      <c r="M481" s="65"/>
      <c r="O481" s="65"/>
      <c r="Q481" s="65"/>
      <c r="S481" s="65"/>
      <c r="U481" s="65"/>
      <c r="W481" s="65"/>
      <c r="Y481" s="65"/>
      <c r="AA481" s="65"/>
      <c r="AC481" s="65"/>
      <c r="AE481" s="65"/>
      <c r="AG481" s="65"/>
      <c r="AI481" s="65"/>
      <c r="AK481" s="65"/>
    </row>
    <row r="482" spans="1:37" x14ac:dyDescent="0.25">
      <c r="A482" s="2">
        <v>40570</v>
      </c>
      <c r="B482" s="3">
        <v>2989.75</v>
      </c>
      <c r="C482" s="2">
        <v>40577</v>
      </c>
      <c r="D482" s="3">
        <v>22443.86</v>
      </c>
      <c r="E482" s="2"/>
      <c r="F482" s="3"/>
      <c r="G482" s="2"/>
      <c r="H482" s="3"/>
      <c r="I482" s="65"/>
      <c r="K482" s="65"/>
      <c r="M482" s="65"/>
      <c r="O482" s="65"/>
      <c r="Q482" s="65"/>
      <c r="S482" s="65"/>
      <c r="U482" s="65"/>
      <c r="W482" s="65"/>
      <c r="Y482" s="65"/>
      <c r="AA482" s="65"/>
      <c r="AC482" s="65"/>
      <c r="AE482" s="65"/>
      <c r="AG482" s="65"/>
      <c r="AI482" s="65"/>
      <c r="AK482" s="65"/>
    </row>
    <row r="483" spans="1:37" x14ac:dyDescent="0.25">
      <c r="A483" s="2">
        <v>40571</v>
      </c>
      <c r="B483" s="3">
        <v>2954.13</v>
      </c>
      <c r="C483" s="2">
        <v>40578</v>
      </c>
      <c r="D483" s="3">
        <v>22618.05</v>
      </c>
      <c r="E483" s="2"/>
      <c r="F483" s="3"/>
      <c r="G483" s="2"/>
      <c r="H483" s="3"/>
      <c r="I483" s="65"/>
      <c r="K483" s="65"/>
      <c r="M483" s="65"/>
      <c r="O483" s="65"/>
      <c r="Q483" s="65"/>
      <c r="S483" s="65"/>
      <c r="U483" s="65"/>
      <c r="W483" s="65"/>
      <c r="Y483" s="65"/>
      <c r="AA483" s="65"/>
      <c r="AC483" s="65"/>
      <c r="AE483" s="65"/>
      <c r="AG483" s="65"/>
      <c r="AI483" s="65"/>
      <c r="AK483" s="65"/>
    </row>
    <row r="484" spans="1:37" x14ac:dyDescent="0.25">
      <c r="A484" s="2">
        <v>40574</v>
      </c>
      <c r="B484" s="3">
        <v>2953.63</v>
      </c>
      <c r="C484" s="2">
        <v>40581</v>
      </c>
      <c r="D484" s="3">
        <v>22793.01</v>
      </c>
      <c r="E484" s="2"/>
      <c r="F484" s="3"/>
      <c r="G484" s="2"/>
      <c r="H484" s="3"/>
      <c r="I484" s="65"/>
      <c r="K484" s="65"/>
      <c r="M484" s="65"/>
      <c r="O484" s="65"/>
      <c r="Q484" s="65"/>
      <c r="S484" s="65"/>
      <c r="U484" s="65"/>
      <c r="W484" s="65"/>
      <c r="Y484" s="65"/>
      <c r="AA484" s="65"/>
      <c r="AC484" s="65"/>
      <c r="AE484" s="65"/>
      <c r="AG484" s="65"/>
      <c r="AI484" s="65"/>
      <c r="AK484" s="65"/>
    </row>
    <row r="485" spans="1:37" x14ac:dyDescent="0.25">
      <c r="A485" s="2">
        <v>40575</v>
      </c>
      <c r="B485" s="3">
        <v>3006.81</v>
      </c>
      <c r="C485" s="2">
        <v>40582</v>
      </c>
      <c r="D485" s="3">
        <v>22734.17</v>
      </c>
      <c r="E485" s="2"/>
      <c r="F485" s="3"/>
      <c r="G485" s="2"/>
      <c r="H485" s="3"/>
      <c r="I485" s="65"/>
      <c r="K485" s="65"/>
      <c r="M485" s="65"/>
      <c r="O485" s="65"/>
      <c r="Q485" s="65"/>
      <c r="S485" s="65"/>
      <c r="U485" s="65"/>
      <c r="W485" s="65"/>
      <c r="Y485" s="65"/>
      <c r="AA485" s="65"/>
      <c r="AC485" s="65"/>
      <c r="AE485" s="65"/>
      <c r="AG485" s="65"/>
      <c r="AI485" s="65"/>
      <c r="AK485" s="65"/>
    </row>
    <row r="486" spans="1:37" x14ac:dyDescent="0.25">
      <c r="A486" s="2">
        <v>40576</v>
      </c>
      <c r="B486" s="3">
        <v>3012.7</v>
      </c>
      <c r="C486" s="2">
        <v>40583</v>
      </c>
      <c r="D486" s="3">
        <v>22683.46</v>
      </c>
      <c r="E486" s="2"/>
      <c r="F486" s="3"/>
      <c r="G486" s="2"/>
      <c r="H486" s="3"/>
      <c r="I486" s="65"/>
      <c r="K486" s="65"/>
      <c r="M486" s="65"/>
      <c r="O486" s="65"/>
      <c r="Q486" s="65"/>
      <c r="S486" s="65"/>
      <c r="U486" s="65"/>
      <c r="W486" s="65"/>
      <c r="Y486" s="65"/>
      <c r="AA486" s="65"/>
      <c r="AC486" s="65"/>
      <c r="AE486" s="65"/>
      <c r="AG486" s="65"/>
      <c r="AI486" s="65"/>
      <c r="AK486" s="65"/>
    </row>
    <row r="487" spans="1:37" x14ac:dyDescent="0.25">
      <c r="A487" s="2">
        <v>40577</v>
      </c>
      <c r="B487" s="3">
        <v>2995.49</v>
      </c>
      <c r="C487" s="2">
        <v>40584</v>
      </c>
      <c r="D487" s="3">
        <v>22596.79</v>
      </c>
      <c r="E487" s="2"/>
      <c r="F487" s="3"/>
      <c r="G487" s="2"/>
      <c r="H487" s="3"/>
      <c r="I487" s="65"/>
      <c r="K487" s="65"/>
      <c r="M487" s="65"/>
      <c r="O487" s="65"/>
      <c r="Q487" s="65"/>
      <c r="S487" s="65"/>
      <c r="U487" s="65"/>
      <c r="W487" s="65"/>
      <c r="Y487" s="65"/>
      <c r="AA487" s="65"/>
      <c r="AC487" s="65"/>
      <c r="AE487" s="65"/>
      <c r="AG487" s="65"/>
      <c r="AI487" s="65"/>
      <c r="AK487" s="65"/>
    </row>
    <row r="488" spans="1:37" x14ac:dyDescent="0.25">
      <c r="A488" s="2">
        <v>40578</v>
      </c>
      <c r="B488" s="3">
        <v>3003.19</v>
      </c>
      <c r="C488" s="2">
        <v>40585</v>
      </c>
      <c r="D488" s="3">
        <v>22695.19</v>
      </c>
      <c r="E488" s="2"/>
      <c r="F488" s="3"/>
      <c r="G488" s="2"/>
      <c r="H488" s="3"/>
      <c r="I488" s="65"/>
      <c r="K488" s="65"/>
      <c r="M488" s="65"/>
      <c r="O488" s="65"/>
      <c r="Q488" s="65"/>
      <c r="S488" s="65"/>
      <c r="U488" s="65"/>
      <c r="W488" s="65"/>
      <c r="Y488" s="65"/>
      <c r="AA488" s="65"/>
      <c r="AC488" s="65"/>
      <c r="AE488" s="65"/>
      <c r="AG488" s="65"/>
      <c r="AI488" s="65"/>
      <c r="AK488" s="65"/>
    </row>
    <row r="489" spans="1:37" x14ac:dyDescent="0.25">
      <c r="A489" s="2">
        <v>40581</v>
      </c>
      <c r="B489" s="3">
        <v>3031.18</v>
      </c>
      <c r="C489" s="2">
        <v>40588</v>
      </c>
      <c r="D489" s="3">
        <v>22637.29</v>
      </c>
      <c r="E489" s="2"/>
      <c r="F489" s="3"/>
      <c r="G489" s="2"/>
      <c r="H489" s="3"/>
      <c r="I489" s="65"/>
      <c r="K489" s="65"/>
      <c r="M489" s="65"/>
      <c r="O489" s="65"/>
      <c r="Q489" s="65"/>
      <c r="S489" s="65"/>
      <c r="U489" s="65"/>
      <c r="W489" s="65"/>
      <c r="Y489" s="65"/>
      <c r="AA489" s="65"/>
      <c r="AC489" s="65"/>
      <c r="AE489" s="65"/>
      <c r="AG489" s="65"/>
      <c r="AI489" s="65"/>
      <c r="AK489" s="65"/>
    </row>
    <row r="490" spans="1:37" x14ac:dyDescent="0.25">
      <c r="A490" s="2">
        <v>40582</v>
      </c>
      <c r="B490" s="3">
        <v>3042.5</v>
      </c>
      <c r="C490" s="2">
        <v>40589</v>
      </c>
      <c r="D490" s="3">
        <v>22823.82</v>
      </c>
      <c r="E490" s="2"/>
      <c r="F490" s="3"/>
      <c r="G490" s="2"/>
      <c r="H490" s="3"/>
      <c r="I490" s="65"/>
      <c r="K490" s="65"/>
      <c r="M490" s="65"/>
      <c r="O490" s="65"/>
      <c r="Q490" s="65"/>
      <c r="S490" s="65"/>
      <c r="U490" s="65"/>
      <c r="W490" s="65"/>
      <c r="Y490" s="65"/>
      <c r="AA490" s="65"/>
      <c r="AC490" s="65"/>
      <c r="AE490" s="65"/>
      <c r="AG490" s="65"/>
      <c r="AI490" s="65"/>
      <c r="AK490" s="65"/>
    </row>
    <row r="491" spans="1:37" x14ac:dyDescent="0.25">
      <c r="A491" s="2">
        <v>40583</v>
      </c>
      <c r="B491" s="3">
        <v>3031.62</v>
      </c>
      <c r="C491" s="2">
        <v>40590</v>
      </c>
      <c r="D491" s="3">
        <v>23167.58</v>
      </c>
      <c r="E491" s="2"/>
      <c r="F491" s="3"/>
      <c r="G491" s="2"/>
      <c r="H491" s="3"/>
      <c r="I491" s="65"/>
      <c r="K491" s="65"/>
      <c r="M491" s="65"/>
      <c r="O491" s="65"/>
      <c r="Q491" s="65"/>
      <c r="S491" s="65"/>
      <c r="U491" s="65"/>
      <c r="W491" s="65"/>
      <c r="Y491" s="65"/>
      <c r="AA491" s="65"/>
      <c r="AC491" s="65"/>
      <c r="AE491" s="65"/>
      <c r="AG491" s="65"/>
      <c r="AI491" s="65"/>
      <c r="AK491" s="65"/>
    </row>
    <row r="492" spans="1:37" x14ac:dyDescent="0.25">
      <c r="A492" s="2">
        <v>40584</v>
      </c>
      <c r="B492" s="3">
        <v>3025.68</v>
      </c>
      <c r="C492" s="2">
        <v>40591</v>
      </c>
      <c r="D492" s="3">
        <v>23178.38</v>
      </c>
      <c r="E492" s="2"/>
      <c r="F492" s="3"/>
      <c r="G492" s="2"/>
      <c r="H492" s="3"/>
      <c r="I492" s="65"/>
      <c r="K492" s="65"/>
      <c r="M492" s="65"/>
      <c r="O492" s="65"/>
      <c r="Q492" s="65"/>
      <c r="S492" s="65"/>
      <c r="U492" s="65"/>
      <c r="W492" s="65"/>
      <c r="Y492" s="65"/>
      <c r="AA492" s="65"/>
      <c r="AC492" s="65"/>
      <c r="AE492" s="65"/>
      <c r="AG492" s="65"/>
      <c r="AI492" s="65"/>
      <c r="AK492" s="65"/>
    </row>
    <row r="493" spans="1:37" x14ac:dyDescent="0.25">
      <c r="A493" s="2">
        <v>40585</v>
      </c>
      <c r="B493" s="3">
        <v>3024.37</v>
      </c>
      <c r="C493" s="2">
        <v>40592</v>
      </c>
      <c r="D493" s="3">
        <v>23059.03</v>
      </c>
      <c r="E493" s="2"/>
      <c r="F493" s="3"/>
      <c r="G493" s="2"/>
      <c r="H493" s="3"/>
      <c r="I493" s="65"/>
      <c r="K493" s="65"/>
      <c r="M493" s="65"/>
      <c r="O493" s="65"/>
      <c r="Q493" s="65"/>
      <c r="S493" s="65"/>
      <c r="U493" s="65"/>
      <c r="W493" s="65"/>
      <c r="Y493" s="65"/>
      <c r="AA493" s="65"/>
      <c r="AC493" s="65"/>
      <c r="AE493" s="65"/>
      <c r="AG493" s="65"/>
      <c r="AI493" s="65"/>
      <c r="AK493" s="65"/>
    </row>
    <row r="494" spans="1:37" x14ac:dyDescent="0.25">
      <c r="A494" s="2">
        <v>40588</v>
      </c>
      <c r="B494" s="3">
        <v>3018.38</v>
      </c>
      <c r="C494" s="2">
        <v>40595</v>
      </c>
      <c r="D494" s="3">
        <v>22230.2</v>
      </c>
      <c r="E494" s="2"/>
      <c r="F494" s="3"/>
      <c r="G494" s="2"/>
      <c r="H494" s="3"/>
      <c r="I494" s="65"/>
      <c r="K494" s="65"/>
      <c r="M494" s="65"/>
      <c r="O494" s="65"/>
      <c r="Q494" s="65"/>
      <c r="S494" s="65"/>
      <c r="U494" s="65"/>
      <c r="W494" s="65"/>
      <c r="Y494" s="65"/>
      <c r="AA494" s="65"/>
      <c r="AC494" s="65"/>
      <c r="AE494" s="65"/>
      <c r="AG494" s="65"/>
      <c r="AI494" s="65"/>
      <c r="AK494" s="65"/>
    </row>
    <row r="495" spans="1:37" x14ac:dyDescent="0.25">
      <c r="A495" s="2">
        <v>40589</v>
      </c>
      <c r="B495" s="3">
        <v>3030.46</v>
      </c>
      <c r="C495" s="2">
        <v>40596</v>
      </c>
      <c r="D495" s="3">
        <v>21993.96</v>
      </c>
      <c r="E495" s="2"/>
      <c r="F495" s="3"/>
      <c r="G495" s="2"/>
      <c r="H495" s="3"/>
      <c r="I495" s="65"/>
      <c r="K495" s="65"/>
      <c r="M495" s="65"/>
      <c r="O495" s="65"/>
      <c r="Q495" s="65"/>
      <c r="S495" s="65"/>
      <c r="U495" s="65"/>
      <c r="W495" s="65"/>
      <c r="Y495" s="65"/>
      <c r="AA495" s="65"/>
      <c r="AC495" s="65"/>
      <c r="AE495" s="65"/>
      <c r="AG495" s="65"/>
      <c r="AI495" s="65"/>
      <c r="AK495" s="65"/>
    </row>
    <row r="496" spans="1:37" x14ac:dyDescent="0.25">
      <c r="A496" s="2">
        <v>40590</v>
      </c>
      <c r="B496" s="3">
        <v>3061.92</v>
      </c>
      <c r="C496" s="2">
        <v>40597</v>
      </c>
      <c r="D496" s="3">
        <v>21929.79</v>
      </c>
      <c r="E496" s="2"/>
      <c r="F496" s="3"/>
      <c r="G496" s="2"/>
      <c r="H496" s="3"/>
      <c r="I496" s="65"/>
      <c r="K496" s="65"/>
      <c r="M496" s="65"/>
      <c r="O496" s="65"/>
      <c r="Q496" s="65"/>
      <c r="S496" s="65"/>
      <c r="U496" s="65"/>
      <c r="W496" s="65"/>
      <c r="Y496" s="65"/>
      <c r="AA496" s="65"/>
      <c r="AC496" s="65"/>
      <c r="AE496" s="65"/>
      <c r="AG496" s="65"/>
      <c r="AI496" s="65"/>
      <c r="AK496" s="65"/>
    </row>
    <row r="497" spans="1:37" x14ac:dyDescent="0.25">
      <c r="A497" s="2">
        <v>40591</v>
      </c>
      <c r="B497" s="3">
        <v>3064.54</v>
      </c>
      <c r="C497" s="2">
        <v>40598</v>
      </c>
      <c r="D497" s="3">
        <v>21948.73</v>
      </c>
      <c r="E497" s="2"/>
      <c r="F497" s="3"/>
      <c r="G497" s="2"/>
      <c r="H497" s="3"/>
      <c r="I497" s="65"/>
      <c r="K497" s="65"/>
      <c r="M497" s="65"/>
      <c r="O497" s="65"/>
      <c r="Q497" s="65"/>
      <c r="S497" s="65"/>
      <c r="U497" s="65"/>
      <c r="W497" s="65"/>
      <c r="Y497" s="65"/>
      <c r="AA497" s="65"/>
      <c r="AC497" s="65"/>
      <c r="AE497" s="65"/>
      <c r="AG497" s="65"/>
      <c r="AI497" s="65"/>
      <c r="AK497" s="65"/>
    </row>
    <row r="498" spans="1:37" x14ac:dyDescent="0.25">
      <c r="A498" s="2">
        <v>40592</v>
      </c>
      <c r="B498" s="3">
        <v>3068</v>
      </c>
      <c r="C498" s="2">
        <v>40599</v>
      </c>
      <c r="D498" s="3">
        <v>22349.71</v>
      </c>
      <c r="E498" s="2"/>
      <c r="F498" s="3"/>
      <c r="G498" s="2"/>
      <c r="H498" s="3"/>
      <c r="I498" s="65"/>
      <c r="K498" s="65"/>
      <c r="M498" s="65"/>
      <c r="O498" s="65"/>
      <c r="Q498" s="65"/>
      <c r="S498" s="65"/>
      <c r="U498" s="65"/>
      <c r="W498" s="65"/>
      <c r="Y498" s="65"/>
      <c r="AA498" s="65"/>
      <c r="AC498" s="65"/>
      <c r="AE498" s="65"/>
      <c r="AG498" s="65"/>
      <c r="AI498" s="65"/>
      <c r="AK498" s="65"/>
    </row>
    <row r="499" spans="1:37" x14ac:dyDescent="0.25">
      <c r="A499" s="2">
        <v>40595</v>
      </c>
      <c r="B499" s="3">
        <v>3012.34</v>
      </c>
      <c r="C499" s="2">
        <v>40602</v>
      </c>
      <c r="D499" s="3">
        <v>22466.57</v>
      </c>
      <c r="E499" s="2"/>
      <c r="F499" s="3"/>
      <c r="G499" s="2"/>
      <c r="H499" s="3"/>
      <c r="I499" s="65"/>
      <c r="K499" s="65"/>
      <c r="M499" s="65"/>
      <c r="O499" s="65"/>
      <c r="Q499" s="65"/>
      <c r="S499" s="65"/>
      <c r="U499" s="65"/>
      <c r="W499" s="65"/>
      <c r="Y499" s="65"/>
      <c r="AA499" s="65"/>
      <c r="AC499" s="65"/>
      <c r="AE499" s="65"/>
      <c r="AG499" s="65"/>
      <c r="AI499" s="65"/>
      <c r="AK499" s="65"/>
    </row>
    <row r="500" spans="1:37" x14ac:dyDescent="0.25">
      <c r="A500" s="2">
        <v>40596</v>
      </c>
      <c r="B500" s="3">
        <v>2983.33</v>
      </c>
      <c r="C500" s="2">
        <v>40603</v>
      </c>
      <c r="D500" s="3">
        <v>22227.23</v>
      </c>
      <c r="E500" s="2"/>
      <c r="F500" s="3"/>
      <c r="G500" s="2"/>
      <c r="H500" s="3"/>
      <c r="I500" s="65"/>
      <c r="K500" s="65"/>
      <c r="M500" s="65"/>
      <c r="O500" s="65"/>
      <c r="Q500" s="65"/>
      <c r="S500" s="65"/>
      <c r="U500" s="65"/>
      <c r="W500" s="65"/>
      <c r="Y500" s="65"/>
      <c r="AA500" s="65"/>
      <c r="AC500" s="65"/>
      <c r="AE500" s="65"/>
      <c r="AG500" s="65"/>
      <c r="AI500" s="65"/>
      <c r="AK500" s="65"/>
    </row>
    <row r="501" spans="1:37" x14ac:dyDescent="0.25">
      <c r="A501" s="2">
        <v>40597</v>
      </c>
      <c r="B501" s="3">
        <v>2954.92</v>
      </c>
      <c r="C501" s="2">
        <v>40604</v>
      </c>
      <c r="D501" s="3">
        <v>22238.75</v>
      </c>
      <c r="E501" s="2"/>
      <c r="F501" s="3"/>
      <c r="G501" s="2"/>
      <c r="H501" s="3"/>
      <c r="I501" s="65"/>
      <c r="K501" s="65"/>
      <c r="M501" s="65"/>
      <c r="O501" s="65"/>
      <c r="Q501" s="65"/>
      <c r="S501" s="65"/>
      <c r="U501" s="65"/>
      <c r="W501" s="65"/>
      <c r="Y501" s="65"/>
      <c r="AA501" s="65"/>
      <c r="AC501" s="65"/>
      <c r="AE501" s="65"/>
      <c r="AG501" s="65"/>
      <c r="AI501" s="65"/>
      <c r="AK501" s="65"/>
    </row>
    <row r="502" spans="1:37" x14ac:dyDescent="0.25">
      <c r="A502" s="2">
        <v>40598</v>
      </c>
      <c r="B502" s="3">
        <v>2949.13</v>
      </c>
      <c r="C502" s="2">
        <v>40605</v>
      </c>
      <c r="D502" s="3">
        <v>22154.23</v>
      </c>
      <c r="E502" s="2"/>
      <c r="F502" s="3"/>
      <c r="G502" s="2"/>
      <c r="H502" s="3"/>
      <c r="I502" s="65"/>
      <c r="K502" s="65"/>
      <c r="M502" s="65"/>
      <c r="O502" s="65"/>
      <c r="Q502" s="65"/>
      <c r="S502" s="65"/>
      <c r="U502" s="65"/>
      <c r="W502" s="65"/>
      <c r="Y502" s="65"/>
      <c r="AA502" s="65"/>
      <c r="AC502" s="65"/>
      <c r="AE502" s="65"/>
      <c r="AG502" s="65"/>
      <c r="AI502" s="65"/>
      <c r="AK502" s="65"/>
    </row>
    <row r="503" spans="1:37" x14ac:dyDescent="0.25">
      <c r="A503" s="2">
        <v>40599</v>
      </c>
      <c r="B503" s="3">
        <v>2985.02</v>
      </c>
      <c r="C503" s="2">
        <v>40606</v>
      </c>
      <c r="D503" s="3">
        <v>22138.44</v>
      </c>
      <c r="E503" s="2"/>
      <c r="F503" s="3"/>
      <c r="G503" s="2"/>
      <c r="H503" s="3"/>
      <c r="I503" s="65"/>
      <c r="K503" s="65"/>
      <c r="M503" s="65"/>
      <c r="O503" s="65"/>
      <c r="Q503" s="65"/>
      <c r="S503" s="65"/>
      <c r="U503" s="65"/>
      <c r="W503" s="65"/>
      <c r="Y503" s="65"/>
      <c r="AA503" s="65"/>
      <c r="AC503" s="65"/>
      <c r="AE503" s="65"/>
      <c r="AG503" s="65"/>
      <c r="AI503" s="65"/>
      <c r="AK503" s="65"/>
    </row>
    <row r="504" spans="1:37" x14ac:dyDescent="0.25">
      <c r="A504" s="2">
        <v>40602</v>
      </c>
      <c r="B504" s="3">
        <v>3013.09</v>
      </c>
      <c r="C504" s="2">
        <v>40609</v>
      </c>
      <c r="D504" s="3">
        <v>22145.79</v>
      </c>
      <c r="E504" s="2"/>
      <c r="F504" s="3"/>
      <c r="G504" s="2"/>
      <c r="H504" s="3"/>
      <c r="I504" s="65"/>
      <c r="K504" s="65"/>
      <c r="M504" s="65"/>
      <c r="O504" s="65"/>
      <c r="Q504" s="65"/>
      <c r="S504" s="65"/>
      <c r="U504" s="65"/>
      <c r="W504" s="65"/>
      <c r="Y504" s="65"/>
      <c r="AA504" s="65"/>
      <c r="AC504" s="65"/>
      <c r="AE504" s="65"/>
      <c r="AG504" s="65"/>
      <c r="AI504" s="65"/>
      <c r="AK504" s="65"/>
    </row>
    <row r="505" spans="1:37" x14ac:dyDescent="0.25">
      <c r="A505" s="2">
        <v>40603</v>
      </c>
      <c r="B505" s="3">
        <v>2983.27</v>
      </c>
      <c r="C505" s="2">
        <v>40610</v>
      </c>
      <c r="D505" s="3">
        <v>22353.45</v>
      </c>
      <c r="E505" s="2"/>
      <c r="F505" s="3"/>
      <c r="G505" s="2"/>
      <c r="H505" s="3"/>
      <c r="I505" s="65"/>
      <c r="K505" s="65"/>
      <c r="M505" s="65"/>
      <c r="O505" s="65"/>
      <c r="Q505" s="65"/>
      <c r="S505" s="65"/>
      <c r="U505" s="65"/>
      <c r="W505" s="65"/>
      <c r="Y505" s="65"/>
      <c r="AA505" s="65"/>
      <c r="AC505" s="65"/>
      <c r="AE505" s="65"/>
      <c r="AG505" s="65"/>
      <c r="AI505" s="65"/>
      <c r="AK505" s="65"/>
    </row>
    <row r="506" spans="1:37" x14ac:dyDescent="0.25">
      <c r="A506" s="2">
        <v>40604</v>
      </c>
      <c r="B506" s="3">
        <v>2958.8</v>
      </c>
      <c r="C506" s="2">
        <v>40611</v>
      </c>
      <c r="D506" s="3">
        <v>22441.24</v>
      </c>
      <c r="E506" s="2"/>
      <c r="F506" s="3"/>
      <c r="G506" s="2"/>
      <c r="H506" s="3"/>
      <c r="I506" s="65"/>
      <c r="K506" s="65"/>
      <c r="M506" s="65"/>
      <c r="O506" s="65"/>
      <c r="Q506" s="65"/>
      <c r="S506" s="65"/>
      <c r="U506" s="65"/>
      <c r="W506" s="65"/>
      <c r="Y506" s="65"/>
      <c r="AA506" s="65"/>
      <c r="AC506" s="65"/>
      <c r="AE506" s="65"/>
      <c r="AG506" s="65"/>
      <c r="AI506" s="65"/>
      <c r="AK506" s="65"/>
    </row>
    <row r="507" spans="1:37" x14ac:dyDescent="0.25">
      <c r="A507" s="2">
        <v>40605</v>
      </c>
      <c r="B507" s="3">
        <v>2969.24</v>
      </c>
      <c r="C507" s="2">
        <v>40612</v>
      </c>
      <c r="D507" s="3">
        <v>22084.46</v>
      </c>
      <c r="E507" s="2"/>
      <c r="F507" s="3"/>
      <c r="G507" s="2"/>
      <c r="H507" s="3"/>
      <c r="I507" s="65"/>
      <c r="K507" s="65"/>
      <c r="M507" s="65"/>
      <c r="O507" s="65"/>
      <c r="Q507" s="65"/>
      <c r="S507" s="65"/>
      <c r="U507" s="65"/>
      <c r="W507" s="65"/>
      <c r="Y507" s="65"/>
      <c r="AA507" s="65"/>
      <c r="AC507" s="65"/>
      <c r="AE507" s="65"/>
      <c r="AG507" s="65"/>
      <c r="AI507" s="65"/>
      <c r="AK507" s="65"/>
    </row>
    <row r="508" spans="1:37" x14ac:dyDescent="0.25">
      <c r="A508" s="2">
        <v>40606</v>
      </c>
      <c r="B508" s="3">
        <v>2949.18</v>
      </c>
      <c r="C508" s="2">
        <v>40613</v>
      </c>
      <c r="D508" s="3">
        <v>21863.02</v>
      </c>
      <c r="E508" s="2"/>
      <c r="F508" s="3"/>
      <c r="G508" s="2"/>
      <c r="H508" s="3"/>
      <c r="I508" s="65"/>
      <c r="K508" s="65"/>
      <c r="M508" s="65"/>
      <c r="O508" s="65"/>
      <c r="Q508" s="65"/>
      <c r="S508" s="65"/>
      <c r="U508" s="65"/>
      <c r="W508" s="65"/>
      <c r="Y508" s="65"/>
      <c r="AA508" s="65"/>
      <c r="AC508" s="65"/>
      <c r="AE508" s="65"/>
      <c r="AG508" s="65"/>
      <c r="AI508" s="65"/>
      <c r="AK508" s="65"/>
    </row>
    <row r="509" spans="1:37" x14ac:dyDescent="0.25">
      <c r="A509" s="2">
        <v>40609</v>
      </c>
      <c r="B509" s="3">
        <v>2931.42</v>
      </c>
      <c r="C509" s="2">
        <v>40616</v>
      </c>
      <c r="D509" s="3">
        <v>21804.32</v>
      </c>
      <c r="E509" s="2"/>
      <c r="F509" s="3"/>
      <c r="G509" s="2"/>
      <c r="H509" s="3"/>
      <c r="I509" s="65"/>
      <c r="K509" s="65"/>
      <c r="M509" s="65"/>
      <c r="O509" s="65"/>
      <c r="Q509" s="65"/>
      <c r="S509" s="65"/>
      <c r="U509" s="65"/>
      <c r="W509" s="65"/>
      <c r="Y509" s="65"/>
      <c r="AA509" s="65"/>
      <c r="AC509" s="65"/>
      <c r="AE509" s="65"/>
      <c r="AG509" s="65"/>
      <c r="AI509" s="65"/>
      <c r="AK509" s="65"/>
    </row>
    <row r="510" spans="1:37" x14ac:dyDescent="0.25">
      <c r="A510" s="2">
        <v>40610</v>
      </c>
      <c r="B510" s="3">
        <v>2945.42</v>
      </c>
      <c r="C510" s="2">
        <v>40617</v>
      </c>
      <c r="D510" s="3">
        <v>21365.4</v>
      </c>
      <c r="E510" s="2"/>
      <c r="F510" s="3"/>
      <c r="G510" s="2"/>
      <c r="H510" s="3"/>
      <c r="I510" s="65"/>
      <c r="K510" s="65"/>
      <c r="M510" s="65"/>
      <c r="O510" s="65"/>
      <c r="Q510" s="65"/>
      <c r="S510" s="65"/>
      <c r="U510" s="65"/>
      <c r="W510" s="65"/>
      <c r="Y510" s="65"/>
      <c r="AA510" s="65"/>
      <c r="AC510" s="65"/>
      <c r="AE510" s="65"/>
      <c r="AG510" s="65"/>
      <c r="AI510" s="65"/>
      <c r="AK510" s="65"/>
    </row>
    <row r="511" spans="1:37" x14ac:dyDescent="0.25">
      <c r="A511" s="2">
        <v>40611</v>
      </c>
      <c r="B511" s="3">
        <v>2935.11</v>
      </c>
      <c r="C511" s="2">
        <v>40618</v>
      </c>
      <c r="D511" s="3">
        <v>20836.77</v>
      </c>
      <c r="E511" s="2"/>
      <c r="F511" s="3"/>
      <c r="G511" s="2"/>
      <c r="H511" s="3"/>
      <c r="I511" s="65"/>
      <c r="K511" s="65"/>
      <c r="M511" s="65"/>
      <c r="O511" s="65"/>
      <c r="Q511" s="65"/>
      <c r="S511" s="65"/>
      <c r="U511" s="65"/>
      <c r="W511" s="65"/>
      <c r="Y511" s="65"/>
      <c r="AA511" s="65"/>
      <c r="AC511" s="65"/>
      <c r="AE511" s="65"/>
      <c r="AG511" s="65"/>
      <c r="AI511" s="65"/>
      <c r="AK511" s="65"/>
    </row>
    <row r="512" spans="1:37" x14ac:dyDescent="0.25">
      <c r="A512" s="2">
        <v>40612</v>
      </c>
      <c r="B512" s="3">
        <v>2909.73</v>
      </c>
      <c r="C512" s="2">
        <v>40619</v>
      </c>
      <c r="D512" s="3">
        <v>21140.59</v>
      </c>
      <c r="E512" s="2"/>
      <c r="F512" s="3"/>
      <c r="G512" s="2"/>
      <c r="H512" s="3"/>
      <c r="I512" s="65"/>
      <c r="K512" s="65"/>
      <c r="M512" s="65"/>
      <c r="O512" s="65"/>
      <c r="Q512" s="65"/>
      <c r="S512" s="65"/>
      <c r="U512" s="65"/>
      <c r="W512" s="65"/>
      <c r="Y512" s="65"/>
      <c r="AA512" s="65"/>
      <c r="AC512" s="65"/>
      <c r="AE512" s="65"/>
      <c r="AG512" s="65"/>
      <c r="AI512" s="65"/>
      <c r="AK512" s="65"/>
    </row>
    <row r="513" spans="1:37" x14ac:dyDescent="0.25">
      <c r="A513" s="2">
        <v>40613</v>
      </c>
      <c r="B513" s="3">
        <v>2883.84</v>
      </c>
      <c r="C513" s="2">
        <v>40620</v>
      </c>
      <c r="D513" s="3">
        <v>21197.1</v>
      </c>
      <c r="E513" s="2"/>
      <c r="F513" s="3"/>
      <c r="G513" s="2"/>
      <c r="H513" s="3"/>
      <c r="I513" s="65"/>
      <c r="K513" s="65"/>
      <c r="M513" s="65"/>
      <c r="O513" s="65"/>
      <c r="Q513" s="65"/>
      <c r="S513" s="65"/>
      <c r="U513" s="65"/>
      <c r="W513" s="65"/>
      <c r="Y513" s="65"/>
      <c r="AA513" s="65"/>
      <c r="AC513" s="65"/>
      <c r="AE513" s="65"/>
      <c r="AG513" s="65"/>
      <c r="AI513" s="65"/>
      <c r="AK513" s="65"/>
    </row>
    <row r="514" spans="1:37" x14ac:dyDescent="0.25">
      <c r="A514" s="2">
        <v>40616</v>
      </c>
      <c r="B514" s="3">
        <v>2852.11</v>
      </c>
      <c r="C514" s="2">
        <v>40623</v>
      </c>
      <c r="D514" s="3">
        <v>21527.11</v>
      </c>
      <c r="E514" s="2"/>
      <c r="F514" s="3"/>
      <c r="G514" s="2"/>
      <c r="H514" s="3"/>
      <c r="I514" s="65"/>
      <c r="K514" s="65"/>
      <c r="M514" s="65"/>
      <c r="O514" s="65"/>
      <c r="Q514" s="65"/>
      <c r="S514" s="65"/>
      <c r="U514" s="65"/>
      <c r="W514" s="65"/>
      <c r="Y514" s="65"/>
      <c r="AA514" s="65"/>
      <c r="AC514" s="65"/>
      <c r="AE514" s="65"/>
      <c r="AG514" s="65"/>
      <c r="AI514" s="65"/>
      <c r="AK514" s="65"/>
    </row>
    <row r="515" spans="1:37" x14ac:dyDescent="0.25">
      <c r="A515" s="2">
        <v>40617</v>
      </c>
      <c r="B515" s="3">
        <v>2784.2</v>
      </c>
      <c r="C515" s="2">
        <v>40624</v>
      </c>
      <c r="D515" s="3">
        <v>21556.82</v>
      </c>
      <c r="E515" s="2"/>
      <c r="F515" s="3"/>
      <c r="G515" s="2"/>
      <c r="H515" s="3"/>
      <c r="I515" s="65"/>
      <c r="K515" s="65"/>
      <c r="M515" s="65"/>
      <c r="O515" s="65"/>
      <c r="Q515" s="65"/>
      <c r="S515" s="65"/>
      <c r="U515" s="65"/>
      <c r="W515" s="65"/>
      <c r="Y515" s="65"/>
      <c r="AA515" s="65"/>
      <c r="AC515" s="65"/>
      <c r="AE515" s="65"/>
      <c r="AG515" s="65"/>
      <c r="AI515" s="65"/>
      <c r="AK515" s="65"/>
    </row>
    <row r="516" spans="1:37" x14ac:dyDescent="0.25">
      <c r="A516" s="2">
        <v>40618</v>
      </c>
      <c r="B516" s="3">
        <v>2721.24</v>
      </c>
      <c r="C516" s="2">
        <v>40625</v>
      </c>
      <c r="D516" s="3">
        <v>21698.38</v>
      </c>
      <c r="E516" s="2"/>
      <c r="F516" s="3"/>
      <c r="G516" s="2"/>
      <c r="H516" s="3"/>
      <c r="I516" s="65"/>
      <c r="K516" s="65"/>
      <c r="M516" s="65"/>
      <c r="O516" s="65"/>
      <c r="Q516" s="65"/>
      <c r="S516" s="65"/>
      <c r="U516" s="65"/>
      <c r="W516" s="65"/>
      <c r="Y516" s="65"/>
      <c r="AA516" s="65"/>
      <c r="AC516" s="65"/>
      <c r="AE516" s="65"/>
      <c r="AG516" s="65"/>
      <c r="AI516" s="65"/>
      <c r="AK516" s="65"/>
    </row>
    <row r="517" spans="1:37" x14ac:dyDescent="0.25">
      <c r="A517" s="2">
        <v>40619</v>
      </c>
      <c r="B517" s="3">
        <v>2786.16</v>
      </c>
      <c r="C517" s="2">
        <v>40626</v>
      </c>
      <c r="D517" s="3">
        <v>22023.91</v>
      </c>
      <c r="E517" s="2"/>
      <c r="F517" s="3"/>
      <c r="G517" s="2"/>
      <c r="H517" s="3"/>
      <c r="I517" s="65"/>
      <c r="K517" s="65"/>
      <c r="M517" s="65"/>
      <c r="O517" s="65"/>
      <c r="Q517" s="65"/>
      <c r="S517" s="65"/>
      <c r="U517" s="65"/>
      <c r="W517" s="65"/>
      <c r="Y517" s="65"/>
      <c r="AA517" s="65"/>
      <c r="AC517" s="65"/>
      <c r="AE517" s="65"/>
      <c r="AG517" s="65"/>
      <c r="AI517" s="65"/>
      <c r="AK517" s="65"/>
    </row>
    <row r="518" spans="1:37" x14ac:dyDescent="0.25">
      <c r="A518" s="2">
        <v>40620</v>
      </c>
      <c r="B518" s="3">
        <v>2792.61</v>
      </c>
      <c r="C518" s="2">
        <v>40627</v>
      </c>
      <c r="D518" s="3">
        <v>21984.99</v>
      </c>
      <c r="E518" s="2"/>
      <c r="F518" s="3"/>
      <c r="G518" s="2"/>
      <c r="H518" s="3"/>
      <c r="I518" s="65"/>
      <c r="K518" s="65"/>
      <c r="M518" s="65"/>
      <c r="O518" s="65"/>
      <c r="Q518" s="65"/>
      <c r="S518" s="65"/>
      <c r="U518" s="65"/>
      <c r="W518" s="65"/>
      <c r="Y518" s="65"/>
      <c r="AA518" s="65"/>
      <c r="AC518" s="65"/>
      <c r="AE518" s="65"/>
      <c r="AG518" s="65"/>
      <c r="AI518" s="65"/>
      <c r="AK518" s="65"/>
    </row>
    <row r="519" spans="1:37" x14ac:dyDescent="0.25">
      <c r="A519" s="2">
        <v>40623</v>
      </c>
      <c r="B519" s="3">
        <v>2860.81</v>
      </c>
      <c r="C519" s="2">
        <v>40630</v>
      </c>
      <c r="D519" s="3">
        <v>22009.95</v>
      </c>
      <c r="E519" s="2"/>
      <c r="F519" s="3"/>
      <c r="G519" s="2"/>
      <c r="H519" s="3"/>
      <c r="I519" s="65"/>
      <c r="K519" s="65"/>
      <c r="M519" s="65"/>
      <c r="O519" s="65"/>
      <c r="Q519" s="65"/>
      <c r="S519" s="65"/>
      <c r="U519" s="65"/>
      <c r="W519" s="65"/>
      <c r="Y519" s="65"/>
      <c r="AA519" s="65"/>
      <c r="AC519" s="65"/>
      <c r="AE519" s="65"/>
      <c r="AG519" s="65"/>
      <c r="AI519" s="65"/>
      <c r="AK519" s="65"/>
    </row>
    <row r="520" spans="1:37" x14ac:dyDescent="0.25">
      <c r="A520" s="2">
        <v>40624</v>
      </c>
      <c r="B520" s="3">
        <v>2854.79</v>
      </c>
      <c r="C520" s="2">
        <v>40631</v>
      </c>
      <c r="D520" s="3">
        <v>21780.78</v>
      </c>
      <c r="E520" s="2"/>
      <c r="F520" s="3"/>
      <c r="G520" s="2"/>
      <c r="H520" s="3"/>
      <c r="I520" s="65"/>
      <c r="K520" s="65"/>
      <c r="M520" s="65"/>
      <c r="O520" s="65"/>
      <c r="Q520" s="65"/>
      <c r="S520" s="65"/>
      <c r="U520" s="65"/>
      <c r="W520" s="65"/>
      <c r="Y520" s="65"/>
      <c r="AA520" s="65"/>
      <c r="AC520" s="65"/>
      <c r="AE520" s="65"/>
      <c r="AG520" s="65"/>
      <c r="AI520" s="65"/>
      <c r="AK520" s="65"/>
    </row>
    <row r="521" spans="1:37" x14ac:dyDescent="0.25">
      <c r="A521" s="2">
        <v>40625</v>
      </c>
      <c r="B521" s="3">
        <v>2866.23</v>
      </c>
      <c r="C521" s="2">
        <v>40632</v>
      </c>
      <c r="D521" s="3">
        <v>22001.19</v>
      </c>
      <c r="E521" s="2"/>
      <c r="F521" s="3"/>
      <c r="G521" s="2"/>
      <c r="H521" s="3"/>
      <c r="I521" s="65"/>
      <c r="K521" s="65"/>
      <c r="M521" s="65"/>
      <c r="O521" s="65"/>
      <c r="Q521" s="65"/>
      <c r="S521" s="65"/>
      <c r="U521" s="65"/>
      <c r="W521" s="65"/>
      <c r="Y521" s="65"/>
      <c r="AA521" s="65"/>
      <c r="AC521" s="65"/>
      <c r="AE521" s="65"/>
      <c r="AG521" s="65"/>
      <c r="AI521" s="65"/>
      <c r="AK521" s="65"/>
    </row>
    <row r="522" spans="1:37" x14ac:dyDescent="0.25">
      <c r="A522" s="2">
        <v>40626</v>
      </c>
      <c r="B522" s="3">
        <v>2909.78</v>
      </c>
      <c r="C522" s="2">
        <v>40633</v>
      </c>
      <c r="D522" s="3">
        <v>21727.439999999999</v>
      </c>
      <c r="E522" s="2"/>
      <c r="F522" s="3"/>
      <c r="G522" s="2"/>
      <c r="H522" s="3"/>
      <c r="I522" s="65"/>
      <c r="K522" s="65"/>
      <c r="M522" s="65"/>
      <c r="O522" s="65"/>
      <c r="Q522" s="65"/>
      <c r="S522" s="65"/>
      <c r="U522" s="65"/>
      <c r="W522" s="65"/>
      <c r="Y522" s="65"/>
      <c r="AA522" s="65"/>
      <c r="AC522" s="65"/>
      <c r="AE522" s="65"/>
      <c r="AG522" s="65"/>
      <c r="AI522" s="65"/>
      <c r="AK522" s="65"/>
    </row>
    <row r="523" spans="1:37" x14ac:dyDescent="0.25">
      <c r="A523" s="2">
        <v>40627</v>
      </c>
      <c r="B523" s="3">
        <v>2911.33</v>
      </c>
      <c r="C523" s="2">
        <v>40634</v>
      </c>
      <c r="D523" s="3">
        <v>21967.77</v>
      </c>
      <c r="E523" s="2"/>
      <c r="F523" s="3"/>
      <c r="G523" s="2"/>
      <c r="H523" s="3"/>
      <c r="I523" s="65"/>
      <c r="K523" s="65"/>
      <c r="M523" s="65"/>
      <c r="O523" s="65"/>
      <c r="Q523" s="65"/>
      <c r="S523" s="65"/>
      <c r="U523" s="65"/>
      <c r="W523" s="65"/>
      <c r="Y523" s="65"/>
      <c r="AA523" s="65"/>
      <c r="AC523" s="65"/>
      <c r="AE523" s="65"/>
      <c r="AG523" s="65"/>
      <c r="AI523" s="65"/>
      <c r="AK523" s="65"/>
    </row>
    <row r="524" spans="1:37" x14ac:dyDescent="0.25">
      <c r="A524" s="2">
        <v>40630</v>
      </c>
      <c r="B524" s="3">
        <v>2914.76</v>
      </c>
      <c r="C524" s="2">
        <v>40637</v>
      </c>
      <c r="D524" s="3">
        <v>22007.81</v>
      </c>
      <c r="E524" s="2"/>
      <c r="F524" s="3"/>
      <c r="G524" s="2"/>
      <c r="H524" s="3"/>
      <c r="I524" s="65"/>
      <c r="K524" s="65"/>
      <c r="M524" s="65"/>
      <c r="O524" s="65"/>
      <c r="Q524" s="65"/>
      <c r="S524" s="65"/>
      <c r="U524" s="65"/>
      <c r="W524" s="65"/>
      <c r="Y524" s="65"/>
      <c r="AA524" s="65"/>
      <c r="AC524" s="65"/>
      <c r="AE524" s="65"/>
      <c r="AG524" s="65"/>
      <c r="AI524" s="65"/>
      <c r="AK524" s="65"/>
    </row>
    <row r="525" spans="1:37" x14ac:dyDescent="0.25">
      <c r="A525" s="2">
        <v>40631</v>
      </c>
      <c r="B525" s="3">
        <v>2910.93</v>
      </c>
      <c r="C525" s="2">
        <v>40638</v>
      </c>
      <c r="D525" s="3">
        <v>22058.98</v>
      </c>
      <c r="E525" s="2"/>
      <c r="F525" s="3"/>
      <c r="G525" s="2"/>
      <c r="H525" s="3"/>
      <c r="I525" s="65"/>
      <c r="K525" s="65"/>
      <c r="M525" s="65"/>
      <c r="O525" s="65"/>
      <c r="Q525" s="65"/>
      <c r="S525" s="65"/>
      <c r="U525" s="65"/>
      <c r="W525" s="65"/>
      <c r="Y525" s="65"/>
      <c r="AA525" s="65"/>
      <c r="AC525" s="65"/>
      <c r="AE525" s="65"/>
      <c r="AG525" s="65"/>
      <c r="AI525" s="65"/>
      <c r="AK525" s="65"/>
    </row>
    <row r="526" spans="1:37" x14ac:dyDescent="0.25">
      <c r="A526" s="2">
        <v>40632</v>
      </c>
      <c r="B526" s="3">
        <v>2936.44</v>
      </c>
      <c r="C526" s="2">
        <v>40639</v>
      </c>
      <c r="D526" s="3">
        <v>22326.52</v>
      </c>
      <c r="E526" s="2"/>
      <c r="F526" s="3"/>
      <c r="G526" s="2"/>
      <c r="H526" s="3"/>
      <c r="I526" s="65"/>
      <c r="K526" s="65"/>
      <c r="M526" s="65"/>
      <c r="O526" s="65"/>
      <c r="Q526" s="65"/>
      <c r="S526" s="65"/>
      <c r="U526" s="65"/>
      <c r="W526" s="65"/>
      <c r="Y526" s="65"/>
      <c r="AA526" s="65"/>
      <c r="AC526" s="65"/>
      <c r="AE526" s="65"/>
      <c r="AG526" s="65"/>
      <c r="AI526" s="65"/>
      <c r="AK526" s="65"/>
    </row>
    <row r="527" spans="1:37" x14ac:dyDescent="0.25">
      <c r="A527" s="2">
        <v>40633</v>
      </c>
      <c r="B527" s="3">
        <v>2910.91</v>
      </c>
      <c r="C527" s="2">
        <v>40640</v>
      </c>
      <c r="D527" s="3">
        <v>22243.99</v>
      </c>
      <c r="E527" s="2"/>
      <c r="F527" s="3"/>
      <c r="G527" s="2"/>
      <c r="H527" s="3"/>
      <c r="I527" s="65"/>
      <c r="K527" s="65"/>
      <c r="M527" s="65"/>
      <c r="O527" s="65"/>
      <c r="Q527" s="65"/>
      <c r="S527" s="65"/>
      <c r="U527" s="65"/>
      <c r="W527" s="65"/>
      <c r="Y527" s="65"/>
      <c r="AA527" s="65"/>
      <c r="AC527" s="65"/>
      <c r="AE527" s="65"/>
      <c r="AG527" s="65"/>
      <c r="AI527" s="65"/>
      <c r="AK527" s="65"/>
    </row>
    <row r="528" spans="1:37" x14ac:dyDescent="0.25">
      <c r="A528" s="2">
        <v>40634</v>
      </c>
      <c r="B528" s="3">
        <v>2962.92</v>
      </c>
      <c r="C528" s="2">
        <v>40641</v>
      </c>
      <c r="D528" s="3">
        <v>22389.15</v>
      </c>
      <c r="E528" s="2"/>
      <c r="F528" s="3"/>
      <c r="G528" s="2"/>
      <c r="H528" s="3"/>
      <c r="I528" s="65"/>
      <c r="K528" s="65"/>
      <c r="M528" s="65"/>
      <c r="O528" s="65"/>
      <c r="Q528" s="65"/>
      <c r="S528" s="65"/>
      <c r="U528" s="65"/>
      <c r="W528" s="65"/>
      <c r="Y528" s="65"/>
      <c r="AA528" s="65"/>
      <c r="AC528" s="65"/>
      <c r="AE528" s="65"/>
      <c r="AG528" s="65"/>
      <c r="AI528" s="65"/>
      <c r="AK528" s="65"/>
    </row>
    <row r="529" spans="1:37" x14ac:dyDescent="0.25">
      <c r="A529" s="2">
        <v>40637</v>
      </c>
      <c r="B529" s="3">
        <v>2955.84</v>
      </c>
      <c r="C529" s="2">
        <v>40644</v>
      </c>
      <c r="D529" s="3">
        <v>22365.93</v>
      </c>
      <c r="E529" s="2"/>
      <c r="F529" s="3"/>
      <c r="G529" s="2"/>
      <c r="H529" s="3"/>
      <c r="I529" s="65"/>
      <c r="K529" s="65"/>
      <c r="M529" s="65"/>
      <c r="O529" s="65"/>
      <c r="Q529" s="65"/>
      <c r="S529" s="65"/>
      <c r="U529" s="65"/>
      <c r="W529" s="65"/>
      <c r="Y529" s="65"/>
      <c r="AA529" s="65"/>
      <c r="AC529" s="65"/>
      <c r="AE529" s="65"/>
      <c r="AG529" s="65"/>
      <c r="AI529" s="65"/>
      <c r="AK529" s="65"/>
    </row>
    <row r="530" spans="1:37" x14ac:dyDescent="0.25">
      <c r="A530" s="2">
        <v>40638</v>
      </c>
      <c r="B530" s="3">
        <v>2950.96</v>
      </c>
      <c r="C530" s="2">
        <v>40645</v>
      </c>
      <c r="D530" s="3">
        <v>22018.55</v>
      </c>
      <c r="E530" s="2"/>
      <c r="F530" s="3"/>
      <c r="G530" s="2"/>
      <c r="H530" s="3"/>
      <c r="I530" s="65"/>
      <c r="K530" s="65"/>
      <c r="M530" s="65"/>
      <c r="O530" s="65"/>
      <c r="Q530" s="65"/>
      <c r="S530" s="65"/>
      <c r="U530" s="65"/>
      <c r="W530" s="65"/>
      <c r="Y530" s="65"/>
      <c r="AA530" s="65"/>
      <c r="AC530" s="65"/>
      <c r="AE530" s="65"/>
      <c r="AG530" s="65"/>
      <c r="AI530" s="65"/>
      <c r="AK530" s="65"/>
    </row>
    <row r="531" spans="1:37" x14ac:dyDescent="0.25">
      <c r="A531" s="2">
        <v>40639</v>
      </c>
      <c r="B531" s="3">
        <v>2971.48</v>
      </c>
      <c r="C531" s="2">
        <v>40646</v>
      </c>
      <c r="D531" s="3">
        <v>22096.959999999999</v>
      </c>
      <c r="E531" s="2"/>
      <c r="F531" s="3"/>
      <c r="G531" s="2"/>
      <c r="H531" s="3"/>
      <c r="I531" s="65"/>
      <c r="K531" s="65"/>
      <c r="M531" s="65"/>
      <c r="O531" s="65"/>
      <c r="Q531" s="65"/>
      <c r="S531" s="65"/>
      <c r="U531" s="65"/>
      <c r="W531" s="65"/>
      <c r="Y531" s="65"/>
      <c r="AA531" s="65"/>
      <c r="AC531" s="65"/>
      <c r="AE531" s="65"/>
      <c r="AG531" s="65"/>
      <c r="AI531" s="65"/>
      <c r="AK531" s="65"/>
    </row>
    <row r="532" spans="1:37" x14ac:dyDescent="0.25">
      <c r="A532" s="2">
        <v>40640</v>
      </c>
      <c r="B532" s="3">
        <v>2963.69</v>
      </c>
      <c r="C532" s="2">
        <v>40647</v>
      </c>
      <c r="D532" s="3">
        <v>21833.72</v>
      </c>
      <c r="E532" s="2"/>
      <c r="F532" s="3"/>
      <c r="G532" s="2"/>
      <c r="H532" s="3"/>
      <c r="I532" s="65"/>
      <c r="K532" s="65"/>
      <c r="M532" s="65"/>
      <c r="O532" s="65"/>
      <c r="Q532" s="65"/>
      <c r="S532" s="65"/>
      <c r="U532" s="65"/>
      <c r="W532" s="65"/>
      <c r="Y532" s="65"/>
      <c r="AA532" s="65"/>
      <c r="AC532" s="65"/>
      <c r="AE532" s="65"/>
      <c r="AG532" s="65"/>
      <c r="AI532" s="65"/>
      <c r="AK532" s="65"/>
    </row>
    <row r="533" spans="1:37" x14ac:dyDescent="0.25">
      <c r="A533" s="2">
        <v>40641</v>
      </c>
      <c r="B533" s="3">
        <v>2984.66</v>
      </c>
      <c r="C533" s="2">
        <v>40648</v>
      </c>
      <c r="D533" s="3">
        <v>21821.26</v>
      </c>
      <c r="E533" s="2"/>
      <c r="F533" s="3"/>
      <c r="G533" s="2"/>
      <c r="H533" s="3"/>
      <c r="I533" s="65"/>
      <c r="K533" s="65"/>
      <c r="M533" s="65"/>
      <c r="O533" s="65"/>
      <c r="Q533" s="65"/>
      <c r="S533" s="65"/>
      <c r="U533" s="65"/>
      <c r="W533" s="65"/>
      <c r="Y533" s="65"/>
      <c r="AA533" s="65"/>
      <c r="AC533" s="65"/>
      <c r="AE533" s="65"/>
      <c r="AG533" s="65"/>
      <c r="AI533" s="65"/>
      <c r="AK533" s="65"/>
    </row>
    <row r="534" spans="1:37" x14ac:dyDescent="0.25">
      <c r="A534" s="2">
        <v>40644</v>
      </c>
      <c r="B534" s="3">
        <v>2974.58</v>
      </c>
      <c r="C534" s="2">
        <v>40651</v>
      </c>
      <c r="D534" s="3">
        <v>21184.67</v>
      </c>
      <c r="E534" s="2"/>
      <c r="F534" s="3"/>
      <c r="G534" s="2"/>
      <c r="H534" s="3"/>
      <c r="I534" s="65"/>
      <c r="K534" s="65"/>
      <c r="M534" s="65"/>
      <c r="O534" s="65"/>
      <c r="Q534" s="65"/>
      <c r="S534" s="65"/>
      <c r="U534" s="65"/>
      <c r="W534" s="65"/>
      <c r="Y534" s="65"/>
      <c r="AA534" s="65"/>
      <c r="AC534" s="65"/>
      <c r="AE534" s="65"/>
      <c r="AG534" s="65"/>
      <c r="AI534" s="65"/>
      <c r="AK534" s="65"/>
    </row>
    <row r="535" spans="1:37" x14ac:dyDescent="0.25">
      <c r="A535" s="2">
        <v>40645</v>
      </c>
      <c r="B535" s="3">
        <v>2932.33</v>
      </c>
      <c r="C535" s="2">
        <v>40652</v>
      </c>
      <c r="D535" s="3">
        <v>21249.9</v>
      </c>
      <c r="E535" s="2"/>
      <c r="F535" s="3"/>
      <c r="G535" s="2"/>
      <c r="H535" s="3"/>
      <c r="I535" s="65"/>
      <c r="K535" s="65"/>
      <c r="M535" s="65"/>
      <c r="O535" s="65"/>
      <c r="Q535" s="65"/>
      <c r="S535" s="65"/>
      <c r="U535" s="65"/>
      <c r="W535" s="65"/>
      <c r="Y535" s="65"/>
      <c r="AA535" s="65"/>
      <c r="AC535" s="65"/>
      <c r="AE535" s="65"/>
      <c r="AG535" s="65"/>
      <c r="AI535" s="65"/>
      <c r="AK535" s="65"/>
    </row>
    <row r="536" spans="1:37" x14ac:dyDescent="0.25">
      <c r="A536" s="2">
        <v>40646</v>
      </c>
      <c r="B536" s="3">
        <v>2949.98</v>
      </c>
      <c r="C536" s="2">
        <v>40653</v>
      </c>
      <c r="D536" s="3">
        <v>21502.45</v>
      </c>
      <c r="E536" s="2"/>
      <c r="F536" s="3"/>
      <c r="G536" s="2"/>
      <c r="H536" s="3"/>
      <c r="I536" s="65"/>
      <c r="K536" s="65"/>
      <c r="M536" s="65"/>
      <c r="O536" s="65"/>
      <c r="Q536" s="65"/>
      <c r="S536" s="65"/>
      <c r="U536" s="65"/>
      <c r="W536" s="65"/>
      <c r="Y536" s="65"/>
      <c r="AA536" s="65"/>
      <c r="AC536" s="65"/>
      <c r="AE536" s="65"/>
      <c r="AG536" s="65"/>
      <c r="AI536" s="65"/>
      <c r="AK536" s="65"/>
    </row>
    <row r="537" spans="1:37" x14ac:dyDescent="0.25">
      <c r="A537" s="2">
        <v>40647</v>
      </c>
      <c r="B537" s="3">
        <v>2917.72</v>
      </c>
      <c r="C537" s="2">
        <v>40654</v>
      </c>
      <c r="D537" s="3">
        <v>21810.7</v>
      </c>
      <c r="E537" s="2"/>
      <c r="F537" s="3"/>
      <c r="G537" s="2"/>
      <c r="H537" s="3"/>
      <c r="I537" s="65"/>
      <c r="K537" s="65"/>
      <c r="M537" s="65"/>
      <c r="O537" s="65"/>
      <c r="Q537" s="65"/>
      <c r="S537" s="65"/>
      <c r="U537" s="65"/>
      <c r="W537" s="65"/>
      <c r="Y537" s="65"/>
      <c r="AA537" s="65"/>
      <c r="AC537" s="65"/>
      <c r="AE537" s="65"/>
      <c r="AG537" s="65"/>
      <c r="AI537" s="65"/>
      <c r="AK537" s="65"/>
    </row>
    <row r="538" spans="1:37" x14ac:dyDescent="0.25">
      <c r="A538" s="2">
        <v>40648</v>
      </c>
      <c r="B538" s="3">
        <v>2919.05</v>
      </c>
      <c r="C538" s="2">
        <v>40659</v>
      </c>
      <c r="D538" s="3">
        <v>21932.78</v>
      </c>
      <c r="E538" s="2"/>
      <c r="F538" s="3"/>
      <c r="G538" s="2"/>
      <c r="H538" s="3"/>
      <c r="I538" s="65"/>
      <c r="K538" s="65"/>
      <c r="M538" s="65"/>
      <c r="O538" s="65"/>
      <c r="Q538" s="65"/>
      <c r="S538" s="65"/>
      <c r="U538" s="65"/>
      <c r="W538" s="65"/>
      <c r="Y538" s="65"/>
      <c r="AA538" s="65"/>
      <c r="AC538" s="65"/>
      <c r="AE538" s="65"/>
      <c r="AG538" s="65"/>
      <c r="AI538" s="65"/>
      <c r="AK538" s="65"/>
    </row>
    <row r="539" spans="1:37" x14ac:dyDescent="0.25">
      <c r="A539" s="2">
        <v>40651</v>
      </c>
      <c r="B539" s="3">
        <v>2847.96</v>
      </c>
      <c r="C539" s="2">
        <v>40660</v>
      </c>
      <c r="D539" s="3">
        <v>22238.16</v>
      </c>
      <c r="E539" s="2"/>
      <c r="F539" s="3"/>
      <c r="G539" s="2"/>
      <c r="H539" s="3"/>
      <c r="I539" s="65"/>
      <c r="K539" s="65"/>
      <c r="M539" s="65"/>
      <c r="O539" s="65"/>
      <c r="Q539" s="65"/>
      <c r="S539" s="65"/>
      <c r="U539" s="65"/>
      <c r="W539" s="65"/>
      <c r="Y539" s="65"/>
      <c r="AA539" s="65"/>
      <c r="AC539" s="65"/>
      <c r="AE539" s="65"/>
      <c r="AG539" s="65"/>
      <c r="AI539" s="65"/>
      <c r="AK539" s="65"/>
    </row>
    <row r="540" spans="1:37" x14ac:dyDescent="0.25">
      <c r="A540" s="2">
        <v>40652</v>
      </c>
      <c r="B540" s="3">
        <v>2857.61</v>
      </c>
      <c r="C540" s="2">
        <v>40661</v>
      </c>
      <c r="D540" s="3">
        <v>22380.19</v>
      </c>
      <c r="E540" s="2"/>
      <c r="F540" s="3"/>
      <c r="G540" s="2"/>
      <c r="H540" s="3"/>
      <c r="I540" s="65"/>
      <c r="K540" s="65"/>
      <c r="M540" s="65"/>
      <c r="O540" s="65"/>
      <c r="Q540" s="65"/>
      <c r="S540" s="65"/>
      <c r="U540" s="65"/>
      <c r="W540" s="65"/>
      <c r="Y540" s="65"/>
      <c r="AA540" s="65"/>
      <c r="AC540" s="65"/>
      <c r="AE540" s="65"/>
      <c r="AG540" s="65"/>
      <c r="AI540" s="65"/>
      <c r="AK540" s="65"/>
    </row>
    <row r="541" spans="1:37" x14ac:dyDescent="0.25">
      <c r="A541" s="2">
        <v>40653</v>
      </c>
      <c r="B541" s="3">
        <v>2921.43</v>
      </c>
      <c r="C541" s="2">
        <v>40662</v>
      </c>
      <c r="D541" s="3">
        <v>22417.96</v>
      </c>
      <c r="E541" s="2"/>
      <c r="F541" s="3"/>
      <c r="G541" s="2"/>
      <c r="H541" s="3"/>
      <c r="I541" s="65"/>
      <c r="K541" s="65"/>
      <c r="M541" s="65"/>
      <c r="O541" s="65"/>
      <c r="Q541" s="65"/>
      <c r="S541" s="65"/>
      <c r="U541" s="65"/>
      <c r="W541" s="65"/>
      <c r="Y541" s="65"/>
      <c r="AA541" s="65"/>
      <c r="AC541" s="65"/>
      <c r="AE541" s="65"/>
      <c r="AG541" s="65"/>
      <c r="AI541" s="65"/>
      <c r="AK541" s="65"/>
    </row>
    <row r="542" spans="1:37" x14ac:dyDescent="0.25">
      <c r="A542" s="2">
        <v>40654</v>
      </c>
      <c r="B542" s="3">
        <v>2936.3</v>
      </c>
      <c r="C542" s="2">
        <v>40665</v>
      </c>
      <c r="D542" s="3">
        <v>22397.7</v>
      </c>
      <c r="E542" s="2"/>
      <c r="F542" s="3"/>
      <c r="G542" s="2"/>
      <c r="H542" s="3"/>
      <c r="I542" s="65"/>
      <c r="K542" s="65"/>
      <c r="M542" s="65"/>
      <c r="O542" s="65"/>
      <c r="Q542" s="65"/>
      <c r="S542" s="65"/>
      <c r="U542" s="65"/>
      <c r="W542" s="65"/>
      <c r="Y542" s="65"/>
      <c r="AA542" s="65"/>
      <c r="AC542" s="65"/>
      <c r="AE542" s="65"/>
      <c r="AG542" s="65"/>
      <c r="AI542" s="65"/>
      <c r="AK542" s="65"/>
    </row>
    <row r="543" spans="1:37" x14ac:dyDescent="0.25">
      <c r="A543" s="2">
        <v>40659</v>
      </c>
      <c r="B543" s="3">
        <v>2955.36</v>
      </c>
      <c r="C543" s="2">
        <v>40666</v>
      </c>
      <c r="D543" s="3">
        <v>22315.68</v>
      </c>
      <c r="E543" s="2"/>
      <c r="F543" s="3"/>
      <c r="G543" s="2"/>
      <c r="H543" s="3"/>
      <c r="I543" s="65"/>
      <c r="K543" s="65"/>
      <c r="M543" s="65"/>
      <c r="O543" s="65"/>
      <c r="Q543" s="65"/>
      <c r="S543" s="65"/>
      <c r="U543" s="65"/>
      <c r="W543" s="65"/>
      <c r="Y543" s="65"/>
      <c r="AA543" s="65"/>
      <c r="AC543" s="65"/>
      <c r="AE543" s="65"/>
      <c r="AG543" s="65"/>
      <c r="AI543" s="65"/>
      <c r="AK543" s="65"/>
    </row>
    <row r="544" spans="1:37" x14ac:dyDescent="0.25">
      <c r="A544" s="2">
        <v>40660</v>
      </c>
      <c r="B544" s="3">
        <v>2977.59</v>
      </c>
      <c r="C544" s="2">
        <v>40667</v>
      </c>
      <c r="D544" s="3">
        <v>21915.32</v>
      </c>
      <c r="E544" s="2"/>
      <c r="F544" s="3"/>
      <c r="G544" s="2"/>
      <c r="H544" s="3"/>
      <c r="I544" s="65"/>
      <c r="K544" s="65"/>
      <c r="M544" s="65"/>
      <c r="O544" s="65"/>
      <c r="Q544" s="65"/>
      <c r="S544" s="65"/>
      <c r="U544" s="65"/>
      <c r="W544" s="65"/>
      <c r="Y544" s="65"/>
      <c r="AA544" s="65"/>
      <c r="AC544" s="65"/>
      <c r="AE544" s="65"/>
      <c r="AG544" s="65"/>
      <c r="AI544" s="65"/>
      <c r="AK544" s="65"/>
    </row>
    <row r="545" spans="1:37" x14ac:dyDescent="0.25">
      <c r="A545" s="2">
        <v>40661</v>
      </c>
      <c r="B545" s="3">
        <v>3005.33</v>
      </c>
      <c r="C545" s="2">
        <v>40668</v>
      </c>
      <c r="D545" s="3">
        <v>21741.02</v>
      </c>
      <c r="E545" s="2"/>
      <c r="F545" s="3"/>
      <c r="G545" s="2"/>
      <c r="H545" s="3"/>
      <c r="I545" s="65"/>
      <c r="K545" s="65"/>
      <c r="M545" s="65"/>
      <c r="O545" s="65"/>
      <c r="Q545" s="65"/>
      <c r="S545" s="65"/>
      <c r="U545" s="65"/>
      <c r="W545" s="65"/>
      <c r="Y545" s="65"/>
      <c r="AA545" s="65"/>
      <c r="AC545" s="65"/>
      <c r="AE545" s="65"/>
      <c r="AG545" s="65"/>
      <c r="AI545" s="65"/>
      <c r="AK545" s="65"/>
    </row>
    <row r="546" spans="1:37" x14ac:dyDescent="0.25">
      <c r="A546" s="2">
        <v>40662</v>
      </c>
      <c r="B546" s="3">
        <v>3011.25</v>
      </c>
      <c r="C546" s="2">
        <v>40669</v>
      </c>
      <c r="D546" s="3">
        <v>21953.759999999998</v>
      </c>
      <c r="E546" s="2"/>
      <c r="F546" s="3"/>
      <c r="G546" s="2"/>
      <c r="H546" s="3"/>
      <c r="I546" s="65"/>
      <c r="K546" s="65"/>
      <c r="M546" s="65"/>
      <c r="O546" s="65"/>
      <c r="Q546" s="65"/>
      <c r="S546" s="65"/>
      <c r="U546" s="65"/>
      <c r="W546" s="65"/>
      <c r="Y546" s="65"/>
      <c r="AA546" s="65"/>
      <c r="AC546" s="65"/>
      <c r="AE546" s="65"/>
      <c r="AG546" s="65"/>
      <c r="AI546" s="65"/>
      <c r="AK546" s="65"/>
    </row>
    <row r="547" spans="1:37" x14ac:dyDescent="0.25">
      <c r="A547" s="2">
        <v>40665</v>
      </c>
      <c r="B547" s="3">
        <v>3008.89</v>
      </c>
      <c r="C547" s="2">
        <v>40672</v>
      </c>
      <c r="D547" s="3">
        <v>21666.400000000001</v>
      </c>
      <c r="E547" s="2"/>
      <c r="F547" s="3"/>
      <c r="G547" s="2"/>
      <c r="H547" s="3"/>
      <c r="I547" s="65"/>
      <c r="K547" s="65"/>
      <c r="M547" s="65"/>
      <c r="O547" s="65"/>
      <c r="Q547" s="65"/>
      <c r="S547" s="65"/>
      <c r="U547" s="65"/>
      <c r="W547" s="65"/>
      <c r="Y547" s="65"/>
      <c r="AA547" s="65"/>
      <c r="AC547" s="65"/>
      <c r="AE547" s="65"/>
      <c r="AG547" s="65"/>
      <c r="AI547" s="65"/>
      <c r="AK547" s="65"/>
    </row>
    <row r="548" spans="1:37" x14ac:dyDescent="0.25">
      <c r="A548" s="2">
        <v>40666</v>
      </c>
      <c r="B548" s="3">
        <v>3000.39</v>
      </c>
      <c r="C548" s="2">
        <v>40673</v>
      </c>
      <c r="D548" s="3">
        <v>21984.32</v>
      </c>
      <c r="E548" s="2"/>
      <c r="F548" s="3"/>
      <c r="G548" s="2"/>
      <c r="H548" s="3"/>
      <c r="I548" s="65"/>
      <c r="K548" s="65"/>
      <c r="M548" s="65"/>
      <c r="O548" s="65"/>
      <c r="Q548" s="65"/>
      <c r="S548" s="65"/>
      <c r="U548" s="65"/>
      <c r="W548" s="65"/>
      <c r="Y548" s="65"/>
      <c r="AA548" s="65"/>
      <c r="AC548" s="65"/>
      <c r="AE548" s="65"/>
      <c r="AG548" s="65"/>
      <c r="AI548" s="65"/>
      <c r="AK548" s="65"/>
    </row>
    <row r="549" spans="1:37" x14ac:dyDescent="0.25">
      <c r="A549" s="2">
        <v>40667</v>
      </c>
      <c r="B549" s="3">
        <v>2952.02</v>
      </c>
      <c r="C549" s="2">
        <v>40674</v>
      </c>
      <c r="D549" s="3">
        <v>22031.16</v>
      </c>
      <c r="E549" s="2"/>
      <c r="F549" s="3"/>
      <c r="G549" s="2"/>
      <c r="H549" s="3"/>
      <c r="I549" s="65"/>
      <c r="K549" s="65"/>
      <c r="M549" s="65"/>
      <c r="O549" s="65"/>
      <c r="Q549" s="65"/>
      <c r="S549" s="65"/>
      <c r="U549" s="65"/>
      <c r="W549" s="65"/>
      <c r="Y549" s="65"/>
      <c r="AA549" s="65"/>
      <c r="AC549" s="65"/>
      <c r="AE549" s="65"/>
      <c r="AG549" s="65"/>
      <c r="AI549" s="65"/>
      <c r="AK549" s="65"/>
    </row>
    <row r="550" spans="1:37" x14ac:dyDescent="0.25">
      <c r="A550" s="2">
        <v>40668</v>
      </c>
      <c r="B550" s="3">
        <v>2926.54</v>
      </c>
      <c r="C550" s="2">
        <v>40675</v>
      </c>
      <c r="D550" s="3">
        <v>21787.69</v>
      </c>
      <c r="E550" s="2"/>
      <c r="F550" s="3"/>
      <c r="G550" s="2"/>
      <c r="H550" s="3"/>
      <c r="I550" s="65"/>
      <c r="K550" s="65"/>
      <c r="M550" s="65"/>
      <c r="O550" s="65"/>
      <c r="Q550" s="65"/>
      <c r="S550" s="65"/>
      <c r="U550" s="65"/>
      <c r="W550" s="65"/>
      <c r="Y550" s="65"/>
      <c r="AA550" s="65"/>
      <c r="AC550" s="65"/>
      <c r="AE550" s="65"/>
      <c r="AG550" s="65"/>
      <c r="AI550" s="65"/>
      <c r="AK550" s="65"/>
    </row>
    <row r="551" spans="1:37" x14ac:dyDescent="0.25">
      <c r="A551" s="2">
        <v>40669</v>
      </c>
      <c r="B551" s="3">
        <v>2952.9</v>
      </c>
      <c r="C551" s="2">
        <v>40676</v>
      </c>
      <c r="D551" s="3">
        <v>21764.31</v>
      </c>
      <c r="E551" s="2"/>
      <c r="F551" s="3"/>
      <c r="G551" s="2"/>
      <c r="H551" s="3"/>
      <c r="I551" s="65"/>
      <c r="K551" s="65"/>
      <c r="M551" s="65"/>
      <c r="O551" s="65"/>
      <c r="Q551" s="65"/>
      <c r="S551" s="65"/>
      <c r="U551" s="65"/>
      <c r="W551" s="65"/>
      <c r="Y551" s="65"/>
      <c r="AA551" s="65"/>
      <c r="AC551" s="65"/>
      <c r="AE551" s="65"/>
      <c r="AG551" s="65"/>
      <c r="AI551" s="65"/>
      <c r="AK551" s="65"/>
    </row>
    <row r="552" spans="1:37" x14ac:dyDescent="0.25">
      <c r="A552" s="2">
        <v>40672</v>
      </c>
      <c r="B552" s="3">
        <v>2902.4</v>
      </c>
      <c r="C552" s="2">
        <v>40679</v>
      </c>
      <c r="D552" s="3">
        <v>21685.34</v>
      </c>
      <c r="E552" s="2"/>
      <c r="F552" s="3"/>
      <c r="G552" s="2"/>
      <c r="H552" s="3"/>
      <c r="I552" s="65"/>
      <c r="K552" s="65"/>
      <c r="M552" s="65"/>
      <c r="O552" s="65"/>
      <c r="Q552" s="65"/>
      <c r="S552" s="65"/>
      <c r="U552" s="65"/>
      <c r="W552" s="65"/>
      <c r="Y552" s="65"/>
      <c r="AA552" s="65"/>
      <c r="AC552" s="65"/>
      <c r="AE552" s="65"/>
      <c r="AG552" s="65"/>
      <c r="AI552" s="65"/>
      <c r="AK552" s="65"/>
    </row>
    <row r="553" spans="1:37" x14ac:dyDescent="0.25">
      <c r="A553" s="2">
        <v>40673</v>
      </c>
      <c r="B553" s="3">
        <v>2939.02</v>
      </c>
      <c r="C553" s="2">
        <v>40680</v>
      </c>
      <c r="D553" s="3">
        <v>21408.94</v>
      </c>
      <c r="E553" s="2"/>
      <c r="F553" s="3"/>
      <c r="G553" s="2"/>
      <c r="H553" s="3"/>
      <c r="I553" s="65"/>
      <c r="K553" s="65"/>
      <c r="M553" s="65"/>
      <c r="O553" s="65"/>
      <c r="Q553" s="65"/>
      <c r="S553" s="65"/>
      <c r="U553" s="65"/>
      <c r="W553" s="65"/>
      <c r="Y553" s="65"/>
      <c r="AA553" s="65"/>
      <c r="AC553" s="65"/>
      <c r="AE553" s="65"/>
      <c r="AG553" s="65"/>
      <c r="AI553" s="65"/>
      <c r="AK553" s="65"/>
    </row>
    <row r="554" spans="1:37" x14ac:dyDescent="0.25">
      <c r="A554" s="2">
        <v>40674</v>
      </c>
      <c r="B554" s="3">
        <v>2942.43</v>
      </c>
      <c r="C554" s="2">
        <v>40681</v>
      </c>
      <c r="D554" s="3">
        <v>21444.04</v>
      </c>
      <c r="E554" s="2"/>
      <c r="F554" s="3"/>
      <c r="G554" s="2"/>
      <c r="H554" s="3"/>
      <c r="I554" s="65"/>
      <c r="K554" s="65"/>
      <c r="M554" s="65"/>
      <c r="O554" s="65"/>
      <c r="Q554" s="65"/>
      <c r="S554" s="65"/>
      <c r="U554" s="65"/>
      <c r="W554" s="65"/>
      <c r="Y554" s="65"/>
      <c r="AA554" s="65"/>
      <c r="AC554" s="65"/>
      <c r="AE554" s="65"/>
      <c r="AG554" s="65"/>
      <c r="AI554" s="65"/>
      <c r="AK554" s="65"/>
    </row>
    <row r="555" spans="1:37" x14ac:dyDescent="0.25">
      <c r="A555" s="2">
        <v>40675</v>
      </c>
      <c r="B555" s="3">
        <v>2917.05</v>
      </c>
      <c r="C555" s="2">
        <v>40682</v>
      </c>
      <c r="D555" s="3">
        <v>21559.72</v>
      </c>
      <c r="E555" s="2"/>
      <c r="F555" s="3"/>
      <c r="G555" s="2"/>
      <c r="H555" s="3"/>
      <c r="I555" s="65"/>
      <c r="K555" s="65"/>
      <c r="M555" s="65"/>
      <c r="O555" s="65"/>
      <c r="Q555" s="65"/>
      <c r="S555" s="65"/>
      <c r="U555" s="65"/>
      <c r="W555" s="65"/>
      <c r="Y555" s="65"/>
      <c r="AA555" s="65"/>
      <c r="AC555" s="65"/>
      <c r="AE555" s="65"/>
      <c r="AG555" s="65"/>
      <c r="AI555" s="65"/>
      <c r="AK555" s="65"/>
    </row>
    <row r="556" spans="1:37" x14ac:dyDescent="0.25">
      <c r="A556" s="2">
        <v>40676</v>
      </c>
      <c r="B556" s="3">
        <v>2894.6</v>
      </c>
      <c r="C556" s="2">
        <v>40683</v>
      </c>
      <c r="D556" s="3">
        <v>21236.87</v>
      </c>
      <c r="E556" s="2"/>
      <c r="F556" s="3"/>
      <c r="G556" s="2"/>
      <c r="H556" s="3"/>
      <c r="I556" s="65"/>
      <c r="K556" s="65"/>
      <c r="M556" s="65"/>
      <c r="O556" s="65"/>
      <c r="Q556" s="65"/>
      <c r="S556" s="65"/>
      <c r="U556" s="65"/>
      <c r="W556" s="65"/>
      <c r="Y556" s="65"/>
      <c r="AA556" s="65"/>
      <c r="AC556" s="65"/>
      <c r="AE556" s="65"/>
      <c r="AG556" s="65"/>
      <c r="AI556" s="65"/>
      <c r="AK556" s="65"/>
    </row>
    <row r="557" spans="1:37" x14ac:dyDescent="0.25">
      <c r="A557" s="2">
        <v>40679</v>
      </c>
      <c r="B557" s="3">
        <v>2881.31</v>
      </c>
      <c r="C557" s="2">
        <v>40686</v>
      </c>
      <c r="D557" s="3">
        <v>20532.64</v>
      </c>
      <c r="E557" s="2"/>
      <c r="F557" s="3"/>
      <c r="G557" s="2"/>
      <c r="H557" s="3"/>
      <c r="I557" s="65"/>
      <c r="K557" s="65"/>
      <c r="M557" s="65"/>
      <c r="O557" s="65"/>
      <c r="Q557" s="65"/>
      <c r="S557" s="65"/>
      <c r="U557" s="65"/>
      <c r="W557" s="65"/>
      <c r="Y557" s="65"/>
      <c r="AA557" s="65"/>
      <c r="AC557" s="65"/>
      <c r="AE557" s="65"/>
      <c r="AG557" s="65"/>
      <c r="AI557" s="65"/>
      <c r="AK557" s="65"/>
    </row>
    <row r="558" spans="1:37" x14ac:dyDescent="0.25">
      <c r="A558" s="2">
        <v>40680</v>
      </c>
      <c r="B558" s="3">
        <v>2849.6</v>
      </c>
      <c r="C558" s="2">
        <v>40687</v>
      </c>
      <c r="D558" s="3">
        <v>20582.150000000001</v>
      </c>
      <c r="E558" s="2"/>
      <c r="F558" s="3"/>
      <c r="G558" s="2"/>
      <c r="H558" s="3"/>
      <c r="I558" s="65"/>
      <c r="K558" s="65"/>
      <c r="M558" s="65"/>
      <c r="O558" s="65"/>
      <c r="Q558" s="65"/>
      <c r="S558" s="65"/>
      <c r="U558" s="65"/>
      <c r="W558" s="65"/>
      <c r="Y558" s="65"/>
      <c r="AA558" s="65"/>
      <c r="AC558" s="65"/>
      <c r="AE558" s="65"/>
      <c r="AG558" s="65"/>
      <c r="AI558" s="65"/>
      <c r="AK558" s="65"/>
    </row>
    <row r="559" spans="1:37" x14ac:dyDescent="0.25">
      <c r="A559" s="2">
        <v>40681</v>
      </c>
      <c r="B559" s="3">
        <v>2867.3</v>
      </c>
      <c r="C559" s="2">
        <v>40688</v>
      </c>
      <c r="D559" s="3">
        <v>20815.73</v>
      </c>
      <c r="E559" s="2"/>
      <c r="F559" s="3"/>
      <c r="G559" s="2"/>
      <c r="H559" s="3"/>
      <c r="I559" s="65"/>
      <c r="K559" s="65"/>
      <c r="M559" s="65"/>
      <c r="O559" s="65"/>
      <c r="Q559" s="65"/>
      <c r="S559" s="65"/>
      <c r="U559" s="65"/>
      <c r="W559" s="65"/>
      <c r="Y559" s="65"/>
      <c r="AA559" s="65"/>
      <c r="AC559" s="65"/>
      <c r="AE559" s="65"/>
      <c r="AG559" s="65"/>
      <c r="AI559" s="65"/>
      <c r="AK559" s="65"/>
    </row>
    <row r="560" spans="1:37" x14ac:dyDescent="0.25">
      <c r="A560" s="2">
        <v>40682</v>
      </c>
      <c r="B560" s="3">
        <v>2890.6</v>
      </c>
      <c r="C560" s="2">
        <v>40689</v>
      </c>
      <c r="D560" s="3">
        <v>20668.349999999999</v>
      </c>
      <c r="E560" s="2"/>
      <c r="F560" s="3"/>
      <c r="G560" s="2"/>
      <c r="H560" s="3"/>
      <c r="I560" s="65"/>
      <c r="K560" s="65"/>
      <c r="M560" s="65"/>
      <c r="O560" s="65"/>
      <c r="Q560" s="65"/>
      <c r="S560" s="65"/>
      <c r="U560" s="65"/>
      <c r="W560" s="65"/>
      <c r="Y560" s="65"/>
      <c r="AA560" s="65"/>
      <c r="AC560" s="65"/>
      <c r="AE560" s="65"/>
      <c r="AG560" s="65"/>
      <c r="AI560" s="65"/>
      <c r="AK560" s="65"/>
    </row>
    <row r="561" spans="1:37" x14ac:dyDescent="0.25">
      <c r="A561" s="2">
        <v>40683</v>
      </c>
      <c r="B561" s="3">
        <v>2853.98</v>
      </c>
      <c r="C561" s="2">
        <v>40690</v>
      </c>
      <c r="D561" s="3">
        <v>20830.87</v>
      </c>
      <c r="E561" s="2"/>
      <c r="F561" s="3"/>
      <c r="G561" s="2"/>
      <c r="H561" s="3"/>
      <c r="I561" s="65"/>
      <c r="K561" s="65"/>
      <c r="M561" s="65"/>
      <c r="O561" s="65"/>
      <c r="Q561" s="65"/>
      <c r="S561" s="65"/>
      <c r="U561" s="65"/>
      <c r="W561" s="65"/>
      <c r="Y561" s="65"/>
      <c r="AA561" s="65"/>
      <c r="AC561" s="65"/>
      <c r="AE561" s="65"/>
      <c r="AG561" s="65"/>
      <c r="AI561" s="65"/>
      <c r="AK561" s="65"/>
    </row>
    <row r="562" spans="1:37" x14ac:dyDescent="0.25">
      <c r="A562" s="2">
        <v>40686</v>
      </c>
      <c r="B562" s="3">
        <v>2794.26</v>
      </c>
      <c r="C562" s="2">
        <v>40693</v>
      </c>
      <c r="D562" s="3">
        <v>20791.48</v>
      </c>
      <c r="E562" s="2"/>
      <c r="F562" s="3"/>
      <c r="G562" s="2"/>
      <c r="H562" s="3"/>
      <c r="I562" s="65"/>
      <c r="K562" s="65"/>
      <c r="M562" s="65"/>
      <c r="O562" s="65"/>
      <c r="Q562" s="65"/>
      <c r="S562" s="65"/>
      <c r="U562" s="65"/>
      <c r="W562" s="65"/>
      <c r="Y562" s="65"/>
      <c r="AA562" s="65"/>
      <c r="AC562" s="65"/>
      <c r="AE562" s="65"/>
      <c r="AG562" s="65"/>
      <c r="AI562" s="65"/>
      <c r="AK562" s="65"/>
    </row>
    <row r="563" spans="1:37" x14ac:dyDescent="0.25">
      <c r="A563" s="2">
        <v>40687</v>
      </c>
      <c r="B563" s="3">
        <v>2801.27</v>
      </c>
      <c r="C563" s="2">
        <v>40694</v>
      </c>
      <c r="D563" s="3">
        <v>21109.75</v>
      </c>
      <c r="E563" s="2"/>
      <c r="F563" s="3"/>
      <c r="G563" s="2"/>
      <c r="H563" s="3"/>
      <c r="I563" s="65"/>
      <c r="K563" s="65"/>
      <c r="M563" s="65"/>
      <c r="O563" s="65"/>
      <c r="Q563" s="65"/>
      <c r="S563" s="65"/>
      <c r="U563" s="65"/>
      <c r="W563" s="65"/>
      <c r="Y563" s="65"/>
      <c r="AA563" s="65"/>
      <c r="AC563" s="65"/>
      <c r="AE563" s="65"/>
      <c r="AG563" s="65"/>
      <c r="AI563" s="65"/>
      <c r="AK563" s="65"/>
    </row>
    <row r="564" spans="1:37" x14ac:dyDescent="0.25">
      <c r="A564" s="2">
        <v>40688</v>
      </c>
      <c r="B564" s="3">
        <v>2816.84</v>
      </c>
      <c r="C564" s="2">
        <v>40695</v>
      </c>
      <c r="D564" s="3">
        <v>20866.29</v>
      </c>
      <c r="E564" s="2"/>
      <c r="F564" s="3"/>
      <c r="G564" s="2"/>
      <c r="H564" s="3"/>
      <c r="I564" s="65"/>
      <c r="K564" s="65"/>
      <c r="M564" s="65"/>
      <c r="O564" s="65"/>
      <c r="Q564" s="65"/>
      <c r="S564" s="65"/>
      <c r="U564" s="65"/>
      <c r="W564" s="65"/>
      <c r="Y564" s="65"/>
      <c r="AA564" s="65"/>
      <c r="AC564" s="65"/>
      <c r="AE564" s="65"/>
      <c r="AG564" s="65"/>
      <c r="AI564" s="65"/>
      <c r="AK564" s="65"/>
    </row>
    <row r="565" spans="1:37" x14ac:dyDescent="0.25">
      <c r="A565" s="2">
        <v>40689</v>
      </c>
      <c r="B565" s="3">
        <v>2799.82</v>
      </c>
      <c r="C565" s="2">
        <v>40696</v>
      </c>
      <c r="D565" s="3">
        <v>20700.93</v>
      </c>
      <c r="E565" s="2"/>
      <c r="F565" s="3"/>
      <c r="G565" s="2"/>
      <c r="H565" s="3"/>
      <c r="I565" s="65"/>
      <c r="K565" s="65"/>
      <c r="M565" s="65"/>
      <c r="O565" s="65"/>
      <c r="Q565" s="65"/>
      <c r="S565" s="65"/>
      <c r="U565" s="65"/>
      <c r="W565" s="65"/>
      <c r="Y565" s="65"/>
      <c r="AA565" s="65"/>
      <c r="AC565" s="65"/>
      <c r="AE565" s="65"/>
      <c r="AG565" s="65"/>
      <c r="AI565" s="65"/>
      <c r="AK565" s="65"/>
    </row>
    <row r="566" spans="1:37" x14ac:dyDescent="0.25">
      <c r="A566" s="2">
        <v>40690</v>
      </c>
      <c r="B566" s="3">
        <v>2819.4</v>
      </c>
      <c r="C566" s="2">
        <v>40697</v>
      </c>
      <c r="D566" s="3">
        <v>20809.919999999998</v>
      </c>
      <c r="E566" s="2"/>
      <c r="F566" s="3"/>
      <c r="G566" s="2"/>
      <c r="H566" s="3"/>
      <c r="I566" s="65"/>
      <c r="K566" s="65"/>
      <c r="M566" s="65"/>
      <c r="O566" s="65"/>
      <c r="Q566" s="65"/>
      <c r="S566" s="65"/>
      <c r="U566" s="65"/>
      <c r="W566" s="65"/>
      <c r="Y566" s="65"/>
      <c r="AA566" s="65"/>
      <c r="AC566" s="65"/>
      <c r="AE566" s="65"/>
      <c r="AG566" s="65"/>
      <c r="AI566" s="65"/>
      <c r="AK566" s="65"/>
    </row>
    <row r="567" spans="1:37" x14ac:dyDescent="0.25">
      <c r="A567" s="2">
        <v>40693</v>
      </c>
      <c r="B567" s="3">
        <v>2814.34</v>
      </c>
      <c r="C567" s="2">
        <v>40700</v>
      </c>
      <c r="D567" s="3">
        <v>20525.04</v>
      </c>
      <c r="E567" s="2"/>
      <c r="F567" s="3"/>
      <c r="G567" s="2"/>
      <c r="H567" s="3"/>
      <c r="I567" s="65"/>
      <c r="K567" s="65"/>
      <c r="M567" s="65"/>
      <c r="O567" s="65"/>
      <c r="Q567" s="65"/>
      <c r="S567" s="65"/>
      <c r="U567" s="65"/>
      <c r="W567" s="65"/>
      <c r="Y567" s="65"/>
      <c r="AA567" s="65"/>
      <c r="AC567" s="65"/>
      <c r="AE567" s="65"/>
      <c r="AG567" s="65"/>
      <c r="AI567" s="65"/>
      <c r="AK567" s="65"/>
    </row>
    <row r="568" spans="1:37" x14ac:dyDescent="0.25">
      <c r="A568" s="2">
        <v>40694</v>
      </c>
      <c r="B568" s="3">
        <v>2861.92</v>
      </c>
      <c r="C568" s="2">
        <v>40701</v>
      </c>
      <c r="D568" s="3">
        <v>20574.490000000002</v>
      </c>
      <c r="E568" s="2"/>
      <c r="F568" s="3"/>
      <c r="G568" s="2"/>
      <c r="H568" s="3"/>
      <c r="I568" s="65"/>
      <c r="K568" s="65"/>
      <c r="M568" s="65"/>
      <c r="O568" s="65"/>
      <c r="Q568" s="65"/>
      <c r="S568" s="65"/>
      <c r="U568" s="65"/>
      <c r="W568" s="65"/>
      <c r="Y568" s="65"/>
      <c r="AA568" s="65"/>
      <c r="AC568" s="65"/>
      <c r="AE568" s="65"/>
      <c r="AG568" s="65"/>
      <c r="AI568" s="65"/>
      <c r="AK568" s="65"/>
    </row>
    <row r="569" spans="1:37" x14ac:dyDescent="0.25">
      <c r="A569" s="2">
        <v>40695</v>
      </c>
      <c r="B569" s="3">
        <v>2827.66</v>
      </c>
      <c r="C569" s="2">
        <v>40702</v>
      </c>
      <c r="D569" s="3">
        <v>20277.28</v>
      </c>
      <c r="E569" s="2"/>
      <c r="F569" s="3"/>
      <c r="G569" s="2"/>
      <c r="H569" s="3"/>
      <c r="I569" s="65"/>
      <c r="K569" s="65"/>
      <c r="M569" s="65"/>
      <c r="O569" s="65"/>
      <c r="Q569" s="65"/>
      <c r="S569" s="65"/>
      <c r="U569" s="65"/>
      <c r="W569" s="65"/>
      <c r="Y569" s="65"/>
      <c r="AA569" s="65"/>
      <c r="AC569" s="65"/>
      <c r="AE569" s="65"/>
      <c r="AG569" s="65"/>
      <c r="AI569" s="65"/>
      <c r="AK569" s="65"/>
    </row>
    <row r="570" spans="1:37" x14ac:dyDescent="0.25">
      <c r="A570" s="2">
        <v>40696</v>
      </c>
      <c r="B570" s="3">
        <v>2782.57</v>
      </c>
      <c r="C570" s="2">
        <v>40703</v>
      </c>
      <c r="D570" s="3">
        <v>20389.59</v>
      </c>
      <c r="E570" s="2"/>
      <c r="F570" s="3"/>
      <c r="G570" s="2"/>
      <c r="H570" s="3"/>
      <c r="I570" s="65"/>
      <c r="K570" s="65"/>
      <c r="M570" s="65"/>
      <c r="O570" s="65"/>
      <c r="Q570" s="65"/>
      <c r="S570" s="65"/>
      <c r="U570" s="65"/>
      <c r="W570" s="65"/>
      <c r="Y570" s="65"/>
      <c r="AA570" s="65"/>
      <c r="AC570" s="65"/>
      <c r="AE570" s="65"/>
      <c r="AG570" s="65"/>
      <c r="AI570" s="65"/>
      <c r="AK570" s="65"/>
    </row>
    <row r="571" spans="1:37" x14ac:dyDescent="0.25">
      <c r="A571" s="2">
        <v>40697</v>
      </c>
      <c r="B571" s="3">
        <v>2789.11</v>
      </c>
      <c r="C571" s="2">
        <v>40704</v>
      </c>
      <c r="D571" s="3">
        <v>20117.490000000002</v>
      </c>
      <c r="E571" s="2"/>
      <c r="F571" s="3"/>
      <c r="G571" s="2"/>
      <c r="H571" s="3"/>
      <c r="I571" s="65"/>
      <c r="K571" s="65"/>
      <c r="M571" s="65"/>
      <c r="O571" s="65"/>
      <c r="Q571" s="65"/>
      <c r="S571" s="65"/>
      <c r="U571" s="65"/>
      <c r="W571" s="65"/>
      <c r="Y571" s="65"/>
      <c r="AA571" s="65"/>
      <c r="AC571" s="65"/>
      <c r="AE571" s="65"/>
      <c r="AG571" s="65"/>
      <c r="AI571" s="65"/>
      <c r="AK571" s="65"/>
    </row>
    <row r="572" spans="1:37" x14ac:dyDescent="0.25">
      <c r="A572" s="2">
        <v>40700</v>
      </c>
      <c r="B572" s="3">
        <v>2765.33</v>
      </c>
      <c r="C572" s="2">
        <v>40707</v>
      </c>
      <c r="D572" s="3">
        <v>20081.12</v>
      </c>
      <c r="E572" s="2"/>
      <c r="F572" s="3"/>
      <c r="G572" s="2"/>
      <c r="H572" s="3"/>
      <c r="I572" s="65"/>
      <c r="K572" s="65"/>
      <c r="M572" s="65"/>
      <c r="O572" s="65"/>
      <c r="Q572" s="65"/>
      <c r="S572" s="65"/>
      <c r="U572" s="65"/>
      <c r="W572" s="65"/>
      <c r="Y572" s="65"/>
      <c r="AA572" s="65"/>
      <c r="AC572" s="65"/>
      <c r="AE572" s="65"/>
      <c r="AG572" s="65"/>
      <c r="AI572" s="65"/>
      <c r="AK572" s="65"/>
    </row>
    <row r="573" spans="1:37" x14ac:dyDescent="0.25">
      <c r="A573" s="2">
        <v>40701</v>
      </c>
      <c r="B573" s="3">
        <v>2774.5</v>
      </c>
      <c r="C573" s="2">
        <v>40708</v>
      </c>
      <c r="D573" s="3">
        <v>20358.91</v>
      </c>
      <c r="E573" s="2"/>
      <c r="F573" s="3"/>
      <c r="G573" s="2"/>
      <c r="H573" s="3"/>
      <c r="I573" s="65"/>
      <c r="K573" s="65"/>
      <c r="M573" s="65"/>
      <c r="O573" s="65"/>
      <c r="Q573" s="65"/>
      <c r="S573" s="65"/>
      <c r="U573" s="65"/>
      <c r="W573" s="65"/>
      <c r="Y573" s="65"/>
      <c r="AA573" s="65"/>
      <c r="AC573" s="65"/>
      <c r="AE573" s="65"/>
      <c r="AG573" s="65"/>
      <c r="AI573" s="65"/>
      <c r="AK573" s="65"/>
    </row>
    <row r="574" spans="1:37" x14ac:dyDescent="0.25">
      <c r="A574" s="2">
        <v>40702</v>
      </c>
      <c r="B574" s="3">
        <v>2752.06</v>
      </c>
      <c r="C574" s="2">
        <v>40709</v>
      </c>
      <c r="D574" s="3">
        <v>19918.52</v>
      </c>
      <c r="E574" s="2"/>
      <c r="F574" s="3"/>
      <c r="G574" s="2"/>
      <c r="H574" s="3"/>
      <c r="I574" s="65"/>
      <c r="K574" s="65"/>
      <c r="M574" s="65"/>
      <c r="O574" s="65"/>
      <c r="Q574" s="65"/>
      <c r="S574" s="65"/>
      <c r="U574" s="65"/>
      <c r="W574" s="65"/>
      <c r="Y574" s="65"/>
      <c r="AA574" s="65"/>
      <c r="AC574" s="65"/>
      <c r="AE574" s="65"/>
      <c r="AG574" s="65"/>
      <c r="AI574" s="65"/>
      <c r="AK574" s="65"/>
    </row>
    <row r="575" spans="1:37" x14ac:dyDescent="0.25">
      <c r="A575" s="2">
        <v>40703</v>
      </c>
      <c r="B575" s="3">
        <v>2778.12</v>
      </c>
      <c r="C575" s="2">
        <v>40710</v>
      </c>
      <c r="D575" s="3">
        <v>19852.439999999999</v>
      </c>
      <c r="E575" s="2"/>
      <c r="F575" s="3"/>
      <c r="G575" s="2"/>
      <c r="H575" s="3"/>
      <c r="I575" s="65"/>
      <c r="K575" s="65"/>
      <c r="M575" s="65"/>
      <c r="O575" s="65"/>
      <c r="Q575" s="65"/>
      <c r="S575" s="65"/>
      <c r="U575" s="65"/>
      <c r="W575" s="65"/>
      <c r="Y575" s="65"/>
      <c r="AA575" s="65"/>
      <c r="AC575" s="65"/>
      <c r="AE575" s="65"/>
      <c r="AG575" s="65"/>
      <c r="AI575" s="65"/>
      <c r="AK575" s="65"/>
    </row>
    <row r="576" spans="1:37" x14ac:dyDescent="0.25">
      <c r="A576" s="2">
        <v>40704</v>
      </c>
      <c r="B576" s="3">
        <v>2732.54</v>
      </c>
      <c r="C576" s="2">
        <v>40711</v>
      </c>
      <c r="D576" s="3">
        <v>20096.84</v>
      </c>
      <c r="E576" s="2"/>
      <c r="F576" s="3"/>
      <c r="G576" s="2"/>
      <c r="H576" s="3"/>
      <c r="I576" s="65"/>
      <c r="K576" s="65"/>
      <c r="M576" s="65"/>
      <c r="O576" s="65"/>
      <c r="Q576" s="65"/>
      <c r="S576" s="65"/>
      <c r="U576" s="65"/>
      <c r="W576" s="65"/>
      <c r="Y576" s="65"/>
      <c r="AA576" s="65"/>
      <c r="AC576" s="65"/>
      <c r="AE576" s="65"/>
      <c r="AG576" s="65"/>
      <c r="AI576" s="65"/>
      <c r="AK576" s="65"/>
    </row>
    <row r="577" spans="1:37" x14ac:dyDescent="0.25">
      <c r="A577" s="2">
        <v>40707</v>
      </c>
      <c r="B577" s="3">
        <v>2733.95</v>
      </c>
      <c r="C577" s="2">
        <v>40714</v>
      </c>
      <c r="D577" s="3">
        <v>19692.52</v>
      </c>
      <c r="E577" s="2"/>
      <c r="F577" s="3"/>
      <c r="G577" s="2"/>
      <c r="H577" s="3"/>
      <c r="I577" s="65"/>
      <c r="K577" s="65"/>
      <c r="M577" s="65"/>
      <c r="O577" s="65"/>
      <c r="Q577" s="65"/>
      <c r="S577" s="65"/>
      <c r="U577" s="65"/>
      <c r="W577" s="65"/>
      <c r="Y577" s="65"/>
      <c r="AA577" s="65"/>
      <c r="AC577" s="65"/>
      <c r="AE577" s="65"/>
      <c r="AG577" s="65"/>
      <c r="AI577" s="65"/>
      <c r="AK577" s="65"/>
    </row>
    <row r="578" spans="1:37" x14ac:dyDescent="0.25">
      <c r="A578" s="2">
        <v>40708</v>
      </c>
      <c r="B578" s="3">
        <v>2779.94</v>
      </c>
      <c r="C578" s="2">
        <v>40715</v>
      </c>
      <c r="D578" s="3">
        <v>20102.34</v>
      </c>
      <c r="E578" s="2"/>
      <c r="F578" s="3"/>
      <c r="G578" s="2"/>
      <c r="H578" s="3"/>
      <c r="I578" s="65"/>
      <c r="K578" s="65"/>
      <c r="M578" s="65"/>
      <c r="O578" s="65"/>
      <c r="Q578" s="65"/>
      <c r="S578" s="65"/>
      <c r="U578" s="65"/>
      <c r="W578" s="65"/>
      <c r="Y578" s="65"/>
      <c r="AA578" s="65"/>
      <c r="AC578" s="65"/>
      <c r="AE578" s="65"/>
      <c r="AG578" s="65"/>
      <c r="AI578" s="65"/>
      <c r="AK578" s="65"/>
    </row>
    <row r="579" spans="1:37" x14ac:dyDescent="0.25">
      <c r="A579" s="2">
        <v>40709</v>
      </c>
      <c r="B579" s="3">
        <v>2731.5</v>
      </c>
      <c r="C579" s="2">
        <v>40716</v>
      </c>
      <c r="D579" s="3">
        <v>20014.11</v>
      </c>
      <c r="E579" s="2"/>
      <c r="F579" s="3"/>
      <c r="G579" s="2"/>
      <c r="H579" s="3"/>
      <c r="I579" s="65"/>
      <c r="K579" s="65"/>
      <c r="M579" s="65"/>
      <c r="O579" s="65"/>
      <c r="Q579" s="65"/>
      <c r="S579" s="65"/>
      <c r="U579" s="65"/>
      <c r="W579" s="65"/>
      <c r="Y579" s="65"/>
      <c r="AA579" s="65"/>
      <c r="AC579" s="65"/>
      <c r="AE579" s="65"/>
      <c r="AG579" s="65"/>
      <c r="AI579" s="65"/>
      <c r="AK579" s="65"/>
    </row>
    <row r="580" spans="1:37" x14ac:dyDescent="0.25">
      <c r="A580" s="2">
        <v>40710</v>
      </c>
      <c r="B580" s="3">
        <v>2730.62</v>
      </c>
      <c r="C580" s="2">
        <v>40717</v>
      </c>
      <c r="D580" s="3">
        <v>19468.310000000001</v>
      </c>
      <c r="E580" s="2"/>
      <c r="F580" s="3"/>
      <c r="G580" s="2"/>
      <c r="H580" s="3"/>
      <c r="I580" s="65"/>
      <c r="K580" s="65"/>
      <c r="M580" s="65"/>
      <c r="O580" s="65"/>
      <c r="Q580" s="65"/>
      <c r="S580" s="65"/>
      <c r="U580" s="65"/>
      <c r="W580" s="65"/>
      <c r="Y580" s="65"/>
      <c r="AA580" s="65"/>
      <c r="AC580" s="65"/>
      <c r="AE580" s="65"/>
      <c r="AG580" s="65"/>
      <c r="AI580" s="65"/>
      <c r="AK580" s="65"/>
    </row>
    <row r="581" spans="1:37" x14ac:dyDescent="0.25">
      <c r="A581" s="2">
        <v>40711</v>
      </c>
      <c r="B581" s="3">
        <v>2770.12</v>
      </c>
      <c r="C581" s="2">
        <v>40718</v>
      </c>
      <c r="D581" s="3">
        <v>19154.36</v>
      </c>
      <c r="E581" s="2"/>
      <c r="F581" s="3"/>
      <c r="G581" s="2"/>
      <c r="H581" s="3"/>
      <c r="I581" s="65"/>
      <c r="K581" s="65"/>
      <c r="M581" s="65"/>
      <c r="O581" s="65"/>
      <c r="Q581" s="65"/>
      <c r="S581" s="65"/>
      <c r="U581" s="65"/>
      <c r="W581" s="65"/>
      <c r="Y581" s="65"/>
      <c r="AA581" s="65"/>
      <c r="AC581" s="65"/>
      <c r="AE581" s="65"/>
      <c r="AG581" s="65"/>
      <c r="AI581" s="65"/>
      <c r="AK581" s="65"/>
    </row>
    <row r="582" spans="1:37" x14ac:dyDescent="0.25">
      <c r="A582" s="2">
        <v>40714</v>
      </c>
      <c r="B582" s="3">
        <v>2748.01</v>
      </c>
      <c r="C582" s="2">
        <v>40721</v>
      </c>
      <c r="D582" s="3">
        <v>19297.11</v>
      </c>
      <c r="E582" s="2"/>
      <c r="F582" s="3"/>
      <c r="G582" s="2"/>
      <c r="H582" s="3"/>
      <c r="I582" s="65"/>
      <c r="K582" s="65"/>
      <c r="M582" s="65"/>
      <c r="O582" s="65"/>
      <c r="Q582" s="65"/>
      <c r="S582" s="65"/>
      <c r="U582" s="65"/>
      <c r="W582" s="65"/>
      <c r="Y582" s="65"/>
      <c r="AA582" s="65"/>
      <c r="AC582" s="65"/>
      <c r="AE582" s="65"/>
      <c r="AG582" s="65"/>
      <c r="AI582" s="65"/>
      <c r="AK582" s="65"/>
    </row>
    <row r="583" spans="1:37" x14ac:dyDescent="0.25">
      <c r="A583" s="2">
        <v>40715</v>
      </c>
      <c r="B583" s="3">
        <v>2801.99</v>
      </c>
      <c r="C583" s="2">
        <v>40722</v>
      </c>
      <c r="D583" s="3">
        <v>19454.68</v>
      </c>
      <c r="E583" s="2"/>
      <c r="F583" s="3"/>
      <c r="G583" s="2"/>
      <c r="H583" s="3"/>
      <c r="I583" s="65"/>
      <c r="K583" s="65"/>
      <c r="M583" s="65"/>
      <c r="O583" s="65"/>
      <c r="Q583" s="65"/>
      <c r="S583" s="65"/>
      <c r="U583" s="65"/>
      <c r="W583" s="65"/>
      <c r="Y583" s="65"/>
      <c r="AA583" s="65"/>
      <c r="AC583" s="65"/>
      <c r="AE583" s="65"/>
      <c r="AG583" s="65"/>
      <c r="AI583" s="65"/>
      <c r="AK583" s="65"/>
    </row>
    <row r="584" spans="1:37" x14ac:dyDescent="0.25">
      <c r="A584" s="2">
        <v>40716</v>
      </c>
      <c r="B584" s="3">
        <v>2795.07</v>
      </c>
      <c r="C584" s="2">
        <v>40723</v>
      </c>
      <c r="D584" s="3">
        <v>19864.669999999998</v>
      </c>
      <c r="E584" s="2"/>
      <c r="F584" s="3"/>
      <c r="G584" s="2"/>
      <c r="H584" s="3"/>
      <c r="I584" s="65"/>
      <c r="K584" s="65"/>
      <c r="M584" s="65"/>
      <c r="O584" s="65"/>
      <c r="Q584" s="65"/>
      <c r="S584" s="65"/>
      <c r="U584" s="65"/>
      <c r="W584" s="65"/>
      <c r="Y584" s="65"/>
      <c r="AA584" s="65"/>
      <c r="AC584" s="65"/>
      <c r="AE584" s="65"/>
      <c r="AG584" s="65"/>
      <c r="AI584" s="65"/>
      <c r="AK584" s="65"/>
    </row>
    <row r="585" spans="1:37" x14ac:dyDescent="0.25">
      <c r="A585" s="2">
        <v>40717</v>
      </c>
      <c r="B585" s="3">
        <v>2730.86</v>
      </c>
      <c r="C585" s="2">
        <v>40724</v>
      </c>
      <c r="D585" s="3">
        <v>20186.939999999999</v>
      </c>
      <c r="E585" s="2"/>
      <c r="F585" s="3"/>
      <c r="G585" s="2"/>
      <c r="H585" s="3"/>
      <c r="I585" s="65"/>
      <c r="K585" s="65"/>
      <c r="M585" s="65"/>
      <c r="O585" s="65"/>
      <c r="Q585" s="65"/>
      <c r="S585" s="65"/>
      <c r="U585" s="65"/>
      <c r="W585" s="65"/>
      <c r="Y585" s="65"/>
      <c r="AA585" s="65"/>
      <c r="AC585" s="65"/>
      <c r="AE585" s="65"/>
      <c r="AG585" s="65"/>
      <c r="AI585" s="65"/>
      <c r="AK585" s="65"/>
    </row>
    <row r="586" spans="1:37" x14ac:dyDescent="0.25">
      <c r="A586" s="2">
        <v>40718</v>
      </c>
      <c r="B586" s="3">
        <v>2715.88</v>
      </c>
      <c r="C586" s="2">
        <v>40725</v>
      </c>
      <c r="D586" s="3">
        <v>20516.990000000002</v>
      </c>
      <c r="E586" s="2"/>
      <c r="F586" s="3"/>
      <c r="G586" s="2"/>
      <c r="H586" s="3"/>
      <c r="I586" s="65"/>
      <c r="K586" s="65"/>
      <c r="M586" s="65"/>
      <c r="O586" s="65"/>
      <c r="Q586" s="65"/>
      <c r="S586" s="65"/>
      <c r="U586" s="65"/>
      <c r="W586" s="65"/>
      <c r="Y586" s="65"/>
      <c r="AA586" s="65"/>
      <c r="AC586" s="65"/>
      <c r="AE586" s="65"/>
      <c r="AG586" s="65"/>
      <c r="AI586" s="65"/>
      <c r="AK586" s="65"/>
    </row>
    <row r="587" spans="1:37" x14ac:dyDescent="0.25">
      <c r="A587" s="2">
        <v>40721</v>
      </c>
      <c r="B587" s="3">
        <v>2723.93</v>
      </c>
      <c r="C587" s="2">
        <v>40728</v>
      </c>
      <c r="D587" s="3">
        <v>20476.150000000001</v>
      </c>
      <c r="E587" s="2"/>
      <c r="F587" s="3"/>
      <c r="G587" s="2"/>
      <c r="H587" s="3"/>
      <c r="I587" s="65"/>
      <c r="K587" s="65"/>
      <c r="M587" s="65"/>
      <c r="O587" s="65"/>
      <c r="Q587" s="65"/>
      <c r="S587" s="65"/>
      <c r="U587" s="65"/>
      <c r="W587" s="65"/>
      <c r="Y587" s="65"/>
      <c r="AA587" s="65"/>
      <c r="AC587" s="65"/>
      <c r="AE587" s="65"/>
      <c r="AG587" s="65"/>
      <c r="AI587" s="65"/>
      <c r="AK587" s="65"/>
    </row>
    <row r="588" spans="1:37" x14ac:dyDescent="0.25">
      <c r="A588" s="2">
        <v>40722</v>
      </c>
      <c r="B588" s="3">
        <v>2750.49</v>
      </c>
      <c r="C588" s="2">
        <v>40729</v>
      </c>
      <c r="D588" s="3">
        <v>20277.52</v>
      </c>
      <c r="E588" s="2"/>
      <c r="F588" s="3"/>
      <c r="G588" s="2"/>
      <c r="H588" s="3"/>
      <c r="I588" s="65"/>
      <c r="K588" s="65"/>
      <c r="M588" s="65"/>
      <c r="O588" s="65"/>
      <c r="Q588" s="65"/>
      <c r="S588" s="65"/>
      <c r="U588" s="65"/>
      <c r="W588" s="65"/>
      <c r="Y588" s="65"/>
      <c r="AA588" s="65"/>
      <c r="AC588" s="65"/>
      <c r="AE588" s="65"/>
      <c r="AG588" s="65"/>
      <c r="AI588" s="65"/>
      <c r="AK588" s="65"/>
    </row>
    <row r="589" spans="1:37" x14ac:dyDescent="0.25">
      <c r="A589" s="2">
        <v>40723</v>
      </c>
      <c r="B589" s="3">
        <v>2802.55</v>
      </c>
      <c r="C589" s="2">
        <v>40730</v>
      </c>
      <c r="D589" s="3">
        <v>19783.21</v>
      </c>
      <c r="E589" s="2"/>
      <c r="F589" s="3"/>
      <c r="G589" s="2"/>
      <c r="H589" s="3"/>
      <c r="I589" s="65"/>
      <c r="K589" s="65"/>
      <c r="M589" s="65"/>
      <c r="O589" s="65"/>
      <c r="Q589" s="65"/>
      <c r="S589" s="65"/>
      <c r="U589" s="65"/>
      <c r="W589" s="65"/>
      <c r="Y589" s="65"/>
      <c r="AA589" s="65"/>
      <c r="AC589" s="65"/>
      <c r="AE589" s="65"/>
      <c r="AG589" s="65"/>
      <c r="AI589" s="65"/>
      <c r="AK589" s="65"/>
    </row>
    <row r="590" spans="1:37" x14ac:dyDescent="0.25">
      <c r="A590" s="2">
        <v>40724</v>
      </c>
      <c r="B590" s="3">
        <v>2848.53</v>
      </c>
      <c r="C590" s="2">
        <v>40731</v>
      </c>
      <c r="D590" s="3">
        <v>19735.63</v>
      </c>
      <c r="E590" s="2"/>
      <c r="F590" s="3"/>
      <c r="G590" s="2"/>
      <c r="H590" s="3"/>
      <c r="I590" s="65"/>
      <c r="K590" s="65"/>
      <c r="M590" s="65"/>
      <c r="O590" s="65"/>
      <c r="Q590" s="65"/>
      <c r="S590" s="65"/>
      <c r="U590" s="65"/>
      <c r="W590" s="65"/>
      <c r="Y590" s="65"/>
      <c r="AA590" s="65"/>
      <c r="AC590" s="65"/>
      <c r="AE590" s="65"/>
      <c r="AG590" s="65"/>
      <c r="AI590" s="65"/>
      <c r="AK590" s="65"/>
    </row>
    <row r="591" spans="1:37" x14ac:dyDescent="0.25">
      <c r="A591" s="2">
        <v>40725</v>
      </c>
      <c r="B591" s="3">
        <v>2875.67</v>
      </c>
      <c r="C591" s="2">
        <v>40732</v>
      </c>
      <c r="D591" s="3">
        <v>19049.88</v>
      </c>
      <c r="E591" s="2"/>
      <c r="F591" s="3"/>
      <c r="G591" s="2"/>
      <c r="H591" s="3"/>
      <c r="I591" s="65"/>
      <c r="K591" s="65"/>
      <c r="M591" s="65"/>
      <c r="O591" s="65"/>
      <c r="Q591" s="65"/>
      <c r="S591" s="65"/>
      <c r="U591" s="65"/>
      <c r="W591" s="65"/>
      <c r="Y591" s="65"/>
      <c r="AA591" s="65"/>
      <c r="AC591" s="65"/>
      <c r="AE591" s="65"/>
      <c r="AG591" s="65"/>
      <c r="AI591" s="65"/>
      <c r="AK591" s="65"/>
    </row>
    <row r="592" spans="1:37" x14ac:dyDescent="0.25">
      <c r="A592" s="2">
        <v>40728</v>
      </c>
      <c r="B592" s="3">
        <v>2870.19</v>
      </c>
      <c r="C592" s="2">
        <v>40735</v>
      </c>
      <c r="D592" s="3">
        <v>18295.189999999999</v>
      </c>
      <c r="E592" s="2"/>
      <c r="F592" s="3"/>
      <c r="G592" s="2"/>
      <c r="H592" s="3"/>
      <c r="I592" s="65"/>
      <c r="K592" s="65"/>
      <c r="M592" s="65"/>
      <c r="O592" s="65"/>
      <c r="Q592" s="65"/>
      <c r="S592" s="65"/>
      <c r="U592" s="65"/>
      <c r="W592" s="65"/>
      <c r="Y592" s="65"/>
      <c r="AA592" s="65"/>
      <c r="AC592" s="65"/>
      <c r="AE592" s="65"/>
      <c r="AG592" s="65"/>
      <c r="AI592" s="65"/>
      <c r="AK592" s="65"/>
    </row>
    <row r="593" spans="1:37" x14ac:dyDescent="0.25">
      <c r="A593" s="2">
        <v>40729</v>
      </c>
      <c r="B593" s="3">
        <v>2850.51</v>
      </c>
      <c r="C593" s="2">
        <v>40736</v>
      </c>
      <c r="D593" s="3">
        <v>18510.53</v>
      </c>
      <c r="E593" s="2"/>
      <c r="F593" s="3"/>
      <c r="G593" s="2"/>
      <c r="H593" s="3"/>
      <c r="I593" s="65"/>
      <c r="K593" s="65"/>
      <c r="M593" s="65"/>
      <c r="O593" s="65"/>
      <c r="Q593" s="65"/>
      <c r="S593" s="65"/>
      <c r="U593" s="65"/>
      <c r="W593" s="65"/>
      <c r="Y593" s="65"/>
      <c r="AA593" s="65"/>
      <c r="AC593" s="65"/>
      <c r="AE593" s="65"/>
      <c r="AG593" s="65"/>
      <c r="AI593" s="65"/>
      <c r="AK593" s="65"/>
    </row>
    <row r="594" spans="1:37" x14ac:dyDescent="0.25">
      <c r="A594" s="2">
        <v>40730</v>
      </c>
      <c r="B594" s="3">
        <v>2832.63</v>
      </c>
      <c r="C594" s="2">
        <v>40737</v>
      </c>
      <c r="D594" s="3">
        <v>18842.650000000001</v>
      </c>
      <c r="E594" s="2"/>
      <c r="F594" s="3"/>
      <c r="G594" s="2"/>
      <c r="H594" s="3"/>
      <c r="I594" s="65"/>
      <c r="K594" s="65"/>
      <c r="M594" s="65"/>
      <c r="O594" s="65"/>
      <c r="Q594" s="65"/>
      <c r="S594" s="65"/>
      <c r="U594" s="65"/>
      <c r="W594" s="65"/>
      <c r="Y594" s="65"/>
      <c r="AA594" s="65"/>
      <c r="AC594" s="65"/>
      <c r="AE594" s="65"/>
      <c r="AG594" s="65"/>
      <c r="AI594" s="65"/>
      <c r="AK594" s="65"/>
    </row>
    <row r="595" spans="1:37" x14ac:dyDescent="0.25">
      <c r="A595" s="2">
        <v>40731</v>
      </c>
      <c r="B595" s="3">
        <v>2844.51</v>
      </c>
      <c r="C595" s="2">
        <v>40738</v>
      </c>
      <c r="D595" s="3">
        <v>18640.349999999999</v>
      </c>
      <c r="E595" s="2"/>
      <c r="F595" s="3"/>
      <c r="G595" s="2"/>
      <c r="H595" s="3"/>
      <c r="I595" s="65"/>
      <c r="K595" s="65"/>
      <c r="M595" s="65"/>
      <c r="O595" s="65"/>
      <c r="Q595" s="65"/>
      <c r="S595" s="65"/>
      <c r="U595" s="65"/>
      <c r="W595" s="65"/>
      <c r="Y595" s="65"/>
      <c r="AA595" s="65"/>
      <c r="AC595" s="65"/>
      <c r="AE595" s="65"/>
      <c r="AG595" s="65"/>
      <c r="AI595" s="65"/>
      <c r="AK595" s="65"/>
    </row>
    <row r="596" spans="1:37" x14ac:dyDescent="0.25">
      <c r="A596" s="2">
        <v>40732</v>
      </c>
      <c r="B596" s="3">
        <v>2790.09</v>
      </c>
      <c r="C596" s="2">
        <v>40739</v>
      </c>
      <c r="D596" s="3">
        <v>18450.45</v>
      </c>
      <c r="E596" s="2"/>
      <c r="F596" s="3"/>
      <c r="G596" s="2"/>
      <c r="H596" s="3"/>
      <c r="I596" s="65"/>
      <c r="K596" s="65"/>
      <c r="M596" s="65"/>
      <c r="O596" s="65"/>
      <c r="Q596" s="65"/>
      <c r="S596" s="65"/>
      <c r="U596" s="65"/>
      <c r="W596" s="65"/>
      <c r="Y596" s="65"/>
      <c r="AA596" s="65"/>
      <c r="AC596" s="65"/>
      <c r="AE596" s="65"/>
      <c r="AG596" s="65"/>
      <c r="AI596" s="65"/>
      <c r="AK596" s="65"/>
    </row>
    <row r="597" spans="1:37" x14ac:dyDescent="0.25">
      <c r="A597" s="2">
        <v>40735</v>
      </c>
      <c r="B597" s="3">
        <v>2709.14</v>
      </c>
      <c r="C597" s="2">
        <v>40742</v>
      </c>
      <c r="D597" s="3">
        <v>17885.740000000002</v>
      </c>
      <c r="E597" s="2"/>
      <c r="F597" s="3"/>
      <c r="G597" s="2"/>
      <c r="H597" s="3"/>
      <c r="I597" s="65"/>
      <c r="K597" s="65"/>
      <c r="M597" s="65"/>
      <c r="O597" s="65"/>
      <c r="Q597" s="65"/>
      <c r="S597" s="65"/>
      <c r="U597" s="65"/>
      <c r="W597" s="65"/>
      <c r="Y597" s="65"/>
      <c r="AA597" s="65"/>
      <c r="AC597" s="65"/>
      <c r="AE597" s="65"/>
      <c r="AG597" s="65"/>
      <c r="AI597" s="65"/>
      <c r="AK597" s="65"/>
    </row>
    <row r="598" spans="1:37" x14ac:dyDescent="0.25">
      <c r="A598" s="2">
        <v>40736</v>
      </c>
      <c r="B598" s="3">
        <v>2693.53</v>
      </c>
      <c r="C598" s="2">
        <v>40743</v>
      </c>
      <c r="D598" s="3">
        <v>18229.47</v>
      </c>
      <c r="E598" s="2"/>
      <c r="F598" s="3"/>
      <c r="G598" s="2"/>
      <c r="H598" s="3"/>
      <c r="I598" s="65"/>
      <c r="K598" s="65"/>
      <c r="M598" s="65"/>
      <c r="O598" s="65"/>
      <c r="Q598" s="65"/>
      <c r="S598" s="65"/>
      <c r="U598" s="65"/>
      <c r="W598" s="65"/>
      <c r="Y598" s="65"/>
      <c r="AA598" s="65"/>
      <c r="AC598" s="65"/>
      <c r="AE598" s="65"/>
      <c r="AG598" s="65"/>
      <c r="AI598" s="65"/>
      <c r="AK598" s="65"/>
    </row>
    <row r="599" spans="1:37" x14ac:dyDescent="0.25">
      <c r="A599" s="2">
        <v>40737</v>
      </c>
      <c r="B599" s="3">
        <v>2715.05</v>
      </c>
      <c r="C599" s="2">
        <v>40744</v>
      </c>
      <c r="D599" s="3">
        <v>18784.11</v>
      </c>
      <c r="E599" s="2"/>
      <c r="F599" s="3"/>
      <c r="G599" s="2"/>
      <c r="H599" s="3"/>
      <c r="I599" s="65"/>
      <c r="K599" s="65"/>
      <c r="M599" s="65"/>
      <c r="O599" s="65"/>
      <c r="Q599" s="65"/>
      <c r="S599" s="65"/>
      <c r="U599" s="65"/>
      <c r="W599" s="65"/>
      <c r="Y599" s="65"/>
      <c r="AA599" s="65"/>
      <c r="AC599" s="65"/>
      <c r="AE599" s="65"/>
      <c r="AG599" s="65"/>
      <c r="AI599" s="65"/>
      <c r="AK599" s="65"/>
    </row>
    <row r="600" spans="1:37" x14ac:dyDescent="0.25">
      <c r="A600" s="2">
        <v>40738</v>
      </c>
      <c r="B600" s="3">
        <v>2695.29</v>
      </c>
      <c r="C600" s="2">
        <v>40745</v>
      </c>
      <c r="D600" s="3">
        <v>19490.759999999998</v>
      </c>
      <c r="E600" s="2"/>
      <c r="F600" s="3"/>
      <c r="G600" s="2"/>
      <c r="H600" s="3"/>
      <c r="I600" s="65"/>
      <c r="K600" s="65"/>
      <c r="M600" s="65"/>
      <c r="O600" s="65"/>
      <c r="Q600" s="65"/>
      <c r="S600" s="65"/>
      <c r="U600" s="65"/>
      <c r="W600" s="65"/>
      <c r="Y600" s="65"/>
      <c r="AA600" s="65"/>
      <c r="AC600" s="65"/>
      <c r="AE600" s="65"/>
      <c r="AG600" s="65"/>
      <c r="AI600" s="65"/>
      <c r="AK600" s="65"/>
    </row>
    <row r="601" spans="1:37" x14ac:dyDescent="0.25">
      <c r="A601" s="2">
        <v>40739</v>
      </c>
      <c r="B601" s="3">
        <v>2675.38</v>
      </c>
      <c r="C601" s="2">
        <v>40746</v>
      </c>
      <c r="D601" s="3">
        <v>19461.14</v>
      </c>
      <c r="E601" s="2"/>
      <c r="F601" s="3"/>
      <c r="G601" s="2"/>
      <c r="H601" s="3"/>
      <c r="I601" s="65"/>
      <c r="K601" s="65"/>
      <c r="M601" s="65"/>
      <c r="O601" s="65"/>
      <c r="Q601" s="65"/>
      <c r="S601" s="65"/>
      <c r="U601" s="65"/>
      <c r="W601" s="65"/>
      <c r="Y601" s="65"/>
      <c r="AA601" s="65"/>
      <c r="AC601" s="65"/>
      <c r="AE601" s="65"/>
      <c r="AG601" s="65"/>
      <c r="AI601" s="65"/>
      <c r="AK601" s="65"/>
    </row>
    <row r="602" spans="1:37" x14ac:dyDescent="0.25">
      <c r="A602" s="2">
        <v>40742</v>
      </c>
      <c r="B602" s="3">
        <v>2622.36</v>
      </c>
      <c r="C602" s="2">
        <v>40749</v>
      </c>
      <c r="D602" s="3">
        <v>18979.43</v>
      </c>
      <c r="E602" s="2"/>
      <c r="F602" s="3"/>
      <c r="G602" s="2"/>
      <c r="H602" s="3"/>
      <c r="I602" s="65"/>
      <c r="K602" s="65"/>
      <c r="M602" s="65"/>
      <c r="O602" s="65"/>
      <c r="Q602" s="65"/>
      <c r="S602" s="65"/>
      <c r="U602" s="65"/>
      <c r="W602" s="65"/>
      <c r="Y602" s="65"/>
      <c r="AA602" s="65"/>
      <c r="AC602" s="65"/>
      <c r="AE602" s="65"/>
      <c r="AG602" s="65"/>
      <c r="AI602" s="65"/>
      <c r="AK602" s="65"/>
    </row>
    <row r="603" spans="1:37" x14ac:dyDescent="0.25">
      <c r="A603" s="2">
        <v>40743</v>
      </c>
      <c r="B603" s="3">
        <v>2657.45</v>
      </c>
      <c r="C603" s="2">
        <v>40750</v>
      </c>
      <c r="D603" s="3">
        <v>19029.86</v>
      </c>
      <c r="E603" s="2"/>
      <c r="F603" s="3"/>
      <c r="G603" s="2"/>
      <c r="H603" s="3"/>
      <c r="I603" s="65"/>
      <c r="K603" s="65"/>
      <c r="M603" s="65"/>
      <c r="O603" s="65"/>
      <c r="Q603" s="65"/>
      <c r="S603" s="65"/>
      <c r="U603" s="65"/>
      <c r="W603" s="65"/>
      <c r="Y603" s="65"/>
      <c r="AA603" s="65"/>
      <c r="AC603" s="65"/>
      <c r="AE603" s="65"/>
      <c r="AG603" s="65"/>
      <c r="AI603" s="65"/>
      <c r="AK603" s="65"/>
    </row>
    <row r="604" spans="1:37" x14ac:dyDescent="0.25">
      <c r="A604" s="2">
        <v>40744</v>
      </c>
      <c r="B604" s="3">
        <v>2705.75</v>
      </c>
      <c r="C604" s="2">
        <v>40751</v>
      </c>
      <c r="D604" s="3">
        <v>18494.27</v>
      </c>
      <c r="E604" s="2"/>
      <c r="F604" s="3"/>
      <c r="G604" s="2"/>
      <c r="H604" s="3"/>
      <c r="I604" s="65"/>
      <c r="K604" s="65"/>
      <c r="M604" s="65"/>
      <c r="O604" s="65"/>
      <c r="Q604" s="65"/>
      <c r="S604" s="65"/>
      <c r="U604" s="65"/>
      <c r="W604" s="65"/>
      <c r="Y604" s="65"/>
      <c r="AA604" s="65"/>
      <c r="AC604" s="65"/>
      <c r="AE604" s="65"/>
      <c r="AG604" s="65"/>
      <c r="AI604" s="65"/>
      <c r="AK604" s="65"/>
    </row>
    <row r="605" spans="1:37" x14ac:dyDescent="0.25">
      <c r="A605" s="2">
        <v>40745</v>
      </c>
      <c r="B605" s="3">
        <v>2763.34</v>
      </c>
      <c r="C605" s="2">
        <v>40752</v>
      </c>
      <c r="D605" s="3">
        <v>18558.02</v>
      </c>
      <c r="E605" s="2"/>
      <c r="F605" s="3"/>
      <c r="G605" s="2"/>
      <c r="H605" s="3"/>
      <c r="I605" s="65"/>
      <c r="K605" s="65"/>
      <c r="M605" s="65"/>
      <c r="O605" s="65"/>
      <c r="Q605" s="65"/>
      <c r="S605" s="65"/>
      <c r="U605" s="65"/>
      <c r="W605" s="65"/>
      <c r="Y605" s="65"/>
      <c r="AA605" s="65"/>
      <c r="AC605" s="65"/>
      <c r="AE605" s="65"/>
      <c r="AG605" s="65"/>
      <c r="AI605" s="65"/>
      <c r="AK605" s="65"/>
    </row>
    <row r="606" spans="1:37" x14ac:dyDescent="0.25">
      <c r="A606" s="2">
        <v>40746</v>
      </c>
      <c r="B606" s="3">
        <v>2772.6</v>
      </c>
      <c r="C606" s="2">
        <v>40753</v>
      </c>
      <c r="D606" s="3">
        <v>18433.68</v>
      </c>
      <c r="E606" s="2"/>
      <c r="F606" s="3"/>
      <c r="G606" s="2"/>
      <c r="H606" s="3"/>
      <c r="I606" s="65"/>
      <c r="K606" s="65"/>
      <c r="M606" s="65"/>
      <c r="O606" s="65"/>
      <c r="Q606" s="65"/>
      <c r="S606" s="65"/>
      <c r="U606" s="65"/>
      <c r="W606" s="65"/>
      <c r="Y606" s="65"/>
      <c r="AA606" s="65"/>
      <c r="AC606" s="65"/>
      <c r="AE606" s="65"/>
      <c r="AG606" s="65"/>
      <c r="AI606" s="65"/>
      <c r="AK606" s="65"/>
    </row>
    <row r="607" spans="1:37" x14ac:dyDescent="0.25">
      <c r="A607" s="2">
        <v>40749</v>
      </c>
      <c r="B607" s="3">
        <v>2742.7</v>
      </c>
      <c r="C607" s="2">
        <v>40756</v>
      </c>
      <c r="D607" s="3">
        <v>17720.439999999999</v>
      </c>
      <c r="E607" s="2"/>
      <c r="F607" s="3"/>
      <c r="G607" s="2"/>
      <c r="H607" s="3"/>
      <c r="I607" s="65"/>
      <c r="K607" s="65"/>
      <c r="M607" s="65"/>
      <c r="O607" s="65"/>
      <c r="Q607" s="65"/>
      <c r="S607" s="65"/>
      <c r="U607" s="65"/>
      <c r="W607" s="65"/>
      <c r="Y607" s="65"/>
      <c r="AA607" s="65"/>
      <c r="AC607" s="65"/>
      <c r="AE607" s="65"/>
      <c r="AG607" s="65"/>
      <c r="AI607" s="65"/>
      <c r="AK607" s="65"/>
    </row>
    <row r="608" spans="1:37" x14ac:dyDescent="0.25">
      <c r="A608" s="2">
        <v>40750</v>
      </c>
      <c r="B608" s="3">
        <v>2739.65</v>
      </c>
      <c r="C608" s="2">
        <v>40757</v>
      </c>
      <c r="D608" s="3">
        <v>17272.79</v>
      </c>
      <c r="E608" s="2"/>
      <c r="F608" s="3"/>
      <c r="G608" s="2"/>
      <c r="H608" s="3"/>
      <c r="I608" s="65"/>
      <c r="K608" s="65"/>
      <c r="M608" s="65"/>
      <c r="O608" s="65"/>
      <c r="Q608" s="65"/>
      <c r="S608" s="65"/>
      <c r="U608" s="65"/>
      <c r="W608" s="65"/>
      <c r="Y608" s="65"/>
      <c r="AA608" s="65"/>
      <c r="AC608" s="65"/>
      <c r="AE608" s="65"/>
      <c r="AG608" s="65"/>
      <c r="AI608" s="65"/>
      <c r="AK608" s="65"/>
    </row>
    <row r="609" spans="1:37" x14ac:dyDescent="0.25">
      <c r="A609" s="2">
        <v>40751</v>
      </c>
      <c r="B609" s="3">
        <v>2693.71</v>
      </c>
      <c r="C609" s="2">
        <v>40758</v>
      </c>
      <c r="D609" s="3">
        <v>17006.02</v>
      </c>
      <c r="E609" s="2"/>
      <c r="F609" s="3"/>
      <c r="G609" s="2"/>
      <c r="H609" s="3"/>
      <c r="I609" s="65"/>
      <c r="K609" s="65"/>
      <c r="M609" s="65"/>
      <c r="O609" s="65"/>
      <c r="Q609" s="65"/>
      <c r="S609" s="65"/>
      <c r="U609" s="65"/>
      <c r="W609" s="65"/>
      <c r="Y609" s="65"/>
      <c r="AA609" s="65"/>
      <c r="AC609" s="65"/>
      <c r="AE609" s="65"/>
      <c r="AG609" s="65"/>
      <c r="AI609" s="65"/>
      <c r="AK609" s="65"/>
    </row>
    <row r="610" spans="1:37" x14ac:dyDescent="0.25">
      <c r="A610" s="2">
        <v>40752</v>
      </c>
      <c r="B610" s="3">
        <v>2692.76</v>
      </c>
      <c r="C610" s="2">
        <v>40759</v>
      </c>
      <c r="D610" s="3">
        <v>16128.07</v>
      </c>
      <c r="E610" s="2"/>
      <c r="F610" s="3"/>
      <c r="G610" s="2"/>
      <c r="H610" s="3"/>
      <c r="I610" s="65"/>
      <c r="K610" s="65"/>
      <c r="M610" s="65"/>
      <c r="O610" s="65"/>
      <c r="Q610" s="65"/>
      <c r="S610" s="65"/>
      <c r="U610" s="65"/>
      <c r="W610" s="65"/>
      <c r="Y610" s="65"/>
      <c r="AA610" s="65"/>
      <c r="AC610" s="65"/>
      <c r="AE610" s="65"/>
      <c r="AG610" s="65"/>
      <c r="AI610" s="65"/>
      <c r="AK610" s="65"/>
    </row>
    <row r="611" spans="1:37" x14ac:dyDescent="0.25">
      <c r="A611" s="2">
        <v>40753</v>
      </c>
      <c r="B611" s="3">
        <v>2670.37</v>
      </c>
      <c r="C611" s="2">
        <v>40760</v>
      </c>
      <c r="D611" s="3">
        <v>16015.87</v>
      </c>
      <c r="E611" s="2"/>
      <c r="F611" s="3"/>
      <c r="G611" s="2"/>
      <c r="H611" s="3"/>
      <c r="I611" s="65"/>
      <c r="K611" s="65"/>
      <c r="M611" s="65"/>
      <c r="O611" s="65"/>
      <c r="Q611" s="65"/>
      <c r="S611" s="65"/>
      <c r="U611" s="65"/>
      <c r="W611" s="65"/>
      <c r="Y611" s="65"/>
      <c r="AA611" s="65"/>
      <c r="AC611" s="65"/>
      <c r="AE611" s="65"/>
      <c r="AG611" s="65"/>
      <c r="AI611" s="65"/>
      <c r="AK611" s="65"/>
    </row>
    <row r="612" spans="1:37" x14ac:dyDescent="0.25">
      <c r="A612" s="2">
        <v>40756</v>
      </c>
      <c r="B612" s="3">
        <v>2593.34</v>
      </c>
      <c r="C612" s="2">
        <v>40763</v>
      </c>
      <c r="D612" s="3">
        <v>15639.75</v>
      </c>
      <c r="E612" s="2"/>
      <c r="F612" s="3"/>
      <c r="G612" s="2"/>
      <c r="H612" s="3"/>
      <c r="I612" s="65"/>
      <c r="K612" s="65"/>
      <c r="M612" s="65"/>
      <c r="O612" s="65"/>
      <c r="Q612" s="65"/>
      <c r="S612" s="65"/>
      <c r="U612" s="65"/>
      <c r="W612" s="65"/>
      <c r="Y612" s="65"/>
      <c r="AA612" s="65"/>
      <c r="AC612" s="65"/>
      <c r="AE612" s="65"/>
      <c r="AG612" s="65"/>
      <c r="AI612" s="65"/>
      <c r="AK612" s="65"/>
    </row>
    <row r="613" spans="1:37" x14ac:dyDescent="0.25">
      <c r="A613" s="2">
        <v>40757</v>
      </c>
      <c r="B613" s="3">
        <v>2544.89</v>
      </c>
      <c r="C613" s="2">
        <v>40764</v>
      </c>
      <c r="D613" s="3">
        <v>15721.45</v>
      </c>
      <c r="E613" s="2"/>
      <c r="F613" s="3"/>
      <c r="G613" s="2"/>
      <c r="H613" s="3"/>
      <c r="I613" s="65"/>
      <c r="K613" s="65"/>
      <c r="M613" s="65"/>
      <c r="O613" s="65"/>
      <c r="Q613" s="65"/>
      <c r="S613" s="65"/>
      <c r="U613" s="65"/>
      <c r="W613" s="65"/>
      <c r="Y613" s="65"/>
      <c r="AA613" s="65"/>
      <c r="AC613" s="65"/>
      <c r="AE613" s="65"/>
      <c r="AG613" s="65"/>
      <c r="AI613" s="65"/>
      <c r="AK613" s="65"/>
    </row>
    <row r="614" spans="1:37" x14ac:dyDescent="0.25">
      <c r="A614" s="2">
        <v>40758</v>
      </c>
      <c r="B614" s="3">
        <v>2497.83</v>
      </c>
      <c r="C614" s="2">
        <v>40765</v>
      </c>
      <c r="D614" s="3">
        <v>14676.04</v>
      </c>
      <c r="E614" s="2"/>
      <c r="F614" s="3"/>
      <c r="G614" s="2"/>
      <c r="H614" s="3"/>
      <c r="I614" s="65"/>
      <c r="K614" s="65"/>
      <c r="M614" s="65"/>
      <c r="O614" s="65"/>
      <c r="Q614" s="65"/>
      <c r="S614" s="65"/>
      <c r="U614" s="65"/>
      <c r="W614" s="65"/>
      <c r="Y614" s="65"/>
      <c r="AA614" s="65"/>
      <c r="AC614" s="65"/>
      <c r="AE614" s="65"/>
      <c r="AG614" s="65"/>
      <c r="AI614" s="65"/>
      <c r="AK614" s="65"/>
    </row>
    <row r="615" spans="1:37" x14ac:dyDescent="0.25">
      <c r="A615" s="2">
        <v>40759</v>
      </c>
      <c r="B615" s="3">
        <v>2412.29</v>
      </c>
      <c r="C615" s="2">
        <v>40766</v>
      </c>
      <c r="D615" s="3">
        <v>15277.19</v>
      </c>
      <c r="E615" s="2"/>
      <c r="F615" s="3"/>
      <c r="G615" s="2"/>
      <c r="H615" s="3"/>
      <c r="I615" s="65"/>
      <c r="K615" s="65"/>
      <c r="M615" s="65"/>
      <c r="O615" s="65"/>
      <c r="Q615" s="65"/>
      <c r="S615" s="65"/>
      <c r="U615" s="65"/>
      <c r="W615" s="65"/>
      <c r="Y615" s="65"/>
      <c r="AA615" s="65"/>
      <c r="AC615" s="65"/>
      <c r="AE615" s="65"/>
      <c r="AG615" s="65"/>
      <c r="AI615" s="65"/>
      <c r="AK615" s="65"/>
    </row>
    <row r="616" spans="1:37" x14ac:dyDescent="0.25">
      <c r="A616" s="2">
        <v>40760</v>
      </c>
      <c r="B616" s="3">
        <v>2375.15</v>
      </c>
      <c r="C616" s="2">
        <v>40767</v>
      </c>
      <c r="D616" s="3">
        <v>15888.61</v>
      </c>
      <c r="E616" s="2"/>
      <c r="F616" s="3"/>
      <c r="G616" s="2"/>
      <c r="H616" s="3"/>
      <c r="I616" s="65"/>
      <c r="K616" s="65"/>
      <c r="M616" s="65"/>
      <c r="O616" s="65"/>
      <c r="Q616" s="65"/>
      <c r="S616" s="65"/>
      <c r="U616" s="65"/>
      <c r="W616" s="65"/>
      <c r="Y616" s="65"/>
      <c r="AA616" s="65"/>
      <c r="AC616" s="65"/>
      <c r="AE616" s="65"/>
      <c r="AG616" s="65"/>
      <c r="AI616" s="65"/>
      <c r="AK616" s="65"/>
    </row>
    <row r="617" spans="1:37" x14ac:dyDescent="0.25">
      <c r="A617" s="2">
        <v>40763</v>
      </c>
      <c r="B617" s="3">
        <v>2286.91</v>
      </c>
      <c r="C617" s="2">
        <v>40771</v>
      </c>
      <c r="D617" s="3">
        <v>15750.6</v>
      </c>
      <c r="E617" s="2"/>
      <c r="F617" s="3"/>
      <c r="G617" s="2"/>
      <c r="H617" s="3"/>
      <c r="I617" s="65"/>
      <c r="K617" s="65"/>
      <c r="M617" s="65"/>
      <c r="O617" s="65"/>
      <c r="Q617" s="65"/>
      <c r="S617" s="65"/>
      <c r="U617" s="65"/>
      <c r="W617" s="65"/>
      <c r="Y617" s="65"/>
      <c r="AA617" s="65"/>
      <c r="AC617" s="65"/>
      <c r="AE617" s="65"/>
      <c r="AG617" s="65"/>
      <c r="AI617" s="65"/>
      <c r="AK617" s="65"/>
    </row>
    <row r="618" spans="1:37" x14ac:dyDescent="0.25">
      <c r="A618" s="2">
        <v>40764</v>
      </c>
      <c r="B618" s="3">
        <v>2294.2399999999998</v>
      </c>
      <c r="C618" s="2">
        <v>40772</v>
      </c>
      <c r="D618" s="3">
        <v>15950.75</v>
      </c>
      <c r="E618" s="2"/>
      <c r="F618" s="3"/>
      <c r="G618" s="2"/>
      <c r="H618" s="3"/>
      <c r="I618" s="65"/>
      <c r="K618" s="65"/>
      <c r="M618" s="65"/>
      <c r="O618" s="65"/>
      <c r="Q618" s="65"/>
      <c r="S618" s="65"/>
      <c r="U618" s="65"/>
      <c r="W618" s="65"/>
      <c r="Y618" s="65"/>
      <c r="AA618" s="65"/>
      <c r="AC618" s="65"/>
      <c r="AE618" s="65"/>
      <c r="AG618" s="65"/>
      <c r="AI618" s="65"/>
      <c r="AK618" s="65"/>
    </row>
    <row r="619" spans="1:37" x14ac:dyDescent="0.25">
      <c r="A619" s="2">
        <v>40765</v>
      </c>
      <c r="B619" s="3">
        <v>2153.77</v>
      </c>
      <c r="C619" s="2">
        <v>40773</v>
      </c>
      <c r="D619" s="3">
        <v>14970.42</v>
      </c>
      <c r="E619" s="2"/>
      <c r="F619" s="3"/>
      <c r="G619" s="2"/>
      <c r="H619" s="3"/>
      <c r="I619" s="65"/>
      <c r="K619" s="65"/>
      <c r="M619" s="65"/>
      <c r="O619" s="65"/>
      <c r="Q619" s="65"/>
      <c r="S619" s="65"/>
      <c r="U619" s="65"/>
      <c r="W619" s="65"/>
      <c r="Y619" s="65"/>
      <c r="AA619" s="65"/>
      <c r="AC619" s="65"/>
      <c r="AE619" s="65"/>
      <c r="AG619" s="65"/>
      <c r="AI619" s="65"/>
      <c r="AK619" s="65"/>
    </row>
    <row r="620" spans="1:37" x14ac:dyDescent="0.25">
      <c r="A620" s="2">
        <v>40766</v>
      </c>
      <c r="B620" s="3">
        <v>2215.4499999999998</v>
      </c>
      <c r="C620" s="2">
        <v>40774</v>
      </c>
      <c r="D620" s="3">
        <v>14602.33</v>
      </c>
      <c r="E620" s="2"/>
      <c r="F620" s="3"/>
      <c r="G620" s="2"/>
      <c r="H620" s="3"/>
      <c r="I620" s="65"/>
      <c r="K620" s="65"/>
      <c r="M620" s="65"/>
      <c r="O620" s="65"/>
      <c r="Q620" s="65"/>
      <c r="S620" s="65"/>
      <c r="U620" s="65"/>
      <c r="W620" s="65"/>
      <c r="Y620" s="65"/>
      <c r="AA620" s="65"/>
      <c r="AC620" s="65"/>
      <c r="AE620" s="65"/>
      <c r="AG620" s="65"/>
      <c r="AI620" s="65"/>
      <c r="AK620" s="65"/>
    </row>
    <row r="621" spans="1:37" x14ac:dyDescent="0.25">
      <c r="A621" s="2">
        <v>40767</v>
      </c>
      <c r="B621" s="3">
        <v>2307.33</v>
      </c>
      <c r="C621" s="2">
        <v>40777</v>
      </c>
      <c r="D621" s="3">
        <v>14861.64</v>
      </c>
      <c r="E621" s="2"/>
      <c r="F621" s="3"/>
      <c r="G621" s="2"/>
      <c r="H621" s="3"/>
      <c r="I621" s="65"/>
      <c r="K621" s="65"/>
      <c r="M621" s="65"/>
      <c r="O621" s="65"/>
      <c r="Q621" s="65"/>
      <c r="S621" s="65"/>
      <c r="U621" s="65"/>
      <c r="W621" s="65"/>
      <c r="Y621" s="65"/>
      <c r="AA621" s="65"/>
      <c r="AC621" s="65"/>
      <c r="AE621" s="65"/>
      <c r="AG621" s="65"/>
      <c r="AI621" s="65"/>
      <c r="AK621" s="65"/>
    </row>
    <row r="622" spans="1:37" x14ac:dyDescent="0.25">
      <c r="A622" s="2">
        <v>40770</v>
      </c>
      <c r="B622" s="3">
        <v>2324.48</v>
      </c>
      <c r="C622" s="2">
        <v>40778</v>
      </c>
      <c r="D622" s="3">
        <v>14707.32</v>
      </c>
      <c r="E622" s="2"/>
      <c r="F622" s="3"/>
      <c r="G622" s="2"/>
      <c r="H622" s="3"/>
      <c r="I622" s="65"/>
      <c r="K622" s="65"/>
      <c r="M622" s="65"/>
      <c r="O622" s="65"/>
      <c r="Q622" s="65"/>
      <c r="S622" s="65"/>
      <c r="U622" s="65"/>
      <c r="W622" s="65"/>
      <c r="Y622" s="65"/>
      <c r="AA622" s="65"/>
      <c r="AC622" s="65"/>
      <c r="AE622" s="65"/>
      <c r="AG622" s="65"/>
      <c r="AI622" s="65"/>
      <c r="AK622" s="65"/>
    </row>
    <row r="623" spans="1:37" x14ac:dyDescent="0.25">
      <c r="A623" s="2">
        <v>40771</v>
      </c>
      <c r="B623" s="3">
        <v>2323.67</v>
      </c>
      <c r="C623" s="2">
        <v>40779</v>
      </c>
      <c r="D623" s="3">
        <v>14981.35</v>
      </c>
      <c r="E623" s="2"/>
      <c r="F623" s="3"/>
      <c r="G623" s="2"/>
      <c r="H623" s="3"/>
      <c r="I623" s="65"/>
      <c r="K623" s="65"/>
      <c r="M623" s="65"/>
      <c r="O623" s="65"/>
      <c r="Q623" s="65"/>
      <c r="S623" s="65"/>
      <c r="U623" s="65"/>
      <c r="W623" s="65"/>
      <c r="Y623" s="65"/>
      <c r="AA623" s="65"/>
      <c r="AC623" s="65"/>
      <c r="AE623" s="65"/>
      <c r="AG623" s="65"/>
      <c r="AI623" s="65"/>
      <c r="AK623" s="65"/>
    </row>
    <row r="624" spans="1:37" x14ac:dyDescent="0.25">
      <c r="A624" s="2">
        <v>40772</v>
      </c>
      <c r="B624" s="3">
        <v>2331.12</v>
      </c>
      <c r="C624" s="2">
        <v>40780</v>
      </c>
      <c r="D624" s="3">
        <v>14944.61</v>
      </c>
      <c r="E624" s="2"/>
      <c r="F624" s="3"/>
      <c r="G624" s="2"/>
      <c r="H624" s="3"/>
      <c r="I624" s="65"/>
      <c r="K624" s="65"/>
      <c r="M624" s="65"/>
      <c r="O624" s="65"/>
      <c r="Q624" s="65"/>
      <c r="S624" s="65"/>
      <c r="U624" s="65"/>
      <c r="W624" s="65"/>
      <c r="Y624" s="65"/>
      <c r="AA624" s="65"/>
      <c r="AC624" s="65"/>
      <c r="AE624" s="65"/>
      <c r="AG624" s="65"/>
      <c r="AI624" s="65"/>
      <c r="AK624" s="65"/>
    </row>
    <row r="625" spans="1:37" x14ac:dyDescent="0.25">
      <c r="A625" s="2">
        <v>40773</v>
      </c>
      <c r="B625" s="3">
        <v>2206.61</v>
      </c>
      <c r="C625" s="2">
        <v>40781</v>
      </c>
      <c r="D625" s="3">
        <v>14800.01</v>
      </c>
      <c r="E625" s="2"/>
      <c r="F625" s="3"/>
      <c r="G625" s="2"/>
      <c r="H625" s="3"/>
      <c r="I625" s="65"/>
      <c r="K625" s="65"/>
      <c r="M625" s="65"/>
      <c r="O625" s="65"/>
      <c r="Q625" s="65"/>
      <c r="S625" s="65"/>
      <c r="U625" s="65"/>
      <c r="W625" s="65"/>
      <c r="Y625" s="65"/>
      <c r="AA625" s="65"/>
      <c r="AC625" s="65"/>
      <c r="AE625" s="65"/>
      <c r="AG625" s="65"/>
      <c r="AI625" s="65"/>
      <c r="AK625" s="65"/>
    </row>
    <row r="626" spans="1:37" x14ac:dyDescent="0.25">
      <c r="A626" s="2">
        <v>40774</v>
      </c>
      <c r="B626" s="3">
        <v>2159.0700000000002</v>
      </c>
      <c r="C626" s="2">
        <v>40784</v>
      </c>
      <c r="D626" s="3">
        <v>15140.98</v>
      </c>
      <c r="E626" s="2"/>
      <c r="F626" s="3"/>
      <c r="G626" s="2"/>
      <c r="H626" s="3"/>
      <c r="I626" s="65"/>
      <c r="K626" s="65"/>
      <c r="M626" s="65"/>
      <c r="O626" s="65"/>
      <c r="Q626" s="65"/>
      <c r="S626" s="65"/>
      <c r="U626" s="65"/>
      <c r="W626" s="65"/>
      <c r="Y626" s="65"/>
      <c r="AA626" s="65"/>
      <c r="AC626" s="65"/>
      <c r="AE626" s="65"/>
      <c r="AG626" s="65"/>
      <c r="AI626" s="65"/>
      <c r="AK626" s="65"/>
    </row>
    <row r="627" spans="1:37" x14ac:dyDescent="0.25">
      <c r="A627" s="2">
        <v>40777</v>
      </c>
      <c r="B627" s="3">
        <v>2183.39</v>
      </c>
      <c r="C627" s="2">
        <v>40785</v>
      </c>
      <c r="D627" s="3">
        <v>15106.28</v>
      </c>
      <c r="E627" s="2"/>
      <c r="F627" s="3"/>
      <c r="G627" s="2"/>
      <c r="H627" s="3"/>
      <c r="I627" s="65"/>
      <c r="K627" s="65"/>
      <c r="M627" s="65"/>
      <c r="O627" s="65"/>
      <c r="Q627" s="65"/>
      <c r="S627" s="65"/>
      <c r="U627" s="65"/>
      <c r="W627" s="65"/>
      <c r="Y627" s="65"/>
      <c r="AA627" s="65"/>
      <c r="AC627" s="65"/>
      <c r="AE627" s="65"/>
      <c r="AG627" s="65"/>
      <c r="AI627" s="65"/>
      <c r="AK627" s="65"/>
    </row>
    <row r="628" spans="1:37" x14ac:dyDescent="0.25">
      <c r="A628" s="2">
        <v>40778</v>
      </c>
      <c r="B628" s="3">
        <v>2199.98</v>
      </c>
      <c r="C628" s="2">
        <v>40786</v>
      </c>
      <c r="D628" s="3">
        <v>15563.2</v>
      </c>
      <c r="E628" s="2"/>
      <c r="F628" s="3"/>
      <c r="G628" s="2"/>
      <c r="H628" s="3"/>
      <c r="I628" s="65"/>
      <c r="K628" s="65"/>
      <c r="M628" s="65"/>
      <c r="O628" s="65"/>
      <c r="Q628" s="65"/>
      <c r="S628" s="65"/>
      <c r="U628" s="65"/>
      <c r="W628" s="65"/>
      <c r="Y628" s="65"/>
      <c r="AA628" s="65"/>
      <c r="AC628" s="65"/>
      <c r="AE628" s="65"/>
      <c r="AG628" s="65"/>
      <c r="AI628" s="65"/>
      <c r="AK628" s="65"/>
    </row>
    <row r="629" spans="1:37" x14ac:dyDescent="0.25">
      <c r="A629" s="2">
        <v>40779</v>
      </c>
      <c r="B629" s="3">
        <v>2238.6999999999998</v>
      </c>
      <c r="C629" s="2">
        <v>40787</v>
      </c>
      <c r="D629" s="3">
        <v>15670.82</v>
      </c>
      <c r="E629" s="2"/>
      <c r="F629" s="3"/>
      <c r="G629" s="2"/>
      <c r="H629" s="3"/>
      <c r="I629" s="65"/>
      <c r="K629" s="65"/>
      <c r="M629" s="65"/>
      <c r="O629" s="65"/>
      <c r="Q629" s="65"/>
      <c r="S629" s="65"/>
      <c r="U629" s="65"/>
      <c r="W629" s="65"/>
      <c r="Y629" s="65"/>
      <c r="AA629" s="65"/>
      <c r="AC629" s="65"/>
      <c r="AE629" s="65"/>
      <c r="AG629" s="65"/>
      <c r="AI629" s="65"/>
      <c r="AK629" s="65"/>
    </row>
    <row r="630" spans="1:37" x14ac:dyDescent="0.25">
      <c r="A630" s="2">
        <v>40780</v>
      </c>
      <c r="B630" s="3">
        <v>2216.6999999999998</v>
      </c>
      <c r="C630" s="2">
        <v>40788</v>
      </c>
      <c r="D630" s="3">
        <v>15060.79</v>
      </c>
      <c r="E630" s="2"/>
      <c r="F630" s="3"/>
      <c r="G630" s="2"/>
      <c r="H630" s="3"/>
      <c r="I630" s="65"/>
      <c r="K630" s="65"/>
      <c r="M630" s="65"/>
      <c r="O630" s="65"/>
      <c r="Q630" s="65"/>
      <c r="S630" s="65"/>
      <c r="U630" s="65"/>
      <c r="W630" s="65"/>
      <c r="Y630" s="65"/>
      <c r="AA630" s="65"/>
      <c r="AC630" s="65"/>
      <c r="AE630" s="65"/>
      <c r="AG630" s="65"/>
      <c r="AI630" s="65"/>
      <c r="AK630" s="65"/>
    </row>
    <row r="631" spans="1:37" x14ac:dyDescent="0.25">
      <c r="A631" s="2">
        <v>40781</v>
      </c>
      <c r="B631" s="3">
        <v>2190.44</v>
      </c>
      <c r="C631" s="2">
        <v>40791</v>
      </c>
      <c r="D631" s="3">
        <v>14333.91</v>
      </c>
      <c r="E631" s="2"/>
      <c r="F631" s="3"/>
      <c r="G631" s="2"/>
      <c r="H631" s="3"/>
      <c r="I631" s="65"/>
      <c r="K631" s="65"/>
      <c r="M631" s="65"/>
      <c r="O631" s="65"/>
      <c r="Q631" s="65"/>
      <c r="S631" s="65"/>
      <c r="U631" s="65"/>
      <c r="W631" s="65"/>
      <c r="Y631" s="65"/>
      <c r="AA631" s="65"/>
      <c r="AC631" s="65"/>
      <c r="AE631" s="65"/>
      <c r="AG631" s="65"/>
      <c r="AI631" s="65"/>
      <c r="AK631" s="65"/>
    </row>
    <row r="632" spans="1:37" x14ac:dyDescent="0.25">
      <c r="A632" s="2">
        <v>40784</v>
      </c>
      <c r="B632" s="3">
        <v>2239.3000000000002</v>
      </c>
      <c r="C632" s="2">
        <v>40792</v>
      </c>
      <c r="D632" s="3">
        <v>14049.71</v>
      </c>
      <c r="E632" s="2"/>
      <c r="F632" s="3"/>
      <c r="G632" s="2"/>
      <c r="H632" s="3"/>
      <c r="I632" s="65"/>
      <c r="K632" s="65"/>
      <c r="M632" s="65"/>
      <c r="O632" s="65"/>
      <c r="Q632" s="65"/>
      <c r="S632" s="65"/>
      <c r="U632" s="65"/>
      <c r="W632" s="65"/>
      <c r="Y632" s="65"/>
      <c r="AA632" s="65"/>
      <c r="AC632" s="65"/>
      <c r="AE632" s="65"/>
      <c r="AG632" s="65"/>
      <c r="AI632" s="65"/>
      <c r="AK632" s="65"/>
    </row>
    <row r="633" spans="1:37" x14ac:dyDescent="0.25">
      <c r="A633" s="2">
        <v>40785</v>
      </c>
      <c r="B633" s="3">
        <v>2239.14</v>
      </c>
      <c r="C633" s="2">
        <v>40793</v>
      </c>
      <c r="D633" s="3">
        <v>14645.96</v>
      </c>
      <c r="E633" s="2"/>
      <c r="F633" s="3"/>
      <c r="G633" s="2"/>
      <c r="H633" s="3"/>
      <c r="I633" s="65"/>
      <c r="K633" s="65"/>
      <c r="M633" s="65"/>
      <c r="O633" s="65"/>
      <c r="Q633" s="65"/>
      <c r="S633" s="65"/>
      <c r="U633" s="65"/>
      <c r="W633" s="65"/>
      <c r="Y633" s="65"/>
      <c r="AA633" s="65"/>
      <c r="AC633" s="65"/>
      <c r="AE633" s="65"/>
      <c r="AG633" s="65"/>
      <c r="AI633" s="65"/>
      <c r="AK633" s="65"/>
    </row>
    <row r="634" spans="1:37" x14ac:dyDescent="0.25">
      <c r="A634" s="2">
        <v>40786</v>
      </c>
      <c r="B634" s="3">
        <v>2302.08</v>
      </c>
      <c r="C634" s="2">
        <v>40794</v>
      </c>
      <c r="D634" s="3">
        <v>14747.6</v>
      </c>
      <c r="E634" s="2"/>
      <c r="F634" s="3"/>
      <c r="G634" s="2"/>
      <c r="H634" s="3"/>
      <c r="I634" s="65"/>
      <c r="K634" s="65"/>
      <c r="M634" s="65"/>
      <c r="O634" s="65"/>
      <c r="Q634" s="65"/>
      <c r="S634" s="65"/>
      <c r="U634" s="65"/>
      <c r="W634" s="65"/>
      <c r="Y634" s="65"/>
      <c r="AA634" s="65"/>
      <c r="AC634" s="65"/>
      <c r="AE634" s="65"/>
      <c r="AG634" s="65"/>
      <c r="AI634" s="65"/>
      <c r="AK634" s="65"/>
    </row>
    <row r="635" spans="1:37" x14ac:dyDescent="0.25">
      <c r="A635" s="2">
        <v>40787</v>
      </c>
      <c r="B635" s="3">
        <v>2305.75</v>
      </c>
      <c r="C635" s="2">
        <v>40795</v>
      </c>
      <c r="D635" s="3">
        <v>14020.18</v>
      </c>
      <c r="E635" s="2"/>
      <c r="F635" s="3"/>
      <c r="G635" s="2"/>
      <c r="H635" s="3"/>
      <c r="I635" s="65"/>
      <c r="K635" s="65"/>
      <c r="M635" s="65"/>
      <c r="O635" s="65"/>
      <c r="Q635" s="65"/>
      <c r="S635" s="65"/>
      <c r="U635" s="65"/>
      <c r="W635" s="65"/>
      <c r="Y635" s="65"/>
      <c r="AA635" s="65"/>
      <c r="AC635" s="65"/>
      <c r="AE635" s="65"/>
      <c r="AG635" s="65"/>
      <c r="AI635" s="65"/>
      <c r="AK635" s="65"/>
    </row>
    <row r="636" spans="1:37" x14ac:dyDescent="0.25">
      <c r="A636" s="2">
        <v>40788</v>
      </c>
      <c r="B636" s="3">
        <v>2220.7199999999998</v>
      </c>
      <c r="C636" s="2">
        <v>40798</v>
      </c>
      <c r="D636" s="3">
        <v>13474.14</v>
      </c>
      <c r="E636" s="2"/>
      <c r="F636" s="3"/>
      <c r="G636" s="2"/>
      <c r="H636" s="3"/>
      <c r="I636" s="65"/>
      <c r="K636" s="65"/>
      <c r="M636" s="65"/>
      <c r="O636" s="65"/>
      <c r="Q636" s="65"/>
      <c r="S636" s="65"/>
      <c r="U636" s="65"/>
      <c r="W636" s="65"/>
      <c r="Y636" s="65"/>
      <c r="AA636" s="65"/>
      <c r="AC636" s="65"/>
      <c r="AE636" s="65"/>
      <c r="AG636" s="65"/>
      <c r="AI636" s="65"/>
      <c r="AK636" s="65"/>
    </row>
    <row r="637" spans="1:37" x14ac:dyDescent="0.25">
      <c r="A637" s="2">
        <v>40791</v>
      </c>
      <c r="B637" s="3">
        <v>2107.27</v>
      </c>
      <c r="C637" s="2">
        <v>40799</v>
      </c>
      <c r="D637" s="3">
        <v>13769.44</v>
      </c>
      <c r="E637" s="2"/>
      <c r="F637" s="3"/>
      <c r="G637" s="2"/>
      <c r="H637" s="3"/>
      <c r="I637" s="65"/>
      <c r="K637" s="65"/>
      <c r="M637" s="65"/>
      <c r="O637" s="65"/>
      <c r="Q637" s="65"/>
      <c r="S637" s="65"/>
      <c r="U637" s="65"/>
      <c r="W637" s="65"/>
      <c r="Y637" s="65"/>
      <c r="AA637" s="65"/>
      <c r="AC637" s="65"/>
      <c r="AE637" s="65"/>
      <c r="AG637" s="65"/>
      <c r="AI637" s="65"/>
      <c r="AK637" s="65"/>
    </row>
    <row r="638" spans="1:37" x14ac:dyDescent="0.25">
      <c r="A638" s="2">
        <v>40792</v>
      </c>
      <c r="B638" s="3">
        <v>2080.1</v>
      </c>
      <c r="C638" s="2">
        <v>40800</v>
      </c>
      <c r="D638" s="3">
        <v>14140.08</v>
      </c>
      <c r="E638" s="2"/>
      <c r="F638" s="3"/>
      <c r="G638" s="2"/>
      <c r="H638" s="3"/>
      <c r="I638" s="65"/>
      <c r="K638" s="65"/>
      <c r="M638" s="65"/>
      <c r="O638" s="65"/>
      <c r="Q638" s="65"/>
      <c r="S638" s="65"/>
      <c r="U638" s="65"/>
      <c r="W638" s="65"/>
      <c r="Y638" s="65"/>
      <c r="AA638" s="65"/>
      <c r="AC638" s="65"/>
      <c r="AE638" s="65"/>
      <c r="AG638" s="65"/>
      <c r="AI638" s="65"/>
      <c r="AK638" s="65"/>
    </row>
    <row r="639" spans="1:37" x14ac:dyDescent="0.25">
      <c r="A639" s="2">
        <v>40793</v>
      </c>
      <c r="B639" s="3">
        <v>2151.16</v>
      </c>
      <c r="C639" s="2">
        <v>40801</v>
      </c>
      <c r="D639" s="3">
        <v>14642.72</v>
      </c>
      <c r="E639" s="2"/>
      <c r="F639" s="3"/>
      <c r="G639" s="2"/>
      <c r="H639" s="3"/>
      <c r="I639" s="65"/>
      <c r="K639" s="65"/>
      <c r="M639" s="65"/>
      <c r="O639" s="65"/>
      <c r="Q639" s="65"/>
      <c r="S639" s="65"/>
      <c r="U639" s="65"/>
      <c r="W639" s="65"/>
      <c r="Y639" s="65"/>
      <c r="AA639" s="65"/>
      <c r="AC639" s="65"/>
      <c r="AE639" s="65"/>
      <c r="AG639" s="65"/>
      <c r="AI639" s="65"/>
      <c r="AK639" s="65"/>
    </row>
    <row r="640" spans="1:37" x14ac:dyDescent="0.25">
      <c r="A640" s="2">
        <v>40794</v>
      </c>
      <c r="B640" s="3">
        <v>2163.4</v>
      </c>
      <c r="C640" s="2">
        <v>40802</v>
      </c>
      <c r="D640" s="3">
        <v>14547.38</v>
      </c>
      <c r="E640" s="2"/>
      <c r="F640" s="3"/>
      <c r="G640" s="2"/>
      <c r="H640" s="3"/>
      <c r="I640" s="65"/>
      <c r="K640" s="65"/>
      <c r="M640" s="65"/>
      <c r="O640" s="65"/>
      <c r="Q640" s="65"/>
      <c r="S640" s="65"/>
      <c r="U640" s="65"/>
      <c r="W640" s="65"/>
      <c r="Y640" s="65"/>
      <c r="AA640" s="65"/>
      <c r="AC640" s="65"/>
      <c r="AE640" s="65"/>
      <c r="AG640" s="65"/>
      <c r="AI640" s="65"/>
      <c r="AK640" s="65"/>
    </row>
    <row r="641" spans="1:37" x14ac:dyDescent="0.25">
      <c r="A641" s="2">
        <v>40795</v>
      </c>
      <c r="B641" s="3">
        <v>2073.67</v>
      </c>
      <c r="C641" s="2">
        <v>40805</v>
      </c>
      <c r="D641" s="3">
        <v>14086.72</v>
      </c>
      <c r="E641" s="2"/>
      <c r="F641" s="3"/>
      <c r="G641" s="2"/>
      <c r="H641" s="3"/>
      <c r="I641" s="65"/>
      <c r="K641" s="65"/>
      <c r="M641" s="65"/>
      <c r="O641" s="65"/>
      <c r="Q641" s="65"/>
      <c r="S641" s="65"/>
      <c r="U641" s="65"/>
      <c r="W641" s="65"/>
      <c r="Y641" s="65"/>
      <c r="AA641" s="65"/>
      <c r="AC641" s="65"/>
      <c r="AE641" s="65"/>
      <c r="AG641" s="65"/>
      <c r="AI641" s="65"/>
      <c r="AK641" s="65"/>
    </row>
    <row r="642" spans="1:37" x14ac:dyDescent="0.25">
      <c r="A642" s="2">
        <v>40798</v>
      </c>
      <c r="B642" s="3">
        <v>1995.01</v>
      </c>
      <c r="C642" s="2">
        <v>40806</v>
      </c>
      <c r="D642" s="3">
        <v>14356.13</v>
      </c>
      <c r="E642" s="2"/>
      <c r="F642" s="3"/>
      <c r="G642" s="2"/>
      <c r="H642" s="3"/>
      <c r="I642" s="65"/>
      <c r="K642" s="65"/>
      <c r="M642" s="65"/>
      <c r="O642" s="65"/>
      <c r="Q642" s="65"/>
      <c r="S642" s="65"/>
      <c r="U642" s="65"/>
      <c r="W642" s="65"/>
      <c r="Y642" s="65"/>
      <c r="AA642" s="65"/>
      <c r="AC642" s="65"/>
      <c r="AE642" s="65"/>
      <c r="AG642" s="65"/>
      <c r="AI642" s="65"/>
      <c r="AK642" s="65"/>
    </row>
    <row r="643" spans="1:37" x14ac:dyDescent="0.25">
      <c r="A643" s="2">
        <v>40799</v>
      </c>
      <c r="B643" s="3">
        <v>2036.64</v>
      </c>
      <c r="C643" s="2">
        <v>40807</v>
      </c>
      <c r="D643" s="3">
        <v>14119.76</v>
      </c>
      <c r="E643" s="2"/>
      <c r="F643" s="3"/>
      <c r="G643" s="2"/>
      <c r="H643" s="3"/>
      <c r="I643" s="65"/>
      <c r="K643" s="65"/>
      <c r="M643" s="65"/>
      <c r="O643" s="65"/>
      <c r="Q643" s="65"/>
      <c r="S643" s="65"/>
      <c r="U643" s="65"/>
      <c r="W643" s="65"/>
      <c r="Y643" s="65"/>
      <c r="AA643" s="65"/>
      <c r="AC643" s="65"/>
      <c r="AE643" s="65"/>
      <c r="AG643" s="65"/>
      <c r="AI643" s="65"/>
      <c r="AK643" s="65"/>
    </row>
    <row r="644" spans="1:37" x14ac:dyDescent="0.25">
      <c r="A644" s="2">
        <v>40800</v>
      </c>
      <c r="B644" s="3">
        <v>2083.38</v>
      </c>
      <c r="C644" s="2">
        <v>40808</v>
      </c>
      <c r="D644" s="3">
        <v>13481.59</v>
      </c>
      <c r="E644" s="2"/>
      <c r="F644" s="3"/>
      <c r="G644" s="2"/>
      <c r="H644" s="3"/>
      <c r="I644" s="65"/>
      <c r="K644" s="65"/>
      <c r="M644" s="65"/>
      <c r="O644" s="65"/>
      <c r="Q644" s="65"/>
      <c r="S644" s="65"/>
      <c r="U644" s="65"/>
      <c r="W644" s="65"/>
      <c r="Y644" s="65"/>
      <c r="AA644" s="65"/>
      <c r="AC644" s="65"/>
      <c r="AE644" s="65"/>
      <c r="AG644" s="65"/>
      <c r="AI644" s="65"/>
      <c r="AK644" s="65"/>
    </row>
    <row r="645" spans="1:37" x14ac:dyDescent="0.25">
      <c r="A645" s="2">
        <v>40801</v>
      </c>
      <c r="B645" s="3">
        <v>2155.62</v>
      </c>
      <c r="C645" s="2">
        <v>40809</v>
      </c>
      <c r="D645" s="3">
        <v>13664.91</v>
      </c>
      <c r="E645" s="2"/>
      <c r="F645" s="3"/>
      <c r="G645" s="2"/>
      <c r="H645" s="3"/>
      <c r="I645" s="65"/>
      <c r="K645" s="65"/>
      <c r="M645" s="65"/>
      <c r="O645" s="65"/>
      <c r="Q645" s="65"/>
      <c r="S645" s="65"/>
      <c r="U645" s="65"/>
      <c r="W645" s="65"/>
      <c r="Y645" s="65"/>
      <c r="AA645" s="65"/>
      <c r="AC645" s="65"/>
      <c r="AE645" s="65"/>
      <c r="AG645" s="65"/>
      <c r="AI645" s="65"/>
      <c r="AK645" s="65"/>
    </row>
    <row r="646" spans="1:37" x14ac:dyDescent="0.25">
      <c r="A646" s="2">
        <v>40802</v>
      </c>
      <c r="B646" s="3">
        <v>2159.2800000000002</v>
      </c>
      <c r="C646" s="2">
        <v>40812</v>
      </c>
      <c r="D646" s="3">
        <v>14118.98</v>
      </c>
      <c r="E646" s="2"/>
      <c r="F646" s="3"/>
      <c r="G646" s="2"/>
      <c r="H646" s="3"/>
      <c r="I646" s="65"/>
      <c r="K646" s="65"/>
      <c r="M646" s="65"/>
      <c r="O646" s="65"/>
      <c r="Q646" s="65"/>
      <c r="S646" s="65"/>
      <c r="U646" s="65"/>
      <c r="W646" s="65"/>
      <c r="Y646" s="65"/>
      <c r="AA646" s="65"/>
      <c r="AC646" s="65"/>
      <c r="AE646" s="65"/>
      <c r="AG646" s="65"/>
      <c r="AI646" s="65"/>
      <c r="AK646" s="65"/>
    </row>
    <row r="647" spans="1:37" x14ac:dyDescent="0.25">
      <c r="A647" s="2">
        <v>40805</v>
      </c>
      <c r="B647" s="3">
        <v>2096.1</v>
      </c>
      <c r="C647" s="2">
        <v>40813</v>
      </c>
      <c r="D647" s="3">
        <v>14811.16</v>
      </c>
      <c r="E647" s="2"/>
      <c r="F647" s="3"/>
      <c r="G647" s="2"/>
      <c r="H647" s="3"/>
      <c r="I647" s="65"/>
      <c r="K647" s="65"/>
      <c r="M647" s="65"/>
      <c r="O647" s="65"/>
      <c r="Q647" s="65"/>
      <c r="S647" s="65"/>
      <c r="U647" s="65"/>
      <c r="W647" s="65"/>
      <c r="Y647" s="65"/>
      <c r="AA647" s="65"/>
      <c r="AC647" s="65"/>
      <c r="AE647" s="65"/>
      <c r="AG647" s="65"/>
      <c r="AI647" s="65"/>
      <c r="AK647" s="65"/>
    </row>
    <row r="648" spans="1:37" x14ac:dyDescent="0.25">
      <c r="A648" s="2">
        <v>40806</v>
      </c>
      <c r="B648" s="3">
        <v>2140.41</v>
      </c>
      <c r="C648" s="2">
        <v>40814</v>
      </c>
      <c r="D648" s="3">
        <v>14741.22</v>
      </c>
      <c r="E648" s="2"/>
      <c r="F648" s="3"/>
      <c r="G648" s="2"/>
      <c r="H648" s="3"/>
      <c r="I648" s="65"/>
      <c r="K648" s="65"/>
      <c r="M648" s="65"/>
      <c r="O648" s="65"/>
      <c r="Q648" s="65"/>
      <c r="S648" s="65"/>
      <c r="U648" s="65"/>
      <c r="W648" s="65"/>
      <c r="Y648" s="65"/>
      <c r="AA648" s="65"/>
      <c r="AC648" s="65"/>
      <c r="AE648" s="65"/>
      <c r="AG648" s="65"/>
      <c r="AI648" s="65"/>
      <c r="AK648" s="65"/>
    </row>
    <row r="649" spans="1:37" x14ac:dyDescent="0.25">
      <c r="A649" s="2">
        <v>40807</v>
      </c>
      <c r="B649" s="3">
        <v>2098.4899999999998</v>
      </c>
      <c r="C649" s="2">
        <v>40815</v>
      </c>
      <c r="D649" s="3">
        <v>15046.02</v>
      </c>
      <c r="E649" s="2"/>
      <c r="F649" s="3"/>
      <c r="G649" s="2"/>
      <c r="H649" s="3"/>
      <c r="I649" s="65"/>
      <c r="K649" s="65"/>
      <c r="M649" s="65"/>
      <c r="O649" s="65"/>
      <c r="Q649" s="65"/>
      <c r="S649" s="65"/>
      <c r="U649" s="65"/>
      <c r="W649" s="65"/>
      <c r="Y649" s="65"/>
      <c r="AA649" s="65"/>
      <c r="AC649" s="65"/>
      <c r="AE649" s="65"/>
      <c r="AG649" s="65"/>
      <c r="AI649" s="65"/>
      <c r="AK649" s="65"/>
    </row>
    <row r="650" spans="1:37" x14ac:dyDescent="0.25">
      <c r="A650" s="2">
        <v>40808</v>
      </c>
      <c r="B650" s="3">
        <v>1995.75</v>
      </c>
      <c r="C650" s="2">
        <v>40816</v>
      </c>
      <c r="D650" s="3">
        <v>14836.33</v>
      </c>
      <c r="E650" s="2"/>
      <c r="F650" s="3"/>
      <c r="G650" s="2"/>
      <c r="H650" s="3"/>
      <c r="I650" s="65"/>
      <c r="K650" s="65"/>
      <c r="M650" s="65"/>
      <c r="O650" s="65"/>
      <c r="Q650" s="65"/>
      <c r="S650" s="65"/>
      <c r="U650" s="65"/>
      <c r="W650" s="65"/>
      <c r="Y650" s="65"/>
      <c r="AA650" s="65"/>
      <c r="AC650" s="65"/>
      <c r="AE650" s="65"/>
      <c r="AG650" s="65"/>
      <c r="AI650" s="65"/>
      <c r="AK650" s="65"/>
    </row>
    <row r="651" spans="1:37" x14ac:dyDescent="0.25">
      <c r="A651" s="2">
        <v>40809</v>
      </c>
      <c r="B651" s="3">
        <v>2026.03</v>
      </c>
      <c r="C651" s="2">
        <v>40819</v>
      </c>
      <c r="D651" s="3">
        <v>14642.52</v>
      </c>
      <c r="E651" s="2"/>
      <c r="F651" s="3"/>
      <c r="G651" s="2"/>
      <c r="H651" s="3"/>
      <c r="I651" s="65"/>
      <c r="K651" s="65"/>
      <c r="M651" s="65"/>
      <c r="O651" s="65"/>
      <c r="Q651" s="65"/>
      <c r="S651" s="65"/>
      <c r="U651" s="65"/>
      <c r="W651" s="65"/>
      <c r="Y651" s="65"/>
      <c r="AA651" s="65"/>
      <c r="AC651" s="65"/>
      <c r="AE651" s="65"/>
      <c r="AG651" s="65"/>
      <c r="AI651" s="65"/>
      <c r="AK651" s="65"/>
    </row>
    <row r="652" spans="1:37" x14ac:dyDescent="0.25">
      <c r="A652" s="2">
        <v>40812</v>
      </c>
      <c r="B652" s="3">
        <v>2083.35</v>
      </c>
      <c r="C652" s="2">
        <v>40820</v>
      </c>
      <c r="D652" s="3">
        <v>14243.97</v>
      </c>
      <c r="E652" s="2"/>
      <c r="F652" s="3"/>
      <c r="G652" s="2"/>
      <c r="H652" s="3"/>
      <c r="I652" s="65"/>
      <c r="K652" s="65"/>
      <c r="M652" s="65"/>
      <c r="O652" s="65"/>
      <c r="Q652" s="65"/>
      <c r="S652" s="65"/>
      <c r="U652" s="65"/>
      <c r="W652" s="65"/>
      <c r="Y652" s="65"/>
      <c r="AA652" s="65"/>
      <c r="AC652" s="65"/>
      <c r="AE652" s="65"/>
      <c r="AG652" s="65"/>
      <c r="AI652" s="65"/>
      <c r="AK652" s="65"/>
    </row>
    <row r="653" spans="1:37" x14ac:dyDescent="0.25">
      <c r="A653" s="2">
        <v>40813</v>
      </c>
      <c r="B653" s="3">
        <v>2194.0300000000002</v>
      </c>
      <c r="C653" s="2">
        <v>40821</v>
      </c>
      <c r="D653" s="3">
        <v>14805.48</v>
      </c>
      <c r="E653" s="2"/>
      <c r="F653" s="3"/>
      <c r="G653" s="2"/>
      <c r="H653" s="3"/>
      <c r="I653" s="65"/>
      <c r="K653" s="65"/>
      <c r="M653" s="65"/>
      <c r="O653" s="65"/>
      <c r="Q653" s="65"/>
      <c r="S653" s="65"/>
      <c r="U653" s="65"/>
      <c r="W653" s="65"/>
      <c r="Y653" s="65"/>
      <c r="AA653" s="65"/>
      <c r="AC653" s="65"/>
      <c r="AE653" s="65"/>
      <c r="AG653" s="65"/>
      <c r="AI653" s="65"/>
      <c r="AK653" s="65"/>
    </row>
    <row r="654" spans="1:37" x14ac:dyDescent="0.25">
      <c r="A654" s="2">
        <v>40814</v>
      </c>
      <c r="B654" s="3">
        <v>2176.64</v>
      </c>
      <c r="C654" s="2">
        <v>40822</v>
      </c>
      <c r="D654" s="3">
        <v>15331.53</v>
      </c>
      <c r="E654" s="2"/>
      <c r="F654" s="3"/>
      <c r="G654" s="2"/>
      <c r="H654" s="3"/>
      <c r="I654" s="65"/>
      <c r="K654" s="65"/>
      <c r="M654" s="65"/>
      <c r="O654" s="65"/>
      <c r="Q654" s="65"/>
      <c r="S654" s="65"/>
      <c r="U654" s="65"/>
      <c r="W654" s="65"/>
      <c r="Y654" s="65"/>
      <c r="AA654" s="65"/>
      <c r="AC654" s="65"/>
      <c r="AE654" s="65"/>
      <c r="AG654" s="65"/>
      <c r="AI654" s="65"/>
      <c r="AK654" s="65"/>
    </row>
    <row r="655" spans="1:37" x14ac:dyDescent="0.25">
      <c r="A655" s="2">
        <v>40815</v>
      </c>
      <c r="B655" s="3">
        <v>2212.44</v>
      </c>
      <c r="C655" s="2">
        <v>40823</v>
      </c>
      <c r="D655" s="3">
        <v>15529</v>
      </c>
      <c r="E655" s="2"/>
      <c r="F655" s="3"/>
      <c r="G655" s="2"/>
      <c r="H655" s="3"/>
      <c r="I655" s="65"/>
      <c r="K655" s="65"/>
      <c r="M655" s="65"/>
      <c r="O655" s="65"/>
      <c r="Q655" s="65"/>
      <c r="S655" s="65"/>
      <c r="U655" s="65"/>
      <c r="W655" s="65"/>
      <c r="Y655" s="65"/>
      <c r="AA655" s="65"/>
      <c r="AC655" s="65"/>
      <c r="AE655" s="65"/>
      <c r="AG655" s="65"/>
      <c r="AI655" s="65"/>
      <c r="AK655" s="65"/>
    </row>
    <row r="656" spans="1:37" x14ac:dyDescent="0.25">
      <c r="A656" s="2">
        <v>40816</v>
      </c>
      <c r="B656" s="3">
        <v>2179.66</v>
      </c>
      <c r="C656" s="2">
        <v>40826</v>
      </c>
      <c r="D656" s="3">
        <v>16098.16</v>
      </c>
      <c r="E656" s="2"/>
      <c r="F656" s="3"/>
      <c r="G656" s="2"/>
      <c r="H656" s="3"/>
      <c r="I656" s="65"/>
      <c r="K656" s="65"/>
      <c r="M656" s="65"/>
      <c r="O656" s="65"/>
      <c r="Q656" s="65"/>
      <c r="S656" s="65"/>
      <c r="U656" s="65"/>
      <c r="W656" s="65"/>
      <c r="Y656" s="65"/>
      <c r="AA656" s="65"/>
      <c r="AC656" s="65"/>
      <c r="AE656" s="65"/>
      <c r="AG656" s="65"/>
      <c r="AI656" s="65"/>
      <c r="AK656" s="65"/>
    </row>
    <row r="657" spans="1:37" x14ac:dyDescent="0.25">
      <c r="A657" s="2">
        <v>40819</v>
      </c>
      <c r="B657" s="3">
        <v>2138.2399999999998</v>
      </c>
      <c r="C657" s="2">
        <v>40827</v>
      </c>
      <c r="D657" s="3">
        <v>16036.14</v>
      </c>
      <c r="E657" s="2"/>
      <c r="F657" s="3"/>
      <c r="G657" s="2"/>
      <c r="H657" s="3"/>
      <c r="I657" s="65"/>
      <c r="K657" s="65"/>
      <c r="M657" s="65"/>
      <c r="O657" s="65"/>
      <c r="Q657" s="65"/>
      <c r="S657" s="65"/>
      <c r="U657" s="65"/>
      <c r="W657" s="65"/>
      <c r="Y657" s="65"/>
      <c r="AA657" s="65"/>
      <c r="AC657" s="65"/>
      <c r="AE657" s="65"/>
      <c r="AG657" s="65"/>
      <c r="AI657" s="65"/>
      <c r="AK657" s="65"/>
    </row>
    <row r="658" spans="1:37" x14ac:dyDescent="0.25">
      <c r="A658" s="2">
        <v>40820</v>
      </c>
      <c r="B658" s="3">
        <v>2091.09</v>
      </c>
      <c r="C658" s="2">
        <v>40828</v>
      </c>
      <c r="D658" s="3">
        <v>16505.98</v>
      </c>
      <c r="E658" s="2"/>
      <c r="F658" s="3"/>
      <c r="G658" s="2"/>
      <c r="H658" s="3"/>
      <c r="I658" s="65"/>
      <c r="K658" s="65"/>
      <c r="M658" s="65"/>
      <c r="O658" s="65"/>
      <c r="Q658" s="65"/>
      <c r="S658" s="65"/>
      <c r="U658" s="65"/>
      <c r="W658" s="65"/>
      <c r="Y658" s="65"/>
      <c r="AA658" s="65"/>
      <c r="AC658" s="65"/>
      <c r="AE658" s="65"/>
      <c r="AG658" s="65"/>
      <c r="AI658" s="65"/>
      <c r="AK658" s="65"/>
    </row>
    <row r="659" spans="1:37" x14ac:dyDescent="0.25">
      <c r="A659" s="2">
        <v>40821</v>
      </c>
      <c r="B659" s="3">
        <v>2179.42</v>
      </c>
      <c r="C659" s="2">
        <v>40829</v>
      </c>
      <c r="D659" s="3">
        <v>15894.39</v>
      </c>
      <c r="E659" s="2"/>
      <c r="F659" s="3"/>
      <c r="G659" s="2"/>
      <c r="H659" s="3"/>
      <c r="I659" s="65"/>
      <c r="K659" s="65"/>
      <c r="M659" s="65"/>
      <c r="O659" s="65"/>
      <c r="Q659" s="65"/>
      <c r="S659" s="65"/>
      <c r="U659" s="65"/>
      <c r="W659" s="65"/>
      <c r="Y659" s="65"/>
      <c r="AA659" s="65"/>
      <c r="AC659" s="65"/>
      <c r="AE659" s="65"/>
      <c r="AG659" s="65"/>
      <c r="AI659" s="65"/>
      <c r="AK659" s="65"/>
    </row>
    <row r="660" spans="1:37" x14ac:dyDescent="0.25">
      <c r="A660" s="2">
        <v>40822</v>
      </c>
      <c r="B660" s="3">
        <v>2248.7800000000002</v>
      </c>
      <c r="C660" s="2">
        <v>40830</v>
      </c>
      <c r="D660" s="3">
        <v>16289.65</v>
      </c>
      <c r="E660" s="2"/>
      <c r="F660" s="3"/>
      <c r="G660" s="2"/>
      <c r="H660" s="3"/>
      <c r="I660" s="65"/>
      <c r="K660" s="65"/>
      <c r="M660" s="65"/>
      <c r="O660" s="65"/>
      <c r="Q660" s="65"/>
      <c r="S660" s="65"/>
      <c r="U660" s="65"/>
      <c r="W660" s="65"/>
      <c r="Y660" s="65"/>
      <c r="AA660" s="65"/>
      <c r="AC660" s="65"/>
      <c r="AE660" s="65"/>
      <c r="AG660" s="65"/>
      <c r="AI660" s="65"/>
      <c r="AK660" s="65"/>
    </row>
    <row r="661" spans="1:37" x14ac:dyDescent="0.25">
      <c r="A661" s="2">
        <v>40823</v>
      </c>
      <c r="B661" s="3">
        <v>2269.19</v>
      </c>
      <c r="C661" s="2">
        <v>40833</v>
      </c>
      <c r="D661" s="3">
        <v>15914.6</v>
      </c>
      <c r="E661" s="2"/>
      <c r="F661" s="3"/>
      <c r="G661" s="2"/>
      <c r="H661" s="3"/>
      <c r="I661" s="65"/>
      <c r="K661" s="65"/>
      <c r="M661" s="65"/>
      <c r="O661" s="65"/>
      <c r="Q661" s="65"/>
      <c r="S661" s="65"/>
      <c r="U661" s="65"/>
      <c r="W661" s="65"/>
      <c r="Y661" s="65"/>
      <c r="AA661" s="65"/>
      <c r="AC661" s="65"/>
      <c r="AE661" s="65"/>
      <c r="AG661" s="65"/>
      <c r="AI661" s="65"/>
      <c r="AK661" s="65"/>
    </row>
    <row r="662" spans="1:37" x14ac:dyDescent="0.25">
      <c r="A662" s="2">
        <v>40826</v>
      </c>
      <c r="B662" s="3">
        <v>2320.8000000000002</v>
      </c>
      <c r="C662" s="2">
        <v>40834</v>
      </c>
      <c r="D662" s="3">
        <v>15970.14</v>
      </c>
      <c r="E662" s="2"/>
      <c r="F662" s="3"/>
      <c r="G662" s="2"/>
      <c r="H662" s="3"/>
      <c r="I662" s="65"/>
      <c r="K662" s="65"/>
      <c r="M662" s="65"/>
      <c r="O662" s="65"/>
      <c r="Q662" s="65"/>
      <c r="S662" s="65"/>
      <c r="U662" s="65"/>
      <c r="W662" s="65"/>
      <c r="Y662" s="65"/>
      <c r="AA662" s="65"/>
      <c r="AC662" s="65"/>
      <c r="AE662" s="65"/>
      <c r="AG662" s="65"/>
      <c r="AI662" s="65"/>
      <c r="AK662" s="65"/>
    </row>
    <row r="663" spans="1:37" x14ac:dyDescent="0.25">
      <c r="A663" s="2">
        <v>40827</v>
      </c>
      <c r="B663" s="3">
        <v>2315.9699999999998</v>
      </c>
      <c r="C663" s="2">
        <v>40835</v>
      </c>
      <c r="D663" s="3">
        <v>16293.19</v>
      </c>
      <c r="E663" s="2"/>
      <c r="F663" s="3"/>
      <c r="G663" s="2"/>
      <c r="H663" s="3"/>
      <c r="I663" s="65"/>
      <c r="K663" s="65"/>
      <c r="M663" s="65"/>
      <c r="O663" s="65"/>
      <c r="Q663" s="65"/>
      <c r="S663" s="65"/>
      <c r="U663" s="65"/>
      <c r="W663" s="65"/>
      <c r="Y663" s="65"/>
      <c r="AA663" s="65"/>
      <c r="AC663" s="65"/>
      <c r="AE663" s="65"/>
      <c r="AG663" s="65"/>
      <c r="AI663" s="65"/>
      <c r="AK663" s="65"/>
    </row>
    <row r="664" spans="1:37" x14ac:dyDescent="0.25">
      <c r="A664" s="2">
        <v>40828</v>
      </c>
      <c r="B664" s="3">
        <v>2372.15</v>
      </c>
      <c r="C664" s="2">
        <v>40836</v>
      </c>
      <c r="D664" s="3">
        <v>15677.86</v>
      </c>
      <c r="E664" s="2"/>
      <c r="F664" s="3"/>
      <c r="G664" s="2"/>
      <c r="H664" s="3"/>
      <c r="I664" s="65"/>
      <c r="K664" s="65"/>
      <c r="M664" s="65"/>
      <c r="O664" s="65"/>
      <c r="Q664" s="65"/>
      <c r="S664" s="65"/>
      <c r="U664" s="65"/>
      <c r="W664" s="65"/>
      <c r="Y664" s="65"/>
      <c r="AA664" s="65"/>
      <c r="AC664" s="65"/>
      <c r="AE664" s="65"/>
      <c r="AG664" s="65"/>
      <c r="AI664" s="65"/>
      <c r="AK664" s="65"/>
    </row>
    <row r="665" spans="1:37" x14ac:dyDescent="0.25">
      <c r="A665" s="2">
        <v>40829</v>
      </c>
      <c r="B665" s="3">
        <v>2332.52</v>
      </c>
      <c r="C665" s="2">
        <v>40837</v>
      </c>
      <c r="D665" s="3">
        <v>16116.48</v>
      </c>
      <c r="E665" s="2"/>
      <c r="F665" s="3"/>
      <c r="G665" s="2"/>
      <c r="H665" s="3"/>
      <c r="I665" s="65"/>
      <c r="K665" s="65"/>
      <c r="M665" s="65"/>
      <c r="O665" s="65"/>
      <c r="Q665" s="65"/>
      <c r="S665" s="65"/>
      <c r="U665" s="65"/>
      <c r="W665" s="65"/>
      <c r="Y665" s="65"/>
      <c r="AA665" s="65"/>
      <c r="AC665" s="65"/>
      <c r="AE665" s="65"/>
      <c r="AG665" s="65"/>
      <c r="AI665" s="65"/>
      <c r="AK665" s="65"/>
    </row>
    <row r="666" spans="1:37" x14ac:dyDescent="0.25">
      <c r="A666" s="2">
        <v>40830</v>
      </c>
      <c r="B666" s="3">
        <v>2355.48</v>
      </c>
      <c r="C666" s="2">
        <v>40840</v>
      </c>
      <c r="D666" s="3">
        <v>16232.26</v>
      </c>
      <c r="E666" s="2"/>
      <c r="F666" s="3"/>
      <c r="G666" s="2"/>
      <c r="H666" s="3"/>
      <c r="I666" s="65"/>
      <c r="K666" s="65"/>
      <c r="M666" s="65"/>
      <c r="O666" s="65"/>
      <c r="Q666" s="65"/>
      <c r="S666" s="65"/>
      <c r="U666" s="65"/>
      <c r="W666" s="65"/>
      <c r="Y666" s="65"/>
      <c r="AA666" s="65"/>
      <c r="AC666" s="65"/>
      <c r="AE666" s="65"/>
      <c r="AG666" s="65"/>
      <c r="AI666" s="65"/>
      <c r="AK666" s="65"/>
    </row>
    <row r="667" spans="1:37" x14ac:dyDescent="0.25">
      <c r="A667" s="2">
        <v>40833</v>
      </c>
      <c r="B667" s="3">
        <v>2315.89</v>
      </c>
      <c r="C667" s="2">
        <v>40841</v>
      </c>
      <c r="D667" s="3">
        <v>16060.49</v>
      </c>
      <c r="E667" s="2"/>
      <c r="F667" s="3"/>
      <c r="G667" s="2"/>
      <c r="H667" s="3"/>
      <c r="I667" s="65"/>
      <c r="K667" s="65"/>
      <c r="M667" s="65"/>
      <c r="O667" s="65"/>
      <c r="Q667" s="65"/>
      <c r="S667" s="65"/>
      <c r="U667" s="65"/>
      <c r="W667" s="65"/>
      <c r="Y667" s="65"/>
      <c r="AA667" s="65"/>
      <c r="AC667" s="65"/>
      <c r="AE667" s="65"/>
      <c r="AG667" s="65"/>
      <c r="AI667" s="65"/>
      <c r="AK667" s="65"/>
    </row>
    <row r="668" spans="1:37" x14ac:dyDescent="0.25">
      <c r="A668" s="2">
        <v>40834</v>
      </c>
      <c r="B668" s="3">
        <v>2306.81</v>
      </c>
      <c r="C668" s="2">
        <v>40842</v>
      </c>
      <c r="D668" s="3">
        <v>16071.92</v>
      </c>
      <c r="E668" s="2"/>
      <c r="F668" s="3"/>
      <c r="G668" s="2"/>
      <c r="H668" s="3"/>
      <c r="I668" s="65"/>
      <c r="K668" s="65"/>
      <c r="M668" s="65"/>
      <c r="O668" s="65"/>
      <c r="Q668" s="65"/>
      <c r="S668" s="65"/>
      <c r="U668" s="65"/>
      <c r="W668" s="65"/>
      <c r="Y668" s="65"/>
      <c r="AA668" s="65"/>
      <c r="AC668" s="65"/>
      <c r="AE668" s="65"/>
      <c r="AG668" s="65"/>
      <c r="AI668" s="65"/>
      <c r="AK668" s="65"/>
    </row>
    <row r="669" spans="1:37" x14ac:dyDescent="0.25">
      <c r="A669" s="2">
        <v>40835</v>
      </c>
      <c r="B669" s="3">
        <v>2330.08</v>
      </c>
      <c r="C669" s="2">
        <v>40843</v>
      </c>
      <c r="D669" s="3">
        <v>16954.68</v>
      </c>
      <c r="E669" s="2"/>
      <c r="F669" s="3"/>
      <c r="G669" s="2"/>
      <c r="H669" s="3"/>
      <c r="I669" s="65"/>
      <c r="K669" s="65"/>
      <c r="M669" s="65"/>
      <c r="O669" s="65"/>
      <c r="Q669" s="65"/>
      <c r="S669" s="65"/>
      <c r="U669" s="65"/>
      <c r="W669" s="65"/>
      <c r="Y669" s="65"/>
      <c r="AA669" s="65"/>
      <c r="AC669" s="65"/>
      <c r="AE669" s="65"/>
      <c r="AG669" s="65"/>
      <c r="AI669" s="65"/>
      <c r="AK669" s="65"/>
    </row>
    <row r="670" spans="1:37" x14ac:dyDescent="0.25">
      <c r="A670" s="2">
        <v>40836</v>
      </c>
      <c r="B670" s="3">
        <v>2271.77</v>
      </c>
      <c r="C670" s="2">
        <v>40844</v>
      </c>
      <c r="D670" s="3">
        <v>16653.55</v>
      </c>
      <c r="E670" s="2"/>
      <c r="F670" s="3"/>
      <c r="G670" s="2"/>
      <c r="H670" s="3"/>
      <c r="I670" s="65"/>
      <c r="K670" s="65"/>
      <c r="M670" s="65"/>
      <c r="O670" s="65"/>
      <c r="Q670" s="65"/>
      <c r="S670" s="65"/>
      <c r="U670" s="65"/>
      <c r="W670" s="65"/>
      <c r="Y670" s="65"/>
      <c r="AA670" s="65"/>
      <c r="AC670" s="65"/>
      <c r="AE670" s="65"/>
      <c r="AG670" s="65"/>
      <c r="AI670" s="65"/>
      <c r="AK670" s="65"/>
    </row>
    <row r="671" spans="1:37" x14ac:dyDescent="0.25">
      <c r="A671" s="2">
        <v>40837</v>
      </c>
      <c r="B671" s="3">
        <v>2337.5100000000002</v>
      </c>
      <c r="C671" s="2">
        <v>40847</v>
      </c>
      <c r="D671" s="3">
        <v>16017.73</v>
      </c>
      <c r="E671" s="2"/>
      <c r="F671" s="3"/>
      <c r="G671" s="2"/>
      <c r="H671" s="3"/>
      <c r="I671" s="65"/>
      <c r="K671" s="65"/>
      <c r="M671" s="65"/>
      <c r="O671" s="65"/>
      <c r="Q671" s="65"/>
      <c r="S671" s="65"/>
      <c r="U671" s="65"/>
      <c r="W671" s="65"/>
      <c r="Y671" s="65"/>
      <c r="AA671" s="65"/>
      <c r="AC671" s="65"/>
      <c r="AE671" s="65"/>
      <c r="AG671" s="65"/>
      <c r="AI671" s="65"/>
      <c r="AK671" s="65"/>
    </row>
    <row r="672" spans="1:37" x14ac:dyDescent="0.25">
      <c r="A672" s="2">
        <v>40840</v>
      </c>
      <c r="B672" s="3">
        <v>2369.0700000000002</v>
      </c>
      <c r="C672" s="2">
        <v>40848</v>
      </c>
      <c r="D672" s="3">
        <v>14928.24</v>
      </c>
      <c r="E672" s="2"/>
      <c r="F672" s="3"/>
      <c r="G672" s="2"/>
      <c r="H672" s="3"/>
      <c r="I672" s="65"/>
      <c r="K672" s="65"/>
      <c r="M672" s="65"/>
      <c r="O672" s="65"/>
      <c r="Q672" s="65"/>
      <c r="S672" s="65"/>
      <c r="U672" s="65"/>
      <c r="W672" s="65"/>
      <c r="Y672" s="65"/>
      <c r="AA672" s="65"/>
      <c r="AC672" s="65"/>
      <c r="AE672" s="65"/>
      <c r="AG672" s="65"/>
      <c r="AI672" s="65"/>
      <c r="AK672" s="65"/>
    </row>
    <row r="673" spans="1:37" x14ac:dyDescent="0.25">
      <c r="A673" s="2">
        <v>40841</v>
      </c>
      <c r="B673" s="3">
        <v>2343.96</v>
      </c>
      <c r="C673" s="2">
        <v>40849</v>
      </c>
      <c r="D673" s="3">
        <v>15273.31</v>
      </c>
      <c r="E673" s="2"/>
      <c r="F673" s="3"/>
      <c r="G673" s="2"/>
      <c r="H673" s="3"/>
      <c r="I673" s="65"/>
      <c r="K673" s="65"/>
      <c r="M673" s="65"/>
      <c r="O673" s="65"/>
      <c r="Q673" s="65"/>
      <c r="S673" s="65"/>
      <c r="U673" s="65"/>
      <c r="W673" s="65"/>
      <c r="Y673" s="65"/>
      <c r="AA673" s="65"/>
      <c r="AC673" s="65"/>
      <c r="AE673" s="65"/>
      <c r="AG673" s="65"/>
      <c r="AI673" s="65"/>
      <c r="AK673" s="65"/>
    </row>
    <row r="674" spans="1:37" x14ac:dyDescent="0.25">
      <c r="A674" s="2">
        <v>40842</v>
      </c>
      <c r="B674" s="3">
        <v>2335.06</v>
      </c>
      <c r="C674" s="2">
        <v>40850</v>
      </c>
      <c r="D674" s="3">
        <v>15766.16</v>
      </c>
      <c r="E674" s="2"/>
      <c r="F674" s="3"/>
      <c r="G674" s="2"/>
      <c r="H674" s="3"/>
      <c r="I674" s="65"/>
      <c r="K674" s="65"/>
      <c r="M674" s="65"/>
      <c r="O674" s="65"/>
      <c r="Q674" s="65"/>
      <c r="S674" s="65"/>
      <c r="U674" s="65"/>
      <c r="W674" s="65"/>
      <c r="Y674" s="65"/>
      <c r="AA674" s="65"/>
      <c r="AC674" s="65"/>
      <c r="AE674" s="65"/>
      <c r="AG674" s="65"/>
      <c r="AI674" s="65"/>
      <c r="AK674" s="65"/>
    </row>
    <row r="675" spans="1:37" x14ac:dyDescent="0.25">
      <c r="A675" s="2">
        <v>40843</v>
      </c>
      <c r="B675" s="3">
        <v>2476.92</v>
      </c>
      <c r="C675" s="2">
        <v>40851</v>
      </c>
      <c r="D675" s="3">
        <v>15346.55</v>
      </c>
      <c r="E675" s="2"/>
      <c r="F675" s="3"/>
      <c r="G675" s="2"/>
      <c r="H675" s="3"/>
      <c r="I675" s="65"/>
      <c r="K675" s="65"/>
      <c r="M675" s="65"/>
      <c r="O675" s="65"/>
      <c r="Q675" s="65"/>
      <c r="S675" s="65"/>
      <c r="U675" s="65"/>
      <c r="W675" s="65"/>
      <c r="Y675" s="65"/>
      <c r="AA675" s="65"/>
      <c r="AC675" s="65"/>
      <c r="AE675" s="65"/>
      <c r="AG675" s="65"/>
      <c r="AI675" s="65"/>
      <c r="AK675" s="65"/>
    </row>
    <row r="676" spans="1:37" x14ac:dyDescent="0.25">
      <c r="A676" s="2">
        <v>40844</v>
      </c>
      <c r="B676" s="3">
        <v>2462.36</v>
      </c>
      <c r="C676" s="2">
        <v>40854</v>
      </c>
      <c r="D676" s="3">
        <v>15548.94</v>
      </c>
      <c r="E676" s="2"/>
      <c r="F676" s="3"/>
      <c r="G676" s="2"/>
      <c r="H676" s="3"/>
      <c r="I676" s="65"/>
      <c r="K676" s="65"/>
      <c r="M676" s="65"/>
      <c r="O676" s="65"/>
      <c r="Q676" s="65"/>
      <c r="S676" s="65"/>
      <c r="U676" s="65"/>
      <c r="W676" s="65"/>
      <c r="Y676" s="65"/>
      <c r="AA676" s="65"/>
      <c r="AC676" s="65"/>
      <c r="AE676" s="65"/>
      <c r="AG676" s="65"/>
      <c r="AI676" s="65"/>
      <c r="AK676" s="65"/>
    </row>
    <row r="677" spans="1:37" x14ac:dyDescent="0.25">
      <c r="A677" s="2">
        <v>40847</v>
      </c>
      <c r="B677" s="3">
        <v>2385.2199999999998</v>
      </c>
      <c r="C677" s="2">
        <v>40855</v>
      </c>
      <c r="D677" s="3">
        <v>15664.06</v>
      </c>
      <c r="E677" s="2"/>
      <c r="F677" s="3"/>
      <c r="G677" s="2"/>
      <c r="H677" s="3"/>
      <c r="I677" s="65"/>
      <c r="K677" s="65"/>
      <c r="M677" s="65"/>
      <c r="O677" s="65"/>
      <c r="Q677" s="65"/>
      <c r="S677" s="65"/>
      <c r="U677" s="65"/>
      <c r="W677" s="65"/>
      <c r="Y677" s="65"/>
      <c r="AA677" s="65"/>
      <c r="AC677" s="65"/>
      <c r="AE677" s="65"/>
      <c r="AG677" s="65"/>
      <c r="AI677" s="65"/>
      <c r="AK677" s="65"/>
    </row>
    <row r="678" spans="1:37" x14ac:dyDescent="0.25">
      <c r="A678" s="2">
        <v>40848</v>
      </c>
      <c r="B678" s="3">
        <v>2259.73</v>
      </c>
      <c r="C678" s="2">
        <v>40856</v>
      </c>
      <c r="D678" s="3">
        <v>15071.77</v>
      </c>
      <c r="E678" s="2"/>
      <c r="F678" s="3"/>
      <c r="G678" s="2"/>
      <c r="H678" s="3"/>
      <c r="I678" s="65"/>
      <c r="K678" s="65"/>
      <c r="M678" s="65"/>
      <c r="O678" s="65"/>
      <c r="Q678" s="65"/>
      <c r="S678" s="65"/>
      <c r="U678" s="65"/>
      <c r="W678" s="65"/>
      <c r="Y678" s="65"/>
      <c r="AA678" s="65"/>
      <c r="AC678" s="65"/>
      <c r="AE678" s="65"/>
      <c r="AG678" s="65"/>
      <c r="AI678" s="65"/>
      <c r="AK678" s="65"/>
    </row>
    <row r="679" spans="1:37" x14ac:dyDescent="0.25">
      <c r="A679" s="2">
        <v>40849</v>
      </c>
      <c r="B679" s="3">
        <v>2291.89</v>
      </c>
      <c r="C679" s="2">
        <v>40857</v>
      </c>
      <c r="D679" s="3">
        <v>15218.34</v>
      </c>
      <c r="E679" s="2"/>
      <c r="F679" s="3"/>
      <c r="G679" s="2"/>
      <c r="H679" s="3"/>
      <c r="I679" s="65"/>
      <c r="K679" s="65"/>
      <c r="M679" s="65"/>
      <c r="O679" s="65"/>
      <c r="Q679" s="65"/>
      <c r="S679" s="65"/>
      <c r="U679" s="65"/>
      <c r="W679" s="65"/>
      <c r="Y679" s="65"/>
      <c r="AA679" s="65"/>
      <c r="AC679" s="65"/>
      <c r="AE679" s="65"/>
      <c r="AG679" s="65"/>
      <c r="AI679" s="65"/>
      <c r="AK679" s="65"/>
    </row>
    <row r="680" spans="1:37" x14ac:dyDescent="0.25">
      <c r="A680" s="2">
        <v>40850</v>
      </c>
      <c r="B680" s="3">
        <v>2347.94</v>
      </c>
      <c r="C680" s="2">
        <v>40858</v>
      </c>
      <c r="D680" s="3">
        <v>15778.85</v>
      </c>
      <c r="E680" s="2"/>
      <c r="F680" s="3"/>
      <c r="G680" s="2"/>
      <c r="H680" s="3"/>
      <c r="I680" s="65"/>
      <c r="K680" s="65"/>
      <c r="M680" s="65"/>
      <c r="O680" s="65"/>
      <c r="Q680" s="65"/>
      <c r="S680" s="65"/>
      <c r="U680" s="65"/>
      <c r="W680" s="65"/>
      <c r="Y680" s="65"/>
      <c r="AA680" s="65"/>
      <c r="AC680" s="65"/>
      <c r="AE680" s="65"/>
      <c r="AG680" s="65"/>
      <c r="AI680" s="65"/>
      <c r="AK680" s="65"/>
    </row>
    <row r="681" spans="1:37" x14ac:dyDescent="0.25">
      <c r="A681" s="2">
        <v>40851</v>
      </c>
      <c r="B681" s="3">
        <v>2291.4699999999998</v>
      </c>
      <c r="C681" s="2">
        <v>40861</v>
      </c>
      <c r="D681" s="3">
        <v>15464.45</v>
      </c>
      <c r="E681" s="2"/>
      <c r="F681" s="3"/>
      <c r="G681" s="2"/>
      <c r="H681" s="3"/>
      <c r="I681" s="65"/>
      <c r="K681" s="65"/>
      <c r="M681" s="65"/>
      <c r="O681" s="65"/>
      <c r="Q681" s="65"/>
      <c r="S681" s="65"/>
      <c r="U681" s="65"/>
      <c r="W681" s="65"/>
      <c r="Y681" s="65"/>
      <c r="AA681" s="65"/>
      <c r="AC681" s="65"/>
      <c r="AE681" s="65"/>
      <c r="AG681" s="65"/>
      <c r="AI681" s="65"/>
      <c r="AK681" s="65"/>
    </row>
    <row r="682" spans="1:37" x14ac:dyDescent="0.25">
      <c r="A682" s="2">
        <v>40854</v>
      </c>
      <c r="B682" s="3">
        <v>2275.92</v>
      </c>
      <c r="C682" s="2">
        <v>40862</v>
      </c>
      <c r="D682" s="3">
        <v>15297.6</v>
      </c>
      <c r="E682" s="2"/>
      <c r="F682" s="3"/>
      <c r="G682" s="2"/>
      <c r="H682" s="3"/>
      <c r="I682" s="65"/>
      <c r="K682" s="65"/>
      <c r="M682" s="65"/>
      <c r="O682" s="65"/>
      <c r="Q682" s="65"/>
      <c r="S682" s="65"/>
      <c r="U682" s="65"/>
      <c r="W682" s="65"/>
      <c r="Y682" s="65"/>
      <c r="AA682" s="65"/>
      <c r="AC682" s="65"/>
      <c r="AE682" s="65"/>
      <c r="AG682" s="65"/>
      <c r="AI682" s="65"/>
      <c r="AK682" s="65"/>
    </row>
    <row r="683" spans="1:37" x14ac:dyDescent="0.25">
      <c r="A683" s="2">
        <v>40855</v>
      </c>
      <c r="B683" s="3">
        <v>2303.1999999999998</v>
      </c>
      <c r="C683" s="2">
        <v>40863</v>
      </c>
      <c r="D683" s="3">
        <v>15419.2</v>
      </c>
      <c r="E683" s="2"/>
      <c r="F683" s="3"/>
      <c r="G683" s="2"/>
      <c r="H683" s="3"/>
      <c r="I683" s="65"/>
      <c r="K683" s="65"/>
      <c r="M683" s="65"/>
      <c r="O683" s="65"/>
      <c r="Q683" s="65"/>
      <c r="S683" s="65"/>
      <c r="U683" s="65"/>
      <c r="W683" s="65"/>
      <c r="Y683" s="65"/>
      <c r="AA683" s="65"/>
      <c r="AC683" s="65"/>
      <c r="AE683" s="65"/>
      <c r="AG683" s="65"/>
      <c r="AI683" s="65"/>
      <c r="AK683" s="65"/>
    </row>
    <row r="684" spans="1:37" x14ac:dyDescent="0.25">
      <c r="A684" s="2">
        <v>40856</v>
      </c>
      <c r="B684" s="3">
        <v>2249.39</v>
      </c>
      <c r="C684" s="2">
        <v>40864</v>
      </c>
      <c r="D684" s="3">
        <v>15198.31</v>
      </c>
      <c r="E684" s="2"/>
      <c r="F684" s="3"/>
      <c r="G684" s="2"/>
      <c r="H684" s="3"/>
      <c r="I684" s="65"/>
      <c r="K684" s="65"/>
      <c r="M684" s="65"/>
      <c r="O684" s="65"/>
      <c r="Q684" s="65"/>
      <c r="S684" s="65"/>
      <c r="U684" s="65"/>
      <c r="W684" s="65"/>
      <c r="Y684" s="65"/>
      <c r="AA684" s="65"/>
      <c r="AC684" s="65"/>
      <c r="AE684" s="65"/>
      <c r="AG684" s="65"/>
      <c r="AI684" s="65"/>
      <c r="AK684" s="65"/>
    </row>
    <row r="685" spans="1:37" x14ac:dyDescent="0.25">
      <c r="A685" s="2">
        <v>40857</v>
      </c>
      <c r="B685" s="3">
        <v>2254.92</v>
      </c>
      <c r="C685" s="2">
        <v>40865</v>
      </c>
      <c r="D685" s="3">
        <v>15232.56</v>
      </c>
      <c r="E685" s="2"/>
      <c r="F685" s="3"/>
      <c r="G685" s="2"/>
      <c r="H685" s="3"/>
      <c r="I685" s="65"/>
      <c r="K685" s="65"/>
      <c r="M685" s="65"/>
      <c r="O685" s="65"/>
      <c r="Q685" s="65"/>
      <c r="S685" s="65"/>
      <c r="U685" s="65"/>
      <c r="W685" s="65"/>
      <c r="Y685" s="65"/>
      <c r="AA685" s="65"/>
      <c r="AC685" s="65"/>
      <c r="AE685" s="65"/>
      <c r="AG685" s="65"/>
      <c r="AI685" s="65"/>
      <c r="AK685" s="65"/>
    </row>
    <row r="686" spans="1:37" x14ac:dyDescent="0.25">
      <c r="A686" s="2">
        <v>40858</v>
      </c>
      <c r="B686" s="3">
        <v>2324.81</v>
      </c>
      <c r="C686" s="2">
        <v>40868</v>
      </c>
      <c r="D686" s="3">
        <v>14509.94</v>
      </c>
      <c r="E686" s="2"/>
      <c r="F686" s="3"/>
      <c r="G686" s="2"/>
      <c r="H686" s="3"/>
      <c r="I686" s="65"/>
      <c r="K686" s="65"/>
      <c r="M686" s="65"/>
      <c r="O686" s="65"/>
      <c r="Q686" s="65"/>
      <c r="S686" s="65"/>
      <c r="U686" s="65"/>
      <c r="W686" s="65"/>
      <c r="Y686" s="65"/>
      <c r="AA686" s="65"/>
      <c r="AC686" s="65"/>
      <c r="AE686" s="65"/>
      <c r="AG686" s="65"/>
      <c r="AI686" s="65"/>
      <c r="AK686" s="65"/>
    </row>
    <row r="687" spans="1:37" x14ac:dyDescent="0.25">
      <c r="A687" s="2">
        <v>40861</v>
      </c>
      <c r="B687" s="3">
        <v>2288.3200000000002</v>
      </c>
      <c r="C687" s="2">
        <v>40869</v>
      </c>
      <c r="D687" s="3">
        <v>14286.06</v>
      </c>
      <c r="E687" s="2"/>
      <c r="F687" s="3"/>
      <c r="G687" s="2"/>
      <c r="H687" s="3"/>
      <c r="I687" s="65"/>
      <c r="K687" s="65"/>
      <c r="M687" s="65"/>
      <c r="O687" s="65"/>
      <c r="Q687" s="65"/>
      <c r="S687" s="65"/>
      <c r="U687" s="65"/>
      <c r="W687" s="65"/>
      <c r="Y687" s="65"/>
      <c r="AA687" s="65"/>
      <c r="AC687" s="65"/>
      <c r="AE687" s="65"/>
      <c r="AG687" s="65"/>
      <c r="AI687" s="65"/>
      <c r="AK687" s="65"/>
    </row>
    <row r="688" spans="1:37" x14ac:dyDescent="0.25">
      <c r="A688" s="2">
        <v>40862</v>
      </c>
      <c r="B688" s="3">
        <v>2254</v>
      </c>
      <c r="C688" s="2">
        <v>40870</v>
      </c>
      <c r="D688" s="3">
        <v>13915.78</v>
      </c>
      <c r="E688" s="2"/>
      <c r="F688" s="3"/>
      <c r="G688" s="2"/>
      <c r="H688" s="3"/>
      <c r="I688" s="65"/>
      <c r="K688" s="65"/>
      <c r="M688" s="65"/>
      <c r="O688" s="65"/>
      <c r="Q688" s="65"/>
      <c r="S688" s="65"/>
      <c r="U688" s="65"/>
      <c r="W688" s="65"/>
      <c r="Y688" s="65"/>
      <c r="AA688" s="65"/>
      <c r="AC688" s="65"/>
      <c r="AE688" s="65"/>
      <c r="AG688" s="65"/>
      <c r="AI688" s="65"/>
      <c r="AK688" s="65"/>
    </row>
    <row r="689" spans="1:37" x14ac:dyDescent="0.25">
      <c r="A689" s="2">
        <v>40863</v>
      </c>
      <c r="B689" s="3">
        <v>2267.96</v>
      </c>
      <c r="C689" s="2">
        <v>40871</v>
      </c>
      <c r="D689" s="3">
        <v>13920.58</v>
      </c>
      <c r="E689" s="2"/>
      <c r="F689" s="3"/>
      <c r="G689" s="2"/>
      <c r="H689" s="3"/>
      <c r="I689" s="65"/>
      <c r="K689" s="65"/>
      <c r="M689" s="65"/>
      <c r="O689" s="65"/>
      <c r="Q689" s="65"/>
      <c r="S689" s="65"/>
      <c r="U689" s="65"/>
      <c r="W689" s="65"/>
      <c r="Y689" s="65"/>
      <c r="AA689" s="65"/>
      <c r="AC689" s="65"/>
      <c r="AE689" s="65"/>
      <c r="AG689" s="65"/>
      <c r="AI689" s="65"/>
      <c r="AK689" s="65"/>
    </row>
    <row r="690" spans="1:37" x14ac:dyDescent="0.25">
      <c r="A690" s="2">
        <v>40864</v>
      </c>
      <c r="B690" s="3">
        <v>2242.7800000000002</v>
      </c>
      <c r="C690" s="2">
        <v>40872</v>
      </c>
      <c r="D690" s="3">
        <v>13937.4</v>
      </c>
      <c r="E690" s="2"/>
      <c r="F690" s="3"/>
      <c r="G690" s="2"/>
      <c r="H690" s="3"/>
      <c r="I690" s="65"/>
      <c r="K690" s="65"/>
      <c r="M690" s="65"/>
      <c r="O690" s="65"/>
      <c r="Q690" s="65"/>
      <c r="S690" s="65"/>
      <c r="U690" s="65"/>
      <c r="W690" s="65"/>
      <c r="Y690" s="65"/>
      <c r="AA690" s="65"/>
      <c r="AC690" s="65"/>
      <c r="AE690" s="65"/>
      <c r="AG690" s="65"/>
      <c r="AI690" s="65"/>
      <c r="AK690" s="65"/>
    </row>
    <row r="691" spans="1:37" x14ac:dyDescent="0.25">
      <c r="A691" s="2">
        <v>40865</v>
      </c>
      <c r="B691" s="3">
        <v>2236.6799999999998</v>
      </c>
      <c r="C691" s="2">
        <v>40875</v>
      </c>
      <c r="D691" s="3">
        <v>14578.23</v>
      </c>
      <c r="E691" s="2"/>
      <c r="F691" s="3"/>
      <c r="G691" s="2"/>
      <c r="H691" s="3"/>
      <c r="I691" s="65"/>
      <c r="K691" s="65"/>
      <c r="M691" s="65"/>
      <c r="O691" s="65"/>
      <c r="Q691" s="65"/>
      <c r="S691" s="65"/>
      <c r="U691" s="65"/>
      <c r="W691" s="65"/>
      <c r="Y691" s="65"/>
      <c r="AA691" s="65"/>
      <c r="AC691" s="65"/>
      <c r="AE691" s="65"/>
      <c r="AG691" s="65"/>
      <c r="AI691" s="65"/>
      <c r="AK691" s="65"/>
    </row>
    <row r="692" spans="1:37" x14ac:dyDescent="0.25">
      <c r="A692" s="2">
        <v>40868</v>
      </c>
      <c r="B692" s="3">
        <v>2160.2800000000002</v>
      </c>
      <c r="C692" s="2">
        <v>40876</v>
      </c>
      <c r="D692" s="3">
        <v>14627.37</v>
      </c>
      <c r="E692" s="2"/>
      <c r="F692" s="3"/>
      <c r="G692" s="2"/>
      <c r="H692" s="3"/>
      <c r="I692" s="65"/>
      <c r="K692" s="65"/>
      <c r="M692" s="65"/>
      <c r="O692" s="65"/>
      <c r="Q692" s="65"/>
      <c r="S692" s="65"/>
      <c r="U692" s="65"/>
      <c r="W692" s="65"/>
      <c r="Y692" s="65"/>
      <c r="AA692" s="65"/>
      <c r="AC692" s="65"/>
      <c r="AE692" s="65"/>
      <c r="AG692" s="65"/>
      <c r="AI692" s="65"/>
      <c r="AK692" s="65"/>
    </row>
    <row r="693" spans="1:37" x14ac:dyDescent="0.25">
      <c r="A693" s="2">
        <v>40869</v>
      </c>
      <c r="B693" s="3">
        <v>2136.81</v>
      </c>
      <c r="C693" s="2">
        <v>40877</v>
      </c>
      <c r="D693" s="3">
        <v>15268.66</v>
      </c>
      <c r="E693" s="2"/>
      <c r="F693" s="3"/>
      <c r="G693" s="2"/>
      <c r="H693" s="3"/>
      <c r="I693" s="65"/>
      <c r="K693" s="65"/>
      <c r="M693" s="65"/>
      <c r="O693" s="65"/>
      <c r="Q693" s="65"/>
      <c r="S693" s="65"/>
      <c r="U693" s="65"/>
      <c r="W693" s="65"/>
      <c r="Y693" s="65"/>
      <c r="AA693" s="65"/>
      <c r="AC693" s="65"/>
      <c r="AE693" s="65"/>
      <c r="AG693" s="65"/>
      <c r="AI693" s="65"/>
      <c r="AK693" s="65"/>
    </row>
    <row r="694" spans="1:37" x14ac:dyDescent="0.25">
      <c r="A694" s="2">
        <v>40870</v>
      </c>
      <c r="B694" s="3">
        <v>2096.79</v>
      </c>
      <c r="C694" s="2">
        <v>40878</v>
      </c>
      <c r="D694" s="3">
        <v>15244.62</v>
      </c>
      <c r="E694" s="2"/>
      <c r="F694" s="3"/>
      <c r="G694" s="2"/>
      <c r="H694" s="3"/>
      <c r="I694" s="65"/>
      <c r="K694" s="65"/>
      <c r="M694" s="65"/>
      <c r="O694" s="65"/>
      <c r="Q694" s="65"/>
      <c r="S694" s="65"/>
      <c r="U694" s="65"/>
      <c r="W694" s="65"/>
      <c r="Y694" s="65"/>
      <c r="AA694" s="65"/>
      <c r="AC694" s="65"/>
      <c r="AE694" s="65"/>
      <c r="AG694" s="65"/>
      <c r="AI694" s="65"/>
      <c r="AK694" s="65"/>
    </row>
    <row r="695" spans="1:37" x14ac:dyDescent="0.25">
      <c r="A695" s="2">
        <v>40871</v>
      </c>
      <c r="B695" s="3">
        <v>2090.25</v>
      </c>
      <c r="C695" s="2">
        <v>40879</v>
      </c>
      <c r="D695" s="3">
        <v>15476.09</v>
      </c>
      <c r="E695" s="2"/>
      <c r="F695" s="3"/>
      <c r="G695" s="2"/>
      <c r="H695" s="3"/>
      <c r="I695" s="65"/>
      <c r="K695" s="65"/>
      <c r="M695" s="65"/>
      <c r="O695" s="65"/>
      <c r="Q695" s="65"/>
      <c r="S695" s="65"/>
      <c r="U695" s="65"/>
      <c r="W695" s="65"/>
      <c r="Y695" s="65"/>
      <c r="AA695" s="65"/>
      <c r="AC695" s="65"/>
      <c r="AE695" s="65"/>
      <c r="AG695" s="65"/>
      <c r="AI695" s="65"/>
      <c r="AK695" s="65"/>
    </row>
    <row r="696" spans="1:37" x14ac:dyDescent="0.25">
      <c r="A696" s="2">
        <v>40872</v>
      </c>
      <c r="B696" s="3">
        <v>2111.2600000000002</v>
      </c>
      <c r="C696" s="2">
        <v>40882</v>
      </c>
      <c r="D696" s="3">
        <v>15926.47</v>
      </c>
      <c r="E696" s="2"/>
      <c r="F696" s="3"/>
      <c r="G696" s="2"/>
      <c r="H696" s="3"/>
      <c r="I696" s="65"/>
      <c r="K696" s="65"/>
      <c r="M696" s="65"/>
      <c r="O696" s="65"/>
      <c r="Q696" s="65"/>
      <c r="S696" s="65"/>
      <c r="U696" s="65"/>
      <c r="W696" s="65"/>
      <c r="Y696" s="65"/>
      <c r="AA696" s="65"/>
      <c r="AC696" s="65"/>
      <c r="AE696" s="65"/>
      <c r="AG696" s="65"/>
      <c r="AI696" s="65"/>
      <c r="AK696" s="65"/>
    </row>
    <row r="697" spans="1:37" x14ac:dyDescent="0.25">
      <c r="A697" s="2">
        <v>40875</v>
      </c>
      <c r="B697" s="3">
        <v>2221.7600000000002</v>
      </c>
      <c r="C697" s="2">
        <v>40883</v>
      </c>
      <c r="D697" s="3">
        <v>15848.21</v>
      </c>
      <c r="E697" s="2"/>
      <c r="F697" s="3"/>
      <c r="G697" s="2"/>
      <c r="H697" s="3"/>
      <c r="I697" s="65"/>
      <c r="K697" s="65"/>
      <c r="M697" s="65"/>
      <c r="O697" s="65"/>
      <c r="Q697" s="65"/>
      <c r="S697" s="65"/>
      <c r="U697" s="65"/>
      <c r="W697" s="65"/>
      <c r="Y697" s="65"/>
      <c r="AA697" s="65"/>
      <c r="AC697" s="65"/>
      <c r="AE697" s="65"/>
      <c r="AG697" s="65"/>
      <c r="AI697" s="65"/>
      <c r="AK697" s="65"/>
    </row>
    <row r="698" spans="1:37" x14ac:dyDescent="0.25">
      <c r="A698" s="2">
        <v>40876</v>
      </c>
      <c r="B698" s="3">
        <v>2234.17</v>
      </c>
      <c r="C698" s="2">
        <v>40884</v>
      </c>
      <c r="D698" s="3">
        <v>15650.93</v>
      </c>
      <c r="E698" s="2"/>
      <c r="F698" s="3"/>
      <c r="G698" s="2"/>
      <c r="H698" s="3"/>
      <c r="I698" s="65"/>
      <c r="K698" s="65"/>
      <c r="M698" s="65"/>
      <c r="O698" s="65"/>
      <c r="Q698" s="65"/>
      <c r="S698" s="65"/>
      <c r="U698" s="65"/>
      <c r="W698" s="65"/>
      <c r="Y698" s="65"/>
      <c r="AA698" s="65"/>
      <c r="AC698" s="65"/>
      <c r="AE698" s="65"/>
      <c r="AG698" s="65"/>
      <c r="AI698" s="65"/>
      <c r="AK698" s="65"/>
    </row>
    <row r="699" spans="1:37" x14ac:dyDescent="0.25">
      <c r="A699" s="2">
        <v>40877</v>
      </c>
      <c r="B699" s="3">
        <v>2330.4299999999998</v>
      </c>
      <c r="C699" s="2">
        <v>40885</v>
      </c>
      <c r="D699" s="3">
        <v>14979.07</v>
      </c>
      <c r="E699" s="2"/>
      <c r="F699" s="3"/>
      <c r="G699" s="2"/>
      <c r="H699" s="3"/>
      <c r="I699" s="65"/>
      <c r="K699" s="65"/>
      <c r="M699" s="65"/>
      <c r="O699" s="65"/>
      <c r="Q699" s="65"/>
      <c r="S699" s="65"/>
      <c r="U699" s="65"/>
      <c r="W699" s="65"/>
      <c r="Y699" s="65"/>
      <c r="AA699" s="65"/>
      <c r="AC699" s="65"/>
      <c r="AE699" s="65"/>
      <c r="AG699" s="65"/>
      <c r="AI699" s="65"/>
      <c r="AK699" s="65"/>
    </row>
    <row r="700" spans="1:37" x14ac:dyDescent="0.25">
      <c r="A700" s="2">
        <v>40878</v>
      </c>
      <c r="B700" s="3">
        <v>2313.84</v>
      </c>
      <c r="C700" s="2">
        <v>40886</v>
      </c>
      <c r="D700" s="3">
        <v>15483.91</v>
      </c>
      <c r="E700" s="2"/>
      <c r="F700" s="3"/>
      <c r="G700" s="2"/>
      <c r="H700" s="3"/>
      <c r="I700" s="65"/>
      <c r="K700" s="65"/>
      <c r="M700" s="65"/>
      <c r="O700" s="65"/>
      <c r="Q700" s="65"/>
      <c r="S700" s="65"/>
      <c r="U700" s="65"/>
      <c r="W700" s="65"/>
      <c r="Y700" s="65"/>
      <c r="AA700" s="65"/>
      <c r="AC700" s="65"/>
      <c r="AE700" s="65"/>
      <c r="AG700" s="65"/>
      <c r="AI700" s="65"/>
      <c r="AK700" s="65"/>
    </row>
    <row r="701" spans="1:37" x14ac:dyDescent="0.25">
      <c r="A701" s="2">
        <v>40879</v>
      </c>
      <c r="B701" s="3">
        <v>2342.5</v>
      </c>
      <c r="C701" s="2">
        <v>40889</v>
      </c>
      <c r="D701" s="3">
        <v>14896.73</v>
      </c>
      <c r="E701" s="2"/>
      <c r="F701" s="3"/>
      <c r="G701" s="2"/>
      <c r="H701" s="3"/>
      <c r="I701" s="65"/>
      <c r="K701" s="65"/>
      <c r="M701" s="65"/>
      <c r="O701" s="65"/>
      <c r="Q701" s="65"/>
      <c r="S701" s="65"/>
      <c r="U701" s="65"/>
      <c r="W701" s="65"/>
      <c r="Y701" s="65"/>
      <c r="AA701" s="65"/>
      <c r="AC701" s="65"/>
      <c r="AE701" s="65"/>
      <c r="AG701" s="65"/>
      <c r="AI701" s="65"/>
      <c r="AK701" s="65"/>
    </row>
    <row r="702" spans="1:37" x14ac:dyDescent="0.25">
      <c r="A702" s="2">
        <v>40882</v>
      </c>
      <c r="B702" s="3">
        <v>2369.39</v>
      </c>
      <c r="C702" s="2">
        <v>40890</v>
      </c>
      <c r="D702" s="3">
        <v>14851.25</v>
      </c>
      <c r="E702" s="2"/>
      <c r="F702" s="3"/>
      <c r="G702" s="2"/>
      <c r="H702" s="3"/>
      <c r="I702" s="65"/>
      <c r="K702" s="65"/>
      <c r="M702" s="65"/>
      <c r="O702" s="65"/>
      <c r="Q702" s="65"/>
      <c r="S702" s="65"/>
      <c r="U702" s="65"/>
      <c r="W702" s="65"/>
      <c r="Y702" s="65"/>
      <c r="AA702" s="65"/>
      <c r="AC702" s="65"/>
      <c r="AE702" s="65"/>
      <c r="AG702" s="65"/>
      <c r="AI702" s="65"/>
      <c r="AK702" s="65"/>
    </row>
    <row r="703" spans="1:37" x14ac:dyDescent="0.25">
      <c r="A703" s="2">
        <v>40883</v>
      </c>
      <c r="B703" s="3">
        <v>2356.71</v>
      </c>
      <c r="C703" s="2">
        <v>40891</v>
      </c>
      <c r="D703" s="3">
        <v>14430.02</v>
      </c>
      <c r="E703" s="2"/>
      <c r="F703" s="3"/>
      <c r="G703" s="2"/>
      <c r="H703" s="3"/>
      <c r="I703" s="65"/>
      <c r="K703" s="65"/>
      <c r="M703" s="65"/>
      <c r="O703" s="65"/>
      <c r="Q703" s="65"/>
      <c r="S703" s="65"/>
      <c r="U703" s="65"/>
      <c r="W703" s="65"/>
      <c r="Y703" s="65"/>
      <c r="AA703" s="65"/>
      <c r="AC703" s="65"/>
      <c r="AE703" s="65"/>
      <c r="AG703" s="65"/>
      <c r="AI703" s="65"/>
      <c r="AK703" s="65"/>
    </row>
    <row r="704" spans="1:37" x14ac:dyDescent="0.25">
      <c r="A704" s="2">
        <v>40884</v>
      </c>
      <c r="B704" s="3">
        <v>2344.92</v>
      </c>
      <c r="C704" s="2">
        <v>40892</v>
      </c>
      <c r="D704" s="3">
        <v>14627.69</v>
      </c>
      <c r="E704" s="2"/>
      <c r="F704" s="3"/>
      <c r="G704" s="2"/>
      <c r="H704" s="3"/>
      <c r="I704" s="65"/>
      <c r="K704" s="65"/>
      <c r="M704" s="65"/>
      <c r="O704" s="65"/>
      <c r="Q704" s="65"/>
      <c r="S704" s="65"/>
      <c r="U704" s="65"/>
      <c r="W704" s="65"/>
      <c r="Y704" s="65"/>
      <c r="AA704" s="65"/>
      <c r="AC704" s="65"/>
      <c r="AE704" s="65"/>
      <c r="AG704" s="65"/>
      <c r="AI704" s="65"/>
      <c r="AK704" s="65"/>
    </row>
    <row r="705" spans="1:37" x14ac:dyDescent="0.25">
      <c r="A705" s="2">
        <v>40885</v>
      </c>
      <c r="B705" s="3">
        <v>2288.0500000000002</v>
      </c>
      <c r="C705" s="2">
        <v>40893</v>
      </c>
      <c r="D705" s="3">
        <v>14572.22</v>
      </c>
      <c r="E705" s="2"/>
      <c r="F705" s="3"/>
      <c r="G705" s="2"/>
      <c r="H705" s="3"/>
      <c r="I705" s="65"/>
      <c r="K705" s="65"/>
      <c r="M705" s="65"/>
      <c r="O705" s="65"/>
      <c r="Q705" s="65"/>
      <c r="S705" s="65"/>
      <c r="U705" s="65"/>
      <c r="W705" s="65"/>
      <c r="Y705" s="65"/>
      <c r="AA705" s="65"/>
      <c r="AC705" s="65"/>
      <c r="AE705" s="65"/>
      <c r="AG705" s="65"/>
      <c r="AI705" s="65"/>
      <c r="AK705" s="65"/>
    </row>
    <row r="706" spans="1:37" x14ac:dyDescent="0.25">
      <c r="A706" s="2">
        <v>40886</v>
      </c>
      <c r="B706" s="3">
        <v>2342.59</v>
      </c>
      <c r="C706" s="2">
        <v>40896</v>
      </c>
      <c r="D706" s="3">
        <v>14548.2</v>
      </c>
      <c r="E706" s="2"/>
      <c r="F706" s="3"/>
      <c r="G706" s="2"/>
      <c r="H706" s="3"/>
      <c r="I706" s="65"/>
      <c r="K706" s="65"/>
      <c r="M706" s="65"/>
      <c r="O706" s="65"/>
      <c r="Q706" s="65"/>
      <c r="S706" s="65"/>
      <c r="U706" s="65"/>
      <c r="W706" s="65"/>
      <c r="Y706" s="65"/>
      <c r="AA706" s="65"/>
      <c r="AC706" s="65"/>
      <c r="AE706" s="65"/>
      <c r="AG706" s="65"/>
      <c r="AI706" s="65"/>
      <c r="AK706" s="65"/>
    </row>
    <row r="707" spans="1:37" x14ac:dyDescent="0.25">
      <c r="A707" s="2">
        <v>40889</v>
      </c>
      <c r="B707" s="3">
        <v>2269.46</v>
      </c>
      <c r="C707" s="2">
        <v>40897</v>
      </c>
      <c r="D707" s="3">
        <v>14965.18</v>
      </c>
      <c r="E707" s="2"/>
      <c r="F707" s="3"/>
      <c r="G707" s="2"/>
      <c r="H707" s="3"/>
      <c r="I707" s="65"/>
      <c r="K707" s="65"/>
      <c r="M707" s="65"/>
      <c r="O707" s="65"/>
      <c r="Q707" s="65"/>
      <c r="S707" s="65"/>
      <c r="U707" s="65"/>
      <c r="W707" s="65"/>
      <c r="Y707" s="65"/>
      <c r="AA707" s="65"/>
      <c r="AC707" s="65"/>
      <c r="AE707" s="65"/>
      <c r="AG707" s="65"/>
      <c r="AI707" s="65"/>
      <c r="AK707" s="65"/>
    </row>
    <row r="708" spans="1:37" x14ac:dyDescent="0.25">
      <c r="A708" s="2">
        <v>40890</v>
      </c>
      <c r="B708" s="3">
        <v>2260.98</v>
      </c>
      <c r="C708" s="2">
        <v>40898</v>
      </c>
      <c r="D708" s="3">
        <v>14819.86</v>
      </c>
      <c r="E708" s="2"/>
      <c r="F708" s="3"/>
      <c r="G708" s="2"/>
      <c r="H708" s="3"/>
      <c r="I708" s="65"/>
      <c r="K708" s="65"/>
      <c r="M708" s="65"/>
      <c r="O708" s="65"/>
      <c r="Q708" s="65"/>
      <c r="S708" s="65"/>
      <c r="U708" s="65"/>
      <c r="W708" s="65"/>
      <c r="Y708" s="65"/>
      <c r="AA708" s="65"/>
      <c r="AC708" s="65"/>
      <c r="AE708" s="65"/>
      <c r="AG708" s="65"/>
      <c r="AI708" s="65"/>
      <c r="AK708" s="65"/>
    </row>
    <row r="709" spans="1:37" x14ac:dyDescent="0.25">
      <c r="A709" s="2">
        <v>40891</v>
      </c>
      <c r="B709" s="3">
        <v>2205.91</v>
      </c>
      <c r="C709" s="2">
        <v>40899</v>
      </c>
      <c r="D709" s="3">
        <v>15027.44</v>
      </c>
      <c r="E709" s="2"/>
      <c r="F709" s="3"/>
      <c r="G709" s="2"/>
      <c r="H709" s="3"/>
      <c r="I709" s="65"/>
      <c r="K709" s="65"/>
      <c r="M709" s="65"/>
      <c r="O709" s="65"/>
      <c r="Q709" s="65"/>
      <c r="S709" s="65"/>
      <c r="U709" s="65"/>
      <c r="W709" s="65"/>
      <c r="Y709" s="65"/>
      <c r="AA709" s="65"/>
      <c r="AC709" s="65"/>
      <c r="AE709" s="65"/>
      <c r="AG709" s="65"/>
      <c r="AI709" s="65"/>
      <c r="AK709" s="65"/>
    </row>
    <row r="710" spans="1:37" x14ac:dyDescent="0.25">
      <c r="A710" s="2">
        <v>40892</v>
      </c>
      <c r="B710" s="3">
        <v>2224.89</v>
      </c>
      <c r="C710" s="2">
        <v>40900</v>
      </c>
      <c r="D710" s="3">
        <v>15073.99</v>
      </c>
      <c r="E710" s="2"/>
      <c r="F710" s="3"/>
      <c r="G710" s="2"/>
      <c r="H710" s="3"/>
      <c r="I710" s="65"/>
      <c r="K710" s="65"/>
      <c r="M710" s="65"/>
      <c r="O710" s="65"/>
      <c r="Q710" s="65"/>
      <c r="S710" s="65"/>
      <c r="U710" s="65"/>
      <c r="W710" s="65"/>
      <c r="Y710" s="65"/>
      <c r="AA710" s="65"/>
      <c r="AC710" s="65"/>
      <c r="AE710" s="65"/>
      <c r="AG710" s="65"/>
      <c r="AI710" s="65"/>
      <c r="AK710" s="65"/>
    </row>
    <row r="711" spans="1:37" x14ac:dyDescent="0.25">
      <c r="A711" s="2">
        <v>40893</v>
      </c>
      <c r="B711" s="3">
        <v>2202.7199999999998</v>
      </c>
      <c r="C711" s="2">
        <v>40904</v>
      </c>
      <c r="D711" s="3">
        <v>14924.01</v>
      </c>
      <c r="E711" s="2"/>
      <c r="F711" s="3"/>
      <c r="G711" s="2"/>
      <c r="H711" s="3"/>
      <c r="I711" s="65"/>
      <c r="K711" s="65"/>
      <c r="M711" s="65"/>
      <c r="O711" s="65"/>
      <c r="Q711" s="65"/>
      <c r="S711" s="65"/>
      <c r="U711" s="65"/>
      <c r="W711" s="65"/>
      <c r="Y711" s="65"/>
      <c r="AA711" s="65"/>
      <c r="AC711" s="65"/>
      <c r="AE711" s="65"/>
      <c r="AG711" s="65"/>
      <c r="AI711" s="65"/>
      <c r="AK711" s="65"/>
    </row>
    <row r="712" spans="1:37" x14ac:dyDescent="0.25">
      <c r="A712" s="2">
        <v>40896</v>
      </c>
      <c r="B712" s="3">
        <v>2202.9499999999998</v>
      </c>
      <c r="C712" s="2">
        <v>40905</v>
      </c>
      <c r="D712" s="3">
        <v>14796.55</v>
      </c>
      <c r="E712" s="2"/>
      <c r="F712" s="3"/>
      <c r="G712" s="2"/>
      <c r="H712" s="3"/>
      <c r="I712" s="65"/>
      <c r="K712" s="65"/>
      <c r="M712" s="65"/>
      <c r="O712" s="65"/>
      <c r="Q712" s="65"/>
      <c r="S712" s="65"/>
      <c r="U712" s="65"/>
      <c r="W712" s="65"/>
      <c r="Y712" s="65"/>
      <c r="AA712" s="65"/>
      <c r="AC712" s="65"/>
      <c r="AE712" s="65"/>
      <c r="AG712" s="65"/>
      <c r="AI712" s="65"/>
      <c r="AK712" s="65"/>
    </row>
    <row r="713" spans="1:37" x14ac:dyDescent="0.25">
      <c r="A713" s="2">
        <v>40897</v>
      </c>
      <c r="B713" s="3">
        <v>2262.39</v>
      </c>
      <c r="C713" s="2">
        <v>40906</v>
      </c>
      <c r="D713" s="3">
        <v>14908.53</v>
      </c>
      <c r="E713" s="2"/>
      <c r="F713" s="3"/>
      <c r="G713" s="2"/>
      <c r="H713" s="3"/>
      <c r="I713" s="65"/>
      <c r="K713" s="65"/>
      <c r="M713" s="65"/>
      <c r="O713" s="65"/>
      <c r="Q713" s="65"/>
      <c r="S713" s="65"/>
      <c r="U713" s="65"/>
      <c r="W713" s="65"/>
      <c r="Y713" s="65"/>
      <c r="AA713" s="65"/>
      <c r="AC713" s="65"/>
      <c r="AE713" s="65"/>
      <c r="AG713" s="65"/>
      <c r="AI713" s="65"/>
      <c r="AK713" s="65"/>
    </row>
    <row r="714" spans="1:37" x14ac:dyDescent="0.25">
      <c r="A714" s="2">
        <v>40898</v>
      </c>
      <c r="B714" s="3">
        <v>2244.35</v>
      </c>
      <c r="C714" s="2">
        <v>40907</v>
      </c>
      <c r="D714" s="3">
        <v>15089.74</v>
      </c>
      <c r="E714" s="2"/>
      <c r="F714" s="3"/>
      <c r="G714" s="2"/>
      <c r="H714" s="3"/>
      <c r="I714" s="65"/>
      <c r="K714" s="65"/>
      <c r="M714" s="65"/>
      <c r="O714" s="65"/>
      <c r="Q714" s="65"/>
      <c r="S714" s="65"/>
      <c r="U714" s="65"/>
      <c r="W714" s="65"/>
      <c r="Y714" s="65"/>
      <c r="AA714" s="65"/>
      <c r="AC714" s="65"/>
      <c r="AE714" s="65"/>
      <c r="AG714" s="65"/>
      <c r="AI714" s="65"/>
      <c r="AK714" s="65"/>
    </row>
    <row r="715" spans="1:37" x14ac:dyDescent="0.25">
      <c r="A715" s="2">
        <v>40899</v>
      </c>
      <c r="B715" s="3">
        <v>2273.02</v>
      </c>
      <c r="C715" s="2">
        <v>40910</v>
      </c>
      <c r="D715" s="3">
        <v>15454.62</v>
      </c>
      <c r="E715" s="2"/>
      <c r="F715" s="3"/>
      <c r="G715" s="2"/>
      <c r="H715" s="3"/>
      <c r="I715" s="65"/>
      <c r="K715" s="65"/>
      <c r="M715" s="65"/>
      <c r="O715" s="65"/>
      <c r="Q715" s="65"/>
      <c r="S715" s="65"/>
      <c r="U715" s="65"/>
      <c r="W715" s="65"/>
      <c r="Y715" s="65"/>
      <c r="AA715" s="65"/>
      <c r="AC715" s="65"/>
      <c r="AE715" s="65"/>
      <c r="AG715" s="65"/>
      <c r="AI715" s="65"/>
      <c r="AK715" s="65"/>
    </row>
    <row r="716" spans="1:37" x14ac:dyDescent="0.25">
      <c r="A716" s="2">
        <v>40900</v>
      </c>
      <c r="B716" s="3">
        <v>2290.37</v>
      </c>
      <c r="C716" s="2">
        <v>40911</v>
      </c>
      <c r="D716" s="3">
        <v>15645.56</v>
      </c>
      <c r="E716" s="2"/>
      <c r="F716" s="3"/>
      <c r="G716" s="2"/>
      <c r="H716" s="3"/>
      <c r="I716" s="65"/>
      <c r="K716" s="65"/>
      <c r="M716" s="65"/>
      <c r="O716" s="65"/>
      <c r="Q716" s="65"/>
      <c r="S716" s="65"/>
      <c r="U716" s="65"/>
      <c r="W716" s="65"/>
      <c r="Y716" s="65"/>
      <c r="AA716" s="65"/>
      <c r="AC716" s="65"/>
      <c r="AE716" s="65"/>
      <c r="AG716" s="65"/>
      <c r="AI716" s="65"/>
      <c r="AK716" s="65"/>
    </row>
    <row r="717" spans="1:37" x14ac:dyDescent="0.25">
      <c r="A717" s="2">
        <v>40904</v>
      </c>
      <c r="B717" s="3">
        <v>2290.31</v>
      </c>
      <c r="C717" s="2">
        <v>40912</v>
      </c>
      <c r="D717" s="3">
        <v>15327.03</v>
      </c>
      <c r="E717" s="2"/>
      <c r="F717" s="3"/>
      <c r="G717" s="2"/>
      <c r="H717" s="3"/>
      <c r="I717" s="65"/>
      <c r="K717" s="65"/>
      <c r="M717" s="65"/>
      <c r="O717" s="65"/>
      <c r="Q717" s="65"/>
      <c r="S717" s="65"/>
      <c r="U717" s="65"/>
      <c r="W717" s="65"/>
      <c r="Y717" s="65"/>
      <c r="AA717" s="65"/>
      <c r="AC717" s="65"/>
      <c r="AE717" s="65"/>
      <c r="AG717" s="65"/>
      <c r="AI717" s="65"/>
      <c r="AK717" s="65"/>
    </row>
    <row r="718" spans="1:37" x14ac:dyDescent="0.25">
      <c r="A718" s="2">
        <v>40905</v>
      </c>
      <c r="B718" s="3">
        <v>2255.0300000000002</v>
      </c>
      <c r="C718" s="2">
        <v>40913</v>
      </c>
      <c r="D718" s="3">
        <v>14767.22</v>
      </c>
      <c r="E718" s="2"/>
      <c r="F718" s="3"/>
      <c r="G718" s="2"/>
      <c r="H718" s="3"/>
      <c r="I718" s="65"/>
      <c r="K718" s="65"/>
      <c r="M718" s="65"/>
      <c r="O718" s="65"/>
      <c r="Q718" s="65"/>
      <c r="S718" s="65"/>
      <c r="U718" s="65"/>
      <c r="W718" s="65"/>
      <c r="Y718" s="65"/>
      <c r="AA718" s="65"/>
      <c r="AC718" s="65"/>
      <c r="AE718" s="65"/>
      <c r="AG718" s="65"/>
      <c r="AI718" s="65"/>
      <c r="AK718" s="65"/>
    </row>
    <row r="719" spans="1:37" x14ac:dyDescent="0.25">
      <c r="A719" s="2">
        <v>40906</v>
      </c>
      <c r="B719" s="3">
        <v>2292.2800000000002</v>
      </c>
      <c r="C719" s="2">
        <v>40914</v>
      </c>
      <c r="D719" s="3">
        <v>14645.64</v>
      </c>
      <c r="E719" s="2"/>
      <c r="F719" s="3"/>
      <c r="G719" s="2"/>
      <c r="H719" s="3"/>
      <c r="I719" s="65"/>
      <c r="K719" s="65"/>
      <c r="M719" s="65"/>
      <c r="O719" s="65"/>
      <c r="Q719" s="65"/>
      <c r="S719" s="65"/>
      <c r="U719" s="65"/>
      <c r="W719" s="65"/>
      <c r="Y719" s="65"/>
      <c r="AA719" s="65"/>
      <c r="AC719" s="65"/>
      <c r="AE719" s="65"/>
      <c r="AG719" s="65"/>
      <c r="AI719" s="65"/>
      <c r="AK719" s="65"/>
    </row>
    <row r="720" spans="1:37" x14ac:dyDescent="0.25">
      <c r="A720" s="2">
        <v>40907</v>
      </c>
      <c r="B720" s="3">
        <v>2316.5500000000002</v>
      </c>
      <c r="C720" s="2">
        <v>40917</v>
      </c>
      <c r="D720" s="3">
        <v>14401.55</v>
      </c>
      <c r="E720" s="2"/>
      <c r="F720" s="3"/>
      <c r="G720" s="2"/>
      <c r="H720" s="3"/>
      <c r="I720" s="65"/>
      <c r="K720" s="65"/>
      <c r="M720" s="65"/>
      <c r="O720" s="65"/>
      <c r="Q720" s="65"/>
      <c r="S720" s="65"/>
      <c r="U720" s="65"/>
      <c r="W720" s="65"/>
      <c r="Y720" s="65"/>
      <c r="AA720" s="65"/>
      <c r="AC720" s="65"/>
      <c r="AE720" s="65"/>
      <c r="AG720" s="65"/>
      <c r="AI720" s="65"/>
      <c r="AK720" s="65"/>
    </row>
    <row r="721" spans="1:37" x14ac:dyDescent="0.25">
      <c r="A721" s="2">
        <v>40910</v>
      </c>
      <c r="B721" s="3">
        <v>2370.1999999999998</v>
      </c>
      <c r="C721" s="2">
        <v>40918</v>
      </c>
      <c r="D721" s="3">
        <v>14844.81</v>
      </c>
      <c r="E721" s="2"/>
      <c r="F721" s="3"/>
      <c r="G721" s="2"/>
      <c r="H721" s="3"/>
      <c r="I721" s="65"/>
      <c r="K721" s="65"/>
      <c r="M721" s="65"/>
      <c r="O721" s="65"/>
      <c r="Q721" s="65"/>
      <c r="S721" s="65"/>
      <c r="U721" s="65"/>
      <c r="W721" s="65"/>
      <c r="Y721" s="65"/>
      <c r="AA721" s="65"/>
      <c r="AC721" s="65"/>
      <c r="AE721" s="65"/>
      <c r="AG721" s="65"/>
      <c r="AI721" s="65"/>
      <c r="AK721" s="65"/>
    </row>
    <row r="722" spans="1:37" x14ac:dyDescent="0.25">
      <c r="A722" s="2">
        <v>40911</v>
      </c>
      <c r="B722" s="3">
        <v>2389.91</v>
      </c>
      <c r="C722" s="2">
        <v>40919</v>
      </c>
      <c r="D722" s="3">
        <v>14882.44</v>
      </c>
      <c r="E722" s="2"/>
      <c r="F722" s="3"/>
      <c r="G722" s="2"/>
      <c r="H722" s="3"/>
      <c r="I722" s="65"/>
      <c r="K722" s="65"/>
      <c r="M722" s="65"/>
      <c r="O722" s="65"/>
      <c r="Q722" s="65"/>
      <c r="S722" s="65"/>
      <c r="U722" s="65"/>
      <c r="W722" s="65"/>
      <c r="Y722" s="65"/>
      <c r="AA722" s="65"/>
      <c r="AC722" s="65"/>
      <c r="AE722" s="65"/>
      <c r="AG722" s="65"/>
      <c r="AI722" s="65"/>
      <c r="AK722" s="65"/>
    </row>
    <row r="723" spans="1:37" x14ac:dyDescent="0.25">
      <c r="A723" s="2">
        <v>40912</v>
      </c>
      <c r="B723" s="3">
        <v>2349.89</v>
      </c>
      <c r="C723" s="2">
        <v>40920</v>
      </c>
      <c r="D723" s="3">
        <v>15192.79</v>
      </c>
      <c r="E723" s="2"/>
      <c r="F723" s="3"/>
      <c r="G723" s="2"/>
      <c r="H723" s="3"/>
      <c r="I723" s="65"/>
      <c r="K723" s="65"/>
      <c r="M723" s="65"/>
      <c r="O723" s="65"/>
      <c r="Q723" s="65"/>
      <c r="S723" s="65"/>
      <c r="U723" s="65"/>
      <c r="W723" s="65"/>
      <c r="Y723" s="65"/>
      <c r="AA723" s="65"/>
      <c r="AC723" s="65"/>
      <c r="AE723" s="65"/>
      <c r="AG723" s="65"/>
      <c r="AI723" s="65"/>
      <c r="AK723" s="65"/>
    </row>
    <row r="724" spans="1:37" x14ac:dyDescent="0.25">
      <c r="A724" s="2">
        <v>40913</v>
      </c>
      <c r="B724" s="3">
        <v>2315.75</v>
      </c>
      <c r="C724" s="2">
        <v>40921</v>
      </c>
      <c r="D724" s="3">
        <v>15011.09</v>
      </c>
      <c r="E724" s="2"/>
      <c r="F724" s="3"/>
      <c r="G724" s="2"/>
      <c r="H724" s="3"/>
      <c r="I724" s="65"/>
      <c r="K724" s="65"/>
      <c r="M724" s="65"/>
      <c r="O724" s="65"/>
      <c r="Q724" s="65"/>
      <c r="S724" s="65"/>
      <c r="U724" s="65"/>
      <c r="W724" s="65"/>
      <c r="Y724" s="65"/>
      <c r="AA724" s="65"/>
      <c r="AC724" s="65"/>
      <c r="AE724" s="65"/>
      <c r="AG724" s="65"/>
      <c r="AI724" s="65"/>
      <c r="AK724" s="65"/>
    </row>
    <row r="725" spans="1:37" x14ac:dyDescent="0.25">
      <c r="A725" s="2">
        <v>40914</v>
      </c>
      <c r="B725" s="3">
        <v>2298.65</v>
      </c>
      <c r="C725" s="2">
        <v>40924</v>
      </c>
      <c r="D725" s="3">
        <v>15220.98</v>
      </c>
      <c r="E725" s="2"/>
      <c r="F725" s="3"/>
      <c r="G725" s="2"/>
      <c r="H725" s="3"/>
      <c r="I725" s="65"/>
      <c r="K725" s="65"/>
      <c r="M725" s="65"/>
      <c r="O725" s="65"/>
      <c r="Q725" s="65"/>
      <c r="S725" s="65"/>
      <c r="U725" s="65"/>
      <c r="W725" s="65"/>
      <c r="Y725" s="65"/>
      <c r="AA725" s="65"/>
      <c r="AC725" s="65"/>
      <c r="AE725" s="65"/>
      <c r="AG725" s="65"/>
      <c r="AI725" s="65"/>
      <c r="AK725" s="65"/>
    </row>
    <row r="726" spans="1:37" x14ac:dyDescent="0.25">
      <c r="A726" s="2">
        <v>40917</v>
      </c>
      <c r="B726" s="3">
        <v>2286.4499999999998</v>
      </c>
      <c r="C726" s="2">
        <v>40925</v>
      </c>
      <c r="D726" s="3">
        <v>15325.98</v>
      </c>
      <c r="E726" s="2"/>
      <c r="F726" s="3"/>
      <c r="G726" s="2"/>
      <c r="H726" s="3"/>
      <c r="I726" s="65"/>
      <c r="K726" s="65"/>
      <c r="M726" s="65"/>
      <c r="O726" s="65"/>
      <c r="Q726" s="65"/>
      <c r="S726" s="65"/>
      <c r="U726" s="65"/>
      <c r="W726" s="65"/>
      <c r="Y726" s="65"/>
      <c r="AA726" s="65"/>
      <c r="AC726" s="65"/>
      <c r="AE726" s="65"/>
      <c r="AG726" s="65"/>
      <c r="AI726" s="65"/>
      <c r="AK726" s="65"/>
    </row>
    <row r="727" spans="1:37" x14ac:dyDescent="0.25">
      <c r="A727" s="2">
        <v>40918</v>
      </c>
      <c r="B727" s="3">
        <v>2347.4699999999998</v>
      </c>
      <c r="C727" s="2">
        <v>40926</v>
      </c>
      <c r="D727" s="3">
        <v>15278</v>
      </c>
      <c r="E727" s="2"/>
      <c r="F727" s="3"/>
      <c r="G727" s="2"/>
      <c r="H727" s="3"/>
      <c r="I727" s="65"/>
      <c r="K727" s="65"/>
      <c r="M727" s="65"/>
      <c r="O727" s="65"/>
      <c r="Q727" s="65"/>
      <c r="S727" s="65"/>
      <c r="U727" s="65"/>
      <c r="W727" s="65"/>
      <c r="Y727" s="65"/>
      <c r="AA727" s="65"/>
      <c r="AC727" s="65"/>
      <c r="AE727" s="65"/>
      <c r="AG727" s="65"/>
      <c r="AI727" s="65"/>
      <c r="AK727" s="65"/>
    </row>
    <row r="728" spans="1:37" x14ac:dyDescent="0.25">
      <c r="A728" s="2">
        <v>40919</v>
      </c>
      <c r="B728" s="3">
        <v>2339.5100000000002</v>
      </c>
      <c r="C728" s="2">
        <v>40927</v>
      </c>
      <c r="D728" s="3">
        <v>15651.99</v>
      </c>
      <c r="E728" s="2"/>
      <c r="F728" s="3"/>
      <c r="G728" s="2"/>
      <c r="H728" s="3"/>
      <c r="I728" s="65"/>
      <c r="K728" s="65"/>
      <c r="M728" s="65"/>
      <c r="O728" s="65"/>
      <c r="Q728" s="65"/>
      <c r="S728" s="65"/>
      <c r="U728" s="65"/>
      <c r="W728" s="65"/>
      <c r="Y728" s="65"/>
      <c r="AA728" s="65"/>
      <c r="AC728" s="65"/>
      <c r="AE728" s="65"/>
      <c r="AG728" s="65"/>
      <c r="AI728" s="65"/>
      <c r="AK728" s="65"/>
    </row>
    <row r="729" spans="1:37" x14ac:dyDescent="0.25">
      <c r="A729" s="2">
        <v>40920</v>
      </c>
      <c r="B729" s="3">
        <v>2345.85</v>
      </c>
      <c r="C729" s="2">
        <v>40928</v>
      </c>
      <c r="D729" s="3">
        <v>15632.06</v>
      </c>
      <c r="E729" s="2"/>
      <c r="F729" s="3"/>
      <c r="G729" s="2"/>
      <c r="H729" s="3"/>
      <c r="I729" s="65"/>
      <c r="K729" s="65"/>
      <c r="M729" s="65"/>
      <c r="O729" s="65"/>
      <c r="Q729" s="65"/>
      <c r="S729" s="65"/>
      <c r="U729" s="65"/>
      <c r="W729" s="65"/>
      <c r="Y729" s="65"/>
      <c r="AA729" s="65"/>
      <c r="AC729" s="65"/>
      <c r="AE729" s="65"/>
      <c r="AG729" s="65"/>
      <c r="AI729" s="65"/>
      <c r="AK729" s="65"/>
    </row>
    <row r="730" spans="1:37" x14ac:dyDescent="0.25">
      <c r="A730" s="2">
        <v>40921</v>
      </c>
      <c r="B730" s="3">
        <v>2338.0100000000002</v>
      </c>
      <c r="C730" s="2">
        <v>40931</v>
      </c>
      <c r="D730" s="3">
        <v>15907.52</v>
      </c>
      <c r="E730" s="2"/>
      <c r="F730" s="3"/>
      <c r="G730" s="2"/>
      <c r="H730" s="3"/>
      <c r="I730" s="65"/>
      <c r="K730" s="65"/>
      <c r="M730" s="65"/>
      <c r="O730" s="65"/>
      <c r="Q730" s="65"/>
      <c r="S730" s="65"/>
      <c r="U730" s="65"/>
      <c r="W730" s="65"/>
      <c r="Y730" s="65"/>
      <c r="AA730" s="65"/>
      <c r="AC730" s="65"/>
      <c r="AE730" s="65"/>
      <c r="AG730" s="65"/>
      <c r="AI730" s="65"/>
      <c r="AK730" s="65"/>
    </row>
    <row r="731" spans="1:37" x14ac:dyDescent="0.25">
      <c r="A731" s="2">
        <v>40924</v>
      </c>
      <c r="B731" s="3">
        <v>2361.56</v>
      </c>
      <c r="C731" s="2">
        <v>40932</v>
      </c>
      <c r="D731" s="3">
        <v>15929.25</v>
      </c>
      <c r="E731" s="2"/>
      <c r="F731" s="3"/>
      <c r="G731" s="2"/>
      <c r="H731" s="3"/>
      <c r="I731" s="65"/>
      <c r="K731" s="65"/>
      <c r="M731" s="65"/>
      <c r="O731" s="65"/>
      <c r="Q731" s="65"/>
      <c r="S731" s="65"/>
      <c r="U731" s="65"/>
      <c r="W731" s="65"/>
      <c r="Y731" s="65"/>
      <c r="AA731" s="65"/>
      <c r="AC731" s="65"/>
      <c r="AE731" s="65"/>
      <c r="AG731" s="65"/>
      <c r="AI731" s="65"/>
      <c r="AK731" s="65"/>
    </row>
    <row r="732" spans="1:37" x14ac:dyDescent="0.25">
      <c r="A732" s="2">
        <v>40925</v>
      </c>
      <c r="B732" s="3">
        <v>2396.63</v>
      </c>
      <c r="C732" s="2">
        <v>40933</v>
      </c>
      <c r="D732" s="3">
        <v>15840.24</v>
      </c>
      <c r="E732" s="2"/>
      <c r="F732" s="3"/>
      <c r="G732" s="2"/>
      <c r="H732" s="3"/>
      <c r="I732" s="65"/>
      <c r="K732" s="65"/>
      <c r="M732" s="65"/>
      <c r="O732" s="65"/>
      <c r="Q732" s="65"/>
      <c r="S732" s="65"/>
      <c r="U732" s="65"/>
      <c r="W732" s="65"/>
      <c r="Y732" s="65"/>
      <c r="AA732" s="65"/>
      <c r="AC732" s="65"/>
      <c r="AE732" s="65"/>
      <c r="AG732" s="65"/>
      <c r="AI732" s="65"/>
      <c r="AK732" s="65"/>
    </row>
    <row r="733" spans="1:37" x14ac:dyDescent="0.25">
      <c r="A733" s="2">
        <v>40926</v>
      </c>
      <c r="B733" s="3">
        <v>2390.64</v>
      </c>
      <c r="C733" s="2">
        <v>40934</v>
      </c>
      <c r="D733" s="3">
        <v>16111.04</v>
      </c>
      <c r="E733" s="2"/>
      <c r="F733" s="3"/>
      <c r="G733" s="2"/>
      <c r="H733" s="3"/>
      <c r="I733" s="65"/>
      <c r="K733" s="65"/>
      <c r="M733" s="65"/>
      <c r="O733" s="65"/>
      <c r="Q733" s="65"/>
      <c r="S733" s="65"/>
      <c r="U733" s="65"/>
      <c r="W733" s="65"/>
      <c r="Y733" s="65"/>
      <c r="AA733" s="65"/>
      <c r="AC733" s="65"/>
      <c r="AE733" s="65"/>
      <c r="AG733" s="65"/>
      <c r="AI733" s="65"/>
      <c r="AK733" s="65"/>
    </row>
    <row r="734" spans="1:37" x14ac:dyDescent="0.25">
      <c r="A734" s="2">
        <v>40927</v>
      </c>
      <c r="B734" s="3">
        <v>2435.04</v>
      </c>
      <c r="C734" s="2">
        <v>40935</v>
      </c>
      <c r="D734" s="3">
        <v>15946.87</v>
      </c>
      <c r="E734" s="2"/>
      <c r="F734" s="3"/>
      <c r="G734" s="2"/>
      <c r="H734" s="3"/>
      <c r="I734" s="65"/>
      <c r="K734" s="65"/>
      <c r="M734" s="65"/>
      <c r="O734" s="65"/>
      <c r="Q734" s="65"/>
      <c r="S734" s="65"/>
      <c r="U734" s="65"/>
      <c r="W734" s="65"/>
      <c r="Y734" s="65"/>
      <c r="AA734" s="65"/>
      <c r="AC734" s="65"/>
      <c r="AE734" s="65"/>
      <c r="AG734" s="65"/>
      <c r="AI734" s="65"/>
      <c r="AK734" s="65"/>
    </row>
    <row r="735" spans="1:37" x14ac:dyDescent="0.25">
      <c r="A735" s="2">
        <v>40928</v>
      </c>
      <c r="B735" s="3">
        <v>2426.96</v>
      </c>
      <c r="C735" s="2">
        <v>40938</v>
      </c>
      <c r="D735" s="3">
        <v>15753.14</v>
      </c>
      <c r="E735" s="2"/>
      <c r="F735" s="3"/>
      <c r="G735" s="2"/>
      <c r="H735" s="3"/>
      <c r="I735" s="65"/>
      <c r="K735" s="65"/>
      <c r="M735" s="65"/>
      <c r="O735" s="65"/>
      <c r="Q735" s="65"/>
      <c r="S735" s="65"/>
      <c r="U735" s="65"/>
      <c r="W735" s="65"/>
      <c r="Y735" s="65"/>
      <c r="AA735" s="65"/>
      <c r="AC735" s="65"/>
      <c r="AE735" s="65"/>
      <c r="AG735" s="65"/>
      <c r="AI735" s="65"/>
      <c r="AK735" s="65"/>
    </row>
    <row r="736" spans="1:37" x14ac:dyDescent="0.25">
      <c r="A736" s="2">
        <v>40931</v>
      </c>
      <c r="B736" s="3">
        <v>2441.44</v>
      </c>
      <c r="C736" s="2">
        <v>40939</v>
      </c>
      <c r="D736" s="3">
        <v>15828.05</v>
      </c>
      <c r="E736" s="2"/>
      <c r="F736" s="3"/>
      <c r="G736" s="2"/>
      <c r="H736" s="3"/>
      <c r="I736" s="65"/>
      <c r="K736" s="65"/>
      <c r="M736" s="65"/>
      <c r="O736" s="65"/>
      <c r="Q736" s="65"/>
      <c r="S736" s="65"/>
      <c r="U736" s="65"/>
      <c r="W736" s="65"/>
      <c r="Y736" s="65"/>
      <c r="AA736" s="65"/>
      <c r="AC736" s="65"/>
      <c r="AE736" s="65"/>
      <c r="AG736" s="65"/>
      <c r="AI736" s="65"/>
      <c r="AK736" s="65"/>
    </row>
    <row r="737" spans="1:37" x14ac:dyDescent="0.25">
      <c r="A737" s="2">
        <v>40932</v>
      </c>
      <c r="B737" s="3">
        <v>2432.0700000000002</v>
      </c>
      <c r="C737" s="2">
        <v>40940</v>
      </c>
      <c r="D737" s="3">
        <v>16264.55</v>
      </c>
      <c r="E737" s="2"/>
      <c r="F737" s="3"/>
      <c r="G737" s="2"/>
      <c r="H737" s="3"/>
      <c r="I737" s="65"/>
      <c r="K737" s="65"/>
      <c r="M737" s="65"/>
      <c r="O737" s="65"/>
      <c r="Q737" s="65"/>
      <c r="S737" s="65"/>
      <c r="U737" s="65"/>
      <c r="W737" s="65"/>
      <c r="Y737" s="65"/>
      <c r="AA737" s="65"/>
      <c r="AC737" s="65"/>
      <c r="AE737" s="65"/>
      <c r="AG737" s="65"/>
      <c r="AI737" s="65"/>
      <c r="AK737" s="65"/>
    </row>
    <row r="738" spans="1:37" x14ac:dyDescent="0.25">
      <c r="A738" s="2">
        <v>40933</v>
      </c>
      <c r="B738" s="3">
        <v>2421.12</v>
      </c>
      <c r="C738" s="2">
        <v>40941</v>
      </c>
      <c r="D738" s="3">
        <v>16276.5</v>
      </c>
      <c r="E738" s="2"/>
      <c r="F738" s="3"/>
      <c r="G738" s="2"/>
      <c r="H738" s="3"/>
      <c r="I738" s="65"/>
      <c r="K738" s="65"/>
      <c r="M738" s="65"/>
      <c r="O738" s="65"/>
      <c r="Q738" s="65"/>
      <c r="S738" s="65"/>
      <c r="U738" s="65"/>
      <c r="W738" s="65"/>
      <c r="Y738" s="65"/>
      <c r="AA738" s="65"/>
      <c r="AC738" s="65"/>
      <c r="AE738" s="65"/>
      <c r="AG738" s="65"/>
      <c r="AI738" s="65"/>
      <c r="AK738" s="65"/>
    </row>
    <row r="739" spans="1:37" x14ac:dyDescent="0.25">
      <c r="A739" s="2">
        <v>40934</v>
      </c>
      <c r="B739" s="3">
        <v>2460.4</v>
      </c>
      <c r="C739" s="2">
        <v>40942</v>
      </c>
      <c r="D739" s="3">
        <v>16439.62</v>
      </c>
      <c r="E739" s="2"/>
      <c r="F739" s="3"/>
      <c r="G739" s="2"/>
      <c r="H739" s="3"/>
      <c r="I739" s="65"/>
      <c r="K739" s="65"/>
      <c r="M739" s="65"/>
      <c r="O739" s="65"/>
      <c r="Q739" s="65"/>
      <c r="S739" s="65"/>
      <c r="U739" s="65"/>
      <c r="W739" s="65"/>
      <c r="Y739" s="65"/>
      <c r="AA739" s="65"/>
      <c r="AC739" s="65"/>
      <c r="AE739" s="65"/>
      <c r="AG739" s="65"/>
      <c r="AI739" s="65"/>
      <c r="AK739" s="65"/>
    </row>
    <row r="740" spans="1:37" x14ac:dyDescent="0.25">
      <c r="A740" s="2">
        <v>40935</v>
      </c>
      <c r="B740" s="3">
        <v>2436.62</v>
      </c>
      <c r="C740" s="2">
        <v>40945</v>
      </c>
      <c r="D740" s="3">
        <v>16389.82</v>
      </c>
      <c r="E740" s="2"/>
      <c r="F740" s="3"/>
      <c r="G740" s="2"/>
      <c r="H740" s="3"/>
      <c r="I740" s="65"/>
      <c r="K740" s="65"/>
      <c r="M740" s="65"/>
      <c r="O740" s="65"/>
      <c r="Q740" s="65"/>
      <c r="S740" s="65"/>
      <c r="U740" s="65"/>
      <c r="W740" s="65"/>
      <c r="Y740" s="65"/>
      <c r="AA740" s="65"/>
      <c r="AC740" s="65"/>
      <c r="AE740" s="65"/>
      <c r="AG740" s="65"/>
      <c r="AI740" s="65"/>
      <c r="AK740" s="65"/>
    </row>
    <row r="741" spans="1:37" x14ac:dyDescent="0.25">
      <c r="A741" s="2">
        <v>40938</v>
      </c>
      <c r="B741" s="3">
        <v>2404.62</v>
      </c>
      <c r="C741" s="2">
        <v>40946</v>
      </c>
      <c r="D741" s="3">
        <v>16491.71</v>
      </c>
      <c r="E741" s="2"/>
      <c r="F741" s="3"/>
      <c r="G741" s="2"/>
      <c r="H741" s="3"/>
      <c r="I741" s="65"/>
      <c r="K741" s="65"/>
      <c r="M741" s="65"/>
      <c r="O741" s="65"/>
      <c r="Q741" s="65"/>
      <c r="S741" s="65"/>
      <c r="U741" s="65"/>
      <c r="W741" s="65"/>
      <c r="Y741" s="65"/>
      <c r="AA741" s="65"/>
      <c r="AC741" s="65"/>
      <c r="AE741" s="65"/>
      <c r="AG741" s="65"/>
      <c r="AI741" s="65"/>
      <c r="AK741" s="65"/>
    </row>
    <row r="742" spans="1:37" x14ac:dyDescent="0.25">
      <c r="A742" s="2">
        <v>40939</v>
      </c>
      <c r="B742" s="3">
        <v>2416.66</v>
      </c>
      <c r="C742" s="2">
        <v>40947</v>
      </c>
      <c r="D742" s="3">
        <v>16669.22</v>
      </c>
      <c r="E742" s="2"/>
      <c r="F742" s="3"/>
      <c r="G742" s="2"/>
      <c r="H742" s="3"/>
      <c r="I742" s="65"/>
      <c r="K742" s="65"/>
      <c r="M742" s="65"/>
      <c r="O742" s="65"/>
      <c r="Q742" s="65"/>
      <c r="S742" s="65"/>
      <c r="U742" s="65"/>
      <c r="W742" s="65"/>
      <c r="Y742" s="65"/>
      <c r="AA742" s="65"/>
      <c r="AC742" s="65"/>
      <c r="AE742" s="65"/>
      <c r="AG742" s="65"/>
      <c r="AI742" s="65"/>
      <c r="AK742" s="65"/>
    </row>
    <row r="743" spans="1:37" x14ac:dyDescent="0.25">
      <c r="A743" s="2">
        <v>40940</v>
      </c>
      <c r="B743" s="3">
        <v>2470.79</v>
      </c>
      <c r="C743" s="2">
        <v>40948</v>
      </c>
      <c r="D743" s="3">
        <v>16653.830000000002</v>
      </c>
      <c r="E743" s="2"/>
      <c r="F743" s="3"/>
      <c r="G743" s="2"/>
      <c r="H743" s="3"/>
      <c r="I743" s="65"/>
      <c r="K743" s="65"/>
      <c r="M743" s="65"/>
      <c r="O743" s="65"/>
      <c r="Q743" s="65"/>
      <c r="S743" s="65"/>
      <c r="U743" s="65"/>
      <c r="W743" s="65"/>
      <c r="Y743" s="65"/>
      <c r="AA743" s="65"/>
      <c r="AC743" s="65"/>
      <c r="AE743" s="65"/>
      <c r="AG743" s="65"/>
      <c r="AI743" s="65"/>
      <c r="AK743" s="65"/>
    </row>
    <row r="744" spans="1:37" x14ac:dyDescent="0.25">
      <c r="A744" s="2">
        <v>40941</v>
      </c>
      <c r="B744" s="3">
        <v>2478.15</v>
      </c>
      <c r="C744" s="2">
        <v>40949</v>
      </c>
      <c r="D744" s="3">
        <v>16361.04</v>
      </c>
      <c r="E744" s="2"/>
      <c r="F744" s="3"/>
      <c r="G744" s="2"/>
      <c r="H744" s="3"/>
      <c r="I744" s="65"/>
      <c r="K744" s="65"/>
      <c r="M744" s="65"/>
      <c r="O744" s="65"/>
      <c r="Q744" s="65"/>
      <c r="S744" s="65"/>
      <c r="U744" s="65"/>
      <c r="W744" s="65"/>
      <c r="Y744" s="65"/>
      <c r="AA744" s="65"/>
      <c r="AC744" s="65"/>
      <c r="AE744" s="65"/>
      <c r="AG744" s="65"/>
      <c r="AI744" s="65"/>
      <c r="AK744" s="65"/>
    </row>
    <row r="745" spans="1:37" x14ac:dyDescent="0.25">
      <c r="A745" s="2">
        <v>40942</v>
      </c>
      <c r="B745" s="3">
        <v>2515.15</v>
      </c>
      <c r="C745" s="2">
        <v>40952</v>
      </c>
      <c r="D745" s="3">
        <v>16369.28</v>
      </c>
      <c r="E745" s="2"/>
      <c r="F745" s="3"/>
      <c r="G745" s="2"/>
      <c r="H745" s="3"/>
      <c r="I745" s="65"/>
      <c r="K745" s="65"/>
      <c r="M745" s="65"/>
      <c r="O745" s="65"/>
      <c r="Q745" s="65"/>
      <c r="S745" s="65"/>
      <c r="U745" s="65"/>
      <c r="W745" s="65"/>
      <c r="Y745" s="65"/>
      <c r="AA745" s="65"/>
      <c r="AC745" s="65"/>
      <c r="AE745" s="65"/>
      <c r="AG745" s="65"/>
      <c r="AI745" s="65"/>
      <c r="AK745" s="65"/>
    </row>
    <row r="746" spans="1:37" x14ac:dyDescent="0.25">
      <c r="A746" s="2">
        <v>40945</v>
      </c>
      <c r="B746" s="3">
        <v>2507.89</v>
      </c>
      <c r="C746" s="2">
        <v>40953</v>
      </c>
      <c r="D746" s="3">
        <v>16445.91</v>
      </c>
      <c r="E746" s="2"/>
      <c r="F746" s="3"/>
      <c r="G746" s="2"/>
      <c r="H746" s="3"/>
      <c r="I746" s="65"/>
      <c r="K746" s="65"/>
      <c r="M746" s="65"/>
      <c r="O746" s="65"/>
      <c r="Q746" s="65"/>
      <c r="S746" s="65"/>
      <c r="U746" s="65"/>
      <c r="W746" s="65"/>
      <c r="Y746" s="65"/>
      <c r="AA746" s="65"/>
      <c r="AC746" s="65"/>
      <c r="AE746" s="65"/>
      <c r="AG746" s="65"/>
      <c r="AI746" s="65"/>
      <c r="AK746" s="65"/>
    </row>
    <row r="747" spans="1:37" x14ac:dyDescent="0.25">
      <c r="A747" s="2">
        <v>40946</v>
      </c>
      <c r="B747" s="3">
        <v>2514.12</v>
      </c>
      <c r="C747" s="2">
        <v>40954</v>
      </c>
      <c r="D747" s="3">
        <v>16513.21</v>
      </c>
      <c r="E747" s="2"/>
      <c r="F747" s="3"/>
      <c r="G747" s="2"/>
      <c r="H747" s="3"/>
      <c r="I747" s="65"/>
      <c r="K747" s="65"/>
      <c r="M747" s="65"/>
      <c r="O747" s="65"/>
      <c r="Q747" s="65"/>
      <c r="S747" s="65"/>
      <c r="U747" s="65"/>
      <c r="W747" s="65"/>
      <c r="Y747" s="65"/>
      <c r="AA747" s="65"/>
      <c r="AC747" s="65"/>
      <c r="AE747" s="65"/>
      <c r="AG747" s="65"/>
      <c r="AI747" s="65"/>
      <c r="AK747" s="65"/>
    </row>
    <row r="748" spans="1:37" x14ac:dyDescent="0.25">
      <c r="A748" s="2">
        <v>40947</v>
      </c>
      <c r="B748" s="3">
        <v>2512.92</v>
      </c>
      <c r="C748" s="2">
        <v>40955</v>
      </c>
      <c r="D748" s="3">
        <v>16369.66</v>
      </c>
      <c r="E748" s="2"/>
      <c r="F748" s="3"/>
      <c r="G748" s="2"/>
      <c r="H748" s="3"/>
      <c r="I748" s="65"/>
      <c r="K748" s="65"/>
      <c r="M748" s="65"/>
      <c r="O748" s="65"/>
      <c r="Q748" s="65"/>
      <c r="S748" s="65"/>
      <c r="U748" s="65"/>
      <c r="W748" s="65"/>
      <c r="Y748" s="65"/>
      <c r="AA748" s="65"/>
      <c r="AC748" s="65"/>
      <c r="AE748" s="65"/>
      <c r="AG748" s="65"/>
      <c r="AI748" s="65"/>
      <c r="AK748" s="65"/>
    </row>
    <row r="749" spans="1:37" x14ac:dyDescent="0.25">
      <c r="A749" s="2">
        <v>40948</v>
      </c>
      <c r="B749" s="3">
        <v>2522.34</v>
      </c>
      <c r="C749" s="2">
        <v>40956</v>
      </c>
      <c r="D749" s="3">
        <v>16547.21</v>
      </c>
      <c r="E749" s="2"/>
      <c r="F749" s="3"/>
      <c r="G749" s="2"/>
      <c r="H749" s="3"/>
      <c r="I749" s="65"/>
      <c r="K749" s="65"/>
      <c r="M749" s="65"/>
      <c r="O749" s="65"/>
      <c r="Q749" s="65"/>
      <c r="S749" s="65"/>
      <c r="U749" s="65"/>
      <c r="W749" s="65"/>
      <c r="Y749" s="65"/>
      <c r="AA749" s="65"/>
      <c r="AC749" s="65"/>
      <c r="AE749" s="65"/>
      <c r="AG749" s="65"/>
      <c r="AI749" s="65"/>
      <c r="AK749" s="65"/>
    </row>
    <row r="750" spans="1:37" x14ac:dyDescent="0.25">
      <c r="A750" s="2">
        <v>40949</v>
      </c>
      <c r="B750" s="3">
        <v>2480.7600000000002</v>
      </c>
      <c r="C750" s="2">
        <v>40959</v>
      </c>
      <c r="D750" s="3">
        <v>16724.22</v>
      </c>
      <c r="E750" s="2"/>
      <c r="F750" s="3"/>
      <c r="G750" s="2"/>
      <c r="H750" s="3"/>
      <c r="I750" s="65"/>
      <c r="K750" s="65"/>
      <c r="M750" s="65"/>
      <c r="O750" s="65"/>
      <c r="Q750" s="65"/>
      <c r="S750" s="65"/>
      <c r="U750" s="65"/>
      <c r="W750" s="65"/>
      <c r="Y750" s="65"/>
      <c r="AA750" s="65"/>
      <c r="AC750" s="65"/>
      <c r="AE750" s="65"/>
      <c r="AG750" s="65"/>
      <c r="AI750" s="65"/>
      <c r="AK750" s="65"/>
    </row>
    <row r="751" spans="1:37" x14ac:dyDescent="0.25">
      <c r="A751" s="2">
        <v>40952</v>
      </c>
      <c r="B751" s="3">
        <v>2491.54</v>
      </c>
      <c r="C751" s="2">
        <v>40960</v>
      </c>
      <c r="D751" s="3">
        <v>16710.86</v>
      </c>
      <c r="E751" s="2"/>
      <c r="F751" s="3"/>
      <c r="G751" s="2"/>
      <c r="H751" s="3"/>
      <c r="I751" s="65"/>
      <c r="K751" s="65"/>
      <c r="M751" s="65"/>
      <c r="O751" s="65"/>
      <c r="Q751" s="65"/>
      <c r="S751" s="65"/>
      <c r="U751" s="65"/>
      <c r="W751" s="65"/>
      <c r="Y751" s="65"/>
      <c r="AA751" s="65"/>
      <c r="AC751" s="65"/>
      <c r="AE751" s="65"/>
      <c r="AG751" s="65"/>
      <c r="AI751" s="65"/>
      <c r="AK751" s="65"/>
    </row>
    <row r="752" spans="1:37" x14ac:dyDescent="0.25">
      <c r="A752" s="2">
        <v>40953</v>
      </c>
      <c r="B752" s="3">
        <v>2488.29</v>
      </c>
      <c r="C752" s="2">
        <v>40961</v>
      </c>
      <c r="D752" s="3">
        <v>16557.62</v>
      </c>
      <c r="E752" s="2"/>
      <c r="F752" s="3"/>
      <c r="G752" s="2"/>
      <c r="H752" s="3"/>
      <c r="I752" s="65"/>
      <c r="K752" s="65"/>
      <c r="M752" s="65"/>
      <c r="O752" s="65"/>
      <c r="Q752" s="65"/>
      <c r="S752" s="65"/>
      <c r="U752" s="65"/>
      <c r="W752" s="65"/>
      <c r="Y752" s="65"/>
      <c r="AA752" s="65"/>
      <c r="AC752" s="65"/>
      <c r="AE752" s="65"/>
      <c r="AG752" s="65"/>
      <c r="AI752" s="65"/>
      <c r="AK752" s="65"/>
    </row>
    <row r="753" spans="1:37" x14ac:dyDescent="0.25">
      <c r="A753" s="2">
        <v>40954</v>
      </c>
      <c r="B753" s="3">
        <v>2493.96</v>
      </c>
      <c r="C753" s="2">
        <v>40962</v>
      </c>
      <c r="D753" s="3">
        <v>16312.3</v>
      </c>
      <c r="E753" s="2"/>
      <c r="F753" s="3"/>
      <c r="G753" s="2"/>
      <c r="H753" s="3"/>
      <c r="I753" s="65"/>
      <c r="K753" s="65"/>
      <c r="M753" s="65"/>
      <c r="O753" s="65"/>
      <c r="Q753" s="65"/>
      <c r="S753" s="65"/>
      <c r="U753" s="65"/>
      <c r="W753" s="65"/>
      <c r="Y753" s="65"/>
      <c r="AA753" s="65"/>
      <c r="AC753" s="65"/>
      <c r="AE753" s="65"/>
      <c r="AG753" s="65"/>
      <c r="AI753" s="65"/>
      <c r="AK753" s="65"/>
    </row>
    <row r="754" spans="1:37" x14ac:dyDescent="0.25">
      <c r="A754" s="2">
        <v>40955</v>
      </c>
      <c r="B754" s="3">
        <v>2489.35</v>
      </c>
      <c r="C754" s="2">
        <v>40963</v>
      </c>
      <c r="D754" s="3">
        <v>16487.53</v>
      </c>
      <c r="E754" s="2"/>
      <c r="F754" s="3"/>
      <c r="G754" s="2"/>
      <c r="H754" s="3"/>
      <c r="I754" s="65"/>
      <c r="K754" s="65"/>
      <c r="M754" s="65"/>
      <c r="O754" s="65"/>
      <c r="Q754" s="65"/>
      <c r="S754" s="65"/>
      <c r="U754" s="65"/>
      <c r="W754" s="65"/>
      <c r="Y754" s="65"/>
      <c r="AA754" s="65"/>
      <c r="AC754" s="65"/>
      <c r="AE754" s="65"/>
      <c r="AG754" s="65"/>
      <c r="AI754" s="65"/>
      <c r="AK754" s="65"/>
    </row>
    <row r="755" spans="1:37" x14ac:dyDescent="0.25">
      <c r="A755" s="2">
        <v>40956</v>
      </c>
      <c r="B755" s="3">
        <v>2520.31</v>
      </c>
      <c r="C755" s="2">
        <v>40966</v>
      </c>
      <c r="D755" s="3">
        <v>16308.6</v>
      </c>
      <c r="E755" s="2"/>
      <c r="F755" s="3"/>
      <c r="G755" s="2"/>
      <c r="H755" s="3"/>
      <c r="I755" s="65"/>
      <c r="K755" s="65"/>
      <c r="M755" s="65"/>
      <c r="O755" s="65"/>
      <c r="Q755" s="65"/>
      <c r="S755" s="65"/>
      <c r="U755" s="65"/>
      <c r="W755" s="65"/>
      <c r="Y755" s="65"/>
      <c r="AA755" s="65"/>
      <c r="AC755" s="65"/>
      <c r="AE755" s="65"/>
      <c r="AG755" s="65"/>
      <c r="AI755" s="65"/>
      <c r="AK755" s="65"/>
    </row>
    <row r="756" spans="1:37" x14ac:dyDescent="0.25">
      <c r="A756" s="2">
        <v>40959</v>
      </c>
      <c r="B756" s="3">
        <v>2550.2800000000002</v>
      </c>
      <c r="C756" s="2">
        <v>40967</v>
      </c>
      <c r="D756" s="3">
        <v>16345.3</v>
      </c>
      <c r="E756" s="2"/>
      <c r="F756" s="3"/>
      <c r="G756" s="2"/>
      <c r="H756" s="3"/>
      <c r="I756" s="65"/>
      <c r="K756" s="65"/>
      <c r="M756" s="65"/>
      <c r="O756" s="65"/>
      <c r="Q756" s="65"/>
      <c r="S756" s="65"/>
      <c r="U756" s="65"/>
      <c r="W756" s="65"/>
      <c r="Y756" s="65"/>
      <c r="AA756" s="65"/>
      <c r="AC756" s="65"/>
      <c r="AE756" s="65"/>
      <c r="AG756" s="65"/>
      <c r="AI756" s="65"/>
      <c r="AK756" s="65"/>
    </row>
    <row r="757" spans="1:37" x14ac:dyDescent="0.25">
      <c r="A757" s="2">
        <v>40960</v>
      </c>
      <c r="B757" s="3">
        <v>2541.6</v>
      </c>
      <c r="C757" s="2">
        <v>40968</v>
      </c>
      <c r="D757" s="3">
        <v>16351.41</v>
      </c>
      <c r="E757" s="2"/>
      <c r="F757" s="3"/>
      <c r="G757" s="2"/>
      <c r="H757" s="3"/>
      <c r="I757" s="65"/>
      <c r="K757" s="65"/>
      <c r="M757" s="65"/>
      <c r="O757" s="65"/>
      <c r="Q757" s="65"/>
      <c r="S757" s="65"/>
      <c r="U757" s="65"/>
      <c r="W757" s="65"/>
      <c r="Y757" s="65"/>
      <c r="AA757" s="65"/>
      <c r="AC757" s="65"/>
      <c r="AE757" s="65"/>
      <c r="AG757" s="65"/>
      <c r="AI757" s="65"/>
      <c r="AK757" s="65"/>
    </row>
    <row r="758" spans="1:37" x14ac:dyDescent="0.25">
      <c r="A758" s="2">
        <v>40961</v>
      </c>
      <c r="B758" s="3">
        <v>2519</v>
      </c>
      <c r="C758" s="2">
        <v>40969</v>
      </c>
      <c r="D758" s="3">
        <v>16830.599999999999</v>
      </c>
      <c r="E758" s="2"/>
      <c r="F758" s="3"/>
      <c r="G758" s="2"/>
      <c r="H758" s="3"/>
      <c r="I758" s="65"/>
      <c r="K758" s="65"/>
      <c r="M758" s="65"/>
      <c r="O758" s="65"/>
      <c r="Q758" s="65"/>
      <c r="S758" s="65"/>
      <c r="U758" s="65"/>
      <c r="W758" s="65"/>
      <c r="Y758" s="65"/>
      <c r="AA758" s="65"/>
      <c r="AC758" s="65"/>
      <c r="AE758" s="65"/>
      <c r="AG758" s="65"/>
      <c r="AI758" s="65"/>
      <c r="AK758" s="65"/>
    </row>
    <row r="759" spans="1:37" x14ac:dyDescent="0.25">
      <c r="A759" s="2">
        <v>40962</v>
      </c>
      <c r="B759" s="3">
        <v>2508.08</v>
      </c>
      <c r="C759" s="2">
        <v>40970</v>
      </c>
      <c r="D759" s="3">
        <v>16902.509999999998</v>
      </c>
      <c r="E759" s="2"/>
      <c r="F759" s="3"/>
      <c r="G759" s="2"/>
      <c r="H759" s="3"/>
      <c r="I759" s="65"/>
      <c r="K759" s="65"/>
      <c r="M759" s="65"/>
      <c r="O759" s="65"/>
      <c r="Q759" s="65"/>
      <c r="S759" s="65"/>
      <c r="U759" s="65"/>
      <c r="W759" s="65"/>
      <c r="Y759" s="65"/>
      <c r="AA759" s="65"/>
      <c r="AC759" s="65"/>
      <c r="AE759" s="65"/>
      <c r="AG759" s="65"/>
      <c r="AI759" s="65"/>
      <c r="AK759" s="65"/>
    </row>
    <row r="760" spans="1:37" x14ac:dyDescent="0.25">
      <c r="A760" s="2">
        <v>40963</v>
      </c>
      <c r="B760" s="3">
        <v>2523.69</v>
      </c>
      <c r="C760" s="2">
        <v>40973</v>
      </c>
      <c r="D760" s="3">
        <v>16787.150000000001</v>
      </c>
      <c r="E760" s="2"/>
      <c r="F760" s="3"/>
      <c r="G760" s="2"/>
      <c r="H760" s="3"/>
      <c r="I760" s="65"/>
      <c r="K760" s="65"/>
      <c r="M760" s="65"/>
      <c r="O760" s="65"/>
      <c r="Q760" s="65"/>
      <c r="S760" s="65"/>
      <c r="U760" s="65"/>
      <c r="W760" s="65"/>
      <c r="Y760" s="65"/>
      <c r="AA760" s="65"/>
      <c r="AC760" s="65"/>
      <c r="AE760" s="65"/>
      <c r="AG760" s="65"/>
      <c r="AI760" s="65"/>
      <c r="AK760" s="65"/>
    </row>
    <row r="761" spans="1:37" x14ac:dyDescent="0.25">
      <c r="A761" s="2">
        <v>40966</v>
      </c>
      <c r="B761" s="3">
        <v>2513.06</v>
      </c>
      <c r="C761" s="2">
        <v>40974</v>
      </c>
      <c r="D761" s="3">
        <v>16218.06</v>
      </c>
      <c r="E761" s="2"/>
      <c r="F761" s="3"/>
      <c r="G761" s="2"/>
      <c r="H761" s="3"/>
      <c r="I761" s="65"/>
      <c r="K761" s="65"/>
      <c r="M761" s="65"/>
      <c r="O761" s="65"/>
      <c r="Q761" s="65"/>
      <c r="S761" s="65"/>
      <c r="U761" s="65"/>
      <c r="W761" s="65"/>
      <c r="Y761" s="65"/>
      <c r="AA761" s="65"/>
      <c r="AC761" s="65"/>
      <c r="AE761" s="65"/>
      <c r="AG761" s="65"/>
      <c r="AI761" s="65"/>
      <c r="AK761" s="65"/>
    </row>
    <row r="762" spans="1:37" x14ac:dyDescent="0.25">
      <c r="A762" s="2">
        <v>40967</v>
      </c>
      <c r="B762" s="3">
        <v>2519.7199999999998</v>
      </c>
      <c r="C762" s="2">
        <v>40975</v>
      </c>
      <c r="D762" s="3">
        <v>16398.89</v>
      </c>
      <c r="E762" s="2"/>
      <c r="F762" s="3"/>
      <c r="G762" s="2"/>
      <c r="H762" s="3"/>
      <c r="I762" s="65"/>
      <c r="K762" s="65"/>
      <c r="M762" s="65"/>
      <c r="O762" s="65"/>
      <c r="Q762" s="65"/>
      <c r="S762" s="65"/>
      <c r="U762" s="65"/>
      <c r="W762" s="65"/>
      <c r="Y762" s="65"/>
      <c r="AA762" s="65"/>
      <c r="AC762" s="65"/>
      <c r="AE762" s="65"/>
      <c r="AG762" s="65"/>
      <c r="AI762" s="65"/>
      <c r="AK762" s="65"/>
    </row>
    <row r="763" spans="1:37" x14ac:dyDescent="0.25">
      <c r="A763" s="2">
        <v>40968</v>
      </c>
      <c r="B763" s="3">
        <v>2512.11</v>
      </c>
      <c r="C763" s="2">
        <v>40976</v>
      </c>
      <c r="D763" s="3">
        <v>16664.25</v>
      </c>
      <c r="E763" s="2"/>
      <c r="F763" s="3"/>
      <c r="G763" s="2"/>
      <c r="H763" s="3"/>
      <c r="I763" s="65"/>
      <c r="K763" s="65"/>
      <c r="M763" s="65"/>
      <c r="O763" s="65"/>
      <c r="Q763" s="65"/>
      <c r="S763" s="65"/>
      <c r="U763" s="65"/>
      <c r="W763" s="65"/>
      <c r="Y763" s="65"/>
      <c r="AA763" s="65"/>
      <c r="AC763" s="65"/>
      <c r="AE763" s="65"/>
      <c r="AG763" s="65"/>
      <c r="AI763" s="65"/>
      <c r="AK763" s="65"/>
    </row>
    <row r="764" spans="1:37" x14ac:dyDescent="0.25">
      <c r="A764" s="2">
        <v>40969</v>
      </c>
      <c r="B764" s="3">
        <v>2548.66</v>
      </c>
      <c r="C764" s="2">
        <v>40977</v>
      </c>
      <c r="D764" s="3">
        <v>16479.2</v>
      </c>
      <c r="E764" s="2"/>
      <c r="F764" s="3"/>
      <c r="G764" s="2"/>
      <c r="H764" s="3"/>
      <c r="I764" s="65"/>
      <c r="K764" s="65"/>
      <c r="M764" s="65"/>
      <c r="O764" s="65"/>
      <c r="Q764" s="65"/>
      <c r="S764" s="65"/>
      <c r="U764" s="65"/>
      <c r="W764" s="65"/>
      <c r="Y764" s="65"/>
      <c r="AA764" s="65"/>
      <c r="AC764" s="65"/>
      <c r="AE764" s="65"/>
      <c r="AG764" s="65"/>
      <c r="AI764" s="65"/>
      <c r="AK764" s="65"/>
    </row>
    <row r="765" spans="1:37" x14ac:dyDescent="0.25">
      <c r="A765" s="2">
        <v>40970</v>
      </c>
      <c r="B765" s="3">
        <v>2546.16</v>
      </c>
      <c r="C765" s="2">
        <v>40980</v>
      </c>
      <c r="D765" s="3">
        <v>16457.189999999999</v>
      </c>
      <c r="E765" s="2"/>
      <c r="F765" s="3"/>
      <c r="G765" s="2"/>
      <c r="H765" s="3"/>
      <c r="I765" s="65"/>
      <c r="K765" s="65"/>
      <c r="M765" s="65"/>
      <c r="O765" s="65"/>
      <c r="Q765" s="65"/>
      <c r="S765" s="65"/>
      <c r="U765" s="65"/>
      <c r="W765" s="65"/>
      <c r="Y765" s="65"/>
      <c r="AA765" s="65"/>
      <c r="AC765" s="65"/>
      <c r="AE765" s="65"/>
      <c r="AG765" s="65"/>
      <c r="AI765" s="65"/>
      <c r="AK765" s="65"/>
    </row>
    <row r="766" spans="1:37" x14ac:dyDescent="0.25">
      <c r="A766" s="2">
        <v>40973</v>
      </c>
      <c r="B766" s="3">
        <v>2529.86</v>
      </c>
      <c r="C766" s="2">
        <v>40981</v>
      </c>
      <c r="D766" s="3">
        <v>16799.009999999998</v>
      </c>
      <c r="E766" s="2"/>
      <c r="F766" s="3"/>
      <c r="G766" s="2"/>
      <c r="H766" s="3"/>
      <c r="I766" s="65"/>
      <c r="K766" s="65"/>
      <c r="M766" s="65"/>
      <c r="O766" s="65"/>
      <c r="Q766" s="65"/>
      <c r="S766" s="65"/>
      <c r="U766" s="65"/>
      <c r="W766" s="65"/>
      <c r="Y766" s="65"/>
      <c r="AA766" s="65"/>
      <c r="AC766" s="65"/>
      <c r="AE766" s="65"/>
      <c r="AG766" s="65"/>
      <c r="AI766" s="65"/>
      <c r="AK766" s="65"/>
    </row>
    <row r="767" spans="1:37" x14ac:dyDescent="0.25">
      <c r="A767" s="2">
        <v>40974</v>
      </c>
      <c r="B767" s="3">
        <v>2443.52</v>
      </c>
      <c r="C767" s="2">
        <v>40982</v>
      </c>
      <c r="D767" s="3">
        <v>16850.32</v>
      </c>
      <c r="E767" s="2"/>
      <c r="F767" s="3"/>
      <c r="G767" s="2"/>
      <c r="H767" s="3"/>
      <c r="I767" s="65"/>
      <c r="K767" s="65"/>
      <c r="M767" s="65"/>
      <c r="O767" s="65"/>
      <c r="Q767" s="65"/>
      <c r="S767" s="65"/>
      <c r="U767" s="65"/>
      <c r="W767" s="65"/>
      <c r="Y767" s="65"/>
      <c r="AA767" s="65"/>
      <c r="AC767" s="65"/>
      <c r="AE767" s="65"/>
      <c r="AG767" s="65"/>
      <c r="AI767" s="65"/>
      <c r="AK767" s="65"/>
    </row>
    <row r="768" spans="1:37" x14ac:dyDescent="0.25">
      <c r="A768" s="2">
        <v>40975</v>
      </c>
      <c r="B768" s="3">
        <v>2460.77</v>
      </c>
      <c r="C768" s="2">
        <v>40983</v>
      </c>
      <c r="D768" s="3">
        <v>16993.310000000001</v>
      </c>
      <c r="E768" s="2"/>
      <c r="F768" s="3"/>
      <c r="G768" s="2"/>
      <c r="H768" s="3"/>
      <c r="I768" s="65"/>
      <c r="K768" s="65"/>
      <c r="M768" s="65"/>
      <c r="O768" s="65"/>
      <c r="Q768" s="65"/>
      <c r="S768" s="65"/>
      <c r="U768" s="65"/>
      <c r="W768" s="65"/>
      <c r="Y768" s="65"/>
      <c r="AA768" s="65"/>
      <c r="AC768" s="65"/>
      <c r="AE768" s="65"/>
      <c r="AG768" s="65"/>
      <c r="AI768" s="65"/>
      <c r="AK768" s="65"/>
    </row>
    <row r="769" spans="1:37" x14ac:dyDescent="0.25">
      <c r="A769" s="2">
        <v>40976</v>
      </c>
      <c r="B769" s="3">
        <v>2514.2199999999998</v>
      </c>
      <c r="C769" s="2">
        <v>40984</v>
      </c>
      <c r="D769" s="3">
        <v>17081.689999999999</v>
      </c>
      <c r="E769" s="2"/>
      <c r="F769" s="3"/>
      <c r="G769" s="2"/>
      <c r="H769" s="3"/>
      <c r="I769" s="65"/>
      <c r="K769" s="65"/>
      <c r="M769" s="65"/>
      <c r="O769" s="65"/>
      <c r="Q769" s="65"/>
      <c r="S769" s="65"/>
      <c r="U769" s="65"/>
      <c r="W769" s="65"/>
      <c r="Y769" s="65"/>
      <c r="AA769" s="65"/>
      <c r="AC769" s="65"/>
      <c r="AE769" s="65"/>
      <c r="AG769" s="65"/>
      <c r="AI769" s="65"/>
      <c r="AK769" s="65"/>
    </row>
    <row r="770" spans="1:37" x14ac:dyDescent="0.25">
      <c r="A770" s="2">
        <v>40977</v>
      </c>
      <c r="B770" s="3">
        <v>2515.9499999999998</v>
      </c>
      <c r="C770" s="2">
        <v>40987</v>
      </c>
      <c r="D770" s="3">
        <v>17133.419999999998</v>
      </c>
      <c r="E770" s="2"/>
      <c r="F770" s="3"/>
      <c r="G770" s="2"/>
      <c r="H770" s="3"/>
      <c r="I770" s="65"/>
      <c r="K770" s="65"/>
      <c r="M770" s="65"/>
      <c r="O770" s="65"/>
      <c r="Q770" s="65"/>
      <c r="S770" s="65"/>
      <c r="U770" s="65"/>
      <c r="W770" s="65"/>
      <c r="Y770" s="65"/>
      <c r="AA770" s="65"/>
      <c r="AC770" s="65"/>
      <c r="AE770" s="65"/>
      <c r="AG770" s="65"/>
      <c r="AI770" s="65"/>
      <c r="AK770" s="65"/>
    </row>
    <row r="771" spans="1:37" x14ac:dyDescent="0.25">
      <c r="A771" s="2">
        <v>40980</v>
      </c>
      <c r="B771" s="3">
        <v>2514.9699999999998</v>
      </c>
      <c r="C771" s="2">
        <v>40988</v>
      </c>
      <c r="D771" s="3">
        <v>16953.62</v>
      </c>
      <c r="E771" s="2"/>
      <c r="F771" s="3"/>
      <c r="G771" s="2"/>
      <c r="H771" s="3"/>
      <c r="I771" s="65"/>
      <c r="K771" s="65"/>
      <c r="M771" s="65"/>
      <c r="O771" s="65"/>
      <c r="Q771" s="65"/>
      <c r="S771" s="65"/>
      <c r="U771" s="65"/>
      <c r="W771" s="65"/>
      <c r="Y771" s="65"/>
      <c r="AA771" s="65"/>
      <c r="AC771" s="65"/>
      <c r="AE771" s="65"/>
      <c r="AG771" s="65"/>
      <c r="AI771" s="65"/>
      <c r="AK771" s="65"/>
    </row>
    <row r="772" spans="1:37" x14ac:dyDescent="0.25">
      <c r="A772" s="2">
        <v>40981</v>
      </c>
      <c r="B772" s="3">
        <v>2556.8200000000002</v>
      </c>
      <c r="C772" s="2">
        <v>40989</v>
      </c>
      <c r="D772" s="3">
        <v>16734.75</v>
      </c>
      <c r="E772" s="2"/>
      <c r="F772" s="3"/>
      <c r="G772" s="2"/>
      <c r="H772" s="3"/>
      <c r="I772" s="65"/>
      <c r="K772" s="65"/>
      <c r="M772" s="65"/>
      <c r="O772" s="65"/>
      <c r="Q772" s="65"/>
      <c r="S772" s="65"/>
      <c r="U772" s="65"/>
      <c r="W772" s="65"/>
      <c r="Y772" s="65"/>
      <c r="AA772" s="65"/>
      <c r="AC772" s="65"/>
      <c r="AE772" s="65"/>
      <c r="AG772" s="65"/>
      <c r="AI772" s="65"/>
      <c r="AK772" s="65"/>
    </row>
    <row r="773" spans="1:37" x14ac:dyDescent="0.25">
      <c r="A773" s="2">
        <v>40982</v>
      </c>
      <c r="B773" s="3">
        <v>2574.79</v>
      </c>
      <c r="C773" s="2">
        <v>40990</v>
      </c>
      <c r="D773" s="3">
        <v>16450.68</v>
      </c>
      <c r="E773" s="2"/>
      <c r="F773" s="3"/>
      <c r="G773" s="2"/>
      <c r="H773" s="3"/>
      <c r="I773" s="65"/>
      <c r="K773" s="65"/>
      <c r="M773" s="65"/>
      <c r="O773" s="65"/>
      <c r="Q773" s="65"/>
      <c r="S773" s="65"/>
      <c r="U773" s="65"/>
      <c r="W773" s="65"/>
      <c r="Y773" s="65"/>
      <c r="AA773" s="65"/>
      <c r="AC773" s="65"/>
      <c r="AE773" s="65"/>
      <c r="AG773" s="65"/>
      <c r="AI773" s="65"/>
      <c r="AK773" s="65"/>
    </row>
    <row r="774" spans="1:37" x14ac:dyDescent="0.25">
      <c r="A774" s="2">
        <v>40983</v>
      </c>
      <c r="B774" s="3">
        <v>2593.9699999999998</v>
      </c>
      <c r="C774" s="2">
        <v>40991</v>
      </c>
      <c r="D774" s="3">
        <v>16485.240000000002</v>
      </c>
      <c r="E774" s="2"/>
      <c r="F774" s="3"/>
      <c r="G774" s="2"/>
      <c r="H774" s="3"/>
      <c r="I774" s="65"/>
      <c r="K774" s="65"/>
      <c r="M774" s="65"/>
      <c r="O774" s="65"/>
      <c r="Q774" s="65"/>
      <c r="S774" s="65"/>
      <c r="U774" s="65"/>
      <c r="W774" s="65"/>
      <c r="Y774" s="65"/>
      <c r="AA774" s="65"/>
      <c r="AC774" s="65"/>
      <c r="AE774" s="65"/>
      <c r="AG774" s="65"/>
      <c r="AI774" s="65"/>
      <c r="AK774" s="65"/>
    </row>
    <row r="775" spans="1:37" x14ac:dyDescent="0.25">
      <c r="A775" s="2">
        <v>40984</v>
      </c>
      <c r="B775" s="3">
        <v>2608.3000000000002</v>
      </c>
      <c r="C775" s="2">
        <v>40994</v>
      </c>
      <c r="D775" s="3">
        <v>16619.11</v>
      </c>
      <c r="E775" s="2"/>
      <c r="F775" s="3"/>
      <c r="G775" s="2"/>
      <c r="H775" s="3"/>
      <c r="I775" s="65"/>
      <c r="K775" s="65"/>
      <c r="M775" s="65"/>
      <c r="O775" s="65"/>
      <c r="Q775" s="65"/>
      <c r="S775" s="65"/>
      <c r="U775" s="65"/>
      <c r="W775" s="65"/>
      <c r="Y775" s="65"/>
      <c r="AA775" s="65"/>
      <c r="AC775" s="65"/>
      <c r="AE775" s="65"/>
      <c r="AG775" s="65"/>
      <c r="AI775" s="65"/>
      <c r="AK775" s="65"/>
    </row>
    <row r="776" spans="1:37" x14ac:dyDescent="0.25">
      <c r="A776" s="2">
        <v>40987</v>
      </c>
      <c r="B776" s="3">
        <v>2608.42</v>
      </c>
      <c r="C776" s="2">
        <v>40995</v>
      </c>
      <c r="D776" s="3">
        <v>16498.73</v>
      </c>
      <c r="E776" s="2"/>
      <c r="F776" s="3"/>
      <c r="G776" s="2"/>
      <c r="H776" s="3"/>
      <c r="I776" s="65"/>
      <c r="K776" s="65"/>
      <c r="M776" s="65"/>
      <c r="O776" s="65"/>
      <c r="Q776" s="65"/>
      <c r="S776" s="65"/>
      <c r="U776" s="65"/>
      <c r="W776" s="65"/>
      <c r="Y776" s="65"/>
      <c r="AA776" s="65"/>
      <c r="AC776" s="65"/>
      <c r="AE776" s="65"/>
      <c r="AG776" s="65"/>
      <c r="AI776" s="65"/>
      <c r="AK776" s="65"/>
    </row>
    <row r="777" spans="1:37" x14ac:dyDescent="0.25">
      <c r="A777" s="2">
        <v>40988</v>
      </c>
      <c r="B777" s="3">
        <v>2576.61</v>
      </c>
      <c r="C777" s="2">
        <v>40996</v>
      </c>
      <c r="D777" s="3">
        <v>16451.71</v>
      </c>
      <c r="E777" s="2"/>
      <c r="F777" s="3"/>
      <c r="G777" s="2"/>
      <c r="H777" s="3"/>
      <c r="I777" s="65"/>
      <c r="K777" s="65"/>
      <c r="M777" s="65"/>
      <c r="O777" s="65"/>
      <c r="Q777" s="65"/>
      <c r="S777" s="65"/>
      <c r="U777" s="65"/>
      <c r="W777" s="65"/>
      <c r="Y777" s="65"/>
      <c r="AA777" s="65"/>
      <c r="AC777" s="65"/>
      <c r="AE777" s="65"/>
      <c r="AG777" s="65"/>
      <c r="AI777" s="65"/>
      <c r="AK777" s="65"/>
    </row>
    <row r="778" spans="1:37" x14ac:dyDescent="0.25">
      <c r="A778" s="2">
        <v>40989</v>
      </c>
      <c r="B778" s="3">
        <v>2567.58</v>
      </c>
      <c r="C778" s="2">
        <v>40997</v>
      </c>
      <c r="D778" s="3">
        <v>15908.85</v>
      </c>
      <c r="E778" s="2"/>
      <c r="F778" s="3"/>
      <c r="G778" s="2"/>
      <c r="H778" s="3"/>
      <c r="I778" s="65"/>
      <c r="K778" s="65"/>
      <c r="M778" s="65"/>
      <c r="O778" s="65"/>
      <c r="Q778" s="65"/>
      <c r="S778" s="65"/>
      <c r="U778" s="65"/>
      <c r="W778" s="65"/>
      <c r="Y778" s="65"/>
      <c r="AA778" s="65"/>
      <c r="AC778" s="65"/>
      <c r="AE778" s="65"/>
      <c r="AG778" s="65"/>
      <c r="AI778" s="65"/>
      <c r="AK778" s="65"/>
    </row>
    <row r="779" spans="1:37" x14ac:dyDescent="0.25">
      <c r="A779" s="2">
        <v>40990</v>
      </c>
      <c r="B779" s="3">
        <v>2530.2199999999998</v>
      </c>
      <c r="C779" s="2">
        <v>40998</v>
      </c>
      <c r="D779" s="3">
        <v>15980.07</v>
      </c>
      <c r="E779" s="2"/>
      <c r="F779" s="3"/>
      <c r="G779" s="2"/>
      <c r="H779" s="3"/>
      <c r="I779" s="65"/>
      <c r="K779" s="65"/>
      <c r="M779" s="65"/>
      <c r="O779" s="65"/>
      <c r="Q779" s="65"/>
      <c r="S779" s="65"/>
      <c r="U779" s="65"/>
      <c r="W779" s="65"/>
      <c r="Y779" s="65"/>
      <c r="AA779" s="65"/>
      <c r="AC779" s="65"/>
      <c r="AE779" s="65"/>
      <c r="AG779" s="65"/>
      <c r="AI779" s="65"/>
      <c r="AK779" s="65"/>
    </row>
    <row r="780" spans="1:37" x14ac:dyDescent="0.25">
      <c r="A780" s="2">
        <v>40991</v>
      </c>
      <c r="B780" s="3">
        <v>2525.4299999999998</v>
      </c>
      <c r="C780" s="2">
        <v>41001</v>
      </c>
      <c r="D780" s="3">
        <v>15948.86</v>
      </c>
      <c r="E780" s="2"/>
      <c r="F780" s="3"/>
      <c r="G780" s="2"/>
      <c r="H780" s="3"/>
      <c r="I780" s="65"/>
      <c r="K780" s="65"/>
      <c r="M780" s="65"/>
      <c r="O780" s="65"/>
      <c r="Q780" s="65"/>
      <c r="S780" s="65"/>
      <c r="U780" s="65"/>
      <c r="W780" s="65"/>
      <c r="Y780" s="65"/>
      <c r="AA780" s="65"/>
      <c r="AC780" s="65"/>
      <c r="AE780" s="65"/>
      <c r="AG780" s="65"/>
      <c r="AI780" s="65"/>
      <c r="AK780" s="65"/>
    </row>
    <row r="781" spans="1:37" x14ac:dyDescent="0.25">
      <c r="A781" s="2">
        <v>40994</v>
      </c>
      <c r="B781" s="3">
        <v>2539.87</v>
      </c>
      <c r="C781" s="2">
        <v>41002</v>
      </c>
      <c r="D781" s="3">
        <v>15624.23</v>
      </c>
      <c r="E781" s="2"/>
      <c r="F781" s="3"/>
      <c r="G781" s="2"/>
      <c r="H781" s="3"/>
      <c r="I781" s="65"/>
      <c r="K781" s="65"/>
      <c r="M781" s="65"/>
      <c r="O781" s="65"/>
      <c r="Q781" s="65"/>
      <c r="S781" s="65"/>
      <c r="U781" s="65"/>
      <c r="W781" s="65"/>
      <c r="Y781" s="65"/>
      <c r="AA781" s="65"/>
      <c r="AC781" s="65"/>
      <c r="AE781" s="65"/>
      <c r="AG781" s="65"/>
      <c r="AI781" s="65"/>
      <c r="AK781" s="65"/>
    </row>
    <row r="782" spans="1:37" x14ac:dyDescent="0.25">
      <c r="A782" s="2">
        <v>40995</v>
      </c>
      <c r="B782" s="3">
        <v>2525.21</v>
      </c>
      <c r="C782" s="2">
        <v>41003</v>
      </c>
      <c r="D782" s="3">
        <v>15245.92</v>
      </c>
      <c r="E782" s="2"/>
      <c r="F782" s="3"/>
      <c r="G782" s="2"/>
      <c r="H782" s="3"/>
      <c r="I782" s="65"/>
      <c r="K782" s="65"/>
      <c r="M782" s="65"/>
      <c r="O782" s="65"/>
      <c r="Q782" s="65"/>
      <c r="S782" s="65"/>
      <c r="U782" s="65"/>
      <c r="W782" s="65"/>
      <c r="Y782" s="65"/>
      <c r="AA782" s="65"/>
      <c r="AC782" s="65"/>
      <c r="AE782" s="65"/>
      <c r="AG782" s="65"/>
      <c r="AI782" s="65"/>
      <c r="AK782" s="65"/>
    </row>
    <row r="783" spans="1:37" x14ac:dyDescent="0.25">
      <c r="A783" s="2">
        <v>40996</v>
      </c>
      <c r="B783" s="3">
        <v>2496.6799999999998</v>
      </c>
      <c r="C783" s="2">
        <v>41004</v>
      </c>
      <c r="D783" s="3">
        <v>15216.02</v>
      </c>
      <c r="E783" s="2"/>
      <c r="F783" s="3"/>
      <c r="G783" s="2"/>
      <c r="H783" s="3"/>
      <c r="I783" s="65"/>
      <c r="K783" s="65"/>
      <c r="M783" s="65"/>
      <c r="O783" s="65"/>
      <c r="Q783" s="65"/>
      <c r="S783" s="65"/>
      <c r="U783" s="65"/>
      <c r="W783" s="65"/>
      <c r="Y783" s="65"/>
      <c r="AA783" s="65"/>
      <c r="AC783" s="65"/>
      <c r="AE783" s="65"/>
      <c r="AG783" s="65"/>
      <c r="AI783" s="65"/>
      <c r="AK783" s="65"/>
    </row>
    <row r="784" spans="1:37" x14ac:dyDescent="0.25">
      <c r="A784" s="2">
        <v>40997</v>
      </c>
      <c r="B784" s="3">
        <v>2452.7399999999998</v>
      </c>
      <c r="C784" s="2">
        <v>41009</v>
      </c>
      <c r="D784" s="3">
        <v>14458.88</v>
      </c>
      <c r="E784" s="2"/>
      <c r="F784" s="3"/>
      <c r="G784" s="2"/>
      <c r="H784" s="3"/>
      <c r="I784" s="65"/>
      <c r="K784" s="65"/>
      <c r="M784" s="65"/>
      <c r="O784" s="65"/>
      <c r="Q784" s="65"/>
      <c r="S784" s="65"/>
      <c r="U784" s="65"/>
      <c r="W784" s="65"/>
      <c r="Y784" s="65"/>
      <c r="AA784" s="65"/>
      <c r="AC784" s="65"/>
      <c r="AE784" s="65"/>
      <c r="AG784" s="65"/>
      <c r="AI784" s="65"/>
      <c r="AK784" s="65"/>
    </row>
    <row r="785" spans="1:37" x14ac:dyDescent="0.25">
      <c r="A785" s="2">
        <v>40998</v>
      </c>
      <c r="B785" s="3">
        <v>2477.2800000000002</v>
      </c>
      <c r="C785" s="2">
        <v>41010</v>
      </c>
      <c r="D785" s="3">
        <v>14689.84</v>
      </c>
      <c r="E785" s="2"/>
      <c r="F785" s="3"/>
      <c r="G785" s="2"/>
      <c r="H785" s="3"/>
      <c r="I785" s="65"/>
      <c r="K785" s="65"/>
      <c r="M785" s="65"/>
      <c r="O785" s="65"/>
      <c r="Q785" s="65"/>
      <c r="S785" s="65"/>
      <c r="U785" s="65"/>
      <c r="W785" s="65"/>
      <c r="Y785" s="65"/>
      <c r="AA785" s="65"/>
      <c r="AC785" s="65"/>
      <c r="AE785" s="65"/>
      <c r="AG785" s="65"/>
      <c r="AI785" s="65"/>
      <c r="AK785" s="65"/>
    </row>
    <row r="786" spans="1:37" x14ac:dyDescent="0.25">
      <c r="A786" s="2">
        <v>41001</v>
      </c>
      <c r="B786" s="3">
        <v>2501.1799999999998</v>
      </c>
      <c r="C786" s="2">
        <v>41011</v>
      </c>
      <c r="D786" s="3">
        <v>14869.91</v>
      </c>
      <c r="E786" s="2"/>
      <c r="F786" s="3"/>
      <c r="G786" s="2"/>
      <c r="H786" s="3"/>
      <c r="I786" s="65"/>
      <c r="K786" s="65"/>
      <c r="M786" s="65"/>
      <c r="O786" s="65"/>
      <c r="Q786" s="65"/>
      <c r="S786" s="65"/>
      <c r="U786" s="65"/>
      <c r="W786" s="65"/>
      <c r="Y786" s="65"/>
      <c r="AA786" s="65"/>
      <c r="AC786" s="65"/>
      <c r="AE786" s="65"/>
      <c r="AG786" s="65"/>
      <c r="AI786" s="65"/>
      <c r="AK786" s="65"/>
    </row>
    <row r="787" spans="1:37" x14ac:dyDescent="0.25">
      <c r="A787" s="2">
        <v>41002</v>
      </c>
      <c r="B787" s="3">
        <v>2458.98</v>
      </c>
      <c r="C787" s="2">
        <v>41012</v>
      </c>
      <c r="D787" s="3">
        <v>14359.5</v>
      </c>
      <c r="E787" s="2"/>
      <c r="F787" s="3"/>
      <c r="G787" s="2"/>
      <c r="H787" s="3"/>
      <c r="I787" s="65"/>
      <c r="K787" s="65"/>
      <c r="M787" s="65"/>
      <c r="O787" s="65"/>
      <c r="Q787" s="65"/>
      <c r="S787" s="65"/>
      <c r="U787" s="65"/>
      <c r="W787" s="65"/>
      <c r="Y787" s="65"/>
      <c r="AA787" s="65"/>
      <c r="AC787" s="65"/>
      <c r="AE787" s="65"/>
      <c r="AG787" s="65"/>
      <c r="AI787" s="65"/>
      <c r="AK787" s="65"/>
    </row>
    <row r="788" spans="1:37" x14ac:dyDescent="0.25">
      <c r="A788" s="2">
        <v>41003</v>
      </c>
      <c r="B788" s="3">
        <v>2398.46</v>
      </c>
      <c r="C788" s="2">
        <v>41015</v>
      </c>
      <c r="D788" s="3">
        <v>14411.24</v>
      </c>
      <c r="E788" s="2"/>
      <c r="F788" s="3"/>
      <c r="G788" s="2"/>
      <c r="H788" s="3"/>
      <c r="I788" s="65"/>
      <c r="K788" s="65"/>
      <c r="M788" s="65"/>
      <c r="O788" s="65"/>
      <c r="Q788" s="65"/>
      <c r="S788" s="65"/>
      <c r="U788" s="65"/>
      <c r="W788" s="65"/>
      <c r="Y788" s="65"/>
      <c r="AA788" s="65"/>
      <c r="AC788" s="65"/>
      <c r="AE788" s="65"/>
      <c r="AG788" s="65"/>
      <c r="AI788" s="65"/>
      <c r="AK788" s="65"/>
    </row>
    <row r="789" spans="1:37" x14ac:dyDescent="0.25">
      <c r="A789" s="2">
        <v>41004</v>
      </c>
      <c r="B789" s="3">
        <v>2392.54</v>
      </c>
      <c r="C789" s="2">
        <v>41016</v>
      </c>
      <c r="D789" s="3">
        <v>14942.05</v>
      </c>
      <c r="E789" s="2"/>
      <c r="F789" s="3"/>
      <c r="G789" s="2"/>
      <c r="H789" s="3"/>
      <c r="I789" s="65"/>
      <c r="K789" s="65"/>
      <c r="M789" s="65"/>
      <c r="O789" s="65"/>
      <c r="Q789" s="65"/>
      <c r="S789" s="65"/>
      <c r="U789" s="65"/>
      <c r="W789" s="65"/>
      <c r="Y789" s="65"/>
      <c r="AA789" s="65"/>
      <c r="AC789" s="65"/>
      <c r="AE789" s="65"/>
      <c r="AG789" s="65"/>
      <c r="AI789" s="65"/>
      <c r="AK789" s="65"/>
    </row>
    <row r="790" spans="1:37" x14ac:dyDescent="0.25">
      <c r="A790" s="2">
        <v>41009</v>
      </c>
      <c r="B790" s="3">
        <v>2321.5300000000002</v>
      </c>
      <c r="C790" s="2">
        <v>41017</v>
      </c>
      <c r="D790" s="3">
        <v>14580.15</v>
      </c>
      <c r="E790" s="2"/>
      <c r="F790" s="3"/>
      <c r="G790" s="2"/>
      <c r="H790" s="3"/>
      <c r="I790" s="65"/>
      <c r="K790" s="65"/>
      <c r="M790" s="65"/>
      <c r="O790" s="65"/>
      <c r="Q790" s="65"/>
      <c r="S790" s="65"/>
      <c r="U790" s="65"/>
      <c r="W790" s="65"/>
      <c r="Y790" s="65"/>
      <c r="AA790" s="65"/>
      <c r="AC790" s="65"/>
      <c r="AE790" s="65"/>
      <c r="AG790" s="65"/>
      <c r="AI790" s="65"/>
      <c r="AK790" s="65"/>
    </row>
    <row r="791" spans="1:37" x14ac:dyDescent="0.25">
      <c r="A791" s="2">
        <v>41010</v>
      </c>
      <c r="B791" s="3">
        <v>2341.36</v>
      </c>
      <c r="C791" s="2">
        <v>41018</v>
      </c>
      <c r="D791" s="3">
        <v>14287.27</v>
      </c>
      <c r="E791" s="2"/>
      <c r="F791" s="3"/>
      <c r="G791" s="2"/>
      <c r="H791" s="3"/>
      <c r="I791" s="65"/>
      <c r="K791" s="65"/>
      <c r="M791" s="65"/>
      <c r="O791" s="65"/>
      <c r="Q791" s="65"/>
      <c r="S791" s="65"/>
      <c r="U791" s="65"/>
      <c r="W791" s="65"/>
      <c r="Y791" s="65"/>
      <c r="AA791" s="65"/>
      <c r="AC791" s="65"/>
      <c r="AE791" s="65"/>
      <c r="AG791" s="65"/>
      <c r="AI791" s="65"/>
      <c r="AK791" s="65"/>
    </row>
    <row r="792" spans="1:37" x14ac:dyDescent="0.25">
      <c r="A792" s="2">
        <v>41011</v>
      </c>
      <c r="B792" s="3">
        <v>2352.2399999999998</v>
      </c>
      <c r="C792" s="2">
        <v>41019</v>
      </c>
      <c r="D792" s="3">
        <v>14401.78</v>
      </c>
      <c r="E792" s="2"/>
      <c r="F792" s="3"/>
      <c r="G792" s="2"/>
      <c r="H792" s="3"/>
      <c r="I792" s="65"/>
      <c r="K792" s="65"/>
      <c r="M792" s="65"/>
      <c r="O792" s="65"/>
      <c r="Q792" s="65"/>
      <c r="S792" s="65"/>
      <c r="U792" s="65"/>
      <c r="W792" s="65"/>
      <c r="Y792" s="65"/>
      <c r="AA792" s="65"/>
      <c r="AC792" s="65"/>
      <c r="AE792" s="65"/>
      <c r="AG792" s="65"/>
      <c r="AI792" s="65"/>
      <c r="AK792" s="65"/>
    </row>
    <row r="793" spans="1:37" x14ac:dyDescent="0.25">
      <c r="A793" s="2">
        <v>41012</v>
      </c>
      <c r="B793" s="3">
        <v>2291.5100000000002</v>
      </c>
      <c r="C793" s="2">
        <v>41022</v>
      </c>
      <c r="D793" s="3">
        <v>13849.55</v>
      </c>
      <c r="E793" s="2"/>
      <c r="F793" s="3"/>
      <c r="G793" s="2"/>
      <c r="H793" s="3"/>
      <c r="I793" s="65"/>
      <c r="K793" s="65"/>
      <c r="M793" s="65"/>
      <c r="O793" s="65"/>
      <c r="Q793" s="65"/>
      <c r="S793" s="65"/>
      <c r="U793" s="65"/>
      <c r="W793" s="65"/>
      <c r="Y793" s="65"/>
      <c r="AA793" s="65"/>
      <c r="AC793" s="65"/>
      <c r="AE793" s="65"/>
      <c r="AG793" s="65"/>
      <c r="AI793" s="65"/>
      <c r="AK793" s="65"/>
    </row>
    <row r="794" spans="1:37" x14ac:dyDescent="0.25">
      <c r="A794" s="2">
        <v>41015</v>
      </c>
      <c r="B794" s="3">
        <v>2301.19</v>
      </c>
      <c r="C794" s="2">
        <v>41023</v>
      </c>
      <c r="D794" s="3">
        <v>14192.77</v>
      </c>
      <c r="E794" s="2"/>
      <c r="F794" s="3"/>
      <c r="G794" s="2"/>
      <c r="H794" s="3"/>
      <c r="I794" s="65"/>
      <c r="K794" s="65"/>
      <c r="M794" s="65"/>
      <c r="O794" s="65"/>
      <c r="Q794" s="65"/>
      <c r="S794" s="65"/>
      <c r="U794" s="65"/>
      <c r="W794" s="65"/>
      <c r="Y794" s="65"/>
      <c r="AA794" s="65"/>
      <c r="AC794" s="65"/>
      <c r="AE794" s="65"/>
      <c r="AG794" s="65"/>
      <c r="AI794" s="65"/>
      <c r="AK794" s="65"/>
    </row>
    <row r="795" spans="1:37" x14ac:dyDescent="0.25">
      <c r="A795" s="2">
        <v>41016</v>
      </c>
      <c r="B795" s="3">
        <v>2367.0500000000002</v>
      </c>
      <c r="C795" s="2">
        <v>41024</v>
      </c>
      <c r="D795" s="3">
        <v>14606.43</v>
      </c>
      <c r="E795" s="2"/>
      <c r="F795" s="3"/>
      <c r="G795" s="2"/>
      <c r="H795" s="3"/>
      <c r="I795" s="65"/>
      <c r="K795" s="65"/>
      <c r="M795" s="65"/>
      <c r="O795" s="65"/>
      <c r="Q795" s="65"/>
      <c r="S795" s="65"/>
      <c r="U795" s="65"/>
      <c r="W795" s="65"/>
      <c r="Y795" s="65"/>
      <c r="AA795" s="65"/>
      <c r="AC795" s="65"/>
      <c r="AE795" s="65"/>
      <c r="AG795" s="65"/>
      <c r="AI795" s="65"/>
      <c r="AK795" s="65"/>
    </row>
    <row r="796" spans="1:37" x14ac:dyDescent="0.25">
      <c r="A796" s="2">
        <v>41017</v>
      </c>
      <c r="B796" s="3">
        <v>2327.84</v>
      </c>
      <c r="C796" s="2">
        <v>41025</v>
      </c>
      <c r="D796" s="3">
        <v>14509.96</v>
      </c>
      <c r="E796" s="2"/>
      <c r="F796" s="3"/>
      <c r="G796" s="2"/>
      <c r="H796" s="3"/>
      <c r="I796" s="65"/>
      <c r="K796" s="65"/>
      <c r="M796" s="65"/>
      <c r="O796" s="65"/>
      <c r="Q796" s="65"/>
      <c r="S796" s="65"/>
      <c r="U796" s="65"/>
      <c r="W796" s="65"/>
      <c r="Y796" s="65"/>
      <c r="AA796" s="65"/>
      <c r="AC796" s="65"/>
      <c r="AE796" s="65"/>
      <c r="AG796" s="65"/>
      <c r="AI796" s="65"/>
      <c r="AK796" s="65"/>
    </row>
    <row r="797" spans="1:37" x14ac:dyDescent="0.25">
      <c r="A797" s="2">
        <v>41018</v>
      </c>
      <c r="B797" s="3">
        <v>2284.67</v>
      </c>
      <c r="C797" s="2">
        <v>41026</v>
      </c>
      <c r="D797" s="3">
        <v>14778.9</v>
      </c>
      <c r="E797" s="2"/>
      <c r="F797" s="3"/>
      <c r="G797" s="2"/>
      <c r="H797" s="3"/>
      <c r="I797" s="65"/>
      <c r="K797" s="65"/>
      <c r="M797" s="65"/>
      <c r="O797" s="65"/>
      <c r="Q797" s="65"/>
      <c r="S797" s="65"/>
      <c r="U797" s="65"/>
      <c r="W797" s="65"/>
      <c r="Y797" s="65"/>
      <c r="AA797" s="65"/>
      <c r="AC797" s="65"/>
      <c r="AE797" s="65"/>
      <c r="AG797" s="65"/>
      <c r="AI797" s="65"/>
      <c r="AK797" s="65"/>
    </row>
    <row r="798" spans="1:37" x14ac:dyDescent="0.25">
      <c r="A798" s="2">
        <v>41019</v>
      </c>
      <c r="B798" s="3">
        <v>2311.27</v>
      </c>
      <c r="C798" s="2">
        <v>41029</v>
      </c>
      <c r="D798" s="3">
        <v>14592.34</v>
      </c>
      <c r="E798" s="2"/>
      <c r="F798" s="3"/>
      <c r="G798" s="2"/>
      <c r="H798" s="3"/>
      <c r="I798" s="65"/>
      <c r="K798" s="65"/>
      <c r="M798" s="65"/>
      <c r="O798" s="65"/>
      <c r="Q798" s="65"/>
      <c r="S798" s="65"/>
      <c r="U798" s="65"/>
      <c r="W798" s="65"/>
      <c r="Y798" s="65"/>
      <c r="AA798" s="65"/>
      <c r="AC798" s="65"/>
      <c r="AE798" s="65"/>
      <c r="AG798" s="65"/>
      <c r="AI798" s="65"/>
      <c r="AK798" s="65"/>
    </row>
    <row r="799" spans="1:37" x14ac:dyDescent="0.25">
      <c r="A799" s="2">
        <v>41022</v>
      </c>
      <c r="B799" s="3">
        <v>2244.83</v>
      </c>
      <c r="C799" s="2">
        <v>41031</v>
      </c>
      <c r="D799" s="3">
        <v>14213.17</v>
      </c>
      <c r="E799" s="2"/>
      <c r="F799" s="3"/>
      <c r="G799" s="2"/>
      <c r="H799" s="3"/>
      <c r="I799" s="65"/>
      <c r="K799" s="65"/>
      <c r="M799" s="65"/>
      <c r="O799" s="65"/>
      <c r="Q799" s="65"/>
      <c r="S799" s="65"/>
      <c r="U799" s="65"/>
      <c r="W799" s="65"/>
      <c r="Y799" s="65"/>
      <c r="AA799" s="65"/>
      <c r="AC799" s="65"/>
      <c r="AE799" s="65"/>
      <c r="AG799" s="65"/>
      <c r="AI799" s="65"/>
      <c r="AK799" s="65"/>
    </row>
    <row r="800" spans="1:37" x14ac:dyDescent="0.25">
      <c r="A800" s="2">
        <v>41023</v>
      </c>
      <c r="B800" s="3">
        <v>2284.08</v>
      </c>
      <c r="C800" s="2">
        <v>41032</v>
      </c>
      <c r="D800" s="3">
        <v>14118.13</v>
      </c>
      <c r="E800" s="2"/>
      <c r="F800" s="3"/>
      <c r="G800" s="2"/>
      <c r="H800" s="3"/>
      <c r="I800" s="65"/>
      <c r="K800" s="65"/>
      <c r="M800" s="65"/>
      <c r="O800" s="65"/>
      <c r="Q800" s="65"/>
      <c r="S800" s="65"/>
      <c r="U800" s="65"/>
      <c r="W800" s="65"/>
      <c r="Y800" s="65"/>
      <c r="AA800" s="65"/>
      <c r="AC800" s="65"/>
      <c r="AE800" s="65"/>
      <c r="AG800" s="65"/>
      <c r="AI800" s="65"/>
      <c r="AK800" s="65"/>
    </row>
    <row r="801" spans="1:37" x14ac:dyDescent="0.25">
      <c r="A801" s="2">
        <v>41024</v>
      </c>
      <c r="B801" s="3">
        <v>2322.91</v>
      </c>
      <c r="C801" s="2">
        <v>41033</v>
      </c>
      <c r="D801" s="3">
        <v>13918.57</v>
      </c>
      <c r="E801" s="2"/>
      <c r="F801" s="3"/>
      <c r="G801" s="2"/>
      <c r="H801" s="3"/>
      <c r="I801" s="65"/>
      <c r="K801" s="65"/>
      <c r="M801" s="65"/>
      <c r="O801" s="65"/>
      <c r="Q801" s="65"/>
      <c r="S801" s="65"/>
      <c r="U801" s="65"/>
      <c r="W801" s="65"/>
      <c r="Y801" s="65"/>
      <c r="AA801" s="65"/>
      <c r="AC801" s="65"/>
      <c r="AE801" s="65"/>
      <c r="AG801" s="65"/>
      <c r="AI801" s="65"/>
      <c r="AK801" s="65"/>
    </row>
    <row r="802" spans="1:37" x14ac:dyDescent="0.25">
      <c r="A802" s="2">
        <v>41025</v>
      </c>
      <c r="B802" s="3">
        <v>2322.69</v>
      </c>
      <c r="C802" s="2">
        <v>41036</v>
      </c>
      <c r="D802" s="3">
        <v>14275.35</v>
      </c>
      <c r="E802" s="2"/>
      <c r="F802" s="3"/>
      <c r="G802" s="2"/>
      <c r="H802" s="3"/>
      <c r="I802" s="65"/>
      <c r="K802" s="65"/>
      <c r="M802" s="65"/>
      <c r="O802" s="65"/>
      <c r="Q802" s="65"/>
      <c r="S802" s="65"/>
      <c r="U802" s="65"/>
      <c r="W802" s="65"/>
      <c r="Y802" s="65"/>
      <c r="AA802" s="65"/>
      <c r="AC802" s="65"/>
      <c r="AE802" s="65"/>
      <c r="AG802" s="65"/>
      <c r="AI802" s="65"/>
      <c r="AK802" s="65"/>
    </row>
    <row r="803" spans="1:37" x14ac:dyDescent="0.25">
      <c r="A803" s="2">
        <v>41026</v>
      </c>
      <c r="B803" s="3">
        <v>2344.02</v>
      </c>
      <c r="C803" s="2">
        <v>41037</v>
      </c>
      <c r="D803" s="3">
        <v>13936.7</v>
      </c>
      <c r="E803" s="2"/>
      <c r="F803" s="3"/>
      <c r="G803" s="2"/>
      <c r="H803" s="3"/>
      <c r="I803" s="65"/>
      <c r="K803" s="65"/>
      <c r="M803" s="65"/>
      <c r="O803" s="65"/>
      <c r="Q803" s="65"/>
      <c r="S803" s="65"/>
      <c r="U803" s="65"/>
      <c r="W803" s="65"/>
      <c r="Y803" s="65"/>
      <c r="AA803" s="65"/>
      <c r="AC803" s="65"/>
      <c r="AE803" s="65"/>
      <c r="AG803" s="65"/>
      <c r="AI803" s="65"/>
      <c r="AK803" s="65"/>
    </row>
    <row r="804" spans="1:37" x14ac:dyDescent="0.25">
      <c r="A804" s="2">
        <v>41029</v>
      </c>
      <c r="B804" s="3">
        <v>2306.4299999999998</v>
      </c>
      <c r="C804" s="2">
        <v>41038</v>
      </c>
      <c r="D804" s="3">
        <v>13771.82</v>
      </c>
      <c r="E804" s="2"/>
      <c r="F804" s="3"/>
      <c r="G804" s="2"/>
      <c r="H804" s="3"/>
      <c r="I804" s="65"/>
      <c r="K804" s="65"/>
      <c r="M804" s="65"/>
      <c r="O804" s="65"/>
      <c r="Q804" s="65"/>
      <c r="S804" s="65"/>
      <c r="U804" s="65"/>
      <c r="W804" s="65"/>
      <c r="Y804" s="65"/>
      <c r="AA804" s="65"/>
      <c r="AC804" s="65"/>
      <c r="AE804" s="65"/>
      <c r="AG804" s="65"/>
      <c r="AI804" s="65"/>
      <c r="AK804" s="65"/>
    </row>
    <row r="805" spans="1:37" x14ac:dyDescent="0.25">
      <c r="A805" s="2">
        <v>41030</v>
      </c>
      <c r="B805" s="3">
        <v>2306.69</v>
      </c>
      <c r="C805" s="2">
        <v>41039</v>
      </c>
      <c r="D805" s="3">
        <v>14004.94</v>
      </c>
      <c r="E805" s="2"/>
      <c r="F805" s="3"/>
      <c r="G805" s="2"/>
      <c r="H805" s="3"/>
      <c r="I805" s="65"/>
      <c r="K805" s="65"/>
      <c r="M805" s="65"/>
      <c r="O805" s="65"/>
      <c r="Q805" s="65"/>
      <c r="S805" s="65"/>
      <c r="U805" s="65"/>
      <c r="W805" s="65"/>
      <c r="Y805" s="65"/>
      <c r="AA805" s="65"/>
      <c r="AC805" s="65"/>
      <c r="AE805" s="65"/>
      <c r="AG805" s="65"/>
      <c r="AI805" s="65"/>
      <c r="AK805" s="65"/>
    </row>
    <row r="806" spans="1:37" x14ac:dyDescent="0.25">
      <c r="A806" s="2">
        <v>41031</v>
      </c>
      <c r="B806" s="3">
        <v>2290.31</v>
      </c>
      <c r="C806" s="2">
        <v>41040</v>
      </c>
      <c r="D806" s="3">
        <v>14045.35</v>
      </c>
      <c r="E806" s="2"/>
      <c r="F806" s="3"/>
      <c r="G806" s="2"/>
      <c r="H806" s="3"/>
      <c r="I806" s="65"/>
      <c r="K806" s="65"/>
      <c r="M806" s="65"/>
      <c r="O806" s="65"/>
      <c r="Q806" s="65"/>
      <c r="S806" s="65"/>
      <c r="U806" s="65"/>
      <c r="W806" s="65"/>
      <c r="Y806" s="65"/>
      <c r="AA806" s="65"/>
      <c r="AC806" s="65"/>
      <c r="AE806" s="65"/>
      <c r="AG806" s="65"/>
      <c r="AI806" s="65"/>
      <c r="AK806" s="65"/>
    </row>
    <row r="807" spans="1:37" x14ac:dyDescent="0.25">
      <c r="A807" s="2">
        <v>41032</v>
      </c>
      <c r="B807" s="3">
        <v>2287.1</v>
      </c>
      <c r="C807" s="2">
        <v>41043</v>
      </c>
      <c r="D807" s="3">
        <v>13660.87</v>
      </c>
      <c r="E807" s="2"/>
      <c r="F807" s="3"/>
      <c r="G807" s="2"/>
      <c r="H807" s="3"/>
      <c r="I807" s="65"/>
      <c r="K807" s="65"/>
      <c r="M807" s="65"/>
      <c r="O807" s="65"/>
      <c r="Q807" s="65"/>
      <c r="S807" s="65"/>
      <c r="U807" s="65"/>
      <c r="W807" s="65"/>
      <c r="Y807" s="65"/>
      <c r="AA807" s="65"/>
      <c r="AC807" s="65"/>
      <c r="AE807" s="65"/>
      <c r="AG807" s="65"/>
      <c r="AI807" s="65"/>
      <c r="AK807" s="65"/>
    </row>
    <row r="808" spans="1:37" x14ac:dyDescent="0.25">
      <c r="A808" s="2">
        <v>41033</v>
      </c>
      <c r="B808" s="3">
        <v>2248.34</v>
      </c>
      <c r="C808" s="2">
        <v>41044</v>
      </c>
      <c r="D808" s="3">
        <v>13311.36</v>
      </c>
      <c r="E808" s="2"/>
      <c r="F808" s="3"/>
      <c r="G808" s="2"/>
      <c r="H808" s="3"/>
      <c r="I808" s="65"/>
      <c r="K808" s="65"/>
      <c r="M808" s="65"/>
      <c r="O808" s="65"/>
      <c r="Q808" s="65"/>
      <c r="S808" s="65"/>
      <c r="U808" s="65"/>
      <c r="W808" s="65"/>
      <c r="Y808" s="65"/>
      <c r="AA808" s="65"/>
      <c r="AC808" s="65"/>
      <c r="AE808" s="65"/>
      <c r="AG808" s="65"/>
      <c r="AI808" s="65"/>
      <c r="AK808" s="65"/>
    </row>
    <row r="809" spans="1:37" x14ac:dyDescent="0.25">
      <c r="A809" s="2">
        <v>41036</v>
      </c>
      <c r="B809" s="3">
        <v>2283.09</v>
      </c>
      <c r="C809" s="2">
        <v>41045</v>
      </c>
      <c r="D809" s="3">
        <v>13283.55</v>
      </c>
      <c r="E809" s="2"/>
      <c r="F809" s="3"/>
      <c r="G809" s="2"/>
      <c r="H809" s="3"/>
      <c r="I809" s="65"/>
      <c r="K809" s="65"/>
      <c r="M809" s="65"/>
      <c r="O809" s="65"/>
      <c r="Q809" s="65"/>
      <c r="S809" s="65"/>
      <c r="U809" s="65"/>
      <c r="W809" s="65"/>
      <c r="Y809" s="65"/>
      <c r="AA809" s="65"/>
      <c r="AC809" s="65"/>
      <c r="AE809" s="65"/>
      <c r="AG809" s="65"/>
      <c r="AI809" s="65"/>
      <c r="AK809" s="65"/>
    </row>
    <row r="810" spans="1:37" x14ac:dyDescent="0.25">
      <c r="A810" s="2">
        <v>41037</v>
      </c>
      <c r="B810" s="3">
        <v>2236.11</v>
      </c>
      <c r="C810" s="2">
        <v>41046</v>
      </c>
      <c r="D810" s="3">
        <v>13089.26</v>
      </c>
      <c r="E810" s="2"/>
      <c r="F810" s="3"/>
      <c r="G810" s="2"/>
      <c r="H810" s="3"/>
      <c r="I810" s="65"/>
      <c r="K810" s="65"/>
      <c r="M810" s="65"/>
      <c r="O810" s="65"/>
      <c r="Q810" s="65"/>
      <c r="S810" s="65"/>
      <c r="U810" s="65"/>
      <c r="W810" s="65"/>
      <c r="Y810" s="65"/>
      <c r="AA810" s="65"/>
      <c r="AC810" s="65"/>
      <c r="AE810" s="65"/>
      <c r="AG810" s="65"/>
      <c r="AI810" s="65"/>
      <c r="AK810" s="65"/>
    </row>
    <row r="811" spans="1:37" x14ac:dyDescent="0.25">
      <c r="A811" s="2">
        <v>41038</v>
      </c>
      <c r="B811" s="3">
        <v>2225.63</v>
      </c>
      <c r="C811" s="2">
        <v>41047</v>
      </c>
      <c r="D811" s="3">
        <v>13048.9</v>
      </c>
      <c r="E811" s="2"/>
      <c r="F811" s="3"/>
      <c r="G811" s="2"/>
      <c r="H811" s="3"/>
      <c r="I811" s="65"/>
      <c r="K811" s="65"/>
      <c r="M811" s="65"/>
      <c r="O811" s="65"/>
      <c r="Q811" s="65"/>
      <c r="S811" s="65"/>
      <c r="U811" s="65"/>
      <c r="W811" s="65"/>
      <c r="Y811" s="65"/>
      <c r="AA811" s="65"/>
      <c r="AC811" s="65"/>
      <c r="AE811" s="65"/>
      <c r="AG811" s="65"/>
      <c r="AI811" s="65"/>
      <c r="AK811" s="65"/>
    </row>
    <row r="812" spans="1:37" x14ac:dyDescent="0.25">
      <c r="A812" s="2">
        <v>41039</v>
      </c>
      <c r="B812" s="3">
        <v>2247.38</v>
      </c>
      <c r="C812" s="2">
        <v>41050</v>
      </c>
      <c r="D812" s="3">
        <v>13012.04</v>
      </c>
      <c r="E812" s="2"/>
      <c r="F812" s="3"/>
      <c r="G812" s="2"/>
      <c r="H812" s="3"/>
      <c r="I812" s="65"/>
      <c r="K812" s="65"/>
      <c r="M812" s="65"/>
      <c r="O812" s="65"/>
      <c r="Q812" s="65"/>
      <c r="S812" s="65"/>
      <c r="U812" s="65"/>
      <c r="W812" s="65"/>
      <c r="Y812" s="65"/>
      <c r="AA812" s="65"/>
      <c r="AC812" s="65"/>
      <c r="AE812" s="65"/>
      <c r="AG812" s="65"/>
      <c r="AI812" s="65"/>
      <c r="AK812" s="65"/>
    </row>
    <row r="813" spans="1:37" x14ac:dyDescent="0.25">
      <c r="A813" s="2">
        <v>41040</v>
      </c>
      <c r="B813" s="3">
        <v>2254.54</v>
      </c>
      <c r="C813" s="2">
        <v>41051</v>
      </c>
      <c r="D813" s="3">
        <v>13456.03</v>
      </c>
      <c r="E813" s="2"/>
      <c r="F813" s="3"/>
      <c r="G813" s="2"/>
      <c r="H813" s="3"/>
      <c r="I813" s="65"/>
      <c r="K813" s="65"/>
      <c r="M813" s="65"/>
      <c r="O813" s="65"/>
      <c r="Q813" s="65"/>
      <c r="S813" s="65"/>
      <c r="U813" s="65"/>
      <c r="W813" s="65"/>
      <c r="Y813" s="65"/>
      <c r="AA813" s="65"/>
      <c r="AC813" s="65"/>
      <c r="AE813" s="65"/>
      <c r="AG813" s="65"/>
      <c r="AI813" s="65"/>
      <c r="AK813" s="65"/>
    </row>
    <row r="814" spans="1:37" x14ac:dyDescent="0.25">
      <c r="A814" s="2">
        <v>41043</v>
      </c>
      <c r="B814" s="3">
        <v>2201.9499999999998</v>
      </c>
      <c r="C814" s="2">
        <v>41052</v>
      </c>
      <c r="D814" s="3">
        <v>12960.87</v>
      </c>
      <c r="E814" s="2"/>
      <c r="F814" s="3"/>
      <c r="G814" s="2"/>
      <c r="H814" s="3"/>
      <c r="I814" s="65"/>
      <c r="K814" s="65"/>
      <c r="M814" s="65"/>
      <c r="O814" s="65"/>
      <c r="Q814" s="65"/>
      <c r="S814" s="65"/>
      <c r="U814" s="65"/>
      <c r="W814" s="65"/>
      <c r="Y814" s="65"/>
      <c r="AA814" s="65"/>
      <c r="AC814" s="65"/>
      <c r="AE814" s="65"/>
      <c r="AG814" s="65"/>
      <c r="AI814" s="65"/>
      <c r="AK814" s="65"/>
    </row>
    <row r="815" spans="1:37" x14ac:dyDescent="0.25">
      <c r="A815" s="2">
        <v>41044</v>
      </c>
      <c r="B815" s="3">
        <v>2178.67</v>
      </c>
      <c r="C815" s="2">
        <v>41053</v>
      </c>
      <c r="D815" s="3">
        <v>13107.8</v>
      </c>
      <c r="E815" s="2"/>
      <c r="F815" s="3"/>
      <c r="G815" s="2"/>
      <c r="H815" s="3"/>
      <c r="I815" s="65"/>
      <c r="K815" s="65"/>
      <c r="M815" s="65"/>
      <c r="O815" s="65"/>
      <c r="Q815" s="65"/>
      <c r="S815" s="65"/>
      <c r="U815" s="65"/>
      <c r="W815" s="65"/>
      <c r="Y815" s="65"/>
      <c r="AA815" s="65"/>
      <c r="AC815" s="65"/>
      <c r="AE815" s="65"/>
      <c r="AG815" s="65"/>
      <c r="AI815" s="65"/>
      <c r="AK815" s="65"/>
    </row>
    <row r="816" spans="1:37" x14ac:dyDescent="0.25">
      <c r="A816" s="2">
        <v>41045</v>
      </c>
      <c r="B816" s="3">
        <v>2175.34</v>
      </c>
      <c r="C816" s="2">
        <v>41054</v>
      </c>
      <c r="D816" s="3">
        <v>13154.8</v>
      </c>
      <c r="E816" s="2"/>
      <c r="F816" s="3"/>
      <c r="G816" s="2"/>
      <c r="H816" s="3"/>
      <c r="I816" s="65"/>
      <c r="K816" s="65"/>
      <c r="M816" s="65"/>
      <c r="O816" s="65"/>
      <c r="Q816" s="65"/>
      <c r="S816" s="65"/>
      <c r="U816" s="65"/>
      <c r="W816" s="65"/>
      <c r="Y816" s="65"/>
      <c r="AA816" s="65"/>
      <c r="AC816" s="65"/>
      <c r="AE816" s="65"/>
      <c r="AG816" s="65"/>
      <c r="AI816" s="65"/>
      <c r="AK816" s="65"/>
    </row>
    <row r="817" spans="1:37" x14ac:dyDescent="0.25">
      <c r="A817" s="2">
        <v>41046</v>
      </c>
      <c r="B817" s="3">
        <v>2146.91</v>
      </c>
      <c r="C817" s="2">
        <v>41057</v>
      </c>
      <c r="D817" s="3">
        <v>13057.26</v>
      </c>
      <c r="E817" s="2"/>
      <c r="F817" s="3"/>
      <c r="G817" s="2"/>
      <c r="H817" s="3"/>
      <c r="I817" s="65"/>
      <c r="K817" s="65"/>
      <c r="M817" s="65"/>
      <c r="O817" s="65"/>
      <c r="Q817" s="65"/>
      <c r="S817" s="65"/>
      <c r="U817" s="65"/>
      <c r="W817" s="65"/>
      <c r="Y817" s="65"/>
      <c r="AA817" s="65"/>
      <c r="AC817" s="65"/>
      <c r="AE817" s="65"/>
      <c r="AG817" s="65"/>
      <c r="AI817" s="65"/>
      <c r="AK817" s="65"/>
    </row>
    <row r="818" spans="1:37" x14ac:dyDescent="0.25">
      <c r="A818" s="2">
        <v>41047</v>
      </c>
      <c r="B818" s="3">
        <v>2144.69</v>
      </c>
      <c r="C818" s="2">
        <v>41058</v>
      </c>
      <c r="D818" s="3">
        <v>13107.13</v>
      </c>
      <c r="E818" s="2"/>
      <c r="F818" s="3"/>
      <c r="G818" s="2"/>
      <c r="H818" s="3"/>
      <c r="I818" s="65"/>
      <c r="K818" s="65"/>
      <c r="M818" s="65"/>
      <c r="O818" s="65"/>
      <c r="Q818" s="65"/>
      <c r="S818" s="65"/>
      <c r="U818" s="65"/>
      <c r="W818" s="65"/>
      <c r="Y818" s="65"/>
      <c r="AA818" s="65"/>
      <c r="AC818" s="65"/>
      <c r="AE818" s="65"/>
      <c r="AG818" s="65"/>
      <c r="AI818" s="65"/>
      <c r="AK818" s="65"/>
    </row>
    <row r="819" spans="1:37" x14ac:dyDescent="0.25">
      <c r="A819" s="2">
        <v>41050</v>
      </c>
      <c r="B819" s="3">
        <v>2150.16</v>
      </c>
      <c r="C819" s="2">
        <v>41059</v>
      </c>
      <c r="D819" s="3">
        <v>12872.58</v>
      </c>
      <c r="E819" s="2"/>
      <c r="F819" s="3"/>
      <c r="G819" s="2"/>
      <c r="H819" s="3"/>
      <c r="I819" s="65"/>
      <c r="K819" s="65"/>
      <c r="M819" s="65"/>
      <c r="O819" s="65"/>
      <c r="Q819" s="65"/>
      <c r="S819" s="65"/>
      <c r="U819" s="65"/>
      <c r="W819" s="65"/>
      <c r="Y819" s="65"/>
      <c r="AA819" s="65"/>
      <c r="AC819" s="65"/>
      <c r="AE819" s="65"/>
      <c r="AG819" s="65"/>
      <c r="AI819" s="65"/>
      <c r="AK819" s="65"/>
    </row>
    <row r="820" spans="1:37" x14ac:dyDescent="0.25">
      <c r="A820" s="2">
        <v>41051</v>
      </c>
      <c r="B820" s="3">
        <v>2192.85</v>
      </c>
      <c r="C820" s="2">
        <v>41060</v>
      </c>
      <c r="D820" s="3">
        <v>12873.84</v>
      </c>
      <c r="E820" s="2"/>
      <c r="F820" s="3"/>
      <c r="G820" s="2"/>
      <c r="H820" s="3"/>
      <c r="I820" s="65"/>
      <c r="K820" s="65"/>
      <c r="M820" s="65"/>
      <c r="O820" s="65"/>
      <c r="Q820" s="65"/>
      <c r="S820" s="65"/>
      <c r="U820" s="65"/>
      <c r="W820" s="65"/>
      <c r="Y820" s="65"/>
      <c r="AA820" s="65"/>
      <c r="AC820" s="65"/>
      <c r="AE820" s="65"/>
      <c r="AG820" s="65"/>
      <c r="AI820" s="65"/>
      <c r="AK820" s="65"/>
    </row>
    <row r="821" spans="1:37" x14ac:dyDescent="0.25">
      <c r="A821" s="2">
        <v>41052</v>
      </c>
      <c r="B821" s="3">
        <v>2134.0500000000002</v>
      </c>
      <c r="C821" s="2">
        <v>41061</v>
      </c>
      <c r="D821" s="3">
        <v>12739.98</v>
      </c>
      <c r="E821" s="2"/>
      <c r="F821" s="3"/>
      <c r="G821" s="2"/>
      <c r="H821" s="3"/>
      <c r="I821" s="65"/>
      <c r="K821" s="65"/>
      <c r="M821" s="65"/>
      <c r="O821" s="65"/>
      <c r="Q821" s="65"/>
      <c r="S821" s="65"/>
      <c r="U821" s="65"/>
      <c r="W821" s="65"/>
      <c r="Y821" s="65"/>
      <c r="AA821" s="65"/>
      <c r="AC821" s="65"/>
      <c r="AE821" s="65"/>
      <c r="AG821" s="65"/>
      <c r="AI821" s="65"/>
      <c r="AK821" s="65"/>
    </row>
    <row r="822" spans="1:37" x14ac:dyDescent="0.25">
      <c r="A822" s="2">
        <v>41053</v>
      </c>
      <c r="B822" s="3">
        <v>2156.52</v>
      </c>
      <c r="C822" s="2">
        <v>41064</v>
      </c>
      <c r="D822" s="3">
        <v>12891.96</v>
      </c>
      <c r="E822" s="2"/>
      <c r="F822" s="3"/>
      <c r="G822" s="2"/>
      <c r="H822" s="3"/>
      <c r="I822" s="65"/>
      <c r="K822" s="65"/>
      <c r="M822" s="65"/>
      <c r="O822" s="65"/>
      <c r="Q822" s="65"/>
      <c r="S822" s="65"/>
      <c r="U822" s="65"/>
      <c r="W822" s="65"/>
      <c r="Y822" s="65"/>
      <c r="AA822" s="65"/>
      <c r="AC822" s="65"/>
      <c r="AE822" s="65"/>
      <c r="AG822" s="65"/>
      <c r="AI822" s="65"/>
      <c r="AK822" s="65"/>
    </row>
    <row r="823" spans="1:37" x14ac:dyDescent="0.25">
      <c r="A823" s="2">
        <v>41054</v>
      </c>
      <c r="B823" s="3">
        <v>2161.87</v>
      </c>
      <c r="C823" s="2">
        <v>41065</v>
      </c>
      <c r="D823" s="3">
        <v>12973.66</v>
      </c>
      <c r="E823" s="2"/>
      <c r="F823" s="3"/>
      <c r="G823" s="2"/>
      <c r="H823" s="3"/>
      <c r="I823" s="65"/>
      <c r="K823" s="65"/>
      <c r="M823" s="65"/>
      <c r="O823" s="65"/>
      <c r="Q823" s="65"/>
      <c r="S823" s="65"/>
      <c r="U823" s="65"/>
      <c r="W823" s="65"/>
      <c r="Y823" s="65"/>
      <c r="AA823" s="65"/>
      <c r="AC823" s="65"/>
      <c r="AE823" s="65"/>
      <c r="AG823" s="65"/>
      <c r="AI823" s="65"/>
      <c r="AK823" s="65"/>
    </row>
    <row r="824" spans="1:37" x14ac:dyDescent="0.25">
      <c r="A824" s="2">
        <v>41057</v>
      </c>
      <c r="B824" s="3">
        <v>2147.92</v>
      </c>
      <c r="C824" s="2">
        <v>41066</v>
      </c>
      <c r="D824" s="3">
        <v>13427.15</v>
      </c>
      <c r="E824" s="2"/>
      <c r="F824" s="3"/>
      <c r="G824" s="2"/>
      <c r="H824" s="3"/>
      <c r="I824" s="65"/>
      <c r="K824" s="65"/>
      <c r="M824" s="65"/>
      <c r="O824" s="65"/>
      <c r="Q824" s="65"/>
      <c r="S824" s="65"/>
      <c r="U824" s="65"/>
      <c r="W824" s="65"/>
      <c r="Y824" s="65"/>
      <c r="AA824" s="65"/>
      <c r="AC824" s="65"/>
      <c r="AE824" s="65"/>
      <c r="AG824" s="65"/>
      <c r="AI824" s="65"/>
      <c r="AK824" s="65"/>
    </row>
    <row r="825" spans="1:37" x14ac:dyDescent="0.25">
      <c r="A825" s="2">
        <v>41058</v>
      </c>
      <c r="B825" s="3">
        <v>2160.31</v>
      </c>
      <c r="C825" s="2">
        <v>41067</v>
      </c>
      <c r="D825" s="3">
        <v>13545.32</v>
      </c>
      <c r="E825" s="2"/>
      <c r="F825" s="3"/>
      <c r="G825" s="2"/>
      <c r="H825" s="3"/>
      <c r="I825" s="65"/>
      <c r="K825" s="65"/>
      <c r="M825" s="65"/>
      <c r="O825" s="65"/>
      <c r="Q825" s="65"/>
      <c r="S825" s="65"/>
      <c r="U825" s="65"/>
      <c r="W825" s="65"/>
      <c r="Y825" s="65"/>
      <c r="AA825" s="65"/>
      <c r="AC825" s="65"/>
      <c r="AE825" s="65"/>
      <c r="AG825" s="65"/>
      <c r="AI825" s="65"/>
      <c r="AK825" s="65"/>
    </row>
    <row r="826" spans="1:37" x14ac:dyDescent="0.25">
      <c r="A826" s="2">
        <v>41059</v>
      </c>
      <c r="B826" s="3">
        <v>2116.1799999999998</v>
      </c>
      <c r="C826" s="2">
        <v>41068</v>
      </c>
      <c r="D826" s="3">
        <v>13445.46</v>
      </c>
      <c r="E826" s="2"/>
      <c r="F826" s="3"/>
      <c r="G826" s="2"/>
      <c r="H826" s="3"/>
      <c r="I826" s="65"/>
      <c r="K826" s="65"/>
      <c r="M826" s="65"/>
      <c r="O826" s="65"/>
      <c r="Q826" s="65"/>
      <c r="S826" s="65"/>
      <c r="U826" s="65"/>
      <c r="W826" s="65"/>
      <c r="Y826" s="65"/>
      <c r="AA826" s="65"/>
      <c r="AC826" s="65"/>
      <c r="AE826" s="65"/>
      <c r="AG826" s="65"/>
      <c r="AI826" s="65"/>
      <c r="AK826" s="65"/>
    </row>
    <row r="827" spans="1:37" x14ac:dyDescent="0.25">
      <c r="A827" s="2">
        <v>41060</v>
      </c>
      <c r="B827" s="3">
        <v>2118.94</v>
      </c>
      <c r="C827" s="2">
        <v>41071</v>
      </c>
      <c r="D827" s="3">
        <v>13070.75</v>
      </c>
      <c r="E827" s="2"/>
      <c r="F827" s="3"/>
      <c r="G827" s="2"/>
      <c r="H827" s="3"/>
      <c r="I827" s="65"/>
      <c r="K827" s="65"/>
      <c r="M827" s="65"/>
      <c r="O827" s="65"/>
      <c r="Q827" s="65"/>
      <c r="S827" s="65"/>
      <c r="U827" s="65"/>
      <c r="W827" s="65"/>
      <c r="Y827" s="65"/>
      <c r="AA827" s="65"/>
      <c r="AC827" s="65"/>
      <c r="AE827" s="65"/>
      <c r="AG827" s="65"/>
      <c r="AI827" s="65"/>
      <c r="AK827" s="65"/>
    </row>
    <row r="828" spans="1:37" x14ac:dyDescent="0.25">
      <c r="A828" s="2">
        <v>41061</v>
      </c>
      <c r="B828" s="3">
        <v>2068.66</v>
      </c>
      <c r="C828" s="2">
        <v>41072</v>
      </c>
      <c r="D828" s="3">
        <v>12979.69</v>
      </c>
      <c r="E828" s="2"/>
      <c r="F828" s="3"/>
      <c r="G828" s="2"/>
      <c r="H828" s="3"/>
      <c r="I828" s="65"/>
      <c r="K828" s="65"/>
      <c r="M828" s="65"/>
      <c r="O828" s="65"/>
      <c r="Q828" s="65"/>
      <c r="S828" s="65"/>
      <c r="U828" s="65"/>
      <c r="W828" s="65"/>
      <c r="Y828" s="65"/>
      <c r="AA828" s="65"/>
      <c r="AC828" s="65"/>
      <c r="AE828" s="65"/>
      <c r="AG828" s="65"/>
      <c r="AI828" s="65"/>
      <c r="AK828" s="65"/>
    </row>
    <row r="829" spans="1:37" x14ac:dyDescent="0.25">
      <c r="A829" s="2">
        <v>41064</v>
      </c>
      <c r="B829" s="3">
        <v>2078.96</v>
      </c>
      <c r="C829" s="2">
        <v>41073</v>
      </c>
      <c r="D829" s="3">
        <v>12894.8</v>
      </c>
      <c r="E829" s="2"/>
      <c r="F829" s="3"/>
      <c r="G829" s="2"/>
      <c r="H829" s="3"/>
      <c r="I829" s="65"/>
      <c r="K829" s="65"/>
      <c r="M829" s="65"/>
      <c r="O829" s="65"/>
      <c r="Q829" s="65"/>
      <c r="S829" s="65"/>
      <c r="U829" s="65"/>
      <c r="W829" s="65"/>
      <c r="Y829" s="65"/>
      <c r="AA829" s="65"/>
      <c r="AC829" s="65"/>
      <c r="AE829" s="65"/>
      <c r="AG829" s="65"/>
      <c r="AI829" s="65"/>
      <c r="AK829" s="65"/>
    </row>
    <row r="830" spans="1:37" x14ac:dyDescent="0.25">
      <c r="A830" s="2">
        <v>41065</v>
      </c>
      <c r="B830" s="3">
        <v>2087.31</v>
      </c>
      <c r="C830" s="2">
        <v>41074</v>
      </c>
      <c r="D830" s="3">
        <v>13084.62</v>
      </c>
      <c r="E830" s="2"/>
      <c r="F830" s="3"/>
      <c r="G830" s="2"/>
      <c r="H830" s="3"/>
      <c r="I830" s="65"/>
      <c r="K830" s="65"/>
      <c r="M830" s="65"/>
      <c r="O830" s="65"/>
      <c r="Q830" s="65"/>
      <c r="S830" s="65"/>
      <c r="U830" s="65"/>
      <c r="W830" s="65"/>
      <c r="Y830" s="65"/>
      <c r="AA830" s="65"/>
      <c r="AC830" s="65"/>
      <c r="AE830" s="65"/>
      <c r="AG830" s="65"/>
      <c r="AI830" s="65"/>
      <c r="AK830" s="65"/>
    </row>
    <row r="831" spans="1:37" x14ac:dyDescent="0.25">
      <c r="A831" s="2">
        <v>41066</v>
      </c>
      <c r="B831" s="3">
        <v>2137.73</v>
      </c>
      <c r="C831" s="2">
        <v>41075</v>
      </c>
      <c r="D831" s="3">
        <v>13390.69</v>
      </c>
      <c r="E831" s="2"/>
      <c r="F831" s="3"/>
      <c r="G831" s="2"/>
      <c r="H831" s="3"/>
      <c r="I831" s="65"/>
      <c r="K831" s="65"/>
      <c r="M831" s="65"/>
      <c r="O831" s="65"/>
      <c r="Q831" s="65"/>
      <c r="S831" s="65"/>
      <c r="U831" s="65"/>
      <c r="W831" s="65"/>
      <c r="Y831" s="65"/>
      <c r="AA831" s="65"/>
      <c r="AC831" s="65"/>
      <c r="AE831" s="65"/>
      <c r="AG831" s="65"/>
      <c r="AI831" s="65"/>
      <c r="AK831" s="65"/>
    </row>
    <row r="832" spans="1:37" x14ac:dyDescent="0.25">
      <c r="A832" s="2">
        <v>41067</v>
      </c>
      <c r="B832" s="3">
        <v>2143.08</v>
      </c>
      <c r="C832" s="2">
        <v>41078</v>
      </c>
      <c r="D832" s="3">
        <v>13009.63</v>
      </c>
      <c r="E832" s="2"/>
      <c r="F832" s="3"/>
      <c r="G832" s="2"/>
      <c r="H832" s="3"/>
      <c r="I832" s="65"/>
      <c r="K832" s="65"/>
      <c r="M832" s="65"/>
      <c r="O832" s="65"/>
      <c r="Q832" s="65"/>
      <c r="S832" s="65"/>
      <c r="U832" s="65"/>
      <c r="W832" s="65"/>
      <c r="Y832" s="65"/>
      <c r="AA832" s="65"/>
      <c r="AC832" s="65"/>
      <c r="AE832" s="65"/>
      <c r="AG832" s="65"/>
      <c r="AI832" s="65"/>
      <c r="AK832" s="65"/>
    </row>
    <row r="833" spans="1:37" x14ac:dyDescent="0.25">
      <c r="A833" s="2">
        <v>41068</v>
      </c>
      <c r="B833" s="3">
        <v>2143.9</v>
      </c>
      <c r="C833" s="2">
        <v>41079</v>
      </c>
      <c r="D833" s="3">
        <v>13445.46</v>
      </c>
      <c r="E833" s="2"/>
      <c r="F833" s="3"/>
      <c r="G833" s="2"/>
      <c r="H833" s="3"/>
      <c r="I833" s="65"/>
      <c r="K833" s="65"/>
      <c r="M833" s="65"/>
      <c r="O833" s="65"/>
      <c r="Q833" s="65"/>
      <c r="S833" s="65"/>
      <c r="U833" s="65"/>
      <c r="W833" s="65"/>
      <c r="Y833" s="65"/>
      <c r="AA833" s="65"/>
      <c r="AC833" s="65"/>
      <c r="AE833" s="65"/>
      <c r="AG833" s="65"/>
      <c r="AI833" s="65"/>
      <c r="AK833" s="65"/>
    </row>
    <row r="834" spans="1:37" x14ac:dyDescent="0.25">
      <c r="A834" s="2">
        <v>41071</v>
      </c>
      <c r="B834" s="3">
        <v>2137.6999999999998</v>
      </c>
      <c r="C834" s="2">
        <v>41080</v>
      </c>
      <c r="D834" s="3">
        <v>13732.16</v>
      </c>
      <c r="E834" s="2"/>
      <c r="F834" s="3"/>
      <c r="G834" s="2"/>
      <c r="H834" s="3"/>
      <c r="I834" s="65"/>
      <c r="K834" s="65"/>
      <c r="M834" s="65"/>
      <c r="O834" s="65"/>
      <c r="Q834" s="65"/>
      <c r="S834" s="65"/>
      <c r="U834" s="65"/>
      <c r="W834" s="65"/>
      <c r="Y834" s="65"/>
      <c r="AA834" s="65"/>
      <c r="AC834" s="65"/>
      <c r="AE834" s="65"/>
      <c r="AG834" s="65"/>
      <c r="AI834" s="65"/>
      <c r="AK834" s="65"/>
    </row>
    <row r="835" spans="1:37" x14ac:dyDescent="0.25">
      <c r="A835" s="2">
        <v>41072</v>
      </c>
      <c r="B835" s="3">
        <v>2143.38</v>
      </c>
      <c r="C835" s="2">
        <v>41081</v>
      </c>
      <c r="D835" s="3">
        <v>13751.63</v>
      </c>
      <c r="E835" s="2"/>
      <c r="F835" s="3"/>
      <c r="G835" s="2"/>
      <c r="H835" s="3"/>
      <c r="I835" s="65"/>
      <c r="K835" s="65"/>
      <c r="M835" s="65"/>
      <c r="O835" s="65"/>
      <c r="Q835" s="65"/>
      <c r="S835" s="65"/>
      <c r="U835" s="65"/>
      <c r="W835" s="65"/>
      <c r="Y835" s="65"/>
      <c r="AA835" s="65"/>
      <c r="AC835" s="65"/>
      <c r="AE835" s="65"/>
      <c r="AG835" s="65"/>
      <c r="AI835" s="65"/>
      <c r="AK835" s="65"/>
    </row>
    <row r="836" spans="1:37" x14ac:dyDescent="0.25">
      <c r="A836" s="2">
        <v>41073</v>
      </c>
      <c r="B836" s="3">
        <v>2143.5</v>
      </c>
      <c r="C836" s="2">
        <v>41082</v>
      </c>
      <c r="D836" s="3">
        <v>13662.8</v>
      </c>
      <c r="E836" s="2"/>
      <c r="F836" s="3"/>
      <c r="G836" s="2"/>
      <c r="H836" s="3"/>
      <c r="I836" s="65"/>
      <c r="K836" s="65"/>
      <c r="M836" s="65"/>
      <c r="O836" s="65"/>
      <c r="Q836" s="65"/>
      <c r="S836" s="65"/>
      <c r="U836" s="65"/>
      <c r="W836" s="65"/>
      <c r="Y836" s="65"/>
      <c r="AA836" s="65"/>
      <c r="AC836" s="65"/>
      <c r="AE836" s="65"/>
      <c r="AG836" s="65"/>
      <c r="AI836" s="65"/>
      <c r="AK836" s="65"/>
    </row>
    <row r="837" spans="1:37" x14ac:dyDescent="0.25">
      <c r="A837" s="2">
        <v>41074</v>
      </c>
      <c r="B837" s="3">
        <v>2148.21</v>
      </c>
      <c r="C837" s="2">
        <v>41085</v>
      </c>
      <c r="D837" s="3">
        <v>13113.78</v>
      </c>
      <c r="E837" s="2"/>
      <c r="F837" s="3"/>
      <c r="G837" s="2"/>
      <c r="H837" s="3"/>
      <c r="I837" s="65"/>
      <c r="K837" s="65"/>
      <c r="M837" s="65"/>
      <c r="O837" s="65"/>
      <c r="Q837" s="65"/>
      <c r="S837" s="65"/>
      <c r="U837" s="65"/>
      <c r="W837" s="65"/>
      <c r="Y837" s="65"/>
      <c r="AA837" s="65"/>
      <c r="AC837" s="65"/>
      <c r="AE837" s="65"/>
      <c r="AG837" s="65"/>
      <c r="AI837" s="65"/>
      <c r="AK837" s="65"/>
    </row>
    <row r="838" spans="1:37" x14ac:dyDescent="0.25">
      <c r="A838" s="2">
        <v>41075</v>
      </c>
      <c r="B838" s="3">
        <v>2181.23</v>
      </c>
      <c r="C838" s="2">
        <v>41086</v>
      </c>
      <c r="D838" s="3">
        <v>12968.18</v>
      </c>
      <c r="E838" s="2"/>
      <c r="F838" s="3"/>
      <c r="G838" s="2"/>
      <c r="H838" s="3"/>
      <c r="I838" s="65"/>
      <c r="K838" s="65"/>
      <c r="M838" s="65"/>
      <c r="O838" s="65"/>
      <c r="Q838" s="65"/>
      <c r="S838" s="65"/>
      <c r="U838" s="65"/>
      <c r="W838" s="65"/>
      <c r="Y838" s="65"/>
      <c r="AA838" s="65"/>
      <c r="AC838" s="65"/>
      <c r="AE838" s="65"/>
      <c r="AG838" s="65"/>
      <c r="AI838" s="65"/>
      <c r="AK838" s="65"/>
    </row>
    <row r="839" spans="1:37" x14ac:dyDescent="0.25">
      <c r="A839" s="2">
        <v>41078</v>
      </c>
      <c r="B839" s="3">
        <v>2155.64</v>
      </c>
      <c r="C839" s="2">
        <v>41087</v>
      </c>
      <c r="D839" s="3">
        <v>13302.77</v>
      </c>
      <c r="E839" s="2"/>
      <c r="F839" s="3"/>
      <c r="G839" s="2"/>
      <c r="H839" s="3"/>
      <c r="I839" s="65"/>
      <c r="K839" s="65"/>
      <c r="M839" s="65"/>
      <c r="O839" s="65"/>
      <c r="Q839" s="65"/>
      <c r="S839" s="65"/>
      <c r="U839" s="65"/>
      <c r="W839" s="65"/>
      <c r="Y839" s="65"/>
      <c r="AA839" s="65"/>
      <c r="AC839" s="65"/>
      <c r="AE839" s="65"/>
      <c r="AG839" s="65"/>
      <c r="AI839" s="65"/>
      <c r="AK839" s="65"/>
    </row>
    <row r="840" spans="1:37" x14ac:dyDescent="0.25">
      <c r="A840" s="2">
        <v>41079</v>
      </c>
      <c r="B840" s="3">
        <v>2198.0100000000002</v>
      </c>
      <c r="C840" s="2">
        <v>41088</v>
      </c>
      <c r="D840" s="3">
        <v>13391.3</v>
      </c>
      <c r="E840" s="2"/>
      <c r="F840" s="3"/>
      <c r="G840" s="2"/>
      <c r="H840" s="3"/>
      <c r="I840" s="65"/>
      <c r="K840" s="65"/>
      <c r="M840" s="65"/>
      <c r="O840" s="65"/>
      <c r="Q840" s="65"/>
      <c r="S840" s="65"/>
      <c r="U840" s="65"/>
      <c r="W840" s="65"/>
      <c r="Y840" s="65"/>
      <c r="AA840" s="65"/>
      <c r="AC840" s="65"/>
      <c r="AE840" s="65"/>
      <c r="AG840" s="65"/>
      <c r="AI840" s="65"/>
      <c r="AK840" s="65"/>
    </row>
    <row r="841" spans="1:37" x14ac:dyDescent="0.25">
      <c r="A841" s="2">
        <v>41080</v>
      </c>
      <c r="B841" s="3">
        <v>2207.4899999999998</v>
      </c>
      <c r="C841" s="2">
        <v>41089</v>
      </c>
      <c r="D841" s="3">
        <v>14274.37</v>
      </c>
      <c r="E841" s="2"/>
      <c r="F841" s="3"/>
      <c r="G841" s="2"/>
      <c r="H841" s="3"/>
      <c r="I841" s="65"/>
      <c r="K841" s="65"/>
      <c r="M841" s="65"/>
      <c r="O841" s="65"/>
      <c r="Q841" s="65"/>
      <c r="S841" s="65"/>
      <c r="U841" s="65"/>
      <c r="W841" s="65"/>
      <c r="Y841" s="65"/>
      <c r="AA841" s="65"/>
      <c r="AC841" s="65"/>
      <c r="AE841" s="65"/>
      <c r="AG841" s="65"/>
      <c r="AI841" s="65"/>
      <c r="AK841" s="65"/>
    </row>
    <row r="842" spans="1:37" x14ac:dyDescent="0.25">
      <c r="A842" s="2">
        <v>41081</v>
      </c>
      <c r="B842" s="3">
        <v>2199.42</v>
      </c>
      <c r="C842" s="2">
        <v>41092</v>
      </c>
      <c r="D842" s="3">
        <v>14308.79</v>
      </c>
      <c r="E842" s="2"/>
      <c r="F842" s="3"/>
      <c r="G842" s="2"/>
      <c r="H842" s="3"/>
      <c r="I842" s="65"/>
      <c r="K842" s="65"/>
      <c r="M842" s="65"/>
      <c r="O842" s="65"/>
      <c r="Q842" s="65"/>
      <c r="S842" s="65"/>
      <c r="U842" s="65"/>
      <c r="W842" s="65"/>
      <c r="Y842" s="65"/>
      <c r="AA842" s="65"/>
      <c r="AC842" s="65"/>
      <c r="AE842" s="65"/>
      <c r="AG842" s="65"/>
      <c r="AI842" s="65"/>
      <c r="AK842" s="65"/>
    </row>
    <row r="843" spans="1:37" x14ac:dyDescent="0.25">
      <c r="A843" s="2">
        <v>41082</v>
      </c>
      <c r="B843" s="3">
        <v>2186.81</v>
      </c>
      <c r="C843" s="2">
        <v>41093</v>
      </c>
      <c r="D843" s="3">
        <v>14494.41</v>
      </c>
      <c r="E843" s="2"/>
      <c r="F843" s="3"/>
      <c r="G843" s="2"/>
      <c r="H843" s="3"/>
      <c r="I843" s="65"/>
      <c r="K843" s="65"/>
      <c r="M843" s="65"/>
      <c r="O843" s="65"/>
      <c r="Q843" s="65"/>
      <c r="S843" s="65"/>
      <c r="U843" s="65"/>
      <c r="W843" s="65"/>
      <c r="Y843" s="65"/>
      <c r="AA843" s="65"/>
      <c r="AC843" s="65"/>
      <c r="AE843" s="65"/>
      <c r="AG843" s="65"/>
      <c r="AI843" s="65"/>
      <c r="AK843" s="65"/>
    </row>
    <row r="844" spans="1:37" x14ac:dyDescent="0.25">
      <c r="A844" s="2">
        <v>41085</v>
      </c>
      <c r="B844" s="3">
        <v>2130.71</v>
      </c>
      <c r="C844" s="2">
        <v>41094</v>
      </c>
      <c r="D844" s="3">
        <v>14381.2</v>
      </c>
      <c r="E844" s="2"/>
      <c r="F844" s="3"/>
      <c r="G844" s="2"/>
      <c r="H844" s="3"/>
      <c r="I844" s="65"/>
      <c r="K844" s="65"/>
      <c r="M844" s="65"/>
      <c r="O844" s="65"/>
      <c r="Q844" s="65"/>
      <c r="S844" s="65"/>
      <c r="U844" s="65"/>
      <c r="W844" s="65"/>
      <c r="Y844" s="65"/>
      <c r="AA844" s="65"/>
      <c r="AC844" s="65"/>
      <c r="AE844" s="65"/>
      <c r="AG844" s="65"/>
      <c r="AI844" s="65"/>
      <c r="AK844" s="65"/>
    </row>
    <row r="845" spans="1:37" x14ac:dyDescent="0.25">
      <c r="A845" s="2">
        <v>41086</v>
      </c>
      <c r="B845" s="3">
        <v>2127.9499999999998</v>
      </c>
      <c r="C845" s="2">
        <v>41095</v>
      </c>
      <c r="D845" s="3">
        <v>14088.74</v>
      </c>
      <c r="E845" s="2"/>
      <c r="F845" s="3"/>
      <c r="G845" s="2"/>
      <c r="H845" s="3"/>
      <c r="I845" s="65"/>
      <c r="K845" s="65"/>
      <c r="M845" s="65"/>
      <c r="O845" s="65"/>
      <c r="Q845" s="65"/>
      <c r="S845" s="65"/>
      <c r="U845" s="65"/>
      <c r="W845" s="65"/>
      <c r="Y845" s="65"/>
      <c r="AA845" s="65"/>
      <c r="AC845" s="65"/>
      <c r="AE845" s="65"/>
      <c r="AG845" s="65"/>
      <c r="AI845" s="65"/>
      <c r="AK845" s="65"/>
    </row>
    <row r="846" spans="1:37" x14ac:dyDescent="0.25">
      <c r="A846" s="2">
        <v>41087</v>
      </c>
      <c r="B846" s="3">
        <v>2165.61</v>
      </c>
      <c r="C846" s="2">
        <v>41096</v>
      </c>
      <c r="D846" s="3">
        <v>13732.07</v>
      </c>
      <c r="E846" s="2"/>
      <c r="F846" s="3"/>
      <c r="G846" s="2"/>
      <c r="H846" s="3"/>
      <c r="I846" s="65"/>
      <c r="K846" s="65"/>
      <c r="M846" s="65"/>
      <c r="O846" s="65"/>
      <c r="Q846" s="65"/>
      <c r="S846" s="65"/>
      <c r="U846" s="65"/>
      <c r="W846" s="65"/>
      <c r="Y846" s="65"/>
      <c r="AA846" s="65"/>
      <c r="AC846" s="65"/>
      <c r="AE846" s="65"/>
      <c r="AG846" s="65"/>
      <c r="AI846" s="65"/>
      <c r="AK846" s="65"/>
    </row>
    <row r="847" spans="1:37" x14ac:dyDescent="0.25">
      <c r="A847" s="2">
        <v>41088</v>
      </c>
      <c r="B847" s="3">
        <v>2157.62</v>
      </c>
      <c r="C847" s="2">
        <v>41099</v>
      </c>
      <c r="D847" s="3">
        <v>13812.65</v>
      </c>
      <c r="E847" s="2"/>
      <c r="F847" s="3"/>
      <c r="G847" s="2"/>
      <c r="H847" s="3"/>
      <c r="I847" s="65"/>
      <c r="K847" s="65"/>
      <c r="M847" s="65"/>
      <c r="O847" s="65"/>
      <c r="Q847" s="65"/>
      <c r="S847" s="65"/>
      <c r="U847" s="65"/>
      <c r="W847" s="65"/>
      <c r="Y847" s="65"/>
      <c r="AA847" s="65"/>
      <c r="AC847" s="65"/>
      <c r="AE847" s="65"/>
      <c r="AG847" s="65"/>
      <c r="AI847" s="65"/>
      <c r="AK847" s="65"/>
    </row>
    <row r="848" spans="1:37" x14ac:dyDescent="0.25">
      <c r="A848" s="2">
        <v>41089</v>
      </c>
      <c r="B848" s="3">
        <v>2264.7199999999998</v>
      </c>
      <c r="C848" s="2">
        <v>41100</v>
      </c>
      <c r="D848" s="3">
        <v>13868.27</v>
      </c>
      <c r="E848" s="2"/>
      <c r="F848" s="3"/>
      <c r="G848" s="2"/>
      <c r="H848" s="3"/>
      <c r="I848" s="65"/>
      <c r="K848" s="65"/>
      <c r="M848" s="65"/>
      <c r="O848" s="65"/>
      <c r="Q848" s="65"/>
      <c r="S848" s="65"/>
      <c r="U848" s="65"/>
      <c r="W848" s="65"/>
      <c r="Y848" s="65"/>
      <c r="AA848" s="65"/>
      <c r="AC848" s="65"/>
      <c r="AE848" s="65"/>
      <c r="AG848" s="65"/>
      <c r="AI848" s="65"/>
      <c r="AK848" s="65"/>
    </row>
    <row r="849" spans="1:37" x14ac:dyDescent="0.25">
      <c r="A849" s="2">
        <v>41092</v>
      </c>
      <c r="B849" s="3">
        <v>2292.08</v>
      </c>
      <c r="C849" s="2">
        <v>41101</v>
      </c>
      <c r="D849" s="3">
        <v>13861.42</v>
      </c>
      <c r="E849" s="2"/>
      <c r="F849" s="3"/>
      <c r="G849" s="2"/>
      <c r="H849" s="3"/>
      <c r="I849" s="65"/>
      <c r="K849" s="65"/>
      <c r="M849" s="65"/>
      <c r="O849" s="65"/>
      <c r="Q849" s="65"/>
      <c r="S849" s="65"/>
      <c r="U849" s="65"/>
      <c r="W849" s="65"/>
      <c r="Y849" s="65"/>
      <c r="AA849" s="65"/>
      <c r="AC849" s="65"/>
      <c r="AE849" s="65"/>
      <c r="AG849" s="65"/>
      <c r="AI849" s="65"/>
      <c r="AK849" s="65"/>
    </row>
    <row r="850" spans="1:37" x14ac:dyDescent="0.25">
      <c r="A850" s="2">
        <v>41093</v>
      </c>
      <c r="B850" s="3">
        <v>2320.4299999999998</v>
      </c>
      <c r="C850" s="2">
        <v>41102</v>
      </c>
      <c r="D850" s="3">
        <v>13583.82</v>
      </c>
      <c r="E850" s="2"/>
      <c r="F850" s="3"/>
      <c r="G850" s="2"/>
      <c r="H850" s="3"/>
      <c r="I850" s="65"/>
      <c r="K850" s="65"/>
      <c r="M850" s="65"/>
      <c r="O850" s="65"/>
      <c r="Q850" s="65"/>
      <c r="S850" s="65"/>
      <c r="U850" s="65"/>
      <c r="W850" s="65"/>
      <c r="Y850" s="65"/>
      <c r="AA850" s="65"/>
      <c r="AC850" s="65"/>
      <c r="AE850" s="65"/>
      <c r="AG850" s="65"/>
      <c r="AI850" s="65"/>
      <c r="AK850" s="65"/>
    </row>
    <row r="851" spans="1:37" x14ac:dyDescent="0.25">
      <c r="A851" s="2">
        <v>41094</v>
      </c>
      <c r="B851" s="3">
        <v>2312.41</v>
      </c>
      <c r="C851" s="2">
        <v>41103</v>
      </c>
      <c r="D851" s="3">
        <v>13714.68</v>
      </c>
      <c r="E851" s="2"/>
      <c r="F851" s="3"/>
      <c r="G851" s="2"/>
      <c r="H851" s="3"/>
      <c r="I851" s="65"/>
      <c r="K851" s="65"/>
      <c r="M851" s="65"/>
      <c r="O851" s="65"/>
      <c r="Q851" s="65"/>
      <c r="S851" s="65"/>
      <c r="U851" s="65"/>
      <c r="W851" s="65"/>
      <c r="Y851" s="65"/>
      <c r="AA851" s="65"/>
      <c r="AC851" s="65"/>
      <c r="AE851" s="65"/>
      <c r="AG851" s="65"/>
      <c r="AI851" s="65"/>
      <c r="AK851" s="65"/>
    </row>
    <row r="852" spans="1:37" x14ac:dyDescent="0.25">
      <c r="A852" s="2">
        <v>41095</v>
      </c>
      <c r="B852" s="3">
        <v>2284.92</v>
      </c>
      <c r="C852" s="2">
        <v>41106</v>
      </c>
      <c r="D852" s="3">
        <v>13664.81</v>
      </c>
      <c r="E852" s="2"/>
      <c r="F852" s="3"/>
      <c r="G852" s="2"/>
      <c r="H852" s="3"/>
      <c r="I852" s="65"/>
      <c r="K852" s="65"/>
      <c r="M852" s="65"/>
      <c r="O852" s="65"/>
      <c r="Q852" s="65"/>
      <c r="S852" s="65"/>
      <c r="U852" s="65"/>
      <c r="W852" s="65"/>
      <c r="Y852" s="65"/>
      <c r="AA852" s="65"/>
      <c r="AC852" s="65"/>
      <c r="AE852" s="65"/>
      <c r="AG852" s="65"/>
      <c r="AI852" s="65"/>
      <c r="AK852" s="65"/>
    </row>
    <row r="853" spans="1:37" x14ac:dyDescent="0.25">
      <c r="A853" s="2">
        <v>41096</v>
      </c>
      <c r="B853" s="3">
        <v>2235.5100000000002</v>
      </c>
      <c r="C853" s="2">
        <v>41107</v>
      </c>
      <c r="D853" s="3">
        <v>13536.73</v>
      </c>
      <c r="E853" s="2"/>
      <c r="F853" s="3"/>
      <c r="G853" s="2"/>
      <c r="H853" s="3"/>
      <c r="I853" s="65"/>
      <c r="K853" s="65"/>
      <c r="M853" s="65"/>
      <c r="O853" s="65"/>
      <c r="Q853" s="65"/>
      <c r="S853" s="65"/>
      <c r="U853" s="65"/>
      <c r="W853" s="65"/>
      <c r="Y853" s="65"/>
      <c r="AA853" s="65"/>
      <c r="AC853" s="65"/>
      <c r="AE853" s="65"/>
      <c r="AG853" s="65"/>
      <c r="AI853" s="65"/>
      <c r="AK853" s="65"/>
    </row>
    <row r="854" spans="1:37" x14ac:dyDescent="0.25">
      <c r="A854" s="2">
        <v>41099</v>
      </c>
      <c r="B854" s="3">
        <v>2227.91</v>
      </c>
      <c r="C854" s="2">
        <v>41108</v>
      </c>
      <c r="D854" s="3">
        <v>13594.39</v>
      </c>
      <c r="E854" s="2"/>
      <c r="F854" s="3"/>
      <c r="G854" s="2"/>
      <c r="H854" s="3"/>
      <c r="I854" s="65"/>
      <c r="K854" s="65"/>
      <c r="M854" s="65"/>
      <c r="O854" s="65"/>
      <c r="Q854" s="65"/>
      <c r="S854" s="65"/>
      <c r="U854" s="65"/>
      <c r="W854" s="65"/>
      <c r="Y854" s="65"/>
      <c r="AA854" s="65"/>
      <c r="AC854" s="65"/>
      <c r="AE854" s="65"/>
      <c r="AG854" s="65"/>
      <c r="AI854" s="65"/>
      <c r="AK854" s="65"/>
    </row>
    <row r="855" spans="1:37" x14ac:dyDescent="0.25">
      <c r="A855" s="2">
        <v>41100</v>
      </c>
      <c r="B855" s="3">
        <v>2241.85</v>
      </c>
      <c r="C855" s="2">
        <v>41109</v>
      </c>
      <c r="D855" s="3">
        <v>13666.49</v>
      </c>
      <c r="E855" s="2"/>
      <c r="F855" s="3"/>
      <c r="G855" s="2"/>
      <c r="H855" s="3"/>
      <c r="I855" s="65"/>
      <c r="K855" s="65"/>
      <c r="M855" s="65"/>
      <c r="O855" s="65"/>
      <c r="Q855" s="65"/>
      <c r="S855" s="65"/>
      <c r="U855" s="65"/>
      <c r="W855" s="65"/>
      <c r="Y855" s="65"/>
      <c r="AA855" s="65"/>
      <c r="AC855" s="65"/>
      <c r="AE855" s="65"/>
      <c r="AG855" s="65"/>
      <c r="AI855" s="65"/>
      <c r="AK855" s="65"/>
    </row>
    <row r="856" spans="1:37" x14ac:dyDescent="0.25">
      <c r="A856" s="2">
        <v>41101</v>
      </c>
      <c r="B856" s="3">
        <v>2246.23</v>
      </c>
      <c r="C856" s="2">
        <v>41110</v>
      </c>
      <c r="D856" s="3">
        <v>13067.22</v>
      </c>
      <c r="E856" s="2"/>
      <c r="F856" s="3"/>
      <c r="G856" s="2"/>
      <c r="H856" s="3"/>
      <c r="I856" s="65"/>
      <c r="K856" s="65"/>
      <c r="M856" s="65"/>
      <c r="O856" s="65"/>
      <c r="Q856" s="65"/>
      <c r="S856" s="65"/>
      <c r="U856" s="65"/>
      <c r="W856" s="65"/>
      <c r="Y856" s="65"/>
      <c r="AA856" s="65"/>
      <c r="AC856" s="65"/>
      <c r="AE856" s="65"/>
      <c r="AG856" s="65"/>
      <c r="AI856" s="65"/>
      <c r="AK856" s="65"/>
    </row>
    <row r="857" spans="1:37" x14ac:dyDescent="0.25">
      <c r="A857" s="2">
        <v>41102</v>
      </c>
      <c r="B857" s="3">
        <v>2228.0100000000002</v>
      </c>
      <c r="C857" s="2">
        <v>41113</v>
      </c>
      <c r="D857" s="3">
        <v>12706.36</v>
      </c>
      <c r="E857" s="2"/>
      <c r="F857" s="3"/>
      <c r="G857" s="2"/>
      <c r="H857" s="3"/>
      <c r="I857" s="65"/>
      <c r="K857" s="65"/>
      <c r="M857" s="65"/>
      <c r="O857" s="65"/>
      <c r="Q857" s="65"/>
      <c r="S857" s="65"/>
      <c r="U857" s="65"/>
      <c r="W857" s="65"/>
      <c r="Y857" s="65"/>
      <c r="AA857" s="65"/>
      <c r="AC857" s="65"/>
      <c r="AE857" s="65"/>
      <c r="AG857" s="65"/>
      <c r="AI857" s="65"/>
      <c r="AK857" s="65"/>
    </row>
    <row r="858" spans="1:37" x14ac:dyDescent="0.25">
      <c r="A858" s="2">
        <v>41103</v>
      </c>
      <c r="B858" s="3">
        <v>2259.09</v>
      </c>
      <c r="C858" s="2">
        <v>41114</v>
      </c>
      <c r="D858" s="3">
        <v>12362.51</v>
      </c>
      <c r="E858" s="2"/>
      <c r="F858" s="3"/>
      <c r="G858" s="2"/>
      <c r="H858" s="3"/>
      <c r="I858" s="65"/>
      <c r="K858" s="65"/>
      <c r="M858" s="65"/>
      <c r="O858" s="65"/>
      <c r="Q858" s="65"/>
      <c r="S858" s="65"/>
      <c r="U858" s="65"/>
      <c r="W858" s="65"/>
      <c r="Y858" s="65"/>
      <c r="AA858" s="65"/>
      <c r="AC858" s="65"/>
      <c r="AE858" s="65"/>
      <c r="AG858" s="65"/>
      <c r="AI858" s="65"/>
      <c r="AK858" s="65"/>
    </row>
    <row r="859" spans="1:37" x14ac:dyDescent="0.25">
      <c r="A859" s="2">
        <v>41106</v>
      </c>
      <c r="B859" s="3">
        <v>2251.96</v>
      </c>
      <c r="C859" s="2">
        <v>41115</v>
      </c>
      <c r="D859" s="3">
        <v>12506.74</v>
      </c>
      <c r="E859" s="2"/>
      <c r="F859" s="3"/>
      <c r="G859" s="2"/>
      <c r="H859" s="3"/>
      <c r="I859" s="65"/>
      <c r="K859" s="65"/>
      <c r="M859" s="65"/>
      <c r="O859" s="65"/>
      <c r="Q859" s="65"/>
      <c r="S859" s="65"/>
      <c r="U859" s="65"/>
      <c r="W859" s="65"/>
      <c r="Y859" s="65"/>
      <c r="AA859" s="65"/>
      <c r="AC859" s="65"/>
      <c r="AE859" s="65"/>
      <c r="AG859" s="65"/>
      <c r="AI859" s="65"/>
      <c r="AK859" s="65"/>
    </row>
    <row r="860" spans="1:37" x14ac:dyDescent="0.25">
      <c r="A860" s="2">
        <v>41107</v>
      </c>
      <c r="B860" s="3">
        <v>2250.75</v>
      </c>
      <c r="C860" s="2">
        <v>41116</v>
      </c>
      <c r="D860" s="3">
        <v>13210.04</v>
      </c>
      <c r="E860" s="2"/>
      <c r="F860" s="3"/>
      <c r="G860" s="2"/>
      <c r="H860" s="3"/>
      <c r="I860" s="65"/>
      <c r="K860" s="65"/>
      <c r="M860" s="65"/>
      <c r="O860" s="65"/>
      <c r="Q860" s="65"/>
      <c r="S860" s="65"/>
      <c r="U860" s="65"/>
      <c r="W860" s="65"/>
      <c r="Y860" s="65"/>
      <c r="AA860" s="65"/>
      <c r="AC860" s="65"/>
      <c r="AE860" s="65"/>
      <c r="AG860" s="65"/>
      <c r="AI860" s="65"/>
      <c r="AK860" s="65"/>
    </row>
    <row r="861" spans="1:37" x14ac:dyDescent="0.25">
      <c r="A861" s="2">
        <v>41108</v>
      </c>
      <c r="B861" s="3">
        <v>2284.6999999999998</v>
      </c>
      <c r="C861" s="2">
        <v>41117</v>
      </c>
      <c r="D861" s="3">
        <v>13596.88</v>
      </c>
      <c r="E861" s="2"/>
      <c r="F861" s="3"/>
      <c r="G861" s="2"/>
      <c r="H861" s="3"/>
      <c r="I861" s="65"/>
      <c r="K861" s="65"/>
      <c r="M861" s="65"/>
      <c r="O861" s="65"/>
      <c r="Q861" s="65"/>
      <c r="S861" s="65"/>
      <c r="U861" s="65"/>
      <c r="W861" s="65"/>
      <c r="Y861" s="65"/>
      <c r="AA861" s="65"/>
      <c r="AC861" s="65"/>
      <c r="AE861" s="65"/>
      <c r="AG861" s="65"/>
      <c r="AI861" s="65"/>
      <c r="AK861" s="65"/>
    </row>
    <row r="862" spans="1:37" x14ac:dyDescent="0.25">
      <c r="A862" s="2">
        <v>41109</v>
      </c>
      <c r="B862" s="3">
        <v>2302.4499999999998</v>
      </c>
      <c r="C862" s="2">
        <v>41120</v>
      </c>
      <c r="D862" s="3">
        <v>13978.04</v>
      </c>
      <c r="E862" s="2"/>
      <c r="F862" s="3"/>
      <c r="G862" s="2"/>
      <c r="H862" s="3"/>
      <c r="I862" s="65"/>
      <c r="K862" s="65"/>
      <c r="M862" s="65"/>
      <c r="O862" s="65"/>
      <c r="Q862" s="65"/>
      <c r="S862" s="65"/>
      <c r="U862" s="65"/>
      <c r="W862" s="65"/>
      <c r="Y862" s="65"/>
      <c r="AA862" s="65"/>
      <c r="AC862" s="65"/>
      <c r="AE862" s="65"/>
      <c r="AG862" s="65"/>
      <c r="AI862" s="65"/>
      <c r="AK862" s="65"/>
    </row>
    <row r="863" spans="1:37" x14ac:dyDescent="0.25">
      <c r="A863" s="2">
        <v>41110</v>
      </c>
      <c r="B863" s="3">
        <v>2237.33</v>
      </c>
      <c r="C863" s="2">
        <v>41121</v>
      </c>
      <c r="D863" s="3">
        <v>13890.99</v>
      </c>
      <c r="E863" s="2"/>
      <c r="F863" s="3"/>
      <c r="G863" s="2"/>
      <c r="H863" s="3"/>
      <c r="I863" s="65"/>
      <c r="K863" s="65"/>
      <c r="M863" s="65"/>
      <c r="O863" s="65"/>
      <c r="Q863" s="65"/>
      <c r="S863" s="65"/>
      <c r="U863" s="65"/>
      <c r="W863" s="65"/>
      <c r="Y863" s="65"/>
      <c r="AA863" s="65"/>
      <c r="AC863" s="65"/>
      <c r="AE863" s="65"/>
      <c r="AG863" s="65"/>
      <c r="AI863" s="65"/>
      <c r="AK863" s="65"/>
    </row>
    <row r="864" spans="1:37" x14ac:dyDescent="0.25">
      <c r="A864" s="2">
        <v>41113</v>
      </c>
      <c r="B864" s="3">
        <v>2179.31</v>
      </c>
      <c r="C864" s="2">
        <v>41122</v>
      </c>
      <c r="D864" s="3">
        <v>13928.59</v>
      </c>
      <c r="E864" s="2"/>
      <c r="F864" s="3"/>
      <c r="G864" s="2"/>
      <c r="H864" s="3"/>
      <c r="I864" s="65"/>
      <c r="K864" s="65"/>
      <c r="M864" s="65"/>
      <c r="O864" s="65"/>
      <c r="Q864" s="65"/>
      <c r="S864" s="65"/>
      <c r="U864" s="65"/>
      <c r="W864" s="65"/>
      <c r="Y864" s="65"/>
      <c r="AA864" s="65"/>
      <c r="AC864" s="65"/>
      <c r="AE864" s="65"/>
      <c r="AG864" s="65"/>
      <c r="AI864" s="65"/>
      <c r="AK864" s="65"/>
    </row>
    <row r="865" spans="1:37" x14ac:dyDescent="0.25">
      <c r="A865" s="2">
        <v>41114</v>
      </c>
      <c r="B865" s="3">
        <v>2151.54</v>
      </c>
      <c r="C865" s="2">
        <v>41123</v>
      </c>
      <c r="D865" s="3">
        <v>13282.55</v>
      </c>
      <c r="E865" s="2"/>
      <c r="F865" s="3"/>
      <c r="G865" s="2"/>
      <c r="H865" s="3"/>
      <c r="I865" s="65"/>
      <c r="K865" s="65"/>
      <c r="M865" s="65"/>
      <c r="O865" s="65"/>
      <c r="Q865" s="65"/>
      <c r="S865" s="65"/>
      <c r="U865" s="65"/>
      <c r="W865" s="65"/>
      <c r="Y865" s="65"/>
      <c r="AA865" s="65"/>
      <c r="AC865" s="65"/>
      <c r="AE865" s="65"/>
      <c r="AG865" s="65"/>
      <c r="AI865" s="65"/>
      <c r="AK865" s="65"/>
    </row>
    <row r="866" spans="1:37" x14ac:dyDescent="0.25">
      <c r="A866" s="2">
        <v>41115</v>
      </c>
      <c r="B866" s="3">
        <v>2159.09</v>
      </c>
      <c r="C866" s="2">
        <v>41124</v>
      </c>
      <c r="D866" s="3">
        <v>14124.89</v>
      </c>
      <c r="E866" s="2"/>
      <c r="F866" s="3"/>
      <c r="G866" s="2"/>
      <c r="H866" s="3"/>
      <c r="I866" s="65"/>
      <c r="K866" s="65"/>
      <c r="M866" s="65"/>
      <c r="O866" s="65"/>
      <c r="Q866" s="65"/>
      <c r="S866" s="65"/>
      <c r="U866" s="65"/>
      <c r="W866" s="65"/>
      <c r="Y866" s="65"/>
      <c r="AA866" s="65"/>
      <c r="AC866" s="65"/>
      <c r="AE866" s="65"/>
      <c r="AG866" s="65"/>
      <c r="AI866" s="65"/>
      <c r="AK866" s="65"/>
    </row>
    <row r="867" spans="1:37" x14ac:dyDescent="0.25">
      <c r="A867" s="2">
        <v>41116</v>
      </c>
      <c r="B867" s="3">
        <v>2251.0500000000002</v>
      </c>
      <c r="C867" s="2">
        <v>41127</v>
      </c>
      <c r="D867" s="3">
        <v>14342.03</v>
      </c>
      <c r="E867" s="2"/>
      <c r="F867" s="3"/>
      <c r="G867" s="2"/>
      <c r="H867" s="3"/>
      <c r="I867" s="65"/>
      <c r="K867" s="65"/>
      <c r="M867" s="65"/>
      <c r="O867" s="65"/>
      <c r="Q867" s="65"/>
      <c r="S867" s="65"/>
      <c r="U867" s="65"/>
      <c r="W867" s="65"/>
      <c r="Y867" s="65"/>
      <c r="AA867" s="65"/>
      <c r="AC867" s="65"/>
      <c r="AE867" s="65"/>
      <c r="AG867" s="65"/>
      <c r="AI867" s="65"/>
      <c r="AK867" s="65"/>
    </row>
    <row r="868" spans="1:37" x14ac:dyDescent="0.25">
      <c r="A868" s="2">
        <v>41117</v>
      </c>
      <c r="B868" s="3">
        <v>2301.23</v>
      </c>
      <c r="C868" s="2">
        <v>41128</v>
      </c>
      <c r="D868" s="3">
        <v>14655.64</v>
      </c>
      <c r="E868" s="2"/>
      <c r="F868" s="3"/>
      <c r="G868" s="2"/>
      <c r="H868" s="3"/>
      <c r="I868" s="65"/>
      <c r="K868" s="65"/>
      <c r="M868" s="65"/>
      <c r="O868" s="65"/>
      <c r="Q868" s="65"/>
      <c r="S868" s="65"/>
      <c r="U868" s="65"/>
      <c r="W868" s="65"/>
      <c r="Y868" s="65"/>
      <c r="AA868" s="65"/>
      <c r="AC868" s="65"/>
      <c r="AE868" s="65"/>
      <c r="AG868" s="65"/>
      <c r="AI868" s="65"/>
      <c r="AK868" s="65"/>
    </row>
    <row r="869" spans="1:37" x14ac:dyDescent="0.25">
      <c r="A869" s="2">
        <v>41120</v>
      </c>
      <c r="B869" s="3">
        <v>2340.31</v>
      </c>
      <c r="C869" s="2">
        <v>41129</v>
      </c>
      <c r="D869" s="3">
        <v>14665.3</v>
      </c>
      <c r="E869" s="2"/>
      <c r="F869" s="3"/>
      <c r="G869" s="2"/>
      <c r="H869" s="3"/>
      <c r="I869" s="65"/>
      <c r="K869" s="65"/>
      <c r="M869" s="65"/>
      <c r="O869" s="65"/>
      <c r="Q869" s="65"/>
      <c r="S869" s="65"/>
      <c r="U869" s="65"/>
      <c r="W869" s="65"/>
      <c r="Y869" s="65"/>
      <c r="AA869" s="65"/>
      <c r="AC869" s="65"/>
      <c r="AE869" s="65"/>
      <c r="AG869" s="65"/>
      <c r="AI869" s="65"/>
      <c r="AK869" s="65"/>
    </row>
    <row r="870" spans="1:37" x14ac:dyDescent="0.25">
      <c r="A870" s="2">
        <v>41121</v>
      </c>
      <c r="B870" s="3">
        <v>2325.7199999999998</v>
      </c>
      <c r="C870" s="2">
        <v>41130</v>
      </c>
      <c r="D870" s="3">
        <v>14654.11</v>
      </c>
      <c r="E870" s="2"/>
      <c r="F870" s="3"/>
      <c r="G870" s="2"/>
      <c r="H870" s="3"/>
      <c r="I870" s="65"/>
      <c r="K870" s="65"/>
      <c r="M870" s="65"/>
      <c r="O870" s="65"/>
      <c r="Q870" s="65"/>
      <c r="S870" s="65"/>
      <c r="U870" s="65"/>
      <c r="W870" s="65"/>
      <c r="Y870" s="65"/>
      <c r="AA870" s="65"/>
      <c r="AC870" s="65"/>
      <c r="AE870" s="65"/>
      <c r="AG870" s="65"/>
      <c r="AI870" s="65"/>
      <c r="AK870" s="65"/>
    </row>
    <row r="871" spans="1:37" x14ac:dyDescent="0.25">
      <c r="A871" s="2">
        <v>41122</v>
      </c>
      <c r="B871" s="3">
        <v>2333.38</v>
      </c>
      <c r="C871" s="2">
        <v>41131</v>
      </c>
      <c r="D871" s="3">
        <v>14548.64</v>
      </c>
      <c r="E871" s="2"/>
      <c r="F871" s="3"/>
      <c r="G871" s="2"/>
      <c r="H871" s="3"/>
      <c r="I871" s="65"/>
      <c r="K871" s="65"/>
      <c r="M871" s="65"/>
      <c r="O871" s="65"/>
      <c r="Q871" s="65"/>
      <c r="S871" s="65"/>
      <c r="U871" s="65"/>
      <c r="W871" s="65"/>
      <c r="Y871" s="65"/>
      <c r="AA871" s="65"/>
      <c r="AC871" s="65"/>
      <c r="AE871" s="65"/>
      <c r="AG871" s="65"/>
      <c r="AI871" s="65"/>
      <c r="AK871" s="65"/>
    </row>
    <row r="872" spans="1:37" x14ac:dyDescent="0.25">
      <c r="A872" s="2">
        <v>41123</v>
      </c>
      <c r="B872" s="3">
        <v>2263.36</v>
      </c>
      <c r="C872" s="2">
        <v>41134</v>
      </c>
      <c r="D872" s="3">
        <v>14532.87</v>
      </c>
      <c r="E872" s="2"/>
      <c r="F872" s="3"/>
      <c r="G872" s="2"/>
      <c r="H872" s="3"/>
      <c r="I872" s="65"/>
      <c r="K872" s="65"/>
      <c r="M872" s="65"/>
      <c r="O872" s="65"/>
      <c r="Q872" s="65"/>
      <c r="S872" s="65"/>
      <c r="U872" s="65"/>
      <c r="W872" s="65"/>
      <c r="Y872" s="65"/>
      <c r="AA872" s="65"/>
      <c r="AC872" s="65"/>
      <c r="AE872" s="65"/>
      <c r="AG872" s="65"/>
      <c r="AI872" s="65"/>
      <c r="AK872" s="65"/>
    </row>
    <row r="873" spans="1:37" x14ac:dyDescent="0.25">
      <c r="A873" s="2">
        <v>41124</v>
      </c>
      <c r="B873" s="3">
        <v>2372.58</v>
      </c>
      <c r="C873" s="2">
        <v>41135</v>
      </c>
      <c r="D873" s="3">
        <v>14656.87</v>
      </c>
      <c r="E873" s="2"/>
      <c r="F873" s="3"/>
      <c r="G873" s="2"/>
      <c r="H873" s="3"/>
      <c r="I873" s="65"/>
      <c r="K873" s="65"/>
      <c r="M873" s="65"/>
      <c r="O873" s="65"/>
      <c r="Q873" s="65"/>
      <c r="S873" s="65"/>
      <c r="U873" s="65"/>
      <c r="W873" s="65"/>
      <c r="Y873" s="65"/>
      <c r="AA873" s="65"/>
      <c r="AC873" s="65"/>
      <c r="AE873" s="65"/>
      <c r="AG873" s="65"/>
      <c r="AI873" s="65"/>
      <c r="AK873" s="65"/>
    </row>
    <row r="874" spans="1:37" x14ac:dyDescent="0.25">
      <c r="A874" s="2">
        <v>41127</v>
      </c>
      <c r="B874" s="3">
        <v>2399.3200000000002</v>
      </c>
      <c r="C874" s="2">
        <v>41137</v>
      </c>
      <c r="D874" s="3">
        <v>14930.3</v>
      </c>
      <c r="E874" s="2"/>
      <c r="F874" s="3"/>
      <c r="G874" s="2"/>
      <c r="H874" s="3"/>
      <c r="I874" s="65"/>
      <c r="K874" s="65"/>
      <c r="M874" s="65"/>
      <c r="O874" s="65"/>
      <c r="Q874" s="65"/>
      <c r="S874" s="65"/>
      <c r="U874" s="65"/>
      <c r="W874" s="65"/>
      <c r="Y874" s="65"/>
      <c r="AA874" s="65"/>
      <c r="AC874" s="65"/>
      <c r="AE874" s="65"/>
      <c r="AG874" s="65"/>
      <c r="AI874" s="65"/>
      <c r="AK874" s="65"/>
    </row>
    <row r="875" spans="1:37" x14ac:dyDescent="0.25">
      <c r="A875" s="2">
        <v>41128</v>
      </c>
      <c r="B875" s="3">
        <v>2440.2399999999998</v>
      </c>
      <c r="C875" s="2">
        <v>41138</v>
      </c>
      <c r="D875" s="3">
        <v>15124.69</v>
      </c>
      <c r="E875" s="2"/>
      <c r="F875" s="3"/>
      <c r="G875" s="2"/>
      <c r="H875" s="3"/>
      <c r="I875" s="65"/>
      <c r="K875" s="65"/>
      <c r="M875" s="65"/>
      <c r="O875" s="65"/>
      <c r="Q875" s="65"/>
      <c r="S875" s="65"/>
      <c r="U875" s="65"/>
      <c r="W875" s="65"/>
      <c r="Y875" s="65"/>
      <c r="AA875" s="65"/>
      <c r="AC875" s="65"/>
      <c r="AE875" s="65"/>
      <c r="AG875" s="65"/>
      <c r="AI875" s="65"/>
      <c r="AK875" s="65"/>
    </row>
    <row r="876" spans="1:37" x14ac:dyDescent="0.25">
      <c r="A876" s="2">
        <v>41129</v>
      </c>
      <c r="B876" s="3">
        <v>2432.2800000000002</v>
      </c>
      <c r="C876" s="2">
        <v>41141</v>
      </c>
      <c r="D876" s="3">
        <v>14971.88</v>
      </c>
      <c r="E876" s="2"/>
      <c r="F876" s="3"/>
      <c r="G876" s="2"/>
      <c r="H876" s="3"/>
      <c r="I876" s="65"/>
      <c r="K876" s="65"/>
      <c r="M876" s="65"/>
      <c r="O876" s="65"/>
      <c r="Q876" s="65"/>
      <c r="S876" s="65"/>
      <c r="U876" s="65"/>
      <c r="W876" s="65"/>
      <c r="Y876" s="65"/>
      <c r="AA876" s="65"/>
      <c r="AC876" s="65"/>
      <c r="AE876" s="65"/>
      <c r="AG876" s="65"/>
      <c r="AI876" s="65"/>
      <c r="AK876" s="65"/>
    </row>
    <row r="877" spans="1:37" x14ac:dyDescent="0.25">
      <c r="A877" s="2">
        <v>41130</v>
      </c>
      <c r="B877" s="3">
        <v>2437.04</v>
      </c>
      <c r="C877" s="2">
        <v>41142</v>
      </c>
      <c r="D877" s="3">
        <v>15330.46</v>
      </c>
      <c r="E877" s="2"/>
      <c r="F877" s="3"/>
      <c r="G877" s="2"/>
      <c r="H877" s="3"/>
      <c r="I877" s="65"/>
      <c r="K877" s="65"/>
      <c r="M877" s="65"/>
      <c r="O877" s="65"/>
      <c r="Q877" s="65"/>
      <c r="S877" s="65"/>
      <c r="U877" s="65"/>
      <c r="W877" s="65"/>
      <c r="Y877" s="65"/>
      <c r="AA877" s="65"/>
      <c r="AC877" s="65"/>
      <c r="AE877" s="65"/>
      <c r="AG877" s="65"/>
      <c r="AI877" s="65"/>
      <c r="AK877" s="65"/>
    </row>
    <row r="878" spans="1:37" x14ac:dyDescent="0.25">
      <c r="A878" s="2">
        <v>41131</v>
      </c>
      <c r="B878" s="3">
        <v>2423.2199999999998</v>
      </c>
      <c r="C878" s="2">
        <v>41143</v>
      </c>
      <c r="D878" s="3">
        <v>15161.18</v>
      </c>
      <c r="E878" s="2"/>
      <c r="F878" s="3"/>
      <c r="G878" s="2"/>
      <c r="H878" s="3"/>
      <c r="I878" s="65"/>
      <c r="K878" s="65"/>
      <c r="M878" s="65"/>
      <c r="O878" s="65"/>
      <c r="Q878" s="65"/>
      <c r="S878" s="65"/>
      <c r="U878" s="65"/>
      <c r="W878" s="65"/>
      <c r="Y878" s="65"/>
      <c r="AA878" s="65"/>
      <c r="AC878" s="65"/>
      <c r="AE878" s="65"/>
      <c r="AG878" s="65"/>
      <c r="AI878" s="65"/>
      <c r="AK878" s="65"/>
    </row>
    <row r="879" spans="1:37" x14ac:dyDescent="0.25">
      <c r="A879" s="2">
        <v>41134</v>
      </c>
      <c r="B879" s="3">
        <v>2415.96</v>
      </c>
      <c r="C879" s="2">
        <v>41144</v>
      </c>
      <c r="D879" s="3">
        <v>14953.76</v>
      </c>
      <c r="E879" s="2"/>
      <c r="F879" s="3"/>
      <c r="G879" s="2"/>
      <c r="H879" s="3"/>
      <c r="I879" s="65"/>
      <c r="K879" s="65"/>
      <c r="M879" s="65"/>
      <c r="O879" s="65"/>
      <c r="Q879" s="65"/>
      <c r="S879" s="65"/>
      <c r="U879" s="65"/>
      <c r="W879" s="65"/>
      <c r="Y879" s="65"/>
      <c r="AA879" s="65"/>
      <c r="AC879" s="65"/>
      <c r="AE879" s="65"/>
      <c r="AG879" s="65"/>
      <c r="AI879" s="65"/>
      <c r="AK879" s="65"/>
    </row>
    <row r="880" spans="1:37" x14ac:dyDescent="0.25">
      <c r="A880" s="2">
        <v>41135</v>
      </c>
      <c r="B880" s="3">
        <v>2432.29</v>
      </c>
      <c r="C880" s="2">
        <v>41145</v>
      </c>
      <c r="D880" s="3">
        <v>14880.68</v>
      </c>
      <c r="E880" s="2"/>
      <c r="F880" s="3"/>
      <c r="G880" s="2"/>
      <c r="H880" s="3"/>
      <c r="I880" s="65"/>
      <c r="K880" s="65"/>
      <c r="M880" s="65"/>
      <c r="O880" s="65"/>
      <c r="Q880" s="65"/>
      <c r="S880" s="65"/>
      <c r="U880" s="65"/>
      <c r="W880" s="65"/>
      <c r="Y880" s="65"/>
      <c r="AA880" s="65"/>
      <c r="AC880" s="65"/>
      <c r="AE880" s="65"/>
      <c r="AG880" s="65"/>
      <c r="AI880" s="65"/>
      <c r="AK880" s="65"/>
    </row>
    <row r="881" spans="1:37" x14ac:dyDescent="0.25">
      <c r="A881" s="2">
        <v>41136</v>
      </c>
      <c r="B881" s="3">
        <v>2430.39</v>
      </c>
      <c r="C881" s="2">
        <v>41148</v>
      </c>
      <c r="D881" s="3">
        <v>15012.87</v>
      </c>
      <c r="E881" s="2"/>
      <c r="F881" s="3"/>
      <c r="G881" s="2"/>
      <c r="H881" s="3"/>
      <c r="I881" s="65"/>
      <c r="K881" s="65"/>
      <c r="M881" s="65"/>
      <c r="O881" s="65"/>
      <c r="Q881" s="65"/>
      <c r="S881" s="65"/>
      <c r="U881" s="65"/>
      <c r="W881" s="65"/>
      <c r="Y881" s="65"/>
      <c r="AA881" s="65"/>
      <c r="AC881" s="65"/>
      <c r="AE881" s="65"/>
      <c r="AG881" s="65"/>
      <c r="AI881" s="65"/>
      <c r="AK881" s="65"/>
    </row>
    <row r="882" spans="1:37" x14ac:dyDescent="0.25">
      <c r="A882" s="2">
        <v>41137</v>
      </c>
      <c r="B882" s="3">
        <v>2456.5300000000002</v>
      </c>
      <c r="C882" s="2">
        <v>41149</v>
      </c>
      <c r="D882" s="3">
        <v>14993.01</v>
      </c>
      <c r="E882" s="2"/>
      <c r="F882" s="3"/>
      <c r="G882" s="2"/>
      <c r="H882" s="3"/>
      <c r="I882" s="65"/>
      <c r="K882" s="65"/>
      <c r="M882" s="65"/>
      <c r="O882" s="65"/>
      <c r="Q882" s="65"/>
      <c r="S882" s="65"/>
      <c r="U882" s="65"/>
      <c r="W882" s="65"/>
      <c r="Y882" s="65"/>
      <c r="AA882" s="65"/>
      <c r="AC882" s="65"/>
      <c r="AE882" s="65"/>
      <c r="AG882" s="65"/>
      <c r="AI882" s="65"/>
      <c r="AK882" s="65"/>
    </row>
    <row r="883" spans="1:37" x14ac:dyDescent="0.25">
      <c r="A883" s="2">
        <v>41138</v>
      </c>
      <c r="B883" s="3">
        <v>2471.5300000000002</v>
      </c>
      <c r="C883" s="2">
        <v>41150</v>
      </c>
      <c r="D883" s="3">
        <v>14943.57</v>
      </c>
      <c r="E883" s="2"/>
      <c r="F883" s="3"/>
      <c r="G883" s="2"/>
      <c r="H883" s="3"/>
      <c r="I883" s="65"/>
      <c r="K883" s="65"/>
      <c r="M883" s="65"/>
      <c r="O883" s="65"/>
      <c r="Q883" s="65"/>
      <c r="S883" s="65"/>
      <c r="U883" s="65"/>
      <c r="W883" s="65"/>
      <c r="Y883" s="65"/>
      <c r="AA883" s="65"/>
      <c r="AC883" s="65"/>
      <c r="AE883" s="65"/>
      <c r="AG883" s="65"/>
      <c r="AI883" s="65"/>
      <c r="AK883" s="65"/>
    </row>
    <row r="884" spans="1:37" x14ac:dyDescent="0.25">
      <c r="A884" s="2">
        <v>41141</v>
      </c>
      <c r="B884" s="3">
        <v>2466.3200000000002</v>
      </c>
      <c r="C884" s="2">
        <v>41151</v>
      </c>
      <c r="D884" s="3">
        <v>14780.55</v>
      </c>
      <c r="E884" s="2"/>
      <c r="F884" s="3"/>
      <c r="G884" s="2"/>
      <c r="H884" s="3"/>
      <c r="I884" s="65"/>
      <c r="K884" s="65"/>
      <c r="M884" s="65"/>
      <c r="O884" s="65"/>
      <c r="Q884" s="65"/>
      <c r="S884" s="65"/>
      <c r="U884" s="65"/>
      <c r="W884" s="65"/>
      <c r="Y884" s="65"/>
      <c r="AA884" s="65"/>
      <c r="AC884" s="65"/>
      <c r="AE884" s="65"/>
      <c r="AG884" s="65"/>
      <c r="AI884" s="65"/>
      <c r="AK884" s="65"/>
    </row>
    <row r="885" spans="1:37" x14ac:dyDescent="0.25">
      <c r="A885" s="2">
        <v>41142</v>
      </c>
      <c r="B885" s="3">
        <v>2490.27</v>
      </c>
      <c r="C885" s="2">
        <v>41152</v>
      </c>
      <c r="D885" s="3">
        <v>15100.48</v>
      </c>
      <c r="E885" s="2"/>
      <c r="F885" s="3"/>
      <c r="G885" s="2"/>
      <c r="H885" s="3"/>
      <c r="I885" s="65"/>
      <c r="K885" s="65"/>
      <c r="M885" s="65"/>
      <c r="O885" s="65"/>
      <c r="Q885" s="65"/>
      <c r="S885" s="65"/>
      <c r="U885" s="65"/>
      <c r="W885" s="65"/>
      <c r="Y885" s="65"/>
      <c r="AA885" s="65"/>
      <c r="AC885" s="65"/>
      <c r="AE885" s="65"/>
      <c r="AG885" s="65"/>
      <c r="AI885" s="65"/>
      <c r="AK885" s="65"/>
    </row>
    <row r="886" spans="1:37" x14ac:dyDescent="0.25">
      <c r="A886" s="2">
        <v>41143</v>
      </c>
      <c r="B886" s="3">
        <v>2452.73</v>
      </c>
      <c r="C886" s="2">
        <v>41155</v>
      </c>
      <c r="D886" s="3">
        <v>15267.17</v>
      </c>
      <c r="E886" s="2"/>
      <c r="F886" s="3"/>
      <c r="G886" s="2"/>
      <c r="H886" s="3"/>
      <c r="I886" s="65"/>
      <c r="K886" s="65"/>
      <c r="M886" s="65"/>
      <c r="O886" s="65"/>
      <c r="Q886" s="65"/>
      <c r="S886" s="65"/>
      <c r="U886" s="65"/>
      <c r="W886" s="65"/>
      <c r="Y886" s="65"/>
      <c r="AA886" s="65"/>
      <c r="AC886" s="65"/>
      <c r="AE886" s="65"/>
      <c r="AG886" s="65"/>
      <c r="AI886" s="65"/>
      <c r="AK886" s="65"/>
    </row>
    <row r="887" spans="1:37" x14ac:dyDescent="0.25">
      <c r="A887" s="2">
        <v>41144</v>
      </c>
      <c r="B887" s="3">
        <v>2429.17</v>
      </c>
      <c r="C887" s="2">
        <v>41156</v>
      </c>
      <c r="D887" s="3">
        <v>15222.63</v>
      </c>
      <c r="E887" s="2"/>
      <c r="F887" s="3"/>
      <c r="G887" s="2"/>
      <c r="H887" s="3"/>
      <c r="I887" s="65"/>
      <c r="K887" s="65"/>
      <c r="M887" s="65"/>
      <c r="O887" s="65"/>
      <c r="Q887" s="65"/>
      <c r="S887" s="65"/>
      <c r="U887" s="65"/>
      <c r="W887" s="65"/>
      <c r="Y887" s="65"/>
      <c r="AA887" s="65"/>
      <c r="AC887" s="65"/>
      <c r="AE887" s="65"/>
      <c r="AG887" s="65"/>
      <c r="AI887" s="65"/>
      <c r="AK887" s="65"/>
    </row>
    <row r="888" spans="1:37" x14ac:dyDescent="0.25">
      <c r="A888" s="2">
        <v>41145</v>
      </c>
      <c r="B888" s="3">
        <v>2434.23</v>
      </c>
      <c r="C888" s="2">
        <v>41157</v>
      </c>
      <c r="D888" s="3">
        <v>15128.08</v>
      </c>
      <c r="E888" s="2"/>
      <c r="F888" s="3"/>
      <c r="G888" s="2"/>
      <c r="H888" s="3"/>
      <c r="I888" s="65"/>
      <c r="K888" s="65"/>
      <c r="M888" s="65"/>
      <c r="O888" s="65"/>
      <c r="Q888" s="65"/>
      <c r="S888" s="65"/>
      <c r="U888" s="65"/>
      <c r="W888" s="65"/>
      <c r="Y888" s="65"/>
      <c r="AA888" s="65"/>
      <c r="AC888" s="65"/>
      <c r="AE888" s="65"/>
      <c r="AG888" s="65"/>
      <c r="AI888" s="65"/>
      <c r="AK888" s="65"/>
    </row>
    <row r="889" spans="1:37" x14ac:dyDescent="0.25">
      <c r="A889" s="2">
        <v>41148</v>
      </c>
      <c r="B889" s="3">
        <v>2461.8200000000002</v>
      </c>
      <c r="C889" s="2">
        <v>41158</v>
      </c>
      <c r="D889" s="3">
        <v>15780.32</v>
      </c>
      <c r="E889" s="2"/>
      <c r="F889" s="3"/>
      <c r="G889" s="2"/>
      <c r="H889" s="3"/>
      <c r="I889" s="65"/>
      <c r="K889" s="65"/>
      <c r="M889" s="65"/>
      <c r="O889" s="65"/>
      <c r="Q889" s="65"/>
      <c r="S889" s="65"/>
      <c r="U889" s="65"/>
      <c r="W889" s="65"/>
      <c r="Y889" s="65"/>
      <c r="AA889" s="65"/>
      <c r="AC889" s="65"/>
      <c r="AE889" s="65"/>
      <c r="AG889" s="65"/>
      <c r="AI889" s="65"/>
      <c r="AK889" s="65"/>
    </row>
    <row r="890" spans="1:37" x14ac:dyDescent="0.25">
      <c r="A890" s="2">
        <v>41149</v>
      </c>
      <c r="B890" s="3">
        <v>2442.12</v>
      </c>
      <c r="C890" s="2">
        <v>41159</v>
      </c>
      <c r="D890" s="3">
        <v>16110.27</v>
      </c>
      <c r="E890" s="2"/>
      <c r="F890" s="3"/>
      <c r="G890" s="2"/>
      <c r="H890" s="3"/>
      <c r="I890" s="65"/>
      <c r="K890" s="65"/>
      <c r="M890" s="65"/>
      <c r="O890" s="65"/>
      <c r="Q890" s="65"/>
      <c r="S890" s="65"/>
      <c r="U890" s="65"/>
      <c r="W890" s="65"/>
      <c r="Y890" s="65"/>
      <c r="AA890" s="65"/>
      <c r="AC890" s="65"/>
      <c r="AE890" s="65"/>
      <c r="AG890" s="65"/>
      <c r="AI890" s="65"/>
      <c r="AK890" s="65"/>
    </row>
    <row r="891" spans="1:37" x14ac:dyDescent="0.25">
      <c r="A891" s="2">
        <v>41150</v>
      </c>
      <c r="B891" s="3">
        <v>2434.23</v>
      </c>
      <c r="C891" s="2">
        <v>41162</v>
      </c>
      <c r="D891" s="3">
        <v>16092.06</v>
      </c>
      <c r="E891" s="2"/>
      <c r="F891" s="3"/>
      <c r="G891" s="2"/>
      <c r="H891" s="3"/>
      <c r="I891" s="65"/>
      <c r="K891" s="65"/>
      <c r="M891" s="65"/>
      <c r="O891" s="65"/>
      <c r="Q891" s="65"/>
      <c r="S891" s="65"/>
      <c r="U891" s="65"/>
      <c r="W891" s="65"/>
      <c r="Y891" s="65"/>
      <c r="AA891" s="65"/>
      <c r="AC891" s="65"/>
      <c r="AE891" s="65"/>
      <c r="AG891" s="65"/>
      <c r="AI891" s="65"/>
      <c r="AK891" s="65"/>
    </row>
    <row r="892" spans="1:37" x14ac:dyDescent="0.25">
      <c r="A892" s="2">
        <v>41151</v>
      </c>
      <c r="B892" s="3">
        <v>2403.8000000000002</v>
      </c>
      <c r="C892" s="2">
        <v>41163</v>
      </c>
      <c r="D892" s="3">
        <v>16226.66</v>
      </c>
      <c r="E892" s="2"/>
      <c r="F892" s="3"/>
      <c r="G892" s="2"/>
      <c r="H892" s="3"/>
      <c r="I892" s="65"/>
      <c r="K892" s="65"/>
      <c r="M892" s="65"/>
      <c r="O892" s="65"/>
      <c r="Q892" s="65"/>
      <c r="S892" s="65"/>
      <c r="U892" s="65"/>
      <c r="W892" s="65"/>
      <c r="Y892" s="65"/>
      <c r="AA892" s="65"/>
      <c r="AC892" s="65"/>
      <c r="AE892" s="65"/>
      <c r="AG892" s="65"/>
      <c r="AI892" s="65"/>
      <c r="AK892" s="65"/>
    </row>
    <row r="893" spans="1:37" x14ac:dyDescent="0.25">
      <c r="A893" s="2">
        <v>41152</v>
      </c>
      <c r="B893" s="3">
        <v>2440.71</v>
      </c>
      <c r="C893" s="2">
        <v>41164</v>
      </c>
      <c r="D893" s="3">
        <v>16419.79</v>
      </c>
      <c r="E893" s="2"/>
      <c r="F893" s="3"/>
      <c r="G893" s="2"/>
      <c r="H893" s="3"/>
      <c r="I893" s="65"/>
      <c r="K893" s="65"/>
      <c r="M893" s="65"/>
      <c r="O893" s="65"/>
      <c r="Q893" s="65"/>
      <c r="S893" s="65"/>
      <c r="U893" s="65"/>
      <c r="W893" s="65"/>
      <c r="Y893" s="65"/>
      <c r="AA893" s="65"/>
      <c r="AC893" s="65"/>
      <c r="AE893" s="65"/>
      <c r="AG893" s="65"/>
      <c r="AI893" s="65"/>
      <c r="AK893" s="65"/>
    </row>
    <row r="894" spans="1:37" x14ac:dyDescent="0.25">
      <c r="A894" s="2">
        <v>41155</v>
      </c>
      <c r="B894" s="3">
        <v>2463.17</v>
      </c>
      <c r="C894" s="2">
        <v>41165</v>
      </c>
      <c r="D894" s="3">
        <v>16244.28</v>
      </c>
      <c r="E894" s="2"/>
      <c r="F894" s="3"/>
      <c r="G894" s="2"/>
      <c r="H894" s="3"/>
      <c r="I894" s="65"/>
      <c r="K894" s="65"/>
      <c r="M894" s="65"/>
      <c r="O894" s="65"/>
      <c r="Q894" s="65"/>
      <c r="S894" s="65"/>
      <c r="U894" s="65"/>
      <c r="W894" s="65"/>
      <c r="Y894" s="65"/>
      <c r="AA894" s="65"/>
      <c r="AC894" s="65"/>
      <c r="AE894" s="65"/>
      <c r="AG894" s="65"/>
      <c r="AI894" s="65"/>
      <c r="AK894" s="65"/>
    </row>
    <row r="895" spans="1:37" x14ac:dyDescent="0.25">
      <c r="A895" s="2">
        <v>41156</v>
      </c>
      <c r="B895" s="3">
        <v>2436.54</v>
      </c>
      <c r="C895" s="2">
        <v>41166</v>
      </c>
      <c r="D895" s="3">
        <v>16624.45</v>
      </c>
      <c r="E895" s="2"/>
      <c r="F895" s="3"/>
      <c r="G895" s="2"/>
      <c r="H895" s="3"/>
      <c r="I895" s="65"/>
      <c r="K895" s="65"/>
      <c r="M895" s="65"/>
      <c r="O895" s="65"/>
      <c r="Q895" s="65"/>
      <c r="S895" s="65"/>
      <c r="U895" s="65"/>
      <c r="W895" s="65"/>
      <c r="Y895" s="65"/>
      <c r="AA895" s="65"/>
      <c r="AC895" s="65"/>
      <c r="AE895" s="65"/>
      <c r="AG895" s="65"/>
      <c r="AI895" s="65"/>
      <c r="AK895" s="65"/>
    </row>
    <row r="896" spans="1:37" x14ac:dyDescent="0.25">
      <c r="A896" s="2">
        <v>41157</v>
      </c>
      <c r="B896" s="3">
        <v>2441.81</v>
      </c>
      <c r="C896" s="2">
        <v>41169</v>
      </c>
      <c r="D896" s="3">
        <v>16470.09</v>
      </c>
      <c r="E896" s="2"/>
      <c r="F896" s="3"/>
      <c r="G896" s="2"/>
      <c r="H896" s="3"/>
      <c r="I896" s="65"/>
      <c r="K896" s="65"/>
      <c r="M896" s="65"/>
      <c r="O896" s="65"/>
      <c r="Q896" s="65"/>
      <c r="S896" s="65"/>
      <c r="U896" s="65"/>
      <c r="W896" s="65"/>
      <c r="Y896" s="65"/>
      <c r="AA896" s="65"/>
      <c r="AC896" s="65"/>
      <c r="AE896" s="65"/>
      <c r="AG896" s="65"/>
      <c r="AI896" s="65"/>
      <c r="AK896" s="65"/>
    </row>
    <row r="897" spans="1:37" x14ac:dyDescent="0.25">
      <c r="A897" s="2">
        <v>41158</v>
      </c>
      <c r="B897" s="3">
        <v>2524.9499999999998</v>
      </c>
      <c r="C897" s="2">
        <v>41170</v>
      </c>
      <c r="D897" s="3">
        <v>16076.03</v>
      </c>
      <c r="E897" s="2"/>
      <c r="F897" s="3"/>
      <c r="G897" s="2"/>
      <c r="H897" s="3"/>
      <c r="I897" s="65"/>
      <c r="K897" s="65"/>
      <c r="M897" s="65"/>
      <c r="O897" s="65"/>
      <c r="Q897" s="65"/>
      <c r="S897" s="65"/>
      <c r="U897" s="65"/>
      <c r="W897" s="65"/>
      <c r="Y897" s="65"/>
      <c r="AA897" s="65"/>
      <c r="AC897" s="65"/>
      <c r="AE897" s="65"/>
      <c r="AG897" s="65"/>
      <c r="AI897" s="65"/>
      <c r="AK897" s="65"/>
    </row>
    <row r="898" spans="1:37" x14ac:dyDescent="0.25">
      <c r="A898" s="2">
        <v>41159</v>
      </c>
      <c r="B898" s="3">
        <v>2538.6</v>
      </c>
      <c r="C898" s="2">
        <v>41171</v>
      </c>
      <c r="D898" s="3">
        <v>16100.23</v>
      </c>
      <c r="E898" s="2"/>
      <c r="F898" s="3"/>
      <c r="G898" s="2"/>
      <c r="H898" s="3"/>
      <c r="I898" s="65"/>
      <c r="K898" s="65"/>
      <c r="M898" s="65"/>
      <c r="O898" s="65"/>
      <c r="Q898" s="65"/>
      <c r="S898" s="65"/>
      <c r="U898" s="65"/>
      <c r="W898" s="65"/>
      <c r="Y898" s="65"/>
      <c r="AA898" s="65"/>
      <c r="AC898" s="65"/>
      <c r="AE898" s="65"/>
      <c r="AG898" s="65"/>
      <c r="AI898" s="65"/>
      <c r="AK898" s="65"/>
    </row>
    <row r="899" spans="1:37" x14ac:dyDescent="0.25">
      <c r="A899" s="2">
        <v>41162</v>
      </c>
      <c r="B899" s="3">
        <v>2528.5300000000002</v>
      </c>
      <c r="C899" s="2">
        <v>41172</v>
      </c>
      <c r="D899" s="3">
        <v>15830.28</v>
      </c>
      <c r="E899" s="2"/>
      <c r="F899" s="3"/>
      <c r="G899" s="2"/>
      <c r="H899" s="3"/>
      <c r="I899" s="65"/>
      <c r="K899" s="65"/>
      <c r="M899" s="65"/>
      <c r="O899" s="65"/>
      <c r="Q899" s="65"/>
      <c r="S899" s="65"/>
      <c r="U899" s="65"/>
      <c r="W899" s="65"/>
      <c r="Y899" s="65"/>
      <c r="AA899" s="65"/>
      <c r="AC899" s="65"/>
      <c r="AE899" s="65"/>
      <c r="AG899" s="65"/>
      <c r="AI899" s="65"/>
      <c r="AK899" s="65"/>
    </row>
    <row r="900" spans="1:37" x14ac:dyDescent="0.25">
      <c r="A900" s="2">
        <v>41163</v>
      </c>
      <c r="B900" s="3">
        <v>2557.65</v>
      </c>
      <c r="C900" s="2">
        <v>41173</v>
      </c>
      <c r="D900" s="3">
        <v>15991.1</v>
      </c>
      <c r="E900" s="2"/>
      <c r="F900" s="3"/>
      <c r="G900" s="2"/>
      <c r="H900" s="3"/>
      <c r="I900" s="65"/>
      <c r="K900" s="65"/>
      <c r="M900" s="65"/>
      <c r="O900" s="65"/>
      <c r="Q900" s="65"/>
      <c r="S900" s="65"/>
      <c r="U900" s="65"/>
      <c r="W900" s="65"/>
      <c r="Y900" s="65"/>
      <c r="AA900" s="65"/>
      <c r="AC900" s="65"/>
      <c r="AE900" s="65"/>
      <c r="AG900" s="65"/>
      <c r="AI900" s="65"/>
      <c r="AK900" s="65"/>
    </row>
    <row r="901" spans="1:37" x14ac:dyDescent="0.25">
      <c r="A901" s="2">
        <v>41164</v>
      </c>
      <c r="B901" s="3">
        <v>2564.8000000000002</v>
      </c>
      <c r="C901" s="2">
        <v>41176</v>
      </c>
      <c r="D901" s="3">
        <v>15867.07</v>
      </c>
      <c r="E901" s="2"/>
      <c r="F901" s="3"/>
      <c r="G901" s="2"/>
      <c r="H901" s="3"/>
      <c r="I901" s="65"/>
      <c r="K901" s="65"/>
      <c r="M901" s="65"/>
      <c r="O901" s="65"/>
      <c r="Q901" s="65"/>
      <c r="S901" s="65"/>
      <c r="U901" s="65"/>
      <c r="W901" s="65"/>
      <c r="Y901" s="65"/>
      <c r="AA901" s="65"/>
      <c r="AC901" s="65"/>
      <c r="AE901" s="65"/>
      <c r="AG901" s="65"/>
      <c r="AI901" s="65"/>
      <c r="AK901" s="65"/>
    </row>
    <row r="902" spans="1:37" x14ac:dyDescent="0.25">
      <c r="A902" s="2">
        <v>41165</v>
      </c>
      <c r="B902" s="3">
        <v>2543.2199999999998</v>
      </c>
      <c r="C902" s="2">
        <v>41177</v>
      </c>
      <c r="D902" s="3">
        <v>15932.6</v>
      </c>
      <c r="E902" s="2"/>
      <c r="F902" s="3"/>
      <c r="G902" s="2"/>
      <c r="H902" s="3"/>
      <c r="I902" s="65"/>
      <c r="K902" s="65"/>
      <c r="M902" s="65"/>
      <c r="O902" s="65"/>
      <c r="Q902" s="65"/>
      <c r="S902" s="65"/>
      <c r="U902" s="65"/>
      <c r="W902" s="65"/>
      <c r="Y902" s="65"/>
      <c r="AA902" s="65"/>
      <c r="AC902" s="65"/>
      <c r="AE902" s="65"/>
      <c r="AG902" s="65"/>
      <c r="AI902" s="65"/>
      <c r="AK902" s="65"/>
    </row>
    <row r="903" spans="1:37" x14ac:dyDescent="0.25">
      <c r="A903" s="2">
        <v>41166</v>
      </c>
      <c r="B903" s="3">
        <v>2594.56</v>
      </c>
      <c r="C903" s="2">
        <v>41178</v>
      </c>
      <c r="D903" s="3">
        <v>15408.03</v>
      </c>
      <c r="E903" s="2"/>
      <c r="F903" s="3"/>
      <c r="G903" s="2"/>
      <c r="H903" s="3"/>
      <c r="I903" s="65"/>
      <c r="K903" s="65"/>
      <c r="M903" s="65"/>
      <c r="O903" s="65"/>
      <c r="Q903" s="65"/>
      <c r="S903" s="65"/>
      <c r="U903" s="65"/>
      <c r="W903" s="65"/>
      <c r="Y903" s="65"/>
      <c r="AA903" s="65"/>
      <c r="AC903" s="65"/>
      <c r="AE903" s="65"/>
      <c r="AG903" s="65"/>
      <c r="AI903" s="65"/>
      <c r="AK903" s="65"/>
    </row>
    <row r="904" spans="1:37" x14ac:dyDescent="0.25">
      <c r="A904" s="2">
        <v>41169</v>
      </c>
      <c r="B904" s="3">
        <v>2583.5700000000002</v>
      </c>
      <c r="C904" s="2">
        <v>41179</v>
      </c>
      <c r="D904" s="3">
        <v>15450.14</v>
      </c>
      <c r="E904" s="2"/>
      <c r="F904" s="3"/>
      <c r="G904" s="2"/>
      <c r="H904" s="3"/>
      <c r="I904" s="65"/>
      <c r="K904" s="65"/>
      <c r="M904" s="65"/>
      <c r="O904" s="65"/>
      <c r="Q904" s="65"/>
      <c r="S904" s="65"/>
      <c r="U904" s="65"/>
      <c r="W904" s="65"/>
      <c r="Y904" s="65"/>
      <c r="AA904" s="65"/>
      <c r="AC904" s="65"/>
      <c r="AE904" s="65"/>
      <c r="AG904" s="65"/>
      <c r="AI904" s="65"/>
      <c r="AK904" s="65"/>
    </row>
    <row r="905" spans="1:37" x14ac:dyDescent="0.25">
      <c r="A905" s="2">
        <v>41170</v>
      </c>
      <c r="B905" s="3">
        <v>2553.4</v>
      </c>
      <c r="C905" s="2">
        <v>41180</v>
      </c>
      <c r="D905" s="3">
        <v>15095.84</v>
      </c>
      <c r="E905" s="2"/>
      <c r="F905" s="3"/>
      <c r="G905" s="2"/>
      <c r="H905" s="3"/>
      <c r="I905" s="65"/>
      <c r="K905" s="65"/>
      <c r="M905" s="65"/>
      <c r="O905" s="65"/>
      <c r="Q905" s="65"/>
      <c r="S905" s="65"/>
      <c r="U905" s="65"/>
      <c r="W905" s="65"/>
      <c r="Y905" s="65"/>
      <c r="AA905" s="65"/>
      <c r="AC905" s="65"/>
      <c r="AE905" s="65"/>
      <c r="AG905" s="65"/>
      <c r="AI905" s="65"/>
      <c r="AK905" s="65"/>
    </row>
    <row r="906" spans="1:37" x14ac:dyDescent="0.25">
      <c r="A906" s="2">
        <v>41171</v>
      </c>
      <c r="B906" s="3">
        <v>2567.67</v>
      </c>
      <c r="C906" s="2">
        <v>41183</v>
      </c>
      <c r="D906" s="3">
        <v>15523.1</v>
      </c>
      <c r="E906" s="2"/>
      <c r="F906" s="3"/>
      <c r="G906" s="2"/>
      <c r="H906" s="3"/>
      <c r="I906" s="65"/>
      <c r="K906" s="65"/>
      <c r="M906" s="65"/>
      <c r="O906" s="65"/>
      <c r="Q906" s="65"/>
      <c r="S906" s="65"/>
      <c r="U906" s="65"/>
      <c r="W906" s="65"/>
      <c r="Y906" s="65"/>
      <c r="AA906" s="65"/>
      <c r="AC906" s="65"/>
      <c r="AE906" s="65"/>
      <c r="AG906" s="65"/>
      <c r="AI906" s="65"/>
      <c r="AK906" s="65"/>
    </row>
    <row r="907" spans="1:37" x14ac:dyDescent="0.25">
      <c r="A907" s="2">
        <v>41172</v>
      </c>
      <c r="B907" s="3">
        <v>2553.0300000000002</v>
      </c>
      <c r="C907" s="2">
        <v>41184</v>
      </c>
      <c r="D907" s="3">
        <v>15495.79</v>
      </c>
      <c r="E907" s="2"/>
      <c r="F907" s="3"/>
      <c r="G907" s="2"/>
      <c r="H907" s="3"/>
      <c r="I907" s="65"/>
      <c r="K907" s="65"/>
      <c r="M907" s="65"/>
      <c r="O907" s="65"/>
      <c r="Q907" s="65"/>
      <c r="S907" s="65"/>
      <c r="U907" s="65"/>
      <c r="W907" s="65"/>
      <c r="Y907" s="65"/>
      <c r="AA907" s="65"/>
      <c r="AC907" s="65"/>
      <c r="AE907" s="65"/>
      <c r="AG907" s="65"/>
      <c r="AI907" s="65"/>
      <c r="AK907" s="65"/>
    </row>
    <row r="908" spans="1:37" x14ac:dyDescent="0.25">
      <c r="A908" s="2">
        <v>41173</v>
      </c>
      <c r="B908" s="3">
        <v>2577.08</v>
      </c>
      <c r="C908" s="2">
        <v>41185</v>
      </c>
      <c r="D908" s="3">
        <v>15535.09</v>
      </c>
      <c r="E908" s="2"/>
      <c r="F908" s="3"/>
      <c r="G908" s="2"/>
      <c r="H908" s="3"/>
      <c r="I908" s="65"/>
      <c r="K908" s="65"/>
      <c r="M908" s="65"/>
      <c r="O908" s="65"/>
      <c r="Q908" s="65"/>
      <c r="S908" s="65"/>
      <c r="U908" s="65"/>
      <c r="W908" s="65"/>
      <c r="Y908" s="65"/>
      <c r="AA908" s="65"/>
      <c r="AC908" s="65"/>
      <c r="AE908" s="65"/>
      <c r="AG908" s="65"/>
      <c r="AI908" s="65"/>
      <c r="AK908" s="65"/>
    </row>
    <row r="909" spans="1:37" x14ac:dyDescent="0.25">
      <c r="A909" s="2">
        <v>41176</v>
      </c>
      <c r="B909" s="3">
        <v>2557.89</v>
      </c>
      <c r="C909" s="2">
        <v>41186</v>
      </c>
      <c r="D909" s="3">
        <v>15511.25</v>
      </c>
      <c r="E909" s="2"/>
      <c r="F909" s="3"/>
      <c r="G909" s="2"/>
      <c r="H909" s="3"/>
      <c r="I909" s="65"/>
      <c r="K909" s="65"/>
      <c r="M909" s="65"/>
      <c r="O909" s="65"/>
      <c r="Q909" s="65"/>
      <c r="S909" s="65"/>
      <c r="U909" s="65"/>
      <c r="W909" s="65"/>
      <c r="Y909" s="65"/>
      <c r="AA909" s="65"/>
      <c r="AC909" s="65"/>
      <c r="AE909" s="65"/>
      <c r="AG909" s="65"/>
      <c r="AI909" s="65"/>
      <c r="AK909" s="65"/>
    </row>
    <row r="910" spans="1:37" x14ac:dyDescent="0.25">
      <c r="A910" s="2">
        <v>41177</v>
      </c>
      <c r="B910" s="3">
        <v>2568.48</v>
      </c>
      <c r="C910" s="2">
        <v>41187</v>
      </c>
      <c r="D910" s="3">
        <v>15876.25</v>
      </c>
      <c r="E910" s="2"/>
      <c r="F910" s="3"/>
      <c r="G910" s="2"/>
      <c r="H910" s="3"/>
      <c r="I910" s="65"/>
      <c r="K910" s="65"/>
      <c r="M910" s="65"/>
      <c r="O910" s="65"/>
      <c r="Q910" s="65"/>
      <c r="S910" s="65"/>
      <c r="U910" s="65"/>
      <c r="W910" s="65"/>
      <c r="Y910" s="65"/>
      <c r="AA910" s="65"/>
      <c r="AC910" s="65"/>
      <c r="AE910" s="65"/>
      <c r="AG910" s="65"/>
      <c r="AI910" s="65"/>
      <c r="AK910" s="65"/>
    </row>
    <row r="911" spans="1:37" x14ac:dyDescent="0.25">
      <c r="A911" s="2">
        <v>41178</v>
      </c>
      <c r="B911" s="3">
        <v>2498.52</v>
      </c>
      <c r="C911" s="2">
        <v>41190</v>
      </c>
      <c r="D911" s="3">
        <v>15562</v>
      </c>
      <c r="E911" s="2"/>
      <c r="F911" s="3"/>
      <c r="G911" s="2"/>
      <c r="H911" s="3"/>
      <c r="I911" s="65"/>
      <c r="K911" s="65"/>
      <c r="M911" s="65"/>
      <c r="O911" s="65"/>
      <c r="Q911" s="65"/>
      <c r="S911" s="65"/>
      <c r="U911" s="65"/>
      <c r="W911" s="65"/>
      <c r="Y911" s="65"/>
      <c r="AA911" s="65"/>
      <c r="AC911" s="65"/>
      <c r="AE911" s="65"/>
      <c r="AG911" s="65"/>
      <c r="AI911" s="65"/>
      <c r="AK911" s="65"/>
    </row>
    <row r="912" spans="1:37" x14ac:dyDescent="0.25">
      <c r="A912" s="2">
        <v>41179</v>
      </c>
      <c r="B912" s="3">
        <v>2506.06</v>
      </c>
      <c r="C912" s="2">
        <v>41191</v>
      </c>
      <c r="D912" s="3">
        <v>15504.65</v>
      </c>
      <c r="E912" s="2"/>
      <c r="F912" s="3"/>
      <c r="G912" s="2"/>
      <c r="H912" s="3"/>
      <c r="I912" s="65"/>
      <c r="K912" s="65"/>
      <c r="M912" s="65"/>
      <c r="O912" s="65"/>
      <c r="Q912" s="65"/>
      <c r="S912" s="65"/>
      <c r="U912" s="65"/>
      <c r="W912" s="65"/>
      <c r="Y912" s="65"/>
      <c r="AA912" s="65"/>
      <c r="AC912" s="65"/>
      <c r="AE912" s="65"/>
      <c r="AG912" s="65"/>
      <c r="AI912" s="65"/>
      <c r="AK912" s="65"/>
    </row>
    <row r="913" spans="1:37" x14ac:dyDescent="0.25">
      <c r="A913" s="2">
        <v>41180</v>
      </c>
      <c r="B913" s="3">
        <v>2454.2600000000002</v>
      </c>
      <c r="C913" s="2">
        <v>41192</v>
      </c>
      <c r="D913" s="3">
        <v>15440.63</v>
      </c>
      <c r="E913" s="2"/>
      <c r="F913" s="3"/>
      <c r="G913" s="2"/>
      <c r="H913" s="3"/>
      <c r="I913" s="65"/>
      <c r="K913" s="65"/>
      <c r="M913" s="65"/>
      <c r="O913" s="65"/>
      <c r="Q913" s="65"/>
      <c r="S913" s="65"/>
      <c r="U913" s="65"/>
      <c r="W913" s="65"/>
      <c r="Y913" s="65"/>
      <c r="AA913" s="65"/>
      <c r="AC913" s="65"/>
      <c r="AE913" s="65"/>
      <c r="AG913" s="65"/>
      <c r="AI913" s="65"/>
      <c r="AK913" s="65"/>
    </row>
    <row r="914" spans="1:37" x14ac:dyDescent="0.25">
      <c r="A914" s="2">
        <v>41183</v>
      </c>
      <c r="B914" s="3">
        <v>2498.81</v>
      </c>
      <c r="C914" s="2">
        <v>41193</v>
      </c>
      <c r="D914" s="3">
        <v>15634.45</v>
      </c>
      <c r="E914" s="2"/>
      <c r="F914" s="3"/>
      <c r="G914" s="2"/>
      <c r="H914" s="3"/>
      <c r="I914" s="65"/>
      <c r="K914" s="65"/>
      <c r="M914" s="65"/>
      <c r="O914" s="65"/>
      <c r="Q914" s="65"/>
      <c r="S914" s="65"/>
      <c r="U914" s="65"/>
      <c r="W914" s="65"/>
      <c r="Y914" s="65"/>
      <c r="AA914" s="65"/>
      <c r="AC914" s="65"/>
      <c r="AE914" s="65"/>
      <c r="AG914" s="65"/>
      <c r="AI914" s="65"/>
      <c r="AK914" s="65"/>
    </row>
    <row r="915" spans="1:37" x14ac:dyDescent="0.25">
      <c r="A915" s="2">
        <v>41184</v>
      </c>
      <c r="B915" s="3">
        <v>2493.59</v>
      </c>
      <c r="C915" s="2">
        <v>41194</v>
      </c>
      <c r="D915" s="3">
        <v>15511.94</v>
      </c>
      <c r="E915" s="2"/>
      <c r="F915" s="3"/>
      <c r="G915" s="2"/>
      <c r="H915" s="3"/>
      <c r="I915" s="65"/>
      <c r="K915" s="65"/>
      <c r="M915" s="65"/>
      <c r="O915" s="65"/>
      <c r="Q915" s="65"/>
      <c r="S915" s="65"/>
      <c r="U915" s="65"/>
      <c r="W915" s="65"/>
      <c r="Y915" s="65"/>
      <c r="AA915" s="65"/>
      <c r="AC915" s="65"/>
      <c r="AE915" s="65"/>
      <c r="AG915" s="65"/>
      <c r="AI915" s="65"/>
      <c r="AK915" s="65"/>
    </row>
    <row r="916" spans="1:37" x14ac:dyDescent="0.25">
      <c r="A916" s="2">
        <v>41185</v>
      </c>
      <c r="B916" s="3">
        <v>2492.48</v>
      </c>
      <c r="C916" s="2">
        <v>41197</v>
      </c>
      <c r="D916" s="3">
        <v>15590.72</v>
      </c>
      <c r="E916" s="2"/>
      <c r="F916" s="3"/>
      <c r="G916" s="2"/>
      <c r="H916" s="3"/>
      <c r="I916" s="65"/>
      <c r="K916" s="65"/>
      <c r="M916" s="65"/>
      <c r="O916" s="65"/>
      <c r="Q916" s="65"/>
      <c r="S916" s="65"/>
      <c r="U916" s="65"/>
      <c r="W916" s="65"/>
      <c r="Y916" s="65"/>
      <c r="AA916" s="65"/>
      <c r="AC916" s="65"/>
      <c r="AE916" s="65"/>
      <c r="AG916" s="65"/>
      <c r="AI916" s="65"/>
      <c r="AK916" s="65"/>
    </row>
    <row r="917" spans="1:37" x14ac:dyDescent="0.25">
      <c r="A917" s="2">
        <v>41186</v>
      </c>
      <c r="B917" s="3">
        <v>2485.75</v>
      </c>
      <c r="C917" s="2">
        <v>41198</v>
      </c>
      <c r="D917" s="3">
        <v>15985.16</v>
      </c>
      <c r="E917" s="2"/>
      <c r="F917" s="3"/>
      <c r="G917" s="2"/>
      <c r="H917" s="3"/>
      <c r="I917" s="65"/>
      <c r="K917" s="65"/>
      <c r="M917" s="65"/>
      <c r="O917" s="65"/>
      <c r="Q917" s="65"/>
      <c r="S917" s="65"/>
      <c r="U917" s="65"/>
      <c r="W917" s="65"/>
      <c r="Y917" s="65"/>
      <c r="AA917" s="65"/>
      <c r="AC917" s="65"/>
      <c r="AE917" s="65"/>
      <c r="AG917" s="65"/>
      <c r="AI917" s="65"/>
      <c r="AK917" s="65"/>
    </row>
    <row r="918" spans="1:37" x14ac:dyDescent="0.25">
      <c r="A918" s="2">
        <v>41187</v>
      </c>
      <c r="B918" s="3">
        <v>2531.21</v>
      </c>
      <c r="C918" s="2">
        <v>41199</v>
      </c>
      <c r="D918" s="3">
        <v>16233.84</v>
      </c>
      <c r="E918" s="2"/>
      <c r="F918" s="3"/>
      <c r="G918" s="2"/>
      <c r="H918" s="3"/>
      <c r="I918" s="65"/>
      <c r="K918" s="65"/>
      <c r="M918" s="65"/>
      <c r="O918" s="65"/>
      <c r="Q918" s="65"/>
      <c r="S918" s="65"/>
      <c r="U918" s="65"/>
      <c r="W918" s="65"/>
      <c r="Y918" s="65"/>
      <c r="AA918" s="65"/>
      <c r="AC918" s="65"/>
      <c r="AE918" s="65"/>
      <c r="AG918" s="65"/>
      <c r="AI918" s="65"/>
      <c r="AK918" s="65"/>
    </row>
    <row r="919" spans="1:37" x14ac:dyDescent="0.25">
      <c r="A919" s="2">
        <v>41190</v>
      </c>
      <c r="B919" s="3">
        <v>2496.09</v>
      </c>
      <c r="C919" s="2">
        <v>41200</v>
      </c>
      <c r="D919" s="3">
        <v>16185.45</v>
      </c>
      <c r="E919" s="2"/>
      <c r="F919" s="3"/>
      <c r="G919" s="2"/>
      <c r="H919" s="3"/>
      <c r="I919" s="65"/>
      <c r="K919" s="65"/>
      <c r="M919" s="65"/>
      <c r="O919" s="65"/>
      <c r="Q919" s="65"/>
      <c r="S919" s="65"/>
      <c r="U919" s="65"/>
      <c r="W919" s="65"/>
      <c r="Y919" s="65"/>
      <c r="AA919" s="65"/>
      <c r="AC919" s="65"/>
      <c r="AE919" s="65"/>
      <c r="AG919" s="65"/>
      <c r="AI919" s="65"/>
      <c r="AK919" s="65"/>
    </row>
    <row r="920" spans="1:37" x14ac:dyDescent="0.25">
      <c r="A920" s="2">
        <v>41191</v>
      </c>
      <c r="B920" s="3">
        <v>2472.23</v>
      </c>
      <c r="C920" s="2">
        <v>41201</v>
      </c>
      <c r="D920" s="3">
        <v>15862.31</v>
      </c>
      <c r="E920" s="2"/>
      <c r="F920" s="3"/>
      <c r="G920" s="2"/>
      <c r="H920" s="3"/>
      <c r="I920" s="65"/>
      <c r="K920" s="65"/>
      <c r="M920" s="65"/>
      <c r="O920" s="65"/>
      <c r="Q920" s="65"/>
      <c r="S920" s="65"/>
      <c r="U920" s="65"/>
      <c r="W920" s="65"/>
      <c r="Y920" s="65"/>
      <c r="AA920" s="65"/>
      <c r="AC920" s="65"/>
      <c r="AE920" s="65"/>
      <c r="AG920" s="65"/>
      <c r="AI920" s="65"/>
      <c r="AK920" s="65"/>
    </row>
    <row r="921" spans="1:37" x14ac:dyDescent="0.25">
      <c r="A921" s="2">
        <v>41192</v>
      </c>
      <c r="B921" s="3">
        <v>2456.54</v>
      </c>
      <c r="C921" s="2">
        <v>41204</v>
      </c>
      <c r="D921" s="3">
        <v>15866.78</v>
      </c>
      <c r="E921" s="2"/>
      <c r="F921" s="3"/>
      <c r="G921" s="2"/>
      <c r="H921" s="3"/>
      <c r="I921" s="65"/>
      <c r="K921" s="65"/>
      <c r="M921" s="65"/>
      <c r="O921" s="65"/>
      <c r="Q921" s="65"/>
      <c r="S921" s="65"/>
      <c r="U921" s="65"/>
      <c r="W921" s="65"/>
      <c r="Y921" s="65"/>
      <c r="AA921" s="65"/>
      <c r="AC921" s="65"/>
      <c r="AE921" s="65"/>
      <c r="AG921" s="65"/>
      <c r="AI921" s="65"/>
      <c r="AK921" s="65"/>
    </row>
    <row r="922" spans="1:37" x14ac:dyDescent="0.25">
      <c r="A922" s="2">
        <v>41193</v>
      </c>
      <c r="B922" s="3">
        <v>2487.08</v>
      </c>
      <c r="C922" s="2">
        <v>41205</v>
      </c>
      <c r="D922" s="3">
        <v>15578.95</v>
      </c>
      <c r="E922" s="2"/>
      <c r="F922" s="3"/>
      <c r="G922" s="2"/>
      <c r="H922" s="3"/>
      <c r="I922" s="65"/>
      <c r="K922" s="65"/>
      <c r="M922" s="65"/>
      <c r="O922" s="65"/>
      <c r="Q922" s="65"/>
      <c r="S922" s="65"/>
      <c r="U922" s="65"/>
      <c r="W922" s="65"/>
      <c r="Y922" s="65"/>
      <c r="AA922" s="65"/>
      <c r="AC922" s="65"/>
      <c r="AE922" s="65"/>
      <c r="AG922" s="65"/>
      <c r="AI922" s="65"/>
      <c r="AK922" s="65"/>
    </row>
    <row r="923" spans="1:37" x14ac:dyDescent="0.25">
      <c r="A923" s="2">
        <v>41194</v>
      </c>
      <c r="B923" s="3">
        <v>2469.09</v>
      </c>
      <c r="C923" s="2">
        <v>41206</v>
      </c>
      <c r="D923" s="3">
        <v>15706.56</v>
      </c>
      <c r="E923" s="2"/>
      <c r="F923" s="3"/>
      <c r="G923" s="2"/>
      <c r="H923" s="3"/>
      <c r="I923" s="65"/>
      <c r="K923" s="65"/>
      <c r="M923" s="65"/>
      <c r="O923" s="65"/>
      <c r="Q923" s="65"/>
      <c r="S923" s="65"/>
      <c r="U923" s="65"/>
      <c r="W923" s="65"/>
      <c r="Y923" s="65"/>
      <c r="AA923" s="65"/>
      <c r="AC923" s="65"/>
      <c r="AE923" s="65"/>
      <c r="AG923" s="65"/>
      <c r="AI923" s="65"/>
      <c r="AK923" s="65"/>
    </row>
    <row r="924" spans="1:37" x14ac:dyDescent="0.25">
      <c r="A924" s="2">
        <v>41197</v>
      </c>
      <c r="B924" s="3">
        <v>2485.12</v>
      </c>
      <c r="C924" s="2">
        <v>41207</v>
      </c>
      <c r="D924" s="3">
        <v>15528.47</v>
      </c>
      <c r="E924" s="2"/>
      <c r="F924" s="3"/>
      <c r="G924" s="2"/>
      <c r="H924" s="3"/>
      <c r="I924" s="65"/>
      <c r="K924" s="65"/>
      <c r="M924" s="65"/>
      <c r="O924" s="65"/>
      <c r="Q924" s="65"/>
      <c r="S924" s="65"/>
      <c r="U924" s="65"/>
      <c r="W924" s="65"/>
      <c r="Y924" s="65"/>
      <c r="AA924" s="65"/>
      <c r="AC924" s="65"/>
      <c r="AE924" s="65"/>
      <c r="AG924" s="65"/>
      <c r="AI924" s="65"/>
      <c r="AK924" s="65"/>
    </row>
    <row r="925" spans="1:37" x14ac:dyDescent="0.25">
      <c r="A925" s="2">
        <v>41198</v>
      </c>
      <c r="B925" s="3">
        <v>2547.9</v>
      </c>
      <c r="C925" s="2">
        <v>41208</v>
      </c>
      <c r="D925" s="3">
        <v>15584.86</v>
      </c>
      <c r="E925" s="2"/>
      <c r="F925" s="3"/>
      <c r="G925" s="2"/>
      <c r="H925" s="3"/>
      <c r="I925" s="65"/>
      <c r="K925" s="65"/>
      <c r="M925" s="65"/>
      <c r="O925" s="65"/>
      <c r="Q925" s="65"/>
      <c r="S925" s="65"/>
      <c r="U925" s="65"/>
      <c r="W925" s="65"/>
      <c r="Y925" s="65"/>
      <c r="AA925" s="65"/>
      <c r="AC925" s="65"/>
      <c r="AE925" s="65"/>
      <c r="AG925" s="65"/>
      <c r="AI925" s="65"/>
      <c r="AK925" s="65"/>
    </row>
    <row r="926" spans="1:37" x14ac:dyDescent="0.25">
      <c r="A926" s="2">
        <v>41199</v>
      </c>
      <c r="B926" s="3">
        <v>2569.83</v>
      </c>
      <c r="C926" s="2">
        <v>41211</v>
      </c>
      <c r="D926" s="3">
        <v>15349.12</v>
      </c>
      <c r="E926" s="2"/>
      <c r="F926" s="3"/>
      <c r="G926" s="2"/>
      <c r="H926" s="3"/>
      <c r="I926" s="65"/>
      <c r="K926" s="65"/>
      <c r="M926" s="65"/>
      <c r="O926" s="65"/>
      <c r="Q926" s="65"/>
      <c r="S926" s="65"/>
      <c r="U926" s="65"/>
      <c r="W926" s="65"/>
      <c r="Y926" s="65"/>
      <c r="AA926" s="65"/>
      <c r="AC926" s="65"/>
      <c r="AE926" s="65"/>
      <c r="AG926" s="65"/>
      <c r="AI926" s="65"/>
      <c r="AK926" s="65"/>
    </row>
    <row r="927" spans="1:37" x14ac:dyDescent="0.25">
      <c r="A927" s="2">
        <v>41200</v>
      </c>
      <c r="B927" s="3">
        <v>2574.19</v>
      </c>
      <c r="C927" s="2">
        <v>41212</v>
      </c>
      <c r="D927" s="3">
        <v>15521.77</v>
      </c>
      <c r="E927" s="2"/>
      <c r="F927" s="3"/>
      <c r="G927" s="2"/>
      <c r="H927" s="3"/>
      <c r="I927" s="65"/>
      <c r="K927" s="65"/>
      <c r="M927" s="65"/>
      <c r="O927" s="65"/>
      <c r="Q927" s="65"/>
      <c r="S927" s="65"/>
      <c r="U927" s="65"/>
      <c r="W927" s="65"/>
      <c r="Y927" s="65"/>
      <c r="AA927" s="65"/>
      <c r="AC927" s="65"/>
      <c r="AE927" s="65"/>
      <c r="AG927" s="65"/>
      <c r="AI927" s="65"/>
      <c r="AK927" s="65"/>
    </row>
    <row r="928" spans="1:37" x14ac:dyDescent="0.25">
      <c r="A928" s="2">
        <v>41201</v>
      </c>
      <c r="B928" s="3">
        <v>2542.2399999999998</v>
      </c>
      <c r="C928" s="2">
        <v>41213</v>
      </c>
      <c r="D928" s="3">
        <v>15539.71</v>
      </c>
      <c r="E928" s="2"/>
      <c r="F928" s="3"/>
      <c r="G928" s="2"/>
      <c r="H928" s="3"/>
      <c r="I928" s="65"/>
      <c r="K928" s="65"/>
      <c r="M928" s="65"/>
      <c r="O928" s="65"/>
      <c r="Q928" s="65"/>
      <c r="S928" s="65"/>
      <c r="U928" s="65"/>
      <c r="W928" s="65"/>
      <c r="Y928" s="65"/>
      <c r="AA928" s="65"/>
      <c r="AC928" s="65"/>
      <c r="AE928" s="65"/>
      <c r="AG928" s="65"/>
      <c r="AI928" s="65"/>
      <c r="AK928" s="65"/>
    </row>
    <row r="929" spans="1:37" x14ac:dyDescent="0.25">
      <c r="A929" s="2">
        <v>41204</v>
      </c>
      <c r="B929" s="3">
        <v>2531.1</v>
      </c>
      <c r="C929" s="2">
        <v>41214</v>
      </c>
      <c r="D929" s="3">
        <v>15806.73</v>
      </c>
      <c r="E929" s="2"/>
      <c r="F929" s="3"/>
      <c r="G929" s="2"/>
      <c r="H929" s="3"/>
      <c r="I929" s="65"/>
      <c r="K929" s="65"/>
      <c r="M929" s="65"/>
      <c r="O929" s="65"/>
      <c r="Q929" s="65"/>
      <c r="S929" s="65"/>
      <c r="U929" s="65"/>
      <c r="W929" s="65"/>
      <c r="Y929" s="65"/>
      <c r="AA929" s="65"/>
      <c r="AC929" s="65"/>
      <c r="AE929" s="65"/>
      <c r="AG929" s="65"/>
      <c r="AI929" s="65"/>
      <c r="AK929" s="65"/>
    </row>
    <row r="930" spans="1:37" x14ac:dyDescent="0.25">
      <c r="A930" s="2">
        <v>41205</v>
      </c>
      <c r="B930" s="3">
        <v>2477.92</v>
      </c>
      <c r="C930" s="2">
        <v>41215</v>
      </c>
      <c r="D930" s="3">
        <v>15769.28</v>
      </c>
      <c r="E930" s="2"/>
      <c r="F930" s="3"/>
      <c r="G930" s="2"/>
      <c r="H930" s="3"/>
      <c r="I930" s="65"/>
      <c r="K930" s="65"/>
      <c r="M930" s="65"/>
      <c r="O930" s="65"/>
      <c r="Q930" s="65"/>
      <c r="S930" s="65"/>
      <c r="U930" s="65"/>
      <c r="W930" s="65"/>
      <c r="Y930" s="65"/>
      <c r="AA930" s="65"/>
      <c r="AC930" s="65"/>
      <c r="AE930" s="65"/>
      <c r="AG930" s="65"/>
      <c r="AI930" s="65"/>
      <c r="AK930" s="65"/>
    </row>
    <row r="931" spans="1:37" x14ac:dyDescent="0.25">
      <c r="A931" s="2">
        <v>41206</v>
      </c>
      <c r="B931" s="3">
        <v>2490.58</v>
      </c>
      <c r="C931" s="2">
        <v>41218</v>
      </c>
      <c r="D931" s="3">
        <v>15544.4</v>
      </c>
      <c r="E931" s="2"/>
      <c r="F931" s="3"/>
      <c r="G931" s="2"/>
      <c r="H931" s="3"/>
      <c r="I931" s="65"/>
      <c r="K931" s="65"/>
      <c r="M931" s="65"/>
      <c r="O931" s="65"/>
      <c r="Q931" s="65"/>
      <c r="S931" s="65"/>
      <c r="U931" s="65"/>
      <c r="W931" s="65"/>
      <c r="Y931" s="65"/>
      <c r="AA931" s="65"/>
      <c r="AC931" s="65"/>
      <c r="AE931" s="65"/>
      <c r="AG931" s="65"/>
      <c r="AI931" s="65"/>
      <c r="AK931" s="65"/>
    </row>
    <row r="932" spans="1:37" x14ac:dyDescent="0.25">
      <c r="A932" s="2">
        <v>41207</v>
      </c>
      <c r="B932" s="3">
        <v>2483.4299999999998</v>
      </c>
      <c r="C932" s="2">
        <v>41219</v>
      </c>
      <c r="D932" s="3">
        <v>15683.71</v>
      </c>
      <c r="E932" s="2"/>
      <c r="F932" s="3"/>
      <c r="G932" s="2"/>
      <c r="H932" s="3"/>
      <c r="I932" s="65"/>
      <c r="K932" s="65"/>
      <c r="M932" s="65"/>
      <c r="O932" s="65"/>
      <c r="Q932" s="65"/>
      <c r="S932" s="65"/>
      <c r="U932" s="65"/>
      <c r="W932" s="65"/>
      <c r="Y932" s="65"/>
      <c r="AA932" s="65"/>
      <c r="AC932" s="65"/>
      <c r="AE932" s="65"/>
      <c r="AG932" s="65"/>
      <c r="AI932" s="65"/>
      <c r="AK932" s="65"/>
    </row>
    <row r="933" spans="1:37" x14ac:dyDescent="0.25">
      <c r="A933" s="2">
        <v>41208</v>
      </c>
      <c r="B933" s="3">
        <v>2496.1</v>
      </c>
      <c r="C933" s="2">
        <v>41220</v>
      </c>
      <c r="D933" s="3">
        <v>15291.78</v>
      </c>
      <c r="E933" s="2"/>
      <c r="F933" s="3"/>
      <c r="G933" s="2"/>
      <c r="H933" s="3"/>
      <c r="I933" s="65"/>
      <c r="K933" s="65"/>
      <c r="M933" s="65"/>
      <c r="O933" s="65"/>
      <c r="Q933" s="65"/>
      <c r="S933" s="65"/>
      <c r="U933" s="65"/>
      <c r="W933" s="65"/>
      <c r="Y933" s="65"/>
      <c r="AA933" s="65"/>
      <c r="AC933" s="65"/>
      <c r="AE933" s="65"/>
      <c r="AG933" s="65"/>
      <c r="AI933" s="65"/>
      <c r="AK933" s="65"/>
    </row>
    <row r="934" spans="1:37" x14ac:dyDescent="0.25">
      <c r="A934" s="2">
        <v>41211</v>
      </c>
      <c r="B934" s="3">
        <v>2478.84</v>
      </c>
      <c r="C934" s="2">
        <v>41221</v>
      </c>
      <c r="D934" s="3">
        <v>15194.08</v>
      </c>
      <c r="E934" s="2"/>
      <c r="F934" s="3"/>
      <c r="G934" s="2"/>
      <c r="H934" s="3"/>
      <c r="I934" s="65"/>
      <c r="K934" s="65"/>
      <c r="M934" s="65"/>
      <c r="O934" s="65"/>
      <c r="Q934" s="65"/>
      <c r="S934" s="65"/>
      <c r="U934" s="65"/>
      <c r="W934" s="65"/>
      <c r="Y934" s="65"/>
      <c r="AA934" s="65"/>
      <c r="AC934" s="65"/>
      <c r="AE934" s="65"/>
      <c r="AG934" s="65"/>
      <c r="AI934" s="65"/>
      <c r="AK934" s="65"/>
    </row>
    <row r="935" spans="1:37" x14ac:dyDescent="0.25">
      <c r="A935" s="2">
        <v>41212</v>
      </c>
      <c r="B935" s="3">
        <v>2515.9899999999998</v>
      </c>
      <c r="C935" s="2">
        <v>41222</v>
      </c>
      <c r="D935" s="3">
        <v>15181</v>
      </c>
      <c r="E935" s="2"/>
      <c r="F935" s="3"/>
      <c r="G935" s="2"/>
      <c r="H935" s="3"/>
      <c r="I935" s="65"/>
      <c r="K935" s="65"/>
      <c r="M935" s="65"/>
      <c r="O935" s="65"/>
      <c r="Q935" s="65"/>
      <c r="S935" s="65"/>
      <c r="U935" s="65"/>
      <c r="W935" s="65"/>
      <c r="Y935" s="65"/>
      <c r="AA935" s="65"/>
      <c r="AC935" s="65"/>
      <c r="AE935" s="65"/>
      <c r="AG935" s="65"/>
      <c r="AI935" s="65"/>
      <c r="AK935" s="65"/>
    </row>
    <row r="936" spans="1:37" x14ac:dyDescent="0.25">
      <c r="A936" s="2">
        <v>41213</v>
      </c>
      <c r="B936" s="3">
        <v>2503.64</v>
      </c>
      <c r="C936" s="2">
        <v>41225</v>
      </c>
      <c r="D936" s="3">
        <v>15121.7</v>
      </c>
      <c r="E936" s="2"/>
      <c r="F936" s="3"/>
      <c r="G936" s="2"/>
      <c r="H936" s="3"/>
      <c r="I936" s="65"/>
      <c r="K936" s="65"/>
      <c r="M936" s="65"/>
      <c r="O936" s="65"/>
      <c r="Q936" s="65"/>
      <c r="S936" s="65"/>
      <c r="U936" s="65"/>
      <c r="W936" s="65"/>
      <c r="Y936" s="65"/>
      <c r="AA936" s="65"/>
      <c r="AC936" s="65"/>
      <c r="AE936" s="65"/>
      <c r="AG936" s="65"/>
      <c r="AI936" s="65"/>
      <c r="AK936" s="65"/>
    </row>
    <row r="937" spans="1:37" x14ac:dyDescent="0.25">
      <c r="A937" s="2">
        <v>41214</v>
      </c>
      <c r="B937" s="3">
        <v>2533.87</v>
      </c>
      <c r="C937" s="2">
        <v>41226</v>
      </c>
      <c r="D937" s="3">
        <v>15333.15</v>
      </c>
      <c r="E937" s="2"/>
      <c r="F937" s="3"/>
      <c r="G937" s="2"/>
      <c r="H937" s="3"/>
      <c r="I937" s="65"/>
      <c r="K937" s="65"/>
      <c r="M937" s="65"/>
      <c r="O937" s="65"/>
      <c r="Q937" s="65"/>
      <c r="S937" s="65"/>
      <c r="U937" s="65"/>
      <c r="W937" s="65"/>
      <c r="Y937" s="65"/>
      <c r="AA937" s="65"/>
      <c r="AC937" s="65"/>
      <c r="AE937" s="65"/>
      <c r="AG937" s="65"/>
      <c r="AI937" s="65"/>
      <c r="AK937" s="65"/>
    </row>
    <row r="938" spans="1:37" x14ac:dyDescent="0.25">
      <c r="A938" s="2">
        <v>41215</v>
      </c>
      <c r="B938" s="3">
        <v>2547.15</v>
      </c>
      <c r="C938" s="2">
        <v>41227</v>
      </c>
      <c r="D938" s="3">
        <v>15252.93</v>
      </c>
      <c r="E938" s="2"/>
      <c r="F938" s="3"/>
      <c r="G938" s="2"/>
      <c r="H938" s="3"/>
      <c r="I938" s="65"/>
      <c r="K938" s="65"/>
      <c r="M938" s="65"/>
      <c r="O938" s="65"/>
      <c r="Q938" s="65"/>
      <c r="S938" s="65"/>
      <c r="U938" s="65"/>
      <c r="W938" s="65"/>
      <c r="Y938" s="65"/>
      <c r="AA938" s="65"/>
      <c r="AC938" s="65"/>
      <c r="AE938" s="65"/>
      <c r="AG938" s="65"/>
      <c r="AI938" s="65"/>
      <c r="AK938" s="65"/>
    </row>
    <row r="939" spans="1:37" x14ac:dyDescent="0.25">
      <c r="A939" s="2">
        <v>41218</v>
      </c>
      <c r="B939" s="3">
        <v>2517.67</v>
      </c>
      <c r="C939" s="2">
        <v>41228</v>
      </c>
      <c r="D939" s="3">
        <v>15162.82</v>
      </c>
      <c r="E939" s="2"/>
      <c r="F939" s="3"/>
      <c r="G939" s="2"/>
      <c r="H939" s="3"/>
      <c r="I939" s="65"/>
      <c r="K939" s="65"/>
      <c r="M939" s="65"/>
      <c r="O939" s="65"/>
      <c r="Q939" s="65"/>
      <c r="S939" s="65"/>
      <c r="U939" s="65"/>
      <c r="W939" s="65"/>
      <c r="Y939" s="65"/>
      <c r="AA939" s="65"/>
      <c r="AC939" s="65"/>
      <c r="AE939" s="65"/>
      <c r="AG939" s="65"/>
      <c r="AI939" s="65"/>
      <c r="AK939" s="65"/>
    </row>
    <row r="940" spans="1:37" x14ac:dyDescent="0.25">
      <c r="A940" s="2">
        <v>41219</v>
      </c>
      <c r="B940" s="3">
        <v>2535.94</v>
      </c>
      <c r="C940" s="2">
        <v>41229</v>
      </c>
      <c r="D940" s="3">
        <v>14855.79</v>
      </c>
      <c r="E940" s="2"/>
      <c r="F940" s="3"/>
      <c r="G940" s="2"/>
      <c r="H940" s="3"/>
      <c r="I940" s="65"/>
      <c r="K940" s="65"/>
      <c r="M940" s="65"/>
      <c r="O940" s="65"/>
      <c r="Q940" s="65"/>
      <c r="S940" s="65"/>
      <c r="U940" s="65"/>
      <c r="W940" s="65"/>
      <c r="Y940" s="65"/>
      <c r="AA940" s="65"/>
      <c r="AC940" s="65"/>
      <c r="AE940" s="65"/>
      <c r="AG940" s="65"/>
      <c r="AI940" s="65"/>
      <c r="AK940" s="65"/>
    </row>
    <row r="941" spans="1:37" x14ac:dyDescent="0.25">
      <c r="A941" s="2">
        <v>41220</v>
      </c>
      <c r="B941" s="3">
        <v>2479.1</v>
      </c>
      <c r="C941" s="2">
        <v>41232</v>
      </c>
      <c r="D941" s="3">
        <v>15308.96</v>
      </c>
      <c r="E941" s="2"/>
      <c r="F941" s="3"/>
      <c r="G941" s="2"/>
      <c r="H941" s="3"/>
      <c r="I941" s="65"/>
      <c r="K941" s="65"/>
      <c r="M941" s="65"/>
      <c r="O941" s="65"/>
      <c r="Q941" s="65"/>
      <c r="S941" s="65"/>
      <c r="U941" s="65"/>
      <c r="W941" s="65"/>
      <c r="Y941" s="65"/>
      <c r="AA941" s="65"/>
      <c r="AC941" s="65"/>
      <c r="AE941" s="65"/>
      <c r="AG941" s="65"/>
      <c r="AI941" s="65"/>
      <c r="AK941" s="65"/>
    </row>
    <row r="942" spans="1:37" x14ac:dyDescent="0.25">
      <c r="A942" s="2">
        <v>41221</v>
      </c>
      <c r="B942" s="3">
        <v>2479.13</v>
      </c>
      <c r="C942" s="2">
        <v>41233</v>
      </c>
      <c r="D942" s="3">
        <v>15269.99</v>
      </c>
      <c r="E942" s="2"/>
      <c r="F942" s="3"/>
      <c r="G942" s="2"/>
      <c r="H942" s="3"/>
      <c r="I942" s="65"/>
      <c r="K942" s="65"/>
      <c r="M942" s="65"/>
      <c r="O942" s="65"/>
      <c r="Q942" s="65"/>
      <c r="S942" s="65"/>
      <c r="U942" s="65"/>
      <c r="W942" s="65"/>
      <c r="Y942" s="65"/>
      <c r="AA942" s="65"/>
      <c r="AC942" s="65"/>
      <c r="AE942" s="65"/>
      <c r="AG942" s="65"/>
      <c r="AI942" s="65"/>
      <c r="AK942" s="65"/>
    </row>
    <row r="943" spans="1:37" x14ac:dyDescent="0.25">
      <c r="A943" s="2">
        <v>41222</v>
      </c>
      <c r="B943" s="3">
        <v>2479.8200000000002</v>
      </c>
      <c r="C943" s="2">
        <v>41234</v>
      </c>
      <c r="D943" s="3">
        <v>15394.62</v>
      </c>
      <c r="E943" s="2"/>
      <c r="F943" s="3"/>
      <c r="G943" s="2"/>
      <c r="H943" s="3"/>
      <c r="I943" s="65"/>
      <c r="K943" s="65"/>
      <c r="M943" s="65"/>
      <c r="O943" s="65"/>
      <c r="Q943" s="65"/>
      <c r="S943" s="65"/>
      <c r="U943" s="65"/>
      <c r="W943" s="65"/>
      <c r="Y943" s="65"/>
      <c r="AA943" s="65"/>
      <c r="AC943" s="65"/>
      <c r="AE943" s="65"/>
      <c r="AG943" s="65"/>
      <c r="AI943" s="65"/>
      <c r="AK943" s="65"/>
    </row>
    <row r="944" spans="1:37" x14ac:dyDescent="0.25">
      <c r="A944" s="2">
        <v>41225</v>
      </c>
      <c r="B944" s="3">
        <v>2473.52</v>
      </c>
      <c r="C944" s="2">
        <v>41235</v>
      </c>
      <c r="D944" s="3">
        <v>15553.62</v>
      </c>
      <c r="E944" s="2"/>
      <c r="F944" s="3"/>
      <c r="G944" s="2"/>
      <c r="H944" s="3"/>
      <c r="I944" s="65"/>
      <c r="K944" s="65"/>
      <c r="M944" s="65"/>
      <c r="O944" s="65"/>
      <c r="Q944" s="65"/>
      <c r="S944" s="65"/>
      <c r="U944" s="65"/>
      <c r="W944" s="65"/>
      <c r="Y944" s="65"/>
      <c r="AA944" s="65"/>
      <c r="AC944" s="65"/>
      <c r="AE944" s="65"/>
      <c r="AG944" s="65"/>
      <c r="AI944" s="65"/>
      <c r="AK944" s="65"/>
    </row>
    <row r="945" spans="1:37" x14ac:dyDescent="0.25">
      <c r="A945" s="2">
        <v>41226</v>
      </c>
      <c r="B945" s="3">
        <v>2493.14</v>
      </c>
      <c r="C945" s="2">
        <v>41236</v>
      </c>
      <c r="D945" s="3">
        <v>15635.89</v>
      </c>
      <c r="E945" s="2"/>
      <c r="F945" s="3"/>
      <c r="G945" s="2"/>
      <c r="H945" s="3"/>
      <c r="I945" s="65"/>
      <c r="K945" s="65"/>
      <c r="M945" s="65"/>
      <c r="O945" s="65"/>
      <c r="Q945" s="65"/>
      <c r="S945" s="65"/>
      <c r="U945" s="65"/>
      <c r="W945" s="65"/>
      <c r="Y945" s="65"/>
      <c r="AA945" s="65"/>
      <c r="AC945" s="65"/>
      <c r="AE945" s="65"/>
      <c r="AG945" s="65"/>
      <c r="AI945" s="65"/>
      <c r="AK945" s="65"/>
    </row>
    <row r="946" spans="1:37" x14ac:dyDescent="0.25">
      <c r="A946" s="2">
        <v>41227</v>
      </c>
      <c r="B946" s="3">
        <v>2472.84</v>
      </c>
      <c r="C946" s="2">
        <v>41239</v>
      </c>
      <c r="D946" s="3">
        <v>15520.14</v>
      </c>
      <c r="E946" s="2"/>
      <c r="F946" s="3"/>
      <c r="G946" s="2"/>
      <c r="H946" s="3"/>
      <c r="I946" s="65"/>
      <c r="K946" s="65"/>
      <c r="M946" s="65"/>
      <c r="O946" s="65"/>
      <c r="Q946" s="65"/>
      <c r="S946" s="65"/>
      <c r="U946" s="65"/>
      <c r="W946" s="65"/>
      <c r="Y946" s="65"/>
      <c r="AA946" s="65"/>
      <c r="AC946" s="65"/>
      <c r="AE946" s="65"/>
      <c r="AG946" s="65"/>
      <c r="AI946" s="65"/>
      <c r="AK946" s="65"/>
    </row>
    <row r="947" spans="1:37" x14ac:dyDescent="0.25">
      <c r="A947" s="2">
        <v>41228</v>
      </c>
      <c r="B947" s="3">
        <v>2461.77</v>
      </c>
      <c r="C947" s="2">
        <v>41240</v>
      </c>
      <c r="D947" s="3">
        <v>15479.81</v>
      </c>
      <c r="E947" s="2"/>
      <c r="F947" s="3"/>
      <c r="G947" s="2"/>
      <c r="H947" s="3"/>
      <c r="I947" s="65"/>
      <c r="K947" s="65"/>
      <c r="M947" s="65"/>
      <c r="O947" s="65"/>
      <c r="Q947" s="65"/>
      <c r="S947" s="65"/>
      <c r="U947" s="65"/>
      <c r="W947" s="65"/>
      <c r="Y947" s="65"/>
      <c r="AA947" s="65"/>
      <c r="AC947" s="65"/>
      <c r="AE947" s="65"/>
      <c r="AG947" s="65"/>
      <c r="AI947" s="65"/>
      <c r="AK947" s="65"/>
    </row>
    <row r="948" spans="1:37" x14ac:dyDescent="0.25">
      <c r="A948" s="2">
        <v>41229</v>
      </c>
      <c r="B948" s="3">
        <v>2427.3200000000002</v>
      </c>
      <c r="C948" s="2">
        <v>41241</v>
      </c>
      <c r="D948" s="3">
        <v>15453.43</v>
      </c>
      <c r="E948" s="2"/>
      <c r="F948" s="3"/>
      <c r="G948" s="2"/>
      <c r="H948" s="3"/>
      <c r="I948" s="65"/>
      <c r="K948" s="65"/>
      <c r="M948" s="65"/>
      <c r="O948" s="65"/>
      <c r="Q948" s="65"/>
      <c r="S948" s="65"/>
      <c r="U948" s="65"/>
      <c r="W948" s="65"/>
      <c r="Y948" s="65"/>
      <c r="AA948" s="65"/>
      <c r="AC948" s="65"/>
      <c r="AE948" s="65"/>
      <c r="AG948" s="65"/>
      <c r="AI948" s="65"/>
      <c r="AK948" s="65"/>
    </row>
    <row r="949" spans="1:37" x14ac:dyDescent="0.25">
      <c r="A949" s="2">
        <v>41232</v>
      </c>
      <c r="B949" s="3">
        <v>2495.21</v>
      </c>
      <c r="C949" s="2">
        <v>41242</v>
      </c>
      <c r="D949" s="3">
        <v>15887.99</v>
      </c>
      <c r="E949" s="2"/>
      <c r="F949" s="3"/>
      <c r="G949" s="2"/>
      <c r="H949" s="3"/>
      <c r="I949" s="65"/>
      <c r="K949" s="65"/>
      <c r="M949" s="65"/>
      <c r="O949" s="65"/>
      <c r="Q949" s="65"/>
      <c r="S949" s="65"/>
      <c r="U949" s="65"/>
      <c r="W949" s="65"/>
      <c r="Y949" s="65"/>
      <c r="AA949" s="65"/>
      <c r="AC949" s="65"/>
      <c r="AE949" s="65"/>
      <c r="AG949" s="65"/>
      <c r="AI949" s="65"/>
      <c r="AK949" s="65"/>
    </row>
    <row r="950" spans="1:37" x14ac:dyDescent="0.25">
      <c r="A950" s="2">
        <v>41233</v>
      </c>
      <c r="B950" s="3">
        <v>2509.62</v>
      </c>
      <c r="C950" s="2">
        <v>41243</v>
      </c>
      <c r="D950" s="3">
        <v>15808.24</v>
      </c>
      <c r="E950" s="2"/>
      <c r="F950" s="3"/>
      <c r="G950" s="2"/>
      <c r="H950" s="3"/>
      <c r="I950" s="65"/>
      <c r="K950" s="65"/>
      <c r="M950" s="65"/>
      <c r="O950" s="65"/>
      <c r="Q950" s="65"/>
      <c r="S950" s="65"/>
      <c r="U950" s="65"/>
      <c r="W950" s="65"/>
      <c r="Y950" s="65"/>
      <c r="AA950" s="65"/>
      <c r="AC950" s="65"/>
      <c r="AE950" s="65"/>
      <c r="AG950" s="65"/>
      <c r="AI950" s="65"/>
      <c r="AK950" s="65"/>
    </row>
    <row r="951" spans="1:37" x14ac:dyDescent="0.25">
      <c r="A951" s="2">
        <v>41234</v>
      </c>
      <c r="B951" s="3">
        <v>2519.6799999999998</v>
      </c>
      <c r="C951" s="2">
        <v>41246</v>
      </c>
      <c r="D951" s="3">
        <v>15876.06</v>
      </c>
      <c r="E951" s="2"/>
      <c r="F951" s="3"/>
      <c r="G951" s="2"/>
      <c r="H951" s="3"/>
      <c r="I951" s="65"/>
      <c r="K951" s="65"/>
      <c r="M951" s="65"/>
      <c r="O951" s="65"/>
      <c r="Q951" s="65"/>
      <c r="S951" s="65"/>
      <c r="U951" s="65"/>
      <c r="W951" s="65"/>
      <c r="Y951" s="65"/>
      <c r="AA951" s="65"/>
      <c r="AC951" s="65"/>
      <c r="AE951" s="65"/>
      <c r="AG951" s="65"/>
      <c r="AI951" s="65"/>
      <c r="AK951" s="65"/>
    </row>
    <row r="952" spans="1:37" x14ac:dyDescent="0.25">
      <c r="A952" s="2">
        <v>41235</v>
      </c>
      <c r="B952" s="3">
        <v>2535.09</v>
      </c>
      <c r="C952" s="2">
        <v>41247</v>
      </c>
      <c r="D952" s="3">
        <v>16041.54</v>
      </c>
      <c r="E952" s="2"/>
      <c r="F952" s="3"/>
      <c r="G952" s="2"/>
      <c r="H952" s="3"/>
      <c r="I952" s="65"/>
      <c r="K952" s="65"/>
      <c r="M952" s="65"/>
      <c r="O952" s="65"/>
      <c r="Q952" s="65"/>
      <c r="S952" s="65"/>
      <c r="U952" s="65"/>
      <c r="W952" s="65"/>
      <c r="Y952" s="65"/>
      <c r="AA952" s="65"/>
      <c r="AC952" s="65"/>
      <c r="AE952" s="65"/>
      <c r="AG952" s="65"/>
      <c r="AI952" s="65"/>
      <c r="AK952" s="65"/>
    </row>
    <row r="953" spans="1:37" x14ac:dyDescent="0.25">
      <c r="A953" s="2">
        <v>41236</v>
      </c>
      <c r="B953" s="3">
        <v>2557.0300000000002</v>
      </c>
      <c r="C953" s="2">
        <v>41248</v>
      </c>
      <c r="D953" s="3">
        <v>15954.43</v>
      </c>
      <c r="E953" s="2"/>
      <c r="F953" s="3"/>
      <c r="G953" s="2"/>
      <c r="H953" s="3"/>
      <c r="I953" s="65"/>
      <c r="K953" s="65"/>
      <c r="M953" s="65"/>
      <c r="O953" s="65"/>
      <c r="Q953" s="65"/>
      <c r="S953" s="65"/>
      <c r="U953" s="65"/>
      <c r="W953" s="65"/>
      <c r="Y953" s="65"/>
      <c r="AA953" s="65"/>
      <c r="AC953" s="65"/>
      <c r="AE953" s="65"/>
      <c r="AG953" s="65"/>
      <c r="AI953" s="65"/>
      <c r="AK953" s="65"/>
    </row>
    <row r="954" spans="1:37" x14ac:dyDescent="0.25">
      <c r="A954" s="2">
        <v>41239</v>
      </c>
      <c r="B954" s="3">
        <v>2542.52</v>
      </c>
      <c r="C954" s="2">
        <v>41249</v>
      </c>
      <c r="D954" s="3">
        <v>15835.22</v>
      </c>
      <c r="E954" s="2"/>
      <c r="F954" s="3"/>
      <c r="G954" s="2"/>
      <c r="H954" s="3"/>
      <c r="I954" s="65"/>
      <c r="K954" s="65"/>
      <c r="M954" s="65"/>
      <c r="O954" s="65"/>
      <c r="Q954" s="65"/>
      <c r="S954" s="65"/>
      <c r="U954" s="65"/>
      <c r="W954" s="65"/>
      <c r="Y954" s="65"/>
      <c r="AA954" s="65"/>
      <c r="AC954" s="65"/>
      <c r="AE954" s="65"/>
      <c r="AG954" s="65"/>
      <c r="AI954" s="65"/>
      <c r="AK954" s="65"/>
    </row>
    <row r="955" spans="1:37" x14ac:dyDescent="0.25">
      <c r="A955" s="2">
        <v>41240</v>
      </c>
      <c r="B955" s="3">
        <v>2543.4499999999998</v>
      </c>
      <c r="C955" s="2">
        <v>41250</v>
      </c>
      <c r="D955" s="3">
        <v>15699.22</v>
      </c>
      <c r="E955" s="2"/>
      <c r="F955" s="3"/>
      <c r="G955" s="2"/>
      <c r="H955" s="3"/>
      <c r="I955" s="65"/>
      <c r="K955" s="65"/>
      <c r="M955" s="65"/>
      <c r="O955" s="65"/>
      <c r="Q955" s="65"/>
      <c r="S955" s="65"/>
      <c r="U955" s="65"/>
      <c r="W955" s="65"/>
      <c r="Y955" s="65"/>
      <c r="AA955" s="65"/>
      <c r="AC955" s="65"/>
      <c r="AE955" s="65"/>
      <c r="AG955" s="65"/>
      <c r="AI955" s="65"/>
      <c r="AK955" s="65"/>
    </row>
    <row r="956" spans="1:37" x14ac:dyDescent="0.25">
      <c r="A956" s="2">
        <v>41241</v>
      </c>
      <c r="B956" s="3">
        <v>2546.84</v>
      </c>
      <c r="C956" s="2">
        <v>41253</v>
      </c>
      <c r="D956" s="3">
        <v>15354.01</v>
      </c>
      <c r="E956" s="2"/>
      <c r="F956" s="3"/>
      <c r="G956" s="2"/>
      <c r="H956" s="3"/>
      <c r="I956" s="65"/>
      <c r="K956" s="65"/>
      <c r="M956" s="65"/>
      <c r="O956" s="65"/>
      <c r="Q956" s="65"/>
      <c r="S956" s="65"/>
      <c r="U956" s="65"/>
      <c r="W956" s="65"/>
      <c r="Y956" s="65"/>
      <c r="AA956" s="65"/>
      <c r="AC956" s="65"/>
      <c r="AE956" s="65"/>
      <c r="AG956" s="65"/>
      <c r="AI956" s="65"/>
      <c r="AK956" s="65"/>
    </row>
    <row r="957" spans="1:37" x14ac:dyDescent="0.25">
      <c r="A957" s="2">
        <v>41242</v>
      </c>
      <c r="B957" s="3">
        <v>2581.69</v>
      </c>
      <c r="C957" s="2">
        <v>41254</v>
      </c>
      <c r="D957" s="3">
        <v>15585.61</v>
      </c>
      <c r="E957" s="2"/>
      <c r="F957" s="3"/>
      <c r="G957" s="2"/>
      <c r="H957" s="3"/>
      <c r="I957" s="65"/>
      <c r="K957" s="65"/>
      <c r="M957" s="65"/>
      <c r="O957" s="65"/>
      <c r="Q957" s="65"/>
      <c r="S957" s="65"/>
      <c r="U957" s="65"/>
      <c r="W957" s="65"/>
      <c r="Y957" s="65"/>
      <c r="AA957" s="65"/>
      <c r="AC957" s="65"/>
      <c r="AE957" s="65"/>
      <c r="AG957" s="65"/>
      <c r="AI957" s="65"/>
      <c r="AK957" s="65"/>
    </row>
    <row r="958" spans="1:37" x14ac:dyDescent="0.25">
      <c r="A958" s="2">
        <v>41243</v>
      </c>
      <c r="B958" s="3">
        <v>2575.25</v>
      </c>
      <c r="C958" s="2">
        <v>41255</v>
      </c>
      <c r="D958" s="3">
        <v>15764.98</v>
      </c>
      <c r="E958" s="2"/>
      <c r="F958" s="3"/>
      <c r="G958" s="2"/>
      <c r="H958" s="3"/>
      <c r="I958" s="65"/>
      <c r="K958" s="65"/>
      <c r="M958" s="65"/>
      <c r="O958" s="65"/>
      <c r="Q958" s="65"/>
      <c r="S958" s="65"/>
      <c r="U958" s="65"/>
      <c r="W958" s="65"/>
      <c r="Y958" s="65"/>
      <c r="AA958" s="65"/>
      <c r="AC958" s="65"/>
      <c r="AE958" s="65"/>
      <c r="AG958" s="65"/>
      <c r="AI958" s="65"/>
      <c r="AK958" s="65"/>
    </row>
    <row r="959" spans="1:37" x14ac:dyDescent="0.25">
      <c r="A959" s="2">
        <v>41246</v>
      </c>
      <c r="B959" s="3">
        <v>2582.36</v>
      </c>
      <c r="C959" s="2">
        <v>41256</v>
      </c>
      <c r="D959" s="3">
        <v>15866.29</v>
      </c>
      <c r="E959" s="2"/>
      <c r="F959" s="3"/>
      <c r="G959" s="2"/>
      <c r="H959" s="3"/>
      <c r="I959" s="65"/>
      <c r="K959" s="65"/>
      <c r="M959" s="65"/>
      <c r="O959" s="65"/>
      <c r="Q959" s="65"/>
      <c r="S959" s="65"/>
      <c r="U959" s="65"/>
      <c r="W959" s="65"/>
      <c r="Y959" s="65"/>
      <c r="AA959" s="65"/>
      <c r="AC959" s="65"/>
      <c r="AE959" s="65"/>
      <c r="AG959" s="65"/>
      <c r="AI959" s="65"/>
      <c r="AK959" s="65"/>
    </row>
    <row r="960" spans="1:37" x14ac:dyDescent="0.25">
      <c r="A960" s="2">
        <v>41247</v>
      </c>
      <c r="B960" s="3">
        <v>2590.83</v>
      </c>
      <c r="C960" s="2">
        <v>41257</v>
      </c>
      <c r="D960" s="3">
        <v>15908.09</v>
      </c>
      <c r="E960" s="2"/>
      <c r="F960" s="3"/>
      <c r="G960" s="2"/>
      <c r="H960" s="3"/>
      <c r="I960" s="65"/>
      <c r="K960" s="65"/>
      <c r="M960" s="65"/>
      <c r="O960" s="65"/>
      <c r="Q960" s="65"/>
      <c r="S960" s="65"/>
      <c r="U960" s="65"/>
      <c r="W960" s="65"/>
      <c r="Y960" s="65"/>
      <c r="AA960" s="65"/>
      <c r="AC960" s="65"/>
      <c r="AE960" s="65"/>
      <c r="AG960" s="65"/>
      <c r="AI960" s="65"/>
      <c r="AK960" s="65"/>
    </row>
    <row r="961" spans="1:37" x14ac:dyDescent="0.25">
      <c r="A961" s="2">
        <v>41248</v>
      </c>
      <c r="B961" s="3">
        <v>2592.09</v>
      </c>
      <c r="C961" s="2">
        <v>41260</v>
      </c>
      <c r="D961" s="3">
        <v>16004.73</v>
      </c>
      <c r="E961" s="2"/>
      <c r="F961" s="3"/>
      <c r="G961" s="2"/>
      <c r="H961" s="3"/>
      <c r="I961" s="65"/>
      <c r="K961" s="65"/>
      <c r="M961" s="65"/>
      <c r="O961" s="65"/>
      <c r="Q961" s="65"/>
      <c r="S961" s="65"/>
      <c r="U961" s="65"/>
      <c r="W961" s="65"/>
      <c r="Y961" s="65"/>
      <c r="AA961" s="65"/>
      <c r="AC961" s="65"/>
      <c r="AE961" s="65"/>
      <c r="AG961" s="65"/>
      <c r="AI961" s="65"/>
      <c r="AK961" s="65"/>
    </row>
    <row r="962" spans="1:37" x14ac:dyDescent="0.25">
      <c r="A962" s="2">
        <v>41249</v>
      </c>
      <c r="B962" s="3">
        <v>2603.41</v>
      </c>
      <c r="C962" s="2">
        <v>41261</v>
      </c>
      <c r="D962" s="3">
        <v>16155.14</v>
      </c>
      <c r="E962" s="2"/>
      <c r="F962" s="3"/>
      <c r="G962" s="2"/>
      <c r="H962" s="3"/>
      <c r="I962" s="65"/>
      <c r="K962" s="65"/>
      <c r="M962" s="65"/>
      <c r="O962" s="65"/>
      <c r="Q962" s="65"/>
      <c r="S962" s="65"/>
      <c r="U962" s="65"/>
      <c r="W962" s="65"/>
      <c r="Y962" s="65"/>
      <c r="AA962" s="65"/>
      <c r="AC962" s="65"/>
      <c r="AE962" s="65"/>
      <c r="AG962" s="65"/>
      <c r="AI962" s="65"/>
      <c r="AK962" s="65"/>
    </row>
    <row r="963" spans="1:37" x14ac:dyDescent="0.25">
      <c r="A963" s="2">
        <v>41250</v>
      </c>
      <c r="B963" s="3">
        <v>2601.37</v>
      </c>
      <c r="C963" s="2">
        <v>41262</v>
      </c>
      <c r="D963" s="3">
        <v>16332.5</v>
      </c>
      <c r="E963" s="2"/>
      <c r="F963" s="3"/>
      <c r="G963" s="2"/>
      <c r="H963" s="3"/>
      <c r="I963" s="65"/>
      <c r="K963" s="65"/>
      <c r="M963" s="65"/>
      <c r="O963" s="65"/>
      <c r="Q963" s="65"/>
      <c r="S963" s="65"/>
      <c r="U963" s="65"/>
      <c r="W963" s="65"/>
      <c r="Y963" s="65"/>
      <c r="AA963" s="65"/>
      <c r="AC963" s="65"/>
      <c r="AE963" s="65"/>
      <c r="AG963" s="65"/>
      <c r="AI963" s="65"/>
      <c r="AK963" s="65"/>
    </row>
    <row r="964" spans="1:37" x14ac:dyDescent="0.25">
      <c r="A964" s="2">
        <v>41253</v>
      </c>
      <c r="B964" s="3">
        <v>2596.02</v>
      </c>
      <c r="C964" s="2">
        <v>41263</v>
      </c>
      <c r="D964" s="3">
        <v>16399.36</v>
      </c>
      <c r="E964" s="2"/>
      <c r="F964" s="3"/>
      <c r="G964" s="2"/>
      <c r="H964" s="3"/>
      <c r="I964" s="65"/>
      <c r="K964" s="65"/>
      <c r="M964" s="65"/>
      <c r="O964" s="65"/>
      <c r="Q964" s="65"/>
      <c r="S964" s="65"/>
      <c r="U964" s="65"/>
      <c r="W964" s="65"/>
      <c r="Y964" s="65"/>
      <c r="AA964" s="65"/>
      <c r="AC964" s="65"/>
      <c r="AE964" s="65"/>
      <c r="AG964" s="65"/>
      <c r="AI964" s="65"/>
      <c r="AK964" s="65"/>
    </row>
    <row r="965" spans="1:37" x14ac:dyDescent="0.25">
      <c r="A965" s="2">
        <v>41254</v>
      </c>
      <c r="B965" s="3">
        <v>2624.03</v>
      </c>
      <c r="C965" s="2">
        <v>41264</v>
      </c>
      <c r="D965" s="3">
        <v>16333.95</v>
      </c>
      <c r="E965" s="2"/>
      <c r="F965" s="3"/>
      <c r="G965" s="2"/>
      <c r="H965" s="3"/>
      <c r="I965" s="65"/>
      <c r="K965" s="65"/>
      <c r="M965" s="65"/>
      <c r="O965" s="65"/>
      <c r="Q965" s="65"/>
      <c r="S965" s="65"/>
      <c r="U965" s="65"/>
      <c r="W965" s="65"/>
      <c r="Y965" s="65"/>
      <c r="AA965" s="65"/>
      <c r="AC965" s="65"/>
      <c r="AE965" s="65"/>
      <c r="AG965" s="65"/>
      <c r="AI965" s="65"/>
      <c r="AK965" s="65"/>
    </row>
    <row r="966" spans="1:37" x14ac:dyDescent="0.25">
      <c r="A966" s="2">
        <v>41255</v>
      </c>
      <c r="B966" s="3">
        <v>2630.34</v>
      </c>
      <c r="C966" s="2">
        <v>41270</v>
      </c>
      <c r="D966" s="3">
        <v>16408.28</v>
      </c>
      <c r="E966" s="2"/>
      <c r="F966" s="3"/>
      <c r="G966" s="2"/>
      <c r="H966" s="3"/>
      <c r="I966" s="65"/>
      <c r="K966" s="65"/>
      <c r="M966" s="65"/>
      <c r="O966" s="65"/>
      <c r="Q966" s="65"/>
      <c r="S966" s="65"/>
      <c r="U966" s="65"/>
      <c r="W966" s="65"/>
      <c r="Y966" s="65"/>
      <c r="AA966" s="65"/>
      <c r="AC966" s="65"/>
      <c r="AE966" s="65"/>
      <c r="AG966" s="65"/>
      <c r="AI966" s="65"/>
      <c r="AK966" s="65"/>
    </row>
    <row r="967" spans="1:37" x14ac:dyDescent="0.25">
      <c r="A967" s="2">
        <v>41256</v>
      </c>
      <c r="B967" s="3">
        <v>2627.66</v>
      </c>
      <c r="C967" s="2">
        <v>41271</v>
      </c>
      <c r="D967" s="3">
        <v>16273.38</v>
      </c>
      <c r="E967" s="2"/>
      <c r="F967" s="3"/>
      <c r="G967" s="2"/>
      <c r="H967" s="3"/>
      <c r="I967" s="65"/>
      <c r="K967" s="65"/>
      <c r="M967" s="65"/>
      <c r="O967" s="65"/>
      <c r="Q967" s="65"/>
      <c r="S967" s="65"/>
      <c r="U967" s="65"/>
      <c r="W967" s="65"/>
      <c r="Y967" s="65"/>
      <c r="AA967" s="65"/>
      <c r="AC967" s="65"/>
      <c r="AE967" s="65"/>
      <c r="AG967" s="65"/>
      <c r="AI967" s="65"/>
      <c r="AK967" s="65"/>
    </row>
    <row r="968" spans="1:37" x14ac:dyDescent="0.25">
      <c r="A968" s="2">
        <v>41257</v>
      </c>
      <c r="B968" s="3">
        <v>2630.54</v>
      </c>
      <c r="C968" s="2">
        <v>41276</v>
      </c>
      <c r="D968" s="3">
        <v>16893.39</v>
      </c>
      <c r="E968" s="2"/>
      <c r="F968" s="3"/>
      <c r="G968" s="2"/>
      <c r="H968" s="3"/>
      <c r="I968" s="65"/>
      <c r="K968" s="65"/>
      <c r="M968" s="65"/>
      <c r="O968" s="65"/>
      <c r="Q968" s="65"/>
      <c r="S968" s="65"/>
      <c r="U968" s="65"/>
      <c r="W968" s="65"/>
      <c r="Y968" s="65"/>
      <c r="AA968" s="65"/>
      <c r="AC968" s="65"/>
      <c r="AE968" s="65"/>
      <c r="AG968" s="65"/>
      <c r="AI968" s="65"/>
      <c r="AK968" s="65"/>
    </row>
    <row r="969" spans="1:37" x14ac:dyDescent="0.25">
      <c r="A969" s="2">
        <v>41260</v>
      </c>
      <c r="B969" s="3">
        <v>2628.01</v>
      </c>
      <c r="C969" s="2">
        <v>41277</v>
      </c>
      <c r="D969" s="3">
        <v>16909.830000000002</v>
      </c>
      <c r="E969" s="2"/>
      <c r="F969" s="3"/>
      <c r="G969" s="2"/>
      <c r="H969" s="3"/>
      <c r="I969" s="65"/>
      <c r="K969" s="65"/>
      <c r="M969" s="65"/>
      <c r="O969" s="65"/>
      <c r="Q969" s="65"/>
      <c r="S969" s="65"/>
      <c r="U969" s="65"/>
      <c r="W969" s="65"/>
      <c r="Y969" s="65"/>
      <c r="AA969" s="65"/>
      <c r="AC969" s="65"/>
      <c r="AE969" s="65"/>
      <c r="AG969" s="65"/>
      <c r="AI969" s="65"/>
      <c r="AK969" s="65"/>
    </row>
    <row r="970" spans="1:37" x14ac:dyDescent="0.25">
      <c r="A970" s="2">
        <v>41261</v>
      </c>
      <c r="B970" s="3">
        <v>2643.5</v>
      </c>
      <c r="C970" s="2">
        <v>41278</v>
      </c>
      <c r="D970" s="3">
        <v>16959.78</v>
      </c>
      <c r="E970" s="2"/>
      <c r="F970" s="3"/>
      <c r="G970" s="2"/>
      <c r="H970" s="3"/>
      <c r="I970" s="65"/>
      <c r="K970" s="65"/>
      <c r="M970" s="65"/>
      <c r="O970" s="65"/>
      <c r="Q970" s="65"/>
      <c r="S970" s="65"/>
      <c r="U970" s="65"/>
      <c r="W970" s="65"/>
      <c r="Y970" s="65"/>
      <c r="AA970" s="65"/>
      <c r="AC970" s="65"/>
      <c r="AE970" s="65"/>
      <c r="AG970" s="65"/>
      <c r="AI970" s="65"/>
      <c r="AK970" s="65"/>
    </row>
    <row r="971" spans="1:37" x14ac:dyDescent="0.25">
      <c r="A971" s="2">
        <v>41262</v>
      </c>
      <c r="B971" s="3">
        <v>2654.69</v>
      </c>
      <c r="C971" s="2">
        <v>41281</v>
      </c>
      <c r="D971" s="3">
        <v>16895.66</v>
      </c>
      <c r="E971" s="2"/>
      <c r="F971" s="3"/>
      <c r="G971" s="2"/>
      <c r="H971" s="3"/>
      <c r="I971" s="65"/>
      <c r="K971" s="65"/>
      <c r="M971" s="65"/>
      <c r="O971" s="65"/>
      <c r="Q971" s="65"/>
      <c r="S971" s="65"/>
      <c r="U971" s="65"/>
      <c r="W971" s="65"/>
      <c r="Y971" s="65"/>
      <c r="AA971" s="65"/>
      <c r="AC971" s="65"/>
      <c r="AE971" s="65"/>
      <c r="AG971" s="65"/>
      <c r="AI971" s="65"/>
      <c r="AK971" s="65"/>
    </row>
    <row r="972" spans="1:37" x14ac:dyDescent="0.25">
      <c r="A972" s="2">
        <v>41263</v>
      </c>
      <c r="B972" s="3">
        <v>2658.3</v>
      </c>
      <c r="C972" s="2">
        <v>41282</v>
      </c>
      <c r="D972" s="3">
        <v>16951.14</v>
      </c>
      <c r="E972" s="2"/>
      <c r="F972" s="3"/>
      <c r="G972" s="2"/>
      <c r="H972" s="3"/>
      <c r="I972" s="65"/>
      <c r="K972" s="65"/>
      <c r="M972" s="65"/>
      <c r="O972" s="65"/>
      <c r="Q972" s="65"/>
      <c r="S972" s="65"/>
      <c r="U972" s="65"/>
      <c r="W972" s="65"/>
      <c r="Y972" s="65"/>
      <c r="AA972" s="65"/>
      <c r="AC972" s="65"/>
      <c r="AE972" s="65"/>
      <c r="AG972" s="65"/>
      <c r="AI972" s="65"/>
      <c r="AK972" s="65"/>
    </row>
    <row r="973" spans="1:37" x14ac:dyDescent="0.25">
      <c r="A973" s="2">
        <v>41264</v>
      </c>
      <c r="B973" s="3">
        <v>2651.09</v>
      </c>
      <c r="C973" s="2">
        <v>41283</v>
      </c>
      <c r="D973" s="3">
        <v>17326.27</v>
      </c>
      <c r="E973" s="2"/>
      <c r="F973" s="3"/>
      <c r="G973" s="2"/>
      <c r="H973" s="3"/>
      <c r="I973" s="65"/>
      <c r="K973" s="65"/>
      <c r="M973" s="65"/>
      <c r="O973" s="65"/>
      <c r="Q973" s="65"/>
      <c r="S973" s="65"/>
      <c r="U973" s="65"/>
      <c r="W973" s="65"/>
      <c r="Y973" s="65"/>
      <c r="AA973" s="65"/>
      <c r="AC973" s="65"/>
      <c r="AE973" s="65"/>
      <c r="AG973" s="65"/>
      <c r="AI973" s="65"/>
      <c r="AK973" s="65"/>
    </row>
    <row r="974" spans="1:37" x14ac:dyDescent="0.25">
      <c r="A974" s="2">
        <v>41267</v>
      </c>
      <c r="B974" s="3">
        <v>2648.53</v>
      </c>
      <c r="C974" s="2">
        <v>41284</v>
      </c>
      <c r="D974" s="3">
        <v>17451.07</v>
      </c>
      <c r="E974" s="2"/>
      <c r="F974" s="3"/>
      <c r="G974" s="2"/>
      <c r="H974" s="3"/>
      <c r="I974" s="65"/>
      <c r="K974" s="65"/>
      <c r="M974" s="65"/>
      <c r="O974" s="65"/>
      <c r="Q974" s="65"/>
      <c r="S974" s="65"/>
      <c r="U974" s="65"/>
      <c r="W974" s="65"/>
      <c r="Y974" s="65"/>
      <c r="AA974" s="65"/>
      <c r="AC974" s="65"/>
      <c r="AE974" s="65"/>
      <c r="AG974" s="65"/>
      <c r="AI974" s="65"/>
      <c r="AK974" s="65"/>
    </row>
    <row r="975" spans="1:37" x14ac:dyDescent="0.25">
      <c r="A975" s="2">
        <v>41270</v>
      </c>
      <c r="B975" s="3">
        <v>2659.95</v>
      </c>
      <c r="C975" s="2">
        <v>41285</v>
      </c>
      <c r="D975" s="3">
        <v>17502.39</v>
      </c>
      <c r="E975" s="2"/>
      <c r="F975" s="3"/>
      <c r="G975" s="2"/>
      <c r="H975" s="3"/>
      <c r="I975" s="65"/>
      <c r="K975" s="65"/>
      <c r="M975" s="65"/>
      <c r="O975" s="65"/>
      <c r="Q975" s="65"/>
      <c r="S975" s="65"/>
      <c r="U975" s="65"/>
      <c r="W975" s="65"/>
      <c r="Y975" s="65"/>
      <c r="AA975" s="65"/>
      <c r="AC975" s="65"/>
      <c r="AE975" s="65"/>
      <c r="AG975" s="65"/>
      <c r="AI975" s="65"/>
      <c r="AK975" s="65"/>
    </row>
    <row r="976" spans="1:37" x14ac:dyDescent="0.25">
      <c r="A976" s="2">
        <v>41271</v>
      </c>
      <c r="B976" s="3">
        <v>2626.85</v>
      </c>
      <c r="C976" s="2">
        <v>41288</v>
      </c>
      <c r="D976" s="3">
        <v>17391.240000000002</v>
      </c>
      <c r="E976" s="2"/>
      <c r="F976" s="3"/>
      <c r="G976" s="2"/>
      <c r="H976" s="3"/>
      <c r="I976" s="65"/>
      <c r="K976" s="65"/>
      <c r="M976" s="65"/>
      <c r="O976" s="65"/>
      <c r="Q976" s="65"/>
      <c r="S976" s="65"/>
      <c r="U976" s="65"/>
      <c r="W976" s="65"/>
      <c r="Y976" s="65"/>
      <c r="AA976" s="65"/>
      <c r="AC976" s="65"/>
      <c r="AE976" s="65"/>
      <c r="AG976" s="65"/>
      <c r="AI976" s="65"/>
      <c r="AK976" s="65"/>
    </row>
    <row r="977" spans="1:37" x14ac:dyDescent="0.25">
      <c r="A977" s="2">
        <v>41274</v>
      </c>
      <c r="B977" s="3">
        <v>2635.93</v>
      </c>
      <c r="C977" s="2">
        <v>41289</v>
      </c>
      <c r="D977" s="3">
        <v>17467.48</v>
      </c>
      <c r="E977" s="2"/>
      <c r="F977" s="3"/>
      <c r="G977" s="2"/>
      <c r="H977" s="3"/>
      <c r="I977" s="65"/>
      <c r="K977" s="65"/>
      <c r="M977" s="65"/>
      <c r="O977" s="65"/>
      <c r="Q977" s="65"/>
      <c r="S977" s="65"/>
      <c r="U977" s="65"/>
      <c r="W977" s="65"/>
      <c r="Y977" s="65"/>
      <c r="AA977" s="65"/>
      <c r="AC977" s="65"/>
      <c r="AE977" s="65"/>
      <c r="AG977" s="65"/>
      <c r="AI977" s="65"/>
      <c r="AK977" s="65"/>
    </row>
    <row r="978" spans="1:37" x14ac:dyDescent="0.25">
      <c r="A978" s="2">
        <v>41276</v>
      </c>
      <c r="B978" s="3">
        <v>2711.25</v>
      </c>
      <c r="C978" s="2">
        <v>41290</v>
      </c>
      <c r="D978" s="3">
        <v>17339.95</v>
      </c>
      <c r="E978" s="2"/>
      <c r="F978" s="3"/>
      <c r="G978" s="2"/>
      <c r="H978" s="3"/>
      <c r="I978" s="65"/>
      <c r="K978" s="65"/>
      <c r="M978" s="65"/>
      <c r="O978" s="65"/>
      <c r="Q978" s="65"/>
      <c r="S978" s="65"/>
      <c r="U978" s="65"/>
      <c r="W978" s="65"/>
      <c r="Y978" s="65"/>
      <c r="AA978" s="65"/>
      <c r="AC978" s="65"/>
      <c r="AE978" s="65"/>
      <c r="AG978" s="65"/>
      <c r="AI978" s="65"/>
      <c r="AK978" s="65"/>
    </row>
    <row r="979" spans="1:37" x14ac:dyDescent="0.25">
      <c r="A979" s="2">
        <v>41277</v>
      </c>
      <c r="B979" s="3">
        <v>2701.22</v>
      </c>
      <c r="C979" s="2">
        <v>41291</v>
      </c>
      <c r="D979" s="3">
        <v>17587.349999999999</v>
      </c>
      <c r="E979" s="2"/>
      <c r="F979" s="3"/>
      <c r="G979" s="2"/>
      <c r="H979" s="3"/>
      <c r="I979" s="65"/>
      <c r="K979" s="65"/>
      <c r="M979" s="65"/>
      <c r="O979" s="65"/>
      <c r="Q979" s="65"/>
      <c r="S979" s="65"/>
      <c r="U979" s="65"/>
      <c r="W979" s="65"/>
      <c r="Y979" s="65"/>
      <c r="AA979" s="65"/>
      <c r="AC979" s="65"/>
      <c r="AE979" s="65"/>
      <c r="AG979" s="65"/>
      <c r="AI979" s="65"/>
      <c r="AK979" s="65"/>
    </row>
    <row r="980" spans="1:37" x14ac:dyDescent="0.25">
      <c r="A980" s="2">
        <v>41278</v>
      </c>
      <c r="B980" s="3">
        <v>2709.35</v>
      </c>
      <c r="C980" s="2">
        <v>41292</v>
      </c>
      <c r="D980" s="3">
        <v>17554.13</v>
      </c>
      <c r="E980" s="2"/>
      <c r="F980" s="3"/>
      <c r="G980" s="2"/>
      <c r="H980" s="3"/>
      <c r="I980" s="65"/>
      <c r="K980" s="65"/>
      <c r="M980" s="65"/>
      <c r="O980" s="65"/>
      <c r="Q980" s="65"/>
      <c r="S980" s="65"/>
      <c r="U980" s="65"/>
      <c r="W980" s="65"/>
      <c r="Y980" s="65"/>
      <c r="AA980" s="65"/>
      <c r="AC980" s="65"/>
      <c r="AE980" s="65"/>
      <c r="AG980" s="65"/>
      <c r="AI980" s="65"/>
      <c r="AK980" s="65"/>
    </row>
    <row r="981" spans="1:37" x14ac:dyDescent="0.25">
      <c r="A981" s="2">
        <v>41281</v>
      </c>
      <c r="B981" s="3">
        <v>2695.56</v>
      </c>
      <c r="C981" s="2">
        <v>41295</v>
      </c>
      <c r="D981" s="3">
        <v>17631.990000000002</v>
      </c>
      <c r="E981" s="2"/>
      <c r="F981" s="3"/>
      <c r="G981" s="2"/>
      <c r="H981" s="3"/>
      <c r="I981" s="65"/>
      <c r="K981" s="65"/>
      <c r="M981" s="65"/>
      <c r="O981" s="65"/>
      <c r="Q981" s="65"/>
      <c r="S981" s="65"/>
      <c r="U981" s="65"/>
      <c r="W981" s="65"/>
      <c r="Y981" s="65"/>
      <c r="AA981" s="65"/>
      <c r="AC981" s="65"/>
      <c r="AE981" s="65"/>
      <c r="AG981" s="65"/>
      <c r="AI981" s="65"/>
      <c r="AK981" s="65"/>
    </row>
    <row r="982" spans="1:37" x14ac:dyDescent="0.25">
      <c r="A982" s="2">
        <v>41282</v>
      </c>
      <c r="B982" s="3">
        <v>2691.45</v>
      </c>
      <c r="C982" s="2">
        <v>41296</v>
      </c>
      <c r="D982" s="3">
        <v>17715.900000000001</v>
      </c>
      <c r="E982" s="2"/>
      <c r="F982" s="3"/>
      <c r="G982" s="2"/>
      <c r="H982" s="3"/>
      <c r="I982" s="65"/>
      <c r="K982" s="65"/>
      <c r="M982" s="65"/>
      <c r="O982" s="65"/>
      <c r="Q982" s="65"/>
      <c r="S982" s="65"/>
      <c r="U982" s="65"/>
      <c r="W982" s="65"/>
      <c r="Y982" s="65"/>
      <c r="AA982" s="65"/>
      <c r="AC982" s="65"/>
      <c r="AE982" s="65"/>
      <c r="AG982" s="65"/>
      <c r="AI982" s="65"/>
      <c r="AK982" s="65"/>
    </row>
    <row r="983" spans="1:37" x14ac:dyDescent="0.25">
      <c r="A983" s="2">
        <v>41283</v>
      </c>
      <c r="B983" s="3">
        <v>2706.39</v>
      </c>
      <c r="C983" s="2">
        <v>41297</v>
      </c>
      <c r="D983" s="3">
        <v>17579</v>
      </c>
      <c r="E983" s="2"/>
      <c r="F983" s="3"/>
      <c r="G983" s="2"/>
      <c r="H983" s="3"/>
      <c r="I983" s="65"/>
      <c r="K983" s="65"/>
      <c r="M983" s="65"/>
      <c r="O983" s="65"/>
      <c r="Q983" s="65"/>
      <c r="S983" s="65"/>
      <c r="U983" s="65"/>
      <c r="W983" s="65"/>
      <c r="Y983" s="65"/>
      <c r="AA983" s="65"/>
      <c r="AC983" s="65"/>
      <c r="AE983" s="65"/>
      <c r="AG983" s="65"/>
      <c r="AI983" s="65"/>
      <c r="AK983" s="65"/>
    </row>
    <row r="984" spans="1:37" x14ac:dyDescent="0.25">
      <c r="A984" s="2">
        <v>41284</v>
      </c>
      <c r="B984" s="3">
        <v>2708.27</v>
      </c>
      <c r="C984" s="2">
        <v>41298</v>
      </c>
      <c r="D984" s="3">
        <v>17756.63</v>
      </c>
      <c r="E984" s="2"/>
      <c r="F984" s="3"/>
      <c r="G984" s="2"/>
      <c r="H984" s="3"/>
      <c r="I984" s="65"/>
      <c r="K984" s="65"/>
      <c r="M984" s="65"/>
      <c r="O984" s="65"/>
      <c r="Q984" s="65"/>
      <c r="S984" s="65"/>
      <c r="U984" s="65"/>
      <c r="W984" s="65"/>
      <c r="Y984" s="65"/>
      <c r="AA984" s="65"/>
      <c r="AC984" s="65"/>
      <c r="AE984" s="65"/>
      <c r="AG984" s="65"/>
      <c r="AI984" s="65"/>
      <c r="AK984" s="65"/>
    </row>
    <row r="985" spans="1:37" x14ac:dyDescent="0.25">
      <c r="A985" s="2">
        <v>41285</v>
      </c>
      <c r="B985" s="3">
        <v>2717.79</v>
      </c>
      <c r="C985" s="2">
        <v>41299</v>
      </c>
      <c r="D985" s="3">
        <v>17726.89</v>
      </c>
      <c r="E985" s="2"/>
      <c r="F985" s="3"/>
      <c r="G985" s="2"/>
      <c r="H985" s="3"/>
      <c r="I985" s="65"/>
      <c r="K985" s="65"/>
      <c r="M985" s="65"/>
      <c r="O985" s="65"/>
      <c r="Q985" s="65"/>
      <c r="S985" s="65"/>
      <c r="U985" s="65"/>
      <c r="W985" s="65"/>
      <c r="Y985" s="65"/>
      <c r="AA985" s="65"/>
      <c r="AC985" s="65"/>
      <c r="AE985" s="65"/>
      <c r="AG985" s="65"/>
      <c r="AI985" s="65"/>
      <c r="AK985" s="65"/>
    </row>
    <row r="986" spans="1:37" x14ac:dyDescent="0.25">
      <c r="A986" s="2">
        <v>41288</v>
      </c>
      <c r="B986" s="3">
        <v>2715.16</v>
      </c>
      <c r="C986" s="2">
        <v>41302</v>
      </c>
      <c r="D986" s="3">
        <v>17897.41</v>
      </c>
      <c r="E986" s="2"/>
      <c r="F986" s="3"/>
      <c r="G986" s="2"/>
      <c r="H986" s="3"/>
      <c r="I986" s="65"/>
      <c r="K986" s="65"/>
      <c r="M986" s="65"/>
      <c r="O986" s="65"/>
      <c r="Q986" s="65"/>
      <c r="S986" s="65"/>
      <c r="U986" s="65"/>
      <c r="W986" s="65"/>
      <c r="Y986" s="65"/>
      <c r="AA986" s="65"/>
      <c r="AC986" s="65"/>
      <c r="AE986" s="65"/>
      <c r="AG986" s="65"/>
      <c r="AI986" s="65"/>
      <c r="AK986" s="65"/>
    </row>
    <row r="987" spans="1:37" x14ac:dyDescent="0.25">
      <c r="A987" s="2">
        <v>41289</v>
      </c>
      <c r="B987" s="3">
        <v>2701.59</v>
      </c>
      <c r="C987" s="2">
        <v>41303</v>
      </c>
      <c r="D987" s="3">
        <v>17891.91</v>
      </c>
      <c r="E987" s="2"/>
      <c r="F987" s="3"/>
      <c r="G987" s="2"/>
      <c r="H987" s="3"/>
      <c r="I987" s="65"/>
      <c r="K987" s="65"/>
      <c r="M987" s="65"/>
      <c r="O987" s="65"/>
      <c r="Q987" s="65"/>
      <c r="S987" s="65"/>
      <c r="U987" s="65"/>
      <c r="W987" s="65"/>
      <c r="Y987" s="65"/>
      <c r="AA987" s="65"/>
      <c r="AC987" s="65"/>
      <c r="AE987" s="65"/>
      <c r="AG987" s="65"/>
      <c r="AI987" s="65"/>
      <c r="AK987" s="65"/>
    </row>
    <row r="988" spans="1:37" x14ac:dyDescent="0.25">
      <c r="A988" s="2">
        <v>41290</v>
      </c>
      <c r="B988" s="3">
        <v>2702.54</v>
      </c>
      <c r="C988" s="2">
        <v>41304</v>
      </c>
      <c r="D988" s="3">
        <v>17289.91</v>
      </c>
      <c r="E988" s="2"/>
      <c r="F988" s="3"/>
      <c r="G988" s="2"/>
      <c r="H988" s="3"/>
      <c r="I988" s="65"/>
      <c r="K988" s="65"/>
      <c r="M988" s="65"/>
      <c r="O988" s="65"/>
      <c r="Q988" s="65"/>
      <c r="S988" s="65"/>
      <c r="U988" s="65"/>
      <c r="W988" s="65"/>
      <c r="Y988" s="65"/>
      <c r="AA988" s="65"/>
      <c r="AC988" s="65"/>
      <c r="AE988" s="65"/>
      <c r="AG988" s="65"/>
      <c r="AI988" s="65"/>
      <c r="AK988" s="65"/>
    </row>
    <row r="989" spans="1:37" x14ac:dyDescent="0.25">
      <c r="A989" s="2">
        <v>41291</v>
      </c>
      <c r="B989" s="3">
        <v>2718.93</v>
      </c>
      <c r="C989" s="2">
        <v>41305</v>
      </c>
      <c r="D989" s="3">
        <v>17439.060000000001</v>
      </c>
      <c r="E989" s="2"/>
      <c r="F989" s="3"/>
      <c r="G989" s="2"/>
      <c r="H989" s="3"/>
      <c r="I989" s="65"/>
      <c r="K989" s="65"/>
      <c r="M989" s="65"/>
      <c r="O989" s="65"/>
      <c r="Q989" s="65"/>
      <c r="S989" s="65"/>
      <c r="U989" s="65"/>
      <c r="W989" s="65"/>
      <c r="Y989" s="65"/>
      <c r="AA989" s="65"/>
      <c r="AC989" s="65"/>
      <c r="AE989" s="65"/>
      <c r="AG989" s="65"/>
      <c r="AI989" s="65"/>
      <c r="AK989" s="65"/>
    </row>
    <row r="990" spans="1:37" x14ac:dyDescent="0.25">
      <c r="A990" s="2">
        <v>41292</v>
      </c>
      <c r="B990" s="3">
        <v>2709.59</v>
      </c>
      <c r="C990" s="2">
        <v>41306</v>
      </c>
      <c r="D990" s="3">
        <v>17318.939999999999</v>
      </c>
      <c r="E990" s="2"/>
      <c r="F990" s="3"/>
      <c r="G990" s="2"/>
      <c r="H990" s="3"/>
      <c r="I990" s="65"/>
      <c r="K990" s="65"/>
      <c r="M990" s="65"/>
      <c r="O990" s="65"/>
      <c r="Q990" s="65"/>
      <c r="S990" s="65"/>
      <c r="U990" s="65"/>
      <c r="W990" s="65"/>
      <c r="Y990" s="65"/>
      <c r="AA990" s="65"/>
      <c r="AC990" s="65"/>
      <c r="AE990" s="65"/>
      <c r="AG990" s="65"/>
      <c r="AI990" s="65"/>
      <c r="AK990" s="65"/>
    </row>
    <row r="991" spans="1:37" x14ac:dyDescent="0.25">
      <c r="A991" s="2">
        <v>41295</v>
      </c>
      <c r="B991" s="3">
        <v>2726.63</v>
      </c>
      <c r="C991" s="2">
        <v>41309</v>
      </c>
      <c r="D991" s="3">
        <v>16539</v>
      </c>
      <c r="E991" s="2"/>
      <c r="F991" s="3"/>
      <c r="G991" s="2"/>
      <c r="H991" s="3"/>
      <c r="I991" s="65"/>
      <c r="K991" s="65"/>
      <c r="M991" s="65"/>
      <c r="O991" s="65"/>
      <c r="Q991" s="65"/>
      <c r="S991" s="65"/>
      <c r="U991" s="65"/>
      <c r="W991" s="65"/>
      <c r="Y991" s="65"/>
      <c r="AA991" s="65"/>
      <c r="AC991" s="65"/>
      <c r="AE991" s="65"/>
      <c r="AG991" s="65"/>
      <c r="AI991" s="65"/>
      <c r="AK991" s="65"/>
    </row>
    <row r="992" spans="1:37" x14ac:dyDescent="0.25">
      <c r="A992" s="2">
        <v>41296</v>
      </c>
      <c r="B992" s="3">
        <v>2716.7</v>
      </c>
      <c r="C992" s="2">
        <v>41310</v>
      </c>
      <c r="D992" s="3">
        <v>16712.259999999998</v>
      </c>
      <c r="E992" s="2"/>
      <c r="F992" s="3"/>
      <c r="G992" s="2"/>
      <c r="H992" s="3"/>
      <c r="I992" s="65"/>
      <c r="K992" s="65"/>
      <c r="M992" s="65"/>
      <c r="O992" s="65"/>
      <c r="Q992" s="65"/>
      <c r="S992" s="65"/>
      <c r="U992" s="65"/>
      <c r="W992" s="65"/>
      <c r="Y992" s="65"/>
      <c r="AA992" s="65"/>
      <c r="AC992" s="65"/>
      <c r="AE992" s="65"/>
      <c r="AG992" s="65"/>
      <c r="AI992" s="65"/>
      <c r="AK992" s="65"/>
    </row>
    <row r="993" spans="1:37" x14ac:dyDescent="0.25">
      <c r="A993" s="2">
        <v>41297</v>
      </c>
      <c r="B993" s="3">
        <v>2708.28</v>
      </c>
      <c r="C993" s="2">
        <v>41311</v>
      </c>
      <c r="D993" s="3">
        <v>16602.849999999999</v>
      </c>
      <c r="E993" s="2"/>
      <c r="F993" s="3"/>
      <c r="G993" s="2"/>
      <c r="H993" s="3"/>
      <c r="I993" s="65"/>
      <c r="K993" s="65"/>
      <c r="M993" s="65"/>
      <c r="O993" s="65"/>
      <c r="Q993" s="65"/>
      <c r="S993" s="65"/>
      <c r="U993" s="65"/>
      <c r="W993" s="65"/>
      <c r="Y993" s="65"/>
      <c r="AA993" s="65"/>
      <c r="AC993" s="65"/>
      <c r="AE993" s="65"/>
      <c r="AG993" s="65"/>
      <c r="AI993" s="65"/>
      <c r="AK993" s="65"/>
    </row>
    <row r="994" spans="1:37" x14ac:dyDescent="0.25">
      <c r="A994" s="2">
        <v>41298</v>
      </c>
      <c r="B994" s="3">
        <v>2722.96</v>
      </c>
      <c r="C994" s="2">
        <v>41312</v>
      </c>
      <c r="D994" s="3">
        <v>16400.560000000001</v>
      </c>
      <c r="E994" s="2"/>
      <c r="F994" s="3"/>
      <c r="G994" s="2"/>
      <c r="H994" s="3"/>
      <c r="I994" s="65"/>
      <c r="K994" s="65"/>
      <c r="M994" s="65"/>
      <c r="O994" s="65"/>
      <c r="Q994" s="65"/>
      <c r="S994" s="65"/>
      <c r="U994" s="65"/>
      <c r="W994" s="65"/>
      <c r="Y994" s="65"/>
      <c r="AA994" s="65"/>
      <c r="AC994" s="65"/>
      <c r="AE994" s="65"/>
      <c r="AG994" s="65"/>
      <c r="AI994" s="65"/>
      <c r="AK994" s="65"/>
    </row>
    <row r="995" spans="1:37" x14ac:dyDescent="0.25">
      <c r="A995" s="2">
        <v>41299</v>
      </c>
      <c r="B995" s="3">
        <v>2744.18</v>
      </c>
      <c r="C995" s="2">
        <v>41313</v>
      </c>
      <c r="D995" s="3">
        <v>16630.5</v>
      </c>
      <c r="E995" s="2"/>
      <c r="F995" s="3"/>
      <c r="G995" s="2"/>
      <c r="H995" s="3"/>
      <c r="I995" s="65"/>
      <c r="K995" s="65"/>
      <c r="M995" s="65"/>
      <c r="O995" s="65"/>
      <c r="Q995" s="65"/>
      <c r="S995" s="65"/>
      <c r="U995" s="65"/>
      <c r="W995" s="65"/>
      <c r="Y995" s="65"/>
      <c r="AA995" s="65"/>
      <c r="AC995" s="65"/>
      <c r="AE995" s="65"/>
      <c r="AG995" s="65"/>
      <c r="AI995" s="65"/>
      <c r="AK995" s="65"/>
    </row>
    <row r="996" spans="1:37" x14ac:dyDescent="0.25">
      <c r="A996" s="2">
        <v>41302</v>
      </c>
      <c r="B996" s="3">
        <v>2744.5</v>
      </c>
      <c r="C996" s="2">
        <v>41316</v>
      </c>
      <c r="D996" s="3">
        <v>16529.87</v>
      </c>
      <c r="E996" s="2"/>
      <c r="F996" s="3"/>
      <c r="G996" s="2"/>
      <c r="H996" s="3"/>
      <c r="I996" s="65"/>
      <c r="K996" s="65"/>
      <c r="M996" s="65"/>
      <c r="O996" s="65"/>
      <c r="Q996" s="65"/>
      <c r="S996" s="65"/>
      <c r="U996" s="65"/>
      <c r="W996" s="65"/>
      <c r="Y996" s="65"/>
      <c r="AA996" s="65"/>
      <c r="AC996" s="65"/>
      <c r="AE996" s="65"/>
      <c r="AG996" s="65"/>
      <c r="AI996" s="65"/>
      <c r="AK996" s="65"/>
    </row>
    <row r="997" spans="1:37" x14ac:dyDescent="0.25">
      <c r="A997" s="2">
        <v>41303</v>
      </c>
      <c r="B997" s="3">
        <v>2749.27</v>
      </c>
      <c r="C997" s="2">
        <v>41317</v>
      </c>
      <c r="D997" s="3">
        <v>16644.45</v>
      </c>
      <c r="E997" s="2"/>
      <c r="F997" s="3"/>
      <c r="G997" s="2"/>
      <c r="H997" s="3"/>
      <c r="I997" s="65"/>
      <c r="K997" s="65"/>
      <c r="M997" s="65"/>
      <c r="O997" s="65"/>
      <c r="Q997" s="65"/>
      <c r="S997" s="65"/>
      <c r="U997" s="65"/>
      <c r="W997" s="65"/>
      <c r="Y997" s="65"/>
      <c r="AA997" s="65"/>
      <c r="AC997" s="65"/>
      <c r="AE997" s="65"/>
      <c r="AG997" s="65"/>
      <c r="AI997" s="65"/>
      <c r="AK997" s="65"/>
    </row>
    <row r="998" spans="1:37" x14ac:dyDescent="0.25">
      <c r="A998" s="2">
        <v>41304</v>
      </c>
      <c r="B998" s="3">
        <v>2732.12</v>
      </c>
      <c r="C998" s="2">
        <v>41318</v>
      </c>
      <c r="D998" s="3">
        <v>16712.150000000001</v>
      </c>
      <c r="E998" s="2"/>
      <c r="F998" s="3"/>
      <c r="G998" s="2"/>
      <c r="H998" s="3"/>
      <c r="I998" s="65"/>
      <c r="K998" s="65"/>
      <c r="M998" s="65"/>
      <c r="O998" s="65"/>
      <c r="Q998" s="65"/>
      <c r="S998" s="65"/>
      <c r="U998" s="65"/>
      <c r="W998" s="65"/>
      <c r="Y998" s="65"/>
      <c r="AA998" s="65"/>
      <c r="AC998" s="65"/>
      <c r="AE998" s="65"/>
      <c r="AG998" s="65"/>
      <c r="AI998" s="65"/>
      <c r="AK998" s="65"/>
    </row>
    <row r="999" spans="1:37" x14ac:dyDescent="0.25">
      <c r="A999" s="2">
        <v>41305</v>
      </c>
      <c r="B999" s="3">
        <v>2702.98</v>
      </c>
      <c r="C999" s="2">
        <v>41319</v>
      </c>
      <c r="D999" s="3">
        <v>16544.95</v>
      </c>
      <c r="E999" s="2"/>
      <c r="F999" s="3"/>
      <c r="G999" s="2"/>
      <c r="H999" s="3"/>
      <c r="I999" s="65"/>
      <c r="K999" s="65"/>
      <c r="M999" s="65"/>
      <c r="O999" s="65"/>
      <c r="Q999" s="65"/>
      <c r="S999" s="65"/>
      <c r="U999" s="65"/>
      <c r="W999" s="65"/>
      <c r="Y999" s="65"/>
      <c r="AA999" s="65"/>
      <c r="AC999" s="65"/>
      <c r="AE999" s="65"/>
      <c r="AG999" s="65"/>
      <c r="AI999" s="65"/>
      <c r="AK999" s="65"/>
    </row>
    <row r="1000" spans="1:37" x14ac:dyDescent="0.25">
      <c r="A1000" s="2">
        <v>41306</v>
      </c>
      <c r="B1000" s="3">
        <v>2710.08</v>
      </c>
      <c r="C1000" s="2">
        <v>41320</v>
      </c>
      <c r="D1000" s="3">
        <v>16489.8</v>
      </c>
      <c r="E1000" s="2"/>
      <c r="F1000" s="3"/>
      <c r="G1000" s="2"/>
      <c r="H1000" s="3"/>
      <c r="I1000" s="65"/>
      <c r="K1000" s="65"/>
      <c r="M1000" s="65"/>
      <c r="O1000" s="65"/>
      <c r="Q1000" s="65"/>
      <c r="S1000" s="65"/>
      <c r="U1000" s="65"/>
      <c r="W1000" s="65"/>
      <c r="Y1000" s="65"/>
      <c r="AA1000" s="65"/>
      <c r="AC1000" s="65"/>
      <c r="AE1000" s="65"/>
      <c r="AG1000" s="65"/>
      <c r="AI1000" s="65"/>
      <c r="AK1000" s="65"/>
    </row>
    <row r="1001" spans="1:37" x14ac:dyDescent="0.25">
      <c r="A1001" s="2">
        <v>41309</v>
      </c>
      <c r="B1001" s="3">
        <v>2625.17</v>
      </c>
      <c r="C1001" s="2">
        <v>41323</v>
      </c>
      <c r="D1001" s="3">
        <v>16406.03</v>
      </c>
      <c r="E1001" s="2"/>
      <c r="F1001" s="3"/>
      <c r="G1001" s="2"/>
      <c r="H1001" s="3"/>
      <c r="I1001" s="65"/>
      <c r="K1001" s="65"/>
      <c r="M1001" s="65"/>
      <c r="O1001" s="65"/>
      <c r="Q1001" s="65"/>
      <c r="S1001" s="65"/>
      <c r="U1001" s="65"/>
      <c r="W1001" s="65"/>
      <c r="Y1001" s="65"/>
      <c r="AA1001" s="65"/>
      <c r="AC1001" s="65"/>
      <c r="AE1001" s="65"/>
      <c r="AG1001" s="65"/>
      <c r="AI1001" s="65"/>
      <c r="AK1001" s="65"/>
    </row>
    <row r="1002" spans="1:37" x14ac:dyDescent="0.25">
      <c r="A1002" s="2">
        <v>41310</v>
      </c>
      <c r="B1002" s="3">
        <v>2651.21</v>
      </c>
      <c r="C1002" s="2">
        <v>41324</v>
      </c>
      <c r="D1002" s="3">
        <v>16664.419999999998</v>
      </c>
      <c r="E1002" s="2"/>
      <c r="F1002" s="3"/>
      <c r="G1002" s="2"/>
      <c r="H1002" s="3"/>
      <c r="I1002" s="65"/>
      <c r="K1002" s="65"/>
      <c r="M1002" s="65"/>
      <c r="O1002" s="65"/>
      <c r="Q1002" s="65"/>
      <c r="S1002" s="65"/>
      <c r="U1002" s="65"/>
      <c r="W1002" s="65"/>
      <c r="Y1002" s="65"/>
      <c r="AA1002" s="65"/>
      <c r="AC1002" s="65"/>
      <c r="AE1002" s="65"/>
      <c r="AG1002" s="65"/>
      <c r="AI1002" s="65"/>
      <c r="AK1002" s="65"/>
    </row>
    <row r="1003" spans="1:37" x14ac:dyDescent="0.25">
      <c r="A1003" s="2">
        <v>41311</v>
      </c>
      <c r="B1003" s="3">
        <v>2617.35</v>
      </c>
      <c r="C1003" s="2">
        <v>41325</v>
      </c>
      <c r="D1003" s="3">
        <v>16527.5</v>
      </c>
      <c r="E1003" s="2"/>
      <c r="F1003" s="3"/>
      <c r="G1003" s="2"/>
      <c r="H1003" s="3"/>
      <c r="I1003" s="65"/>
      <c r="K1003" s="65"/>
      <c r="M1003" s="65"/>
      <c r="O1003" s="65"/>
      <c r="Q1003" s="65"/>
      <c r="S1003" s="65"/>
      <c r="U1003" s="65"/>
      <c r="W1003" s="65"/>
      <c r="Y1003" s="65"/>
      <c r="AA1003" s="65"/>
      <c r="AC1003" s="65"/>
      <c r="AE1003" s="65"/>
      <c r="AG1003" s="65"/>
      <c r="AI1003" s="65"/>
      <c r="AK1003" s="65"/>
    </row>
    <row r="1004" spans="1:37" x14ac:dyDescent="0.25">
      <c r="A1004" s="2">
        <v>41312</v>
      </c>
      <c r="B1004" s="3">
        <v>2597.92</v>
      </c>
      <c r="C1004" s="2">
        <v>41326</v>
      </c>
      <c r="D1004" s="3">
        <v>16009.55</v>
      </c>
      <c r="E1004" s="2"/>
      <c r="F1004" s="3"/>
      <c r="G1004" s="2"/>
      <c r="H1004" s="3"/>
      <c r="I1004" s="65"/>
      <c r="K1004" s="65"/>
      <c r="M1004" s="65"/>
      <c r="O1004" s="65"/>
      <c r="Q1004" s="65"/>
      <c r="S1004" s="65"/>
      <c r="U1004" s="65"/>
      <c r="W1004" s="65"/>
      <c r="Y1004" s="65"/>
      <c r="AA1004" s="65"/>
      <c r="AC1004" s="65"/>
      <c r="AE1004" s="65"/>
      <c r="AG1004" s="65"/>
      <c r="AI1004" s="65"/>
      <c r="AK1004" s="65"/>
    </row>
    <row r="1005" spans="1:37" x14ac:dyDescent="0.25">
      <c r="A1005" s="2">
        <v>41313</v>
      </c>
      <c r="B1005" s="3">
        <v>2630.3</v>
      </c>
      <c r="C1005" s="2">
        <v>41327</v>
      </c>
      <c r="D1005" s="3">
        <v>16233.28</v>
      </c>
      <c r="E1005" s="2"/>
      <c r="F1005" s="3"/>
      <c r="G1005" s="2"/>
      <c r="H1005" s="3"/>
      <c r="I1005" s="65"/>
      <c r="K1005" s="65"/>
      <c r="M1005" s="65"/>
      <c r="O1005" s="65"/>
      <c r="Q1005" s="65"/>
      <c r="S1005" s="65"/>
      <c r="U1005" s="65"/>
      <c r="W1005" s="65"/>
      <c r="Y1005" s="65"/>
      <c r="AA1005" s="65"/>
      <c r="AC1005" s="65"/>
      <c r="AE1005" s="65"/>
      <c r="AG1005" s="65"/>
      <c r="AI1005" s="65"/>
      <c r="AK1005" s="65"/>
    </row>
    <row r="1006" spans="1:37" x14ac:dyDescent="0.25">
      <c r="A1006" s="2">
        <v>41316</v>
      </c>
      <c r="B1006" s="3">
        <v>2622.61</v>
      </c>
      <c r="C1006" s="2">
        <v>41330</v>
      </c>
      <c r="D1006" s="3">
        <v>16351.99</v>
      </c>
      <c r="E1006" s="2"/>
      <c r="F1006" s="3"/>
      <c r="G1006" s="2"/>
      <c r="H1006" s="3"/>
      <c r="I1006" s="65"/>
      <c r="K1006" s="65"/>
      <c r="M1006" s="65"/>
      <c r="O1006" s="65"/>
      <c r="Q1006" s="65"/>
      <c r="S1006" s="65"/>
      <c r="U1006" s="65"/>
      <c r="W1006" s="65"/>
      <c r="Y1006" s="65"/>
      <c r="AA1006" s="65"/>
      <c r="AC1006" s="65"/>
      <c r="AE1006" s="65"/>
      <c r="AG1006" s="65"/>
      <c r="AI1006" s="65"/>
      <c r="AK1006" s="65"/>
    </row>
    <row r="1007" spans="1:37" x14ac:dyDescent="0.25">
      <c r="A1007" s="2">
        <v>41317</v>
      </c>
      <c r="B1007" s="3">
        <v>2648.83</v>
      </c>
      <c r="C1007" s="2">
        <v>41331</v>
      </c>
      <c r="D1007" s="3">
        <v>15552.2</v>
      </c>
      <c r="E1007" s="2"/>
      <c r="F1007" s="3"/>
      <c r="G1007" s="2"/>
      <c r="H1007" s="3"/>
      <c r="I1007" s="65"/>
      <c r="K1007" s="65"/>
      <c r="M1007" s="65"/>
      <c r="O1007" s="65"/>
      <c r="Q1007" s="65"/>
      <c r="S1007" s="65"/>
      <c r="U1007" s="65"/>
      <c r="W1007" s="65"/>
      <c r="Y1007" s="65"/>
      <c r="AA1007" s="65"/>
      <c r="AC1007" s="65"/>
      <c r="AE1007" s="65"/>
      <c r="AG1007" s="65"/>
      <c r="AI1007" s="65"/>
      <c r="AK1007" s="65"/>
    </row>
    <row r="1008" spans="1:37" x14ac:dyDescent="0.25">
      <c r="A1008" s="2">
        <v>41318</v>
      </c>
      <c r="B1008" s="3">
        <v>2656.86</v>
      </c>
      <c r="C1008" s="2">
        <v>41332</v>
      </c>
      <c r="D1008" s="3">
        <v>15827.02</v>
      </c>
      <c r="E1008" s="2"/>
      <c r="F1008" s="3"/>
      <c r="G1008" s="2"/>
      <c r="H1008" s="3"/>
      <c r="I1008" s="65"/>
      <c r="K1008" s="65"/>
      <c r="M1008" s="65"/>
      <c r="O1008" s="65"/>
      <c r="Q1008" s="65"/>
      <c r="S1008" s="65"/>
      <c r="U1008" s="65"/>
      <c r="W1008" s="65"/>
      <c r="Y1008" s="65"/>
      <c r="AA1008" s="65"/>
      <c r="AC1008" s="65"/>
      <c r="AE1008" s="65"/>
      <c r="AG1008" s="65"/>
      <c r="AI1008" s="65"/>
      <c r="AK1008" s="65"/>
    </row>
    <row r="1009" spans="1:37" x14ac:dyDescent="0.25">
      <c r="A1009" s="2">
        <v>41319</v>
      </c>
      <c r="B1009" s="3">
        <v>2635.35</v>
      </c>
      <c r="C1009" s="2">
        <v>41333</v>
      </c>
      <c r="D1009" s="3">
        <v>15921.25</v>
      </c>
      <c r="E1009" s="2"/>
      <c r="F1009" s="3"/>
      <c r="G1009" s="2"/>
      <c r="H1009" s="3"/>
      <c r="I1009" s="65"/>
      <c r="K1009" s="65"/>
      <c r="M1009" s="65"/>
      <c r="O1009" s="65"/>
      <c r="Q1009" s="65"/>
      <c r="S1009" s="65"/>
      <c r="U1009" s="65"/>
      <c r="W1009" s="65"/>
      <c r="Y1009" s="65"/>
      <c r="AA1009" s="65"/>
      <c r="AC1009" s="65"/>
      <c r="AE1009" s="65"/>
      <c r="AG1009" s="65"/>
      <c r="AI1009" s="65"/>
      <c r="AK1009" s="65"/>
    </row>
    <row r="1010" spans="1:37" x14ac:dyDescent="0.25">
      <c r="A1010" s="2">
        <v>41320</v>
      </c>
      <c r="B1010" s="3">
        <v>2615.2600000000002</v>
      </c>
      <c r="C1010" s="2">
        <v>41334</v>
      </c>
      <c r="D1010" s="3">
        <v>15675.37</v>
      </c>
      <c r="E1010" s="2"/>
      <c r="F1010" s="3"/>
      <c r="G1010" s="2"/>
      <c r="H1010" s="3"/>
      <c r="I1010" s="65"/>
      <c r="K1010" s="65"/>
      <c r="M1010" s="65"/>
      <c r="O1010" s="65"/>
      <c r="Q1010" s="65"/>
      <c r="S1010" s="65"/>
      <c r="U1010" s="65"/>
      <c r="W1010" s="65"/>
      <c r="Y1010" s="65"/>
      <c r="AA1010" s="65"/>
      <c r="AC1010" s="65"/>
      <c r="AE1010" s="65"/>
      <c r="AG1010" s="65"/>
      <c r="AI1010" s="65"/>
      <c r="AK1010" s="65"/>
    </row>
    <row r="1011" spans="1:37" x14ac:dyDescent="0.25">
      <c r="A1011" s="2">
        <v>41323</v>
      </c>
      <c r="B1011" s="3">
        <v>2616.65</v>
      </c>
      <c r="C1011" s="2">
        <v>41337</v>
      </c>
      <c r="D1011" s="3">
        <v>15542.17</v>
      </c>
      <c r="E1011" s="2"/>
      <c r="F1011" s="3"/>
      <c r="G1011" s="2"/>
      <c r="H1011" s="3"/>
      <c r="I1011" s="65"/>
      <c r="K1011" s="65"/>
      <c r="M1011" s="65"/>
      <c r="O1011" s="65"/>
      <c r="Q1011" s="65"/>
      <c r="S1011" s="65"/>
      <c r="U1011" s="65"/>
      <c r="W1011" s="65"/>
      <c r="Y1011" s="65"/>
      <c r="AA1011" s="65"/>
      <c r="AC1011" s="65"/>
      <c r="AE1011" s="65"/>
      <c r="AG1011" s="65"/>
      <c r="AI1011" s="65"/>
      <c r="AK1011" s="65"/>
    </row>
    <row r="1012" spans="1:37" x14ac:dyDescent="0.25">
      <c r="A1012" s="2">
        <v>41324</v>
      </c>
      <c r="B1012" s="3">
        <v>2662.37</v>
      </c>
      <c r="C1012" s="2">
        <v>41338</v>
      </c>
      <c r="D1012" s="3">
        <v>15974.3</v>
      </c>
      <c r="E1012" s="2"/>
      <c r="F1012" s="3"/>
      <c r="G1012" s="2"/>
      <c r="H1012" s="3"/>
      <c r="I1012" s="65"/>
      <c r="K1012" s="65"/>
      <c r="M1012" s="65"/>
      <c r="O1012" s="65"/>
      <c r="Q1012" s="65"/>
      <c r="S1012" s="65"/>
      <c r="U1012" s="65"/>
      <c r="W1012" s="65"/>
      <c r="Y1012" s="65"/>
      <c r="AA1012" s="65"/>
      <c r="AC1012" s="65"/>
      <c r="AE1012" s="65"/>
      <c r="AG1012" s="65"/>
      <c r="AI1012" s="65"/>
      <c r="AK1012" s="65"/>
    </row>
    <row r="1013" spans="1:37" x14ac:dyDescent="0.25">
      <c r="A1013" s="2">
        <v>41325</v>
      </c>
      <c r="B1013" s="3">
        <v>2640.35</v>
      </c>
      <c r="C1013" s="2">
        <v>41339</v>
      </c>
      <c r="D1013" s="3">
        <v>15899.7</v>
      </c>
      <c r="E1013" s="2"/>
      <c r="F1013" s="3"/>
      <c r="G1013" s="2"/>
      <c r="H1013" s="3"/>
      <c r="I1013" s="65"/>
      <c r="K1013" s="65"/>
      <c r="M1013" s="65"/>
      <c r="O1013" s="65"/>
      <c r="Q1013" s="65"/>
      <c r="S1013" s="65"/>
      <c r="U1013" s="65"/>
      <c r="W1013" s="65"/>
      <c r="Y1013" s="65"/>
      <c r="AA1013" s="65"/>
      <c r="AC1013" s="65"/>
      <c r="AE1013" s="65"/>
      <c r="AG1013" s="65"/>
      <c r="AI1013" s="65"/>
      <c r="AK1013" s="65"/>
    </row>
    <row r="1014" spans="1:37" x14ac:dyDescent="0.25">
      <c r="A1014" s="2">
        <v>41326</v>
      </c>
      <c r="B1014" s="3">
        <v>2579.7600000000002</v>
      </c>
      <c r="C1014" s="2">
        <v>41340</v>
      </c>
      <c r="D1014" s="3">
        <v>15947.17</v>
      </c>
      <c r="E1014" s="2"/>
      <c r="F1014" s="3"/>
      <c r="G1014" s="2"/>
      <c r="H1014" s="3"/>
      <c r="I1014" s="65"/>
      <c r="K1014" s="65"/>
      <c r="M1014" s="65"/>
      <c r="O1014" s="65"/>
      <c r="Q1014" s="65"/>
      <c r="S1014" s="65"/>
      <c r="U1014" s="65"/>
      <c r="W1014" s="65"/>
      <c r="Y1014" s="65"/>
      <c r="AA1014" s="65"/>
      <c r="AC1014" s="65"/>
      <c r="AE1014" s="65"/>
      <c r="AG1014" s="65"/>
      <c r="AI1014" s="65"/>
      <c r="AK1014" s="65"/>
    </row>
    <row r="1015" spans="1:37" x14ac:dyDescent="0.25">
      <c r="A1015" s="2">
        <v>41327</v>
      </c>
      <c r="B1015" s="3">
        <v>2630.05</v>
      </c>
      <c r="C1015" s="2">
        <v>41341</v>
      </c>
      <c r="D1015" s="3">
        <v>16204.03</v>
      </c>
      <c r="E1015" s="2"/>
      <c r="F1015" s="3"/>
      <c r="G1015" s="2"/>
      <c r="H1015" s="3"/>
      <c r="I1015" s="65"/>
      <c r="K1015" s="65"/>
      <c r="M1015" s="65"/>
      <c r="O1015" s="65"/>
      <c r="Q1015" s="65"/>
      <c r="S1015" s="65"/>
      <c r="U1015" s="65"/>
      <c r="W1015" s="65"/>
      <c r="Y1015" s="65"/>
      <c r="AA1015" s="65"/>
      <c r="AC1015" s="65"/>
      <c r="AE1015" s="65"/>
      <c r="AG1015" s="65"/>
      <c r="AI1015" s="65"/>
      <c r="AK1015" s="65"/>
    </row>
    <row r="1016" spans="1:37" x14ac:dyDescent="0.25">
      <c r="A1016" s="2">
        <v>41330</v>
      </c>
      <c r="B1016" s="3">
        <v>2651.86</v>
      </c>
      <c r="C1016" s="2">
        <v>41344</v>
      </c>
      <c r="D1016" s="3">
        <v>16091.98</v>
      </c>
      <c r="E1016" s="2"/>
      <c r="F1016" s="3"/>
      <c r="G1016" s="2"/>
      <c r="H1016" s="3"/>
      <c r="I1016" s="65"/>
      <c r="K1016" s="65"/>
      <c r="M1016" s="65"/>
      <c r="O1016" s="65"/>
      <c r="Q1016" s="65"/>
      <c r="S1016" s="65"/>
      <c r="U1016" s="65"/>
      <c r="W1016" s="65"/>
      <c r="Y1016" s="65"/>
      <c r="AA1016" s="65"/>
      <c r="AC1016" s="65"/>
      <c r="AE1016" s="65"/>
      <c r="AG1016" s="65"/>
      <c r="AI1016" s="65"/>
      <c r="AK1016" s="65"/>
    </row>
    <row r="1017" spans="1:37" x14ac:dyDescent="0.25">
      <c r="A1017" s="2">
        <v>41331</v>
      </c>
      <c r="B1017" s="3">
        <v>2570.52</v>
      </c>
      <c r="C1017" s="2">
        <v>41345</v>
      </c>
      <c r="D1017" s="3">
        <v>16023.98</v>
      </c>
      <c r="E1017" s="2"/>
      <c r="F1017" s="3"/>
      <c r="G1017" s="2"/>
      <c r="H1017" s="3"/>
      <c r="I1017" s="65"/>
      <c r="K1017" s="65"/>
      <c r="M1017" s="65"/>
      <c r="O1017" s="65"/>
      <c r="Q1017" s="65"/>
      <c r="S1017" s="65"/>
      <c r="U1017" s="65"/>
      <c r="W1017" s="65"/>
      <c r="Y1017" s="65"/>
      <c r="AA1017" s="65"/>
      <c r="AC1017" s="65"/>
      <c r="AE1017" s="65"/>
      <c r="AG1017" s="65"/>
      <c r="AI1017" s="65"/>
      <c r="AK1017" s="65"/>
    </row>
    <row r="1018" spans="1:37" x14ac:dyDescent="0.25">
      <c r="A1018" s="2">
        <v>41332</v>
      </c>
      <c r="B1018" s="3">
        <v>2611.89</v>
      </c>
      <c r="C1018" s="2">
        <v>41346</v>
      </c>
      <c r="D1018" s="3">
        <v>15745.34</v>
      </c>
      <c r="E1018" s="2"/>
      <c r="F1018" s="3"/>
      <c r="G1018" s="2"/>
      <c r="H1018" s="3"/>
      <c r="I1018" s="65"/>
      <c r="K1018" s="65"/>
      <c r="M1018" s="65"/>
      <c r="O1018" s="65"/>
      <c r="Q1018" s="65"/>
      <c r="S1018" s="65"/>
      <c r="U1018" s="65"/>
      <c r="W1018" s="65"/>
      <c r="Y1018" s="65"/>
      <c r="AA1018" s="65"/>
      <c r="AC1018" s="65"/>
      <c r="AE1018" s="65"/>
      <c r="AG1018" s="65"/>
      <c r="AI1018" s="65"/>
      <c r="AK1018" s="65"/>
    </row>
    <row r="1019" spans="1:37" x14ac:dyDescent="0.25">
      <c r="A1019" s="2">
        <v>41333</v>
      </c>
      <c r="B1019" s="3">
        <v>2633.55</v>
      </c>
      <c r="C1019" s="2">
        <v>41347</v>
      </c>
      <c r="D1019" s="3">
        <v>16131.05</v>
      </c>
      <c r="E1019" s="2"/>
      <c r="F1019" s="3"/>
      <c r="G1019" s="2"/>
      <c r="H1019" s="3"/>
      <c r="I1019" s="65"/>
      <c r="K1019" s="65"/>
      <c r="M1019" s="65"/>
      <c r="O1019" s="65"/>
      <c r="Q1019" s="65"/>
      <c r="S1019" s="65"/>
      <c r="U1019" s="65"/>
      <c r="W1019" s="65"/>
      <c r="Y1019" s="65"/>
      <c r="AA1019" s="65"/>
      <c r="AC1019" s="65"/>
      <c r="AE1019" s="65"/>
      <c r="AG1019" s="65"/>
      <c r="AI1019" s="65"/>
      <c r="AK1019" s="65"/>
    </row>
    <row r="1020" spans="1:37" x14ac:dyDescent="0.25">
      <c r="A1020" s="2">
        <v>41334</v>
      </c>
      <c r="B1020" s="3">
        <v>2616.75</v>
      </c>
      <c r="C1020" s="2">
        <v>41348</v>
      </c>
      <c r="D1020" s="3">
        <v>16061.15</v>
      </c>
      <c r="E1020" s="2"/>
      <c r="F1020" s="3"/>
      <c r="G1020" s="2"/>
      <c r="H1020" s="3"/>
      <c r="I1020" s="65"/>
      <c r="K1020" s="65"/>
      <c r="M1020" s="65"/>
      <c r="O1020" s="65"/>
      <c r="Q1020" s="65"/>
      <c r="S1020" s="65"/>
      <c r="U1020" s="65"/>
      <c r="W1020" s="65"/>
      <c r="Y1020" s="65"/>
      <c r="AA1020" s="65"/>
      <c r="AC1020" s="65"/>
      <c r="AE1020" s="65"/>
      <c r="AG1020" s="65"/>
      <c r="AI1020" s="65"/>
      <c r="AK1020" s="65"/>
    </row>
    <row r="1021" spans="1:37" x14ac:dyDescent="0.25">
      <c r="A1021" s="2">
        <v>41337</v>
      </c>
      <c r="B1021" s="3">
        <v>2619.7800000000002</v>
      </c>
      <c r="C1021" s="2">
        <v>41351</v>
      </c>
      <c r="D1021" s="3">
        <v>15924.13</v>
      </c>
      <c r="E1021" s="2"/>
      <c r="F1021" s="3"/>
      <c r="G1021" s="2"/>
      <c r="H1021" s="3"/>
      <c r="I1021" s="65"/>
      <c r="K1021" s="65"/>
      <c r="M1021" s="65"/>
      <c r="O1021" s="65"/>
      <c r="Q1021" s="65"/>
      <c r="S1021" s="65"/>
      <c r="U1021" s="65"/>
      <c r="W1021" s="65"/>
      <c r="Y1021" s="65"/>
      <c r="AA1021" s="65"/>
      <c r="AC1021" s="65"/>
      <c r="AE1021" s="65"/>
      <c r="AG1021" s="65"/>
      <c r="AI1021" s="65"/>
      <c r="AK1021" s="65"/>
    </row>
    <row r="1022" spans="1:37" x14ac:dyDescent="0.25">
      <c r="A1022" s="2">
        <v>41338</v>
      </c>
      <c r="B1022" s="3">
        <v>2683.02</v>
      </c>
      <c r="C1022" s="2">
        <v>41352</v>
      </c>
      <c r="D1022" s="3">
        <v>15670.56</v>
      </c>
      <c r="E1022" s="2"/>
      <c r="F1022" s="3"/>
      <c r="G1022" s="2"/>
      <c r="H1022" s="3"/>
      <c r="I1022" s="65"/>
      <c r="K1022" s="65"/>
      <c r="M1022" s="65"/>
      <c r="O1022" s="65"/>
      <c r="Q1022" s="65"/>
      <c r="S1022" s="65"/>
      <c r="U1022" s="65"/>
      <c r="W1022" s="65"/>
      <c r="Y1022" s="65"/>
      <c r="AA1022" s="65"/>
      <c r="AC1022" s="65"/>
      <c r="AE1022" s="65"/>
      <c r="AG1022" s="65"/>
      <c r="AI1022" s="65"/>
      <c r="AK1022" s="65"/>
    </row>
    <row r="1023" spans="1:37" x14ac:dyDescent="0.25">
      <c r="A1023" s="2">
        <v>41339</v>
      </c>
      <c r="B1023" s="3">
        <v>2679.89</v>
      </c>
      <c r="C1023" s="2">
        <v>41353</v>
      </c>
      <c r="D1023" s="3">
        <v>16015.98</v>
      </c>
      <c r="E1023" s="2"/>
      <c r="F1023" s="3"/>
      <c r="G1023" s="2"/>
      <c r="H1023" s="3"/>
      <c r="I1023" s="65"/>
      <c r="K1023" s="65"/>
      <c r="M1023" s="65"/>
      <c r="O1023" s="65"/>
      <c r="Q1023" s="65"/>
      <c r="S1023" s="65"/>
      <c r="U1023" s="65"/>
      <c r="W1023" s="65"/>
      <c r="Y1023" s="65"/>
      <c r="AA1023" s="65"/>
      <c r="AC1023" s="65"/>
      <c r="AE1023" s="65"/>
      <c r="AG1023" s="65"/>
      <c r="AI1023" s="65"/>
      <c r="AK1023" s="65"/>
    </row>
    <row r="1024" spans="1:37" x14ac:dyDescent="0.25">
      <c r="A1024" s="2">
        <v>41340</v>
      </c>
      <c r="B1024" s="3">
        <v>2690.85</v>
      </c>
      <c r="C1024" s="2">
        <v>41354</v>
      </c>
      <c r="D1024" s="3">
        <v>15935.99</v>
      </c>
      <c r="E1024" s="2"/>
      <c r="F1024" s="3"/>
      <c r="G1024" s="2"/>
      <c r="H1024" s="3"/>
      <c r="I1024" s="65"/>
      <c r="K1024" s="65"/>
      <c r="M1024" s="65"/>
      <c r="O1024" s="65"/>
      <c r="Q1024" s="65"/>
      <c r="S1024" s="65"/>
      <c r="U1024" s="65"/>
      <c r="W1024" s="65"/>
      <c r="Y1024" s="65"/>
      <c r="AA1024" s="65"/>
      <c r="AC1024" s="65"/>
      <c r="AE1024" s="65"/>
      <c r="AG1024" s="65"/>
      <c r="AI1024" s="65"/>
      <c r="AK1024" s="65"/>
    </row>
    <row r="1025" spans="1:37" x14ac:dyDescent="0.25">
      <c r="A1025" s="2">
        <v>41341</v>
      </c>
      <c r="B1025" s="3">
        <v>2728.78</v>
      </c>
      <c r="C1025" s="2">
        <v>41355</v>
      </c>
      <c r="D1025" s="3">
        <v>16045.51</v>
      </c>
      <c r="E1025" s="2"/>
      <c r="F1025" s="3"/>
      <c r="G1025" s="2"/>
      <c r="H1025" s="3"/>
      <c r="I1025" s="65"/>
      <c r="K1025" s="65"/>
      <c r="M1025" s="65"/>
      <c r="O1025" s="65"/>
      <c r="Q1025" s="65"/>
      <c r="S1025" s="65"/>
      <c r="U1025" s="65"/>
      <c r="W1025" s="65"/>
      <c r="Y1025" s="65"/>
      <c r="AA1025" s="65"/>
      <c r="AC1025" s="65"/>
      <c r="AE1025" s="65"/>
      <c r="AG1025" s="65"/>
      <c r="AI1025" s="65"/>
      <c r="AK1025" s="65"/>
    </row>
    <row r="1026" spans="1:37" x14ac:dyDescent="0.25">
      <c r="A1026" s="2">
        <v>41344</v>
      </c>
      <c r="B1026" s="3">
        <v>2718.71</v>
      </c>
      <c r="C1026" s="2">
        <v>41358</v>
      </c>
      <c r="D1026" s="3">
        <v>15644.36</v>
      </c>
      <c r="E1026" s="2"/>
      <c r="F1026" s="3"/>
      <c r="G1026" s="2"/>
      <c r="H1026" s="3"/>
      <c r="I1026" s="65"/>
      <c r="K1026" s="65"/>
      <c r="M1026" s="65"/>
      <c r="O1026" s="65"/>
      <c r="Q1026" s="65"/>
      <c r="S1026" s="65"/>
      <c r="U1026" s="65"/>
      <c r="W1026" s="65"/>
      <c r="Y1026" s="65"/>
      <c r="AA1026" s="65"/>
      <c r="AC1026" s="65"/>
      <c r="AE1026" s="65"/>
      <c r="AG1026" s="65"/>
      <c r="AI1026" s="65"/>
      <c r="AK1026" s="65"/>
    </row>
    <row r="1027" spans="1:37" x14ac:dyDescent="0.25">
      <c r="A1027" s="2">
        <v>41345</v>
      </c>
      <c r="B1027" s="3">
        <v>2711.85</v>
      </c>
      <c r="C1027" s="2">
        <v>41359</v>
      </c>
      <c r="D1027" s="3">
        <v>15495.92</v>
      </c>
      <c r="E1027" s="2"/>
      <c r="F1027" s="3"/>
      <c r="G1027" s="2"/>
      <c r="H1027" s="3"/>
      <c r="I1027" s="65"/>
      <c r="K1027" s="65"/>
      <c r="M1027" s="65"/>
      <c r="O1027" s="65"/>
      <c r="Q1027" s="65"/>
      <c r="S1027" s="65"/>
      <c r="U1027" s="65"/>
      <c r="W1027" s="65"/>
      <c r="Y1027" s="65"/>
      <c r="AA1027" s="65"/>
      <c r="AC1027" s="65"/>
      <c r="AE1027" s="65"/>
      <c r="AG1027" s="65"/>
      <c r="AI1027" s="65"/>
      <c r="AK1027" s="65"/>
    </row>
    <row r="1028" spans="1:37" x14ac:dyDescent="0.25">
      <c r="A1028" s="2">
        <v>41346</v>
      </c>
      <c r="B1028" s="3">
        <v>2704.73</v>
      </c>
      <c r="C1028" s="2">
        <v>41360</v>
      </c>
      <c r="D1028" s="3">
        <v>15353.85</v>
      </c>
      <c r="E1028" s="2"/>
      <c r="F1028" s="3"/>
      <c r="G1028" s="2"/>
      <c r="H1028" s="3"/>
      <c r="I1028" s="65"/>
      <c r="K1028" s="65"/>
      <c r="M1028" s="65"/>
      <c r="O1028" s="65"/>
      <c r="Q1028" s="65"/>
      <c r="S1028" s="65"/>
      <c r="U1028" s="65"/>
      <c r="W1028" s="65"/>
      <c r="Y1028" s="65"/>
      <c r="AA1028" s="65"/>
      <c r="AC1028" s="65"/>
      <c r="AE1028" s="65"/>
      <c r="AG1028" s="65"/>
      <c r="AI1028" s="65"/>
      <c r="AK1028" s="65"/>
    </row>
    <row r="1029" spans="1:37" x14ac:dyDescent="0.25">
      <c r="A1029" s="2">
        <v>41347</v>
      </c>
      <c r="B1029" s="3">
        <v>2744.7</v>
      </c>
      <c r="C1029" s="2">
        <v>41361</v>
      </c>
      <c r="D1029" s="3">
        <v>15338.72</v>
      </c>
      <c r="E1029" s="2"/>
      <c r="F1029" s="3"/>
      <c r="G1029" s="2"/>
      <c r="H1029" s="3"/>
      <c r="I1029" s="65"/>
      <c r="K1029" s="65"/>
      <c r="M1029" s="65"/>
      <c r="O1029" s="65"/>
      <c r="Q1029" s="65"/>
      <c r="S1029" s="65"/>
      <c r="U1029" s="65"/>
      <c r="W1029" s="65"/>
      <c r="Y1029" s="65"/>
      <c r="AA1029" s="65"/>
      <c r="AC1029" s="65"/>
      <c r="AE1029" s="65"/>
      <c r="AG1029" s="65"/>
      <c r="AI1029" s="65"/>
      <c r="AK1029" s="65"/>
    </row>
    <row r="1030" spans="1:37" x14ac:dyDescent="0.25">
      <c r="A1030" s="2">
        <v>41348</v>
      </c>
      <c r="B1030" s="3">
        <v>2725.72</v>
      </c>
      <c r="C1030" s="2">
        <v>41366</v>
      </c>
      <c r="D1030" s="3">
        <v>15555.03</v>
      </c>
      <c r="E1030" s="2"/>
      <c r="F1030" s="3"/>
      <c r="G1030" s="2"/>
      <c r="H1030" s="3"/>
      <c r="I1030" s="65"/>
      <c r="K1030" s="65"/>
      <c r="M1030" s="65"/>
      <c r="O1030" s="65"/>
      <c r="Q1030" s="65"/>
      <c r="S1030" s="65"/>
      <c r="U1030" s="65"/>
      <c r="W1030" s="65"/>
      <c r="Y1030" s="65"/>
      <c r="AA1030" s="65"/>
      <c r="AC1030" s="65"/>
      <c r="AE1030" s="65"/>
      <c r="AG1030" s="65"/>
      <c r="AI1030" s="65"/>
      <c r="AK1030" s="65"/>
    </row>
    <row r="1031" spans="1:37" x14ac:dyDescent="0.25">
      <c r="A1031" s="2">
        <v>41351</v>
      </c>
      <c r="B1031" s="3">
        <v>2705.47</v>
      </c>
      <c r="C1031" s="2">
        <v>41367</v>
      </c>
      <c r="D1031" s="3">
        <v>15200.3</v>
      </c>
      <c r="E1031" s="2"/>
      <c r="F1031" s="3"/>
      <c r="G1031" s="2"/>
      <c r="H1031" s="3"/>
      <c r="I1031" s="65"/>
      <c r="K1031" s="65"/>
      <c r="M1031" s="65"/>
      <c r="O1031" s="65"/>
      <c r="Q1031" s="65"/>
      <c r="S1031" s="65"/>
      <c r="U1031" s="65"/>
      <c r="W1031" s="65"/>
      <c r="Y1031" s="65"/>
      <c r="AA1031" s="65"/>
      <c r="AC1031" s="65"/>
      <c r="AE1031" s="65"/>
      <c r="AG1031" s="65"/>
      <c r="AI1031" s="65"/>
      <c r="AK1031" s="65"/>
    </row>
    <row r="1032" spans="1:37" x14ac:dyDescent="0.25">
      <c r="A1032" s="2">
        <v>41352</v>
      </c>
      <c r="B1032" s="3">
        <v>2671.96</v>
      </c>
      <c r="C1032" s="2">
        <v>41368</v>
      </c>
      <c r="D1032" s="3">
        <v>15154.02</v>
      </c>
      <c r="E1032" s="2"/>
      <c r="F1032" s="3"/>
      <c r="G1032" s="2"/>
      <c r="H1032" s="3"/>
      <c r="I1032" s="65"/>
      <c r="K1032" s="65"/>
      <c r="M1032" s="65"/>
      <c r="O1032" s="65"/>
      <c r="Q1032" s="65"/>
      <c r="S1032" s="65"/>
      <c r="U1032" s="65"/>
      <c r="W1032" s="65"/>
      <c r="Y1032" s="65"/>
      <c r="AA1032" s="65"/>
      <c r="AC1032" s="65"/>
      <c r="AE1032" s="65"/>
      <c r="AG1032" s="65"/>
      <c r="AI1032" s="65"/>
      <c r="AK1032" s="65"/>
    </row>
    <row r="1033" spans="1:37" x14ac:dyDescent="0.25">
      <c r="A1033" s="2">
        <v>41353</v>
      </c>
      <c r="B1033" s="3">
        <v>2708.9</v>
      </c>
      <c r="C1033" s="2">
        <v>41369</v>
      </c>
      <c r="D1033" s="3">
        <v>15250.42</v>
      </c>
      <c r="E1033" s="2"/>
      <c r="F1033" s="3"/>
      <c r="G1033" s="2"/>
      <c r="H1033" s="3"/>
      <c r="I1033" s="65"/>
      <c r="K1033" s="65"/>
      <c r="M1033" s="65"/>
      <c r="O1033" s="65"/>
      <c r="Q1033" s="65"/>
      <c r="S1033" s="65"/>
      <c r="U1033" s="65"/>
      <c r="W1033" s="65"/>
      <c r="Y1033" s="65"/>
      <c r="AA1033" s="65"/>
      <c r="AC1033" s="65"/>
      <c r="AE1033" s="65"/>
      <c r="AG1033" s="65"/>
      <c r="AI1033" s="65"/>
      <c r="AK1033" s="65"/>
    </row>
    <row r="1034" spans="1:37" x14ac:dyDescent="0.25">
      <c r="A1034" s="2">
        <v>41354</v>
      </c>
      <c r="B1034" s="3">
        <v>2683.92</v>
      </c>
      <c r="C1034" s="2">
        <v>41372</v>
      </c>
      <c r="D1034" s="3">
        <v>15243.39</v>
      </c>
      <c r="E1034" s="2"/>
      <c r="F1034" s="3"/>
      <c r="G1034" s="2"/>
      <c r="H1034" s="3"/>
      <c r="I1034" s="65"/>
      <c r="K1034" s="65"/>
      <c r="M1034" s="65"/>
      <c r="O1034" s="65"/>
      <c r="Q1034" s="65"/>
      <c r="S1034" s="65"/>
      <c r="U1034" s="65"/>
      <c r="W1034" s="65"/>
      <c r="Y1034" s="65"/>
      <c r="AA1034" s="65"/>
      <c r="AC1034" s="65"/>
      <c r="AE1034" s="65"/>
      <c r="AG1034" s="65"/>
      <c r="AI1034" s="65"/>
      <c r="AK1034" s="65"/>
    </row>
    <row r="1035" spans="1:37" x14ac:dyDescent="0.25">
      <c r="A1035" s="2">
        <v>41355</v>
      </c>
      <c r="B1035" s="3">
        <v>2681.67</v>
      </c>
      <c r="C1035" s="2">
        <v>41373</v>
      </c>
      <c r="D1035" s="3">
        <v>15436.07</v>
      </c>
      <c r="E1035" s="2"/>
      <c r="F1035" s="3"/>
      <c r="G1035" s="2"/>
      <c r="H1035" s="3"/>
      <c r="I1035" s="65"/>
      <c r="K1035" s="65"/>
      <c r="M1035" s="65"/>
      <c r="O1035" s="65"/>
      <c r="Q1035" s="65"/>
      <c r="S1035" s="65"/>
      <c r="U1035" s="65"/>
      <c r="W1035" s="65"/>
      <c r="Y1035" s="65"/>
      <c r="AA1035" s="65"/>
      <c r="AC1035" s="65"/>
      <c r="AE1035" s="65"/>
      <c r="AG1035" s="65"/>
      <c r="AI1035" s="65"/>
      <c r="AK1035" s="65"/>
    </row>
    <row r="1036" spans="1:37" x14ac:dyDescent="0.25">
      <c r="A1036" s="2">
        <v>41358</v>
      </c>
      <c r="B1036" s="3">
        <v>2649.28</v>
      </c>
      <c r="C1036" s="2">
        <v>41374</v>
      </c>
      <c r="D1036" s="3">
        <v>15928.64</v>
      </c>
      <c r="E1036" s="2"/>
      <c r="F1036" s="3"/>
      <c r="G1036" s="2"/>
      <c r="H1036" s="3"/>
      <c r="I1036" s="65"/>
      <c r="K1036" s="65"/>
      <c r="M1036" s="65"/>
      <c r="O1036" s="65"/>
      <c r="Q1036" s="65"/>
      <c r="S1036" s="65"/>
      <c r="U1036" s="65"/>
      <c r="W1036" s="65"/>
      <c r="Y1036" s="65"/>
      <c r="AA1036" s="65"/>
      <c r="AC1036" s="65"/>
      <c r="AE1036" s="65"/>
      <c r="AG1036" s="65"/>
      <c r="AI1036" s="65"/>
      <c r="AK1036" s="65"/>
    </row>
    <row r="1037" spans="1:37" x14ac:dyDescent="0.25">
      <c r="A1037" s="2">
        <v>41359</v>
      </c>
      <c r="B1037" s="3">
        <v>2641.12</v>
      </c>
      <c r="C1037" s="2">
        <v>41375</v>
      </c>
      <c r="D1037" s="3">
        <v>16020.91</v>
      </c>
      <c r="E1037" s="2"/>
      <c r="F1037" s="3"/>
      <c r="G1037" s="2"/>
      <c r="H1037" s="3"/>
      <c r="I1037" s="65"/>
      <c r="K1037" s="65"/>
      <c r="M1037" s="65"/>
      <c r="O1037" s="65"/>
      <c r="Q1037" s="65"/>
      <c r="S1037" s="65"/>
      <c r="U1037" s="65"/>
      <c r="W1037" s="65"/>
      <c r="Y1037" s="65"/>
      <c r="AA1037" s="65"/>
      <c r="AC1037" s="65"/>
      <c r="AE1037" s="65"/>
      <c r="AG1037" s="65"/>
      <c r="AI1037" s="65"/>
      <c r="AK1037" s="65"/>
    </row>
    <row r="1038" spans="1:37" x14ac:dyDescent="0.25">
      <c r="A1038" s="2">
        <v>41360</v>
      </c>
      <c r="B1038" s="3">
        <v>2612.46</v>
      </c>
      <c r="C1038" s="2">
        <v>41376</v>
      </c>
      <c r="D1038" s="3">
        <v>15780.08</v>
      </c>
      <c r="E1038" s="2"/>
      <c r="F1038" s="3"/>
      <c r="G1038" s="2"/>
      <c r="H1038" s="3"/>
      <c r="I1038" s="65"/>
      <c r="K1038" s="65"/>
      <c r="M1038" s="65"/>
      <c r="O1038" s="65"/>
      <c r="Q1038" s="65"/>
      <c r="S1038" s="65"/>
      <c r="U1038" s="65"/>
      <c r="W1038" s="65"/>
      <c r="Y1038" s="65"/>
      <c r="AA1038" s="65"/>
      <c r="AC1038" s="65"/>
      <c r="AE1038" s="65"/>
      <c r="AG1038" s="65"/>
      <c r="AI1038" s="65"/>
      <c r="AK1038" s="65"/>
    </row>
    <row r="1039" spans="1:37" x14ac:dyDescent="0.25">
      <c r="A1039" s="2">
        <v>41361</v>
      </c>
      <c r="B1039" s="3">
        <v>2624.02</v>
      </c>
      <c r="C1039" s="2">
        <v>41379</v>
      </c>
      <c r="D1039" s="3">
        <v>15628.95</v>
      </c>
      <c r="E1039" s="2"/>
      <c r="F1039" s="3"/>
      <c r="G1039" s="2"/>
      <c r="H1039" s="3"/>
      <c r="I1039" s="65"/>
      <c r="K1039" s="65"/>
      <c r="M1039" s="65"/>
      <c r="O1039" s="65"/>
      <c r="Q1039" s="65"/>
      <c r="S1039" s="65"/>
      <c r="U1039" s="65"/>
      <c r="W1039" s="65"/>
      <c r="Y1039" s="65"/>
      <c r="AA1039" s="65"/>
      <c r="AC1039" s="65"/>
      <c r="AE1039" s="65"/>
      <c r="AG1039" s="65"/>
      <c r="AI1039" s="65"/>
      <c r="AK1039" s="65"/>
    </row>
    <row r="1040" spans="1:37" x14ac:dyDescent="0.25">
      <c r="A1040" s="2">
        <v>41366</v>
      </c>
      <c r="B1040" s="3">
        <v>2679.8</v>
      </c>
      <c r="C1040" s="2">
        <v>41380</v>
      </c>
      <c r="D1040" s="3">
        <v>15533.04</v>
      </c>
      <c r="E1040" s="2"/>
      <c r="F1040" s="3"/>
      <c r="G1040" s="2"/>
      <c r="H1040" s="3"/>
      <c r="I1040" s="65"/>
      <c r="K1040" s="65"/>
      <c r="M1040" s="65"/>
      <c r="O1040" s="65"/>
      <c r="Q1040" s="65"/>
      <c r="S1040" s="65"/>
      <c r="U1040" s="65"/>
      <c r="W1040" s="65"/>
      <c r="Y1040" s="65"/>
      <c r="AA1040" s="65"/>
      <c r="AC1040" s="65"/>
      <c r="AE1040" s="65"/>
      <c r="AG1040" s="65"/>
      <c r="AI1040" s="65"/>
      <c r="AK1040" s="65"/>
    </row>
    <row r="1041" spans="1:37" x14ac:dyDescent="0.25">
      <c r="A1041" s="2">
        <v>41367</v>
      </c>
      <c r="B1041" s="3">
        <v>2639.01</v>
      </c>
      <c r="C1041" s="2">
        <v>41381</v>
      </c>
      <c r="D1041" s="3">
        <v>15383.76</v>
      </c>
      <c r="E1041" s="2"/>
      <c r="F1041" s="3"/>
      <c r="G1041" s="2"/>
      <c r="H1041" s="3"/>
      <c r="I1041" s="65"/>
      <c r="K1041" s="65"/>
      <c r="M1041" s="65"/>
      <c r="O1041" s="65"/>
      <c r="Q1041" s="65"/>
      <c r="S1041" s="65"/>
      <c r="U1041" s="65"/>
      <c r="W1041" s="65"/>
      <c r="Y1041" s="65"/>
      <c r="AA1041" s="65"/>
      <c r="AC1041" s="65"/>
      <c r="AE1041" s="65"/>
      <c r="AG1041" s="65"/>
      <c r="AI1041" s="65"/>
      <c r="AK1041" s="65"/>
    </row>
    <row r="1042" spans="1:37" x14ac:dyDescent="0.25">
      <c r="A1042" s="2">
        <v>41368</v>
      </c>
      <c r="B1042" s="3">
        <v>2621.4299999999998</v>
      </c>
      <c r="C1042" s="2">
        <v>41382</v>
      </c>
      <c r="D1042" s="3">
        <v>15480.56</v>
      </c>
      <c r="E1042" s="2"/>
      <c r="F1042" s="3"/>
      <c r="G1042" s="2"/>
      <c r="H1042" s="3"/>
      <c r="I1042" s="65"/>
      <c r="K1042" s="65"/>
      <c r="M1042" s="65"/>
      <c r="O1042" s="65"/>
      <c r="Q1042" s="65"/>
      <c r="S1042" s="65"/>
      <c r="U1042" s="65"/>
      <c r="W1042" s="65"/>
      <c r="Y1042" s="65"/>
      <c r="AA1042" s="65"/>
      <c r="AC1042" s="65"/>
      <c r="AE1042" s="65"/>
      <c r="AG1042" s="65"/>
      <c r="AI1042" s="65"/>
      <c r="AK1042" s="65"/>
    </row>
    <row r="1043" spans="1:37" x14ac:dyDescent="0.25">
      <c r="A1043" s="2">
        <v>41369</v>
      </c>
      <c r="B1043" s="3">
        <v>2585.2800000000002</v>
      </c>
      <c r="C1043" s="2">
        <v>41383</v>
      </c>
      <c r="D1043" s="3">
        <v>15760.78</v>
      </c>
      <c r="E1043" s="2"/>
      <c r="F1043" s="3"/>
      <c r="G1043" s="2"/>
      <c r="H1043" s="3"/>
      <c r="I1043" s="65"/>
      <c r="K1043" s="65"/>
      <c r="M1043" s="65"/>
      <c r="O1043" s="65"/>
      <c r="Q1043" s="65"/>
      <c r="S1043" s="65"/>
      <c r="U1043" s="65"/>
      <c r="W1043" s="65"/>
      <c r="Y1043" s="65"/>
      <c r="AA1043" s="65"/>
      <c r="AC1043" s="65"/>
      <c r="AE1043" s="65"/>
      <c r="AG1043" s="65"/>
      <c r="AI1043" s="65"/>
      <c r="AK1043" s="65"/>
    </row>
    <row r="1044" spans="1:37" x14ac:dyDescent="0.25">
      <c r="A1044" s="2">
        <v>41372</v>
      </c>
      <c r="B1044" s="3">
        <v>2589.25</v>
      </c>
      <c r="C1044" s="2">
        <v>41386</v>
      </c>
      <c r="D1044" s="3">
        <v>16021.71</v>
      </c>
      <c r="E1044" s="2"/>
      <c r="F1044" s="3"/>
      <c r="G1044" s="2"/>
      <c r="H1044" s="3"/>
      <c r="I1044" s="65"/>
      <c r="K1044" s="65"/>
      <c r="M1044" s="65"/>
      <c r="O1044" s="65"/>
      <c r="Q1044" s="65"/>
      <c r="S1044" s="65"/>
      <c r="U1044" s="65"/>
      <c r="W1044" s="65"/>
      <c r="Y1044" s="65"/>
      <c r="AA1044" s="65"/>
      <c r="AC1044" s="65"/>
      <c r="AE1044" s="65"/>
      <c r="AG1044" s="65"/>
      <c r="AI1044" s="65"/>
      <c r="AK1044" s="65"/>
    </row>
    <row r="1045" spans="1:37" x14ac:dyDescent="0.25">
      <c r="A1045" s="2">
        <v>41373</v>
      </c>
      <c r="B1045" s="3">
        <v>2595.13</v>
      </c>
      <c r="C1045" s="2">
        <v>41387</v>
      </c>
      <c r="D1045" s="3">
        <v>16490.77</v>
      </c>
      <c r="E1045" s="2"/>
      <c r="F1045" s="3"/>
      <c r="G1045" s="2"/>
      <c r="H1045" s="3"/>
      <c r="I1045" s="65"/>
      <c r="K1045" s="65"/>
      <c r="M1045" s="65"/>
      <c r="O1045" s="65"/>
      <c r="Q1045" s="65"/>
      <c r="S1045" s="65"/>
      <c r="U1045" s="65"/>
      <c r="W1045" s="65"/>
      <c r="Y1045" s="65"/>
      <c r="AA1045" s="65"/>
      <c r="AC1045" s="65"/>
      <c r="AE1045" s="65"/>
      <c r="AG1045" s="65"/>
      <c r="AI1045" s="65"/>
      <c r="AK1045" s="65"/>
    </row>
    <row r="1046" spans="1:37" x14ac:dyDescent="0.25">
      <c r="A1046" s="2">
        <v>41374</v>
      </c>
      <c r="B1046" s="3">
        <v>2661.62</v>
      </c>
      <c r="C1046" s="2">
        <v>41388</v>
      </c>
      <c r="D1046" s="3">
        <v>16563.43</v>
      </c>
      <c r="E1046" s="2"/>
      <c r="F1046" s="3"/>
      <c r="G1046" s="2"/>
      <c r="H1046" s="3"/>
      <c r="I1046" s="65"/>
      <c r="K1046" s="65"/>
      <c r="M1046" s="65"/>
      <c r="O1046" s="65"/>
      <c r="Q1046" s="65"/>
      <c r="S1046" s="65"/>
      <c r="U1046" s="65"/>
      <c r="W1046" s="65"/>
      <c r="Y1046" s="65"/>
      <c r="AA1046" s="65"/>
      <c r="AC1046" s="65"/>
      <c r="AE1046" s="65"/>
      <c r="AG1046" s="65"/>
      <c r="AI1046" s="65"/>
      <c r="AK1046" s="65"/>
    </row>
    <row r="1047" spans="1:37" x14ac:dyDescent="0.25">
      <c r="A1047" s="2">
        <v>41375</v>
      </c>
      <c r="B1047" s="3">
        <v>2674.33</v>
      </c>
      <c r="C1047" s="2">
        <v>41389</v>
      </c>
      <c r="D1047" s="3">
        <v>16649.75</v>
      </c>
      <c r="E1047" s="2"/>
      <c r="F1047" s="3"/>
      <c r="G1047" s="2"/>
      <c r="H1047" s="3"/>
      <c r="I1047" s="65"/>
      <c r="K1047" s="65"/>
      <c r="M1047" s="65"/>
      <c r="O1047" s="65"/>
      <c r="Q1047" s="65"/>
      <c r="S1047" s="65"/>
      <c r="U1047" s="65"/>
      <c r="W1047" s="65"/>
      <c r="Y1047" s="65"/>
      <c r="AA1047" s="65"/>
      <c r="AC1047" s="65"/>
      <c r="AE1047" s="65"/>
      <c r="AG1047" s="65"/>
      <c r="AI1047" s="65"/>
      <c r="AK1047" s="65"/>
    </row>
    <row r="1048" spans="1:37" x14ac:dyDescent="0.25">
      <c r="A1048" s="2">
        <v>41376</v>
      </c>
      <c r="B1048" s="3">
        <v>2633.47</v>
      </c>
      <c r="C1048" s="2">
        <v>41390</v>
      </c>
      <c r="D1048" s="3">
        <v>16565.25</v>
      </c>
      <c r="E1048" s="2"/>
      <c r="F1048" s="3"/>
      <c r="G1048" s="2"/>
      <c r="H1048" s="3"/>
      <c r="I1048" s="65"/>
      <c r="K1048" s="65"/>
      <c r="M1048" s="65"/>
      <c r="O1048" s="65"/>
      <c r="Q1048" s="65"/>
      <c r="S1048" s="65"/>
      <c r="U1048" s="65"/>
      <c r="W1048" s="65"/>
      <c r="Y1048" s="65"/>
      <c r="AA1048" s="65"/>
      <c r="AC1048" s="65"/>
      <c r="AE1048" s="65"/>
      <c r="AG1048" s="65"/>
      <c r="AI1048" s="65"/>
      <c r="AK1048" s="65"/>
    </row>
    <row r="1049" spans="1:37" x14ac:dyDescent="0.25">
      <c r="A1049" s="2">
        <v>41379</v>
      </c>
      <c r="B1049" s="3">
        <v>2624.71</v>
      </c>
      <c r="C1049" s="2">
        <v>41393</v>
      </c>
      <c r="D1049" s="3">
        <v>16929.68</v>
      </c>
      <c r="E1049" s="2"/>
      <c r="F1049" s="3"/>
      <c r="G1049" s="2"/>
      <c r="H1049" s="3"/>
      <c r="I1049" s="65"/>
      <c r="K1049" s="65"/>
      <c r="M1049" s="65"/>
      <c r="O1049" s="65"/>
      <c r="Q1049" s="65"/>
      <c r="S1049" s="65"/>
      <c r="U1049" s="65"/>
      <c r="W1049" s="65"/>
      <c r="Y1049" s="65"/>
      <c r="AA1049" s="65"/>
      <c r="AC1049" s="65"/>
      <c r="AE1049" s="65"/>
      <c r="AG1049" s="65"/>
      <c r="AI1049" s="65"/>
      <c r="AK1049" s="65"/>
    </row>
    <row r="1050" spans="1:37" x14ac:dyDescent="0.25">
      <c r="A1050" s="2">
        <v>41380</v>
      </c>
      <c r="B1050" s="3">
        <v>2609.3000000000002</v>
      </c>
      <c r="C1050" s="2">
        <v>41394</v>
      </c>
      <c r="D1050" s="3">
        <v>16767.66</v>
      </c>
      <c r="E1050" s="2"/>
      <c r="F1050" s="3"/>
      <c r="G1050" s="2"/>
      <c r="H1050" s="3"/>
      <c r="I1050" s="65"/>
      <c r="K1050" s="65"/>
      <c r="M1050" s="65"/>
      <c r="O1050" s="65"/>
      <c r="Q1050" s="65"/>
      <c r="S1050" s="65"/>
      <c r="U1050" s="65"/>
      <c r="W1050" s="65"/>
      <c r="Y1050" s="65"/>
      <c r="AA1050" s="65"/>
      <c r="AC1050" s="65"/>
      <c r="AE1050" s="65"/>
      <c r="AG1050" s="65"/>
      <c r="AI1050" s="65"/>
      <c r="AK1050" s="65"/>
    </row>
    <row r="1051" spans="1:37" x14ac:dyDescent="0.25">
      <c r="A1051" s="2">
        <v>41381</v>
      </c>
      <c r="B1051" s="3">
        <v>2553.4899999999998</v>
      </c>
      <c r="C1051" s="2">
        <v>41396</v>
      </c>
      <c r="D1051" s="3">
        <v>16748.28</v>
      </c>
      <c r="E1051" s="2"/>
      <c r="F1051" s="3"/>
      <c r="G1051" s="2"/>
      <c r="H1051" s="3"/>
      <c r="I1051" s="65"/>
      <c r="K1051" s="65"/>
      <c r="M1051" s="65"/>
      <c r="O1051" s="65"/>
      <c r="Q1051" s="65"/>
      <c r="S1051" s="65"/>
      <c r="U1051" s="65"/>
      <c r="W1051" s="65"/>
      <c r="Y1051" s="65"/>
      <c r="AA1051" s="65"/>
      <c r="AC1051" s="65"/>
      <c r="AE1051" s="65"/>
      <c r="AG1051" s="65"/>
      <c r="AI1051" s="65"/>
      <c r="AK1051" s="65"/>
    </row>
    <row r="1052" spans="1:37" x14ac:dyDescent="0.25">
      <c r="A1052" s="2">
        <v>41382</v>
      </c>
      <c r="B1052" s="3">
        <v>2555.5</v>
      </c>
      <c r="C1052" s="2">
        <v>41397</v>
      </c>
      <c r="D1052" s="3">
        <v>16922.29</v>
      </c>
      <c r="E1052" s="2"/>
      <c r="F1052" s="3"/>
      <c r="G1052" s="2"/>
      <c r="H1052" s="3"/>
      <c r="I1052" s="65"/>
      <c r="K1052" s="65"/>
      <c r="M1052" s="65"/>
      <c r="O1052" s="65"/>
      <c r="Q1052" s="65"/>
      <c r="S1052" s="65"/>
      <c r="U1052" s="65"/>
      <c r="W1052" s="65"/>
      <c r="Y1052" s="65"/>
      <c r="AA1052" s="65"/>
      <c r="AC1052" s="65"/>
      <c r="AE1052" s="65"/>
      <c r="AG1052" s="65"/>
      <c r="AI1052" s="65"/>
      <c r="AK1052" s="65"/>
    </row>
    <row r="1053" spans="1:37" x14ac:dyDescent="0.25">
      <c r="A1053" s="2">
        <v>41383</v>
      </c>
      <c r="B1053" s="3">
        <v>2575.16</v>
      </c>
      <c r="C1053" s="2">
        <v>41400</v>
      </c>
      <c r="D1053" s="3">
        <v>16862.990000000002</v>
      </c>
      <c r="E1053" s="2"/>
      <c r="F1053" s="3"/>
      <c r="G1053" s="2"/>
      <c r="H1053" s="3"/>
      <c r="I1053" s="65"/>
      <c r="K1053" s="65"/>
      <c r="M1053" s="65"/>
      <c r="O1053" s="65"/>
      <c r="Q1053" s="65"/>
      <c r="S1053" s="65"/>
      <c r="U1053" s="65"/>
      <c r="W1053" s="65"/>
      <c r="Y1053" s="65"/>
      <c r="AA1053" s="65"/>
      <c r="AC1053" s="65"/>
      <c r="AE1053" s="65"/>
      <c r="AG1053" s="65"/>
      <c r="AI1053" s="65"/>
      <c r="AK1053" s="65"/>
    </row>
    <row r="1054" spans="1:37" x14ac:dyDescent="0.25">
      <c r="A1054" s="2">
        <v>41386</v>
      </c>
      <c r="B1054" s="3">
        <v>2583.62</v>
      </c>
      <c r="C1054" s="2">
        <v>41401</v>
      </c>
      <c r="D1054" s="3">
        <v>17121.87</v>
      </c>
      <c r="E1054" s="2"/>
      <c r="F1054" s="3"/>
      <c r="G1054" s="2"/>
      <c r="H1054" s="3"/>
      <c r="I1054" s="65"/>
      <c r="K1054" s="65"/>
      <c r="M1054" s="65"/>
      <c r="O1054" s="65"/>
      <c r="Q1054" s="65"/>
      <c r="S1054" s="65"/>
      <c r="U1054" s="65"/>
      <c r="W1054" s="65"/>
      <c r="Y1054" s="65"/>
      <c r="AA1054" s="65"/>
      <c r="AC1054" s="65"/>
      <c r="AE1054" s="65"/>
      <c r="AG1054" s="65"/>
      <c r="AI1054" s="65"/>
      <c r="AK1054" s="65"/>
    </row>
    <row r="1055" spans="1:37" x14ac:dyDescent="0.25">
      <c r="A1055" s="2">
        <v>41387</v>
      </c>
      <c r="B1055" s="3">
        <v>2662.88</v>
      </c>
      <c r="C1055" s="2">
        <v>41402</v>
      </c>
      <c r="D1055" s="3">
        <v>17255.57</v>
      </c>
      <c r="E1055" s="2"/>
      <c r="F1055" s="3"/>
      <c r="G1055" s="2"/>
      <c r="H1055" s="3"/>
      <c r="I1055" s="65"/>
      <c r="K1055" s="65"/>
      <c r="M1055" s="65"/>
      <c r="O1055" s="65"/>
      <c r="Q1055" s="65"/>
      <c r="S1055" s="65"/>
      <c r="U1055" s="65"/>
      <c r="W1055" s="65"/>
      <c r="Y1055" s="65"/>
      <c r="AA1055" s="65"/>
      <c r="AC1055" s="65"/>
      <c r="AE1055" s="65"/>
      <c r="AG1055" s="65"/>
      <c r="AI1055" s="65"/>
      <c r="AK1055" s="65"/>
    </row>
    <row r="1056" spans="1:37" x14ac:dyDescent="0.25">
      <c r="A1056" s="2">
        <v>41388</v>
      </c>
      <c r="B1056" s="3">
        <v>2702.05</v>
      </c>
      <c r="C1056" s="2">
        <v>41403</v>
      </c>
      <c r="D1056" s="3">
        <v>17090.62</v>
      </c>
      <c r="E1056" s="2"/>
      <c r="F1056" s="3"/>
      <c r="G1056" s="2"/>
      <c r="H1056" s="3"/>
      <c r="I1056" s="65"/>
      <c r="K1056" s="65"/>
      <c r="M1056" s="65"/>
      <c r="O1056" s="65"/>
      <c r="Q1056" s="65"/>
      <c r="S1056" s="65"/>
      <c r="U1056" s="65"/>
      <c r="W1056" s="65"/>
      <c r="Y1056" s="65"/>
      <c r="AA1056" s="65"/>
      <c r="AC1056" s="65"/>
      <c r="AE1056" s="65"/>
      <c r="AG1056" s="65"/>
      <c r="AI1056" s="65"/>
      <c r="AK1056" s="65"/>
    </row>
    <row r="1057" spans="1:37" x14ac:dyDescent="0.25">
      <c r="A1057" s="2">
        <v>41389</v>
      </c>
      <c r="B1057" s="3">
        <v>2704.41</v>
      </c>
      <c r="C1057" s="2">
        <v>41404</v>
      </c>
      <c r="D1057" s="3">
        <v>17284.03</v>
      </c>
      <c r="E1057" s="2"/>
      <c r="F1057" s="3"/>
      <c r="G1057" s="2"/>
      <c r="H1057" s="3"/>
      <c r="I1057" s="65"/>
      <c r="K1057" s="65"/>
      <c r="M1057" s="65"/>
      <c r="O1057" s="65"/>
      <c r="Q1057" s="65"/>
      <c r="S1057" s="65"/>
      <c r="U1057" s="65"/>
      <c r="W1057" s="65"/>
      <c r="Y1057" s="65"/>
      <c r="AA1057" s="65"/>
      <c r="AC1057" s="65"/>
      <c r="AE1057" s="65"/>
      <c r="AG1057" s="65"/>
      <c r="AI1057" s="65"/>
      <c r="AK1057" s="65"/>
    </row>
    <row r="1058" spans="1:37" x14ac:dyDescent="0.25">
      <c r="A1058" s="2">
        <v>41390</v>
      </c>
      <c r="B1058" s="3">
        <v>2683.43</v>
      </c>
      <c r="C1058" s="2">
        <v>41407</v>
      </c>
      <c r="D1058" s="3">
        <v>17171.52</v>
      </c>
      <c r="E1058" s="2"/>
      <c r="F1058" s="3"/>
      <c r="G1058" s="2"/>
      <c r="H1058" s="3"/>
      <c r="I1058" s="65"/>
      <c r="K1058" s="65"/>
      <c r="M1058" s="65"/>
      <c r="O1058" s="65"/>
      <c r="Q1058" s="65"/>
      <c r="S1058" s="65"/>
      <c r="U1058" s="65"/>
      <c r="W1058" s="65"/>
      <c r="Y1058" s="65"/>
      <c r="AA1058" s="65"/>
      <c r="AC1058" s="65"/>
      <c r="AE1058" s="65"/>
      <c r="AG1058" s="65"/>
      <c r="AI1058" s="65"/>
      <c r="AK1058" s="65"/>
    </row>
    <row r="1059" spans="1:37" x14ac:dyDescent="0.25">
      <c r="A1059" s="2">
        <v>41393</v>
      </c>
      <c r="B1059" s="3">
        <v>2717.38</v>
      </c>
      <c r="C1059" s="2">
        <v>41408</v>
      </c>
      <c r="D1059" s="3">
        <v>17315.25</v>
      </c>
      <c r="E1059" s="2"/>
      <c r="F1059" s="3"/>
      <c r="G1059" s="2"/>
      <c r="H1059" s="3"/>
      <c r="I1059" s="65"/>
      <c r="K1059" s="65"/>
      <c r="M1059" s="65"/>
      <c r="O1059" s="65"/>
      <c r="Q1059" s="65"/>
      <c r="S1059" s="65"/>
      <c r="U1059" s="65"/>
      <c r="W1059" s="65"/>
      <c r="Y1059" s="65"/>
      <c r="AA1059" s="65"/>
      <c r="AC1059" s="65"/>
      <c r="AE1059" s="65"/>
      <c r="AG1059" s="65"/>
      <c r="AI1059" s="65"/>
      <c r="AK1059" s="65"/>
    </row>
    <row r="1060" spans="1:37" x14ac:dyDescent="0.25">
      <c r="A1060" s="2">
        <v>41394</v>
      </c>
      <c r="B1060" s="3">
        <v>2712</v>
      </c>
      <c r="C1060" s="2">
        <v>41409</v>
      </c>
      <c r="D1060" s="3">
        <v>17492.97</v>
      </c>
      <c r="E1060" s="2"/>
      <c r="F1060" s="3"/>
      <c r="G1060" s="2"/>
      <c r="H1060" s="3"/>
      <c r="I1060" s="65"/>
      <c r="K1060" s="65"/>
      <c r="M1060" s="65"/>
      <c r="O1060" s="65"/>
      <c r="Q1060" s="65"/>
      <c r="S1060" s="65"/>
      <c r="U1060" s="65"/>
      <c r="W1060" s="65"/>
      <c r="Y1060" s="65"/>
      <c r="AA1060" s="65"/>
      <c r="AC1060" s="65"/>
      <c r="AE1060" s="65"/>
      <c r="AG1060" s="65"/>
      <c r="AI1060" s="65"/>
      <c r="AK1060" s="65"/>
    </row>
    <row r="1061" spans="1:37" x14ac:dyDescent="0.25">
      <c r="A1061" s="2">
        <v>41395</v>
      </c>
      <c r="B1061" s="3">
        <v>2711.74</v>
      </c>
      <c r="C1061" s="2">
        <v>41410</v>
      </c>
      <c r="D1061" s="3">
        <v>17544.009999999998</v>
      </c>
      <c r="E1061" s="2"/>
      <c r="F1061" s="3"/>
      <c r="G1061" s="2"/>
      <c r="H1061" s="3"/>
      <c r="I1061" s="65"/>
      <c r="K1061" s="65"/>
      <c r="M1061" s="65"/>
      <c r="O1061" s="65"/>
      <c r="Q1061" s="65"/>
      <c r="S1061" s="65"/>
      <c r="U1061" s="65"/>
      <c r="W1061" s="65"/>
      <c r="Y1061" s="65"/>
      <c r="AA1061" s="65"/>
      <c r="AC1061" s="65"/>
      <c r="AE1061" s="65"/>
      <c r="AG1061" s="65"/>
      <c r="AI1061" s="65"/>
      <c r="AK1061" s="65"/>
    </row>
    <row r="1062" spans="1:37" x14ac:dyDescent="0.25">
      <c r="A1062" s="2">
        <v>41396</v>
      </c>
      <c r="B1062" s="3">
        <v>2718.9</v>
      </c>
      <c r="C1062" s="2">
        <v>41411</v>
      </c>
      <c r="D1062" s="3">
        <v>17604.61</v>
      </c>
      <c r="E1062" s="2"/>
      <c r="F1062" s="3"/>
      <c r="G1062" s="2"/>
      <c r="H1062" s="3"/>
      <c r="I1062" s="65"/>
      <c r="K1062" s="65"/>
      <c r="M1062" s="65"/>
      <c r="O1062" s="65"/>
      <c r="Q1062" s="65"/>
      <c r="S1062" s="65"/>
      <c r="U1062" s="65"/>
      <c r="W1062" s="65"/>
      <c r="Y1062" s="65"/>
      <c r="AA1062" s="65"/>
      <c r="AC1062" s="65"/>
      <c r="AE1062" s="65"/>
      <c r="AG1062" s="65"/>
      <c r="AI1062" s="65"/>
      <c r="AK1062" s="65"/>
    </row>
    <row r="1063" spans="1:37" x14ac:dyDescent="0.25">
      <c r="A1063" s="2">
        <v>41397</v>
      </c>
      <c r="B1063" s="3">
        <v>2763.68</v>
      </c>
      <c r="C1063" s="2">
        <v>41414</v>
      </c>
      <c r="D1063" s="3">
        <v>17506.87</v>
      </c>
      <c r="E1063" s="2"/>
      <c r="F1063" s="3"/>
      <c r="G1063" s="2"/>
      <c r="H1063" s="3"/>
      <c r="I1063" s="65"/>
      <c r="K1063" s="65"/>
      <c r="M1063" s="65"/>
      <c r="O1063" s="65"/>
      <c r="Q1063" s="65"/>
      <c r="S1063" s="65"/>
      <c r="U1063" s="65"/>
      <c r="W1063" s="65"/>
      <c r="Y1063" s="65"/>
      <c r="AA1063" s="65"/>
      <c r="AC1063" s="65"/>
      <c r="AE1063" s="65"/>
      <c r="AG1063" s="65"/>
      <c r="AI1063" s="65"/>
      <c r="AK1063" s="65"/>
    </row>
    <row r="1064" spans="1:37" x14ac:dyDescent="0.25">
      <c r="A1064" s="2">
        <v>41400</v>
      </c>
      <c r="B1064" s="3">
        <v>2750.52</v>
      </c>
      <c r="C1064" s="2">
        <v>41415</v>
      </c>
      <c r="D1064" s="3">
        <v>17427.47</v>
      </c>
      <c r="E1064" s="2"/>
      <c r="F1064" s="3"/>
      <c r="G1064" s="2"/>
      <c r="H1064" s="3"/>
      <c r="I1064" s="65"/>
      <c r="K1064" s="65"/>
      <c r="M1064" s="65"/>
      <c r="O1064" s="65"/>
      <c r="Q1064" s="65"/>
      <c r="S1064" s="65"/>
      <c r="U1064" s="65"/>
      <c r="W1064" s="65"/>
      <c r="Y1064" s="65"/>
      <c r="AA1064" s="65"/>
      <c r="AC1064" s="65"/>
      <c r="AE1064" s="65"/>
      <c r="AG1064" s="65"/>
      <c r="AI1064" s="65"/>
      <c r="AK1064" s="65"/>
    </row>
    <row r="1065" spans="1:37" x14ac:dyDescent="0.25">
      <c r="A1065" s="2">
        <v>41401</v>
      </c>
      <c r="B1065" s="3">
        <v>2769.08</v>
      </c>
      <c r="C1065" s="2">
        <v>41416</v>
      </c>
      <c r="D1065" s="3">
        <v>17545.46</v>
      </c>
      <c r="E1065" s="2"/>
      <c r="F1065" s="3"/>
      <c r="G1065" s="2"/>
      <c r="H1065" s="3"/>
      <c r="I1065" s="65"/>
      <c r="K1065" s="65"/>
      <c r="M1065" s="65"/>
      <c r="O1065" s="65"/>
      <c r="Q1065" s="65"/>
      <c r="S1065" s="65"/>
      <c r="U1065" s="65"/>
      <c r="W1065" s="65"/>
      <c r="Y1065" s="65"/>
      <c r="AA1065" s="65"/>
      <c r="AC1065" s="65"/>
      <c r="AE1065" s="65"/>
      <c r="AG1065" s="65"/>
      <c r="AI1065" s="65"/>
      <c r="AK1065" s="65"/>
    </row>
    <row r="1066" spans="1:37" x14ac:dyDescent="0.25">
      <c r="A1066" s="2">
        <v>41402</v>
      </c>
      <c r="B1066" s="3">
        <v>2784.62</v>
      </c>
      <c r="C1066" s="2">
        <v>41417</v>
      </c>
      <c r="D1066" s="3">
        <v>17008.419999999998</v>
      </c>
      <c r="E1066" s="2"/>
      <c r="F1066" s="3"/>
      <c r="G1066" s="2"/>
      <c r="H1066" s="3"/>
      <c r="I1066" s="65"/>
      <c r="K1066" s="65"/>
      <c r="M1066" s="65"/>
      <c r="O1066" s="65"/>
      <c r="Q1066" s="65"/>
      <c r="S1066" s="65"/>
      <c r="U1066" s="65"/>
      <c r="W1066" s="65"/>
      <c r="Y1066" s="65"/>
      <c r="AA1066" s="65"/>
      <c r="AC1066" s="65"/>
      <c r="AE1066" s="65"/>
      <c r="AG1066" s="65"/>
      <c r="AI1066" s="65"/>
      <c r="AK1066" s="65"/>
    </row>
    <row r="1067" spans="1:37" x14ac:dyDescent="0.25">
      <c r="A1067" s="2">
        <v>41403</v>
      </c>
      <c r="B1067" s="3">
        <v>2773.16</v>
      </c>
      <c r="C1067" s="2">
        <v>41418</v>
      </c>
      <c r="D1067" s="3">
        <v>16896.810000000001</v>
      </c>
      <c r="E1067" s="2"/>
      <c r="F1067" s="3"/>
      <c r="G1067" s="2"/>
      <c r="H1067" s="3"/>
      <c r="I1067" s="65"/>
      <c r="K1067" s="65"/>
      <c r="M1067" s="65"/>
      <c r="O1067" s="65"/>
      <c r="Q1067" s="65"/>
      <c r="S1067" s="65"/>
      <c r="U1067" s="65"/>
      <c r="W1067" s="65"/>
      <c r="Y1067" s="65"/>
      <c r="AA1067" s="65"/>
      <c r="AC1067" s="65"/>
      <c r="AE1067" s="65"/>
      <c r="AG1067" s="65"/>
      <c r="AI1067" s="65"/>
      <c r="AK1067" s="65"/>
    </row>
    <row r="1068" spans="1:37" x14ac:dyDescent="0.25">
      <c r="A1068" s="2">
        <v>41404</v>
      </c>
      <c r="B1068" s="3">
        <v>2785.24</v>
      </c>
      <c r="C1068" s="2">
        <v>41421</v>
      </c>
      <c r="D1068" s="3">
        <v>17159.150000000001</v>
      </c>
      <c r="E1068" s="2"/>
      <c r="F1068" s="3"/>
      <c r="G1068" s="2"/>
      <c r="H1068" s="3"/>
      <c r="I1068" s="65"/>
      <c r="K1068" s="65"/>
      <c r="M1068" s="65"/>
      <c r="O1068" s="65"/>
      <c r="Q1068" s="65"/>
      <c r="S1068" s="65"/>
      <c r="U1068" s="65"/>
      <c r="W1068" s="65"/>
      <c r="Y1068" s="65"/>
      <c r="AA1068" s="65"/>
      <c r="AC1068" s="65"/>
      <c r="AE1068" s="65"/>
      <c r="AG1068" s="65"/>
      <c r="AI1068" s="65"/>
      <c r="AK1068" s="65"/>
    </row>
    <row r="1069" spans="1:37" x14ac:dyDescent="0.25">
      <c r="A1069" s="2">
        <v>41407</v>
      </c>
      <c r="B1069" s="3">
        <v>2777.39</v>
      </c>
      <c r="C1069" s="2">
        <v>41422</v>
      </c>
      <c r="D1069" s="3">
        <v>17519.79</v>
      </c>
      <c r="E1069" s="2"/>
      <c r="F1069" s="3"/>
      <c r="G1069" s="2"/>
      <c r="H1069" s="3"/>
      <c r="I1069" s="65"/>
      <c r="K1069" s="65"/>
      <c r="M1069" s="65"/>
      <c r="O1069" s="65"/>
      <c r="Q1069" s="65"/>
      <c r="S1069" s="65"/>
      <c r="U1069" s="65"/>
      <c r="W1069" s="65"/>
      <c r="Y1069" s="65"/>
      <c r="AA1069" s="65"/>
      <c r="AC1069" s="65"/>
      <c r="AE1069" s="65"/>
      <c r="AG1069" s="65"/>
      <c r="AI1069" s="65"/>
      <c r="AK1069" s="65"/>
    </row>
    <row r="1070" spans="1:37" x14ac:dyDescent="0.25">
      <c r="A1070" s="2">
        <v>41408</v>
      </c>
      <c r="B1070" s="3">
        <v>2795.63</v>
      </c>
      <c r="C1070" s="2">
        <v>41423</v>
      </c>
      <c r="D1070" s="3">
        <v>17237.099999999999</v>
      </c>
      <c r="E1070" s="2"/>
      <c r="F1070" s="3"/>
      <c r="G1070" s="2"/>
      <c r="H1070" s="3"/>
      <c r="I1070" s="65"/>
      <c r="K1070" s="65"/>
      <c r="M1070" s="65"/>
      <c r="O1070" s="65"/>
      <c r="Q1070" s="65"/>
      <c r="S1070" s="65"/>
      <c r="U1070" s="65"/>
      <c r="W1070" s="65"/>
      <c r="Y1070" s="65"/>
      <c r="AA1070" s="65"/>
      <c r="AC1070" s="65"/>
      <c r="AE1070" s="65"/>
      <c r="AG1070" s="65"/>
      <c r="AI1070" s="65"/>
      <c r="AK1070" s="65"/>
    </row>
    <row r="1071" spans="1:37" x14ac:dyDescent="0.25">
      <c r="A1071" s="2">
        <v>41409</v>
      </c>
      <c r="B1071" s="3">
        <v>2809.58</v>
      </c>
      <c r="C1071" s="2">
        <v>41424</v>
      </c>
      <c r="D1071" s="3">
        <v>17350.96</v>
      </c>
      <c r="E1071" s="2"/>
      <c r="F1071" s="3"/>
      <c r="G1071" s="2"/>
      <c r="H1071" s="3"/>
      <c r="I1071" s="65"/>
      <c r="K1071" s="65"/>
      <c r="M1071" s="65"/>
      <c r="O1071" s="65"/>
      <c r="Q1071" s="65"/>
      <c r="S1071" s="65"/>
      <c r="U1071" s="65"/>
      <c r="W1071" s="65"/>
      <c r="Y1071" s="65"/>
      <c r="AA1071" s="65"/>
      <c r="AC1071" s="65"/>
      <c r="AE1071" s="65"/>
      <c r="AG1071" s="65"/>
      <c r="AI1071" s="65"/>
      <c r="AK1071" s="65"/>
    </row>
    <row r="1072" spans="1:37" x14ac:dyDescent="0.25">
      <c r="A1072" s="2">
        <v>41410</v>
      </c>
      <c r="B1072" s="3">
        <v>2806.7</v>
      </c>
      <c r="C1072" s="2">
        <v>41425</v>
      </c>
      <c r="D1072" s="3">
        <v>17214.080000000002</v>
      </c>
      <c r="E1072" s="2"/>
      <c r="F1072" s="3"/>
      <c r="G1072" s="2"/>
      <c r="H1072" s="3"/>
      <c r="I1072" s="65"/>
      <c r="K1072" s="65"/>
      <c r="M1072" s="65"/>
      <c r="O1072" s="65"/>
      <c r="Q1072" s="65"/>
      <c r="S1072" s="65"/>
      <c r="U1072" s="65"/>
      <c r="W1072" s="65"/>
      <c r="Y1072" s="65"/>
      <c r="AA1072" s="65"/>
      <c r="AC1072" s="65"/>
      <c r="AE1072" s="65"/>
      <c r="AG1072" s="65"/>
      <c r="AI1072" s="65"/>
      <c r="AK1072" s="65"/>
    </row>
    <row r="1073" spans="1:37" x14ac:dyDescent="0.25">
      <c r="A1073" s="2">
        <v>41411</v>
      </c>
      <c r="B1073" s="3">
        <v>2817.99</v>
      </c>
      <c r="C1073" s="2">
        <v>41428</v>
      </c>
      <c r="D1073" s="3">
        <v>17058.05</v>
      </c>
      <c r="E1073" s="2"/>
      <c r="F1073" s="3"/>
      <c r="G1073" s="2"/>
      <c r="H1073" s="3"/>
      <c r="I1073" s="65"/>
      <c r="K1073" s="65"/>
      <c r="M1073" s="65"/>
      <c r="O1073" s="65"/>
      <c r="Q1073" s="65"/>
      <c r="S1073" s="65"/>
      <c r="U1073" s="65"/>
      <c r="W1073" s="65"/>
      <c r="Y1073" s="65"/>
      <c r="AA1073" s="65"/>
      <c r="AC1073" s="65"/>
      <c r="AE1073" s="65"/>
      <c r="AG1073" s="65"/>
      <c r="AI1073" s="65"/>
      <c r="AK1073" s="65"/>
    </row>
    <row r="1074" spans="1:37" x14ac:dyDescent="0.25">
      <c r="A1074" s="2">
        <v>41414</v>
      </c>
      <c r="B1074" s="3">
        <v>2824.5</v>
      </c>
      <c r="C1074" s="2">
        <v>41429</v>
      </c>
      <c r="D1074" s="3">
        <v>17135.48</v>
      </c>
      <c r="E1074" s="2"/>
      <c r="F1074" s="3"/>
      <c r="G1074" s="2"/>
      <c r="H1074" s="3"/>
      <c r="I1074" s="65"/>
      <c r="K1074" s="65"/>
      <c r="M1074" s="65"/>
      <c r="O1074" s="65"/>
      <c r="Q1074" s="65"/>
      <c r="S1074" s="65"/>
      <c r="U1074" s="65"/>
      <c r="W1074" s="65"/>
      <c r="Y1074" s="65"/>
      <c r="AA1074" s="65"/>
      <c r="AC1074" s="65"/>
      <c r="AE1074" s="65"/>
      <c r="AG1074" s="65"/>
      <c r="AI1074" s="65"/>
      <c r="AK1074" s="65"/>
    </row>
    <row r="1075" spans="1:37" x14ac:dyDescent="0.25">
      <c r="A1075" s="2">
        <v>41415</v>
      </c>
      <c r="B1075" s="3">
        <v>2821.65</v>
      </c>
      <c r="C1075" s="2">
        <v>41430</v>
      </c>
      <c r="D1075" s="3">
        <v>16971.169999999998</v>
      </c>
      <c r="E1075" s="2"/>
      <c r="F1075" s="3"/>
      <c r="G1075" s="2"/>
      <c r="H1075" s="3"/>
      <c r="I1075" s="65"/>
      <c r="K1075" s="65"/>
      <c r="M1075" s="65"/>
      <c r="O1075" s="65"/>
      <c r="Q1075" s="65"/>
      <c r="S1075" s="65"/>
      <c r="U1075" s="65"/>
      <c r="W1075" s="65"/>
      <c r="Y1075" s="65"/>
      <c r="AA1075" s="65"/>
      <c r="AC1075" s="65"/>
      <c r="AE1075" s="65"/>
      <c r="AG1075" s="65"/>
      <c r="AI1075" s="65"/>
      <c r="AK1075" s="65"/>
    </row>
    <row r="1076" spans="1:37" x14ac:dyDescent="0.25">
      <c r="A1076" s="2">
        <v>41416</v>
      </c>
      <c r="B1076" s="3">
        <v>2835.01</v>
      </c>
      <c r="C1076" s="2">
        <v>41431</v>
      </c>
      <c r="D1076" s="3">
        <v>16525.07</v>
      </c>
      <c r="E1076" s="2"/>
      <c r="F1076" s="3"/>
      <c r="G1076" s="2"/>
      <c r="H1076" s="3"/>
      <c r="I1076" s="65"/>
      <c r="K1076" s="65"/>
      <c r="M1076" s="65"/>
      <c r="O1076" s="65"/>
      <c r="Q1076" s="65"/>
      <c r="S1076" s="65"/>
      <c r="U1076" s="65"/>
      <c r="W1076" s="65"/>
      <c r="Y1076" s="65"/>
      <c r="AA1076" s="65"/>
      <c r="AC1076" s="65"/>
      <c r="AE1076" s="65"/>
      <c r="AG1076" s="65"/>
      <c r="AI1076" s="65"/>
      <c r="AK1076" s="65"/>
    </row>
    <row r="1077" spans="1:37" x14ac:dyDescent="0.25">
      <c r="A1077" s="2">
        <v>41417</v>
      </c>
      <c r="B1077" s="3">
        <v>2776.78</v>
      </c>
      <c r="C1077" s="2">
        <v>41432</v>
      </c>
      <c r="D1077" s="3">
        <v>16691.060000000001</v>
      </c>
      <c r="E1077" s="2"/>
      <c r="F1077" s="3"/>
      <c r="G1077" s="2"/>
      <c r="H1077" s="3"/>
      <c r="I1077" s="65"/>
      <c r="K1077" s="65"/>
      <c r="M1077" s="65"/>
      <c r="O1077" s="65"/>
      <c r="Q1077" s="65"/>
      <c r="S1077" s="65"/>
      <c r="U1077" s="65"/>
      <c r="W1077" s="65"/>
      <c r="Y1077" s="65"/>
      <c r="AA1077" s="65"/>
      <c r="AC1077" s="65"/>
      <c r="AE1077" s="65"/>
      <c r="AG1077" s="65"/>
      <c r="AI1077" s="65"/>
      <c r="AK1077" s="65"/>
    </row>
    <row r="1078" spans="1:37" x14ac:dyDescent="0.25">
      <c r="A1078" s="2">
        <v>41418</v>
      </c>
      <c r="B1078" s="3">
        <v>2764.29</v>
      </c>
      <c r="C1078" s="2">
        <v>41435</v>
      </c>
      <c r="D1078" s="3">
        <v>16556.34</v>
      </c>
      <c r="E1078" s="2"/>
      <c r="F1078" s="3"/>
      <c r="G1078" s="2"/>
      <c r="H1078" s="3"/>
      <c r="I1078" s="65"/>
      <c r="K1078" s="65"/>
      <c r="M1078" s="65"/>
      <c r="O1078" s="65"/>
      <c r="Q1078" s="65"/>
      <c r="S1078" s="65"/>
      <c r="U1078" s="65"/>
      <c r="W1078" s="65"/>
      <c r="Y1078" s="65"/>
      <c r="AA1078" s="65"/>
      <c r="AC1078" s="65"/>
      <c r="AE1078" s="65"/>
      <c r="AG1078" s="65"/>
      <c r="AI1078" s="65"/>
      <c r="AK1078" s="65"/>
    </row>
    <row r="1079" spans="1:37" x14ac:dyDescent="0.25">
      <c r="A1079" s="2">
        <v>41421</v>
      </c>
      <c r="B1079" s="3">
        <v>2795</v>
      </c>
      <c r="C1079" s="2">
        <v>41436</v>
      </c>
      <c r="D1079" s="3">
        <v>16286.6</v>
      </c>
      <c r="E1079" s="2"/>
      <c r="F1079" s="3"/>
      <c r="G1079" s="2"/>
      <c r="H1079" s="3"/>
      <c r="I1079" s="65"/>
      <c r="K1079" s="65"/>
      <c r="M1079" s="65"/>
      <c r="O1079" s="65"/>
      <c r="Q1079" s="65"/>
      <c r="S1079" s="65"/>
      <c r="U1079" s="65"/>
      <c r="W1079" s="65"/>
      <c r="Y1079" s="65"/>
      <c r="AA1079" s="65"/>
      <c r="AC1079" s="65"/>
      <c r="AE1079" s="65"/>
      <c r="AG1079" s="65"/>
      <c r="AI1079" s="65"/>
      <c r="AK1079" s="65"/>
    </row>
    <row r="1080" spans="1:37" x14ac:dyDescent="0.25">
      <c r="A1080" s="2">
        <v>41422</v>
      </c>
      <c r="B1080" s="3">
        <v>2835.87</v>
      </c>
      <c r="C1080" s="2">
        <v>41437</v>
      </c>
      <c r="D1080" s="3">
        <v>16024.03</v>
      </c>
      <c r="E1080" s="2"/>
      <c r="F1080" s="3"/>
      <c r="G1080" s="2"/>
      <c r="H1080" s="3"/>
      <c r="I1080" s="65"/>
      <c r="K1080" s="65"/>
      <c r="M1080" s="65"/>
      <c r="O1080" s="65"/>
      <c r="Q1080" s="65"/>
      <c r="S1080" s="65"/>
      <c r="U1080" s="65"/>
      <c r="W1080" s="65"/>
      <c r="Y1080" s="65"/>
      <c r="AA1080" s="65"/>
      <c r="AC1080" s="65"/>
      <c r="AE1080" s="65"/>
      <c r="AG1080" s="65"/>
      <c r="AI1080" s="65"/>
      <c r="AK1080" s="65"/>
    </row>
    <row r="1081" spans="1:37" x14ac:dyDescent="0.25">
      <c r="A1081" s="2">
        <v>41423</v>
      </c>
      <c r="B1081" s="3">
        <v>2786.54</v>
      </c>
      <c r="C1081" s="2">
        <v>41438</v>
      </c>
      <c r="D1081" s="3">
        <v>16116.34</v>
      </c>
      <c r="E1081" s="2"/>
      <c r="F1081" s="3"/>
      <c r="G1081" s="2"/>
      <c r="H1081" s="3"/>
      <c r="I1081" s="65"/>
      <c r="K1081" s="65"/>
      <c r="M1081" s="65"/>
      <c r="O1081" s="65"/>
      <c r="Q1081" s="65"/>
      <c r="S1081" s="65"/>
      <c r="U1081" s="65"/>
      <c r="W1081" s="65"/>
      <c r="Y1081" s="65"/>
      <c r="AA1081" s="65"/>
      <c r="AC1081" s="65"/>
      <c r="AE1081" s="65"/>
      <c r="AG1081" s="65"/>
      <c r="AI1081" s="65"/>
      <c r="AK1081" s="65"/>
    </row>
    <row r="1082" spans="1:37" x14ac:dyDescent="0.25">
      <c r="A1082" s="2">
        <v>41424</v>
      </c>
      <c r="B1082" s="3">
        <v>2799.2</v>
      </c>
      <c r="C1082" s="2">
        <v>41439</v>
      </c>
      <c r="D1082" s="3">
        <v>16152.91</v>
      </c>
      <c r="E1082" s="2"/>
      <c r="F1082" s="3"/>
      <c r="G1082" s="2"/>
      <c r="H1082" s="3"/>
      <c r="I1082" s="65"/>
      <c r="K1082" s="65"/>
      <c r="M1082" s="65"/>
      <c r="O1082" s="65"/>
      <c r="Q1082" s="65"/>
      <c r="S1082" s="65"/>
      <c r="U1082" s="65"/>
      <c r="W1082" s="65"/>
      <c r="Y1082" s="65"/>
      <c r="AA1082" s="65"/>
      <c r="AC1082" s="65"/>
      <c r="AE1082" s="65"/>
      <c r="AG1082" s="65"/>
      <c r="AI1082" s="65"/>
      <c r="AK1082" s="65"/>
    </row>
    <row r="1083" spans="1:37" x14ac:dyDescent="0.25">
      <c r="A1083" s="2">
        <v>41425</v>
      </c>
      <c r="B1083" s="3">
        <v>2769.64</v>
      </c>
      <c r="C1083" s="2">
        <v>41442</v>
      </c>
      <c r="D1083" s="3">
        <v>16194.14</v>
      </c>
      <c r="E1083" s="2"/>
      <c r="F1083" s="3"/>
      <c r="G1083" s="2"/>
      <c r="H1083" s="3"/>
      <c r="I1083" s="65"/>
      <c r="K1083" s="65"/>
      <c r="M1083" s="65"/>
      <c r="O1083" s="65"/>
      <c r="Q1083" s="65"/>
      <c r="S1083" s="65"/>
      <c r="U1083" s="65"/>
      <c r="W1083" s="65"/>
      <c r="Y1083" s="65"/>
      <c r="AA1083" s="65"/>
      <c r="AC1083" s="65"/>
      <c r="AE1083" s="65"/>
      <c r="AG1083" s="65"/>
      <c r="AI1083" s="65"/>
      <c r="AK1083" s="65"/>
    </row>
    <row r="1084" spans="1:37" x14ac:dyDescent="0.25">
      <c r="A1084" s="2">
        <v>41428</v>
      </c>
      <c r="B1084" s="3">
        <v>2747.74</v>
      </c>
      <c r="C1084" s="2">
        <v>41443</v>
      </c>
      <c r="D1084" s="3">
        <v>16197.94</v>
      </c>
      <c r="E1084" s="2"/>
      <c r="F1084" s="3"/>
      <c r="G1084" s="2"/>
      <c r="H1084" s="3"/>
      <c r="I1084" s="65"/>
      <c r="K1084" s="65"/>
      <c r="M1084" s="65"/>
      <c r="O1084" s="65"/>
      <c r="Q1084" s="65"/>
      <c r="S1084" s="65"/>
      <c r="U1084" s="65"/>
      <c r="W1084" s="65"/>
      <c r="Y1084" s="65"/>
      <c r="AA1084" s="65"/>
      <c r="AC1084" s="65"/>
      <c r="AE1084" s="65"/>
      <c r="AG1084" s="65"/>
      <c r="AI1084" s="65"/>
      <c r="AK1084" s="65"/>
    </row>
    <row r="1085" spans="1:37" x14ac:dyDescent="0.25">
      <c r="A1085" s="2">
        <v>41429</v>
      </c>
      <c r="B1085" s="3">
        <v>2755.7</v>
      </c>
      <c r="C1085" s="2">
        <v>41444</v>
      </c>
      <c r="D1085" s="3">
        <v>16045.52</v>
      </c>
      <c r="E1085" s="2"/>
      <c r="F1085" s="3"/>
      <c r="G1085" s="2"/>
      <c r="H1085" s="3"/>
      <c r="I1085" s="65"/>
      <c r="K1085" s="65"/>
      <c r="M1085" s="65"/>
      <c r="O1085" s="65"/>
      <c r="Q1085" s="65"/>
      <c r="S1085" s="65"/>
      <c r="U1085" s="65"/>
      <c r="W1085" s="65"/>
      <c r="Y1085" s="65"/>
      <c r="AA1085" s="65"/>
      <c r="AC1085" s="65"/>
      <c r="AE1085" s="65"/>
      <c r="AG1085" s="65"/>
      <c r="AI1085" s="65"/>
      <c r="AK1085" s="65"/>
    </row>
    <row r="1086" spans="1:37" x14ac:dyDescent="0.25">
      <c r="A1086" s="2">
        <v>41430</v>
      </c>
      <c r="B1086" s="3">
        <v>2709.33</v>
      </c>
      <c r="C1086" s="2">
        <v>41445</v>
      </c>
      <c r="D1086" s="3">
        <v>15549.23</v>
      </c>
      <c r="E1086" s="2"/>
      <c r="F1086" s="3"/>
      <c r="G1086" s="2"/>
      <c r="H1086" s="3"/>
      <c r="I1086" s="65"/>
      <c r="K1086" s="65"/>
      <c r="M1086" s="65"/>
      <c r="O1086" s="65"/>
      <c r="Q1086" s="65"/>
      <c r="S1086" s="65"/>
      <c r="U1086" s="65"/>
      <c r="W1086" s="65"/>
      <c r="Y1086" s="65"/>
      <c r="AA1086" s="65"/>
      <c r="AC1086" s="65"/>
      <c r="AE1086" s="65"/>
      <c r="AG1086" s="65"/>
      <c r="AI1086" s="65"/>
      <c r="AK1086" s="65"/>
    </row>
    <row r="1087" spans="1:37" x14ac:dyDescent="0.25">
      <c r="A1087" s="2">
        <v>41431</v>
      </c>
      <c r="B1087" s="3">
        <v>2676.21</v>
      </c>
      <c r="C1087" s="2">
        <v>41446</v>
      </c>
      <c r="D1087" s="3">
        <v>15254.82</v>
      </c>
      <c r="E1087" s="2"/>
      <c r="F1087" s="3"/>
      <c r="G1087" s="2"/>
      <c r="H1087" s="3"/>
      <c r="I1087" s="65"/>
      <c r="K1087" s="65"/>
      <c r="M1087" s="65"/>
      <c r="O1087" s="65"/>
      <c r="Q1087" s="65"/>
      <c r="S1087" s="65"/>
      <c r="U1087" s="65"/>
      <c r="W1087" s="65"/>
      <c r="Y1087" s="65"/>
      <c r="AA1087" s="65"/>
      <c r="AC1087" s="65"/>
      <c r="AE1087" s="65"/>
      <c r="AG1087" s="65"/>
      <c r="AI1087" s="65"/>
      <c r="AK1087" s="65"/>
    </row>
    <row r="1088" spans="1:37" x14ac:dyDescent="0.25">
      <c r="A1088" s="2">
        <v>41432</v>
      </c>
      <c r="B1088" s="3">
        <v>2724.08</v>
      </c>
      <c r="C1088" s="2">
        <v>41449</v>
      </c>
      <c r="D1088" s="3">
        <v>15112.38</v>
      </c>
      <c r="E1088" s="2"/>
      <c r="F1088" s="3"/>
      <c r="G1088" s="2"/>
      <c r="H1088" s="3"/>
      <c r="I1088" s="65"/>
      <c r="K1088" s="65"/>
      <c r="M1088" s="65"/>
      <c r="O1088" s="65"/>
      <c r="Q1088" s="65"/>
      <c r="S1088" s="65"/>
      <c r="U1088" s="65"/>
      <c r="W1088" s="65"/>
      <c r="Y1088" s="65"/>
      <c r="AA1088" s="65"/>
      <c r="AC1088" s="65"/>
      <c r="AE1088" s="65"/>
      <c r="AG1088" s="65"/>
      <c r="AI1088" s="65"/>
      <c r="AK1088" s="65"/>
    </row>
    <row r="1089" spans="1:37" x14ac:dyDescent="0.25">
      <c r="A1089" s="2">
        <v>41435</v>
      </c>
      <c r="B1089" s="3">
        <v>2719.4</v>
      </c>
      <c r="C1089" s="2">
        <v>41450</v>
      </c>
      <c r="D1089" s="3">
        <v>15056.57</v>
      </c>
      <c r="E1089" s="2"/>
      <c r="F1089" s="3"/>
      <c r="G1089" s="2"/>
      <c r="H1089" s="3"/>
      <c r="I1089" s="65"/>
      <c r="K1089" s="65"/>
      <c r="M1089" s="65"/>
      <c r="O1089" s="65"/>
      <c r="Q1089" s="65"/>
      <c r="S1089" s="65"/>
      <c r="U1089" s="65"/>
      <c r="W1089" s="65"/>
      <c r="Y1089" s="65"/>
      <c r="AA1089" s="65"/>
      <c r="AC1089" s="65"/>
      <c r="AE1089" s="65"/>
      <c r="AG1089" s="65"/>
      <c r="AI1089" s="65"/>
      <c r="AK1089" s="65"/>
    </row>
    <row r="1090" spans="1:37" x14ac:dyDescent="0.25">
      <c r="A1090" s="2">
        <v>41436</v>
      </c>
      <c r="B1090" s="3">
        <v>2683.2</v>
      </c>
      <c r="C1090" s="2">
        <v>41451</v>
      </c>
      <c r="D1090" s="3">
        <v>15362.88</v>
      </c>
      <c r="E1090" s="2"/>
      <c r="F1090" s="3"/>
      <c r="G1090" s="2"/>
      <c r="H1090" s="3"/>
      <c r="I1090" s="65"/>
      <c r="K1090" s="65"/>
      <c r="M1090" s="65"/>
      <c r="O1090" s="65"/>
      <c r="Q1090" s="65"/>
      <c r="S1090" s="65"/>
      <c r="U1090" s="65"/>
      <c r="W1090" s="65"/>
      <c r="Y1090" s="65"/>
      <c r="AA1090" s="65"/>
      <c r="AC1090" s="65"/>
      <c r="AE1090" s="65"/>
      <c r="AG1090" s="65"/>
      <c r="AI1090" s="65"/>
      <c r="AK1090" s="65"/>
    </row>
    <row r="1091" spans="1:37" x14ac:dyDescent="0.25">
      <c r="A1091" s="2">
        <v>41437</v>
      </c>
      <c r="B1091" s="3">
        <v>2666.52</v>
      </c>
      <c r="C1091" s="2">
        <v>41452</v>
      </c>
      <c r="D1091" s="3">
        <v>15430.47</v>
      </c>
      <c r="E1091" s="2"/>
      <c r="F1091" s="3"/>
      <c r="G1091" s="2"/>
      <c r="H1091" s="3"/>
      <c r="I1091" s="65"/>
      <c r="K1091" s="65"/>
      <c r="M1091" s="65"/>
      <c r="O1091" s="65"/>
      <c r="Q1091" s="65"/>
      <c r="S1091" s="65"/>
      <c r="U1091" s="65"/>
      <c r="W1091" s="65"/>
      <c r="Y1091" s="65"/>
      <c r="AA1091" s="65"/>
      <c r="AC1091" s="65"/>
      <c r="AE1091" s="65"/>
      <c r="AG1091" s="65"/>
      <c r="AI1091" s="65"/>
      <c r="AK1091" s="65"/>
    </row>
    <row r="1092" spans="1:37" x14ac:dyDescent="0.25">
      <c r="A1092" s="2">
        <v>41438</v>
      </c>
      <c r="B1092" s="3">
        <v>2661.71</v>
      </c>
      <c r="C1092" s="2">
        <v>41453</v>
      </c>
      <c r="D1092" s="3">
        <v>15239.28</v>
      </c>
      <c r="E1092" s="2"/>
      <c r="F1092" s="3"/>
      <c r="G1092" s="2"/>
      <c r="H1092" s="3"/>
      <c r="I1092" s="65"/>
      <c r="K1092" s="65"/>
      <c r="M1092" s="65"/>
      <c r="O1092" s="65"/>
      <c r="Q1092" s="65"/>
      <c r="S1092" s="65"/>
      <c r="U1092" s="65"/>
      <c r="W1092" s="65"/>
      <c r="Y1092" s="65"/>
      <c r="AA1092" s="65"/>
      <c r="AC1092" s="65"/>
      <c r="AE1092" s="65"/>
      <c r="AG1092" s="65"/>
      <c r="AI1092" s="65"/>
      <c r="AK1092" s="65"/>
    </row>
    <row r="1093" spans="1:37" x14ac:dyDescent="0.25">
      <c r="A1093" s="2">
        <v>41439</v>
      </c>
      <c r="B1093" s="3">
        <v>2667.32</v>
      </c>
      <c r="C1093" s="2">
        <v>41456</v>
      </c>
      <c r="D1093" s="3">
        <v>15459.57</v>
      </c>
      <c r="E1093" s="2"/>
      <c r="F1093" s="3"/>
      <c r="G1093" s="2"/>
      <c r="H1093" s="3"/>
      <c r="I1093" s="65"/>
      <c r="K1093" s="65"/>
      <c r="M1093" s="65"/>
      <c r="O1093" s="65"/>
      <c r="Q1093" s="65"/>
      <c r="S1093" s="65"/>
      <c r="U1093" s="65"/>
      <c r="W1093" s="65"/>
      <c r="Y1093" s="65"/>
      <c r="AA1093" s="65"/>
      <c r="AC1093" s="65"/>
      <c r="AE1093" s="65"/>
      <c r="AG1093" s="65"/>
      <c r="AI1093" s="65"/>
      <c r="AK1093" s="65"/>
    </row>
    <row r="1094" spans="1:37" x14ac:dyDescent="0.25">
      <c r="A1094" s="2">
        <v>41442</v>
      </c>
      <c r="B1094" s="3">
        <v>2702.69</v>
      </c>
      <c r="C1094" s="2">
        <v>41457</v>
      </c>
      <c r="D1094" s="3">
        <v>15365.71</v>
      </c>
      <c r="E1094" s="2"/>
      <c r="F1094" s="3"/>
      <c r="G1094" s="2"/>
      <c r="H1094" s="3"/>
      <c r="I1094" s="65"/>
      <c r="K1094" s="65"/>
      <c r="M1094" s="65"/>
      <c r="O1094" s="65"/>
      <c r="Q1094" s="65"/>
      <c r="S1094" s="65"/>
      <c r="U1094" s="65"/>
      <c r="W1094" s="65"/>
      <c r="Y1094" s="65"/>
      <c r="AA1094" s="65"/>
      <c r="AC1094" s="65"/>
      <c r="AE1094" s="65"/>
      <c r="AG1094" s="65"/>
      <c r="AI1094" s="65"/>
      <c r="AK1094" s="65"/>
    </row>
    <row r="1095" spans="1:37" x14ac:dyDescent="0.25">
      <c r="A1095" s="2">
        <v>41443</v>
      </c>
      <c r="B1095" s="3">
        <v>2700.93</v>
      </c>
      <c r="C1095" s="2">
        <v>41458</v>
      </c>
      <c r="D1095" s="3">
        <v>15282.81</v>
      </c>
      <c r="E1095" s="2"/>
      <c r="F1095" s="3"/>
      <c r="G1095" s="2"/>
      <c r="H1095" s="3"/>
      <c r="I1095" s="65"/>
      <c r="K1095" s="65"/>
      <c r="M1095" s="65"/>
      <c r="O1095" s="65"/>
      <c r="Q1095" s="65"/>
      <c r="S1095" s="65"/>
      <c r="U1095" s="65"/>
      <c r="W1095" s="65"/>
      <c r="Y1095" s="65"/>
      <c r="AA1095" s="65"/>
      <c r="AC1095" s="65"/>
      <c r="AE1095" s="65"/>
      <c r="AG1095" s="65"/>
      <c r="AI1095" s="65"/>
      <c r="AK1095" s="65"/>
    </row>
    <row r="1096" spans="1:37" x14ac:dyDescent="0.25">
      <c r="A1096" s="2">
        <v>41444</v>
      </c>
      <c r="B1096" s="3">
        <v>2683.98</v>
      </c>
      <c r="C1096" s="2">
        <v>41459</v>
      </c>
      <c r="D1096" s="3">
        <v>15808.15</v>
      </c>
      <c r="E1096" s="2"/>
      <c r="F1096" s="3"/>
      <c r="G1096" s="2"/>
      <c r="H1096" s="3"/>
      <c r="I1096" s="65"/>
      <c r="K1096" s="65"/>
      <c r="M1096" s="65"/>
      <c r="O1096" s="65"/>
      <c r="Q1096" s="65"/>
      <c r="S1096" s="65"/>
      <c r="U1096" s="65"/>
      <c r="W1096" s="65"/>
      <c r="Y1096" s="65"/>
      <c r="AA1096" s="65"/>
      <c r="AC1096" s="65"/>
      <c r="AE1096" s="65"/>
      <c r="AG1096" s="65"/>
      <c r="AI1096" s="65"/>
      <c r="AK1096" s="65"/>
    </row>
    <row r="1097" spans="1:37" x14ac:dyDescent="0.25">
      <c r="A1097" s="2">
        <v>41445</v>
      </c>
      <c r="B1097" s="3">
        <v>2586.4499999999998</v>
      </c>
      <c r="C1097" s="2">
        <v>41460</v>
      </c>
      <c r="D1097" s="3">
        <v>15533.69</v>
      </c>
      <c r="E1097" s="2"/>
      <c r="F1097" s="3"/>
      <c r="G1097" s="2"/>
      <c r="H1097" s="3"/>
      <c r="I1097" s="65"/>
      <c r="K1097" s="65"/>
      <c r="M1097" s="65"/>
      <c r="O1097" s="65"/>
      <c r="Q1097" s="65"/>
      <c r="S1097" s="65"/>
      <c r="U1097" s="65"/>
      <c r="W1097" s="65"/>
      <c r="Y1097" s="65"/>
      <c r="AA1097" s="65"/>
      <c r="AC1097" s="65"/>
      <c r="AE1097" s="65"/>
      <c r="AG1097" s="65"/>
      <c r="AI1097" s="65"/>
      <c r="AK1097" s="65"/>
    </row>
    <row r="1098" spans="1:37" x14ac:dyDescent="0.25">
      <c r="A1098" s="2">
        <v>41446</v>
      </c>
      <c r="B1098" s="3">
        <v>2549.48</v>
      </c>
      <c r="C1098" s="2">
        <v>41463</v>
      </c>
      <c r="D1098" s="3">
        <v>15799.62</v>
      </c>
      <c r="E1098" s="2"/>
      <c r="F1098" s="3"/>
      <c r="G1098" s="2"/>
      <c r="H1098" s="3"/>
      <c r="I1098" s="65"/>
      <c r="K1098" s="65"/>
      <c r="M1098" s="65"/>
      <c r="O1098" s="65"/>
      <c r="Q1098" s="65"/>
      <c r="S1098" s="65"/>
      <c r="U1098" s="65"/>
      <c r="W1098" s="65"/>
      <c r="Y1098" s="65"/>
      <c r="AA1098" s="65"/>
      <c r="AC1098" s="65"/>
      <c r="AE1098" s="65"/>
      <c r="AG1098" s="65"/>
      <c r="AI1098" s="65"/>
      <c r="AK1098" s="65"/>
    </row>
    <row r="1099" spans="1:37" x14ac:dyDescent="0.25">
      <c r="A1099" s="2">
        <v>41449</v>
      </c>
      <c r="B1099" s="3">
        <v>2511.83</v>
      </c>
      <c r="C1099" s="2">
        <v>41464</v>
      </c>
      <c r="D1099" s="3">
        <v>15790.55</v>
      </c>
      <c r="E1099" s="2"/>
      <c r="F1099" s="3"/>
      <c r="G1099" s="2"/>
      <c r="H1099" s="3"/>
      <c r="I1099" s="65"/>
      <c r="K1099" s="65"/>
      <c r="M1099" s="65"/>
      <c r="O1099" s="65"/>
      <c r="Q1099" s="65"/>
      <c r="S1099" s="65"/>
      <c r="U1099" s="65"/>
      <c r="W1099" s="65"/>
      <c r="Y1099" s="65"/>
      <c r="AA1099" s="65"/>
      <c r="AC1099" s="65"/>
      <c r="AE1099" s="65"/>
      <c r="AG1099" s="65"/>
      <c r="AI1099" s="65"/>
      <c r="AK1099" s="65"/>
    </row>
    <row r="1100" spans="1:37" x14ac:dyDescent="0.25">
      <c r="A1100" s="2">
        <v>41450</v>
      </c>
      <c r="B1100" s="3">
        <v>2543.37</v>
      </c>
      <c r="C1100" s="2">
        <v>41465</v>
      </c>
      <c r="D1100" s="3">
        <v>15677.26</v>
      </c>
      <c r="E1100" s="2"/>
      <c r="F1100" s="3"/>
      <c r="G1100" s="2"/>
      <c r="H1100" s="3"/>
      <c r="I1100" s="65"/>
      <c r="K1100" s="65"/>
      <c r="M1100" s="65"/>
      <c r="O1100" s="65"/>
      <c r="Q1100" s="65"/>
      <c r="S1100" s="65"/>
      <c r="U1100" s="65"/>
      <c r="W1100" s="65"/>
      <c r="Y1100" s="65"/>
      <c r="AA1100" s="65"/>
      <c r="AC1100" s="65"/>
      <c r="AE1100" s="65"/>
      <c r="AG1100" s="65"/>
      <c r="AI1100" s="65"/>
      <c r="AK1100" s="65"/>
    </row>
    <row r="1101" spans="1:37" x14ac:dyDescent="0.25">
      <c r="A1101" s="2">
        <v>41451</v>
      </c>
      <c r="B1101" s="3">
        <v>2602.81</v>
      </c>
      <c r="C1101" s="2">
        <v>41466</v>
      </c>
      <c r="D1101" s="3">
        <v>15677.3</v>
      </c>
      <c r="E1101" s="2"/>
      <c r="F1101" s="3"/>
      <c r="G1101" s="2"/>
      <c r="H1101" s="3"/>
      <c r="I1101" s="65"/>
      <c r="K1101" s="65"/>
      <c r="M1101" s="65"/>
      <c r="O1101" s="65"/>
      <c r="Q1101" s="65"/>
      <c r="S1101" s="65"/>
      <c r="U1101" s="65"/>
      <c r="W1101" s="65"/>
      <c r="Y1101" s="65"/>
      <c r="AA1101" s="65"/>
      <c r="AC1101" s="65"/>
      <c r="AE1101" s="65"/>
      <c r="AG1101" s="65"/>
      <c r="AI1101" s="65"/>
      <c r="AK1101" s="65"/>
    </row>
    <row r="1102" spans="1:37" x14ac:dyDescent="0.25">
      <c r="A1102" s="2">
        <v>41452</v>
      </c>
      <c r="B1102" s="3">
        <v>2619.86</v>
      </c>
      <c r="C1102" s="2">
        <v>41467</v>
      </c>
      <c r="D1102" s="3">
        <v>15430.57</v>
      </c>
      <c r="E1102" s="2"/>
      <c r="F1102" s="3"/>
      <c r="G1102" s="2"/>
      <c r="H1102" s="3"/>
      <c r="I1102" s="65"/>
      <c r="K1102" s="65"/>
      <c r="M1102" s="65"/>
      <c r="O1102" s="65"/>
      <c r="Q1102" s="65"/>
      <c r="S1102" s="65"/>
      <c r="U1102" s="65"/>
      <c r="W1102" s="65"/>
      <c r="Y1102" s="65"/>
      <c r="AA1102" s="65"/>
      <c r="AC1102" s="65"/>
      <c r="AE1102" s="65"/>
      <c r="AG1102" s="65"/>
      <c r="AI1102" s="65"/>
      <c r="AK1102" s="65"/>
    </row>
    <row r="1103" spans="1:37" x14ac:dyDescent="0.25">
      <c r="A1103" s="2">
        <v>41453</v>
      </c>
      <c r="B1103" s="3">
        <v>2602.59</v>
      </c>
      <c r="C1103" s="2">
        <v>41470</v>
      </c>
      <c r="D1103" s="3">
        <v>15597.34</v>
      </c>
      <c r="E1103" s="2"/>
      <c r="F1103" s="3"/>
      <c r="G1103" s="2"/>
      <c r="H1103" s="3"/>
      <c r="I1103" s="65"/>
      <c r="K1103" s="65"/>
      <c r="M1103" s="65"/>
      <c r="O1103" s="65"/>
      <c r="Q1103" s="65"/>
      <c r="S1103" s="65"/>
      <c r="U1103" s="65"/>
      <c r="W1103" s="65"/>
      <c r="Y1103" s="65"/>
      <c r="AA1103" s="65"/>
      <c r="AC1103" s="65"/>
      <c r="AE1103" s="65"/>
      <c r="AG1103" s="65"/>
      <c r="AI1103" s="65"/>
      <c r="AK1103" s="65"/>
    </row>
    <row r="1104" spans="1:37" x14ac:dyDescent="0.25">
      <c r="A1104" s="2">
        <v>41456</v>
      </c>
      <c r="B1104" s="3">
        <v>2622.62</v>
      </c>
      <c r="C1104" s="2">
        <v>41471</v>
      </c>
      <c r="D1104" s="3">
        <v>15529.95</v>
      </c>
      <c r="E1104" s="2"/>
      <c r="F1104" s="3"/>
      <c r="G1104" s="2"/>
      <c r="H1104" s="3"/>
      <c r="I1104" s="65"/>
      <c r="K1104" s="65"/>
      <c r="M1104" s="65"/>
      <c r="O1104" s="65"/>
      <c r="Q1104" s="65"/>
      <c r="S1104" s="65"/>
      <c r="U1104" s="65"/>
      <c r="W1104" s="65"/>
      <c r="Y1104" s="65"/>
      <c r="AA1104" s="65"/>
      <c r="AC1104" s="65"/>
      <c r="AE1104" s="65"/>
      <c r="AG1104" s="65"/>
      <c r="AI1104" s="65"/>
      <c r="AK1104" s="65"/>
    </row>
    <row r="1105" spans="1:37" x14ac:dyDescent="0.25">
      <c r="A1105" s="2">
        <v>41457</v>
      </c>
      <c r="B1105" s="3">
        <v>2603.1999999999998</v>
      </c>
      <c r="C1105" s="2">
        <v>41472</v>
      </c>
      <c r="D1105" s="3">
        <v>15695.03</v>
      </c>
      <c r="E1105" s="2"/>
      <c r="F1105" s="3"/>
      <c r="G1105" s="2"/>
      <c r="H1105" s="3"/>
      <c r="I1105" s="65"/>
      <c r="K1105" s="65"/>
      <c r="M1105" s="65"/>
      <c r="O1105" s="65"/>
      <c r="Q1105" s="65"/>
      <c r="S1105" s="65"/>
      <c r="U1105" s="65"/>
      <c r="W1105" s="65"/>
      <c r="Y1105" s="65"/>
      <c r="AA1105" s="65"/>
      <c r="AC1105" s="65"/>
      <c r="AE1105" s="65"/>
      <c r="AG1105" s="65"/>
      <c r="AI1105" s="65"/>
      <c r="AK1105" s="65"/>
    </row>
    <row r="1106" spans="1:37" x14ac:dyDescent="0.25">
      <c r="A1106" s="2">
        <v>41458</v>
      </c>
      <c r="B1106" s="3">
        <v>2570.7600000000002</v>
      </c>
      <c r="C1106" s="2">
        <v>41473</v>
      </c>
      <c r="D1106" s="3">
        <v>16053.61</v>
      </c>
      <c r="E1106" s="2"/>
      <c r="F1106" s="3"/>
      <c r="G1106" s="2"/>
      <c r="H1106" s="3"/>
      <c r="I1106" s="65"/>
      <c r="K1106" s="65"/>
      <c r="M1106" s="65"/>
      <c r="O1106" s="65"/>
      <c r="Q1106" s="65"/>
      <c r="S1106" s="65"/>
      <c r="U1106" s="65"/>
      <c r="W1106" s="65"/>
      <c r="Y1106" s="65"/>
      <c r="AA1106" s="65"/>
      <c r="AC1106" s="65"/>
      <c r="AE1106" s="65"/>
      <c r="AG1106" s="65"/>
      <c r="AI1106" s="65"/>
      <c r="AK1106" s="65"/>
    </row>
    <row r="1107" spans="1:37" x14ac:dyDescent="0.25">
      <c r="A1107" s="2">
        <v>41459</v>
      </c>
      <c r="B1107" s="3">
        <v>2646.54</v>
      </c>
      <c r="C1107" s="2">
        <v>41474</v>
      </c>
      <c r="D1107" s="3">
        <v>16124.36</v>
      </c>
      <c r="E1107" s="2"/>
      <c r="F1107" s="3"/>
      <c r="G1107" s="2"/>
      <c r="H1107" s="3"/>
      <c r="I1107" s="65"/>
      <c r="K1107" s="65"/>
      <c r="M1107" s="65"/>
      <c r="O1107" s="65"/>
      <c r="Q1107" s="65"/>
      <c r="S1107" s="65"/>
      <c r="U1107" s="65"/>
      <c r="W1107" s="65"/>
      <c r="Y1107" s="65"/>
      <c r="AA1107" s="65"/>
      <c r="AC1107" s="65"/>
      <c r="AE1107" s="65"/>
      <c r="AG1107" s="65"/>
      <c r="AI1107" s="65"/>
      <c r="AK1107" s="65"/>
    </row>
    <row r="1108" spans="1:37" x14ac:dyDescent="0.25">
      <c r="A1108" s="2">
        <v>41460</v>
      </c>
      <c r="B1108" s="3">
        <v>2596.0100000000002</v>
      </c>
      <c r="C1108" s="2">
        <v>41477</v>
      </c>
      <c r="D1108" s="3">
        <v>16233.55</v>
      </c>
      <c r="E1108" s="2"/>
      <c r="F1108" s="3"/>
      <c r="G1108" s="2"/>
      <c r="H1108" s="3"/>
      <c r="I1108" s="65"/>
      <c r="K1108" s="65"/>
      <c r="M1108" s="65"/>
      <c r="O1108" s="65"/>
      <c r="Q1108" s="65"/>
      <c r="S1108" s="65"/>
      <c r="U1108" s="65"/>
      <c r="W1108" s="65"/>
      <c r="Y1108" s="65"/>
      <c r="AA1108" s="65"/>
      <c r="AC1108" s="65"/>
      <c r="AE1108" s="65"/>
      <c r="AG1108" s="65"/>
      <c r="AI1108" s="65"/>
      <c r="AK1108" s="65"/>
    </row>
    <row r="1109" spans="1:37" x14ac:dyDescent="0.25">
      <c r="A1109" s="2">
        <v>41463</v>
      </c>
      <c r="B1109" s="3">
        <v>2650.85</v>
      </c>
      <c r="C1109" s="2">
        <v>41478</v>
      </c>
      <c r="D1109" s="3">
        <v>16238.58</v>
      </c>
      <c r="E1109" s="2"/>
      <c r="F1109" s="3"/>
      <c r="G1109" s="2"/>
      <c r="H1109" s="3"/>
      <c r="I1109" s="65"/>
      <c r="K1109" s="65"/>
      <c r="M1109" s="65"/>
      <c r="O1109" s="65"/>
      <c r="Q1109" s="65"/>
      <c r="S1109" s="65"/>
      <c r="U1109" s="65"/>
      <c r="W1109" s="65"/>
      <c r="Y1109" s="65"/>
      <c r="AA1109" s="65"/>
      <c r="AC1109" s="65"/>
      <c r="AE1109" s="65"/>
      <c r="AG1109" s="65"/>
      <c r="AI1109" s="65"/>
      <c r="AK1109" s="65"/>
    </row>
    <row r="1110" spans="1:37" x14ac:dyDescent="0.25">
      <c r="A1110" s="2">
        <v>41464</v>
      </c>
      <c r="B1110" s="3">
        <v>2664.14</v>
      </c>
      <c r="C1110" s="2">
        <v>41479</v>
      </c>
      <c r="D1110" s="3">
        <v>16442.71</v>
      </c>
      <c r="E1110" s="2"/>
      <c r="F1110" s="3"/>
      <c r="G1110" s="2"/>
      <c r="H1110" s="3"/>
      <c r="I1110" s="65"/>
      <c r="K1110" s="65"/>
      <c r="M1110" s="65"/>
      <c r="O1110" s="65"/>
      <c r="Q1110" s="65"/>
      <c r="S1110" s="65"/>
      <c r="U1110" s="65"/>
      <c r="W1110" s="65"/>
      <c r="Y1110" s="65"/>
      <c r="AA1110" s="65"/>
      <c r="AC1110" s="65"/>
      <c r="AE1110" s="65"/>
      <c r="AG1110" s="65"/>
      <c r="AI1110" s="65"/>
      <c r="AK1110" s="65"/>
    </row>
    <row r="1111" spans="1:37" x14ac:dyDescent="0.25">
      <c r="A1111" s="2">
        <v>41465</v>
      </c>
      <c r="B1111" s="3">
        <v>2659.71</v>
      </c>
      <c r="C1111" s="2">
        <v>41480</v>
      </c>
      <c r="D1111" s="3">
        <v>16431.97</v>
      </c>
      <c r="E1111" s="2"/>
      <c r="F1111" s="3"/>
      <c r="G1111" s="2"/>
      <c r="H1111" s="3"/>
      <c r="I1111" s="65"/>
      <c r="K1111" s="65"/>
      <c r="M1111" s="65"/>
      <c r="O1111" s="65"/>
      <c r="Q1111" s="65"/>
      <c r="S1111" s="65"/>
      <c r="U1111" s="65"/>
      <c r="W1111" s="65"/>
      <c r="Y1111" s="65"/>
      <c r="AA1111" s="65"/>
      <c r="AC1111" s="65"/>
      <c r="AE1111" s="65"/>
      <c r="AG1111" s="65"/>
      <c r="AI1111" s="65"/>
      <c r="AK1111" s="65"/>
    </row>
    <row r="1112" spans="1:37" x14ac:dyDescent="0.25">
      <c r="A1112" s="2">
        <v>41466</v>
      </c>
      <c r="B1112" s="3">
        <v>2681.32</v>
      </c>
      <c r="C1112" s="2">
        <v>41481</v>
      </c>
      <c r="D1112" s="3">
        <v>16421.509999999998</v>
      </c>
      <c r="E1112" s="2"/>
      <c r="F1112" s="3"/>
      <c r="G1112" s="2"/>
      <c r="H1112" s="3"/>
      <c r="I1112" s="65"/>
      <c r="K1112" s="65"/>
      <c r="M1112" s="65"/>
      <c r="O1112" s="65"/>
      <c r="Q1112" s="65"/>
      <c r="S1112" s="65"/>
      <c r="U1112" s="65"/>
      <c r="W1112" s="65"/>
      <c r="Y1112" s="65"/>
      <c r="AA1112" s="65"/>
      <c r="AC1112" s="65"/>
      <c r="AE1112" s="65"/>
      <c r="AG1112" s="65"/>
      <c r="AI1112" s="65"/>
      <c r="AK1112" s="65"/>
    </row>
    <row r="1113" spans="1:37" x14ac:dyDescent="0.25">
      <c r="A1113" s="2">
        <v>41467</v>
      </c>
      <c r="B1113" s="3">
        <v>2674.87</v>
      </c>
      <c r="C1113" s="2">
        <v>41484</v>
      </c>
      <c r="D1113" s="3">
        <v>16275.71</v>
      </c>
      <c r="E1113" s="2"/>
      <c r="F1113" s="3"/>
      <c r="G1113" s="2"/>
      <c r="H1113" s="3"/>
      <c r="I1113" s="65"/>
      <c r="K1113" s="65"/>
      <c r="M1113" s="65"/>
      <c r="O1113" s="65"/>
      <c r="Q1113" s="65"/>
      <c r="S1113" s="65"/>
      <c r="U1113" s="65"/>
      <c r="W1113" s="65"/>
      <c r="Y1113" s="65"/>
      <c r="AA1113" s="65"/>
      <c r="AC1113" s="65"/>
      <c r="AE1113" s="65"/>
      <c r="AG1113" s="65"/>
      <c r="AI1113" s="65"/>
      <c r="AK1113" s="65"/>
    </row>
    <row r="1114" spans="1:37" x14ac:dyDescent="0.25">
      <c r="A1114" s="2">
        <v>41470</v>
      </c>
      <c r="B1114" s="3">
        <v>2686.69</v>
      </c>
      <c r="C1114" s="2">
        <v>41485</v>
      </c>
      <c r="D1114" s="3">
        <v>16542.900000000001</v>
      </c>
      <c r="E1114" s="2"/>
      <c r="F1114" s="3"/>
      <c r="G1114" s="2"/>
      <c r="H1114" s="3"/>
      <c r="I1114" s="65"/>
      <c r="K1114" s="65"/>
      <c r="M1114" s="65"/>
      <c r="O1114" s="65"/>
      <c r="Q1114" s="65"/>
      <c r="S1114" s="65"/>
      <c r="U1114" s="65"/>
      <c r="W1114" s="65"/>
      <c r="Y1114" s="65"/>
      <c r="AA1114" s="65"/>
      <c r="AC1114" s="65"/>
      <c r="AE1114" s="65"/>
      <c r="AG1114" s="65"/>
      <c r="AI1114" s="65"/>
      <c r="AK1114" s="65"/>
    </row>
    <row r="1115" spans="1:37" x14ac:dyDescent="0.25">
      <c r="A1115" s="2">
        <v>41471</v>
      </c>
      <c r="B1115" s="3">
        <v>2665.61</v>
      </c>
      <c r="C1115" s="2">
        <v>41486</v>
      </c>
      <c r="D1115" s="3">
        <v>16482.349999999999</v>
      </c>
      <c r="E1115" s="2"/>
      <c r="F1115" s="3"/>
      <c r="G1115" s="2"/>
      <c r="H1115" s="3"/>
      <c r="I1115" s="65"/>
      <c r="K1115" s="65"/>
      <c r="M1115" s="65"/>
      <c r="O1115" s="65"/>
      <c r="Q1115" s="65"/>
      <c r="S1115" s="65"/>
      <c r="U1115" s="65"/>
      <c r="W1115" s="65"/>
      <c r="Y1115" s="65"/>
      <c r="AA1115" s="65"/>
      <c r="AC1115" s="65"/>
      <c r="AE1115" s="65"/>
      <c r="AG1115" s="65"/>
      <c r="AI1115" s="65"/>
      <c r="AK1115" s="65"/>
    </row>
    <row r="1116" spans="1:37" x14ac:dyDescent="0.25">
      <c r="A1116" s="2">
        <v>41472</v>
      </c>
      <c r="B1116" s="3">
        <v>2681.88</v>
      </c>
      <c r="C1116" s="2">
        <v>41487</v>
      </c>
      <c r="D1116" s="3">
        <v>16818.97</v>
      </c>
      <c r="E1116" s="2"/>
      <c r="F1116" s="3"/>
      <c r="G1116" s="2"/>
      <c r="H1116" s="3"/>
      <c r="I1116" s="65"/>
      <c r="K1116" s="65"/>
      <c r="M1116" s="65"/>
      <c r="O1116" s="65"/>
      <c r="Q1116" s="65"/>
      <c r="S1116" s="65"/>
      <c r="U1116" s="65"/>
      <c r="W1116" s="65"/>
      <c r="Y1116" s="65"/>
      <c r="AA1116" s="65"/>
      <c r="AC1116" s="65"/>
      <c r="AE1116" s="65"/>
      <c r="AG1116" s="65"/>
      <c r="AI1116" s="65"/>
      <c r="AK1116" s="65"/>
    </row>
    <row r="1117" spans="1:37" x14ac:dyDescent="0.25">
      <c r="A1117" s="2">
        <v>41473</v>
      </c>
      <c r="B1117" s="3">
        <v>2717.99</v>
      </c>
      <c r="C1117" s="2">
        <v>41488</v>
      </c>
      <c r="D1117" s="3">
        <v>16779.189999999999</v>
      </c>
      <c r="E1117" s="2"/>
      <c r="F1117" s="3"/>
      <c r="G1117" s="2"/>
      <c r="H1117" s="3"/>
      <c r="I1117" s="65"/>
      <c r="K1117" s="65"/>
      <c r="M1117" s="65"/>
      <c r="O1117" s="65"/>
      <c r="Q1117" s="65"/>
      <c r="S1117" s="65"/>
      <c r="U1117" s="65"/>
      <c r="W1117" s="65"/>
      <c r="Y1117" s="65"/>
      <c r="AA1117" s="65"/>
      <c r="AC1117" s="65"/>
      <c r="AE1117" s="65"/>
      <c r="AG1117" s="65"/>
      <c r="AI1117" s="65"/>
      <c r="AK1117" s="65"/>
    </row>
    <row r="1118" spans="1:37" x14ac:dyDescent="0.25">
      <c r="A1118" s="2">
        <v>41474</v>
      </c>
      <c r="B1118" s="3">
        <v>2716.17</v>
      </c>
      <c r="C1118" s="2">
        <v>41491</v>
      </c>
      <c r="D1118" s="3">
        <v>16757.240000000002</v>
      </c>
      <c r="E1118" s="2"/>
      <c r="F1118" s="3"/>
      <c r="G1118" s="2"/>
      <c r="H1118" s="3"/>
      <c r="I1118" s="65"/>
      <c r="K1118" s="65"/>
      <c r="M1118" s="65"/>
      <c r="O1118" s="65"/>
      <c r="Q1118" s="65"/>
      <c r="S1118" s="65"/>
      <c r="U1118" s="65"/>
      <c r="W1118" s="65"/>
      <c r="Y1118" s="65"/>
      <c r="AA1118" s="65"/>
      <c r="AC1118" s="65"/>
      <c r="AE1118" s="65"/>
      <c r="AG1118" s="65"/>
      <c r="AI1118" s="65"/>
      <c r="AK1118" s="65"/>
    </row>
    <row r="1119" spans="1:37" x14ac:dyDescent="0.25">
      <c r="A1119" s="2">
        <v>41477</v>
      </c>
      <c r="B1119" s="3">
        <v>2725.4</v>
      </c>
      <c r="C1119" s="2">
        <v>41492</v>
      </c>
      <c r="D1119" s="3">
        <v>16683.169999999998</v>
      </c>
      <c r="E1119" s="2"/>
      <c r="F1119" s="3"/>
      <c r="G1119" s="2"/>
      <c r="H1119" s="3"/>
      <c r="I1119" s="65"/>
      <c r="K1119" s="65"/>
      <c r="M1119" s="65"/>
      <c r="O1119" s="65"/>
      <c r="Q1119" s="65"/>
      <c r="S1119" s="65"/>
      <c r="U1119" s="65"/>
      <c r="W1119" s="65"/>
      <c r="Y1119" s="65"/>
      <c r="AA1119" s="65"/>
      <c r="AC1119" s="65"/>
      <c r="AE1119" s="65"/>
      <c r="AG1119" s="65"/>
      <c r="AI1119" s="65"/>
      <c r="AK1119" s="65"/>
    </row>
    <row r="1120" spans="1:37" x14ac:dyDescent="0.25">
      <c r="A1120" s="2">
        <v>41478</v>
      </c>
      <c r="B1120" s="3">
        <v>2722.9</v>
      </c>
      <c r="C1120" s="2">
        <v>41493</v>
      </c>
      <c r="D1120" s="3">
        <v>16838.189999999999</v>
      </c>
      <c r="E1120" s="2"/>
      <c r="F1120" s="3"/>
      <c r="G1120" s="2"/>
      <c r="H1120" s="3"/>
      <c r="I1120" s="65"/>
      <c r="K1120" s="65"/>
      <c r="M1120" s="65"/>
      <c r="O1120" s="65"/>
      <c r="Q1120" s="65"/>
      <c r="S1120" s="65"/>
      <c r="U1120" s="65"/>
      <c r="W1120" s="65"/>
      <c r="Y1120" s="65"/>
      <c r="AA1120" s="65"/>
      <c r="AC1120" s="65"/>
      <c r="AE1120" s="65"/>
      <c r="AG1120" s="65"/>
      <c r="AI1120" s="65"/>
      <c r="AK1120" s="65"/>
    </row>
    <row r="1121" spans="1:37" x14ac:dyDescent="0.25">
      <c r="A1121" s="2">
        <v>41479</v>
      </c>
      <c r="B1121" s="3">
        <v>2752.25</v>
      </c>
      <c r="C1121" s="2">
        <v>41494</v>
      </c>
      <c r="D1121" s="3">
        <v>17146.5</v>
      </c>
      <c r="E1121" s="2"/>
      <c r="F1121" s="3"/>
      <c r="G1121" s="2"/>
      <c r="H1121" s="3"/>
      <c r="I1121" s="65"/>
      <c r="K1121" s="65"/>
      <c r="M1121" s="65"/>
      <c r="O1121" s="65"/>
      <c r="Q1121" s="65"/>
      <c r="S1121" s="65"/>
      <c r="U1121" s="65"/>
      <c r="W1121" s="65"/>
      <c r="Y1121" s="65"/>
      <c r="AA1121" s="65"/>
      <c r="AC1121" s="65"/>
      <c r="AE1121" s="65"/>
      <c r="AG1121" s="65"/>
      <c r="AI1121" s="65"/>
      <c r="AK1121" s="65"/>
    </row>
    <row r="1122" spans="1:37" x14ac:dyDescent="0.25">
      <c r="A1122" s="2">
        <v>41480</v>
      </c>
      <c r="B1122" s="3">
        <v>2740.29</v>
      </c>
      <c r="C1122" s="2">
        <v>41495</v>
      </c>
      <c r="D1122" s="3">
        <v>17186.560000000001</v>
      </c>
      <c r="E1122" s="2"/>
      <c r="F1122" s="3"/>
      <c r="G1122" s="2"/>
      <c r="H1122" s="3"/>
      <c r="I1122" s="65"/>
      <c r="K1122" s="65"/>
      <c r="M1122" s="65"/>
      <c r="O1122" s="65"/>
      <c r="Q1122" s="65"/>
      <c r="S1122" s="65"/>
      <c r="U1122" s="65"/>
      <c r="W1122" s="65"/>
      <c r="Y1122" s="65"/>
      <c r="AA1122" s="65"/>
      <c r="AC1122" s="65"/>
      <c r="AE1122" s="65"/>
      <c r="AG1122" s="65"/>
      <c r="AI1122" s="65"/>
      <c r="AK1122" s="65"/>
    </row>
    <row r="1123" spans="1:37" x14ac:dyDescent="0.25">
      <c r="A1123" s="2">
        <v>41481</v>
      </c>
      <c r="B1123" s="3">
        <v>2741.96</v>
      </c>
      <c r="C1123" s="2">
        <v>41498</v>
      </c>
      <c r="D1123" s="3">
        <v>17262.86</v>
      </c>
      <c r="E1123" s="2"/>
      <c r="F1123" s="3"/>
      <c r="G1123" s="2"/>
      <c r="H1123" s="3"/>
      <c r="I1123" s="65"/>
      <c r="K1123" s="65"/>
      <c r="M1123" s="65"/>
      <c r="O1123" s="65"/>
      <c r="Q1123" s="65"/>
      <c r="S1123" s="65"/>
      <c r="U1123" s="65"/>
      <c r="W1123" s="65"/>
      <c r="Y1123" s="65"/>
      <c r="AA1123" s="65"/>
      <c r="AC1123" s="65"/>
      <c r="AE1123" s="65"/>
      <c r="AG1123" s="65"/>
      <c r="AI1123" s="65"/>
      <c r="AK1123" s="65"/>
    </row>
    <row r="1124" spans="1:37" x14ac:dyDescent="0.25">
      <c r="A1124" s="2">
        <v>41484</v>
      </c>
      <c r="B1124" s="3">
        <v>2741.73</v>
      </c>
      <c r="C1124" s="2">
        <v>41499</v>
      </c>
      <c r="D1124" s="3">
        <v>17380.07</v>
      </c>
      <c r="E1124" s="2"/>
      <c r="F1124" s="3"/>
      <c r="G1124" s="2"/>
      <c r="H1124" s="3"/>
      <c r="I1124" s="65"/>
      <c r="K1124" s="65"/>
      <c r="M1124" s="65"/>
      <c r="O1124" s="65"/>
      <c r="Q1124" s="65"/>
      <c r="S1124" s="65"/>
      <c r="U1124" s="65"/>
      <c r="W1124" s="65"/>
      <c r="Y1124" s="65"/>
      <c r="AA1124" s="65"/>
      <c r="AC1124" s="65"/>
      <c r="AE1124" s="65"/>
      <c r="AG1124" s="65"/>
      <c r="AI1124" s="65"/>
      <c r="AK1124" s="65"/>
    </row>
    <row r="1125" spans="1:37" x14ac:dyDescent="0.25">
      <c r="A1125" s="2">
        <v>41485</v>
      </c>
      <c r="B1125" s="3">
        <v>2759.21</v>
      </c>
      <c r="C1125" s="2">
        <v>41500</v>
      </c>
      <c r="D1125" s="3">
        <v>17463.46</v>
      </c>
      <c r="E1125" s="2"/>
      <c r="F1125" s="3"/>
      <c r="G1125" s="2"/>
      <c r="H1125" s="3"/>
      <c r="I1125" s="65"/>
      <c r="K1125" s="65"/>
      <c r="M1125" s="65"/>
      <c r="O1125" s="65"/>
      <c r="Q1125" s="65"/>
      <c r="S1125" s="65"/>
      <c r="U1125" s="65"/>
      <c r="W1125" s="65"/>
      <c r="Y1125" s="65"/>
      <c r="AA1125" s="65"/>
      <c r="AC1125" s="65"/>
      <c r="AE1125" s="65"/>
      <c r="AG1125" s="65"/>
      <c r="AI1125" s="65"/>
      <c r="AK1125" s="65"/>
    </row>
    <row r="1126" spans="1:37" x14ac:dyDescent="0.25">
      <c r="A1126" s="2">
        <v>41486</v>
      </c>
      <c r="B1126" s="3">
        <v>2768.15</v>
      </c>
      <c r="C1126" s="2">
        <v>41502</v>
      </c>
      <c r="D1126" s="3">
        <v>17677.77</v>
      </c>
      <c r="E1126" s="2"/>
      <c r="F1126" s="3"/>
      <c r="G1126" s="2"/>
      <c r="H1126" s="3"/>
      <c r="I1126" s="65"/>
      <c r="K1126" s="65"/>
      <c r="M1126" s="65"/>
      <c r="O1126" s="65"/>
      <c r="Q1126" s="65"/>
      <c r="S1126" s="65"/>
      <c r="U1126" s="65"/>
      <c r="W1126" s="65"/>
      <c r="Y1126" s="65"/>
      <c r="AA1126" s="65"/>
      <c r="AC1126" s="65"/>
      <c r="AE1126" s="65"/>
      <c r="AG1126" s="65"/>
      <c r="AI1126" s="65"/>
      <c r="AK1126" s="65"/>
    </row>
    <row r="1127" spans="1:37" x14ac:dyDescent="0.25">
      <c r="A1127" s="2">
        <v>41487</v>
      </c>
      <c r="B1127" s="3">
        <v>2808.64</v>
      </c>
      <c r="C1127" s="2">
        <v>41505</v>
      </c>
      <c r="D1127" s="3">
        <v>17243.25</v>
      </c>
      <c r="E1127" s="2"/>
      <c r="F1127" s="3"/>
      <c r="G1127" s="2"/>
      <c r="H1127" s="3"/>
      <c r="I1127" s="65"/>
      <c r="K1127" s="65"/>
      <c r="M1127" s="65"/>
      <c r="O1127" s="65"/>
      <c r="Q1127" s="65"/>
      <c r="S1127" s="65"/>
      <c r="U1127" s="65"/>
      <c r="W1127" s="65"/>
      <c r="Y1127" s="65"/>
      <c r="AA1127" s="65"/>
      <c r="AC1127" s="65"/>
      <c r="AE1127" s="65"/>
      <c r="AG1127" s="65"/>
      <c r="AI1127" s="65"/>
      <c r="AK1127" s="65"/>
    </row>
    <row r="1128" spans="1:37" x14ac:dyDescent="0.25">
      <c r="A1128" s="2">
        <v>41488</v>
      </c>
      <c r="B1128" s="3">
        <v>2811</v>
      </c>
      <c r="C1128" s="2">
        <v>41506</v>
      </c>
      <c r="D1128" s="3">
        <v>16999.55</v>
      </c>
      <c r="E1128" s="2"/>
      <c r="F1128" s="3"/>
      <c r="G1128" s="2"/>
      <c r="H1128" s="3"/>
      <c r="I1128" s="65"/>
      <c r="K1128" s="65"/>
      <c r="M1128" s="65"/>
      <c r="O1128" s="65"/>
      <c r="Q1128" s="65"/>
      <c r="S1128" s="65"/>
      <c r="U1128" s="65"/>
      <c r="W1128" s="65"/>
      <c r="Y1128" s="65"/>
      <c r="AA1128" s="65"/>
      <c r="AC1128" s="65"/>
      <c r="AE1128" s="65"/>
      <c r="AG1128" s="65"/>
      <c r="AI1128" s="65"/>
      <c r="AK1128" s="65"/>
    </row>
    <row r="1129" spans="1:37" x14ac:dyDescent="0.25">
      <c r="A1129" s="2">
        <v>41491</v>
      </c>
      <c r="B1129" s="3">
        <v>2809.08</v>
      </c>
      <c r="C1129" s="2">
        <v>41507</v>
      </c>
      <c r="D1129" s="3">
        <v>16877.93</v>
      </c>
      <c r="E1129" s="2"/>
      <c r="F1129" s="3"/>
      <c r="G1129" s="2"/>
      <c r="H1129" s="3"/>
      <c r="I1129" s="65"/>
      <c r="K1129" s="65"/>
      <c r="M1129" s="65"/>
      <c r="O1129" s="65"/>
      <c r="Q1129" s="65"/>
      <c r="S1129" s="65"/>
      <c r="U1129" s="65"/>
      <c r="W1129" s="65"/>
      <c r="Y1129" s="65"/>
      <c r="AA1129" s="65"/>
      <c r="AC1129" s="65"/>
      <c r="AE1129" s="65"/>
      <c r="AG1129" s="65"/>
      <c r="AI1129" s="65"/>
      <c r="AK1129" s="65"/>
    </row>
    <row r="1130" spans="1:37" x14ac:dyDescent="0.25">
      <c r="A1130" s="2">
        <v>41492</v>
      </c>
      <c r="B1130" s="3">
        <v>2790.78</v>
      </c>
      <c r="C1130" s="2">
        <v>41508</v>
      </c>
      <c r="D1130" s="3">
        <v>17309.84</v>
      </c>
      <c r="E1130" s="2"/>
      <c r="F1130" s="3"/>
      <c r="G1130" s="2"/>
      <c r="H1130" s="3"/>
      <c r="I1130" s="65"/>
      <c r="K1130" s="65"/>
      <c r="M1130" s="65"/>
      <c r="O1130" s="65"/>
      <c r="Q1130" s="65"/>
      <c r="S1130" s="65"/>
      <c r="U1130" s="65"/>
      <c r="W1130" s="65"/>
      <c r="Y1130" s="65"/>
      <c r="AA1130" s="65"/>
      <c r="AC1130" s="65"/>
      <c r="AE1130" s="65"/>
      <c r="AG1130" s="65"/>
      <c r="AI1130" s="65"/>
      <c r="AK1130" s="65"/>
    </row>
    <row r="1131" spans="1:37" x14ac:dyDescent="0.25">
      <c r="A1131" s="2">
        <v>41493</v>
      </c>
      <c r="B1131" s="3">
        <v>2794.44</v>
      </c>
      <c r="C1131" s="2">
        <v>41509</v>
      </c>
      <c r="D1131" s="3">
        <v>17342.25</v>
      </c>
      <c r="E1131" s="2"/>
      <c r="F1131" s="3"/>
      <c r="G1131" s="2"/>
      <c r="H1131" s="3"/>
      <c r="I1131" s="65"/>
      <c r="K1131" s="65"/>
      <c r="M1131" s="65"/>
      <c r="O1131" s="65"/>
      <c r="Q1131" s="65"/>
      <c r="S1131" s="65"/>
      <c r="U1131" s="65"/>
      <c r="W1131" s="65"/>
      <c r="Y1131" s="65"/>
      <c r="AA1131" s="65"/>
      <c r="AC1131" s="65"/>
      <c r="AE1131" s="65"/>
      <c r="AG1131" s="65"/>
      <c r="AI1131" s="65"/>
      <c r="AK1131" s="65"/>
    </row>
    <row r="1132" spans="1:37" x14ac:dyDescent="0.25">
      <c r="A1132" s="2">
        <v>41494</v>
      </c>
      <c r="B1132" s="3">
        <v>2816.88</v>
      </c>
      <c r="C1132" s="2">
        <v>41512</v>
      </c>
      <c r="D1132" s="3">
        <v>16977.759999999998</v>
      </c>
      <c r="E1132" s="2"/>
      <c r="F1132" s="3"/>
      <c r="G1132" s="2"/>
      <c r="H1132" s="3"/>
      <c r="I1132" s="65"/>
      <c r="K1132" s="65"/>
      <c r="M1132" s="65"/>
      <c r="O1132" s="65"/>
      <c r="Q1132" s="65"/>
      <c r="S1132" s="65"/>
      <c r="U1132" s="65"/>
      <c r="W1132" s="65"/>
      <c r="Y1132" s="65"/>
      <c r="AA1132" s="65"/>
      <c r="AC1132" s="65"/>
      <c r="AE1132" s="65"/>
      <c r="AG1132" s="65"/>
      <c r="AI1132" s="65"/>
      <c r="AK1132" s="65"/>
    </row>
    <row r="1133" spans="1:37" x14ac:dyDescent="0.25">
      <c r="A1133" s="2">
        <v>41495</v>
      </c>
      <c r="B1133" s="3">
        <v>2825.62</v>
      </c>
      <c r="C1133" s="2">
        <v>41513</v>
      </c>
      <c r="D1133" s="3">
        <v>16579.8</v>
      </c>
      <c r="E1133" s="2"/>
      <c r="F1133" s="3"/>
      <c r="G1133" s="2"/>
      <c r="H1133" s="3"/>
      <c r="I1133" s="65"/>
      <c r="K1133" s="65"/>
      <c r="M1133" s="65"/>
      <c r="O1133" s="65"/>
      <c r="Q1133" s="65"/>
      <c r="S1133" s="65"/>
      <c r="U1133" s="65"/>
      <c r="W1133" s="65"/>
      <c r="Y1133" s="65"/>
      <c r="AA1133" s="65"/>
      <c r="AC1133" s="65"/>
      <c r="AE1133" s="65"/>
      <c r="AG1133" s="65"/>
      <c r="AI1133" s="65"/>
      <c r="AK1133" s="65"/>
    </row>
    <row r="1134" spans="1:37" x14ac:dyDescent="0.25">
      <c r="A1134" s="2">
        <v>41498</v>
      </c>
      <c r="B1134" s="3">
        <v>2827.15</v>
      </c>
      <c r="C1134" s="2">
        <v>41514</v>
      </c>
      <c r="D1134" s="3">
        <v>16743.09</v>
      </c>
      <c r="E1134" s="2"/>
      <c r="F1134" s="3"/>
      <c r="G1134" s="2"/>
      <c r="H1134" s="3"/>
      <c r="I1134" s="65"/>
      <c r="K1134" s="65"/>
      <c r="M1134" s="65"/>
      <c r="O1134" s="65"/>
      <c r="Q1134" s="65"/>
      <c r="S1134" s="65"/>
      <c r="U1134" s="65"/>
      <c r="W1134" s="65"/>
      <c r="Y1134" s="65"/>
      <c r="AA1134" s="65"/>
      <c r="AC1134" s="65"/>
      <c r="AE1134" s="65"/>
      <c r="AG1134" s="65"/>
      <c r="AI1134" s="65"/>
      <c r="AK1134" s="65"/>
    </row>
    <row r="1135" spans="1:37" x14ac:dyDescent="0.25">
      <c r="A1135" s="2">
        <v>41499</v>
      </c>
      <c r="B1135" s="3">
        <v>2841.61</v>
      </c>
      <c r="C1135" s="2">
        <v>41515</v>
      </c>
      <c r="D1135" s="3">
        <v>16905.150000000001</v>
      </c>
      <c r="E1135" s="2"/>
      <c r="F1135" s="3"/>
      <c r="G1135" s="2"/>
      <c r="H1135" s="3"/>
      <c r="I1135" s="65"/>
      <c r="K1135" s="65"/>
      <c r="M1135" s="65"/>
      <c r="O1135" s="65"/>
      <c r="Q1135" s="65"/>
      <c r="S1135" s="65"/>
      <c r="U1135" s="65"/>
      <c r="W1135" s="65"/>
      <c r="Y1135" s="65"/>
      <c r="AA1135" s="65"/>
      <c r="AC1135" s="65"/>
      <c r="AE1135" s="65"/>
      <c r="AG1135" s="65"/>
      <c r="AI1135" s="65"/>
      <c r="AK1135" s="65"/>
    </row>
    <row r="1136" spans="1:37" x14ac:dyDescent="0.25">
      <c r="A1136" s="2">
        <v>41500</v>
      </c>
      <c r="B1136" s="3">
        <v>2852.08</v>
      </c>
      <c r="C1136" s="2">
        <v>41516</v>
      </c>
      <c r="D1136" s="3">
        <v>16682.21</v>
      </c>
      <c r="E1136" s="2"/>
      <c r="F1136" s="3"/>
      <c r="G1136" s="2"/>
      <c r="H1136" s="3"/>
      <c r="I1136" s="65"/>
      <c r="K1136" s="65"/>
      <c r="M1136" s="65"/>
      <c r="O1136" s="65"/>
      <c r="Q1136" s="65"/>
      <c r="S1136" s="65"/>
      <c r="U1136" s="65"/>
      <c r="W1136" s="65"/>
      <c r="Y1136" s="65"/>
      <c r="AA1136" s="65"/>
      <c r="AC1136" s="65"/>
      <c r="AE1136" s="65"/>
      <c r="AG1136" s="65"/>
      <c r="AI1136" s="65"/>
      <c r="AK1136" s="65"/>
    </row>
    <row r="1137" spans="1:37" x14ac:dyDescent="0.25">
      <c r="A1137" s="2">
        <v>41501</v>
      </c>
      <c r="B1137" s="3">
        <v>2835.86</v>
      </c>
      <c r="C1137" s="2">
        <v>41519</v>
      </c>
      <c r="D1137" s="3">
        <v>16988.57</v>
      </c>
      <c r="E1137" s="2"/>
      <c r="F1137" s="3"/>
      <c r="G1137" s="2"/>
      <c r="H1137" s="3"/>
      <c r="I1137" s="65"/>
      <c r="K1137" s="65"/>
      <c r="M1137" s="65"/>
      <c r="O1137" s="65"/>
      <c r="Q1137" s="65"/>
      <c r="S1137" s="65"/>
      <c r="U1137" s="65"/>
      <c r="W1137" s="65"/>
      <c r="Y1137" s="65"/>
      <c r="AA1137" s="65"/>
      <c r="AC1137" s="65"/>
      <c r="AE1137" s="65"/>
      <c r="AG1137" s="65"/>
      <c r="AI1137" s="65"/>
      <c r="AK1137" s="65"/>
    </row>
    <row r="1138" spans="1:37" x14ac:dyDescent="0.25">
      <c r="A1138" s="2">
        <v>41502</v>
      </c>
      <c r="B1138" s="3">
        <v>2854.27</v>
      </c>
      <c r="C1138" s="2">
        <v>41520</v>
      </c>
      <c r="D1138" s="3">
        <v>16941.03</v>
      </c>
      <c r="E1138" s="2"/>
      <c r="F1138" s="3"/>
      <c r="G1138" s="2"/>
      <c r="H1138" s="3"/>
      <c r="I1138" s="65"/>
      <c r="K1138" s="65"/>
      <c r="M1138" s="65"/>
      <c r="O1138" s="65"/>
      <c r="Q1138" s="65"/>
      <c r="S1138" s="65"/>
      <c r="U1138" s="65"/>
      <c r="W1138" s="65"/>
      <c r="Y1138" s="65"/>
      <c r="AA1138" s="65"/>
      <c r="AC1138" s="65"/>
      <c r="AE1138" s="65"/>
      <c r="AG1138" s="65"/>
      <c r="AI1138" s="65"/>
      <c r="AK1138" s="65"/>
    </row>
    <row r="1139" spans="1:37" x14ac:dyDescent="0.25">
      <c r="A1139" s="2">
        <v>41505</v>
      </c>
      <c r="B1139" s="3">
        <v>2823.35</v>
      </c>
      <c r="C1139" s="2">
        <v>41521</v>
      </c>
      <c r="D1139" s="3">
        <v>16712.2</v>
      </c>
      <c r="E1139" s="2"/>
      <c r="F1139" s="3"/>
      <c r="G1139" s="2"/>
      <c r="H1139" s="3"/>
      <c r="I1139" s="65"/>
      <c r="K1139" s="65"/>
      <c r="M1139" s="65"/>
      <c r="O1139" s="65"/>
      <c r="Q1139" s="65"/>
      <c r="S1139" s="65"/>
      <c r="U1139" s="65"/>
      <c r="W1139" s="65"/>
      <c r="Y1139" s="65"/>
      <c r="AA1139" s="65"/>
      <c r="AC1139" s="65"/>
      <c r="AE1139" s="65"/>
      <c r="AG1139" s="65"/>
      <c r="AI1139" s="65"/>
      <c r="AK1139" s="65"/>
    </row>
    <row r="1140" spans="1:37" x14ac:dyDescent="0.25">
      <c r="A1140" s="2">
        <v>41506</v>
      </c>
      <c r="B1140" s="3">
        <v>2787.98</v>
      </c>
      <c r="C1140" s="2">
        <v>41522</v>
      </c>
      <c r="D1140" s="3">
        <v>16842.7</v>
      </c>
      <c r="E1140" s="2"/>
      <c r="F1140" s="3"/>
      <c r="G1140" s="2"/>
      <c r="H1140" s="3"/>
      <c r="I1140" s="65"/>
      <c r="K1140" s="65"/>
      <c r="M1140" s="65"/>
      <c r="O1140" s="65"/>
      <c r="Q1140" s="65"/>
      <c r="S1140" s="65"/>
      <c r="U1140" s="65"/>
      <c r="W1140" s="65"/>
      <c r="Y1140" s="65"/>
      <c r="AA1140" s="65"/>
      <c r="AC1140" s="65"/>
      <c r="AE1140" s="65"/>
      <c r="AG1140" s="65"/>
      <c r="AI1140" s="65"/>
      <c r="AK1140" s="65"/>
    </row>
    <row r="1141" spans="1:37" x14ac:dyDescent="0.25">
      <c r="A1141" s="2">
        <v>41507</v>
      </c>
      <c r="B1141" s="3">
        <v>2774.58</v>
      </c>
      <c r="C1141" s="2">
        <v>41523</v>
      </c>
      <c r="D1141" s="3">
        <v>17047</v>
      </c>
      <c r="E1141" s="2"/>
      <c r="F1141" s="3"/>
      <c r="G1141" s="2"/>
      <c r="H1141" s="3"/>
      <c r="I1141" s="65"/>
      <c r="K1141" s="65"/>
      <c r="M1141" s="65"/>
      <c r="O1141" s="65"/>
      <c r="Q1141" s="65"/>
      <c r="S1141" s="65"/>
      <c r="U1141" s="65"/>
      <c r="W1141" s="65"/>
      <c r="Y1141" s="65"/>
      <c r="AA1141" s="65"/>
      <c r="AC1141" s="65"/>
      <c r="AE1141" s="65"/>
      <c r="AG1141" s="65"/>
      <c r="AI1141" s="65"/>
      <c r="AK1141" s="65"/>
    </row>
    <row r="1142" spans="1:37" x14ac:dyDescent="0.25">
      <c r="A1142" s="2">
        <v>41508</v>
      </c>
      <c r="B1142" s="3">
        <v>2812.32</v>
      </c>
      <c r="C1142" s="2">
        <v>41526</v>
      </c>
      <c r="D1142" s="3">
        <v>17244.740000000002</v>
      </c>
      <c r="E1142" s="2"/>
      <c r="F1142" s="3"/>
      <c r="G1142" s="2"/>
      <c r="H1142" s="3"/>
      <c r="I1142" s="65"/>
      <c r="K1142" s="65"/>
      <c r="M1142" s="65"/>
      <c r="O1142" s="65"/>
      <c r="Q1142" s="65"/>
      <c r="S1142" s="65"/>
      <c r="U1142" s="65"/>
      <c r="W1142" s="65"/>
      <c r="Y1142" s="65"/>
      <c r="AA1142" s="65"/>
      <c r="AC1142" s="65"/>
      <c r="AE1142" s="65"/>
      <c r="AG1142" s="65"/>
      <c r="AI1142" s="65"/>
      <c r="AK1142" s="65"/>
    </row>
    <row r="1143" spans="1:37" x14ac:dyDescent="0.25">
      <c r="A1143" s="2">
        <v>41509</v>
      </c>
      <c r="B1143" s="3">
        <v>2826.05</v>
      </c>
      <c r="C1143" s="2">
        <v>41527</v>
      </c>
      <c r="D1143" s="3">
        <v>17332.419999999998</v>
      </c>
      <c r="E1143" s="2"/>
      <c r="F1143" s="3"/>
      <c r="G1143" s="2"/>
      <c r="H1143" s="3"/>
      <c r="I1143" s="65"/>
      <c r="K1143" s="65"/>
      <c r="M1143" s="65"/>
      <c r="O1143" s="65"/>
      <c r="Q1143" s="65"/>
      <c r="S1143" s="65"/>
      <c r="U1143" s="65"/>
      <c r="W1143" s="65"/>
      <c r="Y1143" s="65"/>
      <c r="AA1143" s="65"/>
      <c r="AC1143" s="65"/>
      <c r="AE1143" s="65"/>
      <c r="AG1143" s="65"/>
      <c r="AI1143" s="65"/>
      <c r="AK1143" s="65"/>
    </row>
    <row r="1144" spans="1:37" x14ac:dyDescent="0.25">
      <c r="A1144" s="2">
        <v>41512</v>
      </c>
      <c r="B1144" s="3">
        <v>2821.45</v>
      </c>
      <c r="C1144" s="2">
        <v>41528</v>
      </c>
      <c r="D1144" s="3">
        <v>17562.55</v>
      </c>
      <c r="E1144" s="2"/>
      <c r="F1144" s="3"/>
      <c r="G1144" s="2"/>
      <c r="H1144" s="3"/>
      <c r="I1144" s="65"/>
      <c r="K1144" s="65"/>
      <c r="M1144" s="65"/>
      <c r="O1144" s="65"/>
      <c r="Q1144" s="65"/>
      <c r="S1144" s="65"/>
      <c r="U1144" s="65"/>
      <c r="W1144" s="65"/>
      <c r="Y1144" s="65"/>
      <c r="AA1144" s="65"/>
      <c r="AC1144" s="65"/>
      <c r="AE1144" s="65"/>
      <c r="AG1144" s="65"/>
      <c r="AI1144" s="65"/>
      <c r="AK1144" s="65"/>
    </row>
    <row r="1145" spans="1:37" x14ac:dyDescent="0.25">
      <c r="A1145" s="2">
        <v>41513</v>
      </c>
      <c r="B1145" s="3">
        <v>2749.27</v>
      </c>
      <c r="C1145" s="2">
        <v>41529</v>
      </c>
      <c r="D1145" s="3">
        <v>17522.71</v>
      </c>
      <c r="E1145" s="2"/>
      <c r="F1145" s="3"/>
      <c r="G1145" s="2"/>
      <c r="H1145" s="3"/>
      <c r="I1145" s="65"/>
      <c r="K1145" s="65"/>
      <c r="M1145" s="65"/>
      <c r="O1145" s="65"/>
      <c r="Q1145" s="65"/>
      <c r="S1145" s="65"/>
      <c r="U1145" s="65"/>
      <c r="W1145" s="65"/>
      <c r="Y1145" s="65"/>
      <c r="AA1145" s="65"/>
      <c r="AC1145" s="65"/>
      <c r="AE1145" s="65"/>
      <c r="AG1145" s="65"/>
      <c r="AI1145" s="65"/>
      <c r="AK1145" s="65"/>
    </row>
    <row r="1146" spans="1:37" x14ac:dyDescent="0.25">
      <c r="A1146" s="2">
        <v>41514</v>
      </c>
      <c r="B1146" s="3">
        <v>2742.61</v>
      </c>
      <c r="C1146" s="2">
        <v>41530</v>
      </c>
      <c r="D1146" s="3">
        <v>17547.91</v>
      </c>
      <c r="E1146" s="2"/>
      <c r="F1146" s="3"/>
      <c r="G1146" s="2"/>
      <c r="H1146" s="3"/>
      <c r="I1146" s="65"/>
      <c r="K1146" s="65"/>
      <c r="M1146" s="65"/>
      <c r="O1146" s="65"/>
      <c r="Q1146" s="65"/>
      <c r="S1146" s="65"/>
      <c r="U1146" s="65"/>
      <c r="W1146" s="65"/>
      <c r="Y1146" s="65"/>
      <c r="AA1146" s="65"/>
      <c r="AC1146" s="65"/>
      <c r="AE1146" s="65"/>
      <c r="AG1146" s="65"/>
      <c r="AI1146" s="65"/>
      <c r="AK1146" s="65"/>
    </row>
    <row r="1147" spans="1:37" x14ac:dyDescent="0.25">
      <c r="A1147" s="2">
        <v>41515</v>
      </c>
      <c r="B1147" s="3">
        <v>2758.31</v>
      </c>
      <c r="C1147" s="2">
        <v>41533</v>
      </c>
      <c r="D1147" s="3">
        <v>17731.810000000001</v>
      </c>
      <c r="E1147" s="2"/>
      <c r="F1147" s="3"/>
      <c r="G1147" s="2"/>
      <c r="H1147" s="3"/>
      <c r="I1147" s="65"/>
      <c r="K1147" s="65"/>
      <c r="M1147" s="65"/>
      <c r="O1147" s="65"/>
      <c r="Q1147" s="65"/>
      <c r="S1147" s="65"/>
      <c r="U1147" s="65"/>
      <c r="W1147" s="65"/>
      <c r="Y1147" s="65"/>
      <c r="AA1147" s="65"/>
      <c r="AC1147" s="65"/>
      <c r="AE1147" s="65"/>
      <c r="AG1147" s="65"/>
      <c r="AI1147" s="65"/>
      <c r="AK1147" s="65"/>
    </row>
    <row r="1148" spans="1:37" x14ac:dyDescent="0.25">
      <c r="A1148" s="2">
        <v>41516</v>
      </c>
      <c r="B1148" s="3">
        <v>2721.37</v>
      </c>
      <c r="C1148" s="2">
        <v>41534</v>
      </c>
      <c r="D1148" s="3">
        <v>17751.650000000001</v>
      </c>
      <c r="E1148" s="2"/>
      <c r="F1148" s="3"/>
      <c r="G1148" s="2"/>
      <c r="H1148" s="3"/>
      <c r="I1148" s="65"/>
      <c r="K1148" s="65"/>
      <c r="M1148" s="65"/>
      <c r="O1148" s="65"/>
      <c r="Q1148" s="65"/>
      <c r="S1148" s="65"/>
      <c r="U1148" s="65"/>
      <c r="W1148" s="65"/>
      <c r="Y1148" s="65"/>
      <c r="AA1148" s="65"/>
      <c r="AC1148" s="65"/>
      <c r="AE1148" s="65"/>
      <c r="AG1148" s="65"/>
      <c r="AI1148" s="65"/>
      <c r="AK1148" s="65"/>
    </row>
    <row r="1149" spans="1:37" x14ac:dyDescent="0.25">
      <c r="A1149" s="2">
        <v>41519</v>
      </c>
      <c r="B1149" s="3">
        <v>2774.09</v>
      </c>
      <c r="C1149" s="2">
        <v>41535</v>
      </c>
      <c r="D1149" s="3">
        <v>17804.7</v>
      </c>
      <c r="E1149" s="2"/>
      <c r="F1149" s="3"/>
      <c r="G1149" s="2"/>
      <c r="H1149" s="3"/>
      <c r="I1149" s="65"/>
      <c r="K1149" s="65"/>
      <c r="M1149" s="65"/>
      <c r="O1149" s="65"/>
      <c r="Q1149" s="65"/>
      <c r="S1149" s="65"/>
      <c r="U1149" s="65"/>
      <c r="W1149" s="65"/>
      <c r="Y1149" s="65"/>
      <c r="AA1149" s="65"/>
      <c r="AC1149" s="65"/>
      <c r="AE1149" s="65"/>
      <c r="AG1149" s="65"/>
      <c r="AI1149" s="65"/>
      <c r="AK1149" s="65"/>
    </row>
    <row r="1150" spans="1:37" x14ac:dyDescent="0.25">
      <c r="A1150" s="2">
        <v>41520</v>
      </c>
      <c r="B1150" s="3">
        <v>2753.35</v>
      </c>
      <c r="C1150" s="2">
        <v>41536</v>
      </c>
      <c r="D1150" s="3">
        <v>18059.23</v>
      </c>
      <c r="E1150" s="2"/>
      <c r="F1150" s="3"/>
      <c r="G1150" s="2"/>
      <c r="H1150" s="3"/>
      <c r="I1150" s="65"/>
      <c r="K1150" s="65"/>
      <c r="M1150" s="65"/>
      <c r="O1150" s="65"/>
      <c r="Q1150" s="65"/>
      <c r="S1150" s="65"/>
      <c r="U1150" s="65"/>
      <c r="W1150" s="65"/>
      <c r="Y1150" s="65"/>
      <c r="AA1150" s="65"/>
      <c r="AC1150" s="65"/>
      <c r="AE1150" s="65"/>
      <c r="AG1150" s="65"/>
      <c r="AI1150" s="65"/>
      <c r="AK1150" s="65"/>
    </row>
    <row r="1151" spans="1:37" x14ac:dyDescent="0.25">
      <c r="A1151" s="2">
        <v>41521</v>
      </c>
      <c r="B1151" s="3">
        <v>2758.29</v>
      </c>
      <c r="C1151" s="2">
        <v>41537</v>
      </c>
      <c r="D1151" s="3">
        <v>17970.12</v>
      </c>
      <c r="E1151" s="2"/>
      <c r="F1151" s="3"/>
      <c r="G1151" s="2"/>
      <c r="H1151" s="3"/>
      <c r="I1151" s="65"/>
      <c r="K1151" s="65"/>
      <c r="M1151" s="65"/>
      <c r="O1151" s="65"/>
      <c r="Q1151" s="65"/>
      <c r="S1151" s="65"/>
      <c r="U1151" s="65"/>
      <c r="W1151" s="65"/>
      <c r="Y1151" s="65"/>
      <c r="AA1151" s="65"/>
      <c r="AC1151" s="65"/>
      <c r="AE1151" s="65"/>
      <c r="AG1151" s="65"/>
      <c r="AI1151" s="65"/>
      <c r="AK1151" s="65"/>
    </row>
    <row r="1152" spans="1:37" x14ac:dyDescent="0.25">
      <c r="A1152" s="2">
        <v>41522</v>
      </c>
      <c r="B1152" s="3">
        <v>2774.2</v>
      </c>
      <c r="C1152" s="2">
        <v>41540</v>
      </c>
      <c r="D1152" s="3">
        <v>17913.18</v>
      </c>
      <c r="E1152" s="2"/>
      <c r="F1152" s="3"/>
      <c r="G1152" s="2"/>
      <c r="H1152" s="3"/>
      <c r="I1152" s="65"/>
      <c r="K1152" s="65"/>
      <c r="M1152" s="65"/>
      <c r="O1152" s="65"/>
      <c r="Q1152" s="65"/>
      <c r="S1152" s="65"/>
      <c r="U1152" s="65"/>
      <c r="W1152" s="65"/>
      <c r="Y1152" s="65"/>
      <c r="AA1152" s="65"/>
      <c r="AC1152" s="65"/>
      <c r="AE1152" s="65"/>
      <c r="AG1152" s="65"/>
      <c r="AI1152" s="65"/>
      <c r="AK1152" s="65"/>
    </row>
    <row r="1153" spans="1:37" x14ac:dyDescent="0.25">
      <c r="A1153" s="2">
        <v>41523</v>
      </c>
      <c r="B1153" s="3">
        <v>2803.42</v>
      </c>
      <c r="C1153" s="2">
        <v>41541</v>
      </c>
      <c r="D1153" s="3">
        <v>18064.580000000002</v>
      </c>
      <c r="E1153" s="2"/>
      <c r="F1153" s="3"/>
      <c r="G1153" s="2"/>
      <c r="H1153" s="3"/>
      <c r="I1153" s="65"/>
      <c r="K1153" s="65"/>
      <c r="M1153" s="65"/>
      <c r="O1153" s="65"/>
      <c r="Q1153" s="65"/>
      <c r="S1153" s="65"/>
      <c r="U1153" s="65"/>
      <c r="W1153" s="65"/>
      <c r="Y1153" s="65"/>
      <c r="AA1153" s="65"/>
      <c r="AC1153" s="65"/>
      <c r="AE1153" s="65"/>
      <c r="AG1153" s="65"/>
      <c r="AI1153" s="65"/>
      <c r="AK1153" s="65"/>
    </row>
    <row r="1154" spans="1:37" x14ac:dyDescent="0.25">
      <c r="A1154" s="2">
        <v>41526</v>
      </c>
      <c r="B1154" s="3">
        <v>2798.31</v>
      </c>
      <c r="C1154" s="2">
        <v>41542</v>
      </c>
      <c r="D1154" s="3">
        <v>18089.240000000002</v>
      </c>
      <c r="E1154" s="2"/>
      <c r="F1154" s="3"/>
      <c r="G1154" s="2"/>
      <c r="H1154" s="3"/>
      <c r="I1154" s="65"/>
      <c r="K1154" s="65"/>
      <c r="M1154" s="65"/>
      <c r="O1154" s="65"/>
      <c r="Q1154" s="65"/>
      <c r="S1154" s="65"/>
      <c r="U1154" s="65"/>
      <c r="W1154" s="65"/>
      <c r="Y1154" s="65"/>
      <c r="AA1154" s="65"/>
      <c r="AC1154" s="65"/>
      <c r="AE1154" s="65"/>
      <c r="AG1154" s="65"/>
      <c r="AI1154" s="65"/>
      <c r="AK1154" s="65"/>
    </row>
    <row r="1155" spans="1:37" x14ac:dyDescent="0.25">
      <c r="A1155" s="2">
        <v>41527</v>
      </c>
      <c r="B1155" s="3">
        <v>2851.4</v>
      </c>
      <c r="C1155" s="2">
        <v>41543</v>
      </c>
      <c r="D1155" s="3">
        <v>17872.53</v>
      </c>
      <c r="E1155" s="2"/>
      <c r="F1155" s="3"/>
      <c r="G1155" s="2"/>
      <c r="H1155" s="3"/>
      <c r="I1155" s="65"/>
      <c r="K1155" s="65"/>
      <c r="M1155" s="65"/>
      <c r="O1155" s="65"/>
      <c r="Q1155" s="65"/>
      <c r="S1155" s="65"/>
      <c r="U1155" s="65"/>
      <c r="W1155" s="65"/>
      <c r="Y1155" s="65"/>
      <c r="AA1155" s="65"/>
      <c r="AC1155" s="65"/>
      <c r="AE1155" s="65"/>
      <c r="AG1155" s="65"/>
      <c r="AI1155" s="65"/>
      <c r="AK1155" s="65"/>
    </row>
    <row r="1156" spans="1:37" x14ac:dyDescent="0.25">
      <c r="A1156" s="2">
        <v>41528</v>
      </c>
      <c r="B1156" s="3">
        <v>2863.44</v>
      </c>
      <c r="C1156" s="2">
        <v>41544</v>
      </c>
      <c r="D1156" s="3">
        <v>17646.16</v>
      </c>
      <c r="E1156" s="2"/>
      <c r="F1156" s="3"/>
      <c r="G1156" s="2"/>
      <c r="H1156" s="3"/>
      <c r="I1156" s="65"/>
      <c r="K1156" s="65"/>
      <c r="M1156" s="65"/>
      <c r="O1156" s="65"/>
      <c r="Q1156" s="65"/>
      <c r="S1156" s="65"/>
      <c r="U1156" s="65"/>
      <c r="W1156" s="65"/>
      <c r="Y1156" s="65"/>
      <c r="AA1156" s="65"/>
      <c r="AC1156" s="65"/>
      <c r="AE1156" s="65"/>
      <c r="AG1156" s="65"/>
      <c r="AI1156" s="65"/>
      <c r="AK1156" s="65"/>
    </row>
    <row r="1157" spans="1:37" x14ac:dyDescent="0.25">
      <c r="A1157" s="2">
        <v>41529</v>
      </c>
      <c r="B1157" s="3">
        <v>2862.07</v>
      </c>
      <c r="C1157" s="2">
        <v>41547</v>
      </c>
      <c r="D1157" s="3">
        <v>17434.86</v>
      </c>
      <c r="E1157" s="2"/>
      <c r="F1157" s="3"/>
      <c r="G1157" s="2"/>
      <c r="H1157" s="3"/>
      <c r="I1157" s="65"/>
      <c r="K1157" s="65"/>
      <c r="M1157" s="65"/>
      <c r="O1157" s="65"/>
      <c r="Q1157" s="65"/>
      <c r="S1157" s="65"/>
      <c r="U1157" s="65"/>
      <c r="W1157" s="65"/>
      <c r="Y1157" s="65"/>
      <c r="AA1157" s="65"/>
      <c r="AC1157" s="65"/>
      <c r="AE1157" s="65"/>
      <c r="AG1157" s="65"/>
      <c r="AI1157" s="65"/>
      <c r="AK1157" s="65"/>
    </row>
    <row r="1158" spans="1:37" x14ac:dyDescent="0.25">
      <c r="A1158" s="2">
        <v>41530</v>
      </c>
      <c r="B1158" s="3">
        <v>2867.11</v>
      </c>
      <c r="C1158" s="2">
        <v>41548</v>
      </c>
      <c r="D1158" s="3">
        <v>17977.060000000001</v>
      </c>
      <c r="E1158" s="2"/>
      <c r="F1158" s="3"/>
      <c r="G1158" s="2"/>
      <c r="H1158" s="3"/>
      <c r="I1158" s="65"/>
      <c r="K1158" s="65"/>
      <c r="M1158" s="65"/>
      <c r="O1158" s="65"/>
      <c r="Q1158" s="65"/>
      <c r="S1158" s="65"/>
      <c r="U1158" s="65"/>
      <c r="W1158" s="65"/>
      <c r="Y1158" s="65"/>
      <c r="AA1158" s="65"/>
      <c r="AC1158" s="65"/>
      <c r="AE1158" s="65"/>
      <c r="AG1158" s="65"/>
      <c r="AI1158" s="65"/>
      <c r="AK1158" s="65"/>
    </row>
    <row r="1159" spans="1:37" x14ac:dyDescent="0.25">
      <c r="A1159" s="2">
        <v>41533</v>
      </c>
      <c r="B1159" s="3">
        <v>2894.64</v>
      </c>
      <c r="C1159" s="2">
        <v>41549</v>
      </c>
      <c r="D1159" s="3">
        <v>18098.439999999999</v>
      </c>
      <c r="E1159" s="2"/>
      <c r="F1159" s="3"/>
      <c r="G1159" s="2"/>
      <c r="H1159" s="3"/>
      <c r="I1159" s="65"/>
      <c r="K1159" s="65"/>
      <c r="M1159" s="65"/>
      <c r="O1159" s="65"/>
      <c r="Q1159" s="65"/>
      <c r="S1159" s="65"/>
      <c r="U1159" s="65"/>
      <c r="W1159" s="65"/>
      <c r="Y1159" s="65"/>
      <c r="AA1159" s="65"/>
      <c r="AC1159" s="65"/>
      <c r="AE1159" s="65"/>
      <c r="AG1159" s="65"/>
      <c r="AI1159" s="65"/>
      <c r="AK1159" s="65"/>
    </row>
    <row r="1160" spans="1:37" x14ac:dyDescent="0.25">
      <c r="A1160" s="2">
        <v>41534</v>
      </c>
      <c r="B1160" s="3">
        <v>2890.95</v>
      </c>
      <c r="C1160" s="2">
        <v>41550</v>
      </c>
      <c r="D1160" s="3">
        <v>18018.22</v>
      </c>
      <c r="E1160" s="2"/>
      <c r="F1160" s="3"/>
      <c r="G1160" s="2"/>
      <c r="H1160" s="3"/>
      <c r="I1160" s="65"/>
      <c r="K1160" s="65"/>
      <c r="M1160" s="65"/>
      <c r="O1160" s="65"/>
      <c r="Q1160" s="65"/>
      <c r="S1160" s="65"/>
      <c r="U1160" s="65"/>
      <c r="W1160" s="65"/>
      <c r="Y1160" s="65"/>
      <c r="AA1160" s="65"/>
      <c r="AC1160" s="65"/>
      <c r="AE1160" s="65"/>
      <c r="AG1160" s="65"/>
      <c r="AI1160" s="65"/>
      <c r="AK1160" s="65"/>
    </row>
    <row r="1161" spans="1:37" x14ac:dyDescent="0.25">
      <c r="A1161" s="2">
        <v>41535</v>
      </c>
      <c r="B1161" s="3">
        <v>2908.92</v>
      </c>
      <c r="C1161" s="2">
        <v>41551</v>
      </c>
      <c r="D1161" s="3">
        <v>18304.22</v>
      </c>
      <c r="E1161" s="2"/>
      <c r="F1161" s="3"/>
      <c r="G1161" s="2"/>
      <c r="H1161" s="3"/>
      <c r="I1161" s="65"/>
      <c r="K1161" s="65"/>
      <c r="M1161" s="65"/>
      <c r="O1161" s="65"/>
      <c r="Q1161" s="65"/>
      <c r="S1161" s="65"/>
      <c r="U1161" s="65"/>
      <c r="W1161" s="65"/>
      <c r="Y1161" s="65"/>
      <c r="AA1161" s="65"/>
      <c r="AC1161" s="65"/>
      <c r="AE1161" s="65"/>
      <c r="AG1161" s="65"/>
      <c r="AI1161" s="65"/>
      <c r="AK1161" s="65"/>
    </row>
    <row r="1162" spans="1:37" x14ac:dyDescent="0.25">
      <c r="A1162" s="2">
        <v>41536</v>
      </c>
      <c r="B1162" s="3">
        <v>2936.2</v>
      </c>
      <c r="C1162" s="2">
        <v>41554</v>
      </c>
      <c r="D1162" s="3">
        <v>18425.82</v>
      </c>
      <c r="E1162" s="2"/>
      <c r="F1162" s="3"/>
      <c r="G1162" s="2"/>
      <c r="H1162" s="3"/>
      <c r="I1162" s="65"/>
      <c r="K1162" s="65"/>
      <c r="M1162" s="65"/>
      <c r="O1162" s="65"/>
      <c r="Q1162" s="65"/>
      <c r="S1162" s="65"/>
      <c r="U1162" s="65"/>
      <c r="W1162" s="65"/>
      <c r="Y1162" s="65"/>
      <c r="AA1162" s="65"/>
      <c r="AC1162" s="65"/>
      <c r="AE1162" s="65"/>
      <c r="AG1162" s="65"/>
      <c r="AI1162" s="65"/>
      <c r="AK1162" s="65"/>
    </row>
    <row r="1163" spans="1:37" x14ac:dyDescent="0.25">
      <c r="A1163" s="2">
        <v>41537</v>
      </c>
      <c r="B1163" s="3">
        <v>2927.19</v>
      </c>
      <c r="C1163" s="2">
        <v>41555</v>
      </c>
      <c r="D1163" s="3">
        <v>18372.75</v>
      </c>
      <c r="E1163" s="2"/>
      <c r="F1163" s="3"/>
      <c r="G1163" s="2"/>
      <c r="H1163" s="3"/>
      <c r="I1163" s="65"/>
      <c r="K1163" s="65"/>
      <c r="M1163" s="65"/>
      <c r="O1163" s="65"/>
      <c r="Q1163" s="65"/>
      <c r="S1163" s="65"/>
      <c r="U1163" s="65"/>
      <c r="W1163" s="65"/>
      <c r="Y1163" s="65"/>
      <c r="AA1163" s="65"/>
      <c r="AC1163" s="65"/>
      <c r="AE1163" s="65"/>
      <c r="AG1163" s="65"/>
      <c r="AI1163" s="65"/>
      <c r="AK1163" s="65"/>
    </row>
    <row r="1164" spans="1:37" x14ac:dyDescent="0.25">
      <c r="A1164" s="2">
        <v>41540</v>
      </c>
      <c r="B1164" s="3">
        <v>2906.35</v>
      </c>
      <c r="C1164" s="2">
        <v>41556</v>
      </c>
      <c r="D1164" s="3">
        <v>18551.57</v>
      </c>
      <c r="E1164" s="2"/>
      <c r="F1164" s="3"/>
      <c r="G1164" s="2"/>
      <c r="H1164" s="3"/>
      <c r="I1164" s="65"/>
      <c r="K1164" s="65"/>
      <c r="M1164" s="65"/>
      <c r="O1164" s="65"/>
      <c r="Q1164" s="65"/>
      <c r="S1164" s="65"/>
      <c r="U1164" s="65"/>
      <c r="W1164" s="65"/>
      <c r="Y1164" s="65"/>
      <c r="AA1164" s="65"/>
      <c r="AC1164" s="65"/>
      <c r="AE1164" s="65"/>
      <c r="AG1164" s="65"/>
      <c r="AI1164" s="65"/>
      <c r="AK1164" s="65"/>
    </row>
    <row r="1165" spans="1:37" x14ac:dyDescent="0.25">
      <c r="A1165" s="2">
        <v>41541</v>
      </c>
      <c r="B1165" s="3">
        <v>2922.93</v>
      </c>
      <c r="C1165" s="2">
        <v>41557</v>
      </c>
      <c r="D1165" s="3">
        <v>18836.79</v>
      </c>
      <c r="E1165" s="2"/>
      <c r="F1165" s="3"/>
      <c r="G1165" s="2"/>
      <c r="H1165" s="3"/>
      <c r="I1165" s="65"/>
      <c r="K1165" s="65"/>
      <c r="M1165" s="65"/>
      <c r="O1165" s="65"/>
      <c r="Q1165" s="65"/>
      <c r="S1165" s="65"/>
      <c r="U1165" s="65"/>
      <c r="W1165" s="65"/>
      <c r="Y1165" s="65"/>
      <c r="AA1165" s="65"/>
      <c r="AC1165" s="65"/>
      <c r="AE1165" s="65"/>
      <c r="AG1165" s="65"/>
      <c r="AI1165" s="65"/>
      <c r="AK1165" s="65"/>
    </row>
    <row r="1166" spans="1:37" x14ac:dyDescent="0.25">
      <c r="A1166" s="2">
        <v>41542</v>
      </c>
      <c r="B1166" s="3">
        <v>2927.35</v>
      </c>
      <c r="C1166" s="2">
        <v>41558</v>
      </c>
      <c r="D1166" s="3">
        <v>18882.63</v>
      </c>
      <c r="E1166" s="2"/>
      <c r="F1166" s="3"/>
      <c r="G1166" s="2"/>
      <c r="H1166" s="3"/>
      <c r="I1166" s="65"/>
      <c r="K1166" s="65"/>
      <c r="M1166" s="65"/>
      <c r="O1166" s="65"/>
      <c r="Q1166" s="65"/>
      <c r="S1166" s="65"/>
      <c r="U1166" s="65"/>
      <c r="W1166" s="65"/>
      <c r="Y1166" s="65"/>
      <c r="AA1166" s="65"/>
      <c r="AC1166" s="65"/>
      <c r="AE1166" s="65"/>
      <c r="AG1166" s="65"/>
      <c r="AI1166" s="65"/>
      <c r="AK1166" s="65"/>
    </row>
    <row r="1167" spans="1:37" x14ac:dyDescent="0.25">
      <c r="A1167" s="2">
        <v>41543</v>
      </c>
      <c r="B1167" s="3">
        <v>2922.99</v>
      </c>
      <c r="C1167" s="2">
        <v>41561</v>
      </c>
      <c r="D1167" s="3">
        <v>18917.669999999998</v>
      </c>
      <c r="E1167" s="2"/>
      <c r="F1167" s="3"/>
      <c r="G1167" s="2"/>
      <c r="H1167" s="3"/>
      <c r="I1167" s="65"/>
      <c r="K1167" s="65"/>
      <c r="M1167" s="65"/>
      <c r="O1167" s="65"/>
      <c r="Q1167" s="65"/>
      <c r="S1167" s="65"/>
      <c r="U1167" s="65"/>
      <c r="W1167" s="65"/>
      <c r="Y1167" s="65"/>
      <c r="AA1167" s="65"/>
      <c r="AC1167" s="65"/>
      <c r="AE1167" s="65"/>
      <c r="AG1167" s="65"/>
      <c r="AI1167" s="65"/>
      <c r="AK1167" s="65"/>
    </row>
    <row r="1168" spans="1:37" x14ac:dyDescent="0.25">
      <c r="A1168" s="2">
        <v>41544</v>
      </c>
      <c r="B1168" s="3">
        <v>2919.34</v>
      </c>
      <c r="C1168" s="2">
        <v>41562</v>
      </c>
      <c r="D1168" s="3">
        <v>18999.22</v>
      </c>
      <c r="E1168" s="2"/>
      <c r="F1168" s="3"/>
      <c r="G1168" s="2"/>
      <c r="H1168" s="3"/>
      <c r="I1168" s="65"/>
      <c r="K1168" s="65"/>
      <c r="M1168" s="65"/>
      <c r="O1168" s="65"/>
      <c r="Q1168" s="65"/>
      <c r="S1168" s="65"/>
      <c r="U1168" s="65"/>
      <c r="W1168" s="65"/>
      <c r="Y1168" s="65"/>
      <c r="AA1168" s="65"/>
      <c r="AC1168" s="65"/>
      <c r="AE1168" s="65"/>
      <c r="AG1168" s="65"/>
      <c r="AI1168" s="65"/>
      <c r="AK1168" s="65"/>
    </row>
    <row r="1169" spans="1:37" x14ac:dyDescent="0.25">
      <c r="A1169" s="2">
        <v>41547</v>
      </c>
      <c r="B1169" s="3">
        <v>2893.15</v>
      </c>
      <c r="C1169" s="2">
        <v>41563</v>
      </c>
      <c r="D1169" s="3">
        <v>19275.04</v>
      </c>
      <c r="E1169" s="2"/>
      <c r="F1169" s="3"/>
      <c r="G1169" s="2"/>
      <c r="H1169" s="3"/>
      <c r="I1169" s="65"/>
      <c r="K1169" s="65"/>
      <c r="M1169" s="65"/>
      <c r="O1169" s="65"/>
      <c r="Q1169" s="65"/>
      <c r="S1169" s="65"/>
      <c r="U1169" s="65"/>
      <c r="W1169" s="65"/>
      <c r="Y1169" s="65"/>
      <c r="AA1169" s="65"/>
      <c r="AC1169" s="65"/>
      <c r="AE1169" s="65"/>
      <c r="AG1169" s="65"/>
      <c r="AI1169" s="65"/>
      <c r="AK1169" s="65"/>
    </row>
    <row r="1170" spans="1:37" x14ac:dyDescent="0.25">
      <c r="A1170" s="2">
        <v>41548</v>
      </c>
      <c r="B1170" s="3">
        <v>2933.02</v>
      </c>
      <c r="C1170" s="2">
        <v>41564</v>
      </c>
      <c r="D1170" s="3">
        <v>19198.099999999999</v>
      </c>
      <c r="E1170" s="2"/>
      <c r="F1170" s="3"/>
      <c r="G1170" s="2"/>
      <c r="H1170" s="3"/>
      <c r="I1170" s="65"/>
      <c r="K1170" s="65"/>
      <c r="M1170" s="65"/>
      <c r="O1170" s="65"/>
      <c r="Q1170" s="65"/>
      <c r="S1170" s="65"/>
      <c r="U1170" s="65"/>
      <c r="W1170" s="65"/>
      <c r="Y1170" s="65"/>
      <c r="AA1170" s="65"/>
      <c r="AC1170" s="65"/>
      <c r="AE1170" s="65"/>
      <c r="AG1170" s="65"/>
      <c r="AI1170" s="65"/>
      <c r="AK1170" s="65"/>
    </row>
    <row r="1171" spans="1:37" x14ac:dyDescent="0.25">
      <c r="A1171" s="2">
        <v>41549</v>
      </c>
      <c r="B1171" s="3">
        <v>2918.31</v>
      </c>
      <c r="C1171" s="2">
        <v>41565</v>
      </c>
      <c r="D1171" s="3">
        <v>19271.02</v>
      </c>
      <c r="E1171" s="2"/>
      <c r="F1171" s="3"/>
      <c r="G1171" s="2"/>
      <c r="H1171" s="3"/>
      <c r="I1171" s="65"/>
      <c r="K1171" s="65"/>
      <c r="M1171" s="65"/>
      <c r="O1171" s="65"/>
      <c r="Q1171" s="65"/>
      <c r="S1171" s="65"/>
      <c r="U1171" s="65"/>
      <c r="W1171" s="65"/>
      <c r="Y1171" s="65"/>
      <c r="AA1171" s="65"/>
      <c r="AC1171" s="65"/>
      <c r="AE1171" s="65"/>
      <c r="AG1171" s="65"/>
      <c r="AI1171" s="65"/>
      <c r="AK1171" s="65"/>
    </row>
    <row r="1172" spans="1:37" x14ac:dyDescent="0.25">
      <c r="A1172" s="2">
        <v>41550</v>
      </c>
      <c r="B1172" s="3">
        <v>2902.12</v>
      </c>
      <c r="C1172" s="2">
        <v>41568</v>
      </c>
      <c r="D1172" s="3">
        <v>19262.689999999999</v>
      </c>
      <c r="E1172" s="2"/>
      <c r="F1172" s="3"/>
      <c r="G1172" s="2"/>
      <c r="H1172" s="3"/>
      <c r="I1172" s="65"/>
      <c r="K1172" s="65"/>
      <c r="M1172" s="65"/>
      <c r="O1172" s="65"/>
      <c r="Q1172" s="65"/>
      <c r="S1172" s="65"/>
      <c r="U1172" s="65"/>
      <c r="W1172" s="65"/>
      <c r="Y1172" s="65"/>
      <c r="AA1172" s="65"/>
      <c r="AC1172" s="65"/>
      <c r="AE1172" s="65"/>
      <c r="AG1172" s="65"/>
      <c r="AI1172" s="65"/>
      <c r="AK1172" s="65"/>
    </row>
    <row r="1173" spans="1:37" x14ac:dyDescent="0.25">
      <c r="A1173" s="2">
        <v>41551</v>
      </c>
      <c r="B1173" s="3">
        <v>2928.31</v>
      </c>
      <c r="C1173" s="2">
        <v>41569</v>
      </c>
      <c r="D1173" s="3">
        <v>19371.93</v>
      </c>
      <c r="E1173" s="2"/>
      <c r="F1173" s="3"/>
      <c r="G1173" s="2"/>
      <c r="H1173" s="3"/>
      <c r="I1173" s="65"/>
      <c r="K1173" s="65"/>
      <c r="M1173" s="65"/>
      <c r="O1173" s="65"/>
      <c r="Q1173" s="65"/>
      <c r="S1173" s="65"/>
      <c r="U1173" s="65"/>
      <c r="W1173" s="65"/>
      <c r="Y1173" s="65"/>
      <c r="AA1173" s="65"/>
      <c r="AC1173" s="65"/>
      <c r="AE1173" s="65"/>
      <c r="AG1173" s="65"/>
      <c r="AI1173" s="65"/>
      <c r="AK1173" s="65"/>
    </row>
    <row r="1174" spans="1:37" x14ac:dyDescent="0.25">
      <c r="A1174" s="2">
        <v>41554</v>
      </c>
      <c r="B1174" s="3">
        <v>2923.04</v>
      </c>
      <c r="C1174" s="2">
        <v>41570</v>
      </c>
      <c r="D1174" s="3">
        <v>18910.68</v>
      </c>
      <c r="E1174" s="2"/>
      <c r="F1174" s="3"/>
      <c r="G1174" s="2"/>
      <c r="H1174" s="3"/>
      <c r="I1174" s="65"/>
      <c r="K1174" s="65"/>
      <c r="M1174" s="65"/>
      <c r="O1174" s="65"/>
      <c r="Q1174" s="65"/>
      <c r="S1174" s="65"/>
      <c r="U1174" s="65"/>
      <c r="W1174" s="65"/>
      <c r="Y1174" s="65"/>
      <c r="AA1174" s="65"/>
      <c r="AC1174" s="65"/>
      <c r="AE1174" s="65"/>
      <c r="AG1174" s="65"/>
      <c r="AI1174" s="65"/>
      <c r="AK1174" s="65"/>
    </row>
    <row r="1175" spans="1:37" x14ac:dyDescent="0.25">
      <c r="A1175" s="2">
        <v>41555</v>
      </c>
      <c r="B1175" s="3">
        <v>2903.35</v>
      </c>
      <c r="C1175" s="2">
        <v>41571</v>
      </c>
      <c r="D1175" s="3">
        <v>19152.93</v>
      </c>
      <c r="E1175" s="2"/>
      <c r="F1175" s="3"/>
      <c r="G1175" s="2"/>
      <c r="H1175" s="3"/>
      <c r="I1175" s="65"/>
      <c r="K1175" s="65"/>
      <c r="M1175" s="65"/>
      <c r="O1175" s="65"/>
      <c r="Q1175" s="65"/>
      <c r="S1175" s="65"/>
      <c r="U1175" s="65"/>
      <c r="W1175" s="65"/>
      <c r="Y1175" s="65"/>
      <c r="AA1175" s="65"/>
      <c r="AC1175" s="65"/>
      <c r="AE1175" s="65"/>
      <c r="AG1175" s="65"/>
      <c r="AI1175" s="65"/>
      <c r="AK1175" s="65"/>
    </row>
    <row r="1176" spans="1:37" x14ac:dyDescent="0.25">
      <c r="A1176" s="2">
        <v>41556</v>
      </c>
      <c r="B1176" s="3">
        <v>2904.73</v>
      </c>
      <c r="C1176" s="2">
        <v>41572</v>
      </c>
      <c r="D1176" s="3">
        <v>18874.75</v>
      </c>
      <c r="E1176" s="2"/>
      <c r="F1176" s="3"/>
      <c r="G1176" s="2"/>
      <c r="H1176" s="3"/>
      <c r="I1176" s="65"/>
      <c r="K1176" s="65"/>
      <c r="M1176" s="65"/>
      <c r="O1176" s="65"/>
      <c r="Q1176" s="65"/>
      <c r="S1176" s="65"/>
      <c r="U1176" s="65"/>
      <c r="W1176" s="65"/>
      <c r="Y1176" s="65"/>
      <c r="AA1176" s="65"/>
      <c r="AC1176" s="65"/>
      <c r="AE1176" s="65"/>
      <c r="AG1176" s="65"/>
      <c r="AI1176" s="65"/>
      <c r="AK1176" s="65"/>
    </row>
    <row r="1177" spans="1:37" x14ac:dyDescent="0.25">
      <c r="A1177" s="2">
        <v>41557</v>
      </c>
      <c r="B1177" s="3">
        <v>2969.41</v>
      </c>
      <c r="C1177" s="2">
        <v>41575</v>
      </c>
      <c r="D1177" s="3">
        <v>18829.419999999998</v>
      </c>
      <c r="E1177" s="2"/>
      <c r="F1177" s="3"/>
      <c r="G1177" s="2"/>
      <c r="H1177" s="3"/>
      <c r="I1177" s="65"/>
      <c r="K1177" s="65"/>
      <c r="M1177" s="65"/>
      <c r="O1177" s="65"/>
      <c r="Q1177" s="65"/>
      <c r="S1177" s="65"/>
      <c r="U1177" s="65"/>
      <c r="W1177" s="65"/>
      <c r="Y1177" s="65"/>
      <c r="AA1177" s="65"/>
      <c r="AC1177" s="65"/>
      <c r="AE1177" s="65"/>
      <c r="AG1177" s="65"/>
      <c r="AI1177" s="65"/>
      <c r="AK1177" s="65"/>
    </row>
    <row r="1178" spans="1:37" x14ac:dyDescent="0.25">
      <c r="A1178" s="2">
        <v>41558</v>
      </c>
      <c r="B1178" s="3">
        <v>2974.28</v>
      </c>
      <c r="C1178" s="2">
        <v>41576</v>
      </c>
      <c r="D1178" s="3">
        <v>19256.900000000001</v>
      </c>
      <c r="E1178" s="2"/>
      <c r="F1178" s="3"/>
      <c r="G1178" s="2"/>
      <c r="H1178" s="3"/>
      <c r="I1178" s="65"/>
      <c r="K1178" s="65"/>
      <c r="M1178" s="65"/>
      <c r="O1178" s="65"/>
      <c r="Q1178" s="65"/>
      <c r="S1178" s="65"/>
      <c r="U1178" s="65"/>
      <c r="W1178" s="65"/>
      <c r="Y1178" s="65"/>
      <c r="AA1178" s="65"/>
      <c r="AC1178" s="65"/>
      <c r="AE1178" s="65"/>
      <c r="AG1178" s="65"/>
      <c r="AI1178" s="65"/>
      <c r="AK1178" s="65"/>
    </row>
    <row r="1179" spans="1:37" x14ac:dyDescent="0.25">
      <c r="A1179" s="2">
        <v>41561</v>
      </c>
      <c r="B1179" s="3">
        <v>2977.69</v>
      </c>
      <c r="C1179" s="2">
        <v>41577</v>
      </c>
      <c r="D1179" s="3">
        <v>19166.93</v>
      </c>
      <c r="E1179" s="2"/>
      <c r="F1179" s="3"/>
      <c r="G1179" s="2"/>
      <c r="H1179" s="3"/>
      <c r="I1179" s="65"/>
      <c r="K1179" s="65"/>
      <c r="M1179" s="65"/>
      <c r="O1179" s="65"/>
      <c r="Q1179" s="65"/>
      <c r="S1179" s="65"/>
      <c r="U1179" s="65"/>
      <c r="W1179" s="65"/>
      <c r="Y1179" s="65"/>
      <c r="AA1179" s="65"/>
      <c r="AC1179" s="65"/>
      <c r="AE1179" s="65"/>
      <c r="AG1179" s="65"/>
      <c r="AI1179" s="65"/>
      <c r="AK1179" s="65"/>
    </row>
    <row r="1180" spans="1:37" x14ac:dyDescent="0.25">
      <c r="A1180" s="2">
        <v>41562</v>
      </c>
      <c r="B1180" s="3">
        <v>3004.56</v>
      </c>
      <c r="C1180" s="2">
        <v>41578</v>
      </c>
      <c r="D1180" s="3">
        <v>19351.52</v>
      </c>
      <c r="E1180" s="2"/>
      <c r="F1180" s="3"/>
      <c r="G1180" s="2"/>
      <c r="H1180" s="3"/>
      <c r="I1180" s="65"/>
      <c r="K1180" s="65"/>
      <c r="M1180" s="65"/>
      <c r="O1180" s="65"/>
      <c r="Q1180" s="65"/>
      <c r="S1180" s="65"/>
      <c r="U1180" s="65"/>
      <c r="W1180" s="65"/>
      <c r="Y1180" s="65"/>
      <c r="AA1180" s="65"/>
      <c r="AC1180" s="65"/>
      <c r="AE1180" s="65"/>
      <c r="AG1180" s="65"/>
      <c r="AI1180" s="65"/>
      <c r="AK1180" s="65"/>
    </row>
    <row r="1181" spans="1:37" x14ac:dyDescent="0.25">
      <c r="A1181" s="2">
        <v>41563</v>
      </c>
      <c r="B1181" s="3">
        <v>3015.4</v>
      </c>
      <c r="C1181" s="2">
        <v>41579</v>
      </c>
      <c r="D1181" s="3">
        <v>19164.259999999998</v>
      </c>
      <c r="E1181" s="2"/>
      <c r="F1181" s="3"/>
      <c r="G1181" s="2"/>
      <c r="H1181" s="3"/>
      <c r="I1181" s="65"/>
      <c r="K1181" s="65"/>
      <c r="M1181" s="65"/>
      <c r="O1181" s="65"/>
      <c r="Q1181" s="65"/>
      <c r="S1181" s="65"/>
      <c r="U1181" s="65"/>
      <c r="W1181" s="65"/>
      <c r="Y1181" s="65"/>
      <c r="AA1181" s="65"/>
      <c r="AC1181" s="65"/>
      <c r="AE1181" s="65"/>
      <c r="AG1181" s="65"/>
      <c r="AI1181" s="65"/>
      <c r="AK1181" s="65"/>
    </row>
    <row r="1182" spans="1:37" x14ac:dyDescent="0.25">
      <c r="A1182" s="2">
        <v>41564</v>
      </c>
      <c r="B1182" s="3">
        <v>3010.39</v>
      </c>
      <c r="C1182" s="2">
        <v>41582</v>
      </c>
      <c r="D1182" s="3">
        <v>19310.689999999999</v>
      </c>
      <c r="E1182" s="2"/>
      <c r="F1182" s="3"/>
      <c r="G1182" s="2"/>
      <c r="H1182" s="3"/>
      <c r="I1182" s="65"/>
      <c r="K1182" s="65"/>
      <c r="M1182" s="65"/>
      <c r="O1182" s="65"/>
      <c r="Q1182" s="65"/>
      <c r="S1182" s="65"/>
      <c r="U1182" s="65"/>
      <c r="W1182" s="65"/>
      <c r="Y1182" s="65"/>
      <c r="AA1182" s="65"/>
      <c r="AC1182" s="65"/>
      <c r="AE1182" s="65"/>
      <c r="AG1182" s="65"/>
      <c r="AI1182" s="65"/>
      <c r="AK1182" s="65"/>
    </row>
    <row r="1183" spans="1:37" x14ac:dyDescent="0.25">
      <c r="A1183" s="2">
        <v>41565</v>
      </c>
      <c r="B1183" s="3">
        <v>3033.31</v>
      </c>
      <c r="C1183" s="2">
        <v>41583</v>
      </c>
      <c r="D1183" s="3">
        <v>19091.93</v>
      </c>
      <c r="E1183" s="2"/>
      <c r="F1183" s="3"/>
      <c r="G1183" s="2"/>
      <c r="H1183" s="3"/>
      <c r="I1183" s="65"/>
      <c r="K1183" s="65"/>
      <c r="M1183" s="65"/>
      <c r="O1183" s="65"/>
      <c r="Q1183" s="65"/>
      <c r="S1183" s="65"/>
      <c r="U1183" s="65"/>
      <c r="W1183" s="65"/>
      <c r="Y1183" s="65"/>
      <c r="AA1183" s="65"/>
      <c r="AC1183" s="65"/>
      <c r="AE1183" s="65"/>
      <c r="AG1183" s="65"/>
      <c r="AI1183" s="65"/>
      <c r="AK1183" s="65"/>
    </row>
    <row r="1184" spans="1:37" x14ac:dyDescent="0.25">
      <c r="A1184" s="2">
        <v>41568</v>
      </c>
      <c r="B1184" s="3">
        <v>3028.65</v>
      </c>
      <c r="C1184" s="2">
        <v>41584</v>
      </c>
      <c r="D1184" s="3">
        <v>19262.509999999998</v>
      </c>
      <c r="E1184" s="2"/>
      <c r="F1184" s="3"/>
      <c r="G1184" s="2"/>
      <c r="H1184" s="3"/>
      <c r="I1184" s="65"/>
      <c r="K1184" s="65"/>
      <c r="M1184" s="65"/>
      <c r="O1184" s="65"/>
      <c r="Q1184" s="65"/>
      <c r="S1184" s="65"/>
      <c r="U1184" s="65"/>
      <c r="W1184" s="65"/>
      <c r="Y1184" s="65"/>
      <c r="AA1184" s="65"/>
      <c r="AC1184" s="65"/>
      <c r="AE1184" s="65"/>
      <c r="AG1184" s="65"/>
      <c r="AI1184" s="65"/>
      <c r="AK1184" s="65"/>
    </row>
    <row r="1185" spans="1:37" x14ac:dyDescent="0.25">
      <c r="A1185" s="2">
        <v>41569</v>
      </c>
      <c r="B1185" s="3">
        <v>3045.77</v>
      </c>
      <c r="C1185" s="2">
        <v>41585</v>
      </c>
      <c r="D1185" s="3">
        <v>18863.41</v>
      </c>
      <c r="E1185" s="2"/>
      <c r="F1185" s="3"/>
      <c r="G1185" s="2"/>
      <c r="H1185" s="3"/>
      <c r="I1185" s="65"/>
      <c r="K1185" s="65"/>
      <c r="M1185" s="65"/>
      <c r="O1185" s="65"/>
      <c r="Q1185" s="65"/>
      <c r="S1185" s="65"/>
      <c r="U1185" s="65"/>
      <c r="W1185" s="65"/>
      <c r="Y1185" s="65"/>
      <c r="AA1185" s="65"/>
      <c r="AC1185" s="65"/>
      <c r="AE1185" s="65"/>
      <c r="AG1185" s="65"/>
      <c r="AI1185" s="65"/>
      <c r="AK1185" s="65"/>
    </row>
    <row r="1186" spans="1:37" x14ac:dyDescent="0.25">
      <c r="A1186" s="2">
        <v>41570</v>
      </c>
      <c r="B1186" s="3">
        <v>3017.16</v>
      </c>
      <c r="C1186" s="2">
        <v>41586</v>
      </c>
      <c r="D1186" s="3">
        <v>18961.71</v>
      </c>
      <c r="E1186" s="2"/>
      <c r="F1186" s="3"/>
      <c r="G1186" s="2"/>
      <c r="H1186" s="3"/>
      <c r="I1186" s="65"/>
      <c r="K1186" s="65"/>
      <c r="M1186" s="65"/>
      <c r="O1186" s="65"/>
      <c r="Q1186" s="65"/>
      <c r="S1186" s="65"/>
      <c r="U1186" s="65"/>
      <c r="W1186" s="65"/>
      <c r="Y1186" s="65"/>
      <c r="AA1186" s="65"/>
      <c r="AC1186" s="65"/>
      <c r="AE1186" s="65"/>
      <c r="AG1186" s="65"/>
      <c r="AI1186" s="65"/>
      <c r="AK1186" s="65"/>
    </row>
    <row r="1187" spans="1:37" x14ac:dyDescent="0.25">
      <c r="A1187" s="2">
        <v>41571</v>
      </c>
      <c r="B1187" s="3">
        <v>3038.96</v>
      </c>
      <c r="C1187" s="2">
        <v>41589</v>
      </c>
      <c r="D1187" s="3">
        <v>19107.849999999999</v>
      </c>
      <c r="E1187" s="2"/>
      <c r="F1187" s="3"/>
      <c r="G1187" s="2"/>
      <c r="H1187" s="3"/>
      <c r="I1187" s="65"/>
      <c r="K1187" s="65"/>
      <c r="M1187" s="65"/>
      <c r="O1187" s="65"/>
      <c r="Q1187" s="65"/>
      <c r="S1187" s="65"/>
      <c r="U1187" s="65"/>
      <c r="W1187" s="65"/>
      <c r="Y1187" s="65"/>
      <c r="AA1187" s="65"/>
      <c r="AC1187" s="65"/>
      <c r="AE1187" s="65"/>
      <c r="AG1187" s="65"/>
      <c r="AI1187" s="65"/>
      <c r="AK1187" s="65"/>
    </row>
    <row r="1188" spans="1:37" x14ac:dyDescent="0.25">
      <c r="A1188" s="2">
        <v>41572</v>
      </c>
      <c r="B1188" s="3">
        <v>3034.5</v>
      </c>
      <c r="C1188" s="2">
        <v>41590</v>
      </c>
      <c r="D1188" s="3">
        <v>19005.02</v>
      </c>
      <c r="E1188" s="2"/>
      <c r="F1188" s="3"/>
      <c r="G1188" s="2"/>
      <c r="H1188" s="3"/>
      <c r="I1188" s="65"/>
      <c r="K1188" s="65"/>
      <c r="M1188" s="65"/>
      <c r="O1188" s="65"/>
      <c r="Q1188" s="65"/>
      <c r="S1188" s="65"/>
      <c r="U1188" s="65"/>
      <c r="W1188" s="65"/>
      <c r="Y1188" s="65"/>
      <c r="AA1188" s="65"/>
      <c r="AC1188" s="65"/>
      <c r="AE1188" s="65"/>
      <c r="AG1188" s="65"/>
      <c r="AI1188" s="65"/>
      <c r="AK1188" s="65"/>
    </row>
    <row r="1189" spans="1:37" x14ac:dyDescent="0.25">
      <c r="A1189" s="2">
        <v>41575</v>
      </c>
      <c r="B1189" s="3">
        <v>3022.04</v>
      </c>
      <c r="C1189" s="2">
        <v>41591</v>
      </c>
      <c r="D1189" s="3">
        <v>18733.02</v>
      </c>
      <c r="E1189" s="2"/>
      <c r="F1189" s="3"/>
      <c r="G1189" s="2"/>
      <c r="H1189" s="3"/>
      <c r="I1189" s="65"/>
      <c r="K1189" s="65"/>
      <c r="M1189" s="65"/>
      <c r="O1189" s="65"/>
      <c r="Q1189" s="65"/>
      <c r="S1189" s="65"/>
      <c r="U1189" s="65"/>
      <c r="W1189" s="65"/>
      <c r="Y1189" s="65"/>
      <c r="AA1189" s="65"/>
      <c r="AC1189" s="65"/>
      <c r="AE1189" s="65"/>
      <c r="AG1189" s="65"/>
      <c r="AI1189" s="65"/>
      <c r="AK1189" s="65"/>
    </row>
    <row r="1190" spans="1:37" x14ac:dyDescent="0.25">
      <c r="A1190" s="2">
        <v>41576</v>
      </c>
      <c r="B1190" s="3">
        <v>3050.64</v>
      </c>
      <c r="C1190" s="2">
        <v>41592</v>
      </c>
      <c r="D1190" s="3">
        <v>18760.78</v>
      </c>
      <c r="E1190" s="2"/>
      <c r="F1190" s="3"/>
      <c r="G1190" s="2"/>
      <c r="H1190" s="3"/>
      <c r="I1190" s="65"/>
      <c r="K1190" s="65"/>
      <c r="M1190" s="65"/>
      <c r="O1190" s="65"/>
      <c r="Q1190" s="65"/>
      <c r="S1190" s="65"/>
      <c r="U1190" s="65"/>
      <c r="W1190" s="65"/>
      <c r="Y1190" s="65"/>
      <c r="AA1190" s="65"/>
      <c r="AC1190" s="65"/>
      <c r="AE1190" s="65"/>
      <c r="AG1190" s="65"/>
      <c r="AI1190" s="65"/>
      <c r="AK1190" s="65"/>
    </row>
    <row r="1191" spans="1:37" x14ac:dyDescent="0.25">
      <c r="A1191" s="2">
        <v>41577</v>
      </c>
      <c r="B1191" s="3">
        <v>3040.69</v>
      </c>
      <c r="C1191" s="2">
        <v>41593</v>
      </c>
      <c r="D1191" s="3">
        <v>18687.189999999999</v>
      </c>
      <c r="E1191" s="2"/>
      <c r="F1191" s="3"/>
      <c r="G1191" s="2"/>
      <c r="H1191" s="3"/>
      <c r="I1191" s="65"/>
      <c r="K1191" s="65"/>
      <c r="M1191" s="65"/>
      <c r="O1191" s="65"/>
      <c r="Q1191" s="65"/>
      <c r="S1191" s="65"/>
      <c r="U1191" s="65"/>
      <c r="W1191" s="65"/>
      <c r="Y1191" s="65"/>
      <c r="AA1191" s="65"/>
      <c r="AC1191" s="65"/>
      <c r="AE1191" s="65"/>
      <c r="AG1191" s="65"/>
      <c r="AI1191" s="65"/>
      <c r="AK1191" s="65"/>
    </row>
    <row r="1192" spans="1:37" x14ac:dyDescent="0.25">
      <c r="A1192" s="2">
        <v>41578</v>
      </c>
      <c r="B1192" s="3">
        <v>3067.95</v>
      </c>
      <c r="C1192" s="2">
        <v>41596</v>
      </c>
      <c r="D1192" s="3">
        <v>19105.46</v>
      </c>
      <c r="E1192" s="2"/>
      <c r="F1192" s="3"/>
      <c r="G1192" s="2"/>
      <c r="H1192" s="3"/>
      <c r="I1192" s="65"/>
      <c r="K1192" s="65"/>
      <c r="M1192" s="65"/>
      <c r="O1192" s="65"/>
      <c r="Q1192" s="65"/>
      <c r="S1192" s="65"/>
      <c r="U1192" s="65"/>
      <c r="W1192" s="65"/>
      <c r="Y1192" s="65"/>
      <c r="AA1192" s="65"/>
      <c r="AC1192" s="65"/>
      <c r="AE1192" s="65"/>
      <c r="AG1192" s="65"/>
      <c r="AI1192" s="65"/>
      <c r="AK1192" s="65"/>
    </row>
    <row r="1193" spans="1:37" x14ac:dyDescent="0.25">
      <c r="A1193" s="2">
        <v>41579</v>
      </c>
      <c r="B1193" s="3">
        <v>3052.14</v>
      </c>
      <c r="C1193" s="2">
        <v>41597</v>
      </c>
      <c r="D1193" s="3">
        <v>18766.78</v>
      </c>
      <c r="E1193" s="2"/>
      <c r="F1193" s="3"/>
      <c r="G1193" s="2"/>
      <c r="H1193" s="3"/>
      <c r="I1193" s="65"/>
      <c r="K1193" s="65"/>
      <c r="M1193" s="65"/>
      <c r="O1193" s="65"/>
      <c r="Q1193" s="65"/>
      <c r="S1193" s="65"/>
      <c r="U1193" s="65"/>
      <c r="W1193" s="65"/>
      <c r="Y1193" s="65"/>
      <c r="AA1193" s="65"/>
      <c r="AC1193" s="65"/>
      <c r="AE1193" s="65"/>
      <c r="AG1193" s="65"/>
      <c r="AI1193" s="65"/>
      <c r="AK1193" s="65"/>
    </row>
    <row r="1194" spans="1:37" x14ac:dyDescent="0.25">
      <c r="A1194" s="2">
        <v>41582</v>
      </c>
      <c r="B1194" s="3">
        <v>3061.18</v>
      </c>
      <c r="C1194" s="2">
        <v>41598</v>
      </c>
      <c r="D1194" s="3">
        <v>18728.25</v>
      </c>
      <c r="E1194" s="2"/>
      <c r="F1194" s="3"/>
      <c r="G1194" s="2"/>
      <c r="H1194" s="3"/>
      <c r="I1194" s="65"/>
      <c r="K1194" s="65"/>
      <c r="M1194" s="65"/>
      <c r="O1194" s="65"/>
      <c r="Q1194" s="65"/>
      <c r="S1194" s="65"/>
      <c r="U1194" s="65"/>
      <c r="W1194" s="65"/>
      <c r="Y1194" s="65"/>
      <c r="AA1194" s="65"/>
      <c r="AC1194" s="65"/>
      <c r="AE1194" s="65"/>
      <c r="AG1194" s="65"/>
      <c r="AI1194" s="65"/>
      <c r="AK1194" s="65"/>
    </row>
    <row r="1195" spans="1:37" x14ac:dyDescent="0.25">
      <c r="A1195" s="2">
        <v>41583</v>
      </c>
      <c r="B1195" s="3">
        <v>3035.92</v>
      </c>
      <c r="C1195" s="2">
        <v>41599</v>
      </c>
      <c r="D1195" s="3">
        <v>18841.849999999999</v>
      </c>
      <c r="E1195" s="2"/>
      <c r="F1195" s="3"/>
      <c r="G1195" s="2"/>
      <c r="H1195" s="3"/>
      <c r="I1195" s="65"/>
      <c r="K1195" s="65"/>
      <c r="M1195" s="65"/>
      <c r="O1195" s="65"/>
      <c r="Q1195" s="65"/>
      <c r="S1195" s="65"/>
      <c r="U1195" s="65"/>
      <c r="W1195" s="65"/>
      <c r="Y1195" s="65"/>
      <c r="AA1195" s="65"/>
      <c r="AC1195" s="65"/>
      <c r="AE1195" s="65"/>
      <c r="AG1195" s="65"/>
      <c r="AI1195" s="65"/>
      <c r="AK1195" s="65"/>
    </row>
    <row r="1196" spans="1:37" x14ac:dyDescent="0.25">
      <c r="A1196" s="2">
        <v>41584</v>
      </c>
      <c r="B1196" s="3">
        <v>3056.4</v>
      </c>
      <c r="C1196" s="2">
        <v>41600</v>
      </c>
      <c r="D1196" s="3">
        <v>18822.310000000001</v>
      </c>
      <c r="E1196" s="2"/>
      <c r="F1196" s="3"/>
      <c r="G1196" s="2"/>
      <c r="H1196" s="3"/>
      <c r="I1196" s="65"/>
      <c r="K1196" s="65"/>
      <c r="M1196" s="65"/>
      <c r="O1196" s="65"/>
      <c r="Q1196" s="65"/>
      <c r="S1196" s="65"/>
      <c r="U1196" s="65"/>
      <c r="W1196" s="65"/>
      <c r="Y1196" s="65"/>
      <c r="AA1196" s="65"/>
      <c r="AC1196" s="65"/>
      <c r="AE1196" s="65"/>
      <c r="AG1196" s="65"/>
      <c r="AI1196" s="65"/>
      <c r="AK1196" s="65"/>
    </row>
    <row r="1197" spans="1:37" x14ac:dyDescent="0.25">
      <c r="A1197" s="2">
        <v>41585</v>
      </c>
      <c r="B1197" s="3">
        <v>3042.98</v>
      </c>
      <c r="C1197" s="2">
        <v>41603</v>
      </c>
      <c r="D1197" s="3">
        <v>18784.3</v>
      </c>
      <c r="E1197" s="2"/>
      <c r="F1197" s="3"/>
      <c r="G1197" s="2"/>
      <c r="H1197" s="3"/>
      <c r="I1197" s="65"/>
      <c r="K1197" s="65"/>
      <c r="M1197" s="65"/>
      <c r="O1197" s="65"/>
      <c r="Q1197" s="65"/>
      <c r="S1197" s="65"/>
      <c r="U1197" s="65"/>
      <c r="W1197" s="65"/>
      <c r="Y1197" s="65"/>
      <c r="AA1197" s="65"/>
      <c r="AC1197" s="65"/>
      <c r="AE1197" s="65"/>
      <c r="AG1197" s="65"/>
      <c r="AI1197" s="65"/>
      <c r="AK1197" s="65"/>
    </row>
    <row r="1198" spans="1:37" x14ac:dyDescent="0.25">
      <c r="A1198" s="2">
        <v>41586</v>
      </c>
      <c r="B1198" s="3">
        <v>3034.91</v>
      </c>
      <c r="C1198" s="2">
        <v>41604</v>
      </c>
      <c r="D1198" s="3">
        <v>18774.27</v>
      </c>
      <c r="E1198" s="2"/>
      <c r="F1198" s="3"/>
      <c r="G1198" s="2"/>
      <c r="H1198" s="3"/>
      <c r="I1198" s="65"/>
      <c r="K1198" s="65"/>
      <c r="M1198" s="65"/>
      <c r="O1198" s="65"/>
      <c r="Q1198" s="65"/>
      <c r="S1198" s="65"/>
      <c r="U1198" s="65"/>
      <c r="W1198" s="65"/>
      <c r="Y1198" s="65"/>
      <c r="AA1198" s="65"/>
      <c r="AC1198" s="65"/>
      <c r="AE1198" s="65"/>
      <c r="AG1198" s="65"/>
      <c r="AI1198" s="65"/>
      <c r="AK1198" s="65"/>
    </row>
    <row r="1199" spans="1:37" x14ac:dyDescent="0.25">
      <c r="A1199" s="2">
        <v>41589</v>
      </c>
      <c r="B1199" s="3">
        <v>3052.83</v>
      </c>
      <c r="C1199" s="2">
        <v>41605</v>
      </c>
      <c r="D1199" s="3">
        <v>18924.79</v>
      </c>
      <c r="E1199" s="2"/>
      <c r="F1199" s="3"/>
      <c r="G1199" s="2"/>
      <c r="H1199" s="3"/>
      <c r="I1199" s="65"/>
      <c r="K1199" s="65"/>
      <c r="M1199" s="65"/>
      <c r="O1199" s="65"/>
      <c r="Q1199" s="65"/>
      <c r="S1199" s="65"/>
      <c r="U1199" s="65"/>
      <c r="W1199" s="65"/>
      <c r="Y1199" s="65"/>
      <c r="AA1199" s="65"/>
      <c r="AC1199" s="65"/>
      <c r="AE1199" s="65"/>
      <c r="AG1199" s="65"/>
      <c r="AI1199" s="65"/>
      <c r="AK1199" s="65"/>
    </row>
    <row r="1200" spans="1:37" x14ac:dyDescent="0.25">
      <c r="A1200" s="2">
        <v>41590</v>
      </c>
      <c r="B1200" s="3">
        <v>3034.68</v>
      </c>
      <c r="C1200" s="2">
        <v>41606</v>
      </c>
      <c r="D1200" s="3">
        <v>19099.36</v>
      </c>
      <c r="E1200" s="2"/>
      <c r="F1200" s="3"/>
      <c r="G1200" s="2"/>
      <c r="H1200" s="3"/>
      <c r="I1200" s="65"/>
      <c r="K1200" s="65"/>
      <c r="M1200" s="65"/>
      <c r="O1200" s="65"/>
      <c r="Q1200" s="65"/>
      <c r="S1200" s="65"/>
      <c r="U1200" s="65"/>
      <c r="W1200" s="65"/>
      <c r="Y1200" s="65"/>
      <c r="AA1200" s="65"/>
      <c r="AC1200" s="65"/>
      <c r="AE1200" s="65"/>
      <c r="AG1200" s="65"/>
      <c r="AI1200" s="65"/>
      <c r="AK1200" s="65"/>
    </row>
    <row r="1201" spans="1:37" x14ac:dyDescent="0.25">
      <c r="A1201" s="2">
        <v>41591</v>
      </c>
      <c r="B1201" s="3">
        <v>3021.17</v>
      </c>
      <c r="C1201" s="2">
        <v>41607</v>
      </c>
      <c r="D1201" s="3">
        <v>19021.48</v>
      </c>
      <c r="E1201" s="2"/>
      <c r="F1201" s="3"/>
      <c r="G1201" s="2"/>
      <c r="H1201" s="3"/>
      <c r="I1201" s="65"/>
      <c r="K1201" s="65"/>
      <c r="M1201" s="65"/>
      <c r="O1201" s="65"/>
      <c r="Q1201" s="65"/>
      <c r="S1201" s="65"/>
      <c r="U1201" s="65"/>
      <c r="W1201" s="65"/>
      <c r="Y1201" s="65"/>
      <c r="AA1201" s="65"/>
      <c r="AC1201" s="65"/>
      <c r="AE1201" s="65"/>
      <c r="AG1201" s="65"/>
      <c r="AI1201" s="65"/>
      <c r="AK1201" s="65"/>
    </row>
    <row r="1202" spans="1:37" x14ac:dyDescent="0.25">
      <c r="A1202" s="2">
        <v>41592</v>
      </c>
      <c r="B1202" s="3">
        <v>3053.69</v>
      </c>
      <c r="C1202" s="2">
        <v>41610</v>
      </c>
      <c r="D1202" s="3">
        <v>18732.560000000001</v>
      </c>
      <c r="E1202" s="2"/>
      <c r="F1202" s="3"/>
      <c r="G1202" s="2"/>
      <c r="H1202" s="3"/>
      <c r="I1202" s="65"/>
      <c r="K1202" s="65"/>
      <c r="M1202" s="65"/>
      <c r="O1202" s="65"/>
      <c r="Q1202" s="65"/>
      <c r="S1202" s="65"/>
      <c r="U1202" s="65"/>
      <c r="W1202" s="65"/>
      <c r="Y1202" s="65"/>
      <c r="AA1202" s="65"/>
      <c r="AC1202" s="65"/>
      <c r="AE1202" s="65"/>
      <c r="AG1202" s="65"/>
      <c r="AI1202" s="65"/>
      <c r="AK1202" s="65"/>
    </row>
    <row r="1203" spans="1:37" x14ac:dyDescent="0.25">
      <c r="A1203" s="2">
        <v>41593</v>
      </c>
      <c r="B1203" s="3">
        <v>3054.53</v>
      </c>
      <c r="C1203" s="2">
        <v>41611</v>
      </c>
      <c r="D1203" s="3">
        <v>18366.75</v>
      </c>
      <c r="E1203" s="2"/>
      <c r="F1203" s="3"/>
      <c r="G1203" s="2"/>
      <c r="H1203" s="3"/>
      <c r="I1203" s="65"/>
      <c r="K1203" s="65"/>
      <c r="M1203" s="65"/>
      <c r="O1203" s="65"/>
      <c r="Q1203" s="65"/>
      <c r="S1203" s="65"/>
      <c r="U1203" s="65"/>
      <c r="W1203" s="65"/>
      <c r="Y1203" s="65"/>
      <c r="AA1203" s="65"/>
      <c r="AC1203" s="65"/>
      <c r="AE1203" s="65"/>
      <c r="AG1203" s="65"/>
      <c r="AI1203" s="65"/>
      <c r="AK1203" s="65"/>
    </row>
    <row r="1204" spans="1:37" x14ac:dyDescent="0.25">
      <c r="A1204" s="2">
        <v>41596</v>
      </c>
      <c r="B1204" s="3">
        <v>3081.3</v>
      </c>
      <c r="C1204" s="2">
        <v>41612</v>
      </c>
      <c r="D1204" s="3">
        <v>18312.96</v>
      </c>
      <c r="E1204" s="2"/>
      <c r="F1204" s="3"/>
      <c r="G1204" s="2"/>
      <c r="H1204" s="3"/>
      <c r="I1204" s="65"/>
      <c r="K1204" s="65"/>
      <c r="M1204" s="65"/>
      <c r="O1204" s="65"/>
      <c r="Q1204" s="65"/>
      <c r="S1204" s="65"/>
      <c r="U1204" s="65"/>
      <c r="W1204" s="65"/>
      <c r="Y1204" s="65"/>
      <c r="AA1204" s="65"/>
      <c r="AC1204" s="65"/>
      <c r="AE1204" s="65"/>
      <c r="AG1204" s="65"/>
      <c r="AI1204" s="65"/>
      <c r="AK1204" s="65"/>
    </row>
    <row r="1205" spans="1:37" x14ac:dyDescent="0.25">
      <c r="A1205" s="2">
        <v>41597</v>
      </c>
      <c r="B1205" s="3">
        <v>3049.17</v>
      </c>
      <c r="C1205" s="2">
        <v>41613</v>
      </c>
      <c r="D1205" s="3">
        <v>17993.12</v>
      </c>
      <c r="E1205" s="2"/>
      <c r="F1205" s="3"/>
      <c r="G1205" s="2"/>
      <c r="H1205" s="3"/>
      <c r="I1205" s="65"/>
      <c r="K1205" s="65"/>
      <c r="M1205" s="65"/>
      <c r="O1205" s="65"/>
      <c r="Q1205" s="65"/>
      <c r="S1205" s="65"/>
      <c r="U1205" s="65"/>
      <c r="W1205" s="65"/>
      <c r="Y1205" s="65"/>
      <c r="AA1205" s="65"/>
      <c r="AC1205" s="65"/>
      <c r="AE1205" s="65"/>
      <c r="AG1205" s="65"/>
      <c r="AI1205" s="65"/>
      <c r="AK1205" s="65"/>
    </row>
    <row r="1206" spans="1:37" x14ac:dyDescent="0.25">
      <c r="A1206" s="2">
        <v>41598</v>
      </c>
      <c r="B1206" s="3">
        <v>3047.32</v>
      </c>
      <c r="C1206" s="2">
        <v>41614</v>
      </c>
      <c r="D1206" s="3">
        <v>18124.39</v>
      </c>
      <c r="E1206" s="2"/>
      <c r="F1206" s="3"/>
      <c r="G1206" s="2"/>
      <c r="H1206" s="3"/>
      <c r="I1206" s="65"/>
      <c r="K1206" s="65"/>
      <c r="M1206" s="65"/>
      <c r="O1206" s="65"/>
      <c r="Q1206" s="65"/>
      <c r="S1206" s="65"/>
      <c r="U1206" s="65"/>
      <c r="W1206" s="65"/>
      <c r="Y1206" s="65"/>
      <c r="AA1206" s="65"/>
      <c r="AC1206" s="65"/>
      <c r="AE1206" s="65"/>
      <c r="AG1206" s="65"/>
      <c r="AI1206" s="65"/>
      <c r="AK1206" s="65"/>
    </row>
    <row r="1207" spans="1:37" x14ac:dyDescent="0.25">
      <c r="A1207" s="2">
        <v>41599</v>
      </c>
      <c r="B1207" s="3">
        <v>3044.34</v>
      </c>
      <c r="C1207" s="2">
        <v>41617</v>
      </c>
      <c r="D1207" s="3">
        <v>18285.52</v>
      </c>
      <c r="E1207" s="2"/>
      <c r="F1207" s="3"/>
      <c r="G1207" s="2"/>
      <c r="H1207" s="3"/>
      <c r="I1207" s="65"/>
      <c r="K1207" s="65"/>
      <c r="M1207" s="65"/>
      <c r="O1207" s="65"/>
      <c r="Q1207" s="65"/>
      <c r="S1207" s="65"/>
      <c r="U1207" s="65"/>
      <c r="W1207" s="65"/>
      <c r="Y1207" s="65"/>
      <c r="AA1207" s="65"/>
      <c r="AC1207" s="65"/>
      <c r="AE1207" s="65"/>
      <c r="AG1207" s="65"/>
      <c r="AI1207" s="65"/>
      <c r="AK1207" s="65"/>
    </row>
    <row r="1208" spans="1:37" x14ac:dyDescent="0.25">
      <c r="A1208" s="2">
        <v>41600</v>
      </c>
      <c r="B1208" s="3">
        <v>3055.98</v>
      </c>
      <c r="C1208" s="2">
        <v>41618</v>
      </c>
      <c r="D1208" s="3">
        <v>18236.72</v>
      </c>
      <c r="E1208" s="2"/>
      <c r="F1208" s="3"/>
      <c r="G1208" s="2"/>
      <c r="H1208" s="3"/>
      <c r="I1208" s="65"/>
      <c r="K1208" s="65"/>
      <c r="M1208" s="65"/>
      <c r="O1208" s="65"/>
      <c r="Q1208" s="65"/>
      <c r="S1208" s="65"/>
      <c r="U1208" s="65"/>
      <c r="W1208" s="65"/>
      <c r="Y1208" s="65"/>
      <c r="AA1208" s="65"/>
      <c r="AC1208" s="65"/>
      <c r="AE1208" s="65"/>
      <c r="AG1208" s="65"/>
      <c r="AI1208" s="65"/>
      <c r="AK1208" s="65"/>
    </row>
    <row r="1209" spans="1:37" x14ac:dyDescent="0.25">
      <c r="A1209" s="2">
        <v>41603</v>
      </c>
      <c r="B1209" s="3">
        <v>3072.75</v>
      </c>
      <c r="C1209" s="2">
        <v>41619</v>
      </c>
      <c r="D1209" s="3">
        <v>17973.96</v>
      </c>
      <c r="E1209" s="2"/>
      <c r="F1209" s="3"/>
      <c r="G1209" s="2"/>
      <c r="H1209" s="3"/>
      <c r="I1209" s="65"/>
      <c r="K1209" s="65"/>
      <c r="M1209" s="65"/>
      <c r="O1209" s="65"/>
      <c r="Q1209" s="65"/>
      <c r="S1209" s="65"/>
      <c r="U1209" s="65"/>
      <c r="W1209" s="65"/>
      <c r="Y1209" s="65"/>
      <c r="AA1209" s="65"/>
      <c r="AC1209" s="65"/>
      <c r="AE1209" s="65"/>
      <c r="AG1209" s="65"/>
      <c r="AI1209" s="65"/>
      <c r="AK1209" s="65"/>
    </row>
    <row r="1210" spans="1:37" x14ac:dyDescent="0.25">
      <c r="A1210" s="2">
        <v>41604</v>
      </c>
      <c r="B1210" s="3">
        <v>3062.62</v>
      </c>
      <c r="C1210" s="2">
        <v>41620</v>
      </c>
      <c r="D1210" s="3">
        <v>17804.87</v>
      </c>
      <c r="E1210" s="2"/>
      <c r="F1210" s="3"/>
      <c r="G1210" s="2"/>
      <c r="H1210" s="3"/>
      <c r="I1210" s="65"/>
      <c r="K1210" s="65"/>
      <c r="M1210" s="65"/>
      <c r="O1210" s="65"/>
      <c r="Q1210" s="65"/>
      <c r="S1210" s="65"/>
      <c r="U1210" s="65"/>
      <c r="W1210" s="65"/>
      <c r="Y1210" s="65"/>
      <c r="AA1210" s="65"/>
      <c r="AC1210" s="65"/>
      <c r="AE1210" s="65"/>
      <c r="AG1210" s="65"/>
      <c r="AI1210" s="65"/>
      <c r="AK1210" s="65"/>
    </row>
    <row r="1211" spans="1:37" x14ac:dyDescent="0.25">
      <c r="A1211" s="2">
        <v>41605</v>
      </c>
      <c r="B1211" s="3">
        <v>3082.65</v>
      </c>
      <c r="C1211" s="2">
        <v>41621</v>
      </c>
      <c r="D1211" s="3">
        <v>17805.73</v>
      </c>
      <c r="E1211" s="2"/>
      <c r="F1211" s="3"/>
      <c r="G1211" s="2"/>
      <c r="H1211" s="3"/>
      <c r="I1211" s="65"/>
      <c r="K1211" s="65"/>
      <c r="M1211" s="65"/>
      <c r="O1211" s="65"/>
      <c r="Q1211" s="65"/>
      <c r="S1211" s="65"/>
      <c r="U1211" s="65"/>
      <c r="W1211" s="65"/>
      <c r="Y1211" s="65"/>
      <c r="AA1211" s="65"/>
      <c r="AC1211" s="65"/>
      <c r="AE1211" s="65"/>
      <c r="AG1211" s="65"/>
      <c r="AI1211" s="65"/>
      <c r="AK1211" s="65"/>
    </row>
    <row r="1212" spans="1:37" x14ac:dyDescent="0.25">
      <c r="A1212" s="2">
        <v>41606</v>
      </c>
      <c r="B1212" s="3">
        <v>3092.42</v>
      </c>
      <c r="C1212" s="2">
        <v>41624</v>
      </c>
      <c r="D1212" s="3">
        <v>18222.419999999998</v>
      </c>
      <c r="E1212" s="2"/>
      <c r="F1212" s="3"/>
      <c r="G1212" s="2"/>
      <c r="H1212" s="3"/>
      <c r="I1212" s="65"/>
      <c r="K1212" s="65"/>
      <c r="M1212" s="65"/>
      <c r="O1212" s="65"/>
      <c r="Q1212" s="65"/>
      <c r="S1212" s="65"/>
      <c r="U1212" s="65"/>
      <c r="W1212" s="65"/>
      <c r="Y1212" s="65"/>
      <c r="AA1212" s="65"/>
      <c r="AC1212" s="65"/>
      <c r="AE1212" s="65"/>
      <c r="AG1212" s="65"/>
      <c r="AI1212" s="65"/>
      <c r="AK1212" s="65"/>
    </row>
    <row r="1213" spans="1:37" x14ac:dyDescent="0.25">
      <c r="A1213" s="2">
        <v>41607</v>
      </c>
      <c r="B1213" s="3">
        <v>3086.64</v>
      </c>
      <c r="C1213" s="2">
        <v>41625</v>
      </c>
      <c r="D1213" s="3">
        <v>17925.21</v>
      </c>
      <c r="E1213" s="2"/>
      <c r="F1213" s="3"/>
      <c r="G1213" s="2"/>
      <c r="H1213" s="3"/>
      <c r="I1213" s="65"/>
      <c r="K1213" s="65"/>
      <c r="M1213" s="65"/>
      <c r="O1213" s="65"/>
      <c r="Q1213" s="65"/>
      <c r="S1213" s="65"/>
      <c r="U1213" s="65"/>
      <c r="W1213" s="65"/>
      <c r="Y1213" s="65"/>
      <c r="AA1213" s="65"/>
      <c r="AC1213" s="65"/>
      <c r="AE1213" s="65"/>
      <c r="AG1213" s="65"/>
      <c r="AI1213" s="65"/>
      <c r="AK1213" s="65"/>
    </row>
    <row r="1214" spans="1:37" x14ac:dyDescent="0.25">
      <c r="A1214" s="2">
        <v>41610</v>
      </c>
      <c r="B1214" s="3">
        <v>3077.23</v>
      </c>
      <c r="C1214" s="2">
        <v>41626</v>
      </c>
      <c r="D1214" s="3">
        <v>18131.490000000002</v>
      </c>
      <c r="E1214" s="2"/>
      <c r="F1214" s="3"/>
      <c r="G1214" s="2"/>
      <c r="H1214" s="3"/>
      <c r="I1214" s="65"/>
      <c r="K1214" s="65"/>
      <c r="M1214" s="65"/>
      <c r="O1214" s="65"/>
      <c r="Q1214" s="65"/>
      <c r="S1214" s="65"/>
      <c r="U1214" s="65"/>
      <c r="W1214" s="65"/>
      <c r="Y1214" s="65"/>
      <c r="AA1214" s="65"/>
      <c r="AC1214" s="65"/>
      <c r="AE1214" s="65"/>
      <c r="AG1214" s="65"/>
      <c r="AI1214" s="65"/>
      <c r="AK1214" s="65"/>
    </row>
    <row r="1215" spans="1:37" x14ac:dyDescent="0.25">
      <c r="A1215" s="2">
        <v>41611</v>
      </c>
      <c r="B1215" s="3">
        <v>3013.88</v>
      </c>
      <c r="C1215" s="2">
        <v>41627</v>
      </c>
      <c r="D1215" s="3">
        <v>18453.990000000002</v>
      </c>
      <c r="E1215" s="2"/>
      <c r="F1215" s="3"/>
      <c r="G1215" s="2"/>
      <c r="H1215" s="3"/>
      <c r="I1215" s="65"/>
      <c r="K1215" s="65"/>
      <c r="M1215" s="65"/>
      <c r="O1215" s="65"/>
      <c r="Q1215" s="65"/>
      <c r="S1215" s="65"/>
      <c r="U1215" s="65"/>
      <c r="W1215" s="65"/>
      <c r="Y1215" s="65"/>
      <c r="AA1215" s="65"/>
      <c r="AC1215" s="65"/>
      <c r="AE1215" s="65"/>
      <c r="AG1215" s="65"/>
      <c r="AI1215" s="65"/>
      <c r="AK1215" s="65"/>
    </row>
    <row r="1216" spans="1:37" x14ac:dyDescent="0.25">
      <c r="A1216" s="2">
        <v>41612</v>
      </c>
      <c r="B1216" s="3">
        <v>2991.76</v>
      </c>
      <c r="C1216" s="2">
        <v>41628</v>
      </c>
      <c r="D1216" s="3">
        <v>18565.61</v>
      </c>
      <c r="E1216" s="2"/>
      <c r="F1216" s="3"/>
      <c r="G1216" s="2"/>
      <c r="H1216" s="3"/>
      <c r="I1216" s="65"/>
      <c r="K1216" s="65"/>
      <c r="M1216" s="65"/>
      <c r="O1216" s="65"/>
      <c r="Q1216" s="65"/>
      <c r="S1216" s="65"/>
      <c r="U1216" s="65"/>
      <c r="W1216" s="65"/>
      <c r="Y1216" s="65"/>
      <c r="AA1216" s="65"/>
      <c r="AC1216" s="65"/>
      <c r="AE1216" s="65"/>
      <c r="AG1216" s="65"/>
      <c r="AI1216" s="65"/>
      <c r="AK1216" s="65"/>
    </row>
    <row r="1217" spans="1:37" x14ac:dyDescent="0.25">
      <c r="A1217" s="2">
        <v>41613</v>
      </c>
      <c r="B1217" s="3">
        <v>2953.17</v>
      </c>
      <c r="C1217" s="2">
        <v>41631</v>
      </c>
      <c r="D1217" s="3">
        <v>18697.150000000001</v>
      </c>
      <c r="E1217" s="2"/>
      <c r="F1217" s="3"/>
      <c r="G1217" s="2"/>
      <c r="H1217" s="3"/>
      <c r="I1217" s="65"/>
      <c r="K1217" s="65"/>
      <c r="M1217" s="65"/>
      <c r="O1217" s="65"/>
      <c r="Q1217" s="65"/>
      <c r="S1217" s="65"/>
      <c r="U1217" s="65"/>
      <c r="W1217" s="65"/>
      <c r="Y1217" s="65"/>
      <c r="AA1217" s="65"/>
      <c r="AC1217" s="65"/>
      <c r="AE1217" s="65"/>
      <c r="AG1217" s="65"/>
      <c r="AI1217" s="65"/>
      <c r="AK1217" s="65"/>
    </row>
    <row r="1218" spans="1:37" x14ac:dyDescent="0.25">
      <c r="A1218" s="2">
        <v>41614</v>
      </c>
      <c r="B1218" s="3">
        <v>2979.94</v>
      </c>
      <c r="C1218" s="2">
        <v>41635</v>
      </c>
      <c r="D1218" s="3">
        <v>18956.52</v>
      </c>
      <c r="E1218" s="2"/>
      <c r="F1218" s="3"/>
      <c r="G1218" s="2"/>
      <c r="H1218" s="3"/>
      <c r="I1218" s="65"/>
      <c r="K1218" s="65"/>
      <c r="M1218" s="65"/>
      <c r="O1218" s="65"/>
      <c r="Q1218" s="65"/>
      <c r="S1218" s="65"/>
      <c r="U1218" s="65"/>
      <c r="W1218" s="65"/>
      <c r="Y1218" s="65"/>
      <c r="AA1218" s="65"/>
      <c r="AC1218" s="65"/>
      <c r="AE1218" s="65"/>
      <c r="AG1218" s="65"/>
      <c r="AI1218" s="65"/>
      <c r="AK1218" s="65"/>
    </row>
    <row r="1219" spans="1:37" x14ac:dyDescent="0.25">
      <c r="A1219" s="2">
        <v>41617</v>
      </c>
      <c r="B1219" s="3">
        <v>2988.67</v>
      </c>
      <c r="C1219" s="2">
        <v>41638</v>
      </c>
      <c r="D1219" s="3">
        <v>18967.71</v>
      </c>
      <c r="E1219" s="2"/>
      <c r="F1219" s="3"/>
      <c r="G1219" s="2"/>
      <c r="H1219" s="3"/>
      <c r="I1219" s="65"/>
      <c r="K1219" s="65"/>
      <c r="M1219" s="65"/>
      <c r="O1219" s="65"/>
      <c r="Q1219" s="65"/>
      <c r="S1219" s="65"/>
      <c r="U1219" s="65"/>
      <c r="W1219" s="65"/>
      <c r="Y1219" s="65"/>
      <c r="AA1219" s="65"/>
      <c r="AC1219" s="65"/>
      <c r="AE1219" s="65"/>
      <c r="AG1219" s="65"/>
      <c r="AI1219" s="65"/>
      <c r="AK1219" s="65"/>
    </row>
    <row r="1220" spans="1:37" x14ac:dyDescent="0.25">
      <c r="A1220" s="2">
        <v>41618</v>
      </c>
      <c r="B1220" s="3">
        <v>2960.86</v>
      </c>
      <c r="C1220" s="2">
        <v>41641</v>
      </c>
      <c r="D1220" s="3">
        <v>18929.63</v>
      </c>
      <c r="E1220" s="2"/>
      <c r="F1220" s="3"/>
      <c r="G1220" s="2"/>
      <c r="H1220" s="3"/>
      <c r="I1220" s="65"/>
      <c r="K1220" s="65"/>
      <c r="M1220" s="65"/>
      <c r="O1220" s="65"/>
      <c r="Q1220" s="65"/>
      <c r="S1220" s="65"/>
      <c r="U1220" s="65"/>
      <c r="W1220" s="65"/>
      <c r="Y1220" s="65"/>
      <c r="AA1220" s="65"/>
      <c r="AC1220" s="65"/>
      <c r="AE1220" s="65"/>
      <c r="AG1220" s="65"/>
      <c r="AI1220" s="65"/>
      <c r="AK1220" s="65"/>
    </row>
    <row r="1221" spans="1:37" x14ac:dyDescent="0.25">
      <c r="A1221" s="2">
        <v>41619</v>
      </c>
      <c r="B1221" s="3">
        <v>2947.31</v>
      </c>
      <c r="C1221" s="2">
        <v>41642</v>
      </c>
      <c r="D1221" s="3">
        <v>19112.650000000001</v>
      </c>
      <c r="E1221" s="2"/>
      <c r="F1221" s="3"/>
      <c r="G1221" s="2"/>
      <c r="H1221" s="3"/>
      <c r="I1221" s="65"/>
      <c r="K1221" s="65"/>
      <c r="M1221" s="65"/>
      <c r="O1221" s="65"/>
      <c r="Q1221" s="65"/>
      <c r="S1221" s="65"/>
      <c r="U1221" s="65"/>
      <c r="W1221" s="65"/>
      <c r="Y1221" s="65"/>
      <c r="AA1221" s="65"/>
      <c r="AC1221" s="65"/>
      <c r="AE1221" s="65"/>
      <c r="AG1221" s="65"/>
      <c r="AI1221" s="65"/>
      <c r="AK1221" s="65"/>
    </row>
    <row r="1222" spans="1:37" x14ac:dyDescent="0.25">
      <c r="A1222" s="2">
        <v>41620</v>
      </c>
      <c r="B1222" s="3">
        <v>2928.12</v>
      </c>
      <c r="C1222" s="2">
        <v>41645</v>
      </c>
      <c r="D1222" s="3">
        <v>19233.740000000002</v>
      </c>
      <c r="E1222" s="2"/>
      <c r="F1222" s="3"/>
      <c r="G1222" s="2"/>
      <c r="H1222" s="3"/>
      <c r="I1222" s="65"/>
      <c r="K1222" s="65"/>
      <c r="M1222" s="65"/>
      <c r="O1222" s="65"/>
      <c r="Q1222" s="65"/>
      <c r="S1222" s="65"/>
      <c r="U1222" s="65"/>
      <c r="W1222" s="65"/>
      <c r="Y1222" s="65"/>
      <c r="AA1222" s="65"/>
      <c r="AC1222" s="65"/>
      <c r="AE1222" s="65"/>
      <c r="AG1222" s="65"/>
      <c r="AI1222" s="65"/>
      <c r="AK1222" s="65"/>
    </row>
    <row r="1223" spans="1:37" x14ac:dyDescent="0.25">
      <c r="A1223" s="2">
        <v>41621</v>
      </c>
      <c r="B1223" s="3">
        <v>2921.92</v>
      </c>
      <c r="C1223" s="2">
        <v>41646</v>
      </c>
      <c r="D1223" s="3">
        <v>19468.75</v>
      </c>
      <c r="E1223" s="2"/>
      <c r="F1223" s="3"/>
      <c r="G1223" s="2"/>
      <c r="H1223" s="3"/>
      <c r="I1223" s="65"/>
      <c r="K1223" s="65"/>
      <c r="M1223" s="65"/>
      <c r="O1223" s="65"/>
      <c r="Q1223" s="65"/>
      <c r="S1223" s="65"/>
      <c r="U1223" s="65"/>
      <c r="W1223" s="65"/>
      <c r="Y1223" s="65"/>
      <c r="AA1223" s="65"/>
      <c r="AC1223" s="65"/>
      <c r="AE1223" s="65"/>
      <c r="AG1223" s="65"/>
      <c r="AI1223" s="65"/>
      <c r="AK1223" s="65"/>
    </row>
    <row r="1224" spans="1:37" x14ac:dyDescent="0.25">
      <c r="A1224" s="2">
        <v>41624</v>
      </c>
      <c r="B1224" s="3">
        <v>2978.77</v>
      </c>
      <c r="C1224" s="2">
        <v>41647</v>
      </c>
      <c r="D1224" s="3">
        <v>19436.3</v>
      </c>
      <c r="E1224" s="2"/>
      <c r="F1224" s="3"/>
      <c r="G1224" s="2"/>
      <c r="H1224" s="3"/>
      <c r="I1224" s="65"/>
      <c r="K1224" s="65"/>
      <c r="M1224" s="65"/>
      <c r="O1224" s="65"/>
      <c r="Q1224" s="65"/>
      <c r="S1224" s="65"/>
      <c r="U1224" s="65"/>
      <c r="W1224" s="65"/>
      <c r="Y1224" s="65"/>
      <c r="AA1224" s="65"/>
      <c r="AC1224" s="65"/>
      <c r="AE1224" s="65"/>
      <c r="AG1224" s="65"/>
      <c r="AI1224" s="65"/>
      <c r="AK1224" s="65"/>
    </row>
    <row r="1225" spans="1:37" x14ac:dyDescent="0.25">
      <c r="A1225" s="2">
        <v>41625</v>
      </c>
      <c r="B1225" s="3">
        <v>2941.76</v>
      </c>
      <c r="C1225" s="2">
        <v>41648</v>
      </c>
      <c r="D1225" s="3">
        <v>19503</v>
      </c>
      <c r="E1225" s="2"/>
      <c r="F1225" s="3"/>
      <c r="G1225" s="2"/>
      <c r="H1225" s="3"/>
      <c r="I1225" s="65"/>
      <c r="K1225" s="65"/>
      <c r="M1225" s="65"/>
      <c r="O1225" s="65"/>
      <c r="Q1225" s="65"/>
      <c r="S1225" s="65"/>
      <c r="U1225" s="65"/>
      <c r="W1225" s="65"/>
      <c r="Y1225" s="65"/>
      <c r="AA1225" s="65"/>
      <c r="AC1225" s="65"/>
      <c r="AE1225" s="65"/>
      <c r="AG1225" s="65"/>
      <c r="AI1225" s="65"/>
      <c r="AK1225" s="65"/>
    </row>
    <row r="1226" spans="1:37" x14ac:dyDescent="0.25">
      <c r="A1226" s="2">
        <v>41626</v>
      </c>
      <c r="B1226" s="3">
        <v>2975.09</v>
      </c>
      <c r="C1226" s="2">
        <v>41649</v>
      </c>
      <c r="D1226" s="3">
        <v>19569</v>
      </c>
      <c r="E1226" s="2"/>
      <c r="F1226" s="3"/>
      <c r="G1226" s="2"/>
      <c r="H1226" s="3"/>
      <c r="I1226" s="65"/>
      <c r="K1226" s="65"/>
      <c r="M1226" s="65"/>
      <c r="O1226" s="65"/>
      <c r="Q1226" s="65"/>
      <c r="S1226" s="65"/>
      <c r="U1226" s="65"/>
      <c r="W1226" s="65"/>
      <c r="Y1226" s="65"/>
      <c r="AA1226" s="65"/>
      <c r="AC1226" s="65"/>
      <c r="AE1226" s="65"/>
      <c r="AG1226" s="65"/>
      <c r="AI1226" s="65"/>
      <c r="AK1226" s="65"/>
    </row>
    <row r="1227" spans="1:37" x14ac:dyDescent="0.25">
      <c r="A1227" s="2">
        <v>41627</v>
      </c>
      <c r="B1227" s="3">
        <v>3031.05</v>
      </c>
      <c r="C1227" s="2">
        <v>41652</v>
      </c>
      <c r="D1227" s="3">
        <v>19697.25</v>
      </c>
      <c r="E1227" s="2"/>
      <c r="F1227" s="3"/>
      <c r="G1227" s="2"/>
      <c r="H1227" s="3"/>
      <c r="I1227" s="65"/>
      <c r="K1227" s="65"/>
      <c r="M1227" s="65"/>
      <c r="O1227" s="65"/>
      <c r="Q1227" s="65"/>
      <c r="S1227" s="65"/>
      <c r="U1227" s="65"/>
      <c r="W1227" s="65"/>
      <c r="Y1227" s="65"/>
      <c r="AA1227" s="65"/>
      <c r="AC1227" s="65"/>
      <c r="AE1227" s="65"/>
      <c r="AG1227" s="65"/>
      <c r="AI1227" s="65"/>
      <c r="AK1227" s="65"/>
    </row>
    <row r="1228" spans="1:37" x14ac:dyDescent="0.25">
      <c r="A1228" s="2">
        <v>41628</v>
      </c>
      <c r="B1228" s="3">
        <v>3049.35</v>
      </c>
      <c r="C1228" s="2">
        <v>41653</v>
      </c>
      <c r="D1228" s="3">
        <v>19730.38</v>
      </c>
      <c r="E1228" s="2"/>
      <c r="F1228" s="3"/>
      <c r="G1228" s="2"/>
      <c r="H1228" s="3"/>
      <c r="I1228" s="65"/>
      <c r="K1228" s="65"/>
      <c r="M1228" s="65"/>
      <c r="O1228" s="65"/>
      <c r="Q1228" s="65"/>
      <c r="S1228" s="65"/>
      <c r="U1228" s="65"/>
      <c r="W1228" s="65"/>
      <c r="Y1228" s="65"/>
      <c r="AA1228" s="65"/>
      <c r="AC1228" s="65"/>
      <c r="AE1228" s="65"/>
      <c r="AG1228" s="65"/>
      <c r="AI1228" s="65"/>
      <c r="AK1228" s="65"/>
    </row>
    <row r="1229" spans="1:37" x14ac:dyDescent="0.25">
      <c r="A1229" s="2">
        <v>41631</v>
      </c>
      <c r="B1229" s="3">
        <v>3070.91</v>
      </c>
      <c r="C1229" s="2">
        <v>41654</v>
      </c>
      <c r="D1229" s="3">
        <v>20045.759999999998</v>
      </c>
      <c r="E1229" s="2"/>
      <c r="F1229" s="3"/>
      <c r="G1229" s="2"/>
      <c r="H1229" s="3"/>
      <c r="I1229" s="65"/>
      <c r="K1229" s="65"/>
      <c r="M1229" s="65"/>
      <c r="O1229" s="65"/>
      <c r="Q1229" s="65"/>
      <c r="S1229" s="65"/>
      <c r="U1229" s="65"/>
      <c r="W1229" s="65"/>
      <c r="Y1229" s="65"/>
      <c r="AA1229" s="65"/>
      <c r="AC1229" s="65"/>
      <c r="AE1229" s="65"/>
      <c r="AG1229" s="65"/>
      <c r="AI1229" s="65"/>
      <c r="AK1229" s="65"/>
    </row>
    <row r="1230" spans="1:37" x14ac:dyDescent="0.25">
      <c r="A1230" s="2">
        <v>41632</v>
      </c>
      <c r="B1230" s="3">
        <v>3072.88</v>
      </c>
      <c r="C1230" s="2">
        <v>41655</v>
      </c>
      <c r="D1230" s="3">
        <v>19875.689999999999</v>
      </c>
      <c r="E1230" s="2"/>
      <c r="F1230" s="3"/>
      <c r="G1230" s="2"/>
      <c r="H1230" s="3"/>
      <c r="I1230" s="65"/>
      <c r="K1230" s="65"/>
      <c r="M1230" s="65"/>
      <c r="O1230" s="65"/>
      <c r="Q1230" s="65"/>
      <c r="S1230" s="65"/>
      <c r="U1230" s="65"/>
      <c r="W1230" s="65"/>
      <c r="Y1230" s="65"/>
      <c r="AA1230" s="65"/>
      <c r="AC1230" s="65"/>
      <c r="AE1230" s="65"/>
      <c r="AG1230" s="65"/>
      <c r="AI1230" s="65"/>
      <c r="AK1230" s="65"/>
    </row>
    <row r="1231" spans="1:37" x14ac:dyDescent="0.25">
      <c r="A1231" s="2">
        <v>41635</v>
      </c>
      <c r="B1231" s="3">
        <v>3111.37</v>
      </c>
      <c r="C1231" s="2">
        <v>41656</v>
      </c>
      <c r="D1231" s="3">
        <v>19969.330000000002</v>
      </c>
      <c r="E1231" s="2"/>
      <c r="F1231" s="3"/>
      <c r="G1231" s="2"/>
      <c r="H1231" s="3"/>
      <c r="I1231" s="65"/>
      <c r="K1231" s="65"/>
      <c r="M1231" s="65"/>
      <c r="O1231" s="65"/>
      <c r="Q1231" s="65"/>
      <c r="S1231" s="65"/>
      <c r="U1231" s="65"/>
      <c r="W1231" s="65"/>
      <c r="Y1231" s="65"/>
      <c r="AA1231" s="65"/>
      <c r="AC1231" s="65"/>
      <c r="AE1231" s="65"/>
      <c r="AG1231" s="65"/>
      <c r="AI1231" s="65"/>
      <c r="AK1231" s="65"/>
    </row>
    <row r="1232" spans="1:37" x14ac:dyDescent="0.25">
      <c r="A1232" s="2">
        <v>41638</v>
      </c>
      <c r="B1232" s="3">
        <v>3100.93</v>
      </c>
      <c r="C1232" s="2">
        <v>41659</v>
      </c>
      <c r="D1232" s="3">
        <v>19973.45</v>
      </c>
      <c r="E1232" s="2"/>
      <c r="F1232" s="3"/>
      <c r="G1232" s="2"/>
      <c r="H1232" s="3"/>
      <c r="I1232" s="65"/>
      <c r="K1232" s="65"/>
      <c r="M1232" s="65"/>
      <c r="O1232" s="65"/>
      <c r="Q1232" s="65"/>
      <c r="S1232" s="65"/>
      <c r="U1232" s="65"/>
      <c r="W1232" s="65"/>
      <c r="Y1232" s="65"/>
      <c r="AA1232" s="65"/>
      <c r="AC1232" s="65"/>
      <c r="AE1232" s="65"/>
      <c r="AG1232" s="65"/>
      <c r="AI1232" s="65"/>
      <c r="AK1232" s="65"/>
    </row>
    <row r="1233" spans="1:37" x14ac:dyDescent="0.25">
      <c r="A1233" s="2">
        <v>41639</v>
      </c>
      <c r="B1233" s="3">
        <v>3109</v>
      </c>
      <c r="C1233" s="2">
        <v>41660</v>
      </c>
      <c r="D1233" s="3">
        <v>19995.75</v>
      </c>
      <c r="E1233" s="2"/>
      <c r="F1233" s="3"/>
      <c r="G1233" s="2"/>
      <c r="H1233" s="3"/>
      <c r="I1233" s="65"/>
      <c r="K1233" s="65"/>
      <c r="M1233" s="65"/>
      <c r="O1233" s="65"/>
      <c r="Q1233" s="65"/>
      <c r="S1233" s="65"/>
      <c r="U1233" s="65"/>
      <c r="W1233" s="65"/>
      <c r="Y1233" s="65"/>
      <c r="AA1233" s="65"/>
      <c r="AC1233" s="65"/>
      <c r="AE1233" s="65"/>
      <c r="AG1233" s="65"/>
      <c r="AI1233" s="65"/>
      <c r="AK1233" s="65"/>
    </row>
    <row r="1234" spans="1:37" x14ac:dyDescent="0.25">
      <c r="A1234" s="2">
        <v>41641</v>
      </c>
      <c r="B1234" s="3">
        <v>3059.93</v>
      </c>
      <c r="C1234" s="2">
        <v>41661</v>
      </c>
      <c r="D1234" s="3">
        <v>19958.38</v>
      </c>
      <c r="E1234" s="2"/>
      <c r="F1234" s="3"/>
      <c r="G1234" s="2"/>
      <c r="H1234" s="3"/>
      <c r="I1234" s="65"/>
      <c r="K1234" s="65"/>
      <c r="M1234" s="65"/>
      <c r="O1234" s="65"/>
      <c r="Q1234" s="65"/>
      <c r="S1234" s="65"/>
      <c r="U1234" s="65"/>
      <c r="W1234" s="65"/>
      <c r="Y1234" s="65"/>
      <c r="AA1234" s="65"/>
      <c r="AC1234" s="65"/>
      <c r="AE1234" s="65"/>
      <c r="AG1234" s="65"/>
      <c r="AI1234" s="65"/>
      <c r="AK1234" s="65"/>
    </row>
    <row r="1235" spans="1:37" x14ac:dyDescent="0.25">
      <c r="A1235" s="2">
        <v>41642</v>
      </c>
      <c r="B1235" s="3">
        <v>3074.43</v>
      </c>
      <c r="C1235" s="2">
        <v>41662</v>
      </c>
      <c r="D1235" s="3">
        <v>19814.55</v>
      </c>
      <c r="E1235" s="2"/>
      <c r="F1235" s="3"/>
      <c r="G1235" s="2"/>
      <c r="H1235" s="3"/>
      <c r="I1235" s="65"/>
      <c r="K1235" s="65"/>
      <c r="M1235" s="65"/>
      <c r="O1235" s="65"/>
      <c r="Q1235" s="65"/>
      <c r="S1235" s="65"/>
      <c r="U1235" s="65"/>
      <c r="W1235" s="65"/>
      <c r="Y1235" s="65"/>
      <c r="AA1235" s="65"/>
      <c r="AC1235" s="65"/>
      <c r="AE1235" s="65"/>
      <c r="AG1235" s="65"/>
      <c r="AI1235" s="65"/>
      <c r="AK1235" s="65"/>
    </row>
    <row r="1236" spans="1:37" x14ac:dyDescent="0.25">
      <c r="A1236" s="2">
        <v>41645</v>
      </c>
      <c r="B1236" s="3">
        <v>3069.16</v>
      </c>
      <c r="C1236" s="2">
        <v>41663</v>
      </c>
      <c r="D1236" s="3">
        <v>19358.990000000002</v>
      </c>
      <c r="E1236" s="2"/>
      <c r="F1236" s="3"/>
      <c r="G1236" s="2"/>
      <c r="H1236" s="3"/>
      <c r="I1236" s="65"/>
      <c r="K1236" s="65"/>
      <c r="M1236" s="65"/>
      <c r="O1236" s="65"/>
      <c r="Q1236" s="65"/>
      <c r="S1236" s="65"/>
      <c r="U1236" s="65"/>
      <c r="W1236" s="65"/>
      <c r="Y1236" s="65"/>
      <c r="AA1236" s="65"/>
      <c r="AC1236" s="65"/>
      <c r="AE1236" s="65"/>
      <c r="AG1236" s="65"/>
      <c r="AI1236" s="65"/>
      <c r="AK1236" s="65"/>
    </row>
    <row r="1237" spans="1:37" x14ac:dyDescent="0.25">
      <c r="A1237" s="2">
        <v>41646</v>
      </c>
      <c r="B1237" s="3">
        <v>3110.96</v>
      </c>
      <c r="C1237" s="2">
        <v>41666</v>
      </c>
      <c r="D1237" s="3">
        <v>19273.580000000002</v>
      </c>
      <c r="E1237" s="2"/>
      <c r="F1237" s="3"/>
      <c r="G1237" s="2"/>
      <c r="H1237" s="3"/>
      <c r="I1237" s="65"/>
      <c r="K1237" s="65"/>
      <c r="M1237" s="65"/>
      <c r="O1237" s="65"/>
      <c r="Q1237" s="65"/>
      <c r="S1237" s="65"/>
      <c r="U1237" s="65"/>
      <c r="W1237" s="65"/>
      <c r="Y1237" s="65"/>
      <c r="AA1237" s="65"/>
      <c r="AC1237" s="65"/>
      <c r="AE1237" s="65"/>
      <c r="AG1237" s="65"/>
      <c r="AI1237" s="65"/>
      <c r="AK1237" s="65"/>
    </row>
    <row r="1238" spans="1:37" x14ac:dyDescent="0.25">
      <c r="A1238" s="2">
        <v>41647</v>
      </c>
      <c r="B1238" s="3">
        <v>3110.66</v>
      </c>
      <c r="C1238" s="2">
        <v>41667</v>
      </c>
      <c r="D1238" s="3">
        <v>19448.32</v>
      </c>
      <c r="E1238" s="2"/>
      <c r="F1238" s="3"/>
      <c r="G1238" s="2"/>
      <c r="H1238" s="3"/>
      <c r="I1238" s="65"/>
      <c r="K1238" s="65"/>
      <c r="M1238" s="65"/>
      <c r="O1238" s="65"/>
      <c r="Q1238" s="65"/>
      <c r="S1238" s="65"/>
      <c r="U1238" s="65"/>
      <c r="W1238" s="65"/>
      <c r="Y1238" s="65"/>
      <c r="AA1238" s="65"/>
      <c r="AC1238" s="65"/>
      <c r="AE1238" s="65"/>
      <c r="AG1238" s="65"/>
      <c r="AI1238" s="65"/>
      <c r="AK1238" s="65"/>
    </row>
    <row r="1239" spans="1:37" x14ac:dyDescent="0.25">
      <c r="A1239" s="2">
        <v>41648</v>
      </c>
      <c r="B1239" s="3">
        <v>3090.26</v>
      </c>
      <c r="C1239" s="2">
        <v>41668</v>
      </c>
      <c r="D1239" s="3">
        <v>19337.419999999998</v>
      </c>
      <c r="E1239" s="2"/>
      <c r="F1239" s="3"/>
      <c r="G1239" s="2"/>
      <c r="H1239" s="3"/>
      <c r="I1239" s="65"/>
      <c r="K1239" s="65"/>
      <c r="M1239" s="65"/>
      <c r="O1239" s="65"/>
      <c r="Q1239" s="65"/>
      <c r="S1239" s="65"/>
      <c r="U1239" s="65"/>
      <c r="W1239" s="65"/>
      <c r="Y1239" s="65"/>
      <c r="AA1239" s="65"/>
      <c r="AC1239" s="65"/>
      <c r="AE1239" s="65"/>
      <c r="AG1239" s="65"/>
      <c r="AI1239" s="65"/>
      <c r="AK1239" s="65"/>
    </row>
    <row r="1240" spans="1:37" x14ac:dyDescent="0.25">
      <c r="A1240" s="2">
        <v>41649</v>
      </c>
      <c r="B1240" s="3">
        <v>3104.15</v>
      </c>
      <c r="C1240" s="2">
        <v>41669</v>
      </c>
      <c r="D1240" s="3">
        <v>19411.55</v>
      </c>
      <c r="E1240" s="2"/>
      <c r="F1240" s="3"/>
      <c r="G1240" s="2"/>
      <c r="H1240" s="3"/>
      <c r="I1240" s="65"/>
      <c r="K1240" s="65"/>
      <c r="M1240" s="65"/>
      <c r="O1240" s="65"/>
      <c r="Q1240" s="65"/>
      <c r="S1240" s="65"/>
      <c r="U1240" s="65"/>
      <c r="W1240" s="65"/>
      <c r="Y1240" s="65"/>
      <c r="AA1240" s="65"/>
      <c r="AC1240" s="65"/>
      <c r="AE1240" s="65"/>
      <c r="AG1240" s="65"/>
      <c r="AI1240" s="65"/>
      <c r="AK1240" s="65"/>
    </row>
    <row r="1241" spans="1:37" x14ac:dyDescent="0.25">
      <c r="A1241" s="2">
        <v>41652</v>
      </c>
      <c r="B1241" s="3">
        <v>3111.94</v>
      </c>
      <c r="C1241" s="2">
        <v>41670</v>
      </c>
      <c r="D1241" s="3">
        <v>19418.34</v>
      </c>
      <c r="E1241" s="2"/>
      <c r="F1241" s="3"/>
      <c r="G1241" s="2"/>
      <c r="H1241" s="3"/>
      <c r="I1241" s="65"/>
      <c r="K1241" s="65"/>
      <c r="M1241" s="65"/>
      <c r="O1241" s="65"/>
      <c r="Q1241" s="65"/>
      <c r="S1241" s="65"/>
      <c r="U1241" s="65"/>
      <c r="W1241" s="65"/>
      <c r="Y1241" s="65"/>
      <c r="AA1241" s="65"/>
      <c r="AC1241" s="65"/>
      <c r="AE1241" s="65"/>
      <c r="AG1241" s="65"/>
      <c r="AI1241" s="65"/>
      <c r="AK1241" s="65"/>
    </row>
    <row r="1242" spans="1:37" x14ac:dyDescent="0.25">
      <c r="A1242" s="2">
        <v>41653</v>
      </c>
      <c r="B1242" s="3">
        <v>3119.53</v>
      </c>
      <c r="C1242" s="2">
        <v>41673</v>
      </c>
      <c r="D1242" s="3">
        <v>18907.16</v>
      </c>
      <c r="E1242" s="2"/>
      <c r="F1242" s="3"/>
      <c r="G1242" s="2"/>
      <c r="H1242" s="3"/>
      <c r="I1242" s="65"/>
      <c r="K1242" s="65"/>
      <c r="M1242" s="65"/>
      <c r="O1242" s="65"/>
      <c r="Q1242" s="65"/>
      <c r="S1242" s="65"/>
      <c r="U1242" s="65"/>
      <c r="W1242" s="65"/>
      <c r="Y1242" s="65"/>
      <c r="AA1242" s="65"/>
      <c r="AC1242" s="65"/>
      <c r="AE1242" s="65"/>
      <c r="AG1242" s="65"/>
      <c r="AI1242" s="65"/>
      <c r="AK1242" s="65"/>
    </row>
    <row r="1243" spans="1:37" x14ac:dyDescent="0.25">
      <c r="A1243" s="2">
        <v>41654</v>
      </c>
      <c r="B1243" s="3">
        <v>3168.76</v>
      </c>
      <c r="C1243" s="2">
        <v>41674</v>
      </c>
      <c r="D1243" s="3">
        <v>19019.71</v>
      </c>
      <c r="E1243" s="2"/>
      <c r="F1243" s="3"/>
      <c r="G1243" s="2"/>
      <c r="H1243" s="3"/>
      <c r="I1243" s="65"/>
      <c r="K1243" s="65"/>
      <c r="M1243" s="65"/>
      <c r="O1243" s="65"/>
      <c r="Q1243" s="65"/>
      <c r="S1243" s="65"/>
      <c r="U1243" s="65"/>
      <c r="W1243" s="65"/>
      <c r="Y1243" s="65"/>
      <c r="AA1243" s="65"/>
      <c r="AC1243" s="65"/>
      <c r="AE1243" s="65"/>
      <c r="AG1243" s="65"/>
      <c r="AI1243" s="65"/>
      <c r="AK1243" s="65"/>
    </row>
    <row r="1244" spans="1:37" x14ac:dyDescent="0.25">
      <c r="A1244" s="2">
        <v>41655</v>
      </c>
      <c r="B1244" s="3">
        <v>3150.2</v>
      </c>
      <c r="C1244" s="2">
        <v>41675</v>
      </c>
      <c r="D1244" s="3">
        <v>19069.62</v>
      </c>
      <c r="E1244" s="2"/>
      <c r="F1244" s="3"/>
      <c r="G1244" s="2"/>
      <c r="H1244" s="3"/>
      <c r="I1244" s="65"/>
      <c r="K1244" s="65"/>
      <c r="M1244" s="65"/>
      <c r="O1244" s="65"/>
      <c r="Q1244" s="65"/>
      <c r="S1244" s="65"/>
      <c r="U1244" s="65"/>
      <c r="W1244" s="65"/>
      <c r="Y1244" s="65"/>
      <c r="AA1244" s="65"/>
      <c r="AC1244" s="65"/>
      <c r="AE1244" s="65"/>
      <c r="AG1244" s="65"/>
      <c r="AI1244" s="65"/>
      <c r="AK1244" s="65"/>
    </row>
    <row r="1245" spans="1:37" x14ac:dyDescent="0.25">
      <c r="A1245" s="2">
        <v>41656</v>
      </c>
      <c r="B1245" s="3">
        <v>3154.1</v>
      </c>
      <c r="C1245" s="2">
        <v>41676</v>
      </c>
      <c r="D1245" s="3">
        <v>19504.240000000002</v>
      </c>
      <c r="E1245" s="2"/>
      <c r="F1245" s="3"/>
      <c r="G1245" s="2"/>
      <c r="H1245" s="3"/>
      <c r="I1245" s="65"/>
      <c r="K1245" s="65"/>
      <c r="M1245" s="65"/>
      <c r="O1245" s="65"/>
      <c r="Q1245" s="65"/>
      <c r="S1245" s="65"/>
      <c r="U1245" s="65"/>
      <c r="W1245" s="65"/>
      <c r="Y1245" s="65"/>
      <c r="AA1245" s="65"/>
      <c r="AC1245" s="65"/>
      <c r="AE1245" s="65"/>
      <c r="AG1245" s="65"/>
      <c r="AI1245" s="65"/>
      <c r="AK1245" s="65"/>
    </row>
    <row r="1246" spans="1:37" x14ac:dyDescent="0.25">
      <c r="A1246" s="2">
        <v>41659</v>
      </c>
      <c r="B1246" s="3">
        <v>3153.17</v>
      </c>
      <c r="C1246" s="2">
        <v>41677</v>
      </c>
      <c r="D1246" s="3">
        <v>19692.080000000002</v>
      </c>
      <c r="E1246" s="2"/>
      <c r="F1246" s="3"/>
      <c r="G1246" s="2"/>
      <c r="H1246" s="3"/>
      <c r="I1246" s="65"/>
      <c r="K1246" s="65"/>
      <c r="M1246" s="65"/>
      <c r="O1246" s="65"/>
      <c r="Q1246" s="65"/>
      <c r="S1246" s="65"/>
      <c r="U1246" s="65"/>
      <c r="W1246" s="65"/>
      <c r="Y1246" s="65"/>
      <c r="AA1246" s="65"/>
      <c r="AC1246" s="65"/>
      <c r="AE1246" s="65"/>
      <c r="AG1246" s="65"/>
      <c r="AI1246" s="65"/>
      <c r="AK1246" s="65"/>
    </row>
    <row r="1247" spans="1:37" x14ac:dyDescent="0.25">
      <c r="A1247" s="2">
        <v>41660</v>
      </c>
      <c r="B1247" s="3">
        <v>3153.08</v>
      </c>
      <c r="C1247" s="2">
        <v>41680</v>
      </c>
      <c r="D1247" s="3">
        <v>19682.82</v>
      </c>
      <c r="E1247" s="2"/>
      <c r="F1247" s="3"/>
      <c r="G1247" s="2"/>
      <c r="H1247" s="3"/>
      <c r="I1247" s="65"/>
      <c r="K1247" s="65"/>
      <c r="M1247" s="65"/>
      <c r="O1247" s="65"/>
      <c r="Q1247" s="65"/>
      <c r="S1247" s="65"/>
      <c r="U1247" s="65"/>
      <c r="W1247" s="65"/>
      <c r="Y1247" s="65"/>
      <c r="AA1247" s="65"/>
      <c r="AC1247" s="65"/>
      <c r="AE1247" s="65"/>
      <c r="AG1247" s="65"/>
      <c r="AI1247" s="65"/>
      <c r="AK1247" s="65"/>
    </row>
    <row r="1248" spans="1:37" x14ac:dyDescent="0.25">
      <c r="A1248" s="2">
        <v>41661</v>
      </c>
      <c r="B1248" s="3">
        <v>3151.27</v>
      </c>
      <c r="C1248" s="2">
        <v>41681</v>
      </c>
      <c r="D1248" s="3">
        <v>19887.39</v>
      </c>
      <c r="E1248" s="2"/>
      <c r="F1248" s="3"/>
      <c r="G1248" s="2"/>
      <c r="H1248" s="3"/>
      <c r="I1248" s="65"/>
      <c r="K1248" s="65"/>
      <c r="M1248" s="65"/>
      <c r="O1248" s="65"/>
      <c r="Q1248" s="65"/>
      <c r="S1248" s="65"/>
      <c r="U1248" s="65"/>
      <c r="W1248" s="65"/>
      <c r="Y1248" s="65"/>
      <c r="AA1248" s="65"/>
      <c r="AC1248" s="65"/>
      <c r="AE1248" s="65"/>
      <c r="AG1248" s="65"/>
      <c r="AI1248" s="65"/>
      <c r="AK1248" s="65"/>
    </row>
    <row r="1249" spans="1:37" x14ac:dyDescent="0.25">
      <c r="A1249" s="2">
        <v>41662</v>
      </c>
      <c r="B1249" s="3">
        <v>3117.08</v>
      </c>
      <c r="C1249" s="2">
        <v>41682</v>
      </c>
      <c r="D1249" s="3">
        <v>20144.96</v>
      </c>
      <c r="E1249" s="2"/>
      <c r="F1249" s="3"/>
      <c r="G1249" s="2"/>
      <c r="H1249" s="3"/>
      <c r="I1249" s="65"/>
      <c r="K1249" s="65"/>
      <c r="M1249" s="65"/>
      <c r="O1249" s="65"/>
      <c r="Q1249" s="65"/>
      <c r="S1249" s="65"/>
      <c r="U1249" s="65"/>
      <c r="W1249" s="65"/>
      <c r="Y1249" s="65"/>
      <c r="AA1249" s="65"/>
      <c r="AC1249" s="65"/>
      <c r="AE1249" s="65"/>
      <c r="AG1249" s="65"/>
      <c r="AI1249" s="65"/>
      <c r="AK1249" s="65"/>
    </row>
    <row r="1250" spans="1:37" x14ac:dyDescent="0.25">
      <c r="A1250" s="2">
        <v>41663</v>
      </c>
      <c r="B1250" s="3">
        <v>3028.2</v>
      </c>
      <c r="C1250" s="2">
        <v>41683</v>
      </c>
      <c r="D1250" s="3">
        <v>20110.3</v>
      </c>
      <c r="E1250" s="2"/>
      <c r="F1250" s="3"/>
      <c r="G1250" s="2"/>
      <c r="H1250" s="3"/>
      <c r="I1250" s="65"/>
      <c r="K1250" s="65"/>
      <c r="M1250" s="65"/>
      <c r="O1250" s="65"/>
      <c r="Q1250" s="65"/>
      <c r="S1250" s="65"/>
      <c r="U1250" s="65"/>
      <c r="W1250" s="65"/>
      <c r="Y1250" s="65"/>
      <c r="AA1250" s="65"/>
      <c r="AC1250" s="65"/>
      <c r="AE1250" s="65"/>
      <c r="AG1250" s="65"/>
      <c r="AI1250" s="65"/>
      <c r="AK1250" s="65"/>
    </row>
    <row r="1251" spans="1:37" x14ac:dyDescent="0.25">
      <c r="A1251" s="2">
        <v>41666</v>
      </c>
      <c r="B1251" s="3">
        <v>3014.62</v>
      </c>
      <c r="C1251" s="2">
        <v>41684</v>
      </c>
      <c r="D1251" s="3">
        <v>20436.47</v>
      </c>
      <c r="E1251" s="2"/>
      <c r="F1251" s="3"/>
      <c r="G1251" s="2"/>
      <c r="H1251" s="3"/>
      <c r="I1251" s="65"/>
      <c r="K1251" s="65"/>
      <c r="M1251" s="65"/>
      <c r="O1251" s="65"/>
      <c r="Q1251" s="65"/>
      <c r="S1251" s="65"/>
      <c r="U1251" s="65"/>
      <c r="W1251" s="65"/>
      <c r="Y1251" s="65"/>
      <c r="AA1251" s="65"/>
      <c r="AC1251" s="65"/>
      <c r="AE1251" s="65"/>
      <c r="AG1251" s="65"/>
      <c r="AI1251" s="65"/>
      <c r="AK1251" s="65"/>
    </row>
    <row r="1252" spans="1:37" x14ac:dyDescent="0.25">
      <c r="A1252" s="2">
        <v>41667</v>
      </c>
      <c r="B1252" s="3">
        <v>3038.6</v>
      </c>
      <c r="C1252" s="2">
        <v>41687</v>
      </c>
      <c r="D1252" s="3">
        <v>20459.650000000001</v>
      </c>
      <c r="E1252" s="2"/>
      <c r="F1252" s="3"/>
      <c r="G1252" s="2"/>
      <c r="H1252" s="3"/>
      <c r="I1252" s="65"/>
      <c r="K1252" s="65"/>
      <c r="M1252" s="65"/>
      <c r="O1252" s="65"/>
      <c r="Q1252" s="65"/>
      <c r="S1252" s="65"/>
      <c r="U1252" s="65"/>
      <c r="W1252" s="65"/>
      <c r="Y1252" s="65"/>
      <c r="AA1252" s="65"/>
      <c r="AC1252" s="65"/>
      <c r="AE1252" s="65"/>
      <c r="AG1252" s="65"/>
      <c r="AI1252" s="65"/>
      <c r="AK1252" s="65"/>
    </row>
    <row r="1253" spans="1:37" x14ac:dyDescent="0.25">
      <c r="A1253" s="2">
        <v>41668</v>
      </c>
      <c r="B1253" s="3">
        <v>3011.45</v>
      </c>
      <c r="C1253" s="2">
        <v>41688</v>
      </c>
      <c r="D1253" s="3">
        <v>20478.53</v>
      </c>
      <c r="E1253" s="2"/>
      <c r="F1253" s="3"/>
      <c r="G1253" s="2"/>
      <c r="H1253" s="3"/>
      <c r="I1253" s="65"/>
      <c r="K1253" s="65"/>
      <c r="M1253" s="65"/>
      <c r="O1253" s="65"/>
      <c r="Q1253" s="65"/>
      <c r="S1253" s="65"/>
      <c r="U1253" s="65"/>
      <c r="W1253" s="65"/>
      <c r="Y1253" s="65"/>
      <c r="AA1253" s="65"/>
      <c r="AC1253" s="65"/>
      <c r="AE1253" s="65"/>
      <c r="AG1253" s="65"/>
      <c r="AI1253" s="65"/>
      <c r="AK1253" s="65"/>
    </row>
    <row r="1254" spans="1:37" x14ac:dyDescent="0.25">
      <c r="A1254" s="2">
        <v>41669</v>
      </c>
      <c r="B1254" s="3">
        <v>3027.3</v>
      </c>
      <c r="C1254" s="2">
        <v>41689</v>
      </c>
      <c r="D1254" s="3">
        <v>20438.3</v>
      </c>
      <c r="E1254" s="2"/>
      <c r="F1254" s="3"/>
      <c r="G1254" s="2"/>
      <c r="H1254" s="3"/>
      <c r="I1254" s="65"/>
      <c r="K1254" s="65"/>
      <c r="M1254" s="65"/>
      <c r="O1254" s="65"/>
      <c r="Q1254" s="65"/>
      <c r="S1254" s="65"/>
      <c r="U1254" s="65"/>
      <c r="W1254" s="65"/>
      <c r="Y1254" s="65"/>
      <c r="AA1254" s="65"/>
      <c r="AC1254" s="65"/>
      <c r="AE1254" s="65"/>
      <c r="AG1254" s="65"/>
      <c r="AI1254" s="65"/>
      <c r="AK1254" s="65"/>
    </row>
    <row r="1255" spans="1:37" x14ac:dyDescent="0.25">
      <c r="A1255" s="2">
        <v>41670</v>
      </c>
      <c r="B1255" s="3">
        <v>3013.96</v>
      </c>
      <c r="C1255" s="2">
        <v>41690</v>
      </c>
      <c r="D1255" s="3">
        <v>20452.28</v>
      </c>
      <c r="E1255" s="2"/>
      <c r="F1255" s="3"/>
      <c r="G1255" s="2"/>
      <c r="H1255" s="3"/>
      <c r="I1255" s="65"/>
      <c r="K1255" s="65"/>
      <c r="M1255" s="65"/>
      <c r="O1255" s="65"/>
      <c r="Q1255" s="65"/>
      <c r="S1255" s="65"/>
      <c r="U1255" s="65"/>
      <c r="W1255" s="65"/>
      <c r="Y1255" s="65"/>
      <c r="AA1255" s="65"/>
      <c r="AC1255" s="65"/>
      <c r="AE1255" s="65"/>
      <c r="AG1255" s="65"/>
      <c r="AI1255" s="65"/>
      <c r="AK1255" s="65"/>
    </row>
    <row r="1256" spans="1:37" x14ac:dyDescent="0.25">
      <c r="A1256" s="2">
        <v>41673</v>
      </c>
      <c r="B1256" s="3">
        <v>2963.96</v>
      </c>
      <c r="C1256" s="2">
        <v>41691</v>
      </c>
      <c r="D1256" s="3">
        <v>20391.900000000001</v>
      </c>
      <c r="E1256" s="2"/>
      <c r="F1256" s="3"/>
      <c r="G1256" s="2"/>
      <c r="H1256" s="3"/>
      <c r="I1256" s="65"/>
      <c r="K1256" s="65"/>
      <c r="M1256" s="65"/>
      <c r="O1256" s="65"/>
      <c r="Q1256" s="65"/>
      <c r="S1256" s="65"/>
      <c r="U1256" s="65"/>
      <c r="W1256" s="65"/>
      <c r="Y1256" s="65"/>
      <c r="AA1256" s="65"/>
      <c r="AC1256" s="65"/>
      <c r="AE1256" s="65"/>
      <c r="AG1256" s="65"/>
      <c r="AI1256" s="65"/>
      <c r="AK1256" s="65"/>
    </row>
    <row r="1257" spans="1:37" x14ac:dyDescent="0.25">
      <c r="A1257" s="2">
        <v>41674</v>
      </c>
      <c r="B1257" s="3">
        <v>2962.49</v>
      </c>
      <c r="C1257" s="2">
        <v>41694</v>
      </c>
      <c r="D1257" s="3">
        <v>20477.5</v>
      </c>
      <c r="E1257" s="2"/>
      <c r="F1257" s="3"/>
      <c r="G1257" s="2"/>
      <c r="H1257" s="3"/>
      <c r="I1257" s="65"/>
      <c r="K1257" s="65"/>
      <c r="M1257" s="65"/>
      <c r="O1257" s="65"/>
      <c r="Q1257" s="65"/>
      <c r="S1257" s="65"/>
      <c r="U1257" s="65"/>
      <c r="W1257" s="65"/>
      <c r="Y1257" s="65"/>
      <c r="AA1257" s="65"/>
      <c r="AC1257" s="65"/>
      <c r="AE1257" s="65"/>
      <c r="AG1257" s="65"/>
      <c r="AI1257" s="65"/>
      <c r="AK1257" s="65"/>
    </row>
    <row r="1258" spans="1:37" x14ac:dyDescent="0.25">
      <c r="A1258" s="2">
        <v>41675</v>
      </c>
      <c r="B1258" s="3">
        <v>2962.51</v>
      </c>
      <c r="C1258" s="2">
        <v>41695</v>
      </c>
      <c r="D1258" s="3">
        <v>20473.169999999998</v>
      </c>
      <c r="E1258" s="2"/>
      <c r="F1258" s="3"/>
      <c r="G1258" s="2"/>
      <c r="H1258" s="3"/>
      <c r="I1258" s="65"/>
      <c r="K1258" s="65"/>
      <c r="M1258" s="65"/>
      <c r="O1258" s="65"/>
      <c r="Q1258" s="65"/>
      <c r="S1258" s="65"/>
      <c r="U1258" s="65"/>
      <c r="W1258" s="65"/>
      <c r="Y1258" s="65"/>
      <c r="AA1258" s="65"/>
      <c r="AC1258" s="65"/>
      <c r="AE1258" s="65"/>
      <c r="AG1258" s="65"/>
      <c r="AI1258" s="65"/>
      <c r="AK1258" s="65"/>
    </row>
    <row r="1259" spans="1:37" x14ac:dyDescent="0.25">
      <c r="A1259" s="2">
        <v>41676</v>
      </c>
      <c r="B1259" s="3">
        <v>3010.79</v>
      </c>
      <c r="C1259" s="2">
        <v>41696</v>
      </c>
      <c r="D1259" s="3">
        <v>20398.099999999999</v>
      </c>
      <c r="E1259" s="2"/>
      <c r="F1259" s="3"/>
      <c r="G1259" s="2"/>
      <c r="H1259" s="3"/>
      <c r="I1259" s="65"/>
      <c r="K1259" s="65"/>
      <c r="M1259" s="65"/>
      <c r="O1259" s="65"/>
      <c r="Q1259" s="65"/>
      <c r="S1259" s="65"/>
      <c r="U1259" s="65"/>
      <c r="W1259" s="65"/>
      <c r="Y1259" s="65"/>
      <c r="AA1259" s="65"/>
      <c r="AC1259" s="65"/>
      <c r="AE1259" s="65"/>
      <c r="AG1259" s="65"/>
      <c r="AI1259" s="65"/>
      <c r="AK1259" s="65"/>
    </row>
    <row r="1260" spans="1:37" x14ac:dyDescent="0.25">
      <c r="A1260" s="2">
        <v>41677</v>
      </c>
      <c r="B1260" s="3">
        <v>3038.49</v>
      </c>
      <c r="C1260" s="2">
        <v>41697</v>
      </c>
      <c r="D1260" s="3">
        <v>20320.98</v>
      </c>
      <c r="E1260" s="2"/>
      <c r="F1260" s="3"/>
      <c r="G1260" s="2"/>
      <c r="H1260" s="3"/>
      <c r="I1260" s="65"/>
      <c r="K1260" s="65"/>
      <c r="M1260" s="65"/>
      <c r="O1260" s="65"/>
      <c r="Q1260" s="65"/>
      <c r="S1260" s="65"/>
      <c r="U1260" s="65"/>
      <c r="W1260" s="65"/>
      <c r="Y1260" s="65"/>
      <c r="AA1260" s="65"/>
      <c r="AC1260" s="65"/>
      <c r="AE1260" s="65"/>
      <c r="AG1260" s="65"/>
      <c r="AI1260" s="65"/>
      <c r="AK1260" s="65"/>
    </row>
    <row r="1261" spans="1:37" x14ac:dyDescent="0.25">
      <c r="A1261" s="2">
        <v>41680</v>
      </c>
      <c r="B1261" s="3">
        <v>3032.53</v>
      </c>
      <c r="C1261" s="2">
        <v>41698</v>
      </c>
      <c r="D1261" s="3">
        <v>20442.41</v>
      </c>
      <c r="E1261" s="2"/>
      <c r="F1261" s="3"/>
      <c r="G1261" s="2"/>
      <c r="H1261" s="3"/>
      <c r="I1261" s="65"/>
      <c r="K1261" s="65"/>
      <c r="M1261" s="65"/>
      <c r="O1261" s="65"/>
      <c r="Q1261" s="65"/>
      <c r="S1261" s="65"/>
      <c r="U1261" s="65"/>
      <c r="W1261" s="65"/>
      <c r="Y1261" s="65"/>
      <c r="AA1261" s="65"/>
      <c r="AC1261" s="65"/>
      <c r="AE1261" s="65"/>
      <c r="AG1261" s="65"/>
      <c r="AI1261" s="65"/>
      <c r="AK1261" s="65"/>
    </row>
    <row r="1262" spans="1:37" x14ac:dyDescent="0.25">
      <c r="A1262" s="2">
        <v>41681</v>
      </c>
      <c r="B1262" s="3">
        <v>3077.08</v>
      </c>
      <c r="C1262" s="2">
        <v>41701</v>
      </c>
      <c r="D1262" s="3">
        <v>19759.689999999999</v>
      </c>
      <c r="E1262" s="2"/>
      <c r="F1262" s="3"/>
      <c r="G1262" s="2"/>
      <c r="H1262" s="3"/>
      <c r="I1262" s="65"/>
      <c r="K1262" s="65"/>
      <c r="M1262" s="65"/>
      <c r="O1262" s="65"/>
      <c r="Q1262" s="65"/>
      <c r="S1262" s="65"/>
      <c r="U1262" s="65"/>
      <c r="W1262" s="65"/>
      <c r="Y1262" s="65"/>
      <c r="AA1262" s="65"/>
      <c r="AC1262" s="65"/>
      <c r="AE1262" s="65"/>
      <c r="AG1262" s="65"/>
      <c r="AI1262" s="65"/>
      <c r="AK1262" s="65"/>
    </row>
    <row r="1263" spans="1:37" x14ac:dyDescent="0.25">
      <c r="A1263" s="2">
        <v>41682</v>
      </c>
      <c r="B1263" s="3">
        <v>3094.89</v>
      </c>
      <c r="C1263" s="2">
        <v>41702</v>
      </c>
      <c r="D1263" s="3">
        <v>20475.12</v>
      </c>
      <c r="E1263" s="2"/>
      <c r="F1263" s="3"/>
      <c r="G1263" s="2"/>
      <c r="H1263" s="3"/>
      <c r="I1263" s="65"/>
      <c r="K1263" s="65"/>
      <c r="M1263" s="65"/>
      <c r="O1263" s="65"/>
      <c r="Q1263" s="65"/>
      <c r="S1263" s="65"/>
      <c r="U1263" s="65"/>
      <c r="W1263" s="65"/>
      <c r="Y1263" s="65"/>
      <c r="AA1263" s="65"/>
      <c r="AC1263" s="65"/>
      <c r="AE1263" s="65"/>
      <c r="AG1263" s="65"/>
      <c r="AI1263" s="65"/>
      <c r="AK1263" s="65"/>
    </row>
    <row r="1264" spans="1:37" x14ac:dyDescent="0.25">
      <c r="A1264" s="2">
        <v>41683</v>
      </c>
      <c r="B1264" s="3">
        <v>3097.95</v>
      </c>
      <c r="C1264" s="2">
        <v>41703</v>
      </c>
      <c r="D1264" s="3">
        <v>20756.95</v>
      </c>
      <c r="E1264" s="2"/>
      <c r="F1264" s="3"/>
      <c r="G1264" s="2"/>
      <c r="H1264" s="3"/>
      <c r="I1264" s="65"/>
      <c r="K1264" s="65"/>
      <c r="M1264" s="65"/>
      <c r="O1264" s="65"/>
      <c r="Q1264" s="65"/>
      <c r="S1264" s="65"/>
      <c r="U1264" s="65"/>
      <c r="W1264" s="65"/>
      <c r="Y1264" s="65"/>
      <c r="AA1264" s="65"/>
      <c r="AC1264" s="65"/>
      <c r="AE1264" s="65"/>
      <c r="AG1264" s="65"/>
      <c r="AI1264" s="65"/>
      <c r="AK1264" s="65"/>
    </row>
    <row r="1265" spans="1:37" x14ac:dyDescent="0.25">
      <c r="A1265" s="2">
        <v>41684</v>
      </c>
      <c r="B1265" s="3">
        <v>3119.06</v>
      </c>
      <c r="C1265" s="2">
        <v>41704</v>
      </c>
      <c r="D1265" s="3">
        <v>20838.05</v>
      </c>
      <c r="E1265" s="2"/>
      <c r="F1265" s="3"/>
      <c r="G1265" s="2"/>
      <c r="H1265" s="3"/>
      <c r="I1265" s="65"/>
      <c r="K1265" s="65"/>
      <c r="M1265" s="65"/>
      <c r="O1265" s="65"/>
      <c r="Q1265" s="65"/>
      <c r="S1265" s="65"/>
      <c r="U1265" s="65"/>
      <c r="W1265" s="65"/>
      <c r="Y1265" s="65"/>
      <c r="AA1265" s="65"/>
      <c r="AC1265" s="65"/>
      <c r="AE1265" s="65"/>
      <c r="AG1265" s="65"/>
      <c r="AI1265" s="65"/>
      <c r="AK1265" s="65"/>
    </row>
    <row r="1266" spans="1:37" x14ac:dyDescent="0.25">
      <c r="A1266" s="2">
        <v>41687</v>
      </c>
      <c r="B1266" s="3">
        <v>3118.91</v>
      </c>
      <c r="C1266" s="2">
        <v>41705</v>
      </c>
      <c r="D1266" s="3">
        <v>20634.21</v>
      </c>
      <c r="E1266" s="2"/>
      <c r="F1266" s="3"/>
      <c r="G1266" s="2"/>
      <c r="H1266" s="3"/>
      <c r="I1266" s="65"/>
      <c r="K1266" s="65"/>
      <c r="M1266" s="65"/>
      <c r="O1266" s="65"/>
      <c r="Q1266" s="65"/>
      <c r="S1266" s="65"/>
      <c r="U1266" s="65"/>
      <c r="W1266" s="65"/>
      <c r="Y1266" s="65"/>
      <c r="AA1266" s="65"/>
      <c r="AC1266" s="65"/>
      <c r="AE1266" s="65"/>
      <c r="AG1266" s="65"/>
      <c r="AI1266" s="65"/>
      <c r="AK1266" s="65"/>
    </row>
    <row r="1267" spans="1:37" x14ac:dyDescent="0.25">
      <c r="A1267" s="2">
        <v>41688</v>
      </c>
      <c r="B1267" s="3">
        <v>3117.44</v>
      </c>
      <c r="C1267" s="2">
        <v>41708</v>
      </c>
      <c r="D1267" s="3">
        <v>20753.36</v>
      </c>
      <c r="E1267" s="2"/>
      <c r="F1267" s="3"/>
      <c r="G1267" s="2"/>
      <c r="H1267" s="3"/>
      <c r="I1267" s="65"/>
      <c r="K1267" s="65"/>
      <c r="M1267" s="65"/>
      <c r="O1267" s="65"/>
      <c r="Q1267" s="65"/>
      <c r="S1267" s="65"/>
      <c r="U1267" s="65"/>
      <c r="W1267" s="65"/>
      <c r="Y1267" s="65"/>
      <c r="AA1267" s="65"/>
      <c r="AC1267" s="65"/>
      <c r="AE1267" s="65"/>
      <c r="AG1267" s="65"/>
      <c r="AI1267" s="65"/>
      <c r="AK1267" s="65"/>
    </row>
    <row r="1268" spans="1:37" x14ac:dyDescent="0.25">
      <c r="A1268" s="2">
        <v>41689</v>
      </c>
      <c r="B1268" s="3">
        <v>3120.8</v>
      </c>
      <c r="C1268" s="2">
        <v>41709</v>
      </c>
      <c r="D1268" s="3">
        <v>20833.919999999998</v>
      </c>
      <c r="E1268" s="2"/>
      <c r="F1268" s="3"/>
      <c r="G1268" s="2"/>
      <c r="H1268" s="3"/>
      <c r="I1268" s="65"/>
      <c r="K1268" s="65"/>
      <c r="M1268" s="65"/>
      <c r="O1268" s="65"/>
      <c r="Q1268" s="65"/>
      <c r="S1268" s="65"/>
      <c r="U1268" s="65"/>
      <c r="W1268" s="65"/>
      <c r="Y1268" s="65"/>
      <c r="AA1268" s="65"/>
      <c r="AC1268" s="65"/>
      <c r="AE1268" s="65"/>
      <c r="AG1268" s="65"/>
      <c r="AI1268" s="65"/>
      <c r="AK1268" s="65"/>
    </row>
    <row r="1269" spans="1:37" x14ac:dyDescent="0.25">
      <c r="A1269" s="2">
        <v>41690</v>
      </c>
      <c r="B1269" s="3">
        <v>3121.59</v>
      </c>
      <c r="C1269" s="2">
        <v>41710</v>
      </c>
      <c r="D1269" s="3">
        <v>20781.46</v>
      </c>
      <c r="E1269" s="2"/>
      <c r="F1269" s="3"/>
      <c r="G1269" s="2"/>
      <c r="H1269" s="3"/>
      <c r="I1269" s="65"/>
      <c r="K1269" s="65"/>
      <c r="M1269" s="65"/>
      <c r="O1269" s="65"/>
      <c r="Q1269" s="65"/>
      <c r="S1269" s="65"/>
      <c r="U1269" s="65"/>
      <c r="W1269" s="65"/>
      <c r="Y1269" s="65"/>
      <c r="AA1269" s="65"/>
      <c r="AC1269" s="65"/>
      <c r="AE1269" s="65"/>
      <c r="AG1269" s="65"/>
      <c r="AI1269" s="65"/>
      <c r="AK1269" s="65"/>
    </row>
    <row r="1270" spans="1:37" x14ac:dyDescent="0.25">
      <c r="A1270" s="2">
        <v>41691</v>
      </c>
      <c r="B1270" s="3">
        <v>3131.67</v>
      </c>
      <c r="C1270" s="2">
        <v>41711</v>
      </c>
      <c r="D1270" s="3">
        <v>20591.82</v>
      </c>
      <c r="E1270" s="2"/>
      <c r="F1270" s="3"/>
      <c r="G1270" s="2"/>
      <c r="H1270" s="3"/>
      <c r="I1270" s="65"/>
      <c r="K1270" s="65"/>
      <c r="M1270" s="65"/>
      <c r="O1270" s="65"/>
      <c r="Q1270" s="65"/>
      <c r="S1270" s="65"/>
      <c r="U1270" s="65"/>
      <c r="W1270" s="65"/>
      <c r="Y1270" s="65"/>
      <c r="AA1270" s="65"/>
      <c r="AC1270" s="65"/>
      <c r="AE1270" s="65"/>
      <c r="AG1270" s="65"/>
      <c r="AI1270" s="65"/>
      <c r="AK1270" s="65"/>
    </row>
    <row r="1271" spans="1:37" x14ac:dyDescent="0.25">
      <c r="A1271" s="2">
        <v>41694</v>
      </c>
      <c r="B1271" s="3">
        <v>3157.31</v>
      </c>
      <c r="C1271" s="2">
        <v>41712</v>
      </c>
      <c r="D1271" s="3">
        <v>20346.57</v>
      </c>
      <c r="E1271" s="2"/>
      <c r="F1271" s="3"/>
      <c r="G1271" s="2"/>
      <c r="H1271" s="3"/>
      <c r="I1271" s="65"/>
      <c r="K1271" s="65"/>
      <c r="M1271" s="65"/>
      <c r="O1271" s="65"/>
      <c r="Q1271" s="65"/>
      <c r="S1271" s="65"/>
      <c r="U1271" s="65"/>
      <c r="W1271" s="65"/>
      <c r="Y1271" s="65"/>
      <c r="AA1271" s="65"/>
      <c r="AC1271" s="65"/>
      <c r="AE1271" s="65"/>
      <c r="AG1271" s="65"/>
      <c r="AI1271" s="65"/>
      <c r="AK1271" s="65"/>
    </row>
    <row r="1272" spans="1:37" x14ac:dyDescent="0.25">
      <c r="A1272" s="2">
        <v>41695</v>
      </c>
      <c r="B1272" s="3">
        <v>3157.48</v>
      </c>
      <c r="C1272" s="2">
        <v>41715</v>
      </c>
      <c r="D1272" s="3">
        <v>20858.84</v>
      </c>
      <c r="E1272" s="2"/>
      <c r="F1272" s="3"/>
      <c r="G1272" s="2"/>
      <c r="H1272" s="3"/>
      <c r="I1272" s="65"/>
      <c r="K1272" s="65"/>
      <c r="M1272" s="65"/>
      <c r="O1272" s="65"/>
      <c r="Q1272" s="65"/>
      <c r="S1272" s="65"/>
      <c r="U1272" s="65"/>
      <c r="W1272" s="65"/>
      <c r="Y1272" s="65"/>
      <c r="AA1272" s="65"/>
      <c r="AC1272" s="65"/>
      <c r="AE1272" s="65"/>
      <c r="AG1272" s="65"/>
      <c r="AI1272" s="65"/>
      <c r="AK1272" s="65"/>
    </row>
    <row r="1273" spans="1:37" x14ac:dyDescent="0.25">
      <c r="A1273" s="2">
        <v>41696</v>
      </c>
      <c r="B1273" s="3">
        <v>3148.19</v>
      </c>
      <c r="C1273" s="2">
        <v>41716</v>
      </c>
      <c r="D1273" s="3">
        <v>21038.03</v>
      </c>
      <c r="E1273" s="2"/>
      <c r="F1273" s="3"/>
      <c r="G1273" s="2"/>
      <c r="H1273" s="3"/>
      <c r="I1273" s="65"/>
      <c r="K1273" s="65"/>
      <c r="M1273" s="65"/>
      <c r="O1273" s="65"/>
      <c r="Q1273" s="65"/>
      <c r="S1273" s="65"/>
      <c r="U1273" s="65"/>
      <c r="W1273" s="65"/>
      <c r="Y1273" s="65"/>
      <c r="AA1273" s="65"/>
      <c r="AC1273" s="65"/>
      <c r="AE1273" s="65"/>
      <c r="AG1273" s="65"/>
      <c r="AI1273" s="65"/>
      <c r="AK1273" s="65"/>
    </row>
    <row r="1274" spans="1:37" x14ac:dyDescent="0.25">
      <c r="A1274" s="2">
        <v>41697</v>
      </c>
      <c r="B1274" s="3">
        <v>3134.94</v>
      </c>
      <c r="C1274" s="2">
        <v>41717</v>
      </c>
      <c r="D1274" s="3">
        <v>20976.99</v>
      </c>
      <c r="E1274" s="2"/>
      <c r="F1274" s="3"/>
      <c r="G1274" s="2"/>
      <c r="H1274" s="3"/>
      <c r="I1274" s="65"/>
      <c r="K1274" s="65"/>
      <c r="M1274" s="65"/>
      <c r="O1274" s="65"/>
      <c r="Q1274" s="65"/>
      <c r="S1274" s="65"/>
      <c r="U1274" s="65"/>
      <c r="W1274" s="65"/>
      <c r="Y1274" s="65"/>
      <c r="AA1274" s="65"/>
      <c r="AC1274" s="65"/>
      <c r="AE1274" s="65"/>
      <c r="AG1274" s="65"/>
      <c r="AI1274" s="65"/>
      <c r="AK1274" s="65"/>
    </row>
    <row r="1275" spans="1:37" x14ac:dyDescent="0.25">
      <c r="A1275" s="2">
        <v>41698</v>
      </c>
      <c r="B1275" s="3">
        <v>3149.23</v>
      </c>
      <c r="C1275" s="2">
        <v>41718</v>
      </c>
      <c r="D1275" s="3">
        <v>21094.49</v>
      </c>
      <c r="E1275" s="2"/>
      <c r="F1275" s="3"/>
      <c r="G1275" s="2"/>
      <c r="H1275" s="3"/>
      <c r="I1275" s="65"/>
      <c r="K1275" s="65"/>
      <c r="M1275" s="65"/>
      <c r="O1275" s="65"/>
      <c r="Q1275" s="65"/>
      <c r="S1275" s="65"/>
      <c r="U1275" s="65"/>
      <c r="W1275" s="65"/>
      <c r="Y1275" s="65"/>
      <c r="AA1275" s="65"/>
      <c r="AC1275" s="65"/>
      <c r="AE1275" s="65"/>
      <c r="AG1275" s="65"/>
      <c r="AI1275" s="65"/>
      <c r="AK1275" s="65"/>
    </row>
    <row r="1276" spans="1:37" x14ac:dyDescent="0.25">
      <c r="A1276" s="2">
        <v>41701</v>
      </c>
      <c r="B1276" s="3">
        <v>3053.99</v>
      </c>
      <c r="C1276" s="2">
        <v>41719</v>
      </c>
      <c r="D1276" s="3">
        <v>20972.240000000002</v>
      </c>
      <c r="E1276" s="2"/>
      <c r="F1276" s="3"/>
      <c r="G1276" s="2"/>
      <c r="H1276" s="3"/>
      <c r="I1276" s="65"/>
      <c r="K1276" s="65"/>
      <c r="M1276" s="65"/>
      <c r="O1276" s="65"/>
      <c r="Q1276" s="65"/>
      <c r="S1276" s="65"/>
      <c r="U1276" s="65"/>
      <c r="W1276" s="65"/>
      <c r="Y1276" s="65"/>
      <c r="AA1276" s="65"/>
      <c r="AC1276" s="65"/>
      <c r="AE1276" s="65"/>
      <c r="AG1276" s="65"/>
      <c r="AI1276" s="65"/>
      <c r="AK1276" s="65"/>
    </row>
    <row r="1277" spans="1:37" x14ac:dyDescent="0.25">
      <c r="A1277" s="2">
        <v>41702</v>
      </c>
      <c r="B1277" s="3">
        <v>3136.33</v>
      </c>
      <c r="C1277" s="2">
        <v>41722</v>
      </c>
      <c r="D1277" s="3">
        <v>20626.580000000002</v>
      </c>
      <c r="E1277" s="2"/>
      <c r="F1277" s="3"/>
      <c r="G1277" s="2"/>
      <c r="H1277" s="3"/>
      <c r="I1277" s="65"/>
      <c r="K1277" s="65"/>
      <c r="M1277" s="65"/>
      <c r="O1277" s="65"/>
      <c r="Q1277" s="65"/>
      <c r="S1277" s="65"/>
      <c r="U1277" s="65"/>
      <c r="W1277" s="65"/>
      <c r="Y1277" s="65"/>
      <c r="AA1277" s="65"/>
      <c r="AC1277" s="65"/>
      <c r="AE1277" s="65"/>
      <c r="AG1277" s="65"/>
      <c r="AI1277" s="65"/>
      <c r="AK1277" s="65"/>
    </row>
    <row r="1278" spans="1:37" x14ac:dyDescent="0.25">
      <c r="A1278" s="2">
        <v>41703</v>
      </c>
      <c r="B1278" s="3">
        <v>3135.97</v>
      </c>
      <c r="C1278" s="65">
        <v>41723</v>
      </c>
      <c r="D1278" s="1">
        <v>20823.16</v>
      </c>
      <c r="E1278" s="65"/>
      <c r="G1278" s="65"/>
      <c r="I1278" s="65"/>
      <c r="K1278" s="65"/>
      <c r="M1278" s="65"/>
      <c r="O1278" s="65"/>
      <c r="Q1278" s="65"/>
      <c r="S1278" s="65"/>
      <c r="U1278" s="65"/>
      <c r="W1278" s="65"/>
      <c r="Y1278" s="65"/>
      <c r="AA1278" s="65"/>
      <c r="AC1278" s="65"/>
      <c r="AE1278" s="65"/>
      <c r="AG1278" s="65"/>
      <c r="AI1278" s="65"/>
      <c r="AK1278" s="65"/>
    </row>
    <row r="1279" spans="1:37" x14ac:dyDescent="0.25">
      <c r="A1279" s="2">
        <v>41704</v>
      </c>
      <c r="B1279" s="3">
        <v>3144.53</v>
      </c>
      <c r="C1279" s="65">
        <v>41724</v>
      </c>
      <c r="D1279" s="1">
        <v>21108.15</v>
      </c>
      <c r="E1279" s="65"/>
      <c r="G1279" s="65"/>
      <c r="I1279" s="65"/>
      <c r="K1279" s="65"/>
      <c r="M1279" s="65"/>
      <c r="O1279" s="65"/>
      <c r="Q1279" s="65"/>
      <c r="S1279" s="65"/>
      <c r="U1279" s="65"/>
      <c r="W1279" s="65"/>
      <c r="Y1279" s="65"/>
      <c r="AA1279" s="65"/>
      <c r="AC1279" s="65"/>
      <c r="AE1279" s="65"/>
      <c r="AG1279" s="65"/>
      <c r="AI1279" s="65"/>
      <c r="AK1279" s="65"/>
    </row>
    <row r="1280" spans="1:37" x14ac:dyDescent="0.25">
      <c r="A1280" s="2">
        <v>41705</v>
      </c>
      <c r="B1280" s="3">
        <v>3095.31</v>
      </c>
      <c r="C1280" s="65">
        <v>41725</v>
      </c>
      <c r="D1280" s="1">
        <v>21173.9</v>
      </c>
      <c r="E1280" s="65"/>
      <c r="G1280" s="65"/>
      <c r="I1280" s="65"/>
      <c r="K1280" s="65"/>
      <c r="M1280" s="65"/>
      <c r="O1280" s="65"/>
      <c r="Q1280" s="65"/>
      <c r="S1280" s="65"/>
      <c r="U1280" s="65"/>
      <c r="W1280" s="65"/>
      <c r="Y1280" s="65"/>
      <c r="AA1280" s="65"/>
      <c r="AC1280" s="65"/>
      <c r="AE1280" s="65"/>
      <c r="AG1280" s="65"/>
      <c r="AI1280" s="65"/>
      <c r="AK1280" s="65"/>
    </row>
    <row r="1281" spans="1:37" x14ac:dyDescent="0.25">
      <c r="A1281" s="2">
        <v>41708</v>
      </c>
      <c r="B1281" s="3">
        <v>3092.79</v>
      </c>
      <c r="C1281" s="65">
        <v>41726</v>
      </c>
      <c r="D1281" s="1">
        <v>21498.240000000002</v>
      </c>
      <c r="E1281" s="65"/>
      <c r="G1281" s="65"/>
      <c r="I1281" s="65"/>
      <c r="K1281" s="65"/>
      <c r="M1281" s="65"/>
      <c r="O1281" s="65"/>
      <c r="Q1281" s="65"/>
      <c r="S1281" s="65"/>
      <c r="U1281" s="65"/>
      <c r="W1281" s="65"/>
      <c r="Y1281" s="65"/>
      <c r="AA1281" s="65"/>
      <c r="AC1281" s="65"/>
      <c r="AE1281" s="65"/>
      <c r="AG1281" s="65"/>
      <c r="AI1281" s="65"/>
      <c r="AK1281" s="65"/>
    </row>
    <row r="1282" spans="1:37" x14ac:dyDescent="0.25">
      <c r="A1282" s="2">
        <v>41709</v>
      </c>
      <c r="B1282" s="3">
        <v>3092.55</v>
      </c>
      <c r="C1282" s="65">
        <v>41729</v>
      </c>
      <c r="D1282" s="1">
        <v>21691.919999999998</v>
      </c>
      <c r="E1282" s="65"/>
      <c r="G1282" s="65"/>
      <c r="I1282" s="65"/>
      <c r="K1282" s="65"/>
      <c r="M1282" s="65"/>
      <c r="O1282" s="65"/>
      <c r="Q1282" s="65"/>
      <c r="S1282" s="65"/>
      <c r="U1282" s="65"/>
      <c r="W1282" s="65"/>
      <c r="Y1282" s="65"/>
      <c r="AA1282" s="65"/>
      <c r="AC1282" s="65"/>
      <c r="AE1282" s="65"/>
      <c r="AG1282" s="65"/>
      <c r="AI1282" s="65"/>
      <c r="AK1282" s="65"/>
    </row>
    <row r="1283" spans="1:37" x14ac:dyDescent="0.25">
      <c r="A1283" s="2">
        <v>41710</v>
      </c>
      <c r="B1283" s="3">
        <v>3065.46</v>
      </c>
      <c r="C1283" s="65">
        <v>41730</v>
      </c>
      <c r="D1283" s="1">
        <v>21915.41</v>
      </c>
      <c r="E1283" s="65"/>
      <c r="G1283" s="65"/>
      <c r="I1283" s="65"/>
      <c r="K1283" s="65"/>
      <c r="M1283" s="65"/>
      <c r="O1283" s="65"/>
      <c r="Q1283" s="65"/>
      <c r="S1283" s="65"/>
      <c r="U1283" s="65"/>
      <c r="W1283" s="65"/>
      <c r="Y1283" s="65"/>
      <c r="AA1283" s="65"/>
      <c r="AC1283" s="65"/>
      <c r="AE1283" s="65"/>
      <c r="AG1283" s="65"/>
      <c r="AI1283" s="65"/>
      <c r="AK1283" s="65"/>
    </row>
    <row r="1284" spans="1:37" x14ac:dyDescent="0.25">
      <c r="A1284" s="2">
        <v>41711</v>
      </c>
      <c r="B1284" s="3">
        <v>3019.54</v>
      </c>
      <c r="C1284" s="65">
        <v>41731</v>
      </c>
      <c r="D1284" s="1">
        <v>21692.04</v>
      </c>
      <c r="E1284" s="65"/>
      <c r="G1284" s="65"/>
      <c r="I1284" s="65"/>
      <c r="K1284" s="65"/>
      <c r="M1284" s="65"/>
      <c r="O1284" s="65"/>
      <c r="Q1284" s="65"/>
      <c r="S1284" s="65"/>
      <c r="U1284" s="65"/>
      <c r="W1284" s="65"/>
      <c r="Y1284" s="65"/>
      <c r="AA1284" s="65"/>
      <c r="AC1284" s="65"/>
      <c r="AE1284" s="65"/>
      <c r="AG1284" s="65"/>
      <c r="AI1284" s="65"/>
      <c r="AK1284" s="65"/>
    </row>
    <row r="1285" spans="1:37" x14ac:dyDescent="0.25">
      <c r="A1285" s="2">
        <v>41712</v>
      </c>
      <c r="B1285" s="3">
        <v>3004.64</v>
      </c>
      <c r="C1285" s="65">
        <v>41732</v>
      </c>
      <c r="D1285" s="1">
        <v>21992.080000000002</v>
      </c>
      <c r="E1285" s="65"/>
      <c r="G1285" s="65"/>
      <c r="I1285" s="65"/>
      <c r="K1285" s="65"/>
      <c r="M1285" s="65"/>
      <c r="O1285" s="65"/>
      <c r="Q1285" s="65"/>
      <c r="S1285" s="65"/>
      <c r="U1285" s="65"/>
      <c r="W1285" s="65"/>
      <c r="Y1285" s="65"/>
      <c r="AA1285" s="65"/>
      <c r="AC1285" s="65"/>
      <c r="AE1285" s="65"/>
      <c r="AG1285" s="65"/>
      <c r="AI1285" s="65"/>
      <c r="AK1285" s="65"/>
    </row>
    <row r="1286" spans="1:37" x14ac:dyDescent="0.25">
      <c r="A1286" s="2">
        <v>41715</v>
      </c>
      <c r="B1286" s="3">
        <v>3049.19</v>
      </c>
      <c r="C1286" s="65">
        <v>41733</v>
      </c>
      <c r="D1286" s="1">
        <v>22175.48</v>
      </c>
      <c r="E1286" s="65"/>
      <c r="G1286" s="65"/>
      <c r="I1286" s="65"/>
      <c r="K1286" s="65"/>
      <c r="M1286" s="65"/>
      <c r="O1286" s="65"/>
      <c r="Q1286" s="65"/>
      <c r="S1286" s="65"/>
      <c r="U1286" s="65"/>
      <c r="W1286" s="65"/>
      <c r="Y1286" s="65"/>
      <c r="AA1286" s="65"/>
      <c r="AC1286" s="65"/>
      <c r="AE1286" s="65"/>
      <c r="AG1286" s="65"/>
      <c r="AI1286" s="65"/>
      <c r="AK1286" s="65"/>
    </row>
    <row r="1287" spans="1:37" x14ac:dyDescent="0.25">
      <c r="A1287" s="2">
        <v>41716</v>
      </c>
      <c r="B1287" s="3">
        <v>3073.75</v>
      </c>
      <c r="C1287" s="65">
        <v>41736</v>
      </c>
      <c r="D1287" s="1">
        <v>21988.34</v>
      </c>
      <c r="E1287" s="65"/>
      <c r="G1287" s="65"/>
      <c r="I1287" s="65"/>
      <c r="K1287" s="65"/>
      <c r="M1287" s="65"/>
      <c r="O1287" s="65"/>
      <c r="Q1287" s="65"/>
      <c r="S1287" s="65"/>
      <c r="U1287" s="65"/>
      <c r="W1287" s="65"/>
      <c r="Y1287" s="65"/>
      <c r="AA1287" s="65"/>
      <c r="AC1287" s="65"/>
      <c r="AE1287" s="65"/>
      <c r="AG1287" s="65"/>
      <c r="AI1287" s="65"/>
      <c r="AK1287" s="65"/>
    </row>
    <row r="1288" spans="1:37" x14ac:dyDescent="0.25">
      <c r="A1288" s="2">
        <v>41717</v>
      </c>
      <c r="B1288" s="3">
        <v>3076.36</v>
      </c>
      <c r="C1288" s="65">
        <v>41737</v>
      </c>
      <c r="D1288" s="1">
        <v>21667.05</v>
      </c>
      <c r="E1288" s="65"/>
      <c r="G1288" s="65"/>
      <c r="I1288" s="65"/>
      <c r="K1288" s="65"/>
      <c r="M1288" s="65"/>
      <c r="O1288" s="65"/>
      <c r="Q1288" s="65"/>
      <c r="S1288" s="65"/>
      <c r="U1288" s="65"/>
      <c r="W1288" s="65"/>
      <c r="Y1288" s="65"/>
      <c r="AA1288" s="65"/>
      <c r="AC1288" s="65"/>
      <c r="AE1288" s="65"/>
      <c r="AG1288" s="65"/>
      <c r="AI1288" s="65"/>
      <c r="AK1288" s="65"/>
    </row>
    <row r="1289" spans="1:37" x14ac:dyDescent="0.25">
      <c r="A1289" s="2">
        <v>41718</v>
      </c>
      <c r="B1289" s="3">
        <v>3088.9</v>
      </c>
      <c r="C1289" s="65">
        <v>41738</v>
      </c>
      <c r="D1289" s="1">
        <v>21717.02</v>
      </c>
      <c r="E1289" s="65"/>
      <c r="G1289" s="65"/>
      <c r="I1289" s="65"/>
      <c r="K1289" s="65"/>
      <c r="M1289" s="65"/>
      <c r="O1289" s="65"/>
      <c r="Q1289" s="65"/>
      <c r="S1289" s="65"/>
      <c r="U1289" s="65"/>
      <c r="W1289" s="65"/>
      <c r="Y1289" s="65"/>
      <c r="AA1289" s="65"/>
      <c r="AC1289" s="65"/>
      <c r="AE1289" s="65"/>
      <c r="AG1289" s="65"/>
      <c r="AI1289" s="65"/>
      <c r="AK1289" s="65"/>
    </row>
    <row r="1290" spans="1:37" x14ac:dyDescent="0.25">
      <c r="A1290" s="2">
        <v>41719</v>
      </c>
      <c r="B1290" s="3">
        <v>3096.49</v>
      </c>
      <c r="C1290" s="65">
        <v>41739</v>
      </c>
      <c r="D1290" s="1">
        <v>21429.09</v>
      </c>
      <c r="G1290" s="65"/>
      <c r="I1290" s="65"/>
      <c r="K1290" s="65"/>
      <c r="M1290" s="65"/>
      <c r="O1290" s="65"/>
      <c r="Q1290" s="65"/>
      <c r="S1290" s="65"/>
      <c r="U1290" s="65"/>
      <c r="W1290" s="65"/>
      <c r="Y1290" s="65"/>
      <c r="AA1290" s="65"/>
      <c r="AC1290" s="65"/>
      <c r="AE1290" s="65"/>
      <c r="AG1290" s="65"/>
      <c r="AI1290" s="65"/>
      <c r="AK1290" s="65"/>
    </row>
    <row r="1291" spans="1:37" x14ac:dyDescent="0.25">
      <c r="A1291" s="2">
        <v>41722</v>
      </c>
      <c r="B1291" s="3">
        <v>3052.91</v>
      </c>
      <c r="C1291" s="65">
        <v>41740</v>
      </c>
      <c r="D1291" s="1">
        <v>21198.79</v>
      </c>
      <c r="G1291" s="65"/>
      <c r="I1291" s="65"/>
      <c r="K1291" s="65"/>
      <c r="M1291" s="65"/>
      <c r="O1291" s="65"/>
      <c r="Q1291" s="65"/>
      <c r="S1291" s="65"/>
      <c r="U1291" s="65"/>
      <c r="W1291" s="65"/>
      <c r="Y1291" s="65"/>
      <c r="AA1291" s="65"/>
      <c r="AC1291" s="65"/>
      <c r="AE1291" s="65"/>
      <c r="AG1291" s="65"/>
      <c r="AI1291" s="65"/>
      <c r="AK1291" s="65"/>
    </row>
    <row r="1292" spans="1:37" x14ac:dyDescent="0.25">
      <c r="A1292" s="2">
        <v>41723</v>
      </c>
      <c r="B1292" s="3">
        <v>3096.64</v>
      </c>
      <c r="C1292" s="65">
        <v>41743</v>
      </c>
      <c r="D1292" s="1">
        <v>21314.560000000001</v>
      </c>
      <c r="G1292" s="65"/>
      <c r="I1292" s="65"/>
      <c r="K1292" s="65"/>
      <c r="M1292" s="65"/>
      <c r="O1292" s="65"/>
      <c r="Q1292" s="65"/>
      <c r="S1292" s="65"/>
      <c r="U1292" s="65"/>
      <c r="W1292" s="65"/>
      <c r="Y1292" s="65"/>
      <c r="AA1292" s="65"/>
      <c r="AC1292" s="65"/>
      <c r="AE1292" s="65"/>
      <c r="AG1292" s="65"/>
      <c r="AI1292" s="65"/>
      <c r="AK1292" s="65"/>
    </row>
    <row r="1293" spans="1:37" x14ac:dyDescent="0.25">
      <c r="A1293" s="2">
        <v>41724</v>
      </c>
      <c r="B1293" s="3">
        <v>3130.17</v>
      </c>
      <c r="C1293" s="65">
        <v>41744</v>
      </c>
      <c r="D1293" s="1">
        <v>20817.490000000002</v>
      </c>
      <c r="G1293" s="65"/>
      <c r="I1293" s="65"/>
      <c r="K1293" s="65"/>
      <c r="M1293" s="65"/>
      <c r="O1293" s="65"/>
      <c r="Q1293" s="65"/>
      <c r="S1293" s="65"/>
      <c r="U1293" s="65"/>
      <c r="W1293" s="65"/>
      <c r="Y1293" s="65"/>
      <c r="AA1293" s="65"/>
      <c r="AC1293" s="65"/>
      <c r="AE1293" s="65"/>
      <c r="AG1293" s="65"/>
      <c r="AI1293" s="65"/>
      <c r="AK1293" s="65"/>
    </row>
    <row r="1294" spans="1:37" x14ac:dyDescent="0.25">
      <c r="A1294" s="2">
        <v>41725</v>
      </c>
      <c r="B1294" s="3">
        <v>3133.75</v>
      </c>
      <c r="C1294" s="65">
        <v>41745</v>
      </c>
      <c r="D1294" s="1">
        <v>21534.52</v>
      </c>
      <c r="G1294" s="65"/>
      <c r="I1294" s="65"/>
      <c r="K1294" s="65"/>
      <c r="M1294" s="65"/>
      <c r="O1294" s="65"/>
      <c r="Q1294" s="65"/>
      <c r="S1294" s="65"/>
      <c r="U1294" s="65"/>
      <c r="W1294" s="65"/>
      <c r="Y1294" s="65"/>
      <c r="AA1294" s="65"/>
      <c r="AC1294" s="65"/>
      <c r="AE1294" s="65"/>
      <c r="AG1294" s="65"/>
      <c r="AI1294" s="65"/>
      <c r="AK1294" s="65"/>
    </row>
    <row r="1295" spans="1:37" x14ac:dyDescent="0.25">
      <c r="A1295" s="2">
        <v>41726</v>
      </c>
      <c r="B1295" s="3">
        <v>3172.43</v>
      </c>
      <c r="C1295" s="65">
        <v>41746</v>
      </c>
      <c r="D1295" s="1">
        <v>21613.3</v>
      </c>
      <c r="G1295" s="65"/>
      <c r="I1295" s="65"/>
      <c r="K1295" s="65"/>
      <c r="M1295" s="65"/>
      <c r="O1295" s="65"/>
      <c r="Q1295" s="65"/>
      <c r="S1295" s="65"/>
      <c r="U1295" s="65"/>
      <c r="W1295" s="65"/>
      <c r="Y1295" s="65"/>
      <c r="AA1295" s="65"/>
      <c r="AC1295" s="65"/>
      <c r="AE1295" s="65"/>
      <c r="AG1295" s="65"/>
      <c r="AI1295" s="65"/>
      <c r="AK1295" s="65"/>
    </row>
    <row r="1296" spans="1:37" x14ac:dyDescent="0.25">
      <c r="A1296" s="2">
        <v>41729</v>
      </c>
      <c r="B1296" s="3">
        <v>3161.6</v>
      </c>
      <c r="C1296" s="65">
        <v>41751</v>
      </c>
      <c r="D1296" s="1">
        <v>21935.34</v>
      </c>
      <c r="G1296" s="65"/>
      <c r="I1296" s="65"/>
      <c r="K1296" s="65"/>
      <c r="M1296" s="65"/>
      <c r="O1296" s="65"/>
      <c r="Q1296" s="65"/>
      <c r="S1296" s="65"/>
      <c r="U1296" s="65"/>
      <c r="W1296" s="65"/>
      <c r="Y1296" s="65"/>
      <c r="AA1296" s="65"/>
      <c r="AC1296" s="65"/>
      <c r="AE1296" s="65"/>
      <c r="AG1296" s="65"/>
      <c r="AI1296" s="65"/>
      <c r="AK1296" s="65"/>
    </row>
    <row r="1297" spans="1:37" x14ac:dyDescent="0.25">
      <c r="A1297" s="2">
        <v>41730</v>
      </c>
      <c r="B1297" s="3">
        <v>3186.34</v>
      </c>
      <c r="C1297" s="65">
        <v>41752</v>
      </c>
      <c r="D1297" s="1">
        <v>21675.75</v>
      </c>
      <c r="G1297" s="65"/>
      <c r="I1297" s="65"/>
      <c r="K1297" s="65"/>
      <c r="M1297" s="65"/>
      <c r="O1297" s="65"/>
      <c r="Q1297" s="65"/>
      <c r="S1297" s="65"/>
      <c r="U1297" s="65"/>
      <c r="W1297" s="65"/>
      <c r="Y1297" s="65"/>
      <c r="AA1297" s="65"/>
      <c r="AC1297" s="65"/>
      <c r="AE1297" s="65"/>
      <c r="AG1297" s="65"/>
      <c r="AI1297" s="65"/>
      <c r="AK1297" s="65"/>
    </row>
    <row r="1298" spans="1:37" x14ac:dyDescent="0.25">
      <c r="A1298" s="2">
        <v>41731</v>
      </c>
      <c r="B1298" s="3">
        <v>3187.45</v>
      </c>
      <c r="C1298" s="65">
        <v>41753</v>
      </c>
      <c r="D1298" s="1">
        <v>21819.48</v>
      </c>
      <c r="G1298" s="65"/>
      <c r="I1298" s="65"/>
      <c r="K1298" s="65"/>
      <c r="M1298" s="65"/>
      <c r="O1298" s="65"/>
      <c r="Q1298" s="65"/>
      <c r="S1298" s="65"/>
      <c r="U1298" s="65"/>
      <c r="W1298" s="65"/>
      <c r="Y1298" s="65"/>
      <c r="AA1298" s="65"/>
      <c r="AC1298" s="65"/>
      <c r="AE1298" s="65"/>
      <c r="AG1298" s="65"/>
      <c r="AI1298" s="65"/>
      <c r="AK1298" s="65"/>
    </row>
    <row r="1299" spans="1:37" x14ac:dyDescent="0.25">
      <c r="A1299" s="2">
        <v>41732</v>
      </c>
      <c r="B1299" s="3">
        <v>3206.76</v>
      </c>
      <c r="C1299" s="65">
        <v>41754</v>
      </c>
      <c r="D1299" s="1">
        <v>21441.57</v>
      </c>
      <c r="G1299" s="65"/>
      <c r="I1299" s="65"/>
      <c r="K1299" s="65"/>
      <c r="M1299" s="65"/>
      <c r="O1299" s="65"/>
      <c r="Q1299" s="65"/>
      <c r="S1299" s="65"/>
      <c r="U1299" s="65"/>
      <c r="W1299" s="65"/>
      <c r="Y1299" s="65"/>
      <c r="AA1299" s="65"/>
      <c r="AC1299" s="65"/>
      <c r="AE1299" s="65"/>
      <c r="AG1299" s="65"/>
      <c r="AI1299" s="65"/>
      <c r="AK1299" s="65"/>
    </row>
    <row r="1300" spans="1:37" x14ac:dyDescent="0.25">
      <c r="A1300" s="2">
        <v>41733</v>
      </c>
      <c r="B1300" s="3">
        <v>3230.33</v>
      </c>
      <c r="C1300" s="65">
        <v>41757</v>
      </c>
      <c r="D1300" s="1">
        <v>21513.82</v>
      </c>
      <c r="G1300" s="65"/>
      <c r="I1300" s="65"/>
      <c r="K1300" s="65"/>
      <c r="M1300" s="65"/>
      <c r="O1300" s="65"/>
      <c r="Q1300" s="65"/>
      <c r="S1300" s="65"/>
      <c r="U1300" s="65"/>
      <c r="W1300" s="65"/>
      <c r="Y1300" s="65"/>
      <c r="AA1300" s="65"/>
      <c r="AC1300" s="65"/>
      <c r="AE1300" s="65"/>
      <c r="AG1300" s="65"/>
      <c r="AI1300" s="65"/>
      <c r="AK1300" s="65"/>
    </row>
    <row r="1301" spans="1:37" x14ac:dyDescent="0.25">
      <c r="A1301" s="2">
        <v>41736</v>
      </c>
      <c r="B1301" s="3">
        <v>3185.97</v>
      </c>
      <c r="C1301" s="65">
        <v>41758</v>
      </c>
      <c r="D1301" s="1">
        <v>21976.84</v>
      </c>
      <c r="G1301" s="65"/>
      <c r="I1301" s="65"/>
      <c r="K1301" s="65"/>
      <c r="M1301" s="65"/>
      <c r="O1301" s="65"/>
      <c r="Q1301" s="65"/>
      <c r="S1301" s="65"/>
      <c r="U1301" s="65"/>
      <c r="W1301" s="65"/>
      <c r="Y1301" s="65"/>
      <c r="AA1301" s="65"/>
      <c r="AC1301" s="65"/>
      <c r="AE1301" s="65"/>
      <c r="AG1301" s="65"/>
      <c r="AI1301" s="65"/>
      <c r="AK1301" s="65"/>
    </row>
    <row r="1302" spans="1:37" x14ac:dyDescent="0.25">
      <c r="A1302" s="2">
        <v>41737</v>
      </c>
      <c r="B1302" s="3">
        <v>3177.66</v>
      </c>
      <c r="C1302" s="65">
        <v>41759</v>
      </c>
      <c r="D1302" s="1">
        <v>21783.38</v>
      </c>
      <c r="G1302" s="65"/>
      <c r="I1302" s="65"/>
      <c r="K1302" s="65"/>
      <c r="M1302" s="65"/>
      <c r="O1302" s="65"/>
      <c r="Q1302" s="65"/>
      <c r="S1302" s="65"/>
      <c r="U1302" s="65"/>
      <c r="W1302" s="65"/>
      <c r="Y1302" s="65"/>
      <c r="AA1302" s="65"/>
      <c r="AC1302" s="65"/>
      <c r="AE1302" s="65"/>
      <c r="AG1302" s="65"/>
      <c r="AI1302" s="65"/>
      <c r="AK1302" s="65"/>
    </row>
    <row r="1303" spans="1:37" x14ac:dyDescent="0.25">
      <c r="A1303" s="2">
        <v>41738</v>
      </c>
      <c r="B1303" s="3">
        <v>3182.79</v>
      </c>
      <c r="C1303" s="65">
        <v>41761</v>
      </c>
      <c r="D1303" s="1">
        <v>21782</v>
      </c>
      <c r="G1303" s="65"/>
      <c r="I1303" s="65"/>
      <c r="K1303" s="65"/>
      <c r="M1303" s="65"/>
      <c r="O1303" s="65"/>
      <c r="Q1303" s="65"/>
      <c r="S1303" s="65"/>
      <c r="U1303" s="65"/>
      <c r="W1303" s="65"/>
      <c r="Y1303" s="65"/>
      <c r="AA1303" s="65"/>
      <c r="AC1303" s="65"/>
      <c r="AE1303" s="65"/>
      <c r="AG1303" s="65"/>
      <c r="AI1303" s="65"/>
      <c r="AK1303" s="65"/>
    </row>
    <row r="1304" spans="1:37" x14ac:dyDescent="0.25">
      <c r="A1304" s="2">
        <v>41739</v>
      </c>
      <c r="B1304" s="3">
        <v>3152.86</v>
      </c>
      <c r="C1304" s="65">
        <v>41764</v>
      </c>
      <c r="D1304" s="1">
        <v>21639.96</v>
      </c>
      <c r="G1304" s="65"/>
      <c r="I1304" s="65"/>
      <c r="K1304" s="65"/>
      <c r="M1304" s="65"/>
      <c r="O1304" s="65"/>
      <c r="Q1304" s="65"/>
      <c r="S1304" s="65"/>
      <c r="U1304" s="65"/>
      <c r="W1304" s="65"/>
      <c r="Y1304" s="65"/>
      <c r="AA1304" s="65"/>
      <c r="AC1304" s="65"/>
      <c r="AE1304" s="65"/>
      <c r="AG1304" s="65"/>
      <c r="AI1304" s="65"/>
      <c r="AK1304" s="65"/>
    </row>
    <row r="1305" spans="1:37" x14ac:dyDescent="0.25">
      <c r="A1305" s="2">
        <v>41740</v>
      </c>
      <c r="B1305" s="3">
        <v>3116.54</v>
      </c>
      <c r="C1305" s="65">
        <v>41765</v>
      </c>
      <c r="D1305" s="1">
        <v>21521.65</v>
      </c>
      <c r="G1305" s="65"/>
      <c r="I1305" s="65"/>
      <c r="K1305" s="65"/>
      <c r="M1305" s="65"/>
      <c r="O1305" s="65"/>
      <c r="Q1305" s="65"/>
      <c r="S1305" s="65"/>
      <c r="U1305" s="65"/>
      <c r="W1305" s="65"/>
      <c r="Y1305" s="65"/>
      <c r="AA1305" s="65"/>
      <c r="AC1305" s="65"/>
      <c r="AE1305" s="65"/>
      <c r="AG1305" s="65"/>
      <c r="AI1305" s="65"/>
      <c r="AK1305" s="65"/>
    </row>
    <row r="1306" spans="1:37" x14ac:dyDescent="0.25">
      <c r="A1306" s="2">
        <v>41743</v>
      </c>
      <c r="B1306" s="3">
        <v>3131.57</v>
      </c>
      <c r="C1306" s="65">
        <v>41766</v>
      </c>
      <c r="D1306" s="1">
        <v>21240.74</v>
      </c>
      <c r="G1306" s="65"/>
      <c r="I1306" s="65"/>
      <c r="K1306" s="65"/>
      <c r="M1306" s="65"/>
      <c r="O1306" s="65"/>
      <c r="Q1306" s="65"/>
      <c r="S1306" s="65"/>
      <c r="U1306" s="65"/>
      <c r="W1306" s="65"/>
      <c r="Y1306" s="65"/>
      <c r="AA1306" s="65"/>
      <c r="AC1306" s="65"/>
      <c r="AE1306" s="65"/>
      <c r="AG1306" s="65"/>
      <c r="AI1306" s="65"/>
      <c r="AK1306" s="65"/>
    </row>
    <row r="1307" spans="1:37" x14ac:dyDescent="0.25">
      <c r="A1307" s="2">
        <v>41744</v>
      </c>
      <c r="B1307" s="3">
        <v>3091.52</v>
      </c>
      <c r="C1307" s="65">
        <v>41767</v>
      </c>
      <c r="D1307" s="1">
        <v>21729.64</v>
      </c>
      <c r="G1307" s="65"/>
      <c r="I1307" s="65"/>
      <c r="K1307" s="65"/>
      <c r="M1307" s="65"/>
      <c r="O1307" s="65"/>
      <c r="Q1307" s="65"/>
      <c r="S1307" s="65"/>
      <c r="U1307" s="65"/>
      <c r="W1307" s="65"/>
      <c r="Y1307" s="65"/>
      <c r="AA1307" s="65"/>
      <c r="AC1307" s="65"/>
      <c r="AE1307" s="65"/>
      <c r="AG1307" s="65"/>
      <c r="AI1307" s="65"/>
      <c r="AK1307" s="65"/>
    </row>
    <row r="1308" spans="1:37" x14ac:dyDescent="0.25">
      <c r="A1308" s="2">
        <v>41745</v>
      </c>
      <c r="B1308" s="3">
        <v>3139.26</v>
      </c>
      <c r="C1308" s="65">
        <v>41768</v>
      </c>
      <c r="D1308" s="1">
        <v>21390.11</v>
      </c>
      <c r="G1308" s="65"/>
      <c r="I1308" s="65"/>
      <c r="K1308" s="65"/>
      <c r="M1308" s="65"/>
      <c r="O1308" s="65"/>
      <c r="Q1308" s="65"/>
      <c r="S1308" s="65"/>
      <c r="U1308" s="65"/>
      <c r="W1308" s="65"/>
      <c r="Y1308" s="65"/>
      <c r="AA1308" s="65"/>
      <c r="AC1308" s="65"/>
      <c r="AE1308" s="65"/>
      <c r="AG1308" s="65"/>
      <c r="AI1308" s="65"/>
      <c r="AK1308" s="65"/>
    </row>
    <row r="1309" spans="1:37" x14ac:dyDescent="0.25">
      <c r="A1309" s="2">
        <v>41746</v>
      </c>
      <c r="B1309" s="3">
        <v>3155.81</v>
      </c>
      <c r="C1309" s="65">
        <v>41771</v>
      </c>
      <c r="D1309" s="1">
        <v>21493.67</v>
      </c>
      <c r="G1309" s="65"/>
      <c r="I1309" s="65"/>
      <c r="K1309" s="65"/>
      <c r="M1309" s="65"/>
      <c r="O1309" s="65"/>
      <c r="Q1309" s="65"/>
      <c r="S1309" s="65"/>
      <c r="U1309" s="65"/>
      <c r="W1309" s="65"/>
      <c r="Y1309" s="65"/>
      <c r="AA1309" s="65"/>
      <c r="AC1309" s="65"/>
      <c r="AE1309" s="65"/>
      <c r="AG1309" s="65"/>
      <c r="AI1309" s="65"/>
      <c r="AK1309" s="65"/>
    </row>
    <row r="1310" spans="1:37" x14ac:dyDescent="0.25">
      <c r="A1310" s="2">
        <v>41751</v>
      </c>
      <c r="B1310" s="3">
        <v>3199.69</v>
      </c>
      <c r="C1310" s="65">
        <v>41772</v>
      </c>
      <c r="D1310" s="1">
        <v>21255.99</v>
      </c>
      <c r="G1310" s="65"/>
      <c r="I1310" s="65"/>
      <c r="K1310" s="65"/>
      <c r="M1310" s="65"/>
      <c r="O1310" s="65"/>
      <c r="Q1310" s="65"/>
      <c r="S1310" s="65"/>
      <c r="U1310" s="65"/>
      <c r="W1310" s="65"/>
      <c r="Y1310" s="65"/>
      <c r="AA1310" s="65"/>
      <c r="AC1310" s="65"/>
      <c r="AE1310" s="65"/>
      <c r="AG1310" s="65"/>
      <c r="AI1310" s="65"/>
      <c r="AK1310" s="65"/>
    </row>
    <row r="1311" spans="1:37" x14ac:dyDescent="0.25">
      <c r="A1311" s="65">
        <v>41752</v>
      </c>
      <c r="B1311" s="1">
        <v>3175.97</v>
      </c>
      <c r="C1311" s="65">
        <v>41773</v>
      </c>
      <c r="D1311" s="1">
        <v>21184.6</v>
      </c>
      <c r="G1311" s="65"/>
      <c r="I1311" s="65"/>
      <c r="K1311" s="65"/>
      <c r="M1311" s="65"/>
      <c r="O1311" s="65"/>
      <c r="Q1311" s="65"/>
      <c r="S1311" s="65"/>
      <c r="U1311" s="65"/>
      <c r="W1311" s="65"/>
      <c r="Y1311" s="65"/>
      <c r="AA1311" s="65"/>
      <c r="AC1311" s="65"/>
      <c r="AE1311" s="65"/>
      <c r="AG1311" s="65"/>
      <c r="AI1311" s="65"/>
      <c r="AK1311" s="65"/>
    </row>
    <row r="1312" spans="1:37" x14ac:dyDescent="0.25">
      <c r="A1312" s="65">
        <v>41753</v>
      </c>
      <c r="B1312" s="1">
        <v>3189.81</v>
      </c>
      <c r="C1312" s="65">
        <v>41774</v>
      </c>
      <c r="D1312" s="1">
        <v>20419.62</v>
      </c>
      <c r="G1312" s="65"/>
      <c r="I1312" s="65"/>
      <c r="K1312" s="65"/>
      <c r="M1312" s="65"/>
      <c r="O1312" s="65"/>
      <c r="Q1312" s="65"/>
      <c r="S1312" s="65"/>
      <c r="U1312" s="65"/>
      <c r="W1312" s="65"/>
      <c r="Y1312" s="65"/>
      <c r="AA1312" s="65"/>
      <c r="AC1312" s="65"/>
      <c r="AE1312" s="65"/>
      <c r="AG1312" s="65"/>
      <c r="AI1312" s="65"/>
      <c r="AK1312" s="65"/>
    </row>
    <row r="1313" spans="1:37" x14ac:dyDescent="0.25">
      <c r="A1313" s="65">
        <v>41754</v>
      </c>
      <c r="B1313" s="1">
        <v>3147.4</v>
      </c>
      <c r="C1313" s="65">
        <v>41775</v>
      </c>
      <c r="D1313" s="1">
        <v>20648.59</v>
      </c>
      <c r="G1313" s="65"/>
      <c r="I1313" s="65"/>
      <c r="K1313" s="65"/>
      <c r="M1313" s="65"/>
      <c r="O1313" s="65"/>
      <c r="Q1313" s="65"/>
      <c r="S1313" s="65"/>
      <c r="U1313" s="65"/>
      <c r="W1313" s="65"/>
      <c r="Y1313" s="65"/>
      <c r="AA1313" s="65"/>
      <c r="AC1313" s="65"/>
      <c r="AE1313" s="65"/>
      <c r="AG1313" s="65"/>
      <c r="AI1313" s="65"/>
      <c r="AK1313" s="65"/>
    </row>
    <row r="1314" spans="1:37" x14ac:dyDescent="0.25">
      <c r="A1314" s="65">
        <v>41757</v>
      </c>
      <c r="B1314" s="1">
        <v>3165.84</v>
      </c>
      <c r="C1314" s="65">
        <v>41778</v>
      </c>
      <c r="D1314" s="1">
        <v>20318.46</v>
      </c>
      <c r="G1314" s="65"/>
      <c r="I1314" s="65"/>
      <c r="K1314" s="65"/>
      <c r="M1314" s="65"/>
      <c r="O1314" s="65"/>
      <c r="Q1314" s="65"/>
      <c r="S1314" s="65"/>
      <c r="U1314" s="65"/>
      <c r="W1314" s="65"/>
      <c r="Y1314" s="65"/>
      <c r="AA1314" s="65"/>
      <c r="AC1314" s="65"/>
      <c r="AE1314" s="65"/>
      <c r="AG1314" s="65"/>
      <c r="AI1314" s="65"/>
      <c r="AK1314" s="65"/>
    </row>
    <row r="1315" spans="1:37" x14ac:dyDescent="0.25">
      <c r="A1315" s="65">
        <v>41758</v>
      </c>
      <c r="B1315" s="1">
        <v>3208.68</v>
      </c>
      <c r="C1315" s="65">
        <v>41779</v>
      </c>
      <c r="D1315" s="1">
        <v>20379.849999999999</v>
      </c>
      <c r="G1315" s="65"/>
      <c r="I1315" s="65"/>
      <c r="K1315" s="65"/>
      <c r="M1315" s="65"/>
      <c r="O1315" s="65"/>
      <c r="Q1315" s="65"/>
      <c r="S1315" s="65"/>
      <c r="U1315" s="65"/>
      <c r="W1315" s="65"/>
      <c r="Y1315" s="65"/>
      <c r="AA1315" s="65"/>
      <c r="AC1315" s="65"/>
      <c r="AE1315" s="65"/>
      <c r="AG1315" s="65"/>
      <c r="AI1315" s="65"/>
      <c r="AK1315" s="65"/>
    </row>
    <row r="1316" spans="1:37" x14ac:dyDescent="0.25">
      <c r="A1316" s="65">
        <v>41759</v>
      </c>
      <c r="B1316" s="1">
        <v>3198.39</v>
      </c>
      <c r="C1316" s="65">
        <v>41780</v>
      </c>
      <c r="D1316" s="1">
        <v>20597.509999999998</v>
      </c>
      <c r="O1316" s="65"/>
      <c r="Q1316" s="65"/>
      <c r="S1316" s="65"/>
      <c r="U1316" s="65"/>
      <c r="W1316" s="65"/>
      <c r="Y1316" s="65"/>
      <c r="AA1316" s="65"/>
      <c r="AC1316" s="65"/>
      <c r="AE1316" s="65"/>
      <c r="AG1316" s="65"/>
      <c r="AI1316" s="65"/>
      <c r="AK1316" s="65"/>
    </row>
    <row r="1317" spans="1:37" x14ac:dyDescent="0.25">
      <c r="A1317" s="65">
        <v>41760</v>
      </c>
      <c r="B1317" s="1">
        <v>3198.66</v>
      </c>
      <c r="C1317" s="65">
        <v>41781</v>
      </c>
      <c r="D1317" s="1">
        <v>20372.68</v>
      </c>
    </row>
    <row r="1318" spans="1:37" x14ac:dyDescent="0.25">
      <c r="A1318" s="65">
        <v>41761</v>
      </c>
      <c r="B1318" s="1">
        <v>3177.89</v>
      </c>
      <c r="C1318" s="65">
        <v>41782</v>
      </c>
      <c r="D1318" s="1">
        <v>20745.96</v>
      </c>
    </row>
    <row r="1319" spans="1:37" x14ac:dyDescent="0.25">
      <c r="A1319" s="65">
        <v>41764</v>
      </c>
      <c r="B1319" s="1">
        <v>3171.29</v>
      </c>
      <c r="C1319" s="65">
        <v>41785</v>
      </c>
      <c r="D1319" s="1">
        <v>21493.87</v>
      </c>
    </row>
    <row r="1320" spans="1:37" x14ac:dyDescent="0.25">
      <c r="A1320" s="65">
        <v>41765</v>
      </c>
      <c r="B1320" s="1">
        <v>3149.79</v>
      </c>
      <c r="C1320" s="65">
        <v>41786</v>
      </c>
      <c r="D1320" s="1">
        <v>21403.55</v>
      </c>
    </row>
    <row r="1321" spans="1:37" x14ac:dyDescent="0.25">
      <c r="A1321" s="65">
        <v>41766</v>
      </c>
      <c r="B1321" s="1">
        <v>3159.67</v>
      </c>
      <c r="C1321" s="65">
        <v>41787</v>
      </c>
      <c r="D1321" s="1">
        <v>21586.01</v>
      </c>
    </row>
    <row r="1322" spans="1:37" x14ac:dyDescent="0.25">
      <c r="A1322" s="65">
        <v>41767</v>
      </c>
      <c r="B1322" s="1">
        <v>3204.3</v>
      </c>
      <c r="C1322" s="65">
        <v>41788</v>
      </c>
      <c r="D1322" s="1">
        <v>21511.35</v>
      </c>
    </row>
    <row r="1323" spans="1:37" x14ac:dyDescent="0.25">
      <c r="A1323" s="65">
        <v>41768</v>
      </c>
      <c r="B1323" s="1">
        <v>3184.09</v>
      </c>
      <c r="C1323" s="65">
        <v>41789</v>
      </c>
      <c r="D1323" s="1">
        <v>21629.71</v>
      </c>
    </row>
    <row r="1324" spans="1:37" x14ac:dyDescent="0.25">
      <c r="A1324" s="65">
        <v>41771</v>
      </c>
      <c r="B1324" s="1">
        <v>3206.97</v>
      </c>
      <c r="C1324" s="65">
        <v>41792</v>
      </c>
      <c r="D1324" s="1">
        <v>21796.17</v>
      </c>
    </row>
    <row r="1325" spans="1:37" x14ac:dyDescent="0.25">
      <c r="A1325" s="65">
        <v>41772</v>
      </c>
      <c r="B1325" s="1">
        <v>3211.78</v>
      </c>
      <c r="C1325" s="65">
        <v>41793</v>
      </c>
      <c r="D1325" s="1">
        <v>21656.65</v>
      </c>
    </row>
    <row r="1326" spans="1:37" x14ac:dyDescent="0.25">
      <c r="A1326" s="65">
        <v>41773</v>
      </c>
      <c r="B1326" s="1">
        <v>3210.42</v>
      </c>
      <c r="C1326" s="65">
        <v>41794</v>
      </c>
      <c r="D1326" s="1">
        <v>21622.77</v>
      </c>
    </row>
    <row r="1327" spans="1:37" x14ac:dyDescent="0.25">
      <c r="A1327" s="65">
        <v>41774</v>
      </c>
      <c r="B1327" s="1">
        <v>3163.22</v>
      </c>
      <c r="C1327" s="65">
        <v>41795</v>
      </c>
      <c r="D1327" s="1">
        <v>21951.07</v>
      </c>
    </row>
    <row r="1328" spans="1:37" x14ac:dyDescent="0.25">
      <c r="A1328" s="65">
        <v>41775</v>
      </c>
      <c r="B1328" s="1">
        <v>3172.72</v>
      </c>
      <c r="C1328" s="65">
        <v>41796</v>
      </c>
      <c r="D1328" s="1">
        <v>22290.080000000002</v>
      </c>
    </row>
    <row r="1329" spans="1:4" x14ac:dyDescent="0.25">
      <c r="A1329" s="65">
        <v>41778</v>
      </c>
      <c r="B1329" s="1">
        <v>3169.9</v>
      </c>
      <c r="C1329" s="65">
        <v>41799</v>
      </c>
      <c r="D1329" s="1">
        <v>22472.12</v>
      </c>
    </row>
    <row r="1330" spans="1:4" x14ac:dyDescent="0.25">
      <c r="A1330" s="65">
        <v>41779</v>
      </c>
      <c r="B1330" s="1">
        <v>3163.93</v>
      </c>
      <c r="C1330" s="65">
        <v>41800</v>
      </c>
      <c r="D1330" s="1">
        <v>22502.97</v>
      </c>
    </row>
    <row r="1331" spans="1:4" x14ac:dyDescent="0.25">
      <c r="A1331" s="65">
        <v>41780</v>
      </c>
      <c r="B1331" s="1">
        <v>3187.08</v>
      </c>
      <c r="C1331" s="65">
        <v>41801</v>
      </c>
      <c r="D1331" s="1">
        <v>22223.77</v>
      </c>
    </row>
    <row r="1332" spans="1:4" x14ac:dyDescent="0.25">
      <c r="A1332" s="65">
        <v>41781</v>
      </c>
      <c r="B1332" s="1">
        <v>3187.63</v>
      </c>
      <c r="C1332" s="65">
        <v>41802</v>
      </c>
      <c r="D1332" s="1">
        <v>22163.49</v>
      </c>
    </row>
    <row r="1333" spans="1:4" x14ac:dyDescent="0.25">
      <c r="A1333" s="65">
        <v>41782</v>
      </c>
      <c r="B1333" s="1">
        <v>3203.28</v>
      </c>
      <c r="C1333" s="65">
        <v>41803</v>
      </c>
      <c r="D1333" s="1">
        <v>22165.97</v>
      </c>
    </row>
    <row r="1334" spans="1:4" x14ac:dyDescent="0.25">
      <c r="A1334" s="65">
        <v>41785</v>
      </c>
      <c r="B1334" s="1">
        <v>3240.39</v>
      </c>
      <c r="C1334" s="65">
        <v>41806</v>
      </c>
      <c r="D1334" s="1">
        <v>21976.26</v>
      </c>
    </row>
    <row r="1335" spans="1:4" x14ac:dyDescent="0.25">
      <c r="A1335" s="65">
        <v>41786</v>
      </c>
      <c r="B1335" s="1">
        <v>3244.28</v>
      </c>
      <c r="C1335" s="65">
        <v>41807</v>
      </c>
      <c r="D1335" s="1">
        <v>21996.400000000001</v>
      </c>
    </row>
    <row r="1336" spans="1:4" x14ac:dyDescent="0.25">
      <c r="A1336" s="65">
        <v>41787</v>
      </c>
      <c r="B1336" s="1">
        <v>3246.24</v>
      </c>
      <c r="C1336" s="65">
        <v>41808</v>
      </c>
      <c r="D1336" s="1">
        <v>22030.34</v>
      </c>
    </row>
    <row r="1337" spans="1:4" x14ac:dyDescent="0.25">
      <c r="A1337" s="65">
        <v>41788</v>
      </c>
      <c r="B1337" s="1">
        <v>3244.66</v>
      </c>
      <c r="C1337" s="65">
        <v>41809</v>
      </c>
      <c r="D1337" s="1">
        <v>22216.63</v>
      </c>
    </row>
    <row r="1338" spans="1:4" x14ac:dyDescent="0.25">
      <c r="A1338" s="65">
        <v>41789</v>
      </c>
      <c r="B1338" s="1">
        <v>3244.6</v>
      </c>
      <c r="C1338" s="65">
        <v>41810</v>
      </c>
      <c r="D1338" s="1">
        <v>21988.080000000002</v>
      </c>
    </row>
    <row r="1339" spans="1:4" x14ac:dyDescent="0.25">
      <c r="A1339" s="65">
        <v>41792</v>
      </c>
      <c r="B1339" s="1">
        <v>3247.8</v>
      </c>
      <c r="C1339" s="65">
        <v>41813</v>
      </c>
      <c r="D1339" s="1">
        <v>21694.75</v>
      </c>
    </row>
    <row r="1340" spans="1:4" x14ac:dyDescent="0.25">
      <c r="A1340" s="65">
        <v>41793</v>
      </c>
      <c r="B1340" s="1">
        <v>3241.04</v>
      </c>
      <c r="C1340" s="65">
        <v>41814</v>
      </c>
      <c r="D1340" s="1">
        <v>21641.24</v>
      </c>
    </row>
    <row r="1341" spans="1:4" x14ac:dyDescent="0.25">
      <c r="A1341" s="65">
        <v>41794</v>
      </c>
      <c r="B1341" s="1">
        <v>3237.93</v>
      </c>
      <c r="C1341" s="65">
        <v>41815</v>
      </c>
      <c r="D1341" s="1">
        <v>21469.1</v>
      </c>
    </row>
    <row r="1342" spans="1:4" x14ac:dyDescent="0.25">
      <c r="A1342" s="65">
        <v>41795</v>
      </c>
      <c r="B1342" s="1">
        <v>3267.05</v>
      </c>
      <c r="C1342" s="65">
        <v>41816</v>
      </c>
      <c r="D1342" s="1">
        <v>21384.54</v>
      </c>
    </row>
    <row r="1343" spans="1:4" x14ac:dyDescent="0.25">
      <c r="A1343" s="65">
        <v>41796</v>
      </c>
      <c r="B1343" s="1">
        <v>3294.28</v>
      </c>
      <c r="C1343" s="65">
        <v>41817</v>
      </c>
      <c r="D1343" s="1">
        <v>21319.759999999998</v>
      </c>
    </row>
    <row r="1344" spans="1:4" x14ac:dyDescent="0.25">
      <c r="A1344" s="65">
        <v>41799</v>
      </c>
      <c r="B1344" s="1">
        <v>3305.26</v>
      </c>
      <c r="C1344" s="65">
        <v>41820</v>
      </c>
      <c r="D1344" s="1">
        <v>21283.03</v>
      </c>
    </row>
    <row r="1345" spans="1:4" x14ac:dyDescent="0.25">
      <c r="A1345" s="65">
        <v>41800</v>
      </c>
      <c r="B1345" s="1">
        <v>3313.8</v>
      </c>
      <c r="C1345" s="65">
        <v>41821</v>
      </c>
      <c r="D1345" s="1">
        <v>21563.43</v>
      </c>
    </row>
    <row r="1346" spans="1:4" x14ac:dyDescent="0.25">
      <c r="A1346" s="65">
        <v>41801</v>
      </c>
      <c r="B1346" s="1">
        <v>3289.09</v>
      </c>
      <c r="C1346" s="65">
        <v>41822</v>
      </c>
      <c r="D1346" s="1">
        <v>21678.58</v>
      </c>
    </row>
    <row r="1347" spans="1:4" x14ac:dyDescent="0.25">
      <c r="A1347" s="65">
        <v>41802</v>
      </c>
      <c r="B1347" s="1">
        <v>3284.28</v>
      </c>
      <c r="C1347" s="65">
        <v>41823</v>
      </c>
      <c r="D1347" s="1">
        <v>21884.6</v>
      </c>
    </row>
    <row r="1348" spans="1:4" x14ac:dyDescent="0.25">
      <c r="A1348" s="65">
        <v>41803</v>
      </c>
      <c r="B1348" s="1">
        <v>3282.84</v>
      </c>
      <c r="C1348" s="65">
        <v>41824</v>
      </c>
      <c r="D1348" s="1">
        <v>21559.19</v>
      </c>
    </row>
    <row r="1349" spans="1:4" x14ac:dyDescent="0.25">
      <c r="A1349" s="65">
        <v>41806</v>
      </c>
      <c r="B1349" s="1">
        <v>3261.42</v>
      </c>
      <c r="C1349" s="65">
        <v>41827</v>
      </c>
      <c r="D1349" s="1">
        <v>21273.22</v>
      </c>
    </row>
    <row r="1350" spans="1:4" x14ac:dyDescent="0.25">
      <c r="A1350" s="65">
        <v>41807</v>
      </c>
      <c r="B1350" s="1">
        <v>3275.33</v>
      </c>
      <c r="C1350" s="65">
        <v>41828</v>
      </c>
      <c r="D1350" s="1">
        <v>20700.53</v>
      </c>
    </row>
    <row r="1351" spans="1:4" x14ac:dyDescent="0.25">
      <c r="A1351" s="65">
        <v>41808</v>
      </c>
      <c r="B1351" s="1">
        <v>3279.2</v>
      </c>
      <c r="C1351" s="65">
        <v>41829</v>
      </c>
      <c r="D1351" s="1">
        <v>20885.36</v>
      </c>
    </row>
    <row r="1352" spans="1:4" x14ac:dyDescent="0.25">
      <c r="A1352" s="65">
        <v>41809</v>
      </c>
      <c r="B1352" s="1">
        <v>3314.8</v>
      </c>
      <c r="C1352" s="65">
        <v>41830</v>
      </c>
      <c r="D1352" s="1">
        <v>20488.75</v>
      </c>
    </row>
    <row r="1353" spans="1:4" x14ac:dyDescent="0.25">
      <c r="A1353" s="65">
        <v>41810</v>
      </c>
      <c r="B1353" s="1">
        <v>3302.36</v>
      </c>
      <c r="C1353" s="65">
        <v>41831</v>
      </c>
      <c r="D1353" s="1">
        <v>20614.86</v>
      </c>
    </row>
    <row r="1354" spans="1:4" x14ac:dyDescent="0.25">
      <c r="A1354" s="65">
        <v>41813</v>
      </c>
      <c r="B1354" s="1">
        <v>3282.58</v>
      </c>
      <c r="C1354" s="65">
        <v>41834</v>
      </c>
      <c r="D1354" s="1">
        <v>20697.54</v>
      </c>
    </row>
    <row r="1355" spans="1:4" x14ac:dyDescent="0.25">
      <c r="A1355" s="65">
        <v>41814</v>
      </c>
      <c r="B1355" s="1">
        <v>3284.81</v>
      </c>
      <c r="C1355" s="65">
        <v>41835</v>
      </c>
      <c r="D1355" s="1">
        <v>20422.95</v>
      </c>
    </row>
    <row r="1356" spans="1:4" x14ac:dyDescent="0.25">
      <c r="A1356" s="65">
        <v>41815</v>
      </c>
      <c r="B1356" s="1">
        <v>3252.31</v>
      </c>
      <c r="C1356" s="65">
        <v>41836</v>
      </c>
      <c r="D1356" s="1">
        <v>21069.97</v>
      </c>
    </row>
    <row r="1357" spans="1:4" x14ac:dyDescent="0.25">
      <c r="A1357" s="65">
        <v>41816</v>
      </c>
      <c r="B1357" s="1">
        <v>3233.19</v>
      </c>
      <c r="C1357" s="65">
        <v>41837</v>
      </c>
      <c r="D1357" s="1">
        <v>20603.29</v>
      </c>
    </row>
    <row r="1358" spans="1:4" x14ac:dyDescent="0.25">
      <c r="A1358" s="65">
        <v>41817</v>
      </c>
      <c r="B1358" s="1">
        <v>3227.85</v>
      </c>
      <c r="C1358" s="65">
        <v>41838</v>
      </c>
      <c r="D1358" s="1">
        <v>20737.12</v>
      </c>
    </row>
    <row r="1359" spans="1:4" x14ac:dyDescent="0.25">
      <c r="A1359" s="65">
        <v>41820</v>
      </c>
      <c r="B1359" s="1">
        <v>3228.24</v>
      </c>
      <c r="C1359" s="65">
        <v>41841</v>
      </c>
      <c r="D1359" s="1">
        <v>20431.2</v>
      </c>
    </row>
    <row r="1360" spans="1:4" x14ac:dyDescent="0.25">
      <c r="A1360" s="65">
        <v>41821</v>
      </c>
      <c r="B1360" s="1">
        <v>3258.71</v>
      </c>
      <c r="C1360" s="65">
        <v>41842</v>
      </c>
      <c r="D1360" s="1">
        <v>20873.5</v>
      </c>
    </row>
    <row r="1361" spans="1:4" x14ac:dyDescent="0.25">
      <c r="A1361" s="65">
        <v>41822</v>
      </c>
      <c r="B1361" s="1">
        <v>3252.25</v>
      </c>
      <c r="C1361" s="65">
        <v>41843</v>
      </c>
      <c r="D1361" s="1">
        <v>20831.259999999998</v>
      </c>
    </row>
    <row r="1362" spans="1:4" x14ac:dyDescent="0.25">
      <c r="A1362" s="65">
        <v>41823</v>
      </c>
      <c r="B1362" s="1">
        <v>3289.75</v>
      </c>
      <c r="C1362" s="65">
        <v>41844</v>
      </c>
      <c r="D1362" s="1">
        <v>21255.599999999999</v>
      </c>
    </row>
    <row r="1363" spans="1:4" x14ac:dyDescent="0.25">
      <c r="A1363" s="65">
        <v>41824</v>
      </c>
      <c r="B1363" s="1">
        <v>3270.47</v>
      </c>
      <c r="C1363" s="65">
        <v>41845</v>
      </c>
      <c r="D1363" s="1">
        <v>21063.31</v>
      </c>
    </row>
    <row r="1364" spans="1:4" x14ac:dyDescent="0.25">
      <c r="A1364" s="65">
        <v>41827</v>
      </c>
      <c r="B1364" s="1">
        <v>3230.92</v>
      </c>
      <c r="C1364" s="65">
        <v>41848</v>
      </c>
      <c r="D1364" s="1">
        <v>20939.080000000002</v>
      </c>
    </row>
    <row r="1365" spans="1:4" x14ac:dyDescent="0.25">
      <c r="A1365" s="65">
        <v>41828</v>
      </c>
      <c r="B1365" s="1">
        <v>3184.38</v>
      </c>
      <c r="C1365" s="65">
        <v>41849</v>
      </c>
      <c r="D1365" s="1">
        <v>21085.119999999999</v>
      </c>
    </row>
    <row r="1366" spans="1:4" x14ac:dyDescent="0.25">
      <c r="A1366" s="65">
        <v>41829</v>
      </c>
      <c r="B1366" s="1">
        <v>3203.1</v>
      </c>
      <c r="C1366" s="65">
        <v>41850</v>
      </c>
      <c r="D1366" s="1">
        <v>20887.53</v>
      </c>
    </row>
    <row r="1367" spans="1:4" x14ac:dyDescent="0.25">
      <c r="A1367" s="65">
        <v>41830</v>
      </c>
      <c r="B1367" s="1">
        <v>3150.59</v>
      </c>
      <c r="C1367" s="65">
        <v>41851</v>
      </c>
      <c r="D1367" s="1">
        <v>20570.8</v>
      </c>
    </row>
    <row r="1368" spans="1:4" x14ac:dyDescent="0.25">
      <c r="A1368" s="65">
        <v>41831</v>
      </c>
      <c r="B1368" s="1">
        <v>3157.05</v>
      </c>
      <c r="C1368" s="65">
        <v>41852</v>
      </c>
      <c r="D1368" s="1">
        <v>20362.41</v>
      </c>
    </row>
    <row r="1369" spans="1:4" x14ac:dyDescent="0.25">
      <c r="A1369" s="65">
        <v>41834</v>
      </c>
      <c r="B1369" s="1">
        <v>3185.86</v>
      </c>
      <c r="C1369" s="65">
        <v>41855</v>
      </c>
      <c r="D1369" s="1">
        <v>20381.39</v>
      </c>
    </row>
    <row r="1370" spans="1:4" x14ac:dyDescent="0.25">
      <c r="A1370" s="65">
        <v>41835</v>
      </c>
      <c r="B1370" s="1">
        <v>3153.75</v>
      </c>
      <c r="C1370" s="65">
        <v>41856</v>
      </c>
      <c r="D1370" s="1">
        <v>20052.2</v>
      </c>
    </row>
    <row r="1371" spans="1:4" x14ac:dyDescent="0.25">
      <c r="A1371" s="65">
        <v>41836</v>
      </c>
      <c r="B1371" s="1">
        <v>3202.94</v>
      </c>
      <c r="C1371" s="65">
        <v>41857</v>
      </c>
      <c r="D1371" s="1">
        <v>19509.84</v>
      </c>
    </row>
    <row r="1372" spans="1:4" x14ac:dyDescent="0.25">
      <c r="A1372" s="65">
        <v>41837</v>
      </c>
      <c r="B1372" s="1">
        <v>3157.82</v>
      </c>
      <c r="C1372" s="65">
        <v>41858</v>
      </c>
      <c r="D1372" s="1">
        <v>19130.650000000001</v>
      </c>
    </row>
    <row r="1373" spans="1:4" x14ac:dyDescent="0.25">
      <c r="A1373" s="65">
        <v>41838</v>
      </c>
      <c r="B1373" s="1">
        <v>3164.21</v>
      </c>
      <c r="C1373" s="65">
        <v>41859</v>
      </c>
      <c r="D1373" s="1">
        <v>19193.48</v>
      </c>
    </row>
    <row r="1374" spans="1:4" x14ac:dyDescent="0.25">
      <c r="A1374" s="65">
        <v>41841</v>
      </c>
      <c r="B1374" s="1">
        <v>3137.06</v>
      </c>
      <c r="C1374" s="65">
        <v>41862</v>
      </c>
      <c r="D1374" s="1">
        <v>19460.669999999998</v>
      </c>
    </row>
    <row r="1375" spans="1:4" x14ac:dyDescent="0.25">
      <c r="A1375" s="65">
        <v>41842</v>
      </c>
      <c r="B1375" s="1">
        <v>3189.22</v>
      </c>
      <c r="C1375" s="65">
        <v>41863</v>
      </c>
      <c r="D1375" s="1">
        <v>19416.259999999998</v>
      </c>
    </row>
    <row r="1376" spans="1:4" x14ac:dyDescent="0.25">
      <c r="A1376" s="65">
        <v>41843</v>
      </c>
      <c r="B1376" s="1">
        <v>3193.13</v>
      </c>
      <c r="C1376" s="65">
        <v>41864</v>
      </c>
      <c r="D1376" s="1">
        <v>19537.259999999998</v>
      </c>
    </row>
    <row r="1377" spans="1:4" x14ac:dyDescent="0.25">
      <c r="A1377" s="65">
        <v>41844</v>
      </c>
      <c r="B1377" s="1">
        <v>3220.07</v>
      </c>
      <c r="C1377" s="65">
        <v>41865</v>
      </c>
      <c r="D1377" s="1">
        <v>19480.96</v>
      </c>
    </row>
    <row r="1378" spans="1:4" x14ac:dyDescent="0.25">
      <c r="A1378" s="65">
        <v>41845</v>
      </c>
      <c r="B1378" s="1">
        <v>3174.99</v>
      </c>
      <c r="C1378" s="65">
        <v>41869</v>
      </c>
      <c r="D1378" s="1">
        <v>19639.900000000001</v>
      </c>
    </row>
    <row r="1379" spans="1:4" x14ac:dyDescent="0.25">
      <c r="A1379" s="65">
        <v>41848</v>
      </c>
      <c r="B1379" s="1">
        <v>3171.55</v>
      </c>
      <c r="C1379" s="65">
        <v>41870</v>
      </c>
      <c r="D1379" s="1">
        <v>19644.37</v>
      </c>
    </row>
    <row r="1380" spans="1:4" x14ac:dyDescent="0.25">
      <c r="A1380" s="65">
        <v>41849</v>
      </c>
      <c r="B1380" s="1">
        <v>3190.54</v>
      </c>
      <c r="C1380" s="65">
        <v>41871</v>
      </c>
      <c r="D1380" s="1">
        <v>19605.97</v>
      </c>
    </row>
    <row r="1381" spans="1:4" x14ac:dyDescent="0.25">
      <c r="A1381" s="65">
        <v>41850</v>
      </c>
      <c r="B1381" s="1">
        <v>3169.23</v>
      </c>
      <c r="C1381" s="65">
        <v>41872</v>
      </c>
      <c r="D1381" s="1">
        <v>20010.509999999998</v>
      </c>
    </row>
    <row r="1382" spans="1:4" x14ac:dyDescent="0.25">
      <c r="A1382" s="65">
        <v>41851</v>
      </c>
      <c r="B1382" s="1">
        <v>3115.51</v>
      </c>
      <c r="C1382" s="65">
        <v>41873</v>
      </c>
      <c r="D1382" s="1">
        <v>19917.98</v>
      </c>
    </row>
    <row r="1383" spans="1:4" x14ac:dyDescent="0.25">
      <c r="A1383" s="65">
        <v>41852</v>
      </c>
      <c r="B1383" s="1">
        <v>3072.57</v>
      </c>
      <c r="C1383" s="65">
        <v>41876</v>
      </c>
      <c r="D1383" s="1">
        <v>20375.39</v>
      </c>
    </row>
    <row r="1384" spans="1:4" x14ac:dyDescent="0.25">
      <c r="A1384" s="65">
        <v>41855</v>
      </c>
      <c r="B1384" s="1">
        <v>3070.46</v>
      </c>
      <c r="C1384" s="65">
        <v>41877</v>
      </c>
      <c r="D1384" s="1">
        <v>20645.54</v>
      </c>
    </row>
    <row r="1385" spans="1:4" x14ac:dyDescent="0.25">
      <c r="A1385" s="65">
        <v>41856</v>
      </c>
      <c r="B1385" s="1">
        <v>3072.2</v>
      </c>
      <c r="C1385" s="65">
        <v>41878</v>
      </c>
      <c r="D1385" s="1">
        <v>20763.14</v>
      </c>
    </row>
    <row r="1386" spans="1:4" x14ac:dyDescent="0.25">
      <c r="A1386" s="65">
        <v>41857</v>
      </c>
      <c r="B1386" s="1">
        <v>3050.37</v>
      </c>
      <c r="C1386" s="65">
        <v>41879</v>
      </c>
      <c r="D1386" s="1">
        <v>20341.09</v>
      </c>
    </row>
    <row r="1387" spans="1:4" x14ac:dyDescent="0.25">
      <c r="A1387" s="65">
        <v>41858</v>
      </c>
      <c r="B1387" s="1">
        <v>3012.88</v>
      </c>
      <c r="C1387" s="65">
        <v>41880</v>
      </c>
      <c r="D1387" s="1">
        <v>20450.490000000002</v>
      </c>
    </row>
    <row r="1388" spans="1:4" x14ac:dyDescent="0.25">
      <c r="A1388" s="65">
        <v>41859</v>
      </c>
      <c r="B1388" s="1">
        <v>3006.83</v>
      </c>
      <c r="C1388" s="65">
        <v>41883</v>
      </c>
      <c r="D1388" s="1">
        <v>20345.849999999999</v>
      </c>
    </row>
    <row r="1389" spans="1:4" x14ac:dyDescent="0.25">
      <c r="A1389" s="65">
        <v>41862</v>
      </c>
      <c r="B1389" s="1">
        <v>3047.56</v>
      </c>
      <c r="C1389" s="65">
        <v>41884</v>
      </c>
      <c r="D1389" s="1">
        <v>20446.28</v>
      </c>
    </row>
    <row r="1390" spans="1:4" x14ac:dyDescent="0.25">
      <c r="A1390" s="65">
        <v>41863</v>
      </c>
      <c r="B1390" s="1">
        <v>3023.77</v>
      </c>
      <c r="C1390" s="65">
        <v>41885</v>
      </c>
      <c r="D1390" s="1">
        <v>20831.96</v>
      </c>
    </row>
    <row r="1391" spans="1:4" x14ac:dyDescent="0.25">
      <c r="A1391" s="65">
        <v>41864</v>
      </c>
      <c r="B1391" s="1">
        <v>3056.17</v>
      </c>
      <c r="C1391" s="65">
        <v>41886</v>
      </c>
      <c r="D1391" s="1">
        <v>21419.39</v>
      </c>
    </row>
    <row r="1392" spans="1:4" x14ac:dyDescent="0.25">
      <c r="A1392" s="65">
        <v>41865</v>
      </c>
      <c r="B1392" s="1">
        <v>3058.16</v>
      </c>
      <c r="C1392" s="65">
        <v>41887</v>
      </c>
      <c r="D1392" s="1">
        <v>21395.13</v>
      </c>
    </row>
    <row r="1393" spans="1:4" x14ac:dyDescent="0.25">
      <c r="A1393" s="65">
        <v>41866</v>
      </c>
      <c r="B1393" s="1">
        <v>3033.52</v>
      </c>
      <c r="C1393" s="65">
        <v>41890</v>
      </c>
      <c r="D1393" s="1">
        <v>21294.34</v>
      </c>
    </row>
    <row r="1394" spans="1:4" x14ac:dyDescent="0.25">
      <c r="A1394" s="65">
        <v>41869</v>
      </c>
      <c r="B1394" s="1">
        <v>3073.45</v>
      </c>
      <c r="C1394" s="65">
        <v>41891</v>
      </c>
      <c r="D1394" s="1">
        <v>21149.8</v>
      </c>
    </row>
    <row r="1395" spans="1:4" x14ac:dyDescent="0.25">
      <c r="A1395" s="65">
        <v>41870</v>
      </c>
      <c r="B1395" s="1">
        <v>3091.11</v>
      </c>
      <c r="C1395" s="65">
        <v>41892</v>
      </c>
      <c r="D1395" s="1">
        <v>21140.639999999999</v>
      </c>
    </row>
    <row r="1396" spans="1:4" x14ac:dyDescent="0.25">
      <c r="A1396" s="65">
        <v>41871</v>
      </c>
      <c r="B1396" s="1">
        <v>3083.5</v>
      </c>
      <c r="C1396" s="65">
        <v>41893</v>
      </c>
      <c r="D1396" s="1">
        <v>21092.240000000002</v>
      </c>
    </row>
    <row r="1397" spans="1:4" x14ac:dyDescent="0.25">
      <c r="A1397" s="65">
        <v>41872</v>
      </c>
      <c r="B1397" s="1">
        <v>3124.56</v>
      </c>
      <c r="C1397" s="65">
        <v>41894</v>
      </c>
      <c r="D1397" s="1">
        <v>21071.119999999999</v>
      </c>
    </row>
    <row r="1398" spans="1:4" x14ac:dyDescent="0.25">
      <c r="A1398" s="65">
        <v>41873</v>
      </c>
      <c r="B1398" s="1">
        <v>3098.5</v>
      </c>
      <c r="C1398" s="65">
        <v>41897</v>
      </c>
      <c r="D1398" s="1">
        <v>20851.72</v>
      </c>
    </row>
    <row r="1399" spans="1:4" x14ac:dyDescent="0.25">
      <c r="A1399" s="65">
        <v>41876</v>
      </c>
      <c r="B1399" s="1">
        <v>3165.47</v>
      </c>
      <c r="C1399" s="65">
        <v>41898</v>
      </c>
      <c r="D1399" s="1">
        <v>20788.5</v>
      </c>
    </row>
    <row r="1400" spans="1:4" x14ac:dyDescent="0.25">
      <c r="A1400" s="65">
        <v>41877</v>
      </c>
      <c r="B1400" s="1">
        <v>3197.54</v>
      </c>
      <c r="C1400" s="65">
        <v>41899</v>
      </c>
      <c r="D1400" s="1">
        <v>21111.66</v>
      </c>
    </row>
    <row r="1401" spans="1:4" x14ac:dyDescent="0.25">
      <c r="A1401" s="65">
        <v>41878</v>
      </c>
      <c r="B1401" s="1">
        <v>3194.45</v>
      </c>
      <c r="C1401" s="65">
        <v>41900</v>
      </c>
      <c r="D1401" s="1">
        <v>21128.720000000001</v>
      </c>
    </row>
    <row r="1402" spans="1:4" x14ac:dyDescent="0.25">
      <c r="A1402" s="65">
        <v>41879</v>
      </c>
      <c r="B1402" s="1">
        <v>3164.44</v>
      </c>
      <c r="C1402" s="65">
        <v>41901</v>
      </c>
      <c r="D1402" s="1">
        <v>20972.35</v>
      </c>
    </row>
    <row r="1403" spans="1:4" x14ac:dyDescent="0.25">
      <c r="A1403" s="65">
        <v>41880</v>
      </c>
      <c r="B1403" s="1">
        <v>3172.63</v>
      </c>
      <c r="C1403" s="65">
        <v>41904</v>
      </c>
      <c r="D1403" s="1">
        <v>20673</v>
      </c>
    </row>
    <row r="1404" spans="1:4" x14ac:dyDescent="0.25">
      <c r="A1404" s="65">
        <v>41883</v>
      </c>
      <c r="B1404" s="1">
        <v>3175.05</v>
      </c>
      <c r="C1404" s="65">
        <v>41905</v>
      </c>
      <c r="D1404" s="1">
        <v>20351.03</v>
      </c>
    </row>
    <row r="1405" spans="1:4" x14ac:dyDescent="0.25">
      <c r="A1405" s="65">
        <v>41884</v>
      </c>
      <c r="B1405" s="1">
        <v>3180.29</v>
      </c>
      <c r="C1405" s="65">
        <v>41906</v>
      </c>
      <c r="D1405" s="1">
        <v>20691.04</v>
      </c>
    </row>
    <row r="1406" spans="1:4" x14ac:dyDescent="0.25">
      <c r="A1406" s="65">
        <v>41885</v>
      </c>
      <c r="B1406" s="1">
        <v>3218.84</v>
      </c>
      <c r="C1406" s="65">
        <v>41907</v>
      </c>
      <c r="D1406" s="1">
        <v>20411.490000000002</v>
      </c>
    </row>
    <row r="1407" spans="1:4" x14ac:dyDescent="0.25">
      <c r="A1407" s="65">
        <v>41886</v>
      </c>
      <c r="B1407" s="1">
        <v>3277.25</v>
      </c>
      <c r="C1407" s="65">
        <v>41908</v>
      </c>
      <c r="D1407" s="1">
        <v>20795.37</v>
      </c>
    </row>
    <row r="1408" spans="1:4" x14ac:dyDescent="0.25">
      <c r="A1408" s="65">
        <v>41887</v>
      </c>
      <c r="B1408" s="1">
        <v>3275.25</v>
      </c>
      <c r="C1408" s="65">
        <v>41911</v>
      </c>
      <c r="D1408" s="1">
        <v>20526.11</v>
      </c>
    </row>
    <row r="1409" spans="1:4" x14ac:dyDescent="0.25">
      <c r="A1409" s="65">
        <v>41890</v>
      </c>
      <c r="B1409" s="1">
        <v>3267.54</v>
      </c>
      <c r="C1409" s="65">
        <v>41912</v>
      </c>
      <c r="D1409" s="1">
        <v>20892.11</v>
      </c>
    </row>
    <row r="1410" spans="1:4" x14ac:dyDescent="0.25">
      <c r="A1410" s="65">
        <v>41891</v>
      </c>
      <c r="B1410" s="1">
        <v>3245.43</v>
      </c>
      <c r="C1410" s="65">
        <v>41913</v>
      </c>
      <c r="D1410" s="1">
        <v>20706.310000000001</v>
      </c>
    </row>
    <row r="1411" spans="1:4" x14ac:dyDescent="0.25">
      <c r="A1411" s="65">
        <v>41892</v>
      </c>
      <c r="B1411" s="1">
        <v>3244.16</v>
      </c>
      <c r="C1411" s="65">
        <v>41914</v>
      </c>
      <c r="D1411" s="1">
        <v>19894.88</v>
      </c>
    </row>
    <row r="1412" spans="1:4" x14ac:dyDescent="0.25">
      <c r="A1412" s="65">
        <v>41893</v>
      </c>
      <c r="B1412" s="1">
        <v>3237.76</v>
      </c>
      <c r="C1412" s="65">
        <v>41915</v>
      </c>
      <c r="D1412" s="1">
        <v>20200.62</v>
      </c>
    </row>
    <row r="1413" spans="1:4" x14ac:dyDescent="0.25">
      <c r="A1413" s="65">
        <v>41894</v>
      </c>
      <c r="B1413" s="1">
        <v>3235.07</v>
      </c>
      <c r="C1413" s="65">
        <v>41918</v>
      </c>
      <c r="D1413" s="1">
        <v>20119.73</v>
      </c>
    </row>
    <row r="1414" spans="1:4" x14ac:dyDescent="0.25">
      <c r="A1414" s="65">
        <v>41897</v>
      </c>
      <c r="B1414" s="1">
        <v>3231.7</v>
      </c>
      <c r="C1414" s="65">
        <v>41919</v>
      </c>
      <c r="D1414" s="1">
        <v>19771.71</v>
      </c>
    </row>
    <row r="1415" spans="1:4" x14ac:dyDescent="0.25">
      <c r="A1415" s="65">
        <v>41898</v>
      </c>
      <c r="B1415" s="1">
        <v>3221.73</v>
      </c>
      <c r="C1415" s="65">
        <v>41920</v>
      </c>
      <c r="D1415" s="1">
        <v>19645.490000000002</v>
      </c>
    </row>
    <row r="1416" spans="1:4" x14ac:dyDescent="0.25">
      <c r="A1416" s="65">
        <v>41899</v>
      </c>
      <c r="B1416" s="1">
        <v>3237.44</v>
      </c>
      <c r="C1416" s="65">
        <v>41921</v>
      </c>
      <c r="D1416" s="1">
        <v>19382.490000000002</v>
      </c>
    </row>
    <row r="1417" spans="1:4" x14ac:dyDescent="0.25">
      <c r="A1417" s="65">
        <v>41900</v>
      </c>
      <c r="B1417" s="1">
        <v>3271.37</v>
      </c>
      <c r="C1417" s="65">
        <v>41922</v>
      </c>
      <c r="D1417" s="1">
        <v>19200.97</v>
      </c>
    </row>
    <row r="1418" spans="1:4" x14ac:dyDescent="0.25">
      <c r="A1418" s="65">
        <v>41901</v>
      </c>
      <c r="B1418" s="1">
        <v>3273.25</v>
      </c>
      <c r="C1418" s="65">
        <v>41925</v>
      </c>
      <c r="D1418" s="1">
        <v>19139.080000000002</v>
      </c>
    </row>
    <row r="1419" spans="1:4" x14ac:dyDescent="0.25">
      <c r="A1419" s="65">
        <v>41904</v>
      </c>
      <c r="B1419" s="1">
        <v>3257.48</v>
      </c>
      <c r="C1419" s="65">
        <v>41926</v>
      </c>
      <c r="D1419" s="1">
        <v>19155.849999999999</v>
      </c>
    </row>
    <row r="1420" spans="1:4" x14ac:dyDescent="0.25">
      <c r="A1420" s="65">
        <v>41905</v>
      </c>
      <c r="B1420" s="1">
        <v>3205.93</v>
      </c>
      <c r="C1420" s="65">
        <v>41927</v>
      </c>
      <c r="D1420" s="1">
        <v>18304.990000000002</v>
      </c>
    </row>
    <row r="1421" spans="1:4" x14ac:dyDescent="0.25">
      <c r="A1421" s="65">
        <v>41906</v>
      </c>
      <c r="B1421" s="1">
        <v>3244.01</v>
      </c>
      <c r="C1421" s="65">
        <v>41928</v>
      </c>
      <c r="D1421" s="1">
        <v>18083.11</v>
      </c>
    </row>
    <row r="1422" spans="1:4" x14ac:dyDescent="0.25">
      <c r="A1422" s="65">
        <v>41907</v>
      </c>
      <c r="B1422" s="1">
        <v>3202.31</v>
      </c>
      <c r="C1422" s="65">
        <v>41929</v>
      </c>
      <c r="D1422" s="1">
        <v>18700.98</v>
      </c>
    </row>
    <row r="1423" spans="1:4" x14ac:dyDescent="0.25">
      <c r="A1423" s="65">
        <v>41908</v>
      </c>
      <c r="B1423" s="1">
        <v>3219.58</v>
      </c>
      <c r="C1423" s="65">
        <v>41932</v>
      </c>
      <c r="D1423" s="1">
        <v>18540.099999999999</v>
      </c>
    </row>
    <row r="1424" spans="1:4" x14ac:dyDescent="0.25">
      <c r="A1424" s="65">
        <v>41911</v>
      </c>
      <c r="B1424" s="1">
        <v>3186.95</v>
      </c>
      <c r="C1424" s="65">
        <v>41933</v>
      </c>
      <c r="D1424" s="1">
        <v>19057.72</v>
      </c>
    </row>
    <row r="1425" spans="1:4" x14ac:dyDescent="0.25">
      <c r="A1425" s="65">
        <v>41912</v>
      </c>
      <c r="B1425" s="1">
        <v>3225.93</v>
      </c>
      <c r="C1425" s="65">
        <v>41934</v>
      </c>
      <c r="D1425" s="1">
        <v>19266.25</v>
      </c>
    </row>
    <row r="1426" spans="1:4" x14ac:dyDescent="0.25">
      <c r="A1426" s="65">
        <v>41913</v>
      </c>
      <c r="B1426" s="1">
        <v>3195.08</v>
      </c>
      <c r="C1426" s="65">
        <v>41935</v>
      </c>
      <c r="D1426" s="1">
        <v>19434.98</v>
      </c>
    </row>
    <row r="1427" spans="1:4" x14ac:dyDescent="0.25">
      <c r="A1427" s="65">
        <v>41914</v>
      </c>
      <c r="B1427" s="1">
        <v>3106.42</v>
      </c>
      <c r="C1427" s="65">
        <v>41936</v>
      </c>
      <c r="D1427" s="1">
        <v>19495.68</v>
      </c>
    </row>
    <row r="1428" spans="1:4" x14ac:dyDescent="0.25">
      <c r="A1428" s="65">
        <v>41915</v>
      </c>
      <c r="B1428" s="1">
        <v>3133.37</v>
      </c>
      <c r="C1428" s="65">
        <v>41939</v>
      </c>
      <c r="D1428" s="1">
        <v>19028.669999999998</v>
      </c>
    </row>
    <row r="1429" spans="1:4" x14ac:dyDescent="0.25">
      <c r="A1429" s="65">
        <v>41918</v>
      </c>
      <c r="B1429" s="1">
        <v>3138.67</v>
      </c>
      <c r="C1429" s="65">
        <v>41940</v>
      </c>
      <c r="D1429" s="1">
        <v>19476.62</v>
      </c>
    </row>
    <row r="1430" spans="1:4" x14ac:dyDescent="0.25">
      <c r="A1430" s="65">
        <v>41919</v>
      </c>
      <c r="B1430" s="1">
        <v>3082.1</v>
      </c>
      <c r="C1430" s="65">
        <v>41941</v>
      </c>
      <c r="D1430" s="1">
        <v>19157.41</v>
      </c>
    </row>
    <row r="1431" spans="1:4" x14ac:dyDescent="0.25">
      <c r="A1431" s="65">
        <v>41920</v>
      </c>
      <c r="B1431" s="1">
        <v>3053.31</v>
      </c>
      <c r="C1431" s="65">
        <v>41942</v>
      </c>
      <c r="D1431" s="1">
        <v>19194.61</v>
      </c>
    </row>
    <row r="1432" spans="1:4" x14ac:dyDescent="0.25">
      <c r="A1432" s="65">
        <v>41921</v>
      </c>
      <c r="B1432" s="1">
        <v>3042.45</v>
      </c>
      <c r="C1432" s="65">
        <v>41943</v>
      </c>
      <c r="D1432" s="1">
        <v>19783.990000000002</v>
      </c>
    </row>
    <row r="1433" spans="1:4" x14ac:dyDescent="0.25">
      <c r="A1433" s="65">
        <v>41922</v>
      </c>
      <c r="B1433" s="1">
        <v>2991.5</v>
      </c>
      <c r="C1433" s="65">
        <v>41946</v>
      </c>
      <c r="D1433" s="1">
        <v>19369.03</v>
      </c>
    </row>
    <row r="1434" spans="1:4" x14ac:dyDescent="0.25">
      <c r="A1434" s="65">
        <v>41925</v>
      </c>
      <c r="B1434" s="1">
        <v>2998.32</v>
      </c>
      <c r="C1434" s="65">
        <v>41947</v>
      </c>
      <c r="D1434" s="1">
        <v>18934.63</v>
      </c>
    </row>
    <row r="1435" spans="1:4" x14ac:dyDescent="0.25">
      <c r="A1435" s="65">
        <v>41926</v>
      </c>
      <c r="B1435" s="1">
        <v>3000.99</v>
      </c>
      <c r="C1435" s="65">
        <v>41948</v>
      </c>
      <c r="D1435" s="1">
        <v>19427.849999999999</v>
      </c>
    </row>
    <row r="1436" spans="1:4" x14ac:dyDescent="0.25">
      <c r="A1436" s="65">
        <v>41927</v>
      </c>
      <c r="B1436" s="1">
        <v>2892.55</v>
      </c>
      <c r="C1436" s="65">
        <v>41949</v>
      </c>
      <c r="D1436" s="1">
        <v>19285.759999999998</v>
      </c>
    </row>
    <row r="1437" spans="1:4" x14ac:dyDescent="0.25">
      <c r="A1437" s="65">
        <v>41928</v>
      </c>
      <c r="B1437" s="1">
        <v>2874.65</v>
      </c>
      <c r="C1437" s="65">
        <v>41950</v>
      </c>
      <c r="D1437" s="1">
        <v>19095.32</v>
      </c>
    </row>
    <row r="1438" spans="1:4" x14ac:dyDescent="0.25">
      <c r="A1438" s="65">
        <v>41929</v>
      </c>
      <c r="B1438" s="1">
        <v>2962.24</v>
      </c>
      <c r="C1438" s="65">
        <v>41953</v>
      </c>
      <c r="D1438" s="1">
        <v>19258.54</v>
      </c>
    </row>
    <row r="1439" spans="1:4" x14ac:dyDescent="0.25">
      <c r="A1439" s="65">
        <v>41932</v>
      </c>
      <c r="B1439" s="1">
        <v>2927.3</v>
      </c>
      <c r="C1439" s="65">
        <v>41954</v>
      </c>
      <c r="D1439" s="1">
        <v>19255.47</v>
      </c>
    </row>
    <row r="1440" spans="1:4" x14ac:dyDescent="0.25">
      <c r="A1440" s="65">
        <v>41933</v>
      </c>
      <c r="B1440" s="1">
        <v>2991.46</v>
      </c>
      <c r="C1440" s="65">
        <v>41955</v>
      </c>
      <c r="D1440" s="1">
        <v>18702.240000000002</v>
      </c>
    </row>
    <row r="1441" spans="1:4" x14ac:dyDescent="0.25">
      <c r="A1441" s="65">
        <v>41934</v>
      </c>
      <c r="B1441" s="1">
        <v>3008.53</v>
      </c>
      <c r="C1441" s="65">
        <v>41956</v>
      </c>
      <c r="D1441" s="1">
        <v>18782.55</v>
      </c>
    </row>
    <row r="1442" spans="1:4" x14ac:dyDescent="0.25">
      <c r="A1442" s="65">
        <v>41935</v>
      </c>
      <c r="B1442" s="1">
        <v>3044.3</v>
      </c>
      <c r="C1442" s="65">
        <v>41957</v>
      </c>
      <c r="D1442" s="1">
        <v>18965.41</v>
      </c>
    </row>
    <row r="1443" spans="1:4" x14ac:dyDescent="0.25">
      <c r="A1443" s="65">
        <v>41936</v>
      </c>
      <c r="B1443" s="1">
        <v>3030.37</v>
      </c>
      <c r="C1443" s="65">
        <v>41960</v>
      </c>
      <c r="D1443" s="1">
        <v>19216.740000000002</v>
      </c>
    </row>
    <row r="1444" spans="1:4" x14ac:dyDescent="0.25">
      <c r="A1444" s="65">
        <v>41939</v>
      </c>
      <c r="B1444" s="1">
        <v>2998.84</v>
      </c>
      <c r="C1444" s="65">
        <v>41961</v>
      </c>
      <c r="D1444" s="1">
        <v>19352.95</v>
      </c>
    </row>
    <row r="1445" spans="1:4" x14ac:dyDescent="0.25">
      <c r="A1445" s="65">
        <v>41940</v>
      </c>
      <c r="B1445" s="1">
        <v>3036.15</v>
      </c>
      <c r="C1445" s="65">
        <v>41962</v>
      </c>
      <c r="D1445" s="1">
        <v>19379.919999999998</v>
      </c>
    </row>
    <row r="1446" spans="1:4" x14ac:dyDescent="0.25">
      <c r="A1446" s="65">
        <v>41941</v>
      </c>
      <c r="B1446" s="1">
        <v>3022.42</v>
      </c>
      <c r="C1446" s="65">
        <v>41963</v>
      </c>
      <c r="D1446" s="1">
        <v>19209.22</v>
      </c>
    </row>
    <row r="1447" spans="1:4" x14ac:dyDescent="0.25">
      <c r="A1447" s="65">
        <v>41942</v>
      </c>
      <c r="B1447" s="1">
        <v>3035.9</v>
      </c>
      <c r="C1447" s="65">
        <v>41964</v>
      </c>
      <c r="D1447" s="1">
        <v>19954.509999999998</v>
      </c>
    </row>
    <row r="1448" spans="1:4" x14ac:dyDescent="0.25">
      <c r="A1448" s="65">
        <v>41943</v>
      </c>
      <c r="B1448" s="1">
        <v>3113.32</v>
      </c>
      <c r="C1448" s="65">
        <v>41967</v>
      </c>
      <c r="D1448" s="1">
        <v>19925.82</v>
      </c>
    </row>
    <row r="1449" spans="1:4" x14ac:dyDescent="0.25">
      <c r="A1449" s="65">
        <v>41946</v>
      </c>
      <c r="B1449" s="1">
        <v>3082.32</v>
      </c>
      <c r="C1449" s="65">
        <v>41968</v>
      </c>
      <c r="D1449" s="1">
        <v>20009.830000000002</v>
      </c>
    </row>
    <row r="1450" spans="1:4" x14ac:dyDescent="0.25">
      <c r="A1450" s="65">
        <v>41947</v>
      </c>
      <c r="B1450" s="1">
        <v>3034.24</v>
      </c>
      <c r="C1450" s="65">
        <v>41969</v>
      </c>
      <c r="D1450" s="1">
        <v>19938.419999999998</v>
      </c>
    </row>
    <row r="1451" spans="1:4" x14ac:dyDescent="0.25">
      <c r="A1451" s="65">
        <v>41948</v>
      </c>
      <c r="B1451" s="1">
        <v>3091.54</v>
      </c>
      <c r="C1451" s="65">
        <v>41970</v>
      </c>
      <c r="D1451" s="1">
        <v>20100.53</v>
      </c>
    </row>
    <row r="1452" spans="1:4" x14ac:dyDescent="0.25">
      <c r="A1452" s="65">
        <v>41949</v>
      </c>
      <c r="B1452" s="1">
        <v>3102.07</v>
      </c>
      <c r="C1452" s="65">
        <v>41971</v>
      </c>
      <c r="D1452" s="1">
        <v>20014.82</v>
      </c>
    </row>
    <row r="1453" spans="1:4" x14ac:dyDescent="0.25">
      <c r="A1453" s="65">
        <v>41950</v>
      </c>
      <c r="B1453" s="1">
        <v>3064.92</v>
      </c>
      <c r="C1453" s="65">
        <v>41974</v>
      </c>
      <c r="D1453" s="1">
        <v>19686.45</v>
      </c>
    </row>
    <row r="1454" spans="1:4" x14ac:dyDescent="0.25">
      <c r="A1454" s="65">
        <v>41953</v>
      </c>
      <c r="B1454" s="1">
        <v>3094.6</v>
      </c>
      <c r="C1454" s="65">
        <v>41975</v>
      </c>
      <c r="D1454" s="1">
        <v>19780.580000000002</v>
      </c>
    </row>
    <row r="1455" spans="1:4" x14ac:dyDescent="0.25">
      <c r="A1455" s="65">
        <v>41954</v>
      </c>
      <c r="B1455" s="1">
        <v>3104.59</v>
      </c>
      <c r="C1455" s="65">
        <v>41976</v>
      </c>
      <c r="D1455" s="1">
        <v>19978.32</v>
      </c>
    </row>
    <row r="1456" spans="1:4" x14ac:dyDescent="0.25">
      <c r="A1456" s="65">
        <v>41955</v>
      </c>
      <c r="B1456" s="1">
        <v>3047.3</v>
      </c>
      <c r="C1456" s="65">
        <v>41977</v>
      </c>
      <c r="D1456" s="1">
        <v>19424.38</v>
      </c>
    </row>
    <row r="1457" spans="1:4" x14ac:dyDescent="0.25">
      <c r="A1457" s="65">
        <v>41956</v>
      </c>
      <c r="B1457" s="1">
        <v>3056.8</v>
      </c>
      <c r="C1457" s="65">
        <v>41978</v>
      </c>
      <c r="D1457" s="1">
        <v>20087.23</v>
      </c>
    </row>
    <row r="1458" spans="1:4" x14ac:dyDescent="0.25">
      <c r="A1458" s="65">
        <v>41957</v>
      </c>
      <c r="B1458" s="1">
        <v>3059.99</v>
      </c>
      <c r="C1458" s="65">
        <v>41981</v>
      </c>
      <c r="D1458" s="1">
        <v>19951.150000000001</v>
      </c>
    </row>
    <row r="1459" spans="1:4" x14ac:dyDescent="0.25">
      <c r="A1459" s="65">
        <v>41960</v>
      </c>
      <c r="B1459" s="1">
        <v>3084.79</v>
      </c>
      <c r="C1459" s="65">
        <v>41982</v>
      </c>
      <c r="D1459" s="1">
        <v>19390</v>
      </c>
    </row>
    <row r="1460" spans="1:4" x14ac:dyDescent="0.25">
      <c r="A1460" s="65">
        <v>41961</v>
      </c>
      <c r="B1460" s="1">
        <v>3120.42</v>
      </c>
      <c r="C1460" s="65">
        <v>41983</v>
      </c>
      <c r="D1460" s="1">
        <v>19217.689999999999</v>
      </c>
    </row>
    <row r="1461" spans="1:4" x14ac:dyDescent="0.25">
      <c r="A1461" s="65">
        <v>41962</v>
      </c>
      <c r="B1461" s="1">
        <v>3123.12</v>
      </c>
      <c r="C1461" s="65">
        <v>41984</v>
      </c>
      <c r="D1461" s="1">
        <v>19201.07</v>
      </c>
    </row>
    <row r="1462" spans="1:4" x14ac:dyDescent="0.25">
      <c r="A1462" s="65">
        <v>41963</v>
      </c>
      <c r="B1462" s="1">
        <v>3102.21</v>
      </c>
      <c r="C1462" s="65">
        <v>41985</v>
      </c>
      <c r="D1462" s="1">
        <v>18600.830000000002</v>
      </c>
    </row>
    <row r="1463" spans="1:4" x14ac:dyDescent="0.25">
      <c r="A1463" s="65">
        <v>41964</v>
      </c>
      <c r="B1463" s="1">
        <v>3194.22</v>
      </c>
      <c r="C1463" s="65">
        <v>41988</v>
      </c>
      <c r="D1463" s="1">
        <v>18078.97</v>
      </c>
    </row>
    <row r="1464" spans="1:4" x14ac:dyDescent="0.25">
      <c r="A1464" s="65">
        <v>41967</v>
      </c>
      <c r="B1464" s="1">
        <v>3211.7</v>
      </c>
      <c r="C1464" s="65">
        <v>41989</v>
      </c>
      <c r="D1464" s="1">
        <v>18670.05</v>
      </c>
    </row>
    <row r="1465" spans="1:4" x14ac:dyDescent="0.25">
      <c r="A1465" s="65">
        <v>41968</v>
      </c>
      <c r="B1465" s="1">
        <v>3226.15</v>
      </c>
      <c r="C1465" s="65">
        <v>41990</v>
      </c>
      <c r="D1465" s="1">
        <v>18569.03</v>
      </c>
    </row>
    <row r="1466" spans="1:4" x14ac:dyDescent="0.25">
      <c r="A1466" s="65">
        <v>41969</v>
      </c>
      <c r="B1466" s="1">
        <v>3226.08</v>
      </c>
      <c r="C1466" s="65">
        <v>41991</v>
      </c>
      <c r="D1466" s="1">
        <v>19060.990000000002</v>
      </c>
    </row>
    <row r="1467" spans="1:4" x14ac:dyDescent="0.25">
      <c r="A1467" s="65">
        <v>41970</v>
      </c>
      <c r="B1467" s="1">
        <v>3244.92</v>
      </c>
      <c r="C1467" s="65">
        <v>41992</v>
      </c>
      <c r="D1467" s="1">
        <v>18983.830000000002</v>
      </c>
    </row>
    <row r="1468" spans="1:4" x14ac:dyDescent="0.25">
      <c r="A1468" s="65">
        <v>41971</v>
      </c>
      <c r="B1468" s="1">
        <v>3250.93</v>
      </c>
      <c r="C1468" s="65">
        <v>41995</v>
      </c>
      <c r="D1468" s="1">
        <v>19074.04</v>
      </c>
    </row>
    <row r="1469" spans="1:4" x14ac:dyDescent="0.25">
      <c r="A1469" s="65">
        <v>41974</v>
      </c>
      <c r="B1469" s="1">
        <v>3232.91</v>
      </c>
      <c r="C1469" s="65">
        <v>41996</v>
      </c>
      <c r="D1469" s="1">
        <v>19352.13</v>
      </c>
    </row>
    <row r="1470" spans="1:4" x14ac:dyDescent="0.25">
      <c r="A1470" s="65">
        <v>41975</v>
      </c>
      <c r="B1470" s="1">
        <v>3238.35</v>
      </c>
      <c r="C1470" s="65">
        <v>42002</v>
      </c>
      <c r="D1470" s="1">
        <v>19130.02</v>
      </c>
    </row>
    <row r="1471" spans="1:4" x14ac:dyDescent="0.25">
      <c r="A1471" s="65">
        <v>41976</v>
      </c>
      <c r="B1471" s="1">
        <v>3247.72</v>
      </c>
      <c r="C1471" s="65">
        <v>42003</v>
      </c>
      <c r="D1471" s="1">
        <v>19011.96</v>
      </c>
    </row>
    <row r="1472" spans="1:4" x14ac:dyDescent="0.25">
      <c r="A1472" s="65">
        <v>41977</v>
      </c>
      <c r="B1472" s="1">
        <v>3191.25</v>
      </c>
      <c r="C1472" s="65">
        <v>42006</v>
      </c>
      <c r="D1472" s="1">
        <v>19130.259999999998</v>
      </c>
    </row>
    <row r="1473" spans="1:4" x14ac:dyDescent="0.25">
      <c r="A1473" s="65">
        <v>41978</v>
      </c>
      <c r="B1473" s="1">
        <v>3277.38</v>
      </c>
      <c r="C1473" s="65">
        <v>42009</v>
      </c>
      <c r="D1473" s="1">
        <v>18188.439999999999</v>
      </c>
    </row>
    <row r="1474" spans="1:4" x14ac:dyDescent="0.25">
      <c r="A1474" s="65">
        <v>41981</v>
      </c>
      <c r="B1474" s="1">
        <v>3247.99</v>
      </c>
      <c r="C1474" s="65">
        <v>42010</v>
      </c>
      <c r="D1474" s="1">
        <v>18143.259999999998</v>
      </c>
    </row>
    <row r="1475" spans="1:4" x14ac:dyDescent="0.25">
      <c r="A1475" s="65">
        <v>41982</v>
      </c>
      <c r="B1475" s="1">
        <v>3162.77</v>
      </c>
      <c r="C1475" s="65">
        <v>42011</v>
      </c>
      <c r="D1475" s="1">
        <v>18123.45</v>
      </c>
    </row>
    <row r="1476" spans="1:4" x14ac:dyDescent="0.25">
      <c r="A1476" s="65">
        <v>41983</v>
      </c>
      <c r="B1476" s="1">
        <v>3150.95</v>
      </c>
      <c r="C1476" s="65">
        <v>42012</v>
      </c>
      <c r="D1476" s="1">
        <v>18791.830000000002</v>
      </c>
    </row>
    <row r="1477" spans="1:4" x14ac:dyDescent="0.25">
      <c r="A1477" s="65">
        <v>41984</v>
      </c>
      <c r="B1477" s="1">
        <v>3159.11</v>
      </c>
      <c r="C1477" s="65">
        <v>42013</v>
      </c>
      <c r="D1477" s="1">
        <v>18177.09</v>
      </c>
    </row>
    <row r="1478" spans="1:4" x14ac:dyDescent="0.25">
      <c r="A1478" s="65">
        <v>41985</v>
      </c>
      <c r="B1478" s="1">
        <v>3067.32</v>
      </c>
      <c r="C1478" s="65">
        <v>42016</v>
      </c>
      <c r="D1478" s="1">
        <v>18349.150000000001</v>
      </c>
    </row>
    <row r="1479" spans="1:4" x14ac:dyDescent="0.25">
      <c r="A1479" s="65">
        <v>41988</v>
      </c>
      <c r="B1479" s="1">
        <v>2982.9</v>
      </c>
      <c r="C1479" s="65">
        <v>42017</v>
      </c>
      <c r="D1479" s="1">
        <v>18708.93</v>
      </c>
    </row>
    <row r="1480" spans="1:4" x14ac:dyDescent="0.25">
      <c r="A1480" s="65">
        <v>41989</v>
      </c>
      <c r="B1480" s="1">
        <v>3049.99</v>
      </c>
      <c r="C1480" s="65">
        <v>42018</v>
      </c>
      <c r="D1480" s="1">
        <v>18410.68</v>
      </c>
    </row>
    <row r="1481" spans="1:4" x14ac:dyDescent="0.25">
      <c r="A1481" s="65">
        <v>41990</v>
      </c>
      <c r="B1481" s="1">
        <v>3051.99</v>
      </c>
      <c r="C1481" s="65">
        <v>42019</v>
      </c>
      <c r="D1481" s="1">
        <v>18844.52</v>
      </c>
    </row>
    <row r="1482" spans="1:4" x14ac:dyDescent="0.25">
      <c r="A1482" s="65">
        <v>41991</v>
      </c>
      <c r="B1482" s="1">
        <v>3153.77</v>
      </c>
      <c r="C1482" s="65">
        <v>42020</v>
      </c>
      <c r="D1482" s="1">
        <v>19254.54</v>
      </c>
    </row>
    <row r="1483" spans="1:4" x14ac:dyDescent="0.25">
      <c r="A1483" s="65">
        <v>41992</v>
      </c>
      <c r="B1483" s="1">
        <v>3141.28</v>
      </c>
      <c r="C1483" s="65">
        <v>42023</v>
      </c>
      <c r="D1483" s="1">
        <v>19480.53</v>
      </c>
    </row>
    <row r="1484" spans="1:4" x14ac:dyDescent="0.25">
      <c r="A1484" s="65">
        <v>41995</v>
      </c>
      <c r="B1484" s="1">
        <v>3154.91</v>
      </c>
      <c r="C1484" s="65">
        <v>42024</v>
      </c>
      <c r="D1484" s="1">
        <v>19658.66</v>
      </c>
    </row>
    <row r="1485" spans="1:4" x14ac:dyDescent="0.25">
      <c r="A1485" s="65">
        <v>41996</v>
      </c>
      <c r="B1485" s="1">
        <v>3192.47</v>
      </c>
      <c r="C1485" s="65">
        <v>42025</v>
      </c>
      <c r="D1485" s="1">
        <v>19981.41</v>
      </c>
    </row>
    <row r="1486" spans="1:4" x14ac:dyDescent="0.25">
      <c r="A1486" s="65">
        <v>41997</v>
      </c>
      <c r="B1486" s="1">
        <v>3184.66</v>
      </c>
      <c r="C1486" s="65">
        <v>42026</v>
      </c>
      <c r="D1486" s="1">
        <v>20469.740000000002</v>
      </c>
    </row>
    <row r="1487" spans="1:4" x14ac:dyDescent="0.25">
      <c r="A1487" s="65">
        <v>42002</v>
      </c>
      <c r="B1487" s="1">
        <v>3185.17</v>
      </c>
      <c r="C1487" s="65">
        <v>42027</v>
      </c>
      <c r="D1487" s="1">
        <v>20519.75</v>
      </c>
    </row>
    <row r="1488" spans="1:4" x14ac:dyDescent="0.25">
      <c r="A1488" s="65">
        <v>42003</v>
      </c>
      <c r="B1488" s="1">
        <v>3135.95</v>
      </c>
      <c r="C1488" s="65">
        <v>42030</v>
      </c>
      <c r="D1488" s="1">
        <v>20756.72</v>
      </c>
    </row>
    <row r="1489" spans="1:4" x14ac:dyDescent="0.25">
      <c r="A1489" s="65">
        <v>42004</v>
      </c>
      <c r="B1489" s="1">
        <v>3146.43</v>
      </c>
      <c r="C1489" s="65">
        <v>42031</v>
      </c>
      <c r="D1489" s="1">
        <v>20645.82</v>
      </c>
    </row>
    <row r="1490" spans="1:4" x14ac:dyDescent="0.25">
      <c r="A1490" s="65">
        <v>42006</v>
      </c>
      <c r="B1490" s="1">
        <v>3139.44</v>
      </c>
      <c r="C1490" s="65">
        <v>42032</v>
      </c>
      <c r="D1490" s="1">
        <v>20478.439999999999</v>
      </c>
    </row>
    <row r="1491" spans="1:4" x14ac:dyDescent="0.25">
      <c r="A1491" s="65">
        <v>42009</v>
      </c>
      <c r="B1491" s="1">
        <v>3023.14</v>
      </c>
      <c r="C1491" s="65">
        <v>42033</v>
      </c>
      <c r="D1491" s="1">
        <v>20593.72</v>
      </c>
    </row>
    <row r="1492" spans="1:4" x14ac:dyDescent="0.25">
      <c r="A1492" s="65">
        <v>42010</v>
      </c>
      <c r="B1492" s="1">
        <v>3007.91</v>
      </c>
      <c r="C1492" s="65">
        <v>42034</v>
      </c>
      <c r="D1492" s="1">
        <v>20503.38</v>
      </c>
    </row>
    <row r="1493" spans="1:4" x14ac:dyDescent="0.25">
      <c r="A1493" s="65">
        <v>42011</v>
      </c>
      <c r="B1493" s="1">
        <v>3026.79</v>
      </c>
      <c r="C1493" s="65">
        <v>42037</v>
      </c>
      <c r="D1493" s="1">
        <v>20485.689999999999</v>
      </c>
    </row>
    <row r="1494" spans="1:4" x14ac:dyDescent="0.25">
      <c r="A1494" s="65">
        <v>42012</v>
      </c>
      <c r="B1494" s="1">
        <v>3135.08</v>
      </c>
      <c r="C1494" s="65">
        <v>42038</v>
      </c>
      <c r="D1494" s="1">
        <v>21011.55</v>
      </c>
    </row>
    <row r="1495" spans="1:4" x14ac:dyDescent="0.25">
      <c r="A1495" s="65">
        <v>42013</v>
      </c>
      <c r="B1495" s="1">
        <v>3042.9</v>
      </c>
      <c r="C1495" s="65">
        <v>42039</v>
      </c>
      <c r="D1495" s="1">
        <v>20941.73</v>
      </c>
    </row>
    <row r="1496" spans="1:4" x14ac:dyDescent="0.25">
      <c r="A1496" s="65">
        <v>42016</v>
      </c>
      <c r="B1496" s="1">
        <v>3084.18</v>
      </c>
      <c r="C1496" s="65">
        <v>42040</v>
      </c>
      <c r="D1496" s="1">
        <v>20819.05</v>
      </c>
    </row>
    <row r="1497" spans="1:4" x14ac:dyDescent="0.25">
      <c r="A1497" s="65">
        <v>42017</v>
      </c>
      <c r="B1497" s="1">
        <v>3133.86</v>
      </c>
      <c r="C1497" s="65">
        <v>42041</v>
      </c>
      <c r="D1497" s="1">
        <v>20760.740000000002</v>
      </c>
    </row>
    <row r="1498" spans="1:4" x14ac:dyDescent="0.25">
      <c r="A1498" s="65">
        <v>42018</v>
      </c>
      <c r="B1498" s="1">
        <v>3089.67</v>
      </c>
      <c r="C1498" s="65">
        <v>42044</v>
      </c>
      <c r="D1498" s="1">
        <v>20366.64</v>
      </c>
    </row>
    <row r="1499" spans="1:4" x14ac:dyDescent="0.25">
      <c r="A1499" s="65">
        <v>42019</v>
      </c>
      <c r="B1499" s="1">
        <v>3157.36</v>
      </c>
      <c r="C1499" s="65">
        <v>42045</v>
      </c>
      <c r="D1499" s="1">
        <v>20725.63</v>
      </c>
    </row>
    <row r="1500" spans="1:4" x14ac:dyDescent="0.25">
      <c r="A1500" s="65">
        <v>42020</v>
      </c>
      <c r="B1500" s="1">
        <v>3202.24</v>
      </c>
      <c r="C1500" s="65">
        <v>42046</v>
      </c>
      <c r="D1500" s="1">
        <v>20565.759999999998</v>
      </c>
    </row>
    <row r="1501" spans="1:4" x14ac:dyDescent="0.25">
      <c r="A1501" s="65">
        <v>42023</v>
      </c>
      <c r="B1501" s="1">
        <v>3220.9</v>
      </c>
      <c r="C1501" s="65">
        <v>42047</v>
      </c>
      <c r="D1501" s="1">
        <v>21002.91</v>
      </c>
    </row>
    <row r="1502" spans="1:4" x14ac:dyDescent="0.25">
      <c r="A1502" s="65">
        <v>42024</v>
      </c>
      <c r="B1502" s="1">
        <v>3244.92</v>
      </c>
      <c r="C1502" s="65">
        <v>42048</v>
      </c>
      <c r="D1502" s="1">
        <v>21204.07</v>
      </c>
    </row>
    <row r="1503" spans="1:4" x14ac:dyDescent="0.25">
      <c r="A1503" s="65">
        <v>42025</v>
      </c>
      <c r="B1503" s="1">
        <v>3269.73</v>
      </c>
      <c r="C1503" s="65">
        <v>42051</v>
      </c>
      <c r="D1503" s="1">
        <v>21165.84</v>
      </c>
    </row>
    <row r="1504" spans="1:4" x14ac:dyDescent="0.25">
      <c r="A1504" s="65">
        <v>42026</v>
      </c>
      <c r="B1504" s="1">
        <v>3322.65</v>
      </c>
      <c r="C1504" s="65">
        <v>42052</v>
      </c>
      <c r="D1504" s="1">
        <v>21266.25</v>
      </c>
    </row>
    <row r="1505" spans="1:4" x14ac:dyDescent="0.25">
      <c r="A1505" s="65">
        <v>42027</v>
      </c>
      <c r="B1505" s="1">
        <v>3382.55</v>
      </c>
      <c r="C1505" s="65">
        <v>42053</v>
      </c>
      <c r="D1505" s="1">
        <v>21659.33</v>
      </c>
    </row>
    <row r="1506" spans="1:4" x14ac:dyDescent="0.25">
      <c r="A1506" s="65">
        <v>42030</v>
      </c>
      <c r="B1506" s="1">
        <v>3414.28</v>
      </c>
      <c r="C1506" s="65">
        <v>42054</v>
      </c>
      <c r="D1506" s="1">
        <v>21789.98</v>
      </c>
    </row>
    <row r="1507" spans="1:4" x14ac:dyDescent="0.25">
      <c r="A1507" s="65">
        <v>42031</v>
      </c>
      <c r="B1507" s="1">
        <v>3372.58</v>
      </c>
      <c r="C1507" s="65">
        <v>42055</v>
      </c>
      <c r="D1507" s="1">
        <v>21842.57</v>
      </c>
    </row>
    <row r="1508" spans="1:4" x14ac:dyDescent="0.25">
      <c r="A1508" s="65">
        <v>42032</v>
      </c>
      <c r="B1508" s="1">
        <v>3358.96</v>
      </c>
      <c r="C1508" s="65">
        <v>42058</v>
      </c>
      <c r="D1508" s="1">
        <v>21964.29</v>
      </c>
    </row>
    <row r="1509" spans="1:4" x14ac:dyDescent="0.25">
      <c r="A1509" s="65">
        <v>42033</v>
      </c>
      <c r="B1509" s="1">
        <v>3371.83</v>
      </c>
      <c r="C1509" s="65">
        <v>42059</v>
      </c>
      <c r="D1509" s="1">
        <v>22149.75</v>
      </c>
    </row>
    <row r="1510" spans="1:4" x14ac:dyDescent="0.25">
      <c r="A1510" s="65">
        <v>42034</v>
      </c>
      <c r="B1510" s="1">
        <v>3351.44</v>
      </c>
      <c r="C1510" s="65">
        <v>42060</v>
      </c>
      <c r="D1510" s="1">
        <v>21937.24</v>
      </c>
    </row>
    <row r="1511" spans="1:4" x14ac:dyDescent="0.25">
      <c r="A1511" s="65">
        <v>42037</v>
      </c>
      <c r="B1511" s="1">
        <v>3370.11</v>
      </c>
      <c r="C1511" s="65">
        <v>42061</v>
      </c>
      <c r="D1511" s="1">
        <v>22165.13</v>
      </c>
    </row>
    <row r="1512" spans="1:4" x14ac:dyDescent="0.25">
      <c r="A1512" s="65">
        <v>42038</v>
      </c>
      <c r="B1512" s="1">
        <v>3414.18</v>
      </c>
      <c r="C1512" s="65">
        <v>42062</v>
      </c>
      <c r="D1512" s="1">
        <v>22337.79</v>
      </c>
    </row>
    <row r="1513" spans="1:4" x14ac:dyDescent="0.25">
      <c r="A1513" s="65">
        <v>42039</v>
      </c>
      <c r="B1513" s="1">
        <v>3415.53</v>
      </c>
      <c r="C1513" s="65">
        <v>42065</v>
      </c>
      <c r="D1513" s="1">
        <v>22297.599999999999</v>
      </c>
    </row>
    <row r="1514" spans="1:4" x14ac:dyDescent="0.25">
      <c r="A1514" s="65">
        <v>42040</v>
      </c>
      <c r="B1514" s="1">
        <v>3408.96</v>
      </c>
      <c r="C1514" s="65">
        <v>42066</v>
      </c>
      <c r="D1514" s="1">
        <v>21987.18</v>
      </c>
    </row>
    <row r="1515" spans="1:4" x14ac:dyDescent="0.25">
      <c r="A1515" s="65">
        <v>42041</v>
      </c>
      <c r="B1515" s="1">
        <v>3398.16</v>
      </c>
      <c r="C1515" s="65">
        <v>42067</v>
      </c>
      <c r="D1515" s="1">
        <v>22131.08</v>
      </c>
    </row>
    <row r="1516" spans="1:4" x14ac:dyDescent="0.25">
      <c r="A1516" s="65">
        <v>42044</v>
      </c>
      <c r="B1516" s="1">
        <v>3347.75</v>
      </c>
      <c r="C1516" s="65">
        <v>42068</v>
      </c>
      <c r="D1516" s="1">
        <v>22400.080000000002</v>
      </c>
    </row>
    <row r="1517" spans="1:4" x14ac:dyDescent="0.25">
      <c r="A1517" s="65">
        <v>42045</v>
      </c>
      <c r="B1517" s="1">
        <v>3383.13</v>
      </c>
      <c r="C1517" s="65">
        <v>42069</v>
      </c>
      <c r="D1517" s="1">
        <v>22436.13</v>
      </c>
    </row>
    <row r="1518" spans="1:4" x14ac:dyDescent="0.25">
      <c r="A1518" s="65">
        <v>42046</v>
      </c>
      <c r="B1518" s="1">
        <v>3374.14</v>
      </c>
      <c r="C1518" s="65">
        <v>42072</v>
      </c>
      <c r="D1518" s="1">
        <v>22564.35</v>
      </c>
    </row>
    <row r="1519" spans="1:4" x14ac:dyDescent="0.25">
      <c r="A1519" s="65">
        <v>42047</v>
      </c>
      <c r="B1519" s="1">
        <v>3417.61</v>
      </c>
      <c r="C1519" s="65">
        <v>42073</v>
      </c>
      <c r="D1519" s="1">
        <v>22345.77</v>
      </c>
    </row>
    <row r="1520" spans="1:4" x14ac:dyDescent="0.25">
      <c r="A1520" s="65">
        <v>42048</v>
      </c>
      <c r="B1520" s="1">
        <v>3447.59</v>
      </c>
      <c r="C1520" s="65">
        <v>42074</v>
      </c>
      <c r="D1520" s="1">
        <v>22833.040000000001</v>
      </c>
    </row>
    <row r="1521" spans="1:4" x14ac:dyDescent="0.25">
      <c r="A1521" s="65">
        <v>42051</v>
      </c>
      <c r="B1521" s="1">
        <v>3433.3</v>
      </c>
      <c r="C1521" s="65">
        <v>42075</v>
      </c>
      <c r="D1521" s="1">
        <v>22809.01</v>
      </c>
    </row>
    <row r="1522" spans="1:4" x14ac:dyDescent="0.25">
      <c r="A1522" s="65">
        <v>42052</v>
      </c>
      <c r="B1522" s="1">
        <v>3438.44</v>
      </c>
      <c r="C1522" s="65">
        <v>42076</v>
      </c>
      <c r="D1522" s="1">
        <v>22713.59</v>
      </c>
    </row>
    <row r="1523" spans="1:4" x14ac:dyDescent="0.25">
      <c r="A1523" s="65">
        <v>42053</v>
      </c>
      <c r="B1523" s="1">
        <v>3465.8</v>
      </c>
      <c r="C1523" s="65">
        <v>42079</v>
      </c>
      <c r="D1523" s="1">
        <v>22930.92</v>
      </c>
    </row>
    <row r="1524" spans="1:4" x14ac:dyDescent="0.25">
      <c r="A1524" s="65">
        <v>42054</v>
      </c>
      <c r="B1524" s="1">
        <v>3488.08</v>
      </c>
      <c r="C1524" s="65">
        <v>42080</v>
      </c>
      <c r="D1524" s="1">
        <v>22723.06</v>
      </c>
    </row>
    <row r="1525" spans="1:4" x14ac:dyDescent="0.25">
      <c r="A1525" s="65">
        <v>42055</v>
      </c>
      <c r="B1525" s="1">
        <v>3490.53</v>
      </c>
      <c r="C1525" s="65">
        <v>42081</v>
      </c>
      <c r="D1525" s="1">
        <v>22565.19</v>
      </c>
    </row>
    <row r="1526" spans="1:4" x14ac:dyDescent="0.25">
      <c r="A1526" s="65">
        <v>42058</v>
      </c>
      <c r="B1526" s="1">
        <v>3519.58</v>
      </c>
      <c r="C1526" s="65">
        <v>42082</v>
      </c>
      <c r="D1526" s="1">
        <v>22805.17</v>
      </c>
    </row>
    <row r="1527" spans="1:4" x14ac:dyDescent="0.25">
      <c r="A1527" s="65">
        <v>42059</v>
      </c>
      <c r="B1527" s="1">
        <v>3547.1</v>
      </c>
      <c r="C1527" s="65">
        <v>42083</v>
      </c>
      <c r="D1527" s="1">
        <v>23176.68</v>
      </c>
    </row>
    <row r="1528" spans="1:4" x14ac:dyDescent="0.25">
      <c r="A1528" s="65">
        <v>42060</v>
      </c>
      <c r="B1528" s="1">
        <v>3541.78</v>
      </c>
      <c r="C1528" s="65">
        <v>42086</v>
      </c>
      <c r="D1528" s="1">
        <v>23057.119999999999</v>
      </c>
    </row>
    <row r="1529" spans="1:4" x14ac:dyDescent="0.25">
      <c r="A1529" s="65">
        <v>42061</v>
      </c>
      <c r="B1529" s="1">
        <v>3574.94</v>
      </c>
      <c r="C1529" s="65">
        <v>42087</v>
      </c>
      <c r="D1529" s="1">
        <v>23333.200000000001</v>
      </c>
    </row>
    <row r="1530" spans="1:4" x14ac:dyDescent="0.25">
      <c r="A1530" s="65">
        <v>42062</v>
      </c>
      <c r="B1530" s="1">
        <v>3599</v>
      </c>
      <c r="C1530" s="65">
        <v>42088</v>
      </c>
      <c r="D1530" s="1">
        <v>23145.1</v>
      </c>
    </row>
    <row r="1531" spans="1:4" x14ac:dyDescent="0.25">
      <c r="A1531" s="65">
        <v>42065</v>
      </c>
      <c r="B1531" s="1">
        <v>3591.09</v>
      </c>
      <c r="C1531" s="65">
        <v>42089</v>
      </c>
      <c r="D1531" s="1">
        <v>22900.27</v>
      </c>
    </row>
    <row r="1532" spans="1:4" x14ac:dyDescent="0.25">
      <c r="A1532" s="65">
        <v>42066</v>
      </c>
      <c r="B1532" s="1">
        <v>3549.11</v>
      </c>
      <c r="C1532" s="65">
        <v>42090</v>
      </c>
      <c r="D1532" s="1">
        <v>22984.23</v>
      </c>
    </row>
    <row r="1533" spans="1:4" x14ac:dyDescent="0.25">
      <c r="A1533" s="65">
        <v>42067</v>
      </c>
      <c r="B1533" s="1">
        <v>3583.44</v>
      </c>
      <c r="C1533" s="65">
        <v>42093</v>
      </c>
      <c r="D1533" s="1">
        <v>23260.57</v>
      </c>
    </row>
    <row r="1534" spans="1:4" x14ac:dyDescent="0.25">
      <c r="A1534" s="65">
        <v>42068</v>
      </c>
      <c r="B1534" s="1">
        <v>3618.21</v>
      </c>
      <c r="C1534" s="65">
        <v>42094</v>
      </c>
      <c r="D1534" s="1">
        <v>23157.119999999999</v>
      </c>
    </row>
    <row r="1535" spans="1:4" x14ac:dyDescent="0.25">
      <c r="A1535" s="65">
        <v>42069</v>
      </c>
      <c r="B1535" s="1">
        <v>3617.62</v>
      </c>
      <c r="C1535" s="65">
        <v>42095</v>
      </c>
      <c r="D1535" s="1">
        <v>23358.99</v>
      </c>
    </row>
    <row r="1536" spans="1:4" x14ac:dyDescent="0.25">
      <c r="A1536" s="65">
        <v>42072</v>
      </c>
      <c r="B1536" s="1">
        <v>3610.28</v>
      </c>
      <c r="C1536" s="65">
        <v>42096</v>
      </c>
      <c r="D1536" s="1">
        <v>23308.53</v>
      </c>
    </row>
    <row r="1537" spans="1:4" x14ac:dyDescent="0.25">
      <c r="A1537" s="65">
        <v>42073</v>
      </c>
      <c r="B1537" s="1">
        <v>3567.25</v>
      </c>
      <c r="C1537" s="65">
        <v>42101</v>
      </c>
      <c r="D1537" s="1">
        <v>23706.34</v>
      </c>
    </row>
    <row r="1538" spans="1:4" x14ac:dyDescent="0.25">
      <c r="A1538" s="65">
        <v>42074</v>
      </c>
      <c r="B1538" s="1">
        <v>3649.54</v>
      </c>
      <c r="C1538" s="65">
        <v>42102</v>
      </c>
      <c r="D1538" s="1">
        <v>23578.7</v>
      </c>
    </row>
    <row r="1539" spans="1:4" x14ac:dyDescent="0.25">
      <c r="A1539" s="65">
        <v>42075</v>
      </c>
      <c r="B1539" s="1">
        <v>3641.32</v>
      </c>
      <c r="C1539" s="65">
        <v>42103</v>
      </c>
      <c r="D1539" s="1">
        <v>23803.9</v>
      </c>
    </row>
    <row r="1540" spans="1:4" x14ac:dyDescent="0.25">
      <c r="A1540" s="65">
        <v>42076</v>
      </c>
      <c r="B1540" s="1">
        <v>3656.21</v>
      </c>
      <c r="C1540" s="65">
        <v>42104</v>
      </c>
      <c r="D1540" s="1">
        <v>23877.25</v>
      </c>
    </row>
    <row r="1541" spans="1:4" x14ac:dyDescent="0.25">
      <c r="A1541" s="65">
        <v>42079</v>
      </c>
      <c r="B1541" s="1">
        <v>3706.75</v>
      </c>
      <c r="C1541" s="65">
        <v>42107</v>
      </c>
      <c r="D1541" s="1">
        <v>24008.91</v>
      </c>
    </row>
    <row r="1542" spans="1:4" x14ac:dyDescent="0.25">
      <c r="A1542" s="65">
        <v>42080</v>
      </c>
      <c r="B1542" s="1">
        <v>3672.16</v>
      </c>
      <c r="C1542" s="65">
        <v>42108</v>
      </c>
      <c r="D1542" s="1">
        <v>23752.91</v>
      </c>
    </row>
    <row r="1543" spans="1:4" x14ac:dyDescent="0.25">
      <c r="A1543" s="65">
        <v>42081</v>
      </c>
      <c r="B1543" s="1">
        <v>3668.52</v>
      </c>
      <c r="C1543" s="65">
        <v>42109</v>
      </c>
      <c r="D1543" s="1">
        <v>24030.54</v>
      </c>
    </row>
    <row r="1544" spans="1:4" x14ac:dyDescent="0.25">
      <c r="A1544" s="65">
        <v>42082</v>
      </c>
      <c r="B1544" s="1">
        <v>3670.73</v>
      </c>
      <c r="C1544" s="65">
        <v>42110</v>
      </c>
      <c r="D1544" s="1">
        <v>23610.81</v>
      </c>
    </row>
    <row r="1545" spans="1:4" x14ac:dyDescent="0.25">
      <c r="A1545" s="65">
        <v>42083</v>
      </c>
      <c r="B1545" s="1">
        <v>3726.07</v>
      </c>
      <c r="C1545" s="65">
        <v>42111</v>
      </c>
      <c r="D1545" s="1">
        <v>23044.080000000002</v>
      </c>
    </row>
    <row r="1546" spans="1:4" x14ac:dyDescent="0.25">
      <c r="A1546" s="65">
        <v>42086</v>
      </c>
      <c r="B1546" s="1">
        <v>3699.04</v>
      </c>
      <c r="C1546" s="65">
        <v>42114</v>
      </c>
      <c r="D1546" s="1">
        <v>23332.98</v>
      </c>
    </row>
    <row r="1547" spans="1:4" x14ac:dyDescent="0.25">
      <c r="A1547" s="65">
        <v>42087</v>
      </c>
      <c r="B1547" s="1">
        <v>3731.35</v>
      </c>
      <c r="C1547" s="65">
        <v>42115</v>
      </c>
      <c r="D1547" s="1">
        <v>23240.26</v>
      </c>
    </row>
    <row r="1548" spans="1:4" x14ac:dyDescent="0.25">
      <c r="A1548" s="65">
        <v>42088</v>
      </c>
      <c r="B1548" s="1">
        <v>3684.04</v>
      </c>
      <c r="C1548" s="65">
        <v>42116</v>
      </c>
      <c r="D1548" s="1">
        <v>23315.4</v>
      </c>
    </row>
    <row r="1549" spans="1:4" x14ac:dyDescent="0.25">
      <c r="A1549" s="65">
        <v>42089</v>
      </c>
      <c r="B1549" s="1">
        <v>3669.79</v>
      </c>
      <c r="C1549" s="65">
        <v>42117</v>
      </c>
      <c r="D1549" s="1">
        <v>23199.43</v>
      </c>
    </row>
    <row r="1550" spans="1:4" x14ac:dyDescent="0.25">
      <c r="A1550" s="65">
        <v>42090</v>
      </c>
      <c r="B1550" s="1">
        <v>3679.03</v>
      </c>
      <c r="C1550" s="65">
        <v>42118</v>
      </c>
      <c r="D1550" s="1">
        <v>23427.35</v>
      </c>
    </row>
    <row r="1551" spans="1:4" x14ac:dyDescent="0.25">
      <c r="A1551" s="65">
        <v>42093</v>
      </c>
      <c r="B1551" s="1">
        <v>3727.8</v>
      </c>
      <c r="C1551" s="65">
        <v>42121</v>
      </c>
      <c r="D1551" s="1">
        <v>23806.27</v>
      </c>
    </row>
    <row r="1552" spans="1:4" x14ac:dyDescent="0.25">
      <c r="A1552" s="65">
        <v>42094</v>
      </c>
      <c r="B1552" s="1">
        <v>3697.38</v>
      </c>
      <c r="C1552" s="65">
        <v>42122</v>
      </c>
      <c r="D1552" s="1">
        <v>23532.09</v>
      </c>
    </row>
    <row r="1553" spans="1:4" x14ac:dyDescent="0.25">
      <c r="A1553" s="65">
        <v>42095</v>
      </c>
      <c r="B1553" s="1">
        <v>3714.89</v>
      </c>
      <c r="C1553" s="65">
        <v>42123</v>
      </c>
      <c r="D1553" s="1">
        <v>22995.63</v>
      </c>
    </row>
    <row r="1554" spans="1:4" x14ac:dyDescent="0.25">
      <c r="A1554" s="65">
        <v>42096</v>
      </c>
      <c r="B1554" s="1">
        <v>3715.27</v>
      </c>
      <c r="C1554" s="65">
        <v>42124</v>
      </c>
      <c r="D1554" s="1">
        <v>23045.52</v>
      </c>
    </row>
    <row r="1555" spans="1:4" x14ac:dyDescent="0.25">
      <c r="A1555" s="65">
        <v>42101</v>
      </c>
      <c r="B1555" s="1">
        <v>3768.72</v>
      </c>
      <c r="C1555" s="65">
        <v>42128</v>
      </c>
      <c r="D1555" s="1">
        <v>23217.17</v>
      </c>
    </row>
    <row r="1556" spans="1:4" x14ac:dyDescent="0.25">
      <c r="A1556" s="65">
        <v>42102</v>
      </c>
      <c r="B1556" s="1">
        <v>3742.63</v>
      </c>
      <c r="C1556" s="65">
        <v>42129</v>
      </c>
      <c r="D1556" s="1">
        <v>22576.35</v>
      </c>
    </row>
    <row r="1557" spans="1:4" x14ac:dyDescent="0.25">
      <c r="A1557" s="65">
        <v>42103</v>
      </c>
      <c r="B1557" s="1">
        <v>3781.79</v>
      </c>
      <c r="C1557" s="65">
        <v>42130</v>
      </c>
      <c r="D1557" s="1">
        <v>22659.85</v>
      </c>
    </row>
    <row r="1558" spans="1:4" x14ac:dyDescent="0.25">
      <c r="A1558" s="65">
        <v>42104</v>
      </c>
      <c r="B1558" s="1">
        <v>3816.76</v>
      </c>
      <c r="C1558" s="65">
        <v>42131</v>
      </c>
      <c r="D1558" s="1">
        <v>22841.919999999998</v>
      </c>
    </row>
    <row r="1559" spans="1:4" x14ac:dyDescent="0.25">
      <c r="A1559" s="65">
        <v>42107</v>
      </c>
      <c r="B1559" s="1">
        <v>3828.78</v>
      </c>
      <c r="C1559" s="65">
        <v>42132</v>
      </c>
      <c r="D1559" s="1">
        <v>23312.43</v>
      </c>
    </row>
    <row r="1560" spans="1:4" x14ac:dyDescent="0.25">
      <c r="A1560" s="65">
        <v>42108</v>
      </c>
      <c r="B1560" s="1">
        <v>3784.53</v>
      </c>
      <c r="C1560" s="65">
        <v>42135</v>
      </c>
      <c r="D1560" s="1">
        <v>23321.86</v>
      </c>
    </row>
    <row r="1561" spans="1:4" x14ac:dyDescent="0.25">
      <c r="A1561" s="65">
        <v>42109</v>
      </c>
      <c r="B1561" s="1">
        <v>3803.55</v>
      </c>
      <c r="C1561" s="65">
        <v>42136</v>
      </c>
      <c r="D1561" s="1">
        <v>23104.87</v>
      </c>
    </row>
    <row r="1562" spans="1:4" x14ac:dyDescent="0.25">
      <c r="A1562" s="65">
        <v>42110</v>
      </c>
      <c r="B1562" s="1">
        <v>3751.72</v>
      </c>
      <c r="C1562" s="65">
        <v>42137</v>
      </c>
      <c r="D1562" s="1">
        <v>23210.97</v>
      </c>
    </row>
    <row r="1563" spans="1:4" x14ac:dyDescent="0.25">
      <c r="A1563" s="65">
        <v>42111</v>
      </c>
      <c r="B1563" s="1">
        <v>3674.05</v>
      </c>
      <c r="C1563" s="65">
        <v>42138</v>
      </c>
      <c r="D1563" s="1">
        <v>23548.59</v>
      </c>
    </row>
    <row r="1564" spans="1:4" x14ac:dyDescent="0.25">
      <c r="A1564" s="65">
        <v>42114</v>
      </c>
      <c r="B1564" s="1">
        <v>3718.04</v>
      </c>
      <c r="C1564" s="65">
        <v>42139</v>
      </c>
      <c r="D1564" s="1">
        <v>23473.46</v>
      </c>
    </row>
    <row r="1565" spans="1:4" x14ac:dyDescent="0.25">
      <c r="A1565" s="65">
        <v>42115</v>
      </c>
      <c r="B1565" s="1">
        <v>3719.38</v>
      </c>
      <c r="C1565" s="65">
        <v>42142</v>
      </c>
      <c r="D1565" s="1">
        <v>23198.1</v>
      </c>
    </row>
    <row r="1566" spans="1:4" x14ac:dyDescent="0.25">
      <c r="A1566" s="65">
        <v>42116</v>
      </c>
      <c r="B1566" s="1">
        <v>3724.49</v>
      </c>
      <c r="C1566" s="65">
        <v>42143</v>
      </c>
      <c r="D1566" s="1">
        <v>23713.26</v>
      </c>
    </row>
    <row r="1567" spans="1:4" x14ac:dyDescent="0.25">
      <c r="A1567" s="65">
        <v>42117</v>
      </c>
      <c r="B1567" s="1">
        <v>3697.88</v>
      </c>
      <c r="C1567" s="65">
        <v>42144</v>
      </c>
      <c r="D1567" s="1">
        <v>23772.61</v>
      </c>
    </row>
    <row r="1568" spans="1:4" x14ac:dyDescent="0.25">
      <c r="A1568" s="65">
        <v>42118</v>
      </c>
      <c r="B1568" s="1">
        <v>3713.96</v>
      </c>
      <c r="C1568" s="65">
        <v>42145</v>
      </c>
      <c r="D1568" s="1">
        <v>23739.69</v>
      </c>
    </row>
    <row r="1569" spans="1:4" x14ac:dyDescent="0.25">
      <c r="A1569" s="65">
        <v>42121</v>
      </c>
      <c r="B1569" s="1">
        <v>3771.45</v>
      </c>
      <c r="C1569" s="65">
        <v>42146</v>
      </c>
      <c r="D1569" s="1">
        <v>23781.78</v>
      </c>
    </row>
    <row r="1570" spans="1:4" x14ac:dyDescent="0.25">
      <c r="A1570" s="65">
        <v>42122</v>
      </c>
      <c r="B1570" s="1">
        <v>3715.42</v>
      </c>
      <c r="C1570" s="65">
        <v>42149</v>
      </c>
      <c r="D1570" s="1">
        <v>23285.11</v>
      </c>
    </row>
    <row r="1571" spans="1:4" x14ac:dyDescent="0.25">
      <c r="A1571" s="65">
        <v>42123</v>
      </c>
      <c r="B1571" s="1">
        <v>3617.11</v>
      </c>
      <c r="C1571" s="65">
        <v>42150</v>
      </c>
      <c r="D1571" s="1">
        <v>23326.95</v>
      </c>
    </row>
    <row r="1572" spans="1:4" x14ac:dyDescent="0.25">
      <c r="A1572" s="65">
        <v>42124</v>
      </c>
      <c r="B1572" s="1">
        <v>3615.59</v>
      </c>
      <c r="C1572" s="65">
        <v>42151</v>
      </c>
      <c r="D1572" s="1">
        <v>23861.07</v>
      </c>
    </row>
    <row r="1573" spans="1:4" x14ac:dyDescent="0.25">
      <c r="A1573" s="65">
        <v>42125</v>
      </c>
      <c r="B1573" s="1">
        <v>3615.59</v>
      </c>
      <c r="C1573" s="65">
        <v>42152</v>
      </c>
      <c r="D1573" s="1">
        <v>23744.13</v>
      </c>
    </row>
    <row r="1574" spans="1:4" x14ac:dyDescent="0.25">
      <c r="A1574" s="65">
        <v>42128</v>
      </c>
      <c r="B1574" s="1">
        <v>3632.94</v>
      </c>
      <c r="C1574" s="65">
        <v>42153</v>
      </c>
      <c r="D1574" s="1">
        <v>23495.68</v>
      </c>
    </row>
    <row r="1575" spans="1:4" x14ac:dyDescent="0.25">
      <c r="A1575" s="65">
        <v>42129</v>
      </c>
      <c r="B1575" s="1">
        <v>3546.56</v>
      </c>
      <c r="C1575" s="65">
        <v>42156</v>
      </c>
      <c r="D1575" s="1">
        <v>23435.67</v>
      </c>
    </row>
    <row r="1576" spans="1:4" x14ac:dyDescent="0.25">
      <c r="A1576" s="65">
        <v>42130</v>
      </c>
      <c r="B1576" s="1">
        <v>3558.03</v>
      </c>
      <c r="C1576" s="65">
        <v>42157</v>
      </c>
      <c r="D1576" s="1">
        <v>23576.16</v>
      </c>
    </row>
    <row r="1577" spans="1:4" x14ac:dyDescent="0.25">
      <c r="A1577" s="65">
        <v>42131</v>
      </c>
      <c r="B1577" s="1">
        <v>3556.21</v>
      </c>
      <c r="C1577" s="65">
        <v>42158</v>
      </c>
      <c r="D1577" s="1">
        <v>23608.83</v>
      </c>
    </row>
    <row r="1578" spans="1:4" x14ac:dyDescent="0.25">
      <c r="A1578" s="65">
        <v>42132</v>
      </c>
      <c r="B1578" s="1">
        <v>3649.48</v>
      </c>
      <c r="C1578" s="65">
        <v>42159</v>
      </c>
      <c r="D1578" s="1">
        <v>23336.5</v>
      </c>
    </row>
    <row r="1579" spans="1:4" x14ac:dyDescent="0.25">
      <c r="A1579" s="65">
        <v>42135</v>
      </c>
      <c r="B1579" s="1">
        <v>3624.41</v>
      </c>
      <c r="C1579" s="65">
        <v>42160</v>
      </c>
      <c r="D1579" s="1">
        <v>22847.34</v>
      </c>
    </row>
    <row r="1580" spans="1:4" x14ac:dyDescent="0.25">
      <c r="A1580" s="65">
        <v>42136</v>
      </c>
      <c r="B1580" s="1">
        <v>3573.1</v>
      </c>
      <c r="C1580" s="65">
        <v>42163</v>
      </c>
      <c r="D1580" s="1">
        <v>22642.29</v>
      </c>
    </row>
    <row r="1581" spans="1:4" x14ac:dyDescent="0.25">
      <c r="A1581" s="65">
        <v>42137</v>
      </c>
      <c r="B1581" s="1">
        <v>3553.42</v>
      </c>
      <c r="C1581" s="65">
        <v>42164</v>
      </c>
      <c r="D1581" s="1">
        <v>22527.46</v>
      </c>
    </row>
    <row r="1582" spans="1:4" x14ac:dyDescent="0.25">
      <c r="A1582" s="65">
        <v>42138</v>
      </c>
      <c r="B1582" s="1">
        <v>3602.22</v>
      </c>
      <c r="C1582" s="65">
        <v>42165</v>
      </c>
      <c r="D1582" s="1">
        <v>23091.49</v>
      </c>
    </row>
    <row r="1583" spans="1:4" x14ac:dyDescent="0.25">
      <c r="A1583" s="65">
        <v>42139</v>
      </c>
      <c r="B1583" s="1">
        <v>3573.07</v>
      </c>
      <c r="C1583" s="65">
        <v>42166</v>
      </c>
      <c r="D1583" s="1">
        <v>23172.34</v>
      </c>
    </row>
    <row r="1584" spans="1:4" x14ac:dyDescent="0.25">
      <c r="A1584" s="65">
        <v>42142</v>
      </c>
      <c r="B1584" s="1">
        <v>3589.22</v>
      </c>
      <c r="C1584" s="65">
        <v>42167</v>
      </c>
      <c r="D1584" s="1">
        <v>22877.81</v>
      </c>
    </row>
    <row r="1585" spans="1:4" x14ac:dyDescent="0.25">
      <c r="A1585" s="65">
        <v>42143</v>
      </c>
      <c r="B1585" s="1">
        <v>3670.52</v>
      </c>
      <c r="C1585" s="65">
        <v>42170</v>
      </c>
      <c r="D1585" s="1">
        <v>22328.03</v>
      </c>
    </row>
    <row r="1586" spans="1:4" x14ac:dyDescent="0.25">
      <c r="A1586" s="65">
        <v>42144</v>
      </c>
      <c r="B1586" s="1">
        <v>3683.48</v>
      </c>
      <c r="C1586" s="65">
        <v>42171</v>
      </c>
      <c r="D1586" s="1">
        <v>22383.48</v>
      </c>
    </row>
    <row r="1587" spans="1:4" x14ac:dyDescent="0.25">
      <c r="A1587" s="65">
        <v>42145</v>
      </c>
      <c r="B1587" s="1">
        <v>3688.72</v>
      </c>
      <c r="C1587" s="65">
        <v>42172</v>
      </c>
      <c r="D1587" s="1">
        <v>22225.06</v>
      </c>
    </row>
    <row r="1588" spans="1:4" x14ac:dyDescent="0.25">
      <c r="A1588" s="65">
        <v>42146</v>
      </c>
      <c r="B1588" s="1">
        <v>3679.14</v>
      </c>
      <c r="C1588" s="65">
        <v>42173</v>
      </c>
      <c r="D1588" s="1">
        <v>22460.02</v>
      </c>
    </row>
    <row r="1589" spans="1:4" x14ac:dyDescent="0.25">
      <c r="A1589" s="65">
        <v>42149</v>
      </c>
      <c r="B1589" s="1">
        <v>3655.41</v>
      </c>
      <c r="C1589" s="65">
        <v>42174</v>
      </c>
      <c r="D1589" s="1">
        <v>22699.37</v>
      </c>
    </row>
    <row r="1590" spans="1:4" x14ac:dyDescent="0.25">
      <c r="A1590" s="65">
        <v>42150</v>
      </c>
      <c r="B1590" s="1">
        <v>3619.3</v>
      </c>
      <c r="C1590" s="65">
        <v>42177</v>
      </c>
      <c r="D1590" s="1">
        <v>23485.95</v>
      </c>
    </row>
    <row r="1591" spans="1:4" x14ac:dyDescent="0.25">
      <c r="A1591" s="65">
        <v>42151</v>
      </c>
      <c r="B1591" s="1">
        <v>3682.87</v>
      </c>
      <c r="C1591" s="65">
        <v>42178</v>
      </c>
      <c r="D1591" s="1">
        <v>23567.25</v>
      </c>
    </row>
    <row r="1592" spans="1:4" x14ac:dyDescent="0.25">
      <c r="A1592" s="65">
        <v>42152</v>
      </c>
      <c r="B1592" s="1">
        <v>3650.71</v>
      </c>
      <c r="C1592" s="65">
        <v>42179</v>
      </c>
      <c r="D1592" s="1">
        <v>23443.07</v>
      </c>
    </row>
    <row r="1593" spans="1:4" x14ac:dyDescent="0.25">
      <c r="A1593" s="65">
        <v>42153</v>
      </c>
      <c r="B1593" s="1">
        <v>3570.78</v>
      </c>
      <c r="C1593" s="65">
        <v>42180</v>
      </c>
      <c r="D1593" s="1">
        <v>23642.62</v>
      </c>
    </row>
    <row r="1594" spans="1:4" x14ac:dyDescent="0.25">
      <c r="A1594" s="65">
        <v>42156</v>
      </c>
      <c r="B1594" s="1">
        <v>3575.04</v>
      </c>
      <c r="C1594" s="65">
        <v>42181</v>
      </c>
      <c r="D1594" s="1">
        <v>23800.47</v>
      </c>
    </row>
    <row r="1595" spans="1:4" x14ac:dyDescent="0.25">
      <c r="A1595" s="65">
        <v>42157</v>
      </c>
      <c r="B1595" s="1">
        <v>3561.89</v>
      </c>
      <c r="C1595" s="65">
        <v>42184</v>
      </c>
      <c r="D1595" s="1">
        <v>22569.95</v>
      </c>
    </row>
    <row r="1596" spans="1:4" x14ac:dyDescent="0.25">
      <c r="A1596" s="65">
        <v>42158</v>
      </c>
      <c r="B1596" s="1">
        <v>3583.82</v>
      </c>
      <c r="C1596" s="65">
        <v>42185</v>
      </c>
      <c r="D1596" s="1">
        <v>22460.71</v>
      </c>
    </row>
    <row r="1597" spans="1:4" x14ac:dyDescent="0.25">
      <c r="A1597" s="65">
        <v>42159</v>
      </c>
      <c r="B1597" s="1">
        <v>3556.38</v>
      </c>
      <c r="C1597" s="65">
        <v>42186</v>
      </c>
      <c r="D1597" s="1">
        <v>22943.64</v>
      </c>
    </row>
    <row r="1598" spans="1:4" x14ac:dyDescent="0.25">
      <c r="A1598" s="65">
        <v>42160</v>
      </c>
      <c r="B1598" s="1">
        <v>3510.01</v>
      </c>
      <c r="C1598" s="65">
        <v>42187</v>
      </c>
      <c r="D1598" s="1">
        <v>22616.5</v>
      </c>
    </row>
    <row r="1599" spans="1:4" x14ac:dyDescent="0.25">
      <c r="A1599" s="65">
        <v>42163</v>
      </c>
      <c r="B1599" s="1">
        <v>3468.31</v>
      </c>
      <c r="C1599" s="65">
        <v>42188</v>
      </c>
      <c r="D1599" s="1">
        <v>22508.13</v>
      </c>
    </row>
    <row r="1600" spans="1:4" x14ac:dyDescent="0.25">
      <c r="A1600" s="65">
        <v>42164</v>
      </c>
      <c r="B1600" s="1">
        <v>3456.79</v>
      </c>
      <c r="C1600" s="65">
        <v>42191</v>
      </c>
      <c r="D1600" s="1">
        <v>21600.720000000001</v>
      </c>
    </row>
    <row r="1601" spans="1:4" x14ac:dyDescent="0.25">
      <c r="A1601" s="65">
        <v>42165</v>
      </c>
      <c r="B1601" s="1">
        <v>3526.48</v>
      </c>
      <c r="C1601" s="65">
        <v>42192</v>
      </c>
      <c r="D1601" s="1">
        <v>20958.48</v>
      </c>
    </row>
    <row r="1602" spans="1:4" x14ac:dyDescent="0.25">
      <c r="A1602" s="65">
        <v>42166</v>
      </c>
      <c r="B1602" s="1">
        <v>3551.91</v>
      </c>
      <c r="C1602" s="65">
        <v>42193</v>
      </c>
      <c r="D1602" s="1">
        <v>21512.39</v>
      </c>
    </row>
    <row r="1603" spans="1:4" x14ac:dyDescent="0.25">
      <c r="A1603" s="65">
        <v>42167</v>
      </c>
      <c r="B1603" s="1">
        <v>3502.77</v>
      </c>
      <c r="C1603" s="65">
        <v>42194</v>
      </c>
      <c r="D1603" s="1">
        <v>22268.51</v>
      </c>
    </row>
    <row r="1604" spans="1:4" x14ac:dyDescent="0.25">
      <c r="A1604" s="65">
        <v>42170</v>
      </c>
      <c r="B1604" s="1">
        <v>3438.07</v>
      </c>
      <c r="C1604" s="65">
        <v>42195</v>
      </c>
      <c r="D1604" s="1">
        <v>22937.4</v>
      </c>
    </row>
    <row r="1605" spans="1:4" x14ac:dyDescent="0.25">
      <c r="A1605" s="65">
        <v>42171</v>
      </c>
      <c r="B1605" s="1">
        <v>3454.09</v>
      </c>
      <c r="C1605" s="65">
        <v>42198</v>
      </c>
      <c r="D1605" s="1">
        <v>23167.040000000001</v>
      </c>
    </row>
    <row r="1606" spans="1:4" x14ac:dyDescent="0.25">
      <c r="A1606" s="65">
        <v>42172</v>
      </c>
      <c r="B1606" s="1">
        <v>3428.76</v>
      </c>
      <c r="C1606" s="65">
        <v>42199</v>
      </c>
      <c r="D1606" s="1">
        <v>23097.51</v>
      </c>
    </row>
    <row r="1607" spans="1:4" x14ac:dyDescent="0.25">
      <c r="A1607" s="65">
        <v>42173</v>
      </c>
      <c r="B1607" s="1">
        <v>3450.45</v>
      </c>
      <c r="C1607" s="65">
        <v>42200</v>
      </c>
      <c r="D1607" s="1">
        <v>23392.75</v>
      </c>
    </row>
    <row r="1608" spans="1:4" x14ac:dyDescent="0.25">
      <c r="A1608" s="65">
        <v>42174</v>
      </c>
      <c r="B1608" s="1">
        <v>3455.8</v>
      </c>
      <c r="C1608" s="65">
        <v>42201</v>
      </c>
      <c r="D1608" s="1">
        <v>23783.14</v>
      </c>
    </row>
    <row r="1609" spans="1:4" x14ac:dyDescent="0.25">
      <c r="A1609" s="65">
        <v>42177</v>
      </c>
      <c r="B1609" s="1">
        <v>3596.07</v>
      </c>
      <c r="C1609" s="65">
        <v>42202</v>
      </c>
      <c r="D1609" s="1">
        <v>23765.41</v>
      </c>
    </row>
    <row r="1610" spans="1:4" x14ac:dyDescent="0.25">
      <c r="A1610" s="65">
        <v>42178</v>
      </c>
      <c r="B1610" s="1">
        <v>3625.97</v>
      </c>
      <c r="C1610" s="65">
        <v>42205</v>
      </c>
      <c r="D1610" s="1">
        <v>24031.19</v>
      </c>
    </row>
    <row r="1611" spans="1:4" x14ac:dyDescent="0.25">
      <c r="A1611" s="65">
        <v>42179</v>
      </c>
      <c r="B1611" s="1">
        <v>3610.95</v>
      </c>
      <c r="C1611" s="65">
        <v>42206</v>
      </c>
      <c r="D1611" s="1">
        <v>23712.9</v>
      </c>
    </row>
    <row r="1612" spans="1:4" x14ac:dyDescent="0.25">
      <c r="A1612" s="65">
        <v>42180</v>
      </c>
      <c r="B1612" s="1">
        <v>3610.91</v>
      </c>
      <c r="C1612" s="65">
        <v>42207</v>
      </c>
      <c r="D1612" s="1">
        <v>23681.11</v>
      </c>
    </row>
    <row r="1613" spans="1:4" x14ac:dyDescent="0.25">
      <c r="A1613" s="65">
        <v>42181</v>
      </c>
      <c r="B1613" s="1">
        <v>3621.37</v>
      </c>
      <c r="C1613" s="65">
        <v>42208</v>
      </c>
      <c r="D1613" s="1">
        <v>23633.05</v>
      </c>
    </row>
    <row r="1614" spans="1:4" x14ac:dyDescent="0.25">
      <c r="A1614" s="65">
        <v>42184</v>
      </c>
      <c r="B1614" s="1">
        <v>3468.9</v>
      </c>
      <c r="C1614" s="65">
        <v>42209</v>
      </c>
      <c r="D1614" s="1">
        <v>23507.7</v>
      </c>
    </row>
    <row r="1615" spans="1:4" x14ac:dyDescent="0.25">
      <c r="A1615" s="65">
        <v>42185</v>
      </c>
      <c r="B1615" s="1">
        <v>3424.3</v>
      </c>
      <c r="C1615" s="65">
        <v>42212</v>
      </c>
      <c r="D1615" s="1">
        <v>22809.3</v>
      </c>
    </row>
    <row r="1616" spans="1:4" x14ac:dyDescent="0.25">
      <c r="A1616" s="65">
        <v>42186</v>
      </c>
      <c r="B1616" s="1">
        <v>3496.28</v>
      </c>
      <c r="C1616" s="65">
        <v>42213</v>
      </c>
      <c r="D1616" s="1">
        <v>23328.02</v>
      </c>
    </row>
    <row r="1617" spans="1:4" x14ac:dyDescent="0.25">
      <c r="A1617" s="65">
        <v>42187</v>
      </c>
      <c r="B1617" s="1">
        <v>3463.25</v>
      </c>
      <c r="C1617" s="65">
        <v>42214</v>
      </c>
      <c r="D1617" s="1">
        <v>23248.9</v>
      </c>
    </row>
    <row r="1618" spans="1:4" x14ac:dyDescent="0.25">
      <c r="A1618" s="65">
        <v>42188</v>
      </c>
      <c r="B1618" s="1">
        <v>3441.76</v>
      </c>
      <c r="C1618" s="65">
        <v>42215</v>
      </c>
      <c r="D1618" s="1">
        <v>23396.09</v>
      </c>
    </row>
    <row r="1619" spans="1:4" x14ac:dyDescent="0.25">
      <c r="A1619" s="65">
        <v>42191</v>
      </c>
      <c r="B1619" s="1">
        <v>3365.2</v>
      </c>
      <c r="C1619" s="65">
        <v>42216</v>
      </c>
      <c r="D1619" s="1">
        <v>23538.03</v>
      </c>
    </row>
    <row r="1620" spans="1:4" x14ac:dyDescent="0.25">
      <c r="A1620" s="65">
        <v>42192</v>
      </c>
      <c r="B1620" s="1">
        <v>3294.19</v>
      </c>
      <c r="C1620" s="65">
        <v>42219</v>
      </c>
      <c r="D1620" s="1">
        <v>23714.38</v>
      </c>
    </row>
    <row r="1621" spans="1:4" x14ac:dyDescent="0.25">
      <c r="A1621" s="65">
        <v>42193</v>
      </c>
      <c r="B1621" s="1">
        <v>3327.5</v>
      </c>
      <c r="C1621" s="65">
        <v>42220</v>
      </c>
      <c r="D1621" s="1">
        <v>23473.25</v>
      </c>
    </row>
    <row r="1622" spans="1:4" x14ac:dyDescent="0.25">
      <c r="A1622" s="65">
        <v>42194</v>
      </c>
      <c r="B1622" s="1">
        <v>3420.03</v>
      </c>
      <c r="C1622" s="65">
        <v>42221</v>
      </c>
      <c r="D1622" s="1">
        <v>23911.81</v>
      </c>
    </row>
    <row r="1623" spans="1:4" x14ac:dyDescent="0.25">
      <c r="A1623" s="65">
        <v>42195</v>
      </c>
      <c r="B1623" s="1">
        <v>3528.81</v>
      </c>
      <c r="C1623" s="65">
        <v>42222</v>
      </c>
      <c r="D1623" s="1">
        <v>23811.09</v>
      </c>
    </row>
    <row r="1624" spans="1:4" x14ac:dyDescent="0.25">
      <c r="A1624" s="65">
        <v>42198</v>
      </c>
      <c r="B1624" s="1">
        <v>3590.43</v>
      </c>
      <c r="C1624" s="65">
        <v>42223</v>
      </c>
      <c r="D1624" s="1">
        <v>23705</v>
      </c>
    </row>
    <row r="1625" spans="1:4" x14ac:dyDescent="0.25">
      <c r="A1625" s="65">
        <v>42199</v>
      </c>
      <c r="B1625" s="1">
        <v>3607.19</v>
      </c>
      <c r="C1625" s="65">
        <v>42226</v>
      </c>
      <c r="D1625" s="1">
        <v>23966.44</v>
      </c>
    </row>
    <row r="1626" spans="1:4" x14ac:dyDescent="0.25">
      <c r="A1626" s="65">
        <v>42200</v>
      </c>
      <c r="B1626" s="1">
        <v>3623.87</v>
      </c>
      <c r="C1626" s="65">
        <v>42227</v>
      </c>
      <c r="D1626" s="1">
        <v>23698.49</v>
      </c>
    </row>
    <row r="1627" spans="1:4" x14ac:dyDescent="0.25">
      <c r="A1627" s="65">
        <v>42201</v>
      </c>
      <c r="B1627" s="1">
        <v>3676.41</v>
      </c>
      <c r="C1627" s="65">
        <v>42228</v>
      </c>
      <c r="D1627" s="1">
        <v>22997.55</v>
      </c>
    </row>
    <row r="1628" spans="1:4" x14ac:dyDescent="0.25">
      <c r="A1628" s="65">
        <v>42202</v>
      </c>
      <c r="B1628" s="1">
        <v>3670.34</v>
      </c>
      <c r="C1628" s="65">
        <v>42229</v>
      </c>
      <c r="D1628" s="1">
        <v>23356.01</v>
      </c>
    </row>
    <row r="1629" spans="1:4" x14ac:dyDescent="0.25">
      <c r="A1629" s="65">
        <v>42205</v>
      </c>
      <c r="B1629" s="1">
        <v>3686.58</v>
      </c>
      <c r="C1629" s="65">
        <v>42230</v>
      </c>
      <c r="D1629" s="1">
        <v>23248.52</v>
      </c>
    </row>
    <row r="1630" spans="1:4" x14ac:dyDescent="0.25">
      <c r="A1630" s="65">
        <v>42206</v>
      </c>
      <c r="B1630" s="1">
        <v>3647.96</v>
      </c>
      <c r="C1630" s="65">
        <v>42233</v>
      </c>
      <c r="D1630" s="1">
        <v>23407.99</v>
      </c>
    </row>
    <row r="1631" spans="1:4" x14ac:dyDescent="0.25">
      <c r="A1631" s="65">
        <v>42207</v>
      </c>
      <c r="B1631" s="1">
        <v>3635.58</v>
      </c>
      <c r="C1631" s="65">
        <v>42234</v>
      </c>
      <c r="D1631" s="1">
        <v>23389.72</v>
      </c>
    </row>
    <row r="1632" spans="1:4" x14ac:dyDescent="0.25">
      <c r="A1632" s="65">
        <v>42208</v>
      </c>
      <c r="B1632" s="1">
        <v>3634.64</v>
      </c>
      <c r="C1632" s="65">
        <v>42235</v>
      </c>
      <c r="D1632" s="1">
        <v>22975.32</v>
      </c>
    </row>
    <row r="1633" spans="1:4" x14ac:dyDescent="0.25">
      <c r="A1633" s="65">
        <v>42209</v>
      </c>
      <c r="B1633" s="1">
        <v>3600</v>
      </c>
      <c r="C1633" s="65">
        <v>42236</v>
      </c>
      <c r="D1633" s="1">
        <v>22378.65</v>
      </c>
    </row>
    <row r="1634" spans="1:4" x14ac:dyDescent="0.25">
      <c r="A1634" s="65">
        <v>42212</v>
      </c>
      <c r="B1634" s="1">
        <v>3513.1</v>
      </c>
      <c r="C1634" s="65">
        <v>42237</v>
      </c>
      <c r="D1634" s="1">
        <v>21746.17</v>
      </c>
    </row>
    <row r="1635" spans="1:4" x14ac:dyDescent="0.25">
      <c r="A1635" s="65">
        <v>42213</v>
      </c>
      <c r="B1635" s="1">
        <v>3554.11</v>
      </c>
      <c r="C1635" s="65">
        <v>42240</v>
      </c>
      <c r="D1635" s="1">
        <v>20450.43</v>
      </c>
    </row>
    <row r="1636" spans="1:4" x14ac:dyDescent="0.25">
      <c r="A1636" s="65">
        <v>42214</v>
      </c>
      <c r="B1636" s="1">
        <v>3575.53</v>
      </c>
      <c r="C1636" s="65">
        <v>42241</v>
      </c>
      <c r="D1636" s="1">
        <v>21649.69</v>
      </c>
    </row>
    <row r="1637" spans="1:4" x14ac:dyDescent="0.25">
      <c r="A1637" s="65">
        <v>42215</v>
      </c>
      <c r="B1637" s="1">
        <v>3583.79</v>
      </c>
      <c r="C1637" s="65">
        <v>42242</v>
      </c>
      <c r="D1637" s="1">
        <v>21473.81</v>
      </c>
    </row>
    <row r="1638" spans="1:4" x14ac:dyDescent="0.25">
      <c r="A1638" s="65">
        <v>42216</v>
      </c>
      <c r="B1638" s="1">
        <v>3600.69</v>
      </c>
      <c r="C1638" s="65">
        <v>42243</v>
      </c>
      <c r="D1638" s="1">
        <v>22201.24</v>
      </c>
    </row>
    <row r="1639" spans="1:4" x14ac:dyDescent="0.25">
      <c r="A1639" s="65">
        <v>42219</v>
      </c>
      <c r="B1639" s="1">
        <v>3635.4</v>
      </c>
      <c r="C1639" s="65">
        <v>42244</v>
      </c>
      <c r="D1639" s="1">
        <v>21993.74</v>
      </c>
    </row>
    <row r="1640" spans="1:4" x14ac:dyDescent="0.25">
      <c r="A1640" s="65">
        <v>42220</v>
      </c>
      <c r="B1640" s="1">
        <v>3619.31</v>
      </c>
      <c r="C1640" s="65">
        <v>42247</v>
      </c>
      <c r="D1640" s="1">
        <v>21941.919999999998</v>
      </c>
    </row>
    <row r="1641" spans="1:4" x14ac:dyDescent="0.25">
      <c r="A1641" s="65">
        <v>42221</v>
      </c>
      <c r="B1641" s="1">
        <v>3676.75</v>
      </c>
      <c r="C1641" s="65">
        <v>42248</v>
      </c>
      <c r="D1641" s="1">
        <v>21451.37</v>
      </c>
    </row>
    <row r="1642" spans="1:4" x14ac:dyDescent="0.25">
      <c r="A1642" s="65">
        <v>42222</v>
      </c>
      <c r="B1642" s="1">
        <v>3668.47</v>
      </c>
      <c r="C1642" s="65">
        <v>42249</v>
      </c>
      <c r="D1642" s="1">
        <v>21612</v>
      </c>
    </row>
    <row r="1643" spans="1:4" x14ac:dyDescent="0.25">
      <c r="A1643" s="65">
        <v>42223</v>
      </c>
      <c r="B1643" s="1">
        <v>3637.8</v>
      </c>
      <c r="C1643" s="65">
        <v>42250</v>
      </c>
      <c r="D1643" s="1">
        <v>22177.37</v>
      </c>
    </row>
    <row r="1644" spans="1:4" x14ac:dyDescent="0.25">
      <c r="A1644" s="65">
        <v>42226</v>
      </c>
      <c r="B1644" s="1">
        <v>3674.94</v>
      </c>
      <c r="C1644" s="65">
        <v>42251</v>
      </c>
      <c r="D1644" s="1">
        <v>21472.68</v>
      </c>
    </row>
    <row r="1645" spans="1:4" x14ac:dyDescent="0.25">
      <c r="A1645" s="65">
        <v>42227</v>
      </c>
      <c r="B1645" s="1">
        <v>3605.28</v>
      </c>
      <c r="C1645" s="65">
        <v>42254</v>
      </c>
      <c r="D1645" s="1">
        <v>21622.34</v>
      </c>
    </row>
    <row r="1646" spans="1:4" x14ac:dyDescent="0.25">
      <c r="A1646" s="65">
        <v>42228</v>
      </c>
      <c r="B1646" s="1">
        <v>3484.41</v>
      </c>
      <c r="C1646" s="65">
        <v>42255</v>
      </c>
      <c r="D1646" s="1">
        <v>21941.31</v>
      </c>
    </row>
    <row r="1647" spans="1:4" x14ac:dyDescent="0.25">
      <c r="A1647" s="65">
        <v>42229</v>
      </c>
      <c r="B1647" s="1">
        <v>3516.15</v>
      </c>
      <c r="C1647" s="65">
        <v>42256</v>
      </c>
      <c r="D1647" s="1">
        <v>22126.57</v>
      </c>
    </row>
    <row r="1648" spans="1:4" x14ac:dyDescent="0.25">
      <c r="A1648" s="65">
        <v>42230</v>
      </c>
      <c r="B1648" s="1">
        <v>3491.03</v>
      </c>
      <c r="C1648" s="65">
        <v>42257</v>
      </c>
      <c r="D1648" s="1">
        <v>21901.45</v>
      </c>
    </row>
    <row r="1649" spans="1:4" x14ac:dyDescent="0.25">
      <c r="A1649" s="65">
        <v>42233</v>
      </c>
      <c r="B1649" s="1">
        <v>3497.9</v>
      </c>
      <c r="C1649" s="65">
        <v>42258</v>
      </c>
      <c r="D1649" s="1">
        <v>21762.63</v>
      </c>
    </row>
    <row r="1650" spans="1:4" x14ac:dyDescent="0.25">
      <c r="A1650" s="65">
        <v>42234</v>
      </c>
      <c r="B1650" s="1">
        <v>3495.38</v>
      </c>
      <c r="C1650" s="65">
        <v>42261</v>
      </c>
      <c r="D1650" s="1">
        <v>21553.8</v>
      </c>
    </row>
    <row r="1651" spans="1:4" x14ac:dyDescent="0.25">
      <c r="A1651" s="65">
        <v>42235</v>
      </c>
      <c r="B1651" s="1">
        <v>3429.84</v>
      </c>
      <c r="C1651" s="65">
        <v>42262</v>
      </c>
      <c r="D1651" s="1">
        <v>21903.63</v>
      </c>
    </row>
    <row r="1652" spans="1:4" x14ac:dyDescent="0.25">
      <c r="A1652" s="65">
        <v>42236</v>
      </c>
      <c r="B1652" s="1">
        <v>3353.48</v>
      </c>
      <c r="C1652" s="65">
        <v>42263</v>
      </c>
      <c r="D1652" s="1">
        <v>22059.21</v>
      </c>
    </row>
    <row r="1653" spans="1:4" x14ac:dyDescent="0.25">
      <c r="A1653" s="65">
        <v>42237</v>
      </c>
      <c r="B1653" s="1">
        <v>3247.26</v>
      </c>
      <c r="C1653" s="65">
        <v>42264</v>
      </c>
      <c r="D1653" s="1">
        <v>22099.53</v>
      </c>
    </row>
    <row r="1654" spans="1:4" x14ac:dyDescent="0.25">
      <c r="A1654" s="65">
        <v>42240</v>
      </c>
      <c r="B1654" s="1">
        <v>3073.39</v>
      </c>
      <c r="C1654" s="65">
        <v>42265</v>
      </c>
      <c r="D1654" s="1">
        <v>21514.9</v>
      </c>
    </row>
    <row r="1655" spans="1:4" x14ac:dyDescent="0.25">
      <c r="A1655" s="65">
        <v>42241</v>
      </c>
      <c r="B1655" s="1">
        <v>3218.01</v>
      </c>
      <c r="C1655" s="65">
        <v>42268</v>
      </c>
      <c r="D1655" s="1">
        <v>21755.42</v>
      </c>
    </row>
    <row r="1656" spans="1:4" x14ac:dyDescent="0.25">
      <c r="A1656" s="65">
        <v>42242</v>
      </c>
      <c r="B1656" s="1">
        <v>3170.73</v>
      </c>
      <c r="C1656" s="65">
        <v>42269</v>
      </c>
      <c r="D1656" s="1">
        <v>21031.8</v>
      </c>
    </row>
    <row r="1657" spans="1:4" x14ac:dyDescent="0.25">
      <c r="A1657" s="65">
        <v>42243</v>
      </c>
      <c r="B1657" s="1">
        <v>3280.78</v>
      </c>
      <c r="C1657" s="65">
        <v>42270</v>
      </c>
      <c r="D1657" s="1">
        <v>21068.880000000001</v>
      </c>
    </row>
    <row r="1658" spans="1:4" x14ac:dyDescent="0.25">
      <c r="A1658" s="65">
        <v>42244</v>
      </c>
      <c r="B1658" s="1">
        <v>3286.59</v>
      </c>
      <c r="C1658" s="65">
        <v>42271</v>
      </c>
      <c r="D1658" s="1">
        <v>20581.830000000002</v>
      </c>
    </row>
    <row r="1659" spans="1:4" x14ac:dyDescent="0.25">
      <c r="A1659" s="65">
        <v>42247</v>
      </c>
      <c r="B1659" s="1">
        <v>3269.63</v>
      </c>
      <c r="C1659" s="65">
        <v>42272</v>
      </c>
      <c r="D1659" s="1">
        <v>21339.11</v>
      </c>
    </row>
    <row r="1660" spans="1:4" x14ac:dyDescent="0.25">
      <c r="A1660" s="65">
        <v>42248</v>
      </c>
      <c r="B1660" s="1">
        <v>3188.73</v>
      </c>
      <c r="C1660" s="65">
        <v>42275</v>
      </c>
      <c r="D1660" s="1">
        <v>20759.490000000002</v>
      </c>
    </row>
    <row r="1661" spans="1:4" x14ac:dyDescent="0.25">
      <c r="A1661" s="65">
        <v>42249</v>
      </c>
      <c r="B1661" s="1">
        <v>3198.86</v>
      </c>
      <c r="C1661" s="65">
        <v>42276</v>
      </c>
      <c r="D1661" s="1">
        <v>20726.75</v>
      </c>
    </row>
    <row r="1662" spans="1:4" x14ac:dyDescent="0.25">
      <c r="A1662" s="65">
        <v>42250</v>
      </c>
      <c r="B1662" s="1">
        <v>3270.09</v>
      </c>
      <c r="C1662" s="65">
        <v>42277</v>
      </c>
      <c r="D1662" s="1">
        <v>21294.98</v>
      </c>
    </row>
    <row r="1663" spans="1:4" x14ac:dyDescent="0.25">
      <c r="A1663" s="65">
        <v>42251</v>
      </c>
      <c r="B1663" s="1">
        <v>3180.25</v>
      </c>
      <c r="C1663" s="65">
        <v>42278</v>
      </c>
      <c r="D1663" s="1">
        <v>21142.86</v>
      </c>
    </row>
    <row r="1664" spans="1:4" x14ac:dyDescent="0.25">
      <c r="A1664" s="65">
        <v>42254</v>
      </c>
      <c r="B1664" s="1">
        <v>3197.97</v>
      </c>
      <c r="C1664" s="65">
        <v>42279</v>
      </c>
      <c r="D1664" s="1">
        <v>21395.29</v>
      </c>
    </row>
    <row r="1665" spans="1:4" x14ac:dyDescent="0.25">
      <c r="A1665" s="65">
        <v>42255</v>
      </c>
      <c r="B1665" s="1">
        <v>3233.84</v>
      </c>
      <c r="C1665" s="65">
        <v>42282</v>
      </c>
      <c r="D1665" s="1">
        <v>21980.080000000002</v>
      </c>
    </row>
    <row r="1666" spans="1:4" x14ac:dyDescent="0.25">
      <c r="A1666" s="65">
        <v>42256</v>
      </c>
      <c r="B1666" s="1">
        <v>3269.98</v>
      </c>
      <c r="C1666" s="65">
        <v>42283</v>
      </c>
      <c r="D1666" s="1">
        <v>22182.65</v>
      </c>
    </row>
    <row r="1667" spans="1:4" x14ac:dyDescent="0.25">
      <c r="A1667" s="65">
        <v>42257</v>
      </c>
      <c r="B1667" s="1">
        <v>3221.14</v>
      </c>
      <c r="C1667" s="65">
        <v>42284</v>
      </c>
      <c r="D1667" s="1">
        <v>22007.34</v>
      </c>
    </row>
    <row r="1668" spans="1:4" x14ac:dyDescent="0.25">
      <c r="A1668" s="65">
        <v>42258</v>
      </c>
      <c r="B1668" s="1">
        <v>3187.94</v>
      </c>
      <c r="C1668" s="65">
        <v>42285</v>
      </c>
      <c r="D1668" s="1">
        <v>22156.74</v>
      </c>
    </row>
    <row r="1669" spans="1:4" x14ac:dyDescent="0.25">
      <c r="A1669" s="65">
        <v>42261</v>
      </c>
      <c r="B1669" s="1">
        <v>3175.62</v>
      </c>
      <c r="C1669" s="65">
        <v>42286</v>
      </c>
      <c r="D1669" s="1">
        <v>22257.89</v>
      </c>
    </row>
    <row r="1670" spans="1:4" x14ac:dyDescent="0.25">
      <c r="A1670" s="65">
        <v>42262</v>
      </c>
      <c r="B1670" s="1">
        <v>3207.6</v>
      </c>
      <c r="C1670" s="65">
        <v>42289</v>
      </c>
      <c r="D1670" s="1">
        <v>22091.27</v>
      </c>
    </row>
    <row r="1671" spans="1:4" x14ac:dyDescent="0.25">
      <c r="A1671" s="65">
        <v>42263</v>
      </c>
      <c r="B1671" s="1">
        <v>3251.79</v>
      </c>
      <c r="C1671" s="65">
        <v>42290</v>
      </c>
      <c r="D1671" s="1">
        <v>22048.49</v>
      </c>
    </row>
    <row r="1672" spans="1:4" x14ac:dyDescent="0.25">
      <c r="A1672" s="65">
        <v>42264</v>
      </c>
      <c r="B1672" s="1">
        <v>3255.79</v>
      </c>
      <c r="C1672" s="65">
        <v>42291</v>
      </c>
      <c r="D1672" s="1">
        <v>21838.2</v>
      </c>
    </row>
    <row r="1673" spans="1:4" x14ac:dyDescent="0.25">
      <c r="A1673" s="65">
        <v>42265</v>
      </c>
      <c r="B1673" s="1">
        <v>3157.3</v>
      </c>
      <c r="C1673" s="65">
        <v>42292</v>
      </c>
      <c r="D1673" s="1">
        <v>22217.69</v>
      </c>
    </row>
    <row r="1674" spans="1:4" x14ac:dyDescent="0.25">
      <c r="A1674" s="65">
        <v>42268</v>
      </c>
      <c r="B1674" s="1">
        <v>3184.72</v>
      </c>
      <c r="C1674" s="65">
        <v>42293</v>
      </c>
      <c r="D1674" s="1">
        <v>22337.66</v>
      </c>
    </row>
    <row r="1675" spans="1:4" x14ac:dyDescent="0.25">
      <c r="A1675" s="65">
        <v>42269</v>
      </c>
      <c r="B1675" s="1">
        <v>3076.05</v>
      </c>
      <c r="C1675" s="65">
        <v>42296</v>
      </c>
      <c r="D1675" s="1">
        <v>22419.68</v>
      </c>
    </row>
    <row r="1676" spans="1:4" x14ac:dyDescent="0.25">
      <c r="A1676" s="65">
        <v>42270</v>
      </c>
      <c r="B1676" s="1">
        <v>3079.99</v>
      </c>
      <c r="C1676" s="65">
        <v>42297</v>
      </c>
      <c r="D1676" s="1">
        <v>22270.11</v>
      </c>
    </row>
    <row r="1677" spans="1:4" x14ac:dyDescent="0.25">
      <c r="A1677" s="65">
        <v>42271</v>
      </c>
      <c r="B1677" s="1">
        <v>3019.34</v>
      </c>
      <c r="C1677" s="65">
        <v>42298</v>
      </c>
      <c r="D1677" s="1">
        <v>22172.639999999999</v>
      </c>
    </row>
    <row r="1678" spans="1:4" x14ac:dyDescent="0.25">
      <c r="A1678" s="65">
        <v>42272</v>
      </c>
      <c r="B1678" s="1">
        <v>3113.16</v>
      </c>
      <c r="C1678" s="65">
        <v>42299</v>
      </c>
      <c r="D1678" s="1">
        <v>22616.9</v>
      </c>
    </row>
    <row r="1679" spans="1:4" x14ac:dyDescent="0.25">
      <c r="A1679" s="65">
        <v>42275</v>
      </c>
      <c r="B1679" s="1">
        <v>3039.44</v>
      </c>
      <c r="C1679" s="65">
        <v>42300</v>
      </c>
      <c r="D1679" s="1">
        <v>22736.86</v>
      </c>
    </row>
    <row r="1680" spans="1:4" x14ac:dyDescent="0.25">
      <c r="A1680" s="65">
        <v>42276</v>
      </c>
      <c r="B1680" s="1">
        <v>3029.86</v>
      </c>
      <c r="C1680" s="65">
        <v>42303</v>
      </c>
      <c r="D1680" s="1">
        <v>22629.64</v>
      </c>
    </row>
    <row r="1681" spans="1:4" x14ac:dyDescent="0.25">
      <c r="A1681" s="65">
        <v>42277</v>
      </c>
      <c r="B1681" s="1">
        <v>3100.67</v>
      </c>
      <c r="C1681" s="65">
        <v>42304</v>
      </c>
      <c r="D1681" s="1">
        <v>22369.919999999998</v>
      </c>
    </row>
    <row r="1682" spans="1:4" x14ac:dyDescent="0.25">
      <c r="A1682" s="65">
        <v>42278</v>
      </c>
      <c r="B1682" s="1">
        <v>3069.05</v>
      </c>
      <c r="C1682" s="65">
        <v>42305</v>
      </c>
      <c r="D1682" s="1">
        <v>22686.240000000002</v>
      </c>
    </row>
    <row r="1683" spans="1:4" x14ac:dyDescent="0.25">
      <c r="A1683" s="65">
        <v>42279</v>
      </c>
      <c r="B1683" s="1">
        <v>3088.18</v>
      </c>
      <c r="C1683" s="65">
        <v>42306</v>
      </c>
      <c r="D1683" s="1">
        <v>22442.69</v>
      </c>
    </row>
    <row r="1684" spans="1:4" x14ac:dyDescent="0.25">
      <c r="A1684" s="65">
        <v>42282</v>
      </c>
      <c r="B1684" s="1">
        <v>3190.39</v>
      </c>
      <c r="C1684" s="65">
        <v>42307</v>
      </c>
      <c r="D1684" s="1">
        <v>22442.51</v>
      </c>
    </row>
    <row r="1685" spans="1:4" x14ac:dyDescent="0.25">
      <c r="A1685" s="65">
        <v>42283</v>
      </c>
      <c r="B1685" s="1">
        <v>3220.09</v>
      </c>
      <c r="C1685" s="65">
        <v>42310</v>
      </c>
      <c r="D1685" s="1">
        <v>22482.39</v>
      </c>
    </row>
    <row r="1686" spans="1:4" x14ac:dyDescent="0.25">
      <c r="A1686" s="65">
        <v>42284</v>
      </c>
      <c r="B1686" s="1">
        <v>3226.4</v>
      </c>
      <c r="C1686" s="65">
        <v>42311</v>
      </c>
      <c r="D1686" s="1">
        <v>22459.45</v>
      </c>
    </row>
    <row r="1687" spans="1:4" x14ac:dyDescent="0.25">
      <c r="A1687" s="65">
        <v>42285</v>
      </c>
      <c r="B1687" s="1">
        <v>3224.96</v>
      </c>
      <c r="C1687" s="65">
        <v>42312</v>
      </c>
      <c r="D1687" s="1">
        <v>22312.63</v>
      </c>
    </row>
    <row r="1688" spans="1:4" x14ac:dyDescent="0.25">
      <c r="A1688" s="65">
        <v>42286</v>
      </c>
      <c r="B1688" s="1">
        <v>3250.31</v>
      </c>
      <c r="C1688" s="65">
        <v>42313</v>
      </c>
      <c r="D1688" s="1">
        <v>22223.7</v>
      </c>
    </row>
    <row r="1689" spans="1:4" x14ac:dyDescent="0.25">
      <c r="A1689" s="65">
        <v>42289</v>
      </c>
      <c r="B1689" s="1">
        <v>3247.33</v>
      </c>
      <c r="C1689" s="65">
        <v>42314</v>
      </c>
      <c r="D1689" s="1">
        <v>22529.94</v>
      </c>
    </row>
    <row r="1690" spans="1:4" x14ac:dyDescent="0.25">
      <c r="A1690" s="65">
        <v>42290</v>
      </c>
      <c r="B1690" s="1">
        <v>3221.28</v>
      </c>
      <c r="C1690" s="65">
        <v>42317</v>
      </c>
      <c r="D1690" s="1">
        <v>22107.3</v>
      </c>
    </row>
    <row r="1691" spans="1:4" x14ac:dyDescent="0.25">
      <c r="A1691" s="65">
        <v>42291</v>
      </c>
      <c r="B1691" s="1">
        <v>3191.57</v>
      </c>
      <c r="C1691" s="65">
        <v>42318</v>
      </c>
      <c r="D1691" s="1">
        <v>22444</v>
      </c>
    </row>
    <row r="1692" spans="1:4" x14ac:dyDescent="0.25">
      <c r="A1692" s="65">
        <v>42292</v>
      </c>
      <c r="B1692" s="1">
        <v>3238.81</v>
      </c>
      <c r="C1692" s="65">
        <v>42319</v>
      </c>
      <c r="D1692" s="1">
        <v>22385.11</v>
      </c>
    </row>
    <row r="1693" spans="1:4" x14ac:dyDescent="0.25">
      <c r="A1693" s="65">
        <v>42293</v>
      </c>
      <c r="B1693" s="1">
        <v>3264.93</v>
      </c>
      <c r="C1693" s="65">
        <v>42320</v>
      </c>
      <c r="D1693" s="1">
        <v>21859.29</v>
      </c>
    </row>
    <row r="1694" spans="1:4" x14ac:dyDescent="0.25">
      <c r="A1694" s="65">
        <v>42296</v>
      </c>
      <c r="B1694" s="1">
        <v>3272.04</v>
      </c>
      <c r="C1694" s="65">
        <v>42321</v>
      </c>
      <c r="D1694" s="1">
        <v>21842.560000000001</v>
      </c>
    </row>
    <row r="1695" spans="1:4" x14ac:dyDescent="0.25">
      <c r="A1695" s="65">
        <v>42297</v>
      </c>
      <c r="B1695" s="1">
        <v>3255.72</v>
      </c>
      <c r="C1695" s="65">
        <v>42324</v>
      </c>
      <c r="D1695" s="1">
        <v>21811.360000000001</v>
      </c>
    </row>
    <row r="1696" spans="1:4" x14ac:dyDescent="0.25">
      <c r="A1696" s="65">
        <v>42298</v>
      </c>
      <c r="B1696" s="1">
        <v>3272.23</v>
      </c>
      <c r="C1696" s="65">
        <v>42325</v>
      </c>
      <c r="D1696" s="1">
        <v>22309.39</v>
      </c>
    </row>
    <row r="1697" spans="1:4" x14ac:dyDescent="0.25">
      <c r="A1697" s="65">
        <v>42299</v>
      </c>
      <c r="B1697" s="1">
        <v>3353.11</v>
      </c>
      <c r="C1697" s="65">
        <v>42326</v>
      </c>
      <c r="D1697" s="1">
        <v>22091.56</v>
      </c>
    </row>
    <row r="1698" spans="1:4" x14ac:dyDescent="0.25">
      <c r="A1698" s="65">
        <v>42300</v>
      </c>
      <c r="B1698" s="1">
        <v>3425.81</v>
      </c>
      <c r="C1698" s="65">
        <v>42327</v>
      </c>
      <c r="D1698" s="1">
        <v>22191.99</v>
      </c>
    </row>
    <row r="1699" spans="1:4" x14ac:dyDescent="0.25">
      <c r="A1699" s="65">
        <v>42303</v>
      </c>
      <c r="B1699" s="1">
        <v>3414.6</v>
      </c>
      <c r="C1699" s="65">
        <v>42328</v>
      </c>
      <c r="D1699" s="1">
        <v>22140.14</v>
      </c>
    </row>
    <row r="1700" spans="1:4" x14ac:dyDescent="0.25">
      <c r="A1700" s="65">
        <v>42304</v>
      </c>
      <c r="B1700" s="1">
        <v>3381.01</v>
      </c>
      <c r="C1700" s="65">
        <v>42331</v>
      </c>
      <c r="D1700" s="1">
        <v>22294.69</v>
      </c>
    </row>
    <row r="1701" spans="1:4" x14ac:dyDescent="0.25">
      <c r="A1701" s="65">
        <v>42305</v>
      </c>
      <c r="B1701" s="1">
        <v>3421.09</v>
      </c>
      <c r="C1701" s="65">
        <v>42332</v>
      </c>
      <c r="D1701" s="1">
        <v>21948.14</v>
      </c>
    </row>
    <row r="1702" spans="1:4" x14ac:dyDescent="0.25">
      <c r="A1702" s="65">
        <v>42306</v>
      </c>
      <c r="B1702" s="1">
        <v>3413.39</v>
      </c>
      <c r="C1702" s="65">
        <v>42333</v>
      </c>
      <c r="D1702" s="1">
        <v>22359.23</v>
      </c>
    </row>
    <row r="1703" spans="1:4" x14ac:dyDescent="0.25">
      <c r="A1703" s="65">
        <v>42307</v>
      </c>
      <c r="B1703" s="1">
        <v>3418.23</v>
      </c>
      <c r="C1703" s="65">
        <v>42334</v>
      </c>
      <c r="D1703" s="1">
        <v>22591.53</v>
      </c>
    </row>
    <row r="1704" spans="1:4" x14ac:dyDescent="0.25">
      <c r="A1704" s="65">
        <v>42310</v>
      </c>
      <c r="B1704" s="1">
        <v>3434.5</v>
      </c>
      <c r="C1704" s="65">
        <v>42335</v>
      </c>
      <c r="D1704" s="1">
        <v>22575.18</v>
      </c>
    </row>
    <row r="1705" spans="1:4" x14ac:dyDescent="0.25">
      <c r="A1705" s="65">
        <v>42311</v>
      </c>
      <c r="B1705" s="1">
        <v>3442.68</v>
      </c>
      <c r="C1705" s="65">
        <v>42338</v>
      </c>
      <c r="D1705" s="1">
        <v>22717.98</v>
      </c>
    </row>
    <row r="1706" spans="1:4" x14ac:dyDescent="0.25">
      <c r="A1706" s="65">
        <v>42312</v>
      </c>
      <c r="B1706" s="1">
        <v>3439.16</v>
      </c>
      <c r="C1706" s="65">
        <v>42339</v>
      </c>
      <c r="D1706" s="1">
        <v>22581.33</v>
      </c>
    </row>
    <row r="1707" spans="1:4" x14ac:dyDescent="0.25">
      <c r="A1707" s="65">
        <v>42313</v>
      </c>
      <c r="B1707" s="1">
        <v>3447.49</v>
      </c>
      <c r="C1707" s="65">
        <v>42340</v>
      </c>
      <c r="D1707" s="1">
        <v>22551.91</v>
      </c>
    </row>
    <row r="1708" spans="1:4" x14ac:dyDescent="0.25">
      <c r="A1708" s="65">
        <v>42314</v>
      </c>
      <c r="B1708" s="1">
        <v>3468.21</v>
      </c>
      <c r="C1708" s="65">
        <v>42341</v>
      </c>
      <c r="D1708" s="1">
        <v>21995.71</v>
      </c>
    </row>
    <row r="1709" spans="1:4" x14ac:dyDescent="0.25">
      <c r="A1709" s="65">
        <v>42317</v>
      </c>
      <c r="B1709" s="1">
        <v>3418.36</v>
      </c>
      <c r="C1709" s="65">
        <v>42342</v>
      </c>
      <c r="D1709" s="1">
        <v>22021.360000000001</v>
      </c>
    </row>
    <row r="1710" spans="1:4" x14ac:dyDescent="0.25">
      <c r="A1710" s="65">
        <v>42318</v>
      </c>
      <c r="B1710" s="1">
        <v>3425.4</v>
      </c>
      <c r="C1710" s="65">
        <v>42345</v>
      </c>
      <c r="D1710" s="1">
        <v>22037.17</v>
      </c>
    </row>
    <row r="1711" spans="1:4" x14ac:dyDescent="0.25">
      <c r="A1711" s="65">
        <v>42319</v>
      </c>
      <c r="B1711" s="1">
        <v>3448.42</v>
      </c>
      <c r="C1711" s="65">
        <v>42346</v>
      </c>
      <c r="D1711" s="1">
        <v>21538.04</v>
      </c>
    </row>
    <row r="1712" spans="1:4" x14ac:dyDescent="0.25">
      <c r="A1712" s="65">
        <v>42320</v>
      </c>
      <c r="B1712" s="1">
        <v>3387.7</v>
      </c>
      <c r="C1712" s="65">
        <v>42347</v>
      </c>
      <c r="D1712" s="1">
        <v>21500.880000000001</v>
      </c>
    </row>
    <row r="1713" spans="1:4" x14ac:dyDescent="0.25">
      <c r="A1713" s="65">
        <v>42321</v>
      </c>
      <c r="B1713" s="1">
        <v>3360.65</v>
      </c>
      <c r="C1713" s="65">
        <v>42348</v>
      </c>
      <c r="D1713" s="1">
        <v>21409.63</v>
      </c>
    </row>
    <row r="1714" spans="1:4" x14ac:dyDescent="0.25">
      <c r="A1714" s="65">
        <v>42324</v>
      </c>
      <c r="B1714" s="1">
        <v>3362.23</v>
      </c>
      <c r="C1714" s="65">
        <v>42349</v>
      </c>
      <c r="D1714" s="1">
        <v>21015.29</v>
      </c>
    </row>
    <row r="1715" spans="1:4" x14ac:dyDescent="0.25">
      <c r="A1715" s="65">
        <v>42325</v>
      </c>
      <c r="B1715" s="1">
        <v>3451.94</v>
      </c>
      <c r="C1715" s="65">
        <v>42352</v>
      </c>
      <c r="D1715" s="1">
        <v>20506.560000000001</v>
      </c>
    </row>
    <row r="1716" spans="1:4" x14ac:dyDescent="0.25">
      <c r="A1716" s="65">
        <v>42326</v>
      </c>
      <c r="B1716" s="1">
        <v>3431.92</v>
      </c>
      <c r="C1716" s="65">
        <v>42353</v>
      </c>
      <c r="D1716" s="1">
        <v>21272.68</v>
      </c>
    </row>
    <row r="1717" spans="1:4" x14ac:dyDescent="0.25">
      <c r="A1717" s="65">
        <v>42327</v>
      </c>
      <c r="B1717" s="1">
        <v>3448.93</v>
      </c>
      <c r="C1717" s="65">
        <v>42354</v>
      </c>
      <c r="D1717" s="1">
        <v>21210.23</v>
      </c>
    </row>
    <row r="1718" spans="1:4" x14ac:dyDescent="0.25">
      <c r="A1718" s="65">
        <v>42328</v>
      </c>
      <c r="B1718" s="1">
        <v>3452.45</v>
      </c>
      <c r="C1718" s="65">
        <v>42355</v>
      </c>
      <c r="D1718" s="1">
        <v>21523.1</v>
      </c>
    </row>
    <row r="1719" spans="1:4" x14ac:dyDescent="0.25">
      <c r="A1719" s="65">
        <v>42331</v>
      </c>
      <c r="B1719" s="1">
        <v>3445.26</v>
      </c>
      <c r="C1719" s="65">
        <v>42356</v>
      </c>
      <c r="D1719" s="1">
        <v>21241.93</v>
      </c>
    </row>
    <row r="1720" spans="1:4" x14ac:dyDescent="0.25">
      <c r="A1720" s="65">
        <v>42332</v>
      </c>
      <c r="B1720" s="1">
        <v>3409.6</v>
      </c>
      <c r="C1720" s="65">
        <v>42359</v>
      </c>
      <c r="D1720" s="1">
        <v>21099.32</v>
      </c>
    </row>
    <row r="1721" spans="1:4" x14ac:dyDescent="0.25">
      <c r="A1721" s="65">
        <v>42333</v>
      </c>
      <c r="B1721" s="1">
        <v>3462.06</v>
      </c>
      <c r="C1721" s="65">
        <v>42360</v>
      </c>
      <c r="D1721" s="1">
        <v>21060.13</v>
      </c>
    </row>
    <row r="1722" spans="1:4" x14ac:dyDescent="0.25">
      <c r="A1722" s="65">
        <v>42334</v>
      </c>
      <c r="B1722" s="1">
        <v>3498.62</v>
      </c>
      <c r="C1722" s="65">
        <v>42361</v>
      </c>
      <c r="D1722" s="1">
        <v>21456.36</v>
      </c>
    </row>
    <row r="1723" spans="1:4" x14ac:dyDescent="0.25">
      <c r="A1723" s="65">
        <v>42335</v>
      </c>
      <c r="B1723" s="1">
        <v>3488.99</v>
      </c>
      <c r="C1723" s="65">
        <v>42366</v>
      </c>
      <c r="D1723" s="1">
        <v>21369.15</v>
      </c>
    </row>
    <row r="1724" spans="1:4" x14ac:dyDescent="0.25">
      <c r="A1724" s="65">
        <v>42338</v>
      </c>
      <c r="B1724" s="1">
        <v>3506.45</v>
      </c>
      <c r="C1724" s="65">
        <v>42367</v>
      </c>
      <c r="D1724" s="1">
        <v>21661.33</v>
      </c>
    </row>
    <row r="1725" spans="1:4" x14ac:dyDescent="0.25">
      <c r="A1725" s="65">
        <v>42339</v>
      </c>
      <c r="B1725" s="1">
        <v>3479.64</v>
      </c>
      <c r="C1725" s="65">
        <v>42368</v>
      </c>
      <c r="D1725" s="1">
        <v>21418.37</v>
      </c>
    </row>
    <row r="1726" spans="1:4" x14ac:dyDescent="0.25">
      <c r="A1726" s="65">
        <v>42340</v>
      </c>
      <c r="B1726" s="1">
        <v>3468.66</v>
      </c>
      <c r="C1726" s="65">
        <v>42373</v>
      </c>
      <c r="D1726" s="1">
        <v>20733.810000000001</v>
      </c>
    </row>
    <row r="1727" spans="1:4" x14ac:dyDescent="0.25">
      <c r="A1727" s="65">
        <v>42341</v>
      </c>
      <c r="B1727" s="1">
        <v>3343.34</v>
      </c>
      <c r="C1727" s="65">
        <v>42374</v>
      </c>
      <c r="D1727" s="1">
        <v>20983.24</v>
      </c>
    </row>
    <row r="1728" spans="1:4" x14ac:dyDescent="0.25">
      <c r="A1728" s="65">
        <v>42342</v>
      </c>
      <c r="B1728" s="1">
        <v>3330.75</v>
      </c>
      <c r="C1728" s="65">
        <v>42375</v>
      </c>
      <c r="D1728" s="1">
        <v>20422.39</v>
      </c>
    </row>
    <row r="1729" spans="1:4" x14ac:dyDescent="0.25">
      <c r="A1729" s="65">
        <v>42345</v>
      </c>
      <c r="B1729" s="1">
        <v>3360.21</v>
      </c>
      <c r="C1729" s="65">
        <v>42376</v>
      </c>
      <c r="D1729" s="1">
        <v>20189.48</v>
      </c>
    </row>
    <row r="1730" spans="1:4" x14ac:dyDescent="0.25">
      <c r="A1730" s="65">
        <v>42346</v>
      </c>
      <c r="B1730" s="1">
        <v>3297.46</v>
      </c>
      <c r="C1730" s="65">
        <v>42377</v>
      </c>
      <c r="D1730" s="1">
        <v>19869.490000000002</v>
      </c>
    </row>
    <row r="1731" spans="1:4" x14ac:dyDescent="0.25">
      <c r="A1731" s="65">
        <v>42347</v>
      </c>
      <c r="B1731" s="1">
        <v>3277.21</v>
      </c>
      <c r="C1731" s="65">
        <v>42380</v>
      </c>
      <c r="D1731" s="1">
        <v>19756.14</v>
      </c>
    </row>
    <row r="1732" spans="1:4" x14ac:dyDescent="0.25">
      <c r="A1732" s="65">
        <v>42348</v>
      </c>
      <c r="B1732" s="1">
        <v>3269.97</v>
      </c>
      <c r="C1732" s="65">
        <v>42381</v>
      </c>
      <c r="D1732" s="1">
        <v>19970.099999999999</v>
      </c>
    </row>
    <row r="1733" spans="1:4" x14ac:dyDescent="0.25">
      <c r="A1733" s="65">
        <v>42349</v>
      </c>
      <c r="B1733" s="1">
        <v>3203.21</v>
      </c>
      <c r="C1733" s="65">
        <v>42382</v>
      </c>
      <c r="D1733" s="1">
        <v>20139.87</v>
      </c>
    </row>
    <row r="1734" spans="1:4" x14ac:dyDescent="0.25">
      <c r="A1734" s="65">
        <v>42352</v>
      </c>
      <c r="B1734" s="1">
        <v>3139.24</v>
      </c>
      <c r="C1734" s="65">
        <v>42383</v>
      </c>
      <c r="D1734" s="1">
        <v>19803.41</v>
      </c>
    </row>
    <row r="1735" spans="1:4" x14ac:dyDescent="0.25">
      <c r="A1735" s="65">
        <v>42353</v>
      </c>
      <c r="B1735" s="1">
        <v>3241.51</v>
      </c>
      <c r="C1735" s="65">
        <v>42384</v>
      </c>
      <c r="D1735" s="1">
        <v>19195.939999999999</v>
      </c>
    </row>
    <row r="1736" spans="1:4" x14ac:dyDescent="0.25">
      <c r="A1736" s="65">
        <v>42354</v>
      </c>
      <c r="B1736" s="1">
        <v>3246.78</v>
      </c>
      <c r="C1736" s="65">
        <v>42387</v>
      </c>
      <c r="D1736" s="1">
        <v>18686.86</v>
      </c>
    </row>
    <row r="1737" spans="1:4" x14ac:dyDescent="0.25">
      <c r="A1737" s="65">
        <v>42355</v>
      </c>
      <c r="B1737" s="1">
        <v>3306.47</v>
      </c>
      <c r="C1737" s="65">
        <v>42388</v>
      </c>
      <c r="D1737" s="1">
        <v>18880.52</v>
      </c>
    </row>
    <row r="1738" spans="1:4" x14ac:dyDescent="0.25">
      <c r="A1738" s="65">
        <v>42356</v>
      </c>
      <c r="B1738" s="1">
        <v>3260.72</v>
      </c>
      <c r="C1738" s="65">
        <v>42389</v>
      </c>
      <c r="D1738" s="1">
        <v>17967.91</v>
      </c>
    </row>
    <row r="1739" spans="1:4" x14ac:dyDescent="0.25">
      <c r="A1739" s="65">
        <v>42359</v>
      </c>
      <c r="B1739" s="1">
        <v>3213.01</v>
      </c>
      <c r="C1739" s="65">
        <v>42390</v>
      </c>
      <c r="D1739" s="1">
        <v>18723.22</v>
      </c>
    </row>
    <row r="1740" spans="1:4" x14ac:dyDescent="0.25">
      <c r="A1740" s="65">
        <v>42360</v>
      </c>
      <c r="B1740" s="1">
        <v>3214.32</v>
      </c>
      <c r="C1740" s="65">
        <v>42391</v>
      </c>
      <c r="D1740" s="1">
        <v>19028.419999999998</v>
      </c>
    </row>
    <row r="1741" spans="1:4" x14ac:dyDescent="0.25">
      <c r="A1741" s="65">
        <v>42361</v>
      </c>
      <c r="B1741" s="1">
        <v>3286.68</v>
      </c>
      <c r="C1741" s="65">
        <v>42394</v>
      </c>
      <c r="D1741" s="1">
        <v>18641.47</v>
      </c>
    </row>
    <row r="1742" spans="1:4" x14ac:dyDescent="0.25">
      <c r="A1742" s="65">
        <v>42362</v>
      </c>
      <c r="B1742" s="1">
        <v>3284.47</v>
      </c>
      <c r="C1742" s="65">
        <v>42395</v>
      </c>
      <c r="D1742" s="1">
        <v>18923.830000000002</v>
      </c>
    </row>
    <row r="1743" spans="1:4" x14ac:dyDescent="0.25">
      <c r="A1743" s="65">
        <v>42366</v>
      </c>
      <c r="B1743" s="1">
        <v>3256.49</v>
      </c>
      <c r="C1743" s="65">
        <v>42396</v>
      </c>
      <c r="D1743" s="1">
        <v>18848.03</v>
      </c>
    </row>
    <row r="1744" spans="1:4" x14ac:dyDescent="0.25">
      <c r="A1744" s="65">
        <v>42367</v>
      </c>
      <c r="B1744" s="1">
        <v>3314.28</v>
      </c>
      <c r="C1744" s="65">
        <v>42397</v>
      </c>
      <c r="D1744" s="1">
        <v>18189.95</v>
      </c>
    </row>
    <row r="1745" spans="1:4" x14ac:dyDescent="0.25">
      <c r="A1745" s="65">
        <v>42368</v>
      </c>
      <c r="B1745" s="1">
        <v>3287.98</v>
      </c>
      <c r="C1745" s="65">
        <v>42398</v>
      </c>
      <c r="D1745" s="1">
        <v>18657.29</v>
      </c>
    </row>
    <row r="1746" spans="1:4" x14ac:dyDescent="0.25">
      <c r="A1746" s="65">
        <v>42369</v>
      </c>
      <c r="B1746" s="1">
        <v>3267.52</v>
      </c>
      <c r="C1746" s="65">
        <v>42401</v>
      </c>
      <c r="D1746" s="1">
        <v>18485.95</v>
      </c>
    </row>
    <row r="1747" spans="1:4" x14ac:dyDescent="0.25">
      <c r="A1747" s="65">
        <v>42373</v>
      </c>
      <c r="B1747" s="1">
        <v>3164.76</v>
      </c>
      <c r="C1747" s="65">
        <v>42402</v>
      </c>
      <c r="D1747" s="1">
        <v>17922.45</v>
      </c>
    </row>
    <row r="1748" spans="1:4" x14ac:dyDescent="0.25">
      <c r="A1748" s="65">
        <v>42374</v>
      </c>
      <c r="B1748" s="1">
        <v>3178.01</v>
      </c>
      <c r="C1748" s="65">
        <v>42403</v>
      </c>
      <c r="D1748" s="1">
        <v>17412.04</v>
      </c>
    </row>
    <row r="1749" spans="1:4" x14ac:dyDescent="0.25">
      <c r="A1749" s="65">
        <v>42375</v>
      </c>
      <c r="B1749" s="1">
        <v>3139.32</v>
      </c>
      <c r="C1749" s="65">
        <v>42404</v>
      </c>
      <c r="D1749" s="1">
        <v>17626.04</v>
      </c>
    </row>
    <row r="1750" spans="1:4" x14ac:dyDescent="0.25">
      <c r="A1750" s="65">
        <v>42376</v>
      </c>
      <c r="B1750" s="1">
        <v>3084.68</v>
      </c>
      <c r="C1750" s="65">
        <v>42405</v>
      </c>
      <c r="D1750" s="1">
        <v>17250.259999999998</v>
      </c>
    </row>
    <row r="1751" spans="1:4" x14ac:dyDescent="0.25">
      <c r="A1751" s="65">
        <v>42377</v>
      </c>
      <c r="B1751" s="1">
        <v>3033.47</v>
      </c>
      <c r="C1751" s="65">
        <v>42408</v>
      </c>
      <c r="D1751" s="1">
        <v>16441.2</v>
      </c>
    </row>
    <row r="1752" spans="1:4" x14ac:dyDescent="0.25">
      <c r="A1752" s="65">
        <v>42380</v>
      </c>
      <c r="B1752" s="1">
        <v>3027.49</v>
      </c>
      <c r="C1752" s="65">
        <v>42409</v>
      </c>
      <c r="D1752" s="1">
        <v>15913.12</v>
      </c>
    </row>
    <row r="1753" spans="1:4" x14ac:dyDescent="0.25">
      <c r="A1753" s="65">
        <v>42381</v>
      </c>
      <c r="B1753" s="1">
        <v>3064.66</v>
      </c>
      <c r="C1753" s="65">
        <v>42410</v>
      </c>
      <c r="D1753" s="1">
        <v>16714.14</v>
      </c>
    </row>
    <row r="1754" spans="1:4" x14ac:dyDescent="0.25">
      <c r="A1754" s="65">
        <v>42382</v>
      </c>
      <c r="B1754" s="1">
        <v>3073.02</v>
      </c>
      <c r="C1754" s="65">
        <v>42411</v>
      </c>
      <c r="D1754" s="1">
        <v>15773</v>
      </c>
    </row>
    <row r="1755" spans="1:4" x14ac:dyDescent="0.25">
      <c r="A1755" s="65">
        <v>42383</v>
      </c>
      <c r="B1755" s="1">
        <v>3024</v>
      </c>
      <c r="C1755" s="65">
        <v>42412</v>
      </c>
      <c r="D1755" s="1">
        <v>16514.87</v>
      </c>
    </row>
    <row r="1756" spans="1:4" x14ac:dyDescent="0.25">
      <c r="A1756" s="65">
        <v>42384</v>
      </c>
      <c r="B1756" s="1">
        <v>2952.48</v>
      </c>
      <c r="C1756" s="65">
        <v>42415</v>
      </c>
      <c r="D1756" s="1">
        <v>17041.82</v>
      </c>
    </row>
    <row r="1757" spans="1:4" x14ac:dyDescent="0.25">
      <c r="A1757" s="65">
        <v>42387</v>
      </c>
      <c r="B1757" s="1">
        <v>2935.39</v>
      </c>
      <c r="C1757" s="65">
        <v>42416</v>
      </c>
      <c r="D1757" s="1">
        <v>16957.84</v>
      </c>
    </row>
    <row r="1758" spans="1:4" x14ac:dyDescent="0.25">
      <c r="A1758" s="65">
        <v>42388</v>
      </c>
      <c r="B1758" s="1">
        <v>2980.49</v>
      </c>
      <c r="C1758" s="65">
        <v>42417</v>
      </c>
      <c r="D1758" s="1">
        <v>17377.89</v>
      </c>
    </row>
    <row r="1759" spans="1:4" x14ac:dyDescent="0.25">
      <c r="A1759" s="65">
        <v>42389</v>
      </c>
      <c r="B1759" s="1">
        <v>2882.59</v>
      </c>
      <c r="C1759" s="65">
        <v>42418</v>
      </c>
      <c r="D1759" s="1">
        <v>17112.36</v>
      </c>
    </row>
    <row r="1760" spans="1:4" x14ac:dyDescent="0.25">
      <c r="A1760" s="65">
        <v>42390</v>
      </c>
      <c r="B1760" s="1">
        <v>2943.92</v>
      </c>
      <c r="C1760" s="65">
        <v>42419</v>
      </c>
      <c r="D1760" s="1">
        <v>16909.560000000001</v>
      </c>
    </row>
    <row r="1761" spans="1:4" x14ac:dyDescent="0.25">
      <c r="A1761" s="65">
        <v>42391</v>
      </c>
      <c r="B1761" s="1">
        <v>3023.21</v>
      </c>
      <c r="C1761" s="65">
        <v>42422</v>
      </c>
      <c r="D1761" s="1">
        <v>17504.580000000002</v>
      </c>
    </row>
    <row r="1762" spans="1:4" x14ac:dyDescent="0.25">
      <c r="A1762" s="65">
        <v>42394</v>
      </c>
      <c r="B1762" s="1">
        <v>3001.78</v>
      </c>
      <c r="C1762" s="65">
        <v>42423</v>
      </c>
      <c r="D1762" s="1">
        <v>17163.46</v>
      </c>
    </row>
    <row r="1763" spans="1:4" x14ac:dyDescent="0.25">
      <c r="A1763" s="65">
        <v>42395</v>
      </c>
      <c r="B1763" s="1">
        <v>3032.84</v>
      </c>
      <c r="C1763" s="65">
        <v>42424</v>
      </c>
      <c r="D1763" s="1">
        <v>16719.36</v>
      </c>
    </row>
    <row r="1764" spans="1:4" x14ac:dyDescent="0.25">
      <c r="A1764" s="65">
        <v>42396</v>
      </c>
      <c r="B1764" s="1">
        <v>3043.47</v>
      </c>
      <c r="C1764" s="65">
        <v>42425</v>
      </c>
      <c r="D1764" s="1">
        <v>17104.54</v>
      </c>
    </row>
    <row r="1765" spans="1:4" x14ac:dyDescent="0.25">
      <c r="A1765" s="65">
        <v>42397</v>
      </c>
      <c r="B1765" s="1">
        <v>2979.42</v>
      </c>
      <c r="C1765" s="65">
        <v>42426</v>
      </c>
      <c r="D1765" s="1">
        <v>17483.759999999998</v>
      </c>
    </row>
    <row r="1766" spans="1:4" x14ac:dyDescent="0.25">
      <c r="A1766" s="65">
        <v>42398</v>
      </c>
      <c r="B1766" s="1">
        <v>3045.09</v>
      </c>
      <c r="C1766" s="65">
        <v>42429</v>
      </c>
      <c r="D1766" s="1">
        <v>17623.07</v>
      </c>
    </row>
    <row r="1767" spans="1:4" x14ac:dyDescent="0.25">
      <c r="A1767" s="65">
        <v>42401</v>
      </c>
      <c r="B1767" s="1">
        <v>3021.01</v>
      </c>
      <c r="C1767" s="65">
        <v>42430</v>
      </c>
      <c r="D1767" s="1">
        <v>18011.91</v>
      </c>
    </row>
    <row r="1768" spans="1:4" x14ac:dyDescent="0.25">
      <c r="A1768" s="65">
        <v>42402</v>
      </c>
      <c r="B1768" s="1">
        <v>2951.85</v>
      </c>
      <c r="C1768" s="65">
        <v>42431</v>
      </c>
      <c r="D1768" s="1">
        <v>18206.41</v>
      </c>
    </row>
    <row r="1769" spans="1:4" x14ac:dyDescent="0.25">
      <c r="A1769" s="65">
        <v>42403</v>
      </c>
      <c r="B1769" s="1">
        <v>2896.63</v>
      </c>
      <c r="C1769" s="65">
        <v>42432</v>
      </c>
      <c r="D1769" s="1">
        <v>18348.5</v>
      </c>
    </row>
    <row r="1770" spans="1:4" x14ac:dyDescent="0.25">
      <c r="A1770" s="65">
        <v>42404</v>
      </c>
      <c r="B1770" s="1">
        <v>2905.3</v>
      </c>
      <c r="C1770" s="65">
        <v>42433</v>
      </c>
      <c r="D1770" s="1">
        <v>18278.98</v>
      </c>
    </row>
    <row r="1771" spans="1:4" x14ac:dyDescent="0.25">
      <c r="A1771" s="65">
        <v>42405</v>
      </c>
      <c r="B1771" s="1">
        <v>2879.39</v>
      </c>
      <c r="C1771" s="65">
        <v>42436</v>
      </c>
      <c r="D1771" s="1">
        <v>18059.27</v>
      </c>
    </row>
    <row r="1772" spans="1:4" x14ac:dyDescent="0.25">
      <c r="A1772" s="65">
        <v>42408</v>
      </c>
      <c r="B1772" s="1">
        <v>2785.17</v>
      </c>
      <c r="C1772" s="65">
        <v>42437</v>
      </c>
      <c r="D1772" s="1">
        <v>18017.560000000001</v>
      </c>
    </row>
    <row r="1773" spans="1:4" x14ac:dyDescent="0.25">
      <c r="A1773" s="65">
        <v>42409</v>
      </c>
      <c r="B1773" s="1">
        <v>2736.5</v>
      </c>
      <c r="C1773" s="65">
        <v>42438</v>
      </c>
      <c r="D1773" s="1">
        <v>18208.919999999998</v>
      </c>
    </row>
    <row r="1774" spans="1:4" x14ac:dyDescent="0.25">
      <c r="A1774" s="65">
        <v>42410</v>
      </c>
      <c r="B1774" s="1">
        <v>2789.05</v>
      </c>
      <c r="C1774" s="65">
        <v>42439</v>
      </c>
      <c r="D1774" s="1">
        <v>18118.23</v>
      </c>
    </row>
    <row r="1775" spans="1:4" x14ac:dyDescent="0.25">
      <c r="A1775" s="65">
        <v>42411</v>
      </c>
      <c r="B1775" s="1">
        <v>2680.35</v>
      </c>
      <c r="C1775" s="65">
        <v>42440</v>
      </c>
      <c r="D1775" s="1">
        <v>18987.75</v>
      </c>
    </row>
    <row r="1776" spans="1:4" x14ac:dyDescent="0.25">
      <c r="A1776" s="65">
        <v>42412</v>
      </c>
      <c r="B1776" s="1">
        <v>2756.16</v>
      </c>
      <c r="C1776" s="65">
        <v>42443</v>
      </c>
      <c r="D1776" s="1">
        <v>18981.77</v>
      </c>
    </row>
    <row r="1777" spans="1:4" x14ac:dyDescent="0.25">
      <c r="A1777" s="65">
        <v>42415</v>
      </c>
      <c r="B1777" s="1">
        <v>2833.87</v>
      </c>
      <c r="C1777" s="65">
        <v>42444</v>
      </c>
      <c r="D1777" s="1">
        <v>18765.37</v>
      </c>
    </row>
    <row r="1778" spans="1:4" x14ac:dyDescent="0.25">
      <c r="A1778" s="65">
        <v>42416</v>
      </c>
      <c r="B1778" s="1">
        <v>2821.26</v>
      </c>
      <c r="C1778" s="65">
        <v>42445</v>
      </c>
      <c r="D1778" s="1">
        <v>18731.75</v>
      </c>
    </row>
    <row r="1779" spans="1:4" x14ac:dyDescent="0.25">
      <c r="A1779" s="65">
        <v>42417</v>
      </c>
      <c r="B1779" s="1">
        <v>2897.72</v>
      </c>
      <c r="C1779" s="65">
        <v>42446</v>
      </c>
      <c r="D1779" s="1">
        <v>18608.03</v>
      </c>
    </row>
    <row r="1780" spans="1:4" x14ac:dyDescent="0.25">
      <c r="A1780" s="65">
        <v>42418</v>
      </c>
      <c r="B1780" s="1">
        <v>2895.15</v>
      </c>
      <c r="C1780" s="65">
        <v>42447</v>
      </c>
      <c r="D1780" s="1">
        <v>18611.34</v>
      </c>
    </row>
    <row r="1781" spans="1:4" x14ac:dyDescent="0.25">
      <c r="A1781" s="65">
        <v>42419</v>
      </c>
      <c r="B1781" s="1">
        <v>2871.05</v>
      </c>
      <c r="C1781" s="65">
        <v>42450</v>
      </c>
      <c r="D1781" s="1">
        <v>18696.93</v>
      </c>
    </row>
    <row r="1782" spans="1:4" x14ac:dyDescent="0.25">
      <c r="A1782" s="65">
        <v>42422</v>
      </c>
      <c r="B1782" s="1">
        <v>2933.91</v>
      </c>
      <c r="C1782" s="65">
        <v>42451</v>
      </c>
      <c r="D1782" s="1">
        <v>18698.82</v>
      </c>
    </row>
    <row r="1783" spans="1:4" x14ac:dyDescent="0.25">
      <c r="A1783" s="65">
        <v>42423</v>
      </c>
      <c r="B1783" s="1">
        <v>2887.38</v>
      </c>
      <c r="C1783" s="65">
        <v>42452</v>
      </c>
      <c r="D1783" s="1">
        <v>18462.88</v>
      </c>
    </row>
    <row r="1784" spans="1:4" x14ac:dyDescent="0.25">
      <c r="A1784" s="65">
        <v>42424</v>
      </c>
      <c r="B1784" s="1">
        <v>2820.24</v>
      </c>
      <c r="C1784" s="65">
        <v>42453</v>
      </c>
      <c r="D1784" s="1">
        <v>18165.84</v>
      </c>
    </row>
    <row r="1785" spans="1:4" x14ac:dyDescent="0.25">
      <c r="A1785" s="65">
        <v>42425</v>
      </c>
      <c r="B1785" s="1">
        <v>2877.42</v>
      </c>
      <c r="C1785" s="65">
        <v>42458</v>
      </c>
      <c r="D1785" s="1">
        <v>18171.86</v>
      </c>
    </row>
    <row r="1786" spans="1:4" x14ac:dyDescent="0.25">
      <c r="A1786" s="65">
        <v>42426</v>
      </c>
      <c r="B1786" s="1">
        <v>2929.16</v>
      </c>
      <c r="C1786" s="65">
        <v>42459</v>
      </c>
      <c r="D1786" s="1">
        <v>18375.32</v>
      </c>
    </row>
    <row r="1787" spans="1:4" x14ac:dyDescent="0.25">
      <c r="A1787" s="65">
        <v>42429</v>
      </c>
      <c r="B1787" s="1">
        <v>2945.75</v>
      </c>
      <c r="C1787" s="65">
        <v>42460</v>
      </c>
      <c r="D1787" s="1">
        <v>18116.88</v>
      </c>
    </row>
    <row r="1788" spans="1:4" x14ac:dyDescent="0.25">
      <c r="A1788" s="65">
        <v>42430</v>
      </c>
      <c r="B1788" s="1">
        <v>2996.39</v>
      </c>
      <c r="C1788" s="65">
        <v>42461</v>
      </c>
      <c r="D1788" s="1">
        <v>17776.84</v>
      </c>
    </row>
    <row r="1789" spans="1:4" x14ac:dyDescent="0.25">
      <c r="A1789" s="65">
        <v>42431</v>
      </c>
      <c r="B1789" s="1">
        <v>3022.14</v>
      </c>
      <c r="C1789" s="65">
        <v>42464</v>
      </c>
      <c r="D1789" s="1">
        <v>17639.259999999998</v>
      </c>
    </row>
    <row r="1790" spans="1:4" x14ac:dyDescent="0.25">
      <c r="A1790" s="65">
        <v>42432</v>
      </c>
      <c r="B1790" s="1">
        <v>3012.87</v>
      </c>
      <c r="C1790" s="65">
        <v>42465</v>
      </c>
      <c r="D1790" s="1">
        <v>17109.3</v>
      </c>
    </row>
    <row r="1791" spans="1:4" x14ac:dyDescent="0.25">
      <c r="A1791" s="65">
        <v>42433</v>
      </c>
      <c r="B1791" s="1">
        <v>3037.35</v>
      </c>
      <c r="C1791" s="65">
        <v>42466</v>
      </c>
      <c r="D1791" s="1">
        <v>17240.91</v>
      </c>
    </row>
    <row r="1792" spans="1:4" x14ac:dyDescent="0.25">
      <c r="A1792" s="65">
        <v>42436</v>
      </c>
      <c r="B1792" s="1">
        <v>3021.09</v>
      </c>
      <c r="C1792" s="65">
        <v>42467</v>
      </c>
      <c r="D1792" s="1">
        <v>16818.25</v>
      </c>
    </row>
    <row r="1793" spans="1:4" x14ac:dyDescent="0.25">
      <c r="A1793" s="65">
        <v>42437</v>
      </c>
      <c r="B1793" s="1">
        <v>3002.01</v>
      </c>
      <c r="C1793" s="65">
        <v>42468</v>
      </c>
      <c r="D1793" s="1">
        <v>17504.62</v>
      </c>
    </row>
    <row r="1794" spans="1:4" x14ac:dyDescent="0.25">
      <c r="A1794" s="65">
        <v>42438</v>
      </c>
      <c r="B1794" s="1">
        <v>3016.18</v>
      </c>
      <c r="C1794" s="65">
        <v>42471</v>
      </c>
      <c r="D1794" s="1">
        <v>17722.66</v>
      </c>
    </row>
    <row r="1795" spans="1:4" x14ac:dyDescent="0.25">
      <c r="A1795" s="65">
        <v>42439</v>
      </c>
      <c r="B1795" s="1">
        <v>2970.78</v>
      </c>
      <c r="C1795" s="65">
        <v>42472</v>
      </c>
      <c r="D1795" s="1">
        <v>17444.8</v>
      </c>
    </row>
    <row r="1796" spans="1:4" x14ac:dyDescent="0.25">
      <c r="A1796" s="65">
        <v>42440</v>
      </c>
      <c r="B1796" s="1">
        <v>3073.8</v>
      </c>
      <c r="C1796" s="65">
        <v>42473</v>
      </c>
      <c r="D1796" s="1">
        <v>18165.59</v>
      </c>
    </row>
    <row r="1797" spans="1:4" x14ac:dyDescent="0.25">
      <c r="A1797" s="65">
        <v>42443</v>
      </c>
      <c r="B1797" s="1">
        <v>3091.98</v>
      </c>
      <c r="C1797" s="65">
        <v>42474</v>
      </c>
      <c r="D1797" s="1">
        <v>18329.09</v>
      </c>
    </row>
    <row r="1798" spans="1:4" x14ac:dyDescent="0.25">
      <c r="A1798" s="65">
        <v>42444</v>
      </c>
      <c r="B1798" s="1">
        <v>3067.21</v>
      </c>
      <c r="C1798" s="65">
        <v>42475</v>
      </c>
      <c r="D1798" s="1">
        <v>18257.349999999999</v>
      </c>
    </row>
    <row r="1799" spans="1:4" x14ac:dyDescent="0.25">
      <c r="A1799" s="65">
        <v>42445</v>
      </c>
      <c r="B1799" s="1">
        <v>3062.05</v>
      </c>
      <c r="C1799" s="65">
        <v>42478</v>
      </c>
      <c r="D1799" s="1">
        <v>18358.25</v>
      </c>
    </row>
    <row r="1800" spans="1:4" x14ac:dyDescent="0.25">
      <c r="A1800" s="65">
        <v>42446</v>
      </c>
      <c r="B1800" s="1">
        <v>3043.1</v>
      </c>
      <c r="C1800" s="65">
        <v>42479</v>
      </c>
      <c r="D1800" s="1">
        <v>18447.98</v>
      </c>
    </row>
    <row r="1801" spans="1:4" x14ac:dyDescent="0.25">
      <c r="A1801" s="65">
        <v>42447</v>
      </c>
      <c r="B1801" s="1">
        <v>3059.77</v>
      </c>
      <c r="C1801" s="65">
        <v>42480</v>
      </c>
      <c r="D1801" s="1">
        <v>18658.36</v>
      </c>
    </row>
    <row r="1802" spans="1:4" x14ac:dyDescent="0.25">
      <c r="A1802" s="65">
        <v>42450</v>
      </c>
      <c r="B1802" s="1">
        <v>3048.77</v>
      </c>
      <c r="C1802" s="65">
        <v>42481</v>
      </c>
      <c r="D1802" s="1">
        <v>18732.96</v>
      </c>
    </row>
    <row r="1803" spans="1:4" x14ac:dyDescent="0.25">
      <c r="A1803" s="65">
        <v>42451</v>
      </c>
      <c r="B1803" s="1">
        <v>3051.23</v>
      </c>
      <c r="C1803" s="65">
        <v>42482</v>
      </c>
      <c r="D1803" s="1">
        <v>18687.04</v>
      </c>
    </row>
    <row r="1804" spans="1:4" x14ac:dyDescent="0.25">
      <c r="A1804" s="65">
        <v>42452</v>
      </c>
      <c r="B1804" s="1">
        <v>3042.42</v>
      </c>
      <c r="C1804" s="65">
        <v>42485</v>
      </c>
      <c r="D1804" s="1">
        <v>18403.23</v>
      </c>
    </row>
    <row r="1805" spans="1:4" x14ac:dyDescent="0.25">
      <c r="A1805" s="65">
        <v>42453</v>
      </c>
      <c r="B1805" s="1">
        <v>2986.73</v>
      </c>
      <c r="C1805" s="65">
        <v>42486</v>
      </c>
      <c r="D1805" s="1">
        <v>18670.41</v>
      </c>
    </row>
    <row r="1806" spans="1:4" x14ac:dyDescent="0.25">
      <c r="A1806" s="65">
        <v>42458</v>
      </c>
      <c r="B1806" s="1">
        <v>3004.87</v>
      </c>
      <c r="C1806" s="65">
        <v>42487</v>
      </c>
      <c r="D1806" s="1">
        <v>18750.62</v>
      </c>
    </row>
    <row r="1807" spans="1:4" x14ac:dyDescent="0.25">
      <c r="A1807" s="65">
        <v>42459</v>
      </c>
      <c r="B1807" s="1">
        <v>3044.1</v>
      </c>
      <c r="C1807" s="65">
        <v>42488</v>
      </c>
      <c r="D1807" s="1">
        <v>18976.71</v>
      </c>
    </row>
    <row r="1808" spans="1:4" x14ac:dyDescent="0.25">
      <c r="A1808" s="65">
        <v>42460</v>
      </c>
      <c r="B1808" s="1">
        <v>3004.93</v>
      </c>
      <c r="C1808" s="65">
        <v>42489</v>
      </c>
      <c r="D1808" s="1">
        <v>18600.560000000001</v>
      </c>
    </row>
    <row r="1809" spans="1:4" x14ac:dyDescent="0.25">
      <c r="A1809" s="65">
        <v>42461</v>
      </c>
      <c r="B1809" s="1">
        <v>2953.28</v>
      </c>
      <c r="C1809" s="65">
        <v>42492</v>
      </c>
      <c r="D1809" s="1">
        <v>18420.22</v>
      </c>
    </row>
    <row r="1810" spans="1:4" x14ac:dyDescent="0.25">
      <c r="A1810" s="65">
        <v>42464</v>
      </c>
      <c r="B1810" s="1">
        <v>2962.28</v>
      </c>
      <c r="C1810" s="65">
        <v>42493</v>
      </c>
      <c r="D1810" s="1">
        <v>17966.810000000001</v>
      </c>
    </row>
    <row r="1811" spans="1:4" x14ac:dyDescent="0.25">
      <c r="A1811" s="65">
        <v>42465</v>
      </c>
      <c r="B1811" s="1">
        <v>2890.35</v>
      </c>
      <c r="C1811" s="65">
        <v>42494</v>
      </c>
      <c r="D1811" s="1">
        <v>17935.669999999998</v>
      </c>
    </row>
    <row r="1812" spans="1:4" x14ac:dyDescent="0.25">
      <c r="A1812" s="65">
        <v>42466</v>
      </c>
      <c r="B1812" s="1">
        <v>2909.36</v>
      </c>
      <c r="C1812" s="65">
        <v>42495</v>
      </c>
      <c r="D1812" s="1">
        <v>17923.900000000001</v>
      </c>
    </row>
    <row r="1813" spans="1:4" x14ac:dyDescent="0.25">
      <c r="A1813" s="65">
        <v>42467</v>
      </c>
      <c r="B1813" s="1">
        <v>2871.57</v>
      </c>
      <c r="C1813" s="65">
        <v>42496</v>
      </c>
      <c r="D1813" s="1">
        <v>17842.8</v>
      </c>
    </row>
    <row r="1814" spans="1:4" x14ac:dyDescent="0.25">
      <c r="A1814" s="65">
        <v>42468</v>
      </c>
      <c r="B1814" s="1">
        <v>2911.98</v>
      </c>
      <c r="C1814" s="65">
        <v>42499</v>
      </c>
      <c r="D1814" s="1">
        <v>17685.8</v>
      </c>
    </row>
    <row r="1815" spans="1:4" x14ac:dyDescent="0.25">
      <c r="A1815" s="65">
        <v>42471</v>
      </c>
      <c r="B1815" s="1">
        <v>2924.23</v>
      </c>
      <c r="C1815" s="65">
        <v>42500</v>
      </c>
      <c r="D1815" s="1">
        <v>17934.72</v>
      </c>
    </row>
    <row r="1816" spans="1:4" x14ac:dyDescent="0.25">
      <c r="A1816" s="65">
        <v>42472</v>
      </c>
      <c r="B1816" s="1">
        <v>2942.09</v>
      </c>
      <c r="C1816" s="65">
        <v>42501</v>
      </c>
      <c r="D1816" s="1">
        <v>17698.080000000002</v>
      </c>
    </row>
    <row r="1817" spans="1:4" x14ac:dyDescent="0.25">
      <c r="A1817" s="65">
        <v>42473</v>
      </c>
      <c r="B1817" s="1">
        <v>3039.19</v>
      </c>
      <c r="C1817" s="65">
        <v>42502</v>
      </c>
      <c r="D1817" s="1">
        <v>17651.36</v>
      </c>
    </row>
    <row r="1818" spans="1:4" x14ac:dyDescent="0.25">
      <c r="A1818" s="65">
        <v>42474</v>
      </c>
      <c r="B1818" s="1">
        <v>3060.86</v>
      </c>
      <c r="C1818" s="65">
        <v>42503</v>
      </c>
      <c r="D1818" s="1">
        <v>17729.45</v>
      </c>
    </row>
    <row r="1819" spans="1:4" x14ac:dyDescent="0.25">
      <c r="A1819" s="65">
        <v>42475</v>
      </c>
      <c r="B1819" s="1">
        <v>3054.34</v>
      </c>
      <c r="C1819" s="65">
        <v>42506</v>
      </c>
      <c r="D1819" s="1">
        <v>17737.02</v>
      </c>
    </row>
    <row r="1820" spans="1:4" x14ac:dyDescent="0.25">
      <c r="A1820" s="65">
        <v>42478</v>
      </c>
      <c r="B1820" s="1">
        <v>3064.03</v>
      </c>
      <c r="C1820" s="65">
        <v>42507</v>
      </c>
      <c r="D1820" s="1">
        <v>17498.88</v>
      </c>
    </row>
    <row r="1821" spans="1:4" x14ac:dyDescent="0.25">
      <c r="A1821" s="65">
        <v>42479</v>
      </c>
      <c r="B1821" s="1">
        <v>3112.99</v>
      </c>
      <c r="C1821" s="65">
        <v>42508</v>
      </c>
      <c r="D1821" s="1">
        <v>17713.62</v>
      </c>
    </row>
    <row r="1822" spans="1:4" x14ac:dyDescent="0.25">
      <c r="A1822" s="65">
        <v>42480</v>
      </c>
      <c r="B1822" s="1">
        <v>3142.52</v>
      </c>
      <c r="C1822" s="65">
        <v>42509</v>
      </c>
      <c r="D1822" s="1">
        <v>17545.560000000001</v>
      </c>
    </row>
    <row r="1823" spans="1:4" x14ac:dyDescent="0.25">
      <c r="A1823" s="65">
        <v>42481</v>
      </c>
      <c r="B1823" s="1">
        <v>3151.69</v>
      </c>
      <c r="C1823" s="65">
        <v>42510</v>
      </c>
      <c r="D1823" s="1">
        <v>17812.349999999999</v>
      </c>
    </row>
    <row r="1824" spans="1:4" x14ac:dyDescent="0.25">
      <c r="A1824" s="65">
        <v>42482</v>
      </c>
      <c r="B1824" s="1">
        <v>3141.12</v>
      </c>
      <c r="C1824" s="65">
        <v>42513</v>
      </c>
      <c r="D1824" s="1">
        <v>17325.080000000002</v>
      </c>
    </row>
    <row r="1825" spans="1:4" x14ac:dyDescent="0.25">
      <c r="A1825" s="65">
        <v>42485</v>
      </c>
      <c r="B1825" s="1">
        <v>3117.62</v>
      </c>
      <c r="C1825" s="65">
        <v>42514</v>
      </c>
      <c r="D1825" s="1">
        <v>17903.97</v>
      </c>
    </row>
    <row r="1826" spans="1:4" x14ac:dyDescent="0.25">
      <c r="A1826" s="65">
        <v>42486</v>
      </c>
      <c r="B1826" s="1">
        <v>3121.29</v>
      </c>
      <c r="C1826" s="65">
        <v>42515</v>
      </c>
      <c r="D1826" s="1">
        <v>18201.39</v>
      </c>
    </row>
    <row r="1827" spans="1:4" x14ac:dyDescent="0.25">
      <c r="A1827" s="65">
        <v>42487</v>
      </c>
      <c r="B1827" s="1">
        <v>3130.43</v>
      </c>
      <c r="C1827" s="65">
        <v>42516</v>
      </c>
      <c r="D1827" s="1">
        <v>18216.919999999998</v>
      </c>
    </row>
    <row r="1828" spans="1:4" x14ac:dyDescent="0.25">
      <c r="A1828" s="65">
        <v>42488</v>
      </c>
      <c r="B1828" s="1">
        <v>3125.43</v>
      </c>
      <c r="C1828" s="65">
        <v>42517</v>
      </c>
      <c r="D1828" s="1">
        <v>18186.14</v>
      </c>
    </row>
    <row r="1829" spans="1:4" x14ac:dyDescent="0.25">
      <c r="A1829" s="65">
        <v>42489</v>
      </c>
      <c r="B1829" s="1">
        <v>3028.21</v>
      </c>
      <c r="C1829" s="65">
        <v>42520</v>
      </c>
      <c r="D1829" s="1">
        <v>18291.38</v>
      </c>
    </row>
    <row r="1830" spans="1:4" x14ac:dyDescent="0.25">
      <c r="A1830" s="65">
        <v>42492</v>
      </c>
      <c r="B1830" s="1">
        <v>3032.6</v>
      </c>
      <c r="C1830" s="65">
        <v>42521</v>
      </c>
      <c r="D1830" s="1">
        <v>18025.25</v>
      </c>
    </row>
    <row r="1831" spans="1:4" x14ac:dyDescent="0.25">
      <c r="A1831" s="65">
        <v>42493</v>
      </c>
      <c r="B1831" s="1">
        <v>2974.2</v>
      </c>
      <c r="C1831" s="65">
        <v>42522</v>
      </c>
      <c r="D1831" s="1">
        <v>17810.849999999999</v>
      </c>
    </row>
    <row r="1832" spans="1:4" x14ac:dyDescent="0.25">
      <c r="A1832" s="65">
        <v>42494</v>
      </c>
      <c r="B1832" s="1">
        <v>2938.75</v>
      </c>
      <c r="C1832" s="65">
        <v>42523</v>
      </c>
      <c r="D1832" s="1">
        <v>17767.3</v>
      </c>
    </row>
    <row r="1833" spans="1:4" x14ac:dyDescent="0.25">
      <c r="A1833" s="65">
        <v>42495</v>
      </c>
      <c r="B1833" s="1">
        <v>2940.35</v>
      </c>
      <c r="C1833" s="65">
        <v>42524</v>
      </c>
      <c r="D1833" s="1">
        <v>17495.09</v>
      </c>
    </row>
    <row r="1834" spans="1:4" x14ac:dyDescent="0.25">
      <c r="A1834" s="65">
        <v>42496</v>
      </c>
      <c r="B1834" s="1">
        <v>2936.84</v>
      </c>
      <c r="C1834" s="65">
        <v>42527</v>
      </c>
      <c r="D1834" s="1">
        <v>17625</v>
      </c>
    </row>
    <row r="1835" spans="1:4" x14ac:dyDescent="0.25">
      <c r="A1835" s="65">
        <v>42499</v>
      </c>
      <c r="B1835" s="1">
        <v>2955.83</v>
      </c>
      <c r="C1835" s="65">
        <v>42528</v>
      </c>
      <c r="D1835" s="1">
        <v>17975.490000000002</v>
      </c>
    </row>
    <row r="1836" spans="1:4" x14ac:dyDescent="0.25">
      <c r="A1836" s="65">
        <v>42500</v>
      </c>
      <c r="B1836" s="1">
        <v>2978.97</v>
      </c>
      <c r="C1836" s="65">
        <v>42529</v>
      </c>
      <c r="D1836" s="1">
        <v>17909.7</v>
      </c>
    </row>
    <row r="1837" spans="1:4" x14ac:dyDescent="0.25">
      <c r="A1837" s="65">
        <v>42501</v>
      </c>
      <c r="B1837" s="1">
        <v>2956.71</v>
      </c>
      <c r="C1837" s="65">
        <v>42530</v>
      </c>
      <c r="D1837" s="1">
        <v>17763.88</v>
      </c>
    </row>
    <row r="1838" spans="1:4" x14ac:dyDescent="0.25">
      <c r="A1838" s="65">
        <v>42502</v>
      </c>
      <c r="B1838" s="1">
        <v>2935.46</v>
      </c>
      <c r="C1838" s="65">
        <v>42531</v>
      </c>
      <c r="D1838" s="1">
        <v>17120.16</v>
      </c>
    </row>
    <row r="1839" spans="1:4" x14ac:dyDescent="0.25">
      <c r="A1839" s="65">
        <v>42503</v>
      </c>
      <c r="B1839" s="1">
        <v>2956.63</v>
      </c>
      <c r="C1839" s="65">
        <v>42534</v>
      </c>
      <c r="D1839" s="1">
        <v>16621.87</v>
      </c>
    </row>
    <row r="1840" spans="1:4" x14ac:dyDescent="0.25">
      <c r="A1840" s="65">
        <v>42506</v>
      </c>
      <c r="B1840" s="1">
        <v>2951.39</v>
      </c>
      <c r="C1840" s="65">
        <v>42535</v>
      </c>
      <c r="D1840" s="1">
        <v>16271.35</v>
      </c>
    </row>
    <row r="1841" spans="1:4" x14ac:dyDescent="0.25">
      <c r="A1841" s="65">
        <v>42507</v>
      </c>
      <c r="B1841" s="1">
        <v>2938.09</v>
      </c>
      <c r="C1841" s="65">
        <v>42536</v>
      </c>
      <c r="D1841" s="1">
        <v>16513.97</v>
      </c>
    </row>
    <row r="1842" spans="1:4" x14ac:dyDescent="0.25">
      <c r="A1842" s="65">
        <v>42508</v>
      </c>
      <c r="B1842" s="1">
        <v>2956.43</v>
      </c>
      <c r="C1842" s="65">
        <v>42537</v>
      </c>
      <c r="D1842" s="1">
        <v>16351.9</v>
      </c>
    </row>
    <row r="1843" spans="1:4" x14ac:dyDescent="0.25">
      <c r="A1843" s="65">
        <v>42509</v>
      </c>
      <c r="B1843" s="1">
        <v>2919.22</v>
      </c>
      <c r="C1843" s="65">
        <v>42538</v>
      </c>
      <c r="D1843" s="1">
        <v>16923.29</v>
      </c>
    </row>
    <row r="1844" spans="1:4" x14ac:dyDescent="0.25">
      <c r="A1844" s="65">
        <v>42510</v>
      </c>
      <c r="B1844" s="1">
        <v>2962.16</v>
      </c>
      <c r="C1844" s="65">
        <v>42541</v>
      </c>
      <c r="D1844" s="1">
        <v>17353.45</v>
      </c>
    </row>
    <row r="1845" spans="1:4" x14ac:dyDescent="0.25">
      <c r="A1845" s="65">
        <v>42513</v>
      </c>
      <c r="B1845" s="1">
        <v>2932.93</v>
      </c>
      <c r="C1845" s="65">
        <v>42542</v>
      </c>
      <c r="D1845" s="1">
        <v>17431.169999999998</v>
      </c>
    </row>
    <row r="1846" spans="1:4" x14ac:dyDescent="0.25">
      <c r="A1846" s="65">
        <v>42514</v>
      </c>
      <c r="B1846" s="1">
        <v>3010.12</v>
      </c>
      <c r="C1846" s="65">
        <v>42543</v>
      </c>
      <c r="D1846" s="1">
        <v>17323.27</v>
      </c>
    </row>
    <row r="1847" spans="1:4" x14ac:dyDescent="0.25">
      <c r="A1847" s="65">
        <v>42515</v>
      </c>
      <c r="B1847" s="1">
        <v>3061.6</v>
      </c>
      <c r="C1847" s="65">
        <v>42544</v>
      </c>
      <c r="D1847" s="1">
        <v>17966.169999999998</v>
      </c>
    </row>
    <row r="1848" spans="1:4" x14ac:dyDescent="0.25">
      <c r="A1848" s="65">
        <v>42516</v>
      </c>
      <c r="B1848" s="1">
        <v>3071.21</v>
      </c>
      <c r="C1848" s="65">
        <v>42545</v>
      </c>
      <c r="D1848" s="1">
        <v>15723.81</v>
      </c>
    </row>
    <row r="1849" spans="1:4" x14ac:dyDescent="0.25">
      <c r="A1849" s="65">
        <v>42517</v>
      </c>
      <c r="B1849" s="1">
        <v>3078.48</v>
      </c>
      <c r="C1849" s="65">
        <v>42548</v>
      </c>
      <c r="D1849" s="1">
        <v>15103.58</v>
      </c>
    </row>
    <row r="1850" spans="1:4" x14ac:dyDescent="0.25">
      <c r="A1850" s="65">
        <v>42520</v>
      </c>
      <c r="B1850" s="1">
        <v>3090.01</v>
      </c>
      <c r="C1850" s="65">
        <v>42549</v>
      </c>
      <c r="D1850" s="1">
        <v>15601.62</v>
      </c>
    </row>
    <row r="1851" spans="1:4" x14ac:dyDescent="0.25">
      <c r="A1851" s="65">
        <v>42521</v>
      </c>
      <c r="B1851" s="1">
        <v>3063.48</v>
      </c>
      <c r="C1851" s="65">
        <v>42550</v>
      </c>
      <c r="D1851" s="1">
        <v>15946.93</v>
      </c>
    </row>
    <row r="1852" spans="1:4" x14ac:dyDescent="0.25">
      <c r="A1852" s="65">
        <v>42522</v>
      </c>
      <c r="B1852" s="1">
        <v>3038.77</v>
      </c>
      <c r="C1852" s="65">
        <v>42551</v>
      </c>
      <c r="D1852" s="1">
        <v>16197.78</v>
      </c>
    </row>
    <row r="1853" spans="1:4" x14ac:dyDescent="0.25">
      <c r="A1853" s="65">
        <v>42523</v>
      </c>
      <c r="B1853" s="1">
        <v>3033.86</v>
      </c>
      <c r="C1853" s="65">
        <v>42552</v>
      </c>
      <c r="D1853" s="1">
        <v>16295.78</v>
      </c>
    </row>
    <row r="1854" spans="1:4" x14ac:dyDescent="0.25">
      <c r="A1854" s="65">
        <v>42524</v>
      </c>
      <c r="B1854" s="1">
        <v>2997.55</v>
      </c>
      <c r="C1854" s="65">
        <v>42555</v>
      </c>
      <c r="D1854" s="1">
        <v>16012.31</v>
      </c>
    </row>
    <row r="1855" spans="1:4" x14ac:dyDescent="0.25">
      <c r="A1855" s="65">
        <v>42527</v>
      </c>
      <c r="B1855" s="1">
        <v>3001.9</v>
      </c>
      <c r="C1855" s="65">
        <v>42556</v>
      </c>
      <c r="D1855" s="1">
        <v>15780.16</v>
      </c>
    </row>
    <row r="1856" spans="1:4" x14ac:dyDescent="0.25">
      <c r="A1856" s="65">
        <v>42528</v>
      </c>
      <c r="B1856" s="1">
        <v>3040.69</v>
      </c>
      <c r="C1856" s="65">
        <v>42557</v>
      </c>
      <c r="D1856" s="1">
        <v>15423.79</v>
      </c>
    </row>
    <row r="1857" spans="1:4" x14ac:dyDescent="0.25">
      <c r="A1857" s="65">
        <v>42529</v>
      </c>
      <c r="B1857" s="1">
        <v>3019.76</v>
      </c>
      <c r="C1857" s="65">
        <v>42558</v>
      </c>
      <c r="D1857" s="1">
        <v>15436.16</v>
      </c>
    </row>
    <row r="1858" spans="1:4" x14ac:dyDescent="0.25">
      <c r="A1858" s="65">
        <v>42530</v>
      </c>
      <c r="B1858" s="1">
        <v>2989.03</v>
      </c>
      <c r="C1858" s="65">
        <v>42559</v>
      </c>
      <c r="D1858" s="1">
        <v>16066.38</v>
      </c>
    </row>
    <row r="1859" spans="1:4" x14ac:dyDescent="0.25">
      <c r="A1859" s="65">
        <v>42531</v>
      </c>
      <c r="B1859" s="1">
        <v>2911.11</v>
      </c>
      <c r="C1859" s="65">
        <v>42562</v>
      </c>
      <c r="D1859" s="1">
        <v>16260.64</v>
      </c>
    </row>
    <row r="1860" spans="1:4" x14ac:dyDescent="0.25">
      <c r="A1860" s="65">
        <v>42534</v>
      </c>
      <c r="B1860" s="1">
        <v>2853.52</v>
      </c>
      <c r="C1860" s="65">
        <v>42563</v>
      </c>
      <c r="D1860" s="1">
        <v>16721</v>
      </c>
    </row>
    <row r="1861" spans="1:4" x14ac:dyDescent="0.25">
      <c r="A1861" s="65">
        <v>42535</v>
      </c>
      <c r="B1861" s="1">
        <v>2797.18</v>
      </c>
      <c r="C1861" s="65">
        <v>42564</v>
      </c>
      <c r="D1861" s="1">
        <v>16527.89</v>
      </c>
    </row>
    <row r="1862" spans="1:4" x14ac:dyDescent="0.25">
      <c r="A1862" s="65">
        <v>42536</v>
      </c>
      <c r="B1862" s="1">
        <v>2830.3</v>
      </c>
      <c r="C1862" s="65">
        <v>42565</v>
      </c>
      <c r="D1862" s="1">
        <v>16797.52</v>
      </c>
    </row>
    <row r="1863" spans="1:4" x14ac:dyDescent="0.25">
      <c r="A1863" s="65">
        <v>42537</v>
      </c>
      <c r="B1863" s="1">
        <v>2819.3</v>
      </c>
      <c r="C1863" s="65">
        <v>42566</v>
      </c>
      <c r="D1863" s="1">
        <v>16748.59</v>
      </c>
    </row>
    <row r="1864" spans="1:4" x14ac:dyDescent="0.25">
      <c r="A1864" s="65">
        <v>42538</v>
      </c>
      <c r="B1864" s="1">
        <v>2849.17</v>
      </c>
      <c r="C1864" s="65">
        <v>42569</v>
      </c>
      <c r="D1864" s="1">
        <v>16762.73</v>
      </c>
    </row>
    <row r="1865" spans="1:4" x14ac:dyDescent="0.25">
      <c r="A1865" s="65">
        <v>42541</v>
      </c>
      <c r="B1865" s="1">
        <v>2942.88</v>
      </c>
      <c r="C1865" s="65">
        <v>42570</v>
      </c>
      <c r="D1865" s="1">
        <v>16673.77</v>
      </c>
    </row>
    <row r="1866" spans="1:4" x14ac:dyDescent="0.25">
      <c r="A1866" s="65">
        <v>42542</v>
      </c>
      <c r="B1866" s="1">
        <v>2967.34</v>
      </c>
      <c r="C1866" s="65">
        <v>42571</v>
      </c>
      <c r="D1866" s="1">
        <v>16763.82</v>
      </c>
    </row>
    <row r="1867" spans="1:4" x14ac:dyDescent="0.25">
      <c r="A1867" s="65">
        <v>42543</v>
      </c>
      <c r="B1867" s="1">
        <v>2978.31</v>
      </c>
      <c r="C1867" s="65">
        <v>42572</v>
      </c>
      <c r="D1867" s="1">
        <v>16805.400000000001</v>
      </c>
    </row>
    <row r="1868" spans="1:4" x14ac:dyDescent="0.25">
      <c r="A1868" s="65">
        <v>42544</v>
      </c>
      <c r="B1868" s="1">
        <v>3037.86</v>
      </c>
      <c r="C1868" s="65">
        <v>42573</v>
      </c>
      <c r="D1868" s="1">
        <v>16778.669999999998</v>
      </c>
    </row>
    <row r="1869" spans="1:4" x14ac:dyDescent="0.25">
      <c r="A1869" s="65">
        <v>42545</v>
      </c>
      <c r="B1869" s="1">
        <v>2776.09</v>
      </c>
      <c r="C1869" s="65">
        <v>42576</v>
      </c>
      <c r="D1869" s="1">
        <v>16692.169999999998</v>
      </c>
    </row>
    <row r="1870" spans="1:4" x14ac:dyDescent="0.25">
      <c r="A1870" s="65">
        <v>42548</v>
      </c>
      <c r="B1870" s="1">
        <v>2697.44</v>
      </c>
      <c r="C1870" s="65">
        <v>42577</v>
      </c>
      <c r="D1870" s="1">
        <v>16697.009999999998</v>
      </c>
    </row>
    <row r="1871" spans="1:4" x14ac:dyDescent="0.25">
      <c r="A1871" s="65">
        <v>42549</v>
      </c>
      <c r="B1871" s="1">
        <v>2758.67</v>
      </c>
      <c r="C1871" s="65">
        <v>42578</v>
      </c>
      <c r="D1871" s="1">
        <v>16863.009999999998</v>
      </c>
    </row>
    <row r="1872" spans="1:4" x14ac:dyDescent="0.25">
      <c r="A1872" s="65">
        <v>42550</v>
      </c>
      <c r="B1872" s="1">
        <v>2832.18</v>
      </c>
      <c r="C1872" s="65">
        <v>42579</v>
      </c>
      <c r="D1872" s="1">
        <v>16522.64</v>
      </c>
    </row>
    <row r="1873" spans="1:4" x14ac:dyDescent="0.25">
      <c r="A1873" s="65">
        <v>42551</v>
      </c>
      <c r="B1873" s="1">
        <v>2864.74</v>
      </c>
      <c r="C1873" s="65">
        <v>42580</v>
      </c>
      <c r="D1873" s="1">
        <v>16846.86</v>
      </c>
    </row>
    <row r="1874" spans="1:4" x14ac:dyDescent="0.25">
      <c r="A1874" s="65">
        <v>42552</v>
      </c>
      <c r="B1874" s="1">
        <v>2883.06</v>
      </c>
      <c r="C1874" s="65">
        <v>42583</v>
      </c>
      <c r="D1874" s="1">
        <v>16554.830000000002</v>
      </c>
    </row>
    <row r="1875" spans="1:4" x14ac:dyDescent="0.25">
      <c r="A1875" s="65">
        <v>42555</v>
      </c>
      <c r="B1875" s="1">
        <v>2862.21</v>
      </c>
      <c r="C1875" s="65">
        <v>42584</v>
      </c>
      <c r="D1875" s="1">
        <v>16098.37</v>
      </c>
    </row>
    <row r="1876" spans="1:4" x14ac:dyDescent="0.25">
      <c r="A1876" s="65">
        <v>42556</v>
      </c>
      <c r="B1876" s="1">
        <v>2812.88</v>
      </c>
      <c r="C1876" s="65">
        <v>42585</v>
      </c>
      <c r="D1876" s="1">
        <v>16129.84</v>
      </c>
    </row>
    <row r="1877" spans="1:4" x14ac:dyDescent="0.25">
      <c r="A1877" s="65">
        <v>42557</v>
      </c>
      <c r="B1877" s="1">
        <v>2761.37</v>
      </c>
      <c r="C1877" s="65">
        <v>42586</v>
      </c>
      <c r="D1877" s="1">
        <v>16236.41</v>
      </c>
    </row>
    <row r="1878" spans="1:4" x14ac:dyDescent="0.25">
      <c r="A1878" s="65">
        <v>42558</v>
      </c>
      <c r="B1878" s="1">
        <v>2780.1</v>
      </c>
      <c r="C1878" s="65">
        <v>42587</v>
      </c>
      <c r="D1878" s="1">
        <v>16626.28</v>
      </c>
    </row>
    <row r="1879" spans="1:4" x14ac:dyDescent="0.25">
      <c r="A1879" s="65">
        <v>42559</v>
      </c>
      <c r="B1879" s="1">
        <v>2838.01</v>
      </c>
      <c r="C1879" s="65">
        <v>42590</v>
      </c>
      <c r="D1879" s="1">
        <v>16743.82</v>
      </c>
    </row>
    <row r="1880" spans="1:4" x14ac:dyDescent="0.25">
      <c r="A1880" s="65">
        <v>42562</v>
      </c>
      <c r="B1880" s="1">
        <v>2885.32</v>
      </c>
      <c r="C1880" s="65">
        <v>42591</v>
      </c>
      <c r="D1880" s="1">
        <v>16796.14</v>
      </c>
    </row>
    <row r="1881" spans="1:4" x14ac:dyDescent="0.25">
      <c r="A1881" s="65">
        <v>42563</v>
      </c>
      <c r="B1881" s="1">
        <v>2933.44</v>
      </c>
      <c r="C1881" s="65">
        <v>42592</v>
      </c>
      <c r="D1881" s="1">
        <v>16791.55</v>
      </c>
    </row>
    <row r="1882" spans="1:4" x14ac:dyDescent="0.25">
      <c r="A1882" s="65">
        <v>42564</v>
      </c>
      <c r="B1882" s="1">
        <v>2926.14</v>
      </c>
      <c r="C1882" s="65">
        <v>42593</v>
      </c>
      <c r="D1882" s="1">
        <v>16969.689999999999</v>
      </c>
    </row>
    <row r="1883" spans="1:4" x14ac:dyDescent="0.25">
      <c r="A1883" s="65">
        <v>42565</v>
      </c>
      <c r="B1883" s="1">
        <v>2963.07</v>
      </c>
      <c r="C1883" s="65">
        <v>42594</v>
      </c>
      <c r="D1883" s="1">
        <v>16997.830000000002</v>
      </c>
    </row>
    <row r="1884" spans="1:4" x14ac:dyDescent="0.25">
      <c r="A1884" s="65">
        <v>42566</v>
      </c>
      <c r="B1884" s="1">
        <v>2958.65</v>
      </c>
      <c r="C1884" s="65">
        <v>42598</v>
      </c>
      <c r="D1884" s="1">
        <v>16792.96</v>
      </c>
    </row>
    <row r="1885" spans="1:4" x14ac:dyDescent="0.25">
      <c r="A1885" s="65">
        <v>42569</v>
      </c>
      <c r="B1885" s="1">
        <v>2949.17</v>
      </c>
      <c r="C1885" s="65">
        <v>42599</v>
      </c>
      <c r="D1885" s="1">
        <v>16528.36</v>
      </c>
    </row>
    <row r="1886" spans="1:4" x14ac:dyDescent="0.25">
      <c r="A1886" s="65">
        <v>42570</v>
      </c>
      <c r="B1886" s="1">
        <v>2931.1</v>
      </c>
      <c r="C1886" s="65">
        <v>42600</v>
      </c>
      <c r="D1886" s="1">
        <v>16673.580000000002</v>
      </c>
    </row>
    <row r="1887" spans="1:4" x14ac:dyDescent="0.25">
      <c r="A1887" s="65">
        <v>42571</v>
      </c>
      <c r="B1887" s="1">
        <v>2966.95</v>
      </c>
      <c r="C1887" s="65">
        <v>42601</v>
      </c>
      <c r="D1887" s="1">
        <v>16310.06</v>
      </c>
    </row>
    <row r="1888" spans="1:4" x14ac:dyDescent="0.25">
      <c r="A1888" s="65">
        <v>42572</v>
      </c>
      <c r="B1888" s="1">
        <v>2968.49</v>
      </c>
      <c r="C1888" s="65">
        <v>42604</v>
      </c>
      <c r="D1888" s="1">
        <v>16369.14</v>
      </c>
    </row>
    <row r="1889" spans="1:4" x14ac:dyDescent="0.25">
      <c r="A1889" s="65">
        <v>42573</v>
      </c>
      <c r="B1889" s="1">
        <v>2972.23</v>
      </c>
      <c r="C1889" s="65">
        <v>42605</v>
      </c>
      <c r="D1889" s="1">
        <v>16778.05</v>
      </c>
    </row>
    <row r="1890" spans="1:4" x14ac:dyDescent="0.25">
      <c r="A1890" s="65">
        <v>42576</v>
      </c>
      <c r="B1890" s="1">
        <v>2973.22</v>
      </c>
      <c r="C1890" s="65">
        <v>42606</v>
      </c>
      <c r="D1890" s="1">
        <v>16891.63</v>
      </c>
    </row>
    <row r="1891" spans="1:4" x14ac:dyDescent="0.25">
      <c r="A1891" s="65">
        <v>42577</v>
      </c>
      <c r="B1891" s="1">
        <v>2978.9</v>
      </c>
      <c r="C1891" s="65">
        <v>42607</v>
      </c>
      <c r="D1891" s="1">
        <v>16710.78</v>
      </c>
    </row>
    <row r="1892" spans="1:4" x14ac:dyDescent="0.25">
      <c r="A1892" s="65">
        <v>42578</v>
      </c>
      <c r="B1892" s="1">
        <v>2999.48</v>
      </c>
      <c r="C1892" s="65">
        <v>42608</v>
      </c>
      <c r="D1892" s="1">
        <v>16843.990000000002</v>
      </c>
    </row>
    <row r="1893" spans="1:4" x14ac:dyDescent="0.25">
      <c r="A1893" s="65">
        <v>42579</v>
      </c>
      <c r="B1893" s="1">
        <v>2966.1</v>
      </c>
      <c r="C1893" s="65">
        <v>42611</v>
      </c>
      <c r="D1893" s="1">
        <v>16655.22</v>
      </c>
    </row>
    <row r="1894" spans="1:4" x14ac:dyDescent="0.25">
      <c r="A1894" s="65">
        <v>42580</v>
      </c>
      <c r="B1894" s="1">
        <v>2990.76</v>
      </c>
      <c r="C1894" s="65">
        <v>42612</v>
      </c>
      <c r="D1894" s="1">
        <v>16891.419999999998</v>
      </c>
    </row>
    <row r="1895" spans="1:4" x14ac:dyDescent="0.25">
      <c r="A1895" s="65">
        <v>42583</v>
      </c>
      <c r="B1895" s="1">
        <v>2967.31</v>
      </c>
      <c r="C1895" s="65">
        <v>42613</v>
      </c>
      <c r="D1895" s="1">
        <v>16943.38</v>
      </c>
    </row>
    <row r="1896" spans="1:4" x14ac:dyDescent="0.25">
      <c r="A1896" s="65">
        <v>42584</v>
      </c>
      <c r="B1896" s="1">
        <v>2906.98</v>
      </c>
      <c r="C1896" s="65">
        <v>42614</v>
      </c>
      <c r="D1896" s="1">
        <v>16923.28</v>
      </c>
    </row>
    <row r="1897" spans="1:4" x14ac:dyDescent="0.25">
      <c r="A1897" s="65">
        <v>42585</v>
      </c>
      <c r="B1897" s="1">
        <v>2911.06</v>
      </c>
      <c r="C1897" s="65">
        <v>42615</v>
      </c>
      <c r="D1897" s="1">
        <v>17183.900000000001</v>
      </c>
    </row>
    <row r="1898" spans="1:4" x14ac:dyDescent="0.25">
      <c r="A1898" s="65">
        <v>42586</v>
      </c>
      <c r="B1898" s="1">
        <v>2932.34</v>
      </c>
      <c r="C1898" s="65">
        <v>42618</v>
      </c>
      <c r="D1898" s="1">
        <v>17190.439999999999</v>
      </c>
    </row>
    <row r="1899" spans="1:4" x14ac:dyDescent="0.25">
      <c r="A1899" s="65">
        <v>42587</v>
      </c>
      <c r="B1899" s="1">
        <v>2973.71</v>
      </c>
      <c r="C1899" s="65">
        <v>42619</v>
      </c>
      <c r="D1899" s="1">
        <v>17052.57</v>
      </c>
    </row>
    <row r="1900" spans="1:4" x14ac:dyDescent="0.25">
      <c r="A1900" s="65">
        <v>42590</v>
      </c>
      <c r="B1900" s="1">
        <v>2982.92</v>
      </c>
      <c r="C1900" s="65">
        <v>42620</v>
      </c>
      <c r="D1900" s="1">
        <v>17292.84</v>
      </c>
    </row>
    <row r="1901" spans="1:4" x14ac:dyDescent="0.25">
      <c r="A1901" s="65">
        <v>42591</v>
      </c>
      <c r="B1901" s="1">
        <v>3029.18</v>
      </c>
      <c r="C1901" s="65">
        <v>42621</v>
      </c>
      <c r="D1901" s="1">
        <v>17375.73</v>
      </c>
    </row>
    <row r="1902" spans="1:4" x14ac:dyDescent="0.25">
      <c r="A1902" s="65">
        <v>42592</v>
      </c>
      <c r="B1902" s="1">
        <v>3018.46</v>
      </c>
      <c r="C1902" s="65">
        <v>42622</v>
      </c>
      <c r="D1902" s="1">
        <v>17156.48</v>
      </c>
    </row>
    <row r="1903" spans="1:4" x14ac:dyDescent="0.25">
      <c r="A1903" s="65">
        <v>42593</v>
      </c>
      <c r="B1903" s="1">
        <v>3049.03</v>
      </c>
      <c r="C1903" s="65">
        <v>42625</v>
      </c>
      <c r="D1903" s="1">
        <v>16840.28</v>
      </c>
    </row>
    <row r="1904" spans="1:4" x14ac:dyDescent="0.25">
      <c r="A1904" s="65">
        <v>42594</v>
      </c>
      <c r="B1904" s="1">
        <v>3044.94</v>
      </c>
      <c r="C1904" s="65">
        <v>42626</v>
      </c>
      <c r="D1904" s="1">
        <v>16547.75</v>
      </c>
    </row>
    <row r="1905" spans="1:4" x14ac:dyDescent="0.25">
      <c r="A1905" s="65">
        <v>42597</v>
      </c>
      <c r="B1905" s="1">
        <v>3046.65</v>
      </c>
      <c r="C1905" s="65">
        <v>42627</v>
      </c>
      <c r="D1905" s="1">
        <v>16539.900000000001</v>
      </c>
    </row>
    <row r="1906" spans="1:4" x14ac:dyDescent="0.25">
      <c r="A1906" s="65">
        <v>42598</v>
      </c>
      <c r="B1906" s="1">
        <v>3016.19</v>
      </c>
      <c r="C1906" s="65">
        <v>42628</v>
      </c>
      <c r="D1906" s="1">
        <v>16595.43</v>
      </c>
    </row>
    <row r="1907" spans="1:4" x14ac:dyDescent="0.25">
      <c r="A1907" s="65">
        <v>42599</v>
      </c>
      <c r="B1907" s="1">
        <v>2980.54</v>
      </c>
      <c r="C1907" s="65">
        <v>42629</v>
      </c>
      <c r="D1907" s="1">
        <v>16192.16</v>
      </c>
    </row>
    <row r="1908" spans="1:4" x14ac:dyDescent="0.25">
      <c r="A1908" s="65">
        <v>42600</v>
      </c>
      <c r="B1908" s="1">
        <v>2995.3</v>
      </c>
      <c r="C1908" s="65">
        <v>42632</v>
      </c>
      <c r="D1908" s="1">
        <v>16399.259999999998</v>
      </c>
    </row>
    <row r="1909" spans="1:4" x14ac:dyDescent="0.25">
      <c r="A1909" s="65">
        <v>42601</v>
      </c>
      <c r="B1909" s="1">
        <v>2968.2</v>
      </c>
      <c r="C1909" s="65">
        <v>42633</v>
      </c>
      <c r="D1909" s="1">
        <v>16207.1</v>
      </c>
    </row>
    <row r="1910" spans="1:4" x14ac:dyDescent="0.25">
      <c r="A1910" s="65">
        <v>42604</v>
      </c>
      <c r="B1910" s="1">
        <v>2960.37</v>
      </c>
      <c r="C1910" s="65">
        <v>42634</v>
      </c>
      <c r="D1910" s="1">
        <v>16349.82</v>
      </c>
    </row>
    <row r="1911" spans="1:4" x14ac:dyDescent="0.25">
      <c r="A1911" s="65">
        <v>42605</v>
      </c>
      <c r="B1911" s="1">
        <v>2993.73</v>
      </c>
      <c r="C1911" s="65">
        <v>42635</v>
      </c>
      <c r="D1911" s="1">
        <v>16637.689999999999</v>
      </c>
    </row>
    <row r="1912" spans="1:4" x14ac:dyDescent="0.25">
      <c r="A1912" s="65">
        <v>42606</v>
      </c>
      <c r="B1912" s="1">
        <v>3008.59</v>
      </c>
      <c r="C1912" s="65">
        <v>42636</v>
      </c>
      <c r="D1912" s="1">
        <v>16452.84</v>
      </c>
    </row>
    <row r="1913" spans="1:4" x14ac:dyDescent="0.25">
      <c r="A1913" s="65">
        <v>42607</v>
      </c>
      <c r="B1913" s="1">
        <v>2987.69</v>
      </c>
      <c r="C1913" s="65">
        <v>42639</v>
      </c>
      <c r="D1913" s="1">
        <v>16192.48</v>
      </c>
    </row>
    <row r="1914" spans="1:4" x14ac:dyDescent="0.25">
      <c r="A1914" s="65">
        <v>42608</v>
      </c>
      <c r="B1914" s="1">
        <v>3010.36</v>
      </c>
      <c r="C1914" s="65">
        <v>42640</v>
      </c>
      <c r="D1914" s="1">
        <v>16134.71</v>
      </c>
    </row>
    <row r="1915" spans="1:4" x14ac:dyDescent="0.25">
      <c r="A1915" s="65">
        <v>42611</v>
      </c>
      <c r="B1915" s="1">
        <v>2998.5</v>
      </c>
      <c r="C1915" s="65">
        <v>42641</v>
      </c>
      <c r="D1915" s="1">
        <v>16222.21</v>
      </c>
    </row>
    <row r="1916" spans="1:4" x14ac:dyDescent="0.25">
      <c r="A1916" s="65">
        <v>42612</v>
      </c>
      <c r="B1916" s="1">
        <v>3030.75</v>
      </c>
      <c r="C1916" s="65">
        <v>42642</v>
      </c>
      <c r="D1916" s="1">
        <v>16338.78</v>
      </c>
    </row>
    <row r="1917" spans="1:4" x14ac:dyDescent="0.25">
      <c r="A1917" s="65">
        <v>42613</v>
      </c>
      <c r="B1917" s="1">
        <v>3023.13</v>
      </c>
      <c r="C1917" s="65">
        <v>42643</v>
      </c>
      <c r="D1917" s="1">
        <v>16401</v>
      </c>
    </row>
    <row r="1918" spans="1:4" x14ac:dyDescent="0.25">
      <c r="A1918" s="65">
        <v>42614</v>
      </c>
      <c r="B1918" s="1">
        <v>3017.49</v>
      </c>
      <c r="C1918" s="65">
        <v>42646</v>
      </c>
      <c r="D1918" s="1">
        <v>16273.95</v>
      </c>
    </row>
    <row r="1919" spans="1:4" x14ac:dyDescent="0.25">
      <c r="A1919" s="65">
        <v>42615</v>
      </c>
      <c r="B1919" s="1">
        <v>3079.74</v>
      </c>
      <c r="C1919" s="65">
        <v>42647</v>
      </c>
      <c r="D1919" s="1">
        <v>16308.02</v>
      </c>
    </row>
    <row r="1920" spans="1:4" x14ac:dyDescent="0.25">
      <c r="A1920" s="65">
        <v>42618</v>
      </c>
      <c r="B1920" s="1">
        <v>3077.66</v>
      </c>
      <c r="C1920" s="65">
        <v>42648</v>
      </c>
      <c r="D1920" s="1">
        <v>16476.580000000002</v>
      </c>
    </row>
    <row r="1921" spans="1:4" x14ac:dyDescent="0.25">
      <c r="A1921" s="65">
        <v>42619</v>
      </c>
      <c r="B1921" s="1">
        <v>3070.16</v>
      </c>
      <c r="C1921" s="65">
        <v>42649</v>
      </c>
      <c r="D1921" s="1">
        <v>16491.62</v>
      </c>
    </row>
    <row r="1922" spans="1:4" x14ac:dyDescent="0.25">
      <c r="A1922" s="65">
        <v>42620</v>
      </c>
      <c r="B1922" s="1">
        <v>3091.66</v>
      </c>
      <c r="C1922" s="65">
        <v>42650</v>
      </c>
      <c r="D1922" s="1">
        <v>16405.27</v>
      </c>
    </row>
    <row r="1923" spans="1:4" x14ac:dyDescent="0.25">
      <c r="A1923" s="65">
        <v>42621</v>
      </c>
      <c r="B1923" s="1">
        <v>3083.54</v>
      </c>
      <c r="C1923" s="65">
        <v>42653</v>
      </c>
      <c r="D1923" s="1">
        <v>16632.45</v>
      </c>
    </row>
    <row r="1924" spans="1:4" x14ac:dyDescent="0.25">
      <c r="A1924" s="65">
        <v>42622</v>
      </c>
      <c r="B1924" s="1">
        <v>3053.2</v>
      </c>
      <c r="C1924" s="65">
        <v>42654</v>
      </c>
      <c r="D1924" s="1">
        <v>16474.060000000001</v>
      </c>
    </row>
    <row r="1925" spans="1:4" x14ac:dyDescent="0.25">
      <c r="A1925" s="65">
        <v>42625</v>
      </c>
      <c r="B1925" s="1">
        <v>3012.88</v>
      </c>
      <c r="C1925" s="65">
        <v>42655</v>
      </c>
      <c r="D1925" s="1">
        <v>16470.28</v>
      </c>
    </row>
    <row r="1926" spans="1:4" x14ac:dyDescent="0.25">
      <c r="A1926" s="65">
        <v>42626</v>
      </c>
      <c r="B1926" s="1">
        <v>2974.8</v>
      </c>
      <c r="C1926" s="65">
        <v>42656</v>
      </c>
      <c r="D1926" s="1">
        <v>16269.26</v>
      </c>
    </row>
    <row r="1927" spans="1:4" x14ac:dyDescent="0.25">
      <c r="A1927" s="65">
        <v>42627</v>
      </c>
      <c r="B1927" s="1">
        <v>2964.9</v>
      </c>
      <c r="C1927" s="65">
        <v>42657</v>
      </c>
      <c r="D1927" s="1">
        <v>16591.37</v>
      </c>
    </row>
    <row r="1928" spans="1:4" x14ac:dyDescent="0.25">
      <c r="A1928" s="65">
        <v>42628</v>
      </c>
      <c r="B1928" s="1">
        <v>2973.77</v>
      </c>
      <c r="C1928" s="65">
        <v>42660</v>
      </c>
      <c r="D1928" s="1">
        <v>16630.34</v>
      </c>
    </row>
    <row r="1929" spans="1:4" x14ac:dyDescent="0.25">
      <c r="A1929" s="65">
        <v>42629</v>
      </c>
      <c r="B1929" s="1">
        <v>2935.25</v>
      </c>
      <c r="C1929" s="65">
        <v>42661</v>
      </c>
      <c r="D1929" s="1">
        <v>16966.61</v>
      </c>
    </row>
    <row r="1930" spans="1:4" x14ac:dyDescent="0.25">
      <c r="A1930" s="65">
        <v>42632</v>
      </c>
      <c r="B1930" s="1">
        <v>2968.31</v>
      </c>
      <c r="C1930" s="65">
        <v>42662</v>
      </c>
      <c r="D1930" s="1">
        <v>17044.34</v>
      </c>
    </row>
    <row r="1931" spans="1:4" x14ac:dyDescent="0.25">
      <c r="A1931" s="65">
        <v>42633</v>
      </c>
      <c r="B1931" s="1">
        <v>2964.86</v>
      </c>
      <c r="C1931" s="65">
        <v>42663</v>
      </c>
      <c r="D1931" s="1">
        <v>17141.38</v>
      </c>
    </row>
    <row r="1932" spans="1:4" x14ac:dyDescent="0.25">
      <c r="A1932" s="65">
        <v>42634</v>
      </c>
      <c r="B1932" s="1">
        <v>2982.18</v>
      </c>
      <c r="C1932" s="65">
        <v>42664</v>
      </c>
      <c r="D1932" s="1">
        <v>17166.759999999998</v>
      </c>
    </row>
    <row r="1933" spans="1:4" x14ac:dyDescent="0.25">
      <c r="A1933" s="65">
        <v>42635</v>
      </c>
      <c r="B1933" s="1">
        <v>3051.69</v>
      </c>
      <c r="C1933" s="65">
        <v>42667</v>
      </c>
      <c r="D1933" s="1">
        <v>17305.77</v>
      </c>
    </row>
    <row r="1934" spans="1:4" x14ac:dyDescent="0.25">
      <c r="A1934" s="65">
        <v>42636</v>
      </c>
      <c r="B1934" s="1">
        <v>3032.31</v>
      </c>
      <c r="C1934" s="65">
        <v>42668</v>
      </c>
      <c r="D1934" s="1">
        <v>17230.03</v>
      </c>
    </row>
    <row r="1935" spans="1:4" x14ac:dyDescent="0.25">
      <c r="A1935" s="65">
        <v>42639</v>
      </c>
      <c r="B1935" s="1">
        <v>2975.88</v>
      </c>
      <c r="C1935" s="65">
        <v>42669</v>
      </c>
      <c r="D1935" s="1">
        <v>17280.740000000002</v>
      </c>
    </row>
    <row r="1936" spans="1:4" x14ac:dyDescent="0.25">
      <c r="A1936" s="65">
        <v>42640</v>
      </c>
      <c r="B1936" s="1">
        <v>2970.84</v>
      </c>
      <c r="C1936" s="65">
        <v>42670</v>
      </c>
      <c r="D1936" s="1">
        <v>17426.46</v>
      </c>
    </row>
    <row r="1937" spans="1:4" x14ac:dyDescent="0.25">
      <c r="A1937" s="65">
        <v>42641</v>
      </c>
      <c r="B1937" s="1">
        <v>2991.11</v>
      </c>
      <c r="C1937" s="65">
        <v>42671</v>
      </c>
      <c r="D1937" s="1">
        <v>17324.23</v>
      </c>
    </row>
    <row r="1938" spans="1:4" x14ac:dyDescent="0.25">
      <c r="A1938" s="65">
        <v>42642</v>
      </c>
      <c r="B1938" s="1">
        <v>2991.58</v>
      </c>
      <c r="C1938" s="65">
        <v>42674</v>
      </c>
      <c r="D1938" s="1">
        <v>17125.05</v>
      </c>
    </row>
    <row r="1939" spans="1:4" x14ac:dyDescent="0.25">
      <c r="A1939" s="65">
        <v>42643</v>
      </c>
      <c r="B1939" s="1">
        <v>3002.24</v>
      </c>
      <c r="C1939" s="65">
        <v>42675</v>
      </c>
      <c r="D1939" s="1">
        <v>16898.28</v>
      </c>
    </row>
    <row r="1940" spans="1:4" x14ac:dyDescent="0.25">
      <c r="A1940" s="65">
        <v>42646</v>
      </c>
      <c r="B1940" s="1">
        <v>2998.5</v>
      </c>
      <c r="C1940" s="65">
        <v>42676</v>
      </c>
      <c r="D1940" s="1">
        <v>16474.52</v>
      </c>
    </row>
    <row r="1941" spans="1:4" x14ac:dyDescent="0.25">
      <c r="A1941" s="65">
        <v>42647</v>
      </c>
      <c r="B1941" s="1">
        <v>3029.5</v>
      </c>
      <c r="C1941" s="65">
        <v>42677</v>
      </c>
      <c r="D1941" s="1">
        <v>16419.900000000001</v>
      </c>
    </row>
    <row r="1942" spans="1:4" x14ac:dyDescent="0.25">
      <c r="A1942" s="65">
        <v>42648</v>
      </c>
      <c r="B1942" s="1">
        <v>3026.28</v>
      </c>
      <c r="C1942" s="65">
        <v>42678</v>
      </c>
      <c r="D1942" s="1">
        <v>16318.6</v>
      </c>
    </row>
    <row r="1943" spans="1:4" x14ac:dyDescent="0.25">
      <c r="A1943" s="65">
        <v>42649</v>
      </c>
      <c r="B1943" s="1">
        <v>3021.58</v>
      </c>
      <c r="C1943" s="65">
        <v>42681</v>
      </c>
      <c r="D1943" s="1">
        <v>16736.75</v>
      </c>
    </row>
    <row r="1944" spans="1:4" x14ac:dyDescent="0.25">
      <c r="A1944" s="65">
        <v>42650</v>
      </c>
      <c r="B1944" s="1">
        <v>3000.57</v>
      </c>
      <c r="C1944" s="65">
        <v>42682</v>
      </c>
      <c r="D1944" s="1">
        <v>16817.41</v>
      </c>
    </row>
    <row r="1945" spans="1:4" x14ac:dyDescent="0.25">
      <c r="A1945" s="65">
        <v>42653</v>
      </c>
      <c r="B1945" s="1">
        <v>3035.76</v>
      </c>
      <c r="C1945" s="65">
        <v>42683</v>
      </c>
      <c r="D1945" s="1">
        <v>16799.849999999999</v>
      </c>
    </row>
    <row r="1946" spans="1:4" x14ac:dyDescent="0.25">
      <c r="A1946" s="65">
        <v>42654</v>
      </c>
      <c r="B1946" s="1">
        <v>3020.69</v>
      </c>
      <c r="C1946" s="65">
        <v>42684</v>
      </c>
      <c r="D1946" s="1">
        <v>16804.88</v>
      </c>
    </row>
    <row r="1947" spans="1:4" x14ac:dyDescent="0.25">
      <c r="A1947" s="65">
        <v>42655</v>
      </c>
      <c r="B1947" s="1">
        <v>3008.03</v>
      </c>
      <c r="C1947" s="65">
        <v>42685</v>
      </c>
      <c r="D1947" s="1">
        <v>16812.37</v>
      </c>
    </row>
    <row r="1948" spans="1:4" x14ac:dyDescent="0.25">
      <c r="A1948" s="65">
        <v>42656</v>
      </c>
      <c r="B1948" s="1">
        <v>2975.04</v>
      </c>
      <c r="C1948" s="65">
        <v>42688</v>
      </c>
      <c r="D1948" s="1">
        <v>16686.330000000002</v>
      </c>
    </row>
    <row r="1949" spans="1:4" x14ac:dyDescent="0.25">
      <c r="A1949" s="65">
        <v>42657</v>
      </c>
      <c r="B1949" s="1">
        <v>3025.19</v>
      </c>
      <c r="C1949" s="65">
        <v>42689</v>
      </c>
      <c r="D1949" s="1">
        <v>16682.37</v>
      </c>
    </row>
    <row r="1950" spans="1:4" x14ac:dyDescent="0.25">
      <c r="A1950" s="65">
        <v>42660</v>
      </c>
      <c r="B1950" s="1">
        <v>3008.72</v>
      </c>
      <c r="C1950" s="65">
        <v>42690</v>
      </c>
      <c r="D1950" s="1">
        <v>16559.84</v>
      </c>
    </row>
    <row r="1951" spans="1:4" x14ac:dyDescent="0.25">
      <c r="A1951" s="65">
        <v>42661</v>
      </c>
      <c r="B1951" s="1">
        <v>3046.99</v>
      </c>
      <c r="C1951" s="65">
        <v>42691</v>
      </c>
      <c r="D1951" s="1">
        <v>16555.310000000001</v>
      </c>
    </row>
    <row r="1952" spans="1:4" x14ac:dyDescent="0.25">
      <c r="A1952" s="65">
        <v>42662</v>
      </c>
      <c r="B1952" s="1">
        <v>3055.94</v>
      </c>
      <c r="C1952" s="65">
        <v>42692</v>
      </c>
      <c r="D1952" s="1">
        <v>16265.9</v>
      </c>
    </row>
    <row r="1953" spans="1:4" x14ac:dyDescent="0.25">
      <c r="A1953" s="65">
        <v>42663</v>
      </c>
      <c r="B1953" s="1">
        <v>3076.63</v>
      </c>
      <c r="C1953" s="65">
        <v>42695</v>
      </c>
      <c r="D1953" s="1">
        <v>16297.26</v>
      </c>
    </row>
    <row r="1954" spans="1:4" x14ac:dyDescent="0.25">
      <c r="A1954" s="65">
        <v>42664</v>
      </c>
      <c r="B1954" s="1">
        <v>3077.65</v>
      </c>
      <c r="C1954" s="65">
        <v>42696</v>
      </c>
      <c r="D1954" s="1">
        <v>16519.89</v>
      </c>
    </row>
    <row r="1955" spans="1:4" x14ac:dyDescent="0.25">
      <c r="A1955" s="65">
        <v>42667</v>
      </c>
      <c r="B1955" s="1">
        <v>3093.86</v>
      </c>
      <c r="C1955" s="65">
        <v>42697</v>
      </c>
      <c r="D1955" s="1">
        <v>16532.259999999998</v>
      </c>
    </row>
    <row r="1956" spans="1:4" x14ac:dyDescent="0.25">
      <c r="A1956" s="65">
        <v>42668</v>
      </c>
      <c r="B1956" s="1">
        <v>3087.41</v>
      </c>
      <c r="C1956" s="65">
        <v>42698</v>
      </c>
      <c r="D1956" s="1">
        <v>16500.73</v>
      </c>
    </row>
    <row r="1957" spans="1:4" x14ac:dyDescent="0.25">
      <c r="A1957" s="65">
        <v>42669</v>
      </c>
      <c r="B1957" s="1">
        <v>3080.98</v>
      </c>
      <c r="C1957" s="65">
        <v>42699</v>
      </c>
      <c r="D1957" s="1">
        <v>16515.11</v>
      </c>
    </row>
    <row r="1958" spans="1:4" x14ac:dyDescent="0.25">
      <c r="A1958" s="65">
        <v>42670</v>
      </c>
      <c r="B1958" s="1">
        <v>3085.17</v>
      </c>
      <c r="C1958" s="65">
        <v>42702</v>
      </c>
      <c r="D1958" s="1">
        <v>16216.95</v>
      </c>
    </row>
    <row r="1959" spans="1:4" x14ac:dyDescent="0.25">
      <c r="A1959" s="65">
        <v>42671</v>
      </c>
      <c r="B1959" s="1">
        <v>3079.24</v>
      </c>
      <c r="C1959" s="65">
        <v>42703</v>
      </c>
      <c r="D1959" s="1">
        <v>16561.86</v>
      </c>
    </row>
    <row r="1960" spans="1:4" x14ac:dyDescent="0.25">
      <c r="A1960" s="65">
        <v>42674</v>
      </c>
      <c r="B1960" s="1">
        <v>3055.25</v>
      </c>
      <c r="C1960" s="65">
        <v>42704</v>
      </c>
      <c r="D1960" s="1">
        <v>16930.41</v>
      </c>
    </row>
    <row r="1961" spans="1:4" x14ac:dyDescent="0.25">
      <c r="A1961" s="65">
        <v>42675</v>
      </c>
      <c r="B1961" s="1">
        <v>3023.15</v>
      </c>
      <c r="C1961" s="65">
        <v>42705</v>
      </c>
      <c r="D1961" s="1">
        <v>17098.330000000002</v>
      </c>
    </row>
    <row r="1962" spans="1:4" x14ac:dyDescent="0.25">
      <c r="A1962" s="65">
        <v>42676</v>
      </c>
      <c r="B1962" s="1">
        <v>2980.17</v>
      </c>
      <c r="C1962" s="65">
        <v>42706</v>
      </c>
      <c r="D1962" s="1">
        <v>17086.849999999999</v>
      </c>
    </row>
    <row r="1963" spans="1:4" x14ac:dyDescent="0.25">
      <c r="A1963" s="65">
        <v>42677</v>
      </c>
      <c r="B1963" s="1">
        <v>2973.49</v>
      </c>
      <c r="C1963" s="65">
        <v>42709</v>
      </c>
      <c r="D1963" s="1">
        <v>17050.21</v>
      </c>
    </row>
    <row r="1964" spans="1:4" x14ac:dyDescent="0.25">
      <c r="A1964" s="65">
        <v>42678</v>
      </c>
      <c r="B1964" s="1">
        <v>2954.53</v>
      </c>
      <c r="C1964" s="65">
        <v>42710</v>
      </c>
      <c r="D1964" s="1">
        <v>17757.8</v>
      </c>
    </row>
    <row r="1965" spans="1:4" x14ac:dyDescent="0.25">
      <c r="A1965" s="65">
        <v>42681</v>
      </c>
      <c r="B1965" s="1">
        <v>3009.28</v>
      </c>
      <c r="C1965" s="65">
        <v>42711</v>
      </c>
      <c r="D1965" s="1">
        <v>18130.66</v>
      </c>
    </row>
    <row r="1966" spans="1:4" x14ac:dyDescent="0.25">
      <c r="A1966" s="65">
        <v>42682</v>
      </c>
      <c r="B1966" s="1">
        <v>3023.43</v>
      </c>
      <c r="C1966" s="65">
        <v>42712</v>
      </c>
      <c r="D1966" s="1">
        <v>18427.86</v>
      </c>
    </row>
    <row r="1967" spans="1:4" x14ac:dyDescent="0.25">
      <c r="A1967" s="65">
        <v>42683</v>
      </c>
      <c r="B1967" s="1">
        <v>3056.29</v>
      </c>
      <c r="C1967" s="65">
        <v>42713</v>
      </c>
      <c r="D1967" s="1">
        <v>18292.650000000001</v>
      </c>
    </row>
    <row r="1968" spans="1:4" x14ac:dyDescent="0.25">
      <c r="A1968" s="65">
        <v>42684</v>
      </c>
      <c r="B1968" s="1">
        <v>3046.59</v>
      </c>
      <c r="C1968" s="65">
        <v>42716</v>
      </c>
      <c r="D1968" s="1">
        <v>18370.32</v>
      </c>
    </row>
    <row r="1969" spans="1:4" x14ac:dyDescent="0.25">
      <c r="A1969" s="65">
        <v>42685</v>
      </c>
      <c r="B1969" s="1">
        <v>3030.02</v>
      </c>
      <c r="C1969" s="65">
        <v>42717</v>
      </c>
      <c r="D1969" s="1">
        <v>18827.61</v>
      </c>
    </row>
    <row r="1970" spans="1:4" x14ac:dyDescent="0.25">
      <c r="A1970" s="65">
        <v>42688</v>
      </c>
      <c r="B1970" s="1">
        <v>3039.8</v>
      </c>
      <c r="C1970" s="65">
        <v>42718</v>
      </c>
      <c r="D1970" s="1">
        <v>18606.32</v>
      </c>
    </row>
    <row r="1971" spans="1:4" x14ac:dyDescent="0.25">
      <c r="A1971" s="65">
        <v>42689</v>
      </c>
      <c r="B1971" s="1">
        <v>3049.72</v>
      </c>
      <c r="C1971" s="65">
        <v>42719</v>
      </c>
      <c r="D1971" s="1">
        <v>18994.79</v>
      </c>
    </row>
    <row r="1972" spans="1:4" x14ac:dyDescent="0.25">
      <c r="A1972" s="65">
        <v>42690</v>
      </c>
      <c r="B1972" s="1">
        <v>3026.36</v>
      </c>
      <c r="C1972" s="65">
        <v>42720</v>
      </c>
      <c r="D1972" s="1">
        <v>19014.75</v>
      </c>
    </row>
    <row r="1973" spans="1:4" x14ac:dyDescent="0.25">
      <c r="A1973" s="65">
        <v>42691</v>
      </c>
      <c r="B1973" s="1">
        <v>3041.79</v>
      </c>
      <c r="C1973" s="65">
        <v>42723</v>
      </c>
      <c r="D1973" s="1">
        <v>18968.939999999999</v>
      </c>
    </row>
    <row r="1974" spans="1:4" x14ac:dyDescent="0.25">
      <c r="A1974" s="65">
        <v>42692</v>
      </c>
      <c r="B1974" s="1">
        <v>3020.83</v>
      </c>
      <c r="C1974" s="65">
        <v>42724</v>
      </c>
      <c r="D1974" s="1">
        <v>19247.240000000002</v>
      </c>
    </row>
    <row r="1975" spans="1:4" x14ac:dyDescent="0.25">
      <c r="A1975" s="65">
        <v>42695</v>
      </c>
      <c r="B1975" s="1">
        <v>3032.97</v>
      </c>
      <c r="C1975" s="65">
        <v>42725</v>
      </c>
      <c r="D1975" s="1">
        <v>19215.59</v>
      </c>
    </row>
    <row r="1976" spans="1:4" x14ac:dyDescent="0.25">
      <c r="A1976" s="65">
        <v>42696</v>
      </c>
      <c r="B1976" s="1">
        <v>3044.33</v>
      </c>
      <c r="C1976" s="65">
        <v>42726</v>
      </c>
      <c r="D1976" s="1">
        <v>19121.259999999998</v>
      </c>
    </row>
    <row r="1977" spans="1:4" x14ac:dyDescent="0.25">
      <c r="A1977" s="65">
        <v>42697</v>
      </c>
      <c r="B1977" s="1">
        <v>3032.14</v>
      </c>
      <c r="C1977" s="65">
        <v>42727</v>
      </c>
      <c r="D1977" s="1">
        <v>19345.02</v>
      </c>
    </row>
    <row r="1978" spans="1:4" x14ac:dyDescent="0.25">
      <c r="A1978" s="65">
        <v>42698</v>
      </c>
      <c r="B1978" s="1">
        <v>3040.6</v>
      </c>
      <c r="C1978" s="65">
        <v>42731</v>
      </c>
      <c r="D1978" s="1">
        <v>19390.830000000002</v>
      </c>
    </row>
    <row r="1979" spans="1:4" x14ac:dyDescent="0.25">
      <c r="A1979" s="65">
        <v>42699</v>
      </c>
      <c r="B1979" s="1">
        <v>3048.38</v>
      </c>
      <c r="C1979" s="65">
        <v>42732</v>
      </c>
      <c r="D1979" s="1">
        <v>19239.39</v>
      </c>
    </row>
    <row r="1980" spans="1:4" x14ac:dyDescent="0.25">
      <c r="A1980" s="65">
        <v>42702</v>
      </c>
      <c r="B1980" s="1">
        <v>3016.8</v>
      </c>
      <c r="C1980" s="65">
        <v>42733</v>
      </c>
      <c r="D1980" s="1">
        <v>19203.939999999999</v>
      </c>
    </row>
    <row r="1981" spans="1:4" x14ac:dyDescent="0.25">
      <c r="A1981" s="65">
        <v>42703</v>
      </c>
      <c r="B1981" s="1">
        <v>3038.42</v>
      </c>
      <c r="C1981" s="65">
        <v>42734</v>
      </c>
      <c r="D1981" s="1">
        <v>19234.580000000002</v>
      </c>
    </row>
    <row r="1982" spans="1:4" x14ac:dyDescent="0.25">
      <c r="A1982" s="65">
        <v>42704</v>
      </c>
      <c r="B1982" s="1">
        <v>3051.61</v>
      </c>
      <c r="C1982" s="65">
        <v>42737</v>
      </c>
      <c r="D1982" s="1">
        <v>19566.53</v>
      </c>
    </row>
    <row r="1983" spans="1:4" x14ac:dyDescent="0.25">
      <c r="A1983" s="65">
        <v>42705</v>
      </c>
      <c r="B1983" s="1">
        <v>3030.98</v>
      </c>
      <c r="C1983" s="65">
        <v>42738</v>
      </c>
      <c r="D1983" s="1">
        <v>19573.48</v>
      </c>
    </row>
    <row r="1984" spans="1:4" x14ac:dyDescent="0.25">
      <c r="A1984" s="65">
        <v>42706</v>
      </c>
      <c r="B1984" s="1">
        <v>3015.13</v>
      </c>
      <c r="C1984" s="65">
        <v>42739</v>
      </c>
      <c r="D1984" s="1">
        <v>19626.64</v>
      </c>
    </row>
    <row r="1985" spans="1:4" x14ac:dyDescent="0.25">
      <c r="A1985" s="65">
        <v>42709</v>
      </c>
      <c r="B1985" s="1">
        <v>3052.75</v>
      </c>
      <c r="C1985" s="65">
        <v>42740</v>
      </c>
      <c r="D1985" s="1">
        <v>19642.810000000001</v>
      </c>
    </row>
    <row r="1986" spans="1:4" x14ac:dyDescent="0.25">
      <c r="A1986" s="65">
        <v>42710</v>
      </c>
      <c r="B1986" s="1">
        <v>3100.76</v>
      </c>
      <c r="C1986" s="65">
        <v>42741</v>
      </c>
      <c r="D1986" s="1">
        <v>19687.71</v>
      </c>
    </row>
    <row r="1987" spans="1:4" x14ac:dyDescent="0.25">
      <c r="A1987" s="65">
        <v>42711</v>
      </c>
      <c r="B1987" s="1">
        <v>3142.24</v>
      </c>
      <c r="C1987" s="65">
        <v>42744</v>
      </c>
      <c r="D1987" s="1">
        <v>19360.02</v>
      </c>
    </row>
    <row r="1988" spans="1:4" x14ac:dyDescent="0.25">
      <c r="A1988" s="65">
        <v>42712</v>
      </c>
      <c r="B1988" s="1">
        <v>3185.79</v>
      </c>
      <c r="C1988" s="65">
        <v>42745</v>
      </c>
      <c r="D1988" s="1">
        <v>19424.189999999999</v>
      </c>
    </row>
    <row r="1989" spans="1:4" x14ac:dyDescent="0.25">
      <c r="A1989" s="65">
        <v>42713</v>
      </c>
      <c r="B1989" s="1">
        <v>3197.54</v>
      </c>
      <c r="C1989" s="65">
        <v>42746</v>
      </c>
      <c r="D1989" s="1">
        <v>19486.88</v>
      </c>
    </row>
    <row r="1990" spans="1:4" x14ac:dyDescent="0.25">
      <c r="A1990" s="65">
        <v>42716</v>
      </c>
      <c r="B1990" s="1">
        <v>3199.11</v>
      </c>
      <c r="C1990" s="65">
        <v>42747</v>
      </c>
      <c r="D1990" s="1">
        <v>19156.59</v>
      </c>
    </row>
    <row r="1991" spans="1:4" x14ac:dyDescent="0.25">
      <c r="A1991" s="65">
        <v>42717</v>
      </c>
      <c r="B1991" s="1">
        <v>3236.71</v>
      </c>
      <c r="C1991" s="65">
        <v>42748</v>
      </c>
      <c r="D1991" s="1">
        <v>19514.54</v>
      </c>
    </row>
    <row r="1992" spans="1:4" x14ac:dyDescent="0.25">
      <c r="A1992" s="65">
        <v>42718</v>
      </c>
      <c r="B1992" s="1">
        <v>3211.71</v>
      </c>
      <c r="C1992" s="65">
        <v>42751</v>
      </c>
      <c r="D1992" s="1">
        <v>19247.25</v>
      </c>
    </row>
    <row r="1993" spans="1:4" x14ac:dyDescent="0.25">
      <c r="A1993" s="65">
        <v>42719</v>
      </c>
      <c r="B1993" s="1">
        <v>3249.74</v>
      </c>
      <c r="C1993" s="65">
        <v>42752</v>
      </c>
      <c r="D1993" s="1">
        <v>19296.16</v>
      </c>
    </row>
    <row r="1994" spans="1:4" x14ac:dyDescent="0.25">
      <c r="A1994" s="65">
        <v>42720</v>
      </c>
      <c r="B1994" s="1">
        <v>3259.24</v>
      </c>
      <c r="C1994" s="65">
        <v>42753</v>
      </c>
      <c r="D1994" s="1">
        <v>19358.099999999999</v>
      </c>
    </row>
    <row r="1995" spans="1:4" x14ac:dyDescent="0.25">
      <c r="A1995" s="65">
        <v>42723</v>
      </c>
      <c r="B1995" s="1">
        <v>3257.85</v>
      </c>
      <c r="C1995" s="65">
        <v>42754</v>
      </c>
      <c r="D1995" s="1">
        <v>19490.96</v>
      </c>
    </row>
    <row r="1996" spans="1:4" x14ac:dyDescent="0.25">
      <c r="A1996" s="65">
        <v>42724</v>
      </c>
      <c r="B1996" s="1">
        <v>3279.41</v>
      </c>
      <c r="C1996" s="65">
        <v>42755</v>
      </c>
      <c r="D1996" s="1">
        <v>19479.46</v>
      </c>
    </row>
    <row r="1997" spans="1:4" x14ac:dyDescent="0.25">
      <c r="A1997" s="65">
        <v>42725</v>
      </c>
      <c r="B1997" s="1">
        <v>3270.75</v>
      </c>
      <c r="C1997" s="65">
        <v>42758</v>
      </c>
      <c r="D1997" s="1">
        <v>19328.41</v>
      </c>
    </row>
    <row r="1998" spans="1:4" x14ac:dyDescent="0.25">
      <c r="A1998" s="65">
        <v>42726</v>
      </c>
      <c r="B1998" s="1">
        <v>3269.51</v>
      </c>
      <c r="C1998" s="65">
        <v>42759</v>
      </c>
      <c r="D1998" s="1">
        <v>19499.54</v>
      </c>
    </row>
    <row r="1999" spans="1:4" x14ac:dyDescent="0.25">
      <c r="A1999" s="65">
        <v>42727</v>
      </c>
      <c r="B1999" s="1">
        <v>3273.97</v>
      </c>
      <c r="C1999" s="65">
        <v>42760</v>
      </c>
      <c r="D1999" s="1">
        <v>19582.23</v>
      </c>
    </row>
    <row r="2000" spans="1:4" x14ac:dyDescent="0.25">
      <c r="A2000" s="65">
        <v>42731</v>
      </c>
      <c r="B2000" s="1">
        <v>3278.53</v>
      </c>
      <c r="C2000" s="65">
        <v>42761</v>
      </c>
      <c r="D2000" s="1">
        <v>19439.650000000001</v>
      </c>
    </row>
    <row r="2001" spans="1:4" x14ac:dyDescent="0.25">
      <c r="A2001" s="65">
        <v>42732</v>
      </c>
      <c r="B2001" s="1">
        <v>3278.72</v>
      </c>
      <c r="C2001" s="65">
        <v>42762</v>
      </c>
      <c r="D2001" s="1">
        <v>19329.259999999998</v>
      </c>
    </row>
    <row r="2002" spans="1:4" x14ac:dyDescent="0.25">
      <c r="A2002" s="65">
        <v>42733</v>
      </c>
      <c r="B2002" s="1">
        <v>3271.76</v>
      </c>
      <c r="C2002" s="65">
        <v>42765</v>
      </c>
      <c r="D2002" s="1">
        <v>18759.400000000001</v>
      </c>
    </row>
    <row r="2003" spans="1:4" x14ac:dyDescent="0.25">
      <c r="A2003" s="65">
        <v>42734</v>
      </c>
      <c r="B2003" s="1">
        <v>3290.52</v>
      </c>
      <c r="C2003" s="65">
        <v>42766</v>
      </c>
      <c r="D2003" s="1">
        <v>18590.73</v>
      </c>
    </row>
    <row r="2004" spans="1:4" x14ac:dyDescent="0.25">
      <c r="A2004" s="65">
        <v>42737</v>
      </c>
      <c r="B2004" s="1">
        <v>3308.67</v>
      </c>
      <c r="C2004" s="65">
        <v>42767</v>
      </c>
      <c r="D2004" s="1">
        <v>18740.650000000001</v>
      </c>
    </row>
    <row r="2005" spans="1:4" x14ac:dyDescent="0.25">
      <c r="A2005" s="65">
        <v>42738</v>
      </c>
      <c r="B2005" s="1">
        <v>3315.02</v>
      </c>
      <c r="C2005" s="65">
        <v>42768</v>
      </c>
      <c r="D2005" s="1">
        <v>18889.189999999999</v>
      </c>
    </row>
    <row r="2006" spans="1:4" x14ac:dyDescent="0.25">
      <c r="A2006" s="65">
        <v>42739</v>
      </c>
      <c r="B2006" s="1">
        <v>3317.52</v>
      </c>
      <c r="C2006" s="65">
        <v>42769</v>
      </c>
      <c r="D2006" s="1">
        <v>19116.04</v>
      </c>
    </row>
    <row r="2007" spans="1:4" x14ac:dyDescent="0.25">
      <c r="A2007" s="65">
        <v>42740</v>
      </c>
      <c r="B2007" s="1">
        <v>3316.47</v>
      </c>
      <c r="C2007" s="65">
        <v>42772</v>
      </c>
      <c r="D2007" s="1">
        <v>18693.650000000001</v>
      </c>
    </row>
    <row r="2008" spans="1:4" x14ac:dyDescent="0.25">
      <c r="A2008" s="65">
        <v>42741</v>
      </c>
      <c r="B2008" s="1">
        <v>3321.17</v>
      </c>
      <c r="C2008" s="65">
        <v>42773</v>
      </c>
      <c r="D2008" s="1">
        <v>18662.61</v>
      </c>
    </row>
    <row r="2009" spans="1:4" x14ac:dyDescent="0.25">
      <c r="A2009" s="65">
        <v>42744</v>
      </c>
      <c r="B2009" s="1">
        <v>3308.97</v>
      </c>
      <c r="C2009" s="65">
        <v>42774</v>
      </c>
      <c r="D2009" s="1">
        <v>18771.78</v>
      </c>
    </row>
    <row r="2010" spans="1:4" x14ac:dyDescent="0.25">
      <c r="A2010" s="65">
        <v>42745</v>
      </c>
      <c r="B2010" s="1">
        <v>3306.21</v>
      </c>
      <c r="C2010" s="65">
        <v>42775</v>
      </c>
      <c r="D2010" s="1">
        <v>18947.439999999999</v>
      </c>
    </row>
    <row r="2011" spans="1:4" x14ac:dyDescent="0.25">
      <c r="A2011" s="65">
        <v>42746</v>
      </c>
      <c r="B2011" s="1">
        <v>3307.94</v>
      </c>
      <c r="C2011" s="65">
        <v>42776</v>
      </c>
      <c r="D2011" s="1">
        <v>18862.11</v>
      </c>
    </row>
    <row r="2012" spans="1:4" x14ac:dyDescent="0.25">
      <c r="A2012" s="65">
        <v>42747</v>
      </c>
      <c r="B2012" s="1">
        <v>3286.7</v>
      </c>
      <c r="C2012" s="65">
        <v>42779</v>
      </c>
      <c r="D2012" s="1">
        <v>19064.64</v>
      </c>
    </row>
    <row r="2013" spans="1:4" x14ac:dyDescent="0.25">
      <c r="A2013" s="65">
        <v>42748</v>
      </c>
      <c r="B2013" s="1">
        <v>3324.34</v>
      </c>
      <c r="C2013" s="65">
        <v>42780</v>
      </c>
      <c r="D2013" s="1">
        <v>19187.669999999998</v>
      </c>
    </row>
    <row r="2014" spans="1:4" x14ac:dyDescent="0.25">
      <c r="A2014" s="65">
        <v>42751</v>
      </c>
      <c r="B2014" s="1">
        <v>3294.53</v>
      </c>
      <c r="C2014" s="65">
        <v>42781</v>
      </c>
      <c r="D2014" s="1">
        <v>19056.16</v>
      </c>
    </row>
    <row r="2015" spans="1:4" x14ac:dyDescent="0.25">
      <c r="A2015" s="65">
        <v>42752</v>
      </c>
      <c r="B2015" s="1">
        <v>3285.04</v>
      </c>
      <c r="C2015" s="65">
        <v>42782</v>
      </c>
      <c r="D2015" s="1">
        <v>19087.54</v>
      </c>
    </row>
    <row r="2016" spans="1:4" x14ac:dyDescent="0.25">
      <c r="A2016" s="65">
        <v>42753</v>
      </c>
      <c r="B2016" s="1">
        <v>3294</v>
      </c>
      <c r="C2016" s="65">
        <v>42783</v>
      </c>
      <c r="D2016" s="1">
        <v>19006.46</v>
      </c>
    </row>
    <row r="2017" spans="1:4" x14ac:dyDescent="0.25">
      <c r="A2017" s="65">
        <v>42754</v>
      </c>
      <c r="B2017" s="1">
        <v>3290.33</v>
      </c>
      <c r="C2017" s="65">
        <v>42786</v>
      </c>
      <c r="D2017" s="1">
        <v>18978.650000000001</v>
      </c>
    </row>
    <row r="2018" spans="1:4" x14ac:dyDescent="0.25">
      <c r="A2018" s="65">
        <v>42755</v>
      </c>
      <c r="B2018" s="1">
        <v>3299.44</v>
      </c>
      <c r="C2018" s="65">
        <v>42787</v>
      </c>
      <c r="D2018" s="1">
        <v>19043.580000000002</v>
      </c>
    </row>
    <row r="2019" spans="1:4" x14ac:dyDescent="0.25">
      <c r="A2019" s="65">
        <v>42758</v>
      </c>
      <c r="B2019" s="1">
        <v>3273.04</v>
      </c>
      <c r="C2019" s="65">
        <v>42788</v>
      </c>
      <c r="D2019" s="1">
        <v>18884.900000000001</v>
      </c>
    </row>
    <row r="2020" spans="1:4" x14ac:dyDescent="0.25">
      <c r="A2020" s="65">
        <v>42759</v>
      </c>
      <c r="B2020" s="1">
        <v>3281.53</v>
      </c>
      <c r="C2020" s="65">
        <v>42789</v>
      </c>
      <c r="D2020" s="1">
        <v>18819.490000000002</v>
      </c>
    </row>
    <row r="2021" spans="1:4" x14ac:dyDescent="0.25">
      <c r="A2021" s="65">
        <v>42760</v>
      </c>
      <c r="B2021" s="1">
        <v>3326.15</v>
      </c>
      <c r="C2021" s="65">
        <v>42790</v>
      </c>
      <c r="D2021" s="1">
        <v>18596.66</v>
      </c>
    </row>
    <row r="2022" spans="1:4" x14ac:dyDescent="0.25">
      <c r="A2022" s="65">
        <v>42761</v>
      </c>
      <c r="B2022" s="1">
        <v>3319.13</v>
      </c>
      <c r="C2022" s="65">
        <v>42793</v>
      </c>
      <c r="D2022" s="1">
        <v>18914.3</v>
      </c>
    </row>
    <row r="2023" spans="1:4" x14ac:dyDescent="0.25">
      <c r="A2023" s="65">
        <v>42762</v>
      </c>
      <c r="B2023" s="1">
        <v>3303.33</v>
      </c>
      <c r="C2023" s="65">
        <v>42794</v>
      </c>
      <c r="D2023" s="1">
        <v>18913.28</v>
      </c>
    </row>
    <row r="2024" spans="1:4" x14ac:dyDescent="0.25">
      <c r="A2024" s="65">
        <v>42765</v>
      </c>
      <c r="B2024" s="1">
        <v>3262.72</v>
      </c>
      <c r="C2024" s="65">
        <v>42795</v>
      </c>
      <c r="D2024" s="1">
        <v>19364.39</v>
      </c>
    </row>
    <row r="2025" spans="1:4" x14ac:dyDescent="0.25">
      <c r="A2025" s="65">
        <v>42766</v>
      </c>
      <c r="B2025" s="1">
        <v>3230.68</v>
      </c>
      <c r="C2025" s="65">
        <v>42796</v>
      </c>
      <c r="D2025" s="1">
        <v>19440.62</v>
      </c>
    </row>
    <row r="2026" spans="1:4" x14ac:dyDescent="0.25">
      <c r="A2026" s="65">
        <v>42767</v>
      </c>
      <c r="B2026" s="1">
        <v>3258.92</v>
      </c>
      <c r="C2026" s="65">
        <v>42797</v>
      </c>
      <c r="D2026" s="1">
        <v>19664.45</v>
      </c>
    </row>
    <row r="2027" spans="1:4" x14ac:dyDescent="0.25">
      <c r="A2027" s="65">
        <v>42768</v>
      </c>
      <c r="B2027" s="1">
        <v>3253.61</v>
      </c>
      <c r="C2027" s="65">
        <v>42800</v>
      </c>
      <c r="D2027" s="1">
        <v>19449.849999999999</v>
      </c>
    </row>
    <row r="2028" spans="1:4" x14ac:dyDescent="0.25">
      <c r="A2028" s="65">
        <v>42769</v>
      </c>
      <c r="B2028" s="1">
        <v>3273.11</v>
      </c>
      <c r="C2028" s="65">
        <v>42801</v>
      </c>
      <c r="D2028" s="1">
        <v>19455.05</v>
      </c>
    </row>
    <row r="2029" spans="1:4" x14ac:dyDescent="0.25">
      <c r="A2029" s="65">
        <v>42772</v>
      </c>
      <c r="B2029" s="1">
        <v>3238.31</v>
      </c>
      <c r="C2029" s="65">
        <v>42802</v>
      </c>
      <c r="D2029" s="1">
        <v>19482.39</v>
      </c>
    </row>
    <row r="2030" spans="1:4" x14ac:dyDescent="0.25">
      <c r="A2030" s="65">
        <v>42773</v>
      </c>
      <c r="B2030" s="1">
        <v>3235.71</v>
      </c>
      <c r="C2030" s="65">
        <v>42803</v>
      </c>
      <c r="D2030" s="1">
        <v>19571.240000000002</v>
      </c>
    </row>
    <row r="2031" spans="1:4" x14ac:dyDescent="0.25">
      <c r="A2031" s="65">
        <v>42774</v>
      </c>
      <c r="B2031" s="1">
        <v>3238.04</v>
      </c>
      <c r="C2031" s="65">
        <v>42804</v>
      </c>
      <c r="D2031" s="1">
        <v>19658.37</v>
      </c>
    </row>
    <row r="2032" spans="1:4" x14ac:dyDescent="0.25">
      <c r="A2032" s="65">
        <v>42775</v>
      </c>
      <c r="B2032" s="1">
        <v>3277.79</v>
      </c>
      <c r="C2032" s="65">
        <v>42807</v>
      </c>
      <c r="D2032" s="1">
        <v>19706.95</v>
      </c>
    </row>
    <row r="2033" spans="1:4" x14ac:dyDescent="0.25">
      <c r="A2033" s="65">
        <v>42776</v>
      </c>
      <c r="B2033" s="1">
        <v>3270.83</v>
      </c>
      <c r="C2033" s="65">
        <v>42808</v>
      </c>
      <c r="D2033" s="1">
        <v>19537.400000000001</v>
      </c>
    </row>
    <row r="2034" spans="1:4" x14ac:dyDescent="0.25">
      <c r="A2034" s="65">
        <v>42779</v>
      </c>
      <c r="B2034" s="1">
        <v>3305.23</v>
      </c>
      <c r="C2034" s="65">
        <v>42809</v>
      </c>
      <c r="D2034" s="1">
        <v>19774.02</v>
      </c>
    </row>
    <row r="2035" spans="1:4" x14ac:dyDescent="0.25">
      <c r="A2035" s="65">
        <v>42780</v>
      </c>
      <c r="B2035" s="1">
        <v>3308.89</v>
      </c>
      <c r="C2035" s="65">
        <v>42810</v>
      </c>
      <c r="D2035" s="1">
        <v>20109.759999999998</v>
      </c>
    </row>
    <row r="2036" spans="1:4" x14ac:dyDescent="0.25">
      <c r="A2036" s="65">
        <v>42781</v>
      </c>
      <c r="B2036" s="1">
        <v>3323.71</v>
      </c>
      <c r="C2036" s="65">
        <v>42811</v>
      </c>
      <c r="D2036" s="1">
        <v>20074.28</v>
      </c>
    </row>
    <row r="2037" spans="1:4" x14ac:dyDescent="0.25">
      <c r="A2037" s="65">
        <v>42782</v>
      </c>
      <c r="B2037" s="1">
        <v>3311.04</v>
      </c>
      <c r="C2037" s="65">
        <v>42814</v>
      </c>
      <c r="D2037" s="1">
        <v>19968.55</v>
      </c>
    </row>
    <row r="2038" spans="1:4" x14ac:dyDescent="0.25">
      <c r="A2038" s="65">
        <v>42783</v>
      </c>
      <c r="B2038" s="1">
        <v>3308.81</v>
      </c>
      <c r="C2038" s="65">
        <v>42815</v>
      </c>
      <c r="D2038" s="1">
        <v>19918.84</v>
      </c>
    </row>
    <row r="2039" spans="1:4" x14ac:dyDescent="0.25">
      <c r="A2039" s="65">
        <v>42786</v>
      </c>
      <c r="B2039" s="1">
        <v>3312.39</v>
      </c>
      <c r="C2039" s="65">
        <v>42816</v>
      </c>
      <c r="D2039" s="1">
        <v>19953.439999999999</v>
      </c>
    </row>
    <row r="2040" spans="1:4" x14ac:dyDescent="0.25">
      <c r="A2040" s="65">
        <v>42787</v>
      </c>
      <c r="B2040" s="1">
        <v>3339.33</v>
      </c>
      <c r="C2040" s="65">
        <v>42817</v>
      </c>
      <c r="D2040" s="1">
        <v>20167.490000000002</v>
      </c>
    </row>
    <row r="2041" spans="1:4" x14ac:dyDescent="0.25">
      <c r="A2041" s="65">
        <v>42788</v>
      </c>
      <c r="B2041" s="1">
        <v>3339.27</v>
      </c>
      <c r="C2041" s="65">
        <v>42818</v>
      </c>
      <c r="D2041" s="1">
        <v>20188.02</v>
      </c>
    </row>
    <row r="2042" spans="1:4" x14ac:dyDescent="0.25">
      <c r="A2042" s="65">
        <v>42789</v>
      </c>
      <c r="B2042" s="1">
        <v>3333.96</v>
      </c>
      <c r="C2042" s="65">
        <v>42821</v>
      </c>
      <c r="D2042" s="1">
        <v>20124.189999999999</v>
      </c>
    </row>
    <row r="2043" spans="1:4" x14ac:dyDescent="0.25">
      <c r="A2043" s="65">
        <v>42790</v>
      </c>
      <c r="B2043" s="1">
        <v>3304.09</v>
      </c>
      <c r="C2043" s="65">
        <v>42822</v>
      </c>
      <c r="D2043" s="1">
        <v>20330.419999999998</v>
      </c>
    </row>
    <row r="2044" spans="1:4" x14ac:dyDescent="0.25">
      <c r="A2044" s="65">
        <v>42793</v>
      </c>
      <c r="B2044" s="1">
        <v>3309.3</v>
      </c>
      <c r="C2044" s="65">
        <v>42823</v>
      </c>
      <c r="D2044" s="1">
        <v>20276.8</v>
      </c>
    </row>
    <row r="2045" spans="1:4" x14ac:dyDescent="0.25">
      <c r="A2045" s="65">
        <v>42794</v>
      </c>
      <c r="B2045" s="1">
        <v>3319.61</v>
      </c>
      <c r="C2045" s="65">
        <v>42824</v>
      </c>
      <c r="D2045" s="1">
        <v>20367.75</v>
      </c>
    </row>
    <row r="2046" spans="1:4" x14ac:dyDescent="0.25">
      <c r="A2046" s="65">
        <v>42795</v>
      </c>
      <c r="B2046" s="1">
        <v>3390.2</v>
      </c>
      <c r="C2046" s="65">
        <v>42825</v>
      </c>
      <c r="D2046" s="1">
        <v>20492.939999999999</v>
      </c>
    </row>
    <row r="2047" spans="1:4" x14ac:dyDescent="0.25">
      <c r="A2047" s="65">
        <v>42796</v>
      </c>
      <c r="B2047" s="1">
        <v>3384.71</v>
      </c>
      <c r="C2047" s="65">
        <v>42828</v>
      </c>
      <c r="D2047" s="1">
        <v>20242.88</v>
      </c>
    </row>
    <row r="2048" spans="1:4" x14ac:dyDescent="0.25">
      <c r="A2048" s="65">
        <v>42797</v>
      </c>
      <c r="B2048" s="1">
        <v>3403.39</v>
      </c>
      <c r="C2048" s="65">
        <v>42829</v>
      </c>
      <c r="D2048" s="1">
        <v>20257.099999999999</v>
      </c>
    </row>
    <row r="2049" spans="1:4" x14ac:dyDescent="0.25">
      <c r="A2049" s="65">
        <v>42800</v>
      </c>
      <c r="B2049" s="1">
        <v>3387.46</v>
      </c>
      <c r="C2049" s="65">
        <v>42830</v>
      </c>
      <c r="D2049" s="1">
        <v>20253.37</v>
      </c>
    </row>
    <row r="2050" spans="1:4" x14ac:dyDescent="0.25">
      <c r="A2050" s="65">
        <v>42801</v>
      </c>
      <c r="B2050" s="1">
        <v>3385.12</v>
      </c>
      <c r="C2050" s="65">
        <v>42831</v>
      </c>
      <c r="D2050" s="1">
        <v>20296.97</v>
      </c>
    </row>
    <row r="2051" spans="1:4" x14ac:dyDescent="0.25">
      <c r="A2051" s="65">
        <v>42802</v>
      </c>
      <c r="B2051" s="1">
        <v>3389.62</v>
      </c>
      <c r="C2051" s="65">
        <v>42832</v>
      </c>
      <c r="D2051" s="1">
        <v>20300.060000000001</v>
      </c>
    </row>
    <row r="2052" spans="1:4" x14ac:dyDescent="0.25">
      <c r="A2052" s="65">
        <v>42803</v>
      </c>
      <c r="B2052" s="1">
        <v>3409.89</v>
      </c>
      <c r="C2052" s="65">
        <v>42835</v>
      </c>
      <c r="D2052" s="1">
        <v>20202.05</v>
      </c>
    </row>
    <row r="2053" spans="1:4" x14ac:dyDescent="0.25">
      <c r="A2053" s="65">
        <v>42804</v>
      </c>
      <c r="B2053" s="1">
        <v>3416.27</v>
      </c>
      <c r="C2053" s="65">
        <v>42836</v>
      </c>
      <c r="D2053" s="1">
        <v>20109.060000000001</v>
      </c>
    </row>
    <row r="2054" spans="1:4" x14ac:dyDescent="0.25">
      <c r="A2054" s="65">
        <v>42807</v>
      </c>
      <c r="B2054" s="1">
        <v>3415.49</v>
      </c>
      <c r="C2054" s="65">
        <v>42837</v>
      </c>
      <c r="D2054" s="1">
        <v>20004.93</v>
      </c>
    </row>
    <row r="2055" spans="1:4" x14ac:dyDescent="0.25">
      <c r="A2055" s="65">
        <v>42808</v>
      </c>
      <c r="B2055" s="1">
        <v>3399.43</v>
      </c>
      <c r="C2055" s="65">
        <v>42838</v>
      </c>
      <c r="D2055" s="1">
        <v>19773.68</v>
      </c>
    </row>
    <row r="2056" spans="1:4" x14ac:dyDescent="0.25">
      <c r="A2056" s="65">
        <v>42809</v>
      </c>
      <c r="B2056" s="1">
        <v>3409.32</v>
      </c>
      <c r="C2056" s="65">
        <v>42843</v>
      </c>
      <c r="D2056" s="1">
        <v>19442.71</v>
      </c>
    </row>
    <row r="2057" spans="1:4" x14ac:dyDescent="0.25">
      <c r="A2057" s="65">
        <v>42810</v>
      </c>
      <c r="B2057" s="1">
        <v>3439.96</v>
      </c>
      <c r="C2057" s="65">
        <v>42844</v>
      </c>
      <c r="D2057" s="1">
        <v>19824.61</v>
      </c>
    </row>
    <row r="2058" spans="1:4" x14ac:dyDescent="0.25">
      <c r="A2058" s="65">
        <v>42811</v>
      </c>
      <c r="B2058" s="1">
        <v>3448.41</v>
      </c>
      <c r="C2058" s="65">
        <v>42845</v>
      </c>
      <c r="D2058" s="1">
        <v>19849.439999999999</v>
      </c>
    </row>
    <row r="2059" spans="1:4" x14ac:dyDescent="0.25">
      <c r="A2059" s="65">
        <v>42814</v>
      </c>
      <c r="B2059" s="1">
        <v>3437.48</v>
      </c>
      <c r="C2059" s="65">
        <v>42846</v>
      </c>
      <c r="D2059" s="1">
        <v>19741.75</v>
      </c>
    </row>
    <row r="2060" spans="1:4" x14ac:dyDescent="0.25">
      <c r="A2060" s="65">
        <v>42815</v>
      </c>
      <c r="B2060" s="1">
        <v>3429.62</v>
      </c>
      <c r="C2060" s="65">
        <v>42849</v>
      </c>
      <c r="D2060" s="1">
        <v>20684.41</v>
      </c>
    </row>
    <row r="2061" spans="1:4" x14ac:dyDescent="0.25">
      <c r="A2061" s="65">
        <v>42816</v>
      </c>
      <c r="B2061" s="1">
        <v>3420.7</v>
      </c>
      <c r="C2061" s="65">
        <v>42850</v>
      </c>
      <c r="D2061" s="1">
        <v>20805.52</v>
      </c>
    </row>
    <row r="2062" spans="1:4" x14ac:dyDescent="0.25">
      <c r="A2062" s="65">
        <v>42817</v>
      </c>
      <c r="B2062" s="1">
        <v>3452.18</v>
      </c>
      <c r="C2062" s="65">
        <v>42851</v>
      </c>
      <c r="D2062" s="1">
        <v>20836.509999999998</v>
      </c>
    </row>
    <row r="2063" spans="1:4" x14ac:dyDescent="0.25">
      <c r="A2063" s="65">
        <v>42818</v>
      </c>
      <c r="B2063" s="1">
        <v>3444.15</v>
      </c>
      <c r="C2063" s="65">
        <v>42852</v>
      </c>
      <c r="D2063" s="1">
        <v>20597.34</v>
      </c>
    </row>
    <row r="2064" spans="1:4" x14ac:dyDescent="0.25">
      <c r="A2064" s="65">
        <v>42821</v>
      </c>
      <c r="B2064" s="1">
        <v>3437.14</v>
      </c>
      <c r="C2064" s="65">
        <v>42853</v>
      </c>
      <c r="D2064" s="1">
        <v>20609.16</v>
      </c>
    </row>
    <row r="2065" spans="1:4" x14ac:dyDescent="0.25">
      <c r="A2065" s="65">
        <v>42822</v>
      </c>
      <c r="B2065" s="1">
        <v>3465.07</v>
      </c>
      <c r="C2065" s="65">
        <v>42857</v>
      </c>
      <c r="D2065" s="1">
        <v>20733.25</v>
      </c>
    </row>
    <row r="2066" spans="1:4" x14ac:dyDescent="0.25">
      <c r="A2066" s="65">
        <v>42823</v>
      </c>
      <c r="B2066" s="1">
        <v>3475.27</v>
      </c>
      <c r="C2066" s="65">
        <v>42858</v>
      </c>
      <c r="D2066" s="1">
        <v>20759.310000000001</v>
      </c>
    </row>
    <row r="2067" spans="1:4" x14ac:dyDescent="0.25">
      <c r="A2067" s="65">
        <v>42824</v>
      </c>
      <c r="B2067" s="1">
        <v>3481.58</v>
      </c>
      <c r="C2067" s="65">
        <v>42859</v>
      </c>
      <c r="D2067" s="1">
        <v>21169.919999999998</v>
      </c>
    </row>
    <row r="2068" spans="1:4" x14ac:dyDescent="0.25">
      <c r="A2068" s="65">
        <v>42825</v>
      </c>
      <c r="B2068" s="1">
        <v>3500.93</v>
      </c>
      <c r="C2068" s="65">
        <v>42860</v>
      </c>
      <c r="D2068" s="1">
        <v>21483.86</v>
      </c>
    </row>
    <row r="2069" spans="1:4" x14ac:dyDescent="0.25">
      <c r="A2069" s="65">
        <v>42828</v>
      </c>
      <c r="B2069" s="1">
        <v>3472.94</v>
      </c>
      <c r="C2069" s="65">
        <v>42863</v>
      </c>
      <c r="D2069" s="1">
        <v>21428.1</v>
      </c>
    </row>
    <row r="2070" spans="1:4" x14ac:dyDescent="0.25">
      <c r="A2070" s="65">
        <v>42829</v>
      </c>
      <c r="B2070" s="1">
        <v>3481.66</v>
      </c>
      <c r="C2070" s="65">
        <v>42864</v>
      </c>
      <c r="D2070" s="1">
        <v>21486.95</v>
      </c>
    </row>
    <row r="2071" spans="1:4" x14ac:dyDescent="0.25">
      <c r="A2071" s="65">
        <v>42830</v>
      </c>
      <c r="B2071" s="1">
        <v>3472.58</v>
      </c>
      <c r="C2071" s="65">
        <v>42865</v>
      </c>
      <c r="D2071" s="1">
        <v>21552.81</v>
      </c>
    </row>
    <row r="2072" spans="1:4" x14ac:dyDescent="0.25">
      <c r="A2072" s="65">
        <v>42831</v>
      </c>
      <c r="B2072" s="1">
        <v>3489.57</v>
      </c>
      <c r="C2072" s="65">
        <v>42866</v>
      </c>
      <c r="D2072" s="1">
        <v>21482.52</v>
      </c>
    </row>
    <row r="2073" spans="1:4" x14ac:dyDescent="0.25">
      <c r="A2073" s="65">
        <v>42832</v>
      </c>
      <c r="B2073" s="1">
        <v>3495.8</v>
      </c>
      <c r="C2073" s="65">
        <v>42867</v>
      </c>
      <c r="D2073" s="1">
        <v>21575.45</v>
      </c>
    </row>
    <row r="2074" spans="1:4" x14ac:dyDescent="0.25">
      <c r="A2074" s="65">
        <v>42835</v>
      </c>
      <c r="B2074" s="1">
        <v>3480.44</v>
      </c>
      <c r="C2074" s="65">
        <v>42870</v>
      </c>
      <c r="D2074" s="1">
        <v>21704.46</v>
      </c>
    </row>
    <row r="2075" spans="1:4" x14ac:dyDescent="0.25">
      <c r="A2075" s="65">
        <v>42836</v>
      </c>
      <c r="B2075" s="1">
        <v>3470.04</v>
      </c>
      <c r="C2075" s="65">
        <v>42871</v>
      </c>
      <c r="D2075" s="1">
        <v>21787.9</v>
      </c>
    </row>
    <row r="2076" spans="1:4" x14ac:dyDescent="0.25">
      <c r="A2076" s="65">
        <v>42837</v>
      </c>
      <c r="B2076" s="1">
        <v>3468.51</v>
      </c>
      <c r="C2076" s="65">
        <v>42872</v>
      </c>
      <c r="D2076" s="1">
        <v>21283.72</v>
      </c>
    </row>
    <row r="2077" spans="1:4" x14ac:dyDescent="0.25">
      <c r="A2077" s="65">
        <v>42838</v>
      </c>
      <c r="B2077" s="1">
        <v>3448.26</v>
      </c>
      <c r="C2077" s="65">
        <v>42873</v>
      </c>
      <c r="D2077" s="1">
        <v>21299.26</v>
      </c>
    </row>
    <row r="2078" spans="1:4" x14ac:dyDescent="0.25">
      <c r="A2078" s="65">
        <v>42843</v>
      </c>
      <c r="B2078" s="1">
        <v>3409.78</v>
      </c>
      <c r="C2078" s="65">
        <v>42874</v>
      </c>
      <c r="D2078" s="1">
        <v>21567.52</v>
      </c>
    </row>
    <row r="2079" spans="1:4" x14ac:dyDescent="0.25">
      <c r="A2079" s="65">
        <v>42844</v>
      </c>
      <c r="B2079" s="1">
        <v>3420.99</v>
      </c>
      <c r="C2079" s="65">
        <v>42877</v>
      </c>
      <c r="D2079" s="1">
        <v>21318.58</v>
      </c>
    </row>
    <row r="2080" spans="1:4" x14ac:dyDescent="0.25">
      <c r="A2080" s="65">
        <v>42845</v>
      </c>
      <c r="B2080" s="1">
        <v>3440.03</v>
      </c>
      <c r="C2080" s="65">
        <v>42878</v>
      </c>
      <c r="D2080" s="1">
        <v>21415.74</v>
      </c>
    </row>
    <row r="2081" spans="1:4" x14ac:dyDescent="0.25">
      <c r="A2081" s="65">
        <v>42846</v>
      </c>
      <c r="B2081" s="1">
        <v>3440.27</v>
      </c>
      <c r="C2081" s="65">
        <v>42879</v>
      </c>
      <c r="D2081" s="1">
        <v>21369.73</v>
      </c>
    </row>
    <row r="2082" spans="1:4" x14ac:dyDescent="0.25">
      <c r="A2082" s="65">
        <v>42849</v>
      </c>
      <c r="B2082" s="1">
        <v>3577.38</v>
      </c>
      <c r="C2082" s="65">
        <v>42880</v>
      </c>
      <c r="D2082" s="1">
        <v>21291.72</v>
      </c>
    </row>
    <row r="2083" spans="1:4" x14ac:dyDescent="0.25">
      <c r="A2083" s="65">
        <v>42850</v>
      </c>
      <c r="B2083" s="1">
        <v>3583.16</v>
      </c>
      <c r="C2083" s="65">
        <v>42881</v>
      </c>
      <c r="D2083" s="1">
        <v>21210.57</v>
      </c>
    </row>
    <row r="2084" spans="1:4" x14ac:dyDescent="0.25">
      <c r="A2084" s="65">
        <v>42851</v>
      </c>
      <c r="B2084" s="1">
        <v>3578.71</v>
      </c>
      <c r="C2084" s="65">
        <v>42884</v>
      </c>
      <c r="D2084" s="1">
        <v>20783.82</v>
      </c>
    </row>
    <row r="2085" spans="1:4" x14ac:dyDescent="0.25">
      <c r="A2085" s="65">
        <v>42852</v>
      </c>
      <c r="B2085" s="1">
        <v>3563.29</v>
      </c>
      <c r="C2085" s="65">
        <v>42885</v>
      </c>
      <c r="D2085" s="1">
        <v>20814.48</v>
      </c>
    </row>
    <row r="2086" spans="1:4" x14ac:dyDescent="0.25">
      <c r="A2086" s="65">
        <v>42853</v>
      </c>
      <c r="B2086" s="1">
        <v>3559.59</v>
      </c>
      <c r="C2086" s="65">
        <v>42886</v>
      </c>
      <c r="D2086" s="1">
        <v>20731.68</v>
      </c>
    </row>
    <row r="2087" spans="1:4" x14ac:dyDescent="0.25">
      <c r="A2087" s="65">
        <v>42856</v>
      </c>
      <c r="B2087" s="1">
        <v>3559.59</v>
      </c>
      <c r="C2087" s="65">
        <v>42887</v>
      </c>
      <c r="D2087" s="1">
        <v>20936.07</v>
      </c>
    </row>
    <row r="2088" spans="1:4" x14ac:dyDescent="0.25">
      <c r="A2088" s="65">
        <v>42857</v>
      </c>
      <c r="B2088" s="1">
        <v>3578.21</v>
      </c>
      <c r="C2088" s="65">
        <v>42888</v>
      </c>
      <c r="D2088" s="1">
        <v>20928.240000000002</v>
      </c>
    </row>
    <row r="2089" spans="1:4" x14ac:dyDescent="0.25">
      <c r="A2089" s="65">
        <v>42858</v>
      </c>
      <c r="B2089" s="1">
        <v>3586.25</v>
      </c>
      <c r="C2089" s="65">
        <v>42891</v>
      </c>
      <c r="D2089" s="1">
        <v>20721.04</v>
      </c>
    </row>
    <row r="2090" spans="1:4" x14ac:dyDescent="0.25">
      <c r="A2090" s="65">
        <v>42859</v>
      </c>
      <c r="B2090" s="1">
        <v>3627.88</v>
      </c>
      <c r="C2090" s="65">
        <v>42892</v>
      </c>
      <c r="D2090" s="1">
        <v>20760.009999999998</v>
      </c>
    </row>
    <row r="2091" spans="1:4" x14ac:dyDescent="0.25">
      <c r="A2091" s="65">
        <v>42860</v>
      </c>
      <c r="B2091" s="1">
        <v>3658.79</v>
      </c>
      <c r="C2091" s="65">
        <v>42893</v>
      </c>
      <c r="D2091" s="1">
        <v>20739.91</v>
      </c>
    </row>
    <row r="2092" spans="1:4" x14ac:dyDescent="0.25">
      <c r="A2092" s="65">
        <v>42863</v>
      </c>
      <c r="B2092" s="1">
        <v>3642.11</v>
      </c>
      <c r="C2092" s="65">
        <v>42894</v>
      </c>
      <c r="D2092" s="1">
        <v>21042.41</v>
      </c>
    </row>
    <row r="2093" spans="1:4" x14ac:dyDescent="0.25">
      <c r="A2093" s="65">
        <v>42864</v>
      </c>
      <c r="B2093" s="1">
        <v>3649.08</v>
      </c>
      <c r="C2093" s="65">
        <v>42895</v>
      </c>
      <c r="D2093" s="1">
        <v>21122.42</v>
      </c>
    </row>
    <row r="2094" spans="1:4" x14ac:dyDescent="0.25">
      <c r="A2094" s="65">
        <v>42865</v>
      </c>
      <c r="B2094" s="1">
        <v>3645.74</v>
      </c>
      <c r="C2094" s="65">
        <v>42898</v>
      </c>
      <c r="D2094" s="1">
        <v>20910.23</v>
      </c>
    </row>
    <row r="2095" spans="1:4" x14ac:dyDescent="0.25">
      <c r="A2095" s="65">
        <v>42866</v>
      </c>
      <c r="B2095" s="1">
        <v>3623.55</v>
      </c>
      <c r="C2095" s="65">
        <v>42899</v>
      </c>
      <c r="D2095" s="1">
        <v>21088.78</v>
      </c>
    </row>
    <row r="2096" spans="1:4" x14ac:dyDescent="0.25">
      <c r="A2096" s="65">
        <v>42867</v>
      </c>
      <c r="B2096" s="1">
        <v>3637.52</v>
      </c>
      <c r="C2096" s="65">
        <v>42900</v>
      </c>
      <c r="D2096" s="1">
        <v>20960.55</v>
      </c>
    </row>
    <row r="2097" spans="1:4" x14ac:dyDescent="0.25">
      <c r="A2097" s="65">
        <v>42870</v>
      </c>
      <c r="B2097" s="1">
        <v>3641.88</v>
      </c>
      <c r="C2097" s="65">
        <v>42901</v>
      </c>
      <c r="D2097" s="1">
        <v>20847.509999999998</v>
      </c>
    </row>
    <row r="2098" spans="1:4" x14ac:dyDescent="0.25">
      <c r="A2098" s="65">
        <v>42871</v>
      </c>
      <c r="B2098" s="1">
        <v>3641.89</v>
      </c>
      <c r="C2098" s="65">
        <v>42902</v>
      </c>
      <c r="D2098" s="1">
        <v>20940.73</v>
      </c>
    </row>
    <row r="2099" spans="1:4" x14ac:dyDescent="0.25">
      <c r="A2099" s="65">
        <v>42872</v>
      </c>
      <c r="B2099" s="1">
        <v>3584.83</v>
      </c>
      <c r="C2099" s="65">
        <v>42905</v>
      </c>
      <c r="D2099" s="1">
        <v>21014.25</v>
      </c>
    </row>
    <row r="2100" spans="1:4" x14ac:dyDescent="0.25">
      <c r="A2100" s="65">
        <v>42873</v>
      </c>
      <c r="B2100" s="1">
        <v>3562.22</v>
      </c>
      <c r="C2100" s="65">
        <v>42906</v>
      </c>
      <c r="D2100" s="1">
        <v>20810.02</v>
      </c>
    </row>
    <row r="2101" spans="1:4" x14ac:dyDescent="0.25">
      <c r="A2101" s="65">
        <v>42874</v>
      </c>
      <c r="B2101" s="1">
        <v>3587.01</v>
      </c>
      <c r="C2101" s="65">
        <v>42907</v>
      </c>
      <c r="D2101" s="1">
        <v>21071.91</v>
      </c>
    </row>
    <row r="2102" spans="1:4" x14ac:dyDescent="0.25">
      <c r="A2102" s="65">
        <v>42877</v>
      </c>
      <c r="B2102" s="1">
        <v>3576.53</v>
      </c>
      <c r="C2102" s="65">
        <v>42908</v>
      </c>
      <c r="D2102" s="1">
        <v>20930.259999999998</v>
      </c>
    </row>
    <row r="2103" spans="1:4" x14ac:dyDescent="0.25">
      <c r="A2103" s="65">
        <v>42878</v>
      </c>
      <c r="B2103" s="1">
        <v>3595.03</v>
      </c>
      <c r="C2103" s="65">
        <v>42909</v>
      </c>
      <c r="D2103" s="1">
        <v>20833.88</v>
      </c>
    </row>
    <row r="2104" spans="1:4" x14ac:dyDescent="0.25">
      <c r="A2104" s="65">
        <v>42879</v>
      </c>
      <c r="B2104" s="1">
        <v>3586.62</v>
      </c>
      <c r="C2104" s="65">
        <v>42912</v>
      </c>
      <c r="D2104" s="1">
        <v>21001.95</v>
      </c>
    </row>
    <row r="2105" spans="1:4" x14ac:dyDescent="0.25">
      <c r="A2105" s="65">
        <v>42880</v>
      </c>
      <c r="B2105" s="1">
        <v>3584.55</v>
      </c>
      <c r="C2105" s="65">
        <v>42913</v>
      </c>
      <c r="D2105" s="1">
        <v>20790.86</v>
      </c>
    </row>
    <row r="2106" spans="1:4" x14ac:dyDescent="0.25">
      <c r="A2106" s="65">
        <v>42881</v>
      </c>
      <c r="B2106" s="1">
        <v>3579.02</v>
      </c>
      <c r="C2106" s="65">
        <v>42914</v>
      </c>
      <c r="D2106" s="1">
        <v>21047.8</v>
      </c>
    </row>
    <row r="2107" spans="1:4" x14ac:dyDescent="0.25">
      <c r="A2107" s="65">
        <v>42884</v>
      </c>
      <c r="B2107" s="1">
        <v>3578.95</v>
      </c>
      <c r="C2107" s="65">
        <v>42915</v>
      </c>
      <c r="D2107" s="1">
        <v>20704.650000000001</v>
      </c>
    </row>
    <row r="2108" spans="1:4" x14ac:dyDescent="0.25">
      <c r="A2108" s="65">
        <v>42885</v>
      </c>
      <c r="B2108" s="1">
        <v>3561.22</v>
      </c>
      <c r="C2108" s="65">
        <v>42916</v>
      </c>
      <c r="D2108" s="1">
        <v>20584.23</v>
      </c>
    </row>
    <row r="2109" spans="1:4" x14ac:dyDescent="0.25">
      <c r="A2109" s="65">
        <v>42886</v>
      </c>
      <c r="B2109" s="1">
        <v>3554.59</v>
      </c>
      <c r="C2109" s="65">
        <v>42919</v>
      </c>
      <c r="D2109" s="1">
        <v>21013.14</v>
      </c>
    </row>
    <row r="2110" spans="1:4" x14ac:dyDescent="0.25">
      <c r="A2110" s="65">
        <v>42887</v>
      </c>
      <c r="B2110" s="1">
        <v>3567.02</v>
      </c>
      <c r="C2110" s="65">
        <v>42920</v>
      </c>
      <c r="D2110" s="1">
        <v>21031.05</v>
      </c>
    </row>
    <row r="2111" spans="1:4" x14ac:dyDescent="0.25">
      <c r="A2111" s="65">
        <v>42888</v>
      </c>
      <c r="B2111" s="1">
        <v>3591.82</v>
      </c>
      <c r="C2111" s="65">
        <v>42921</v>
      </c>
      <c r="D2111" s="1">
        <v>20939.39</v>
      </c>
    </row>
    <row r="2112" spans="1:4" x14ac:dyDescent="0.25">
      <c r="A2112" s="65">
        <v>42891</v>
      </c>
      <c r="B2112" s="1">
        <v>3579.55</v>
      </c>
      <c r="C2112" s="65">
        <v>42922</v>
      </c>
      <c r="D2112" s="1">
        <v>21084.19</v>
      </c>
    </row>
    <row r="2113" spans="1:4" x14ac:dyDescent="0.25">
      <c r="A2113" s="65">
        <v>42892</v>
      </c>
      <c r="B2113" s="1">
        <v>3554.18</v>
      </c>
      <c r="C2113" s="65">
        <v>42923</v>
      </c>
      <c r="D2113" s="1">
        <v>21015.1</v>
      </c>
    </row>
    <row r="2114" spans="1:4" x14ac:dyDescent="0.25">
      <c r="A2114" s="65">
        <v>42893</v>
      </c>
      <c r="B2114" s="1">
        <v>3548.84</v>
      </c>
      <c r="C2114" s="65">
        <v>42926</v>
      </c>
      <c r="D2114" s="1">
        <v>21190.67</v>
      </c>
    </row>
    <row r="2115" spans="1:4" x14ac:dyDescent="0.25">
      <c r="A2115" s="65">
        <v>42894</v>
      </c>
      <c r="B2115" s="1">
        <v>3563.88</v>
      </c>
      <c r="C2115" s="65">
        <v>42927</v>
      </c>
      <c r="D2115" s="1">
        <v>21111.7</v>
      </c>
    </row>
    <row r="2116" spans="1:4" x14ac:dyDescent="0.25">
      <c r="A2116" s="65">
        <v>42895</v>
      </c>
      <c r="B2116" s="1">
        <v>3586.07</v>
      </c>
      <c r="C2116" s="65">
        <v>42928</v>
      </c>
      <c r="D2116" s="1">
        <v>21432.55</v>
      </c>
    </row>
    <row r="2117" spans="1:4" x14ac:dyDescent="0.25">
      <c r="A2117" s="65">
        <v>42898</v>
      </c>
      <c r="B2117" s="1">
        <v>3543.95</v>
      </c>
      <c r="C2117" s="65">
        <v>42929</v>
      </c>
      <c r="D2117" s="1">
        <v>21521.91</v>
      </c>
    </row>
    <row r="2118" spans="1:4" x14ac:dyDescent="0.25">
      <c r="A2118" s="65">
        <v>42899</v>
      </c>
      <c r="B2118" s="1">
        <v>3557.87</v>
      </c>
      <c r="C2118" s="65">
        <v>42930</v>
      </c>
      <c r="D2118" s="1">
        <v>21492.29</v>
      </c>
    </row>
    <row r="2119" spans="1:4" x14ac:dyDescent="0.25">
      <c r="A2119" s="65">
        <v>42900</v>
      </c>
      <c r="B2119" s="1">
        <v>3547.15</v>
      </c>
      <c r="C2119" s="65">
        <v>42933</v>
      </c>
      <c r="D2119" s="1">
        <v>21484.84</v>
      </c>
    </row>
    <row r="2120" spans="1:4" x14ac:dyDescent="0.25">
      <c r="A2120" s="65">
        <v>42901</v>
      </c>
      <c r="B2120" s="1">
        <v>3525.46</v>
      </c>
      <c r="C2120" s="65">
        <v>42934</v>
      </c>
      <c r="D2120" s="1">
        <v>21358.2</v>
      </c>
    </row>
    <row r="2121" spans="1:4" x14ac:dyDescent="0.25">
      <c r="A2121" s="65">
        <v>42902</v>
      </c>
      <c r="B2121" s="1">
        <v>3543.88</v>
      </c>
      <c r="C2121" s="65">
        <v>42935</v>
      </c>
      <c r="D2121" s="1">
        <v>21478.95</v>
      </c>
    </row>
    <row r="2122" spans="1:4" x14ac:dyDescent="0.25">
      <c r="A2122" s="65">
        <v>42905</v>
      </c>
      <c r="B2122" s="1">
        <v>3579.58</v>
      </c>
      <c r="C2122" s="65">
        <v>42936</v>
      </c>
      <c r="D2122" s="1">
        <v>21438.63</v>
      </c>
    </row>
    <row r="2123" spans="1:4" x14ac:dyDescent="0.25">
      <c r="A2123" s="65">
        <v>42906</v>
      </c>
      <c r="B2123" s="1">
        <v>3560.66</v>
      </c>
      <c r="C2123" s="65">
        <v>42937</v>
      </c>
      <c r="D2123" s="1">
        <v>21202.16</v>
      </c>
    </row>
    <row r="2124" spans="1:4" x14ac:dyDescent="0.25">
      <c r="A2124" s="65">
        <v>42907</v>
      </c>
      <c r="B2124" s="1">
        <v>3554.35</v>
      </c>
      <c r="C2124" s="65">
        <v>42940</v>
      </c>
      <c r="D2124" s="1">
        <v>21326.58</v>
      </c>
    </row>
    <row r="2125" spans="1:4" x14ac:dyDescent="0.25">
      <c r="A2125" s="65">
        <v>42908</v>
      </c>
      <c r="B2125" s="1">
        <v>3555.76</v>
      </c>
      <c r="C2125" s="65">
        <v>42941</v>
      </c>
      <c r="D2125" s="1">
        <v>21457.45</v>
      </c>
    </row>
    <row r="2126" spans="1:4" x14ac:dyDescent="0.25">
      <c r="A2126" s="65">
        <v>42909</v>
      </c>
      <c r="B2126" s="1">
        <v>3543.68</v>
      </c>
      <c r="C2126" s="65">
        <v>42942</v>
      </c>
      <c r="D2126" s="1">
        <v>21577.56</v>
      </c>
    </row>
    <row r="2127" spans="1:4" x14ac:dyDescent="0.25">
      <c r="A2127" s="65">
        <v>42912</v>
      </c>
      <c r="B2127" s="1">
        <v>3561.76</v>
      </c>
      <c r="C2127" s="65">
        <v>42943</v>
      </c>
      <c r="D2127" s="1">
        <v>21634.720000000001</v>
      </c>
    </row>
    <row r="2128" spans="1:4" x14ac:dyDescent="0.25">
      <c r="A2128" s="65">
        <v>42913</v>
      </c>
      <c r="B2128" s="1">
        <v>3538.32</v>
      </c>
      <c r="C2128" s="65">
        <v>42944</v>
      </c>
      <c r="D2128" s="1">
        <v>21430.36</v>
      </c>
    </row>
    <row r="2129" spans="1:4" x14ac:dyDescent="0.25">
      <c r="A2129" s="65">
        <v>42914</v>
      </c>
      <c r="B2129" s="1">
        <v>3535.7</v>
      </c>
      <c r="C2129" s="65">
        <v>42947</v>
      </c>
      <c r="D2129" s="1">
        <v>21486.91</v>
      </c>
    </row>
    <row r="2130" spans="1:4" x14ac:dyDescent="0.25">
      <c r="A2130" s="65">
        <v>42915</v>
      </c>
      <c r="B2130" s="1">
        <v>3471.33</v>
      </c>
      <c r="C2130" s="65">
        <v>42948</v>
      </c>
      <c r="D2130" s="1">
        <v>21612.81</v>
      </c>
    </row>
    <row r="2131" spans="1:4" x14ac:dyDescent="0.25">
      <c r="A2131" s="65">
        <v>42916</v>
      </c>
      <c r="B2131" s="1">
        <v>3441.88</v>
      </c>
      <c r="C2131" s="65">
        <v>42949</v>
      </c>
      <c r="D2131" s="1">
        <v>21573.61</v>
      </c>
    </row>
    <row r="2132" spans="1:4" x14ac:dyDescent="0.25">
      <c r="A2132" s="65">
        <v>42919</v>
      </c>
      <c r="B2132" s="1">
        <v>3491.81</v>
      </c>
      <c r="C2132" s="65">
        <v>42950</v>
      </c>
      <c r="D2132" s="1">
        <v>21793.72</v>
      </c>
    </row>
    <row r="2133" spans="1:4" x14ac:dyDescent="0.25">
      <c r="A2133" s="65">
        <v>42920</v>
      </c>
      <c r="B2133" s="1">
        <v>3479.47</v>
      </c>
      <c r="C2133" s="65">
        <v>42951</v>
      </c>
      <c r="D2133" s="1">
        <v>21935.79</v>
      </c>
    </row>
    <row r="2134" spans="1:4" x14ac:dyDescent="0.25">
      <c r="A2134" s="65">
        <v>42921</v>
      </c>
      <c r="B2134" s="1">
        <v>3478.41</v>
      </c>
      <c r="C2134" s="65">
        <v>42954</v>
      </c>
      <c r="D2134" s="1">
        <v>22031.17</v>
      </c>
    </row>
    <row r="2135" spans="1:4" x14ac:dyDescent="0.25">
      <c r="A2135" s="65">
        <v>42922</v>
      </c>
      <c r="B2135" s="1">
        <v>3462.06</v>
      </c>
      <c r="C2135" s="65">
        <v>42955</v>
      </c>
      <c r="D2135" s="1">
        <v>22048.3</v>
      </c>
    </row>
    <row r="2136" spans="1:4" x14ac:dyDescent="0.25">
      <c r="A2136" s="65">
        <v>42923</v>
      </c>
      <c r="B2136" s="1">
        <v>3463.84</v>
      </c>
      <c r="C2136" s="65">
        <v>42956</v>
      </c>
      <c r="D2136" s="1">
        <v>21848.37</v>
      </c>
    </row>
    <row r="2137" spans="1:4" x14ac:dyDescent="0.25">
      <c r="A2137" s="65">
        <v>42926</v>
      </c>
      <c r="B2137" s="1">
        <v>3478.06</v>
      </c>
      <c r="C2137" s="65">
        <v>42957</v>
      </c>
      <c r="D2137" s="1">
        <v>21681.61</v>
      </c>
    </row>
    <row r="2138" spans="1:4" x14ac:dyDescent="0.25">
      <c r="A2138" s="65">
        <v>42927</v>
      </c>
      <c r="B2138" s="1">
        <v>3464.48</v>
      </c>
      <c r="C2138" s="65">
        <v>42958</v>
      </c>
      <c r="D2138" s="1">
        <v>21354.02</v>
      </c>
    </row>
    <row r="2139" spans="1:4" x14ac:dyDescent="0.25">
      <c r="A2139" s="65">
        <v>42928</v>
      </c>
      <c r="B2139" s="1">
        <v>3515.23</v>
      </c>
      <c r="C2139" s="65">
        <v>42961</v>
      </c>
      <c r="D2139" s="1">
        <v>21722.11</v>
      </c>
    </row>
    <row r="2140" spans="1:4" x14ac:dyDescent="0.25">
      <c r="A2140" s="65">
        <v>42929</v>
      </c>
      <c r="B2140" s="1">
        <v>3527.83</v>
      </c>
      <c r="C2140" s="65">
        <v>42963</v>
      </c>
      <c r="D2140" s="1">
        <v>21984.85</v>
      </c>
    </row>
    <row r="2141" spans="1:4" x14ac:dyDescent="0.25">
      <c r="A2141" s="65">
        <v>42930</v>
      </c>
      <c r="B2141" s="1">
        <v>3525.94</v>
      </c>
      <c r="C2141" s="65">
        <v>42964</v>
      </c>
      <c r="D2141" s="1">
        <v>21788.86</v>
      </c>
    </row>
    <row r="2142" spans="1:4" x14ac:dyDescent="0.25">
      <c r="A2142" s="65">
        <v>42933</v>
      </c>
      <c r="B2142" s="1">
        <v>3516.35</v>
      </c>
      <c r="C2142" s="65">
        <v>42965</v>
      </c>
      <c r="D2142" s="1">
        <v>21814.959999999999</v>
      </c>
    </row>
    <row r="2143" spans="1:4" x14ac:dyDescent="0.25">
      <c r="A2143" s="65">
        <v>42934</v>
      </c>
      <c r="B2143" s="1">
        <v>3478.68</v>
      </c>
      <c r="C2143" s="65">
        <v>42968</v>
      </c>
      <c r="D2143" s="1">
        <v>21752.799999999999</v>
      </c>
    </row>
    <row r="2144" spans="1:4" x14ac:dyDescent="0.25">
      <c r="A2144" s="65">
        <v>42935</v>
      </c>
      <c r="B2144" s="1">
        <v>3500.28</v>
      </c>
      <c r="C2144" s="65">
        <v>42969</v>
      </c>
      <c r="D2144" s="1">
        <v>21729.48</v>
      </c>
    </row>
    <row r="2145" spans="1:4" x14ac:dyDescent="0.25">
      <c r="A2145" s="65">
        <v>42936</v>
      </c>
      <c r="B2145" s="1">
        <v>3499.49</v>
      </c>
      <c r="C2145" s="65">
        <v>42970</v>
      </c>
      <c r="D2145" s="1">
        <v>21620.28</v>
      </c>
    </row>
    <row r="2146" spans="1:4" x14ac:dyDescent="0.25">
      <c r="A2146" s="65">
        <v>42937</v>
      </c>
      <c r="B2146" s="1">
        <v>3451.71</v>
      </c>
      <c r="C2146" s="65">
        <v>42971</v>
      </c>
      <c r="D2146" s="1">
        <v>21729.87</v>
      </c>
    </row>
    <row r="2147" spans="1:4" x14ac:dyDescent="0.25">
      <c r="A2147" s="65">
        <v>42940</v>
      </c>
      <c r="B2147" s="1">
        <v>3453.17</v>
      </c>
      <c r="C2147" s="65">
        <v>42972</v>
      </c>
      <c r="D2147" s="1">
        <v>21746.5</v>
      </c>
    </row>
    <row r="2148" spans="1:4" x14ac:dyDescent="0.25">
      <c r="A2148" s="65">
        <v>42941</v>
      </c>
      <c r="B2148" s="1">
        <v>3473.54</v>
      </c>
      <c r="C2148" s="65">
        <v>42975</v>
      </c>
      <c r="D2148" s="1">
        <v>21726.21</v>
      </c>
    </row>
    <row r="2149" spans="1:4" x14ac:dyDescent="0.25">
      <c r="A2149" s="65">
        <v>42942</v>
      </c>
      <c r="B2149" s="1">
        <v>3491.19</v>
      </c>
      <c r="C2149" s="65">
        <v>42976</v>
      </c>
      <c r="D2149" s="1">
        <v>21408.62</v>
      </c>
    </row>
    <row r="2150" spans="1:4" x14ac:dyDescent="0.25">
      <c r="A2150" s="65">
        <v>42943</v>
      </c>
      <c r="B2150" s="1">
        <v>3493.14</v>
      </c>
      <c r="C2150" s="65">
        <v>42977</v>
      </c>
      <c r="D2150" s="1">
        <v>21503.46</v>
      </c>
    </row>
    <row r="2151" spans="1:4" x14ac:dyDescent="0.25">
      <c r="A2151" s="65">
        <v>42944</v>
      </c>
      <c r="B2151" s="1">
        <v>3467.73</v>
      </c>
      <c r="C2151" s="65">
        <v>42978</v>
      </c>
      <c r="D2151" s="1">
        <v>21670.02</v>
      </c>
    </row>
    <row r="2152" spans="1:4" x14ac:dyDescent="0.25">
      <c r="A2152" s="65">
        <v>42947</v>
      </c>
      <c r="B2152" s="1">
        <v>3449.36</v>
      </c>
      <c r="C2152" s="65">
        <v>42979</v>
      </c>
      <c r="D2152" s="1">
        <v>21858.560000000001</v>
      </c>
    </row>
    <row r="2153" spans="1:4" x14ac:dyDescent="0.25">
      <c r="A2153" s="65">
        <v>42948</v>
      </c>
      <c r="B2153" s="1">
        <v>3477.39</v>
      </c>
      <c r="C2153" s="65">
        <v>42982</v>
      </c>
      <c r="D2153" s="1">
        <v>21790.62</v>
      </c>
    </row>
    <row r="2154" spans="1:4" x14ac:dyDescent="0.25">
      <c r="A2154" s="65">
        <v>42949</v>
      </c>
      <c r="B2154" s="1">
        <v>3459.32</v>
      </c>
      <c r="C2154" s="65">
        <v>42983</v>
      </c>
      <c r="D2154" s="1">
        <v>21737.69</v>
      </c>
    </row>
    <row r="2155" spans="1:4" x14ac:dyDescent="0.25">
      <c r="A2155" s="65">
        <v>42950</v>
      </c>
      <c r="B2155" s="1">
        <v>3466.37</v>
      </c>
      <c r="C2155" s="65">
        <v>42984</v>
      </c>
      <c r="D2155" s="1">
        <v>21814.560000000001</v>
      </c>
    </row>
    <row r="2156" spans="1:4" x14ac:dyDescent="0.25">
      <c r="A2156" s="65">
        <v>42951</v>
      </c>
      <c r="B2156" s="1">
        <v>3507.41</v>
      </c>
      <c r="C2156" s="65">
        <v>42985</v>
      </c>
      <c r="D2156" s="1">
        <v>21722.51</v>
      </c>
    </row>
    <row r="2157" spans="1:4" x14ac:dyDescent="0.25">
      <c r="A2157" s="65">
        <v>42954</v>
      </c>
      <c r="B2157" s="1">
        <v>3505.8</v>
      </c>
      <c r="C2157" s="65">
        <v>42986</v>
      </c>
      <c r="D2157" s="1">
        <v>21776.66</v>
      </c>
    </row>
    <row r="2158" spans="1:4" x14ac:dyDescent="0.25">
      <c r="A2158" s="65">
        <v>42955</v>
      </c>
      <c r="B2158" s="1">
        <v>3515.63</v>
      </c>
      <c r="C2158" s="65">
        <v>42989</v>
      </c>
      <c r="D2158" s="1">
        <v>22134.11</v>
      </c>
    </row>
    <row r="2159" spans="1:4" x14ac:dyDescent="0.25">
      <c r="A2159" s="65">
        <v>42956</v>
      </c>
      <c r="B2159" s="1">
        <v>3468.45</v>
      </c>
      <c r="C2159" s="65">
        <v>42990</v>
      </c>
      <c r="D2159" s="1">
        <v>22233.4</v>
      </c>
    </row>
    <row r="2160" spans="1:4" x14ac:dyDescent="0.25">
      <c r="A2160" s="65">
        <v>42957</v>
      </c>
      <c r="B2160" s="1">
        <v>3433.54</v>
      </c>
      <c r="C2160" s="65">
        <v>42991</v>
      </c>
      <c r="D2160" s="1">
        <v>22233.3</v>
      </c>
    </row>
    <row r="2161" spans="1:4" x14ac:dyDescent="0.25">
      <c r="A2161" s="65">
        <v>42958</v>
      </c>
      <c r="B2161" s="1">
        <v>3406.34</v>
      </c>
      <c r="C2161" s="65">
        <v>42992</v>
      </c>
      <c r="D2161" s="1">
        <v>22281.14</v>
      </c>
    </row>
    <row r="2162" spans="1:4" x14ac:dyDescent="0.25">
      <c r="A2162" s="65">
        <v>42961</v>
      </c>
      <c r="B2162" s="1">
        <v>3450.66</v>
      </c>
      <c r="C2162" s="65">
        <v>42993</v>
      </c>
      <c r="D2162" s="1">
        <v>22229.49</v>
      </c>
    </row>
    <row r="2163" spans="1:4" x14ac:dyDescent="0.25">
      <c r="A2163" s="65">
        <v>42962</v>
      </c>
      <c r="B2163" s="1">
        <v>3461.91</v>
      </c>
      <c r="C2163" s="65">
        <v>42996</v>
      </c>
      <c r="D2163" s="1">
        <v>22364.74</v>
      </c>
    </row>
    <row r="2164" spans="1:4" x14ac:dyDescent="0.25">
      <c r="A2164" s="65">
        <v>42963</v>
      </c>
      <c r="B2164" s="1">
        <v>3484.57</v>
      </c>
      <c r="C2164" s="65">
        <v>42997</v>
      </c>
      <c r="D2164" s="1">
        <v>22425.42</v>
      </c>
    </row>
    <row r="2165" spans="1:4" x14ac:dyDescent="0.25">
      <c r="A2165" s="65">
        <v>42964</v>
      </c>
      <c r="B2165" s="1">
        <v>3461.97</v>
      </c>
      <c r="C2165" s="65">
        <v>42998</v>
      </c>
      <c r="D2165" s="1">
        <v>22355.58</v>
      </c>
    </row>
    <row r="2166" spans="1:4" x14ac:dyDescent="0.25">
      <c r="A2166" s="65">
        <v>42965</v>
      </c>
      <c r="B2166" s="1">
        <v>3446.03</v>
      </c>
      <c r="C2166" s="65">
        <v>42999</v>
      </c>
      <c r="D2166" s="1">
        <v>22491.73</v>
      </c>
    </row>
    <row r="2167" spans="1:4" x14ac:dyDescent="0.25">
      <c r="A2167" s="65">
        <v>42968</v>
      </c>
      <c r="B2167" s="1">
        <v>3423.53</v>
      </c>
      <c r="C2167" s="65">
        <v>43000</v>
      </c>
      <c r="D2167" s="1">
        <v>22530.83</v>
      </c>
    </row>
    <row r="2168" spans="1:4" x14ac:dyDescent="0.25">
      <c r="A2168" s="65">
        <v>42969</v>
      </c>
      <c r="B2168" s="1">
        <v>3455.59</v>
      </c>
      <c r="C2168" s="65">
        <v>43003</v>
      </c>
      <c r="D2168" s="1">
        <v>22389.57</v>
      </c>
    </row>
    <row r="2169" spans="1:4" x14ac:dyDescent="0.25">
      <c r="A2169" s="65">
        <v>42970</v>
      </c>
      <c r="B2169" s="1">
        <v>3438.63</v>
      </c>
      <c r="C2169" s="65">
        <v>43004</v>
      </c>
      <c r="D2169" s="1">
        <v>22430.65</v>
      </c>
    </row>
    <row r="2170" spans="1:4" x14ac:dyDescent="0.25">
      <c r="A2170" s="65">
        <v>42971</v>
      </c>
      <c r="B2170" s="1">
        <v>3444.73</v>
      </c>
      <c r="C2170" s="65">
        <v>43005</v>
      </c>
      <c r="D2170" s="1">
        <v>22622.19</v>
      </c>
    </row>
    <row r="2171" spans="1:4" x14ac:dyDescent="0.25">
      <c r="A2171" s="65">
        <v>42972</v>
      </c>
      <c r="B2171" s="1">
        <v>3438.55</v>
      </c>
      <c r="C2171" s="65">
        <v>43006</v>
      </c>
      <c r="D2171" s="1">
        <v>22587.67</v>
      </c>
    </row>
    <row r="2172" spans="1:4" x14ac:dyDescent="0.25">
      <c r="A2172" s="65">
        <v>42975</v>
      </c>
      <c r="B2172" s="1">
        <v>3421.03</v>
      </c>
      <c r="C2172" s="65">
        <v>43007</v>
      </c>
      <c r="D2172" s="1">
        <v>22696.32</v>
      </c>
    </row>
    <row r="2173" spans="1:4" x14ac:dyDescent="0.25">
      <c r="A2173" s="65">
        <v>42976</v>
      </c>
      <c r="B2173" s="1">
        <v>3388.22</v>
      </c>
      <c r="C2173" s="65">
        <v>43010</v>
      </c>
      <c r="D2173" s="1">
        <v>22811.19</v>
      </c>
    </row>
    <row r="2174" spans="1:4" x14ac:dyDescent="0.25">
      <c r="A2174" s="65">
        <v>42977</v>
      </c>
      <c r="B2174" s="1">
        <v>3403.71</v>
      </c>
      <c r="C2174" s="65">
        <v>43011</v>
      </c>
      <c r="D2174" s="1">
        <v>22784.82</v>
      </c>
    </row>
    <row r="2175" spans="1:4" x14ac:dyDescent="0.25">
      <c r="A2175" s="65">
        <v>42978</v>
      </c>
      <c r="B2175" s="1">
        <v>3421.47</v>
      </c>
      <c r="C2175" s="65">
        <v>43012</v>
      </c>
      <c r="D2175" s="1">
        <v>22456.38</v>
      </c>
    </row>
    <row r="2176" spans="1:4" x14ac:dyDescent="0.25">
      <c r="A2176" s="65">
        <v>42979</v>
      </c>
      <c r="B2176" s="1">
        <v>3443.88</v>
      </c>
      <c r="C2176" s="65">
        <v>43013</v>
      </c>
      <c r="D2176" s="1">
        <v>22566.03</v>
      </c>
    </row>
    <row r="2177" spans="1:4" x14ac:dyDescent="0.25">
      <c r="A2177" s="65">
        <v>42982</v>
      </c>
      <c r="B2177" s="1">
        <v>3429.98</v>
      </c>
      <c r="C2177" s="65">
        <v>43014</v>
      </c>
      <c r="D2177" s="1">
        <v>22392.31</v>
      </c>
    </row>
    <row r="2178" spans="1:4" x14ac:dyDescent="0.25">
      <c r="A2178" s="65">
        <v>42983</v>
      </c>
      <c r="B2178" s="1">
        <v>3420.86</v>
      </c>
      <c r="C2178" s="65">
        <v>43017</v>
      </c>
      <c r="D2178" s="1">
        <v>22476.75</v>
      </c>
    </row>
    <row r="2179" spans="1:4" x14ac:dyDescent="0.25">
      <c r="A2179" s="65">
        <v>42984</v>
      </c>
      <c r="B2179" s="1">
        <v>3433.8</v>
      </c>
      <c r="C2179" s="65">
        <v>43018</v>
      </c>
      <c r="D2179" s="1">
        <v>22335.91</v>
      </c>
    </row>
    <row r="2180" spans="1:4" x14ac:dyDescent="0.25">
      <c r="A2180" s="65">
        <v>42985</v>
      </c>
      <c r="B2180" s="1">
        <v>3447.66</v>
      </c>
      <c r="C2180" s="65">
        <v>43019</v>
      </c>
      <c r="D2180" s="1">
        <v>22552.21</v>
      </c>
    </row>
    <row r="2181" spans="1:4" x14ac:dyDescent="0.25">
      <c r="A2181" s="65">
        <v>42986</v>
      </c>
      <c r="B2181" s="1">
        <v>3447.69</v>
      </c>
      <c r="C2181" s="65">
        <v>43020</v>
      </c>
      <c r="D2181" s="1">
        <v>22398.51</v>
      </c>
    </row>
    <row r="2182" spans="1:4" x14ac:dyDescent="0.25">
      <c r="A2182" s="65">
        <v>42989</v>
      </c>
      <c r="B2182" s="1">
        <v>3495.19</v>
      </c>
      <c r="C2182" s="65">
        <v>43021</v>
      </c>
      <c r="D2182" s="1">
        <v>22413.54</v>
      </c>
    </row>
    <row r="2183" spans="1:4" x14ac:dyDescent="0.25">
      <c r="A2183" s="65">
        <v>42990</v>
      </c>
      <c r="B2183" s="1">
        <v>3512.56</v>
      </c>
      <c r="C2183" s="65">
        <v>43024</v>
      </c>
      <c r="D2183" s="1">
        <v>22428.31</v>
      </c>
    </row>
    <row r="2184" spans="1:4" x14ac:dyDescent="0.25">
      <c r="A2184" s="65">
        <v>42991</v>
      </c>
      <c r="B2184" s="1">
        <v>3523.14</v>
      </c>
      <c r="C2184" s="65">
        <v>43025</v>
      </c>
      <c r="D2184" s="1">
        <v>22337.78</v>
      </c>
    </row>
    <row r="2185" spans="1:4" x14ac:dyDescent="0.25">
      <c r="A2185" s="65">
        <v>42992</v>
      </c>
      <c r="B2185" s="1">
        <v>3526.48</v>
      </c>
      <c r="C2185" s="65">
        <v>43026</v>
      </c>
      <c r="D2185" s="1">
        <v>22354.69</v>
      </c>
    </row>
    <row r="2186" spans="1:4" x14ac:dyDescent="0.25">
      <c r="A2186" s="65">
        <v>42993</v>
      </c>
      <c r="B2186" s="1">
        <v>3515.55</v>
      </c>
      <c r="C2186" s="65">
        <v>43027</v>
      </c>
      <c r="D2186" s="1">
        <v>22133.21</v>
      </c>
    </row>
    <row r="2187" spans="1:4" x14ac:dyDescent="0.25">
      <c r="A2187" s="65">
        <v>42996</v>
      </c>
      <c r="B2187" s="1">
        <v>3526.74</v>
      </c>
      <c r="C2187" s="65">
        <v>43028</v>
      </c>
      <c r="D2187" s="1">
        <v>22346.85</v>
      </c>
    </row>
    <row r="2188" spans="1:4" x14ac:dyDescent="0.25">
      <c r="A2188" s="65">
        <v>42997</v>
      </c>
      <c r="B2188" s="1">
        <v>3531.18</v>
      </c>
      <c r="C2188" s="65">
        <v>43031</v>
      </c>
      <c r="D2188" s="1">
        <v>22379.16</v>
      </c>
    </row>
    <row r="2189" spans="1:4" x14ac:dyDescent="0.25">
      <c r="A2189" s="65">
        <v>42998</v>
      </c>
      <c r="B2189" s="1">
        <v>3525.55</v>
      </c>
      <c r="C2189" s="65">
        <v>43032</v>
      </c>
      <c r="D2189" s="1">
        <v>22629.57</v>
      </c>
    </row>
    <row r="2190" spans="1:4" x14ac:dyDescent="0.25">
      <c r="A2190" s="65">
        <v>42999</v>
      </c>
      <c r="B2190" s="1">
        <v>3539.59</v>
      </c>
      <c r="C2190" s="65">
        <v>43033</v>
      </c>
      <c r="D2190" s="1">
        <v>22446.39</v>
      </c>
    </row>
    <row r="2191" spans="1:4" x14ac:dyDescent="0.25">
      <c r="A2191" s="65">
        <v>43000</v>
      </c>
      <c r="B2191" s="1">
        <v>3541.42</v>
      </c>
      <c r="C2191" s="65">
        <v>43034</v>
      </c>
      <c r="D2191" s="1">
        <v>22807.42</v>
      </c>
    </row>
    <row r="2192" spans="1:4" x14ac:dyDescent="0.25">
      <c r="A2192" s="65">
        <v>43003</v>
      </c>
      <c r="B2192" s="1">
        <v>3537.81</v>
      </c>
      <c r="C2192" s="65">
        <v>43035</v>
      </c>
      <c r="D2192" s="1">
        <v>22665.03</v>
      </c>
    </row>
    <row r="2193" spans="1:4" x14ac:dyDescent="0.25">
      <c r="A2193" s="65">
        <v>43004</v>
      </c>
      <c r="B2193" s="1">
        <v>3536.38</v>
      </c>
      <c r="C2193" s="65">
        <v>43038</v>
      </c>
      <c r="D2193" s="1">
        <v>22752.89</v>
      </c>
    </row>
    <row r="2194" spans="1:4" x14ac:dyDescent="0.25">
      <c r="A2194" s="65">
        <v>43005</v>
      </c>
      <c r="B2194" s="1">
        <v>3555.17</v>
      </c>
      <c r="C2194" s="65">
        <v>43039</v>
      </c>
      <c r="D2194" s="1">
        <v>22793.69</v>
      </c>
    </row>
    <row r="2195" spans="1:4" x14ac:dyDescent="0.25">
      <c r="A2195" s="65">
        <v>43006</v>
      </c>
      <c r="B2195" s="1">
        <v>3563.64</v>
      </c>
      <c r="C2195" s="65">
        <v>43040</v>
      </c>
      <c r="D2195" s="1">
        <v>22991.99</v>
      </c>
    </row>
    <row r="2196" spans="1:4" x14ac:dyDescent="0.25">
      <c r="A2196" s="65">
        <v>43007</v>
      </c>
      <c r="B2196" s="1">
        <v>3594.85</v>
      </c>
      <c r="C2196" s="65">
        <v>43041</v>
      </c>
      <c r="D2196" s="1">
        <v>23046.05</v>
      </c>
    </row>
    <row r="2197" spans="1:4" x14ac:dyDescent="0.25">
      <c r="A2197" s="65">
        <v>43010</v>
      </c>
      <c r="B2197" s="1">
        <v>3602.69</v>
      </c>
      <c r="C2197" s="65">
        <v>43042</v>
      </c>
      <c r="D2197" s="1">
        <v>23014.13</v>
      </c>
    </row>
    <row r="2198" spans="1:4" x14ac:dyDescent="0.25">
      <c r="A2198" s="65">
        <v>43011</v>
      </c>
      <c r="B2198" s="1">
        <v>3605.73</v>
      </c>
      <c r="C2198" s="65">
        <v>43045</v>
      </c>
      <c r="D2198" s="1">
        <v>23002.85</v>
      </c>
    </row>
    <row r="2199" spans="1:4" x14ac:dyDescent="0.25">
      <c r="A2199" s="65">
        <v>43012</v>
      </c>
      <c r="B2199" s="1">
        <v>3594.91</v>
      </c>
      <c r="C2199" s="65">
        <v>43046</v>
      </c>
      <c r="D2199" s="1">
        <v>22962.59</v>
      </c>
    </row>
    <row r="2200" spans="1:4" x14ac:dyDescent="0.25">
      <c r="A2200" s="65">
        <v>43013</v>
      </c>
      <c r="B2200" s="1">
        <v>3613.54</v>
      </c>
      <c r="C2200" s="65">
        <v>43047</v>
      </c>
      <c r="D2200" s="1">
        <v>22831.3</v>
      </c>
    </row>
    <row r="2201" spans="1:4" x14ac:dyDescent="0.25">
      <c r="A2201" s="65">
        <v>43014</v>
      </c>
      <c r="B2201" s="1">
        <v>3603.32</v>
      </c>
      <c r="C2201" s="65">
        <v>43048</v>
      </c>
      <c r="D2201" s="1">
        <v>22641.31</v>
      </c>
    </row>
    <row r="2202" spans="1:4" x14ac:dyDescent="0.25">
      <c r="A2202" s="65">
        <v>43017</v>
      </c>
      <c r="B2202" s="1">
        <v>3610.5</v>
      </c>
      <c r="C2202" s="65">
        <v>43049</v>
      </c>
      <c r="D2202" s="1">
        <v>22560.79</v>
      </c>
    </row>
    <row r="2203" spans="1:4" x14ac:dyDescent="0.25">
      <c r="A2203" s="65">
        <v>43018</v>
      </c>
      <c r="B2203" s="1">
        <v>3598.79</v>
      </c>
      <c r="C2203" s="65">
        <v>43052</v>
      </c>
      <c r="D2203" s="1">
        <v>22437.64</v>
      </c>
    </row>
    <row r="2204" spans="1:4" x14ac:dyDescent="0.25">
      <c r="A2204" s="65">
        <v>43019</v>
      </c>
      <c r="B2204" s="1">
        <v>3607.39</v>
      </c>
      <c r="C2204" s="65">
        <v>43053</v>
      </c>
      <c r="D2204" s="1">
        <v>22297.08</v>
      </c>
    </row>
    <row r="2205" spans="1:4" x14ac:dyDescent="0.25">
      <c r="A2205" s="65">
        <v>43020</v>
      </c>
      <c r="B2205" s="1">
        <v>3605.54</v>
      </c>
      <c r="C2205" s="65">
        <v>43054</v>
      </c>
      <c r="D2205" s="1">
        <v>22158.880000000001</v>
      </c>
    </row>
    <row r="2206" spans="1:4" x14ac:dyDescent="0.25">
      <c r="A2206" s="65">
        <v>43021</v>
      </c>
      <c r="B2206" s="1">
        <v>3604.55</v>
      </c>
      <c r="C2206" s="65">
        <v>43055</v>
      </c>
      <c r="D2206" s="1">
        <v>22206.6</v>
      </c>
    </row>
    <row r="2207" spans="1:4" x14ac:dyDescent="0.25">
      <c r="A2207" s="65">
        <v>43024</v>
      </c>
      <c r="B2207" s="1">
        <v>3606.27</v>
      </c>
      <c r="C2207" s="65">
        <v>43056</v>
      </c>
      <c r="D2207" s="1">
        <v>22092.95</v>
      </c>
    </row>
    <row r="2208" spans="1:4" x14ac:dyDescent="0.25">
      <c r="A2208" s="65">
        <v>43025</v>
      </c>
      <c r="B2208" s="1">
        <v>3607.77</v>
      </c>
      <c r="C2208" s="65">
        <v>43059</v>
      </c>
      <c r="D2208" s="1">
        <v>22189.25</v>
      </c>
    </row>
    <row r="2209" spans="1:4" x14ac:dyDescent="0.25">
      <c r="A2209" s="65">
        <v>43026</v>
      </c>
      <c r="B2209" s="1">
        <v>3619.65</v>
      </c>
      <c r="C2209" s="65">
        <v>43060</v>
      </c>
      <c r="D2209" s="1">
        <v>22326.44</v>
      </c>
    </row>
    <row r="2210" spans="1:4" x14ac:dyDescent="0.25">
      <c r="A2210" s="65">
        <v>43027</v>
      </c>
      <c r="B2210" s="1">
        <v>3602.08</v>
      </c>
      <c r="C2210" s="65">
        <v>43061</v>
      </c>
      <c r="D2210" s="1">
        <v>22315.24</v>
      </c>
    </row>
    <row r="2211" spans="1:4" x14ac:dyDescent="0.25">
      <c r="A2211" s="65">
        <v>43028</v>
      </c>
      <c r="B2211" s="1">
        <v>3605.09</v>
      </c>
      <c r="C2211" s="65">
        <v>43062</v>
      </c>
      <c r="D2211" s="1">
        <v>22397.78</v>
      </c>
    </row>
    <row r="2212" spans="1:4" x14ac:dyDescent="0.25">
      <c r="A2212" s="65">
        <v>43031</v>
      </c>
      <c r="B2212" s="1">
        <v>3608.87</v>
      </c>
      <c r="C2212" s="65">
        <v>43063</v>
      </c>
      <c r="D2212" s="1">
        <v>22416.31</v>
      </c>
    </row>
    <row r="2213" spans="1:4" x14ac:dyDescent="0.25">
      <c r="A2213" s="65">
        <v>43032</v>
      </c>
      <c r="B2213" s="1">
        <v>3610.69</v>
      </c>
      <c r="C2213" s="65">
        <v>43066</v>
      </c>
      <c r="D2213" s="1">
        <v>22176.7</v>
      </c>
    </row>
    <row r="2214" spans="1:4" x14ac:dyDescent="0.25">
      <c r="A2214" s="65">
        <v>43033</v>
      </c>
      <c r="B2214" s="1">
        <v>3591.46</v>
      </c>
      <c r="C2214" s="65">
        <v>43067</v>
      </c>
      <c r="D2214" s="1">
        <v>22291.77</v>
      </c>
    </row>
    <row r="2215" spans="1:4" x14ac:dyDescent="0.25">
      <c r="A2215" s="65">
        <v>43034</v>
      </c>
      <c r="B2215" s="1">
        <v>3637.2</v>
      </c>
      <c r="C2215" s="65">
        <v>43068</v>
      </c>
      <c r="D2215" s="1">
        <v>22325.94</v>
      </c>
    </row>
    <row r="2216" spans="1:4" x14ac:dyDescent="0.25">
      <c r="A2216" s="65">
        <v>43035</v>
      </c>
      <c r="B2216" s="1">
        <v>3652.23</v>
      </c>
      <c r="C2216" s="65">
        <v>43069</v>
      </c>
      <c r="D2216" s="1">
        <v>22368.29</v>
      </c>
    </row>
    <row r="2217" spans="1:4" x14ac:dyDescent="0.25">
      <c r="A2217" s="65">
        <v>43038</v>
      </c>
      <c r="B2217" s="1">
        <v>3662.18</v>
      </c>
      <c r="C2217" s="65">
        <v>43070</v>
      </c>
      <c r="D2217" s="1">
        <v>22106.1</v>
      </c>
    </row>
    <row r="2218" spans="1:4" x14ac:dyDescent="0.25">
      <c r="A2218" s="65">
        <v>43039</v>
      </c>
      <c r="B2218" s="1">
        <v>3673.95</v>
      </c>
      <c r="C2218" s="65">
        <v>43073</v>
      </c>
      <c r="D2218" s="1">
        <v>22362.11</v>
      </c>
    </row>
    <row r="2219" spans="1:4" x14ac:dyDescent="0.25">
      <c r="A2219" s="65">
        <v>43040</v>
      </c>
      <c r="B2219" s="1">
        <v>3697.4</v>
      </c>
      <c r="C2219" s="65">
        <v>43074</v>
      </c>
      <c r="D2219" s="1">
        <v>22416.31</v>
      </c>
    </row>
    <row r="2220" spans="1:4" x14ac:dyDescent="0.25">
      <c r="A2220" s="65">
        <v>43041</v>
      </c>
      <c r="B2220" s="1">
        <v>3688.8</v>
      </c>
      <c r="C2220" s="65">
        <v>43075</v>
      </c>
      <c r="D2220" s="1">
        <v>22307.279999999999</v>
      </c>
    </row>
    <row r="2221" spans="1:4" x14ac:dyDescent="0.25">
      <c r="A2221" s="65">
        <v>43042</v>
      </c>
      <c r="B2221" s="1">
        <v>3689.96</v>
      </c>
      <c r="C2221" s="65">
        <v>43076</v>
      </c>
      <c r="D2221" s="1">
        <v>22459.51</v>
      </c>
    </row>
    <row r="2222" spans="1:4" x14ac:dyDescent="0.25">
      <c r="A2222" s="65">
        <v>43045</v>
      </c>
      <c r="B2222" s="1">
        <v>3682.36</v>
      </c>
      <c r="C2222" s="65">
        <v>43077</v>
      </c>
      <c r="D2222" s="1">
        <v>22773.8</v>
      </c>
    </row>
    <row r="2223" spans="1:4" x14ac:dyDescent="0.25">
      <c r="A2223" s="65">
        <v>43046</v>
      </c>
      <c r="B2223" s="1">
        <v>3658.77</v>
      </c>
      <c r="C2223" s="65">
        <v>43080</v>
      </c>
      <c r="D2223" s="1">
        <v>22690.98</v>
      </c>
    </row>
    <row r="2224" spans="1:4" x14ac:dyDescent="0.25">
      <c r="A2224" s="65">
        <v>43047</v>
      </c>
      <c r="B2224" s="1">
        <v>3655.04</v>
      </c>
      <c r="C2224" s="65">
        <v>43081</v>
      </c>
      <c r="D2224" s="1">
        <v>22727.32</v>
      </c>
    </row>
    <row r="2225" spans="1:4" x14ac:dyDescent="0.25">
      <c r="A2225" s="65">
        <v>43048</v>
      </c>
      <c r="B2225" s="1">
        <v>3612.5</v>
      </c>
      <c r="C2225" s="65">
        <v>43082</v>
      </c>
      <c r="D2225" s="1">
        <v>22400.19</v>
      </c>
    </row>
    <row r="2226" spans="1:4" x14ac:dyDescent="0.25">
      <c r="A2226" s="65">
        <v>43049</v>
      </c>
      <c r="B2226" s="1">
        <v>3593.76</v>
      </c>
      <c r="C2226" s="65">
        <v>43083</v>
      </c>
      <c r="D2226" s="1">
        <v>22191.74</v>
      </c>
    </row>
    <row r="2227" spans="1:4" x14ac:dyDescent="0.25">
      <c r="A2227" s="65">
        <v>43052</v>
      </c>
      <c r="B2227" s="1">
        <v>3574.52</v>
      </c>
      <c r="C2227" s="65">
        <v>43084</v>
      </c>
      <c r="D2227" s="1">
        <v>22094.04</v>
      </c>
    </row>
    <row r="2228" spans="1:4" x14ac:dyDescent="0.25">
      <c r="A2228" s="65">
        <v>43053</v>
      </c>
      <c r="B2228" s="1">
        <v>3556.38</v>
      </c>
      <c r="C2228" s="65">
        <v>43087</v>
      </c>
      <c r="D2228" s="1">
        <v>22390.53</v>
      </c>
    </row>
    <row r="2229" spans="1:4" x14ac:dyDescent="0.25">
      <c r="A2229" s="65">
        <v>43054</v>
      </c>
      <c r="B2229" s="1">
        <v>3545.72</v>
      </c>
      <c r="C2229" s="65">
        <v>43088</v>
      </c>
      <c r="D2229" s="1">
        <v>22274.97</v>
      </c>
    </row>
    <row r="2230" spans="1:4" x14ac:dyDescent="0.25">
      <c r="A2230" s="65">
        <v>43055</v>
      </c>
      <c r="B2230" s="1">
        <v>3564.8</v>
      </c>
      <c r="C2230" s="65">
        <v>43089</v>
      </c>
      <c r="D2230" s="1">
        <v>22109.65</v>
      </c>
    </row>
    <row r="2231" spans="1:4" x14ac:dyDescent="0.25">
      <c r="A2231" s="65">
        <v>43056</v>
      </c>
      <c r="B2231" s="1">
        <v>3547.46</v>
      </c>
      <c r="C2231" s="65">
        <v>43090</v>
      </c>
      <c r="D2231" s="1">
        <v>22240.25</v>
      </c>
    </row>
    <row r="2232" spans="1:4" x14ac:dyDescent="0.25">
      <c r="A2232" s="65">
        <v>43059</v>
      </c>
      <c r="B2232" s="1">
        <v>3561.41</v>
      </c>
      <c r="C2232" s="65">
        <v>43091</v>
      </c>
      <c r="D2232" s="1">
        <v>22209.05</v>
      </c>
    </row>
    <row r="2233" spans="1:4" x14ac:dyDescent="0.25">
      <c r="A2233" s="65">
        <v>43060</v>
      </c>
      <c r="B2233" s="1">
        <v>3579.32</v>
      </c>
      <c r="C2233" s="65">
        <v>43096</v>
      </c>
      <c r="D2233" s="1">
        <v>22201.27</v>
      </c>
    </row>
    <row r="2234" spans="1:4" x14ac:dyDescent="0.25">
      <c r="A2234" s="65">
        <v>43061</v>
      </c>
      <c r="B2234" s="1">
        <v>3562.65</v>
      </c>
      <c r="C2234" s="65">
        <v>43097</v>
      </c>
      <c r="D2234" s="1">
        <v>22120.95</v>
      </c>
    </row>
    <row r="2235" spans="1:4" x14ac:dyDescent="0.25">
      <c r="A2235" s="65">
        <v>43062</v>
      </c>
      <c r="B2235" s="1">
        <v>3572.07</v>
      </c>
      <c r="C2235" s="65">
        <v>43098</v>
      </c>
      <c r="D2235" s="1">
        <v>21853.34</v>
      </c>
    </row>
    <row r="2236" spans="1:4" x14ac:dyDescent="0.25">
      <c r="A2236" s="65">
        <v>43063</v>
      </c>
      <c r="B2236" s="1">
        <v>3581.23</v>
      </c>
      <c r="C2236" s="65">
        <v>43102</v>
      </c>
      <c r="D2236" s="1">
        <v>21845.16</v>
      </c>
    </row>
    <row r="2237" spans="1:4" x14ac:dyDescent="0.25">
      <c r="A2237" s="65">
        <v>43066</v>
      </c>
      <c r="B2237" s="1">
        <v>3564.02</v>
      </c>
      <c r="C2237" s="65">
        <v>43103</v>
      </c>
      <c r="D2237" s="1">
        <v>21904.560000000001</v>
      </c>
    </row>
    <row r="2238" spans="1:4" x14ac:dyDescent="0.25">
      <c r="A2238" s="65">
        <v>43067</v>
      </c>
      <c r="B2238" s="1">
        <v>3583.49</v>
      </c>
      <c r="C2238" s="65">
        <v>43104</v>
      </c>
      <c r="D2238" s="1">
        <v>22512.13</v>
      </c>
    </row>
    <row r="2239" spans="1:4" x14ac:dyDescent="0.25">
      <c r="A2239" s="65">
        <v>43068</v>
      </c>
      <c r="B2239" s="1">
        <v>3589.91</v>
      </c>
      <c r="C2239" s="65">
        <v>43105</v>
      </c>
      <c r="D2239" s="1">
        <v>22762.29</v>
      </c>
    </row>
    <row r="2240" spans="1:4" x14ac:dyDescent="0.25">
      <c r="A2240" s="65">
        <v>43069</v>
      </c>
      <c r="B2240" s="1">
        <v>3569.93</v>
      </c>
      <c r="C2240" s="65">
        <v>43108</v>
      </c>
      <c r="D2240" s="1">
        <v>22845.69</v>
      </c>
    </row>
    <row r="2241" spans="1:4" x14ac:dyDescent="0.25">
      <c r="A2241" s="65">
        <v>43070</v>
      </c>
      <c r="B2241" s="1">
        <v>3527.55</v>
      </c>
      <c r="C2241" s="65">
        <v>43109</v>
      </c>
      <c r="D2241" s="1">
        <v>23004.98</v>
      </c>
    </row>
    <row r="2242" spans="1:4" x14ac:dyDescent="0.25">
      <c r="A2242" s="65">
        <v>43073</v>
      </c>
      <c r="B2242" s="1">
        <v>3576.22</v>
      </c>
      <c r="C2242" s="65">
        <v>43110</v>
      </c>
      <c r="D2242" s="1">
        <v>23157.42</v>
      </c>
    </row>
    <row r="2243" spans="1:4" x14ac:dyDescent="0.25">
      <c r="A2243" s="65">
        <v>43074</v>
      </c>
      <c r="B2243" s="1">
        <v>3570.57</v>
      </c>
      <c r="C2243" s="65">
        <v>43111</v>
      </c>
      <c r="D2243" s="1">
        <v>23305.26</v>
      </c>
    </row>
    <row r="2244" spans="1:4" x14ac:dyDescent="0.25">
      <c r="A2244" s="65">
        <v>43075</v>
      </c>
      <c r="B2244" s="1">
        <v>3561.57</v>
      </c>
      <c r="C2244" s="65">
        <v>43112</v>
      </c>
      <c r="D2244" s="1">
        <v>23429.83</v>
      </c>
    </row>
    <row r="2245" spans="1:4" x14ac:dyDescent="0.25">
      <c r="A2245" s="65">
        <v>43076</v>
      </c>
      <c r="B2245" s="1">
        <v>3573.13</v>
      </c>
      <c r="C2245" s="65">
        <v>43115</v>
      </c>
      <c r="D2245" s="1">
        <v>23543.55</v>
      </c>
    </row>
    <row r="2246" spans="1:4" x14ac:dyDescent="0.25">
      <c r="A2246" s="65">
        <v>43077</v>
      </c>
      <c r="B2246" s="1">
        <v>3591.45</v>
      </c>
      <c r="C2246" s="65">
        <v>43116</v>
      </c>
      <c r="D2246" s="1">
        <v>23495.279999999999</v>
      </c>
    </row>
    <row r="2247" spans="1:4" x14ac:dyDescent="0.25">
      <c r="A2247" s="65">
        <v>43080</v>
      </c>
      <c r="B2247" s="1">
        <v>3582.21</v>
      </c>
      <c r="C2247" s="65">
        <v>43117</v>
      </c>
      <c r="D2247" s="1">
        <v>23514.67</v>
      </c>
    </row>
    <row r="2248" spans="1:4" x14ac:dyDescent="0.25">
      <c r="A2248" s="65">
        <v>43081</v>
      </c>
      <c r="B2248" s="1">
        <v>3600.35</v>
      </c>
      <c r="C2248" s="65">
        <v>43118</v>
      </c>
      <c r="D2248" s="1">
        <v>23630.81</v>
      </c>
    </row>
    <row r="2249" spans="1:4" x14ac:dyDescent="0.25">
      <c r="A2249" s="65">
        <v>43082</v>
      </c>
      <c r="B2249" s="1">
        <v>3581.75</v>
      </c>
      <c r="C2249" s="65">
        <v>43119</v>
      </c>
      <c r="D2249" s="1">
        <v>23749.22</v>
      </c>
    </row>
    <row r="2250" spans="1:4" x14ac:dyDescent="0.25">
      <c r="A2250" s="65">
        <v>43083</v>
      </c>
      <c r="B2250" s="1">
        <v>3556.22</v>
      </c>
      <c r="C2250" s="65">
        <v>43122</v>
      </c>
      <c r="D2250" s="1">
        <v>23890.18</v>
      </c>
    </row>
    <row r="2251" spans="1:4" x14ac:dyDescent="0.25">
      <c r="A2251" s="65">
        <v>43084</v>
      </c>
      <c r="B2251" s="1">
        <v>3560.53</v>
      </c>
      <c r="C2251" s="65">
        <v>43123</v>
      </c>
      <c r="D2251" s="1">
        <v>23836.6</v>
      </c>
    </row>
    <row r="2252" spans="1:4" x14ac:dyDescent="0.25">
      <c r="A2252" s="65">
        <v>43087</v>
      </c>
      <c r="B2252" s="1">
        <v>3609.42</v>
      </c>
      <c r="C2252" s="65">
        <v>43124</v>
      </c>
      <c r="D2252" s="1">
        <v>23622.62</v>
      </c>
    </row>
    <row r="2253" spans="1:4" x14ac:dyDescent="0.25">
      <c r="A2253" s="65">
        <v>43088</v>
      </c>
      <c r="B2253" s="1">
        <v>3582.22</v>
      </c>
      <c r="C2253" s="65">
        <v>43125</v>
      </c>
      <c r="D2253" s="1">
        <v>23719.81</v>
      </c>
    </row>
    <row r="2254" spans="1:4" x14ac:dyDescent="0.25">
      <c r="A2254" s="65">
        <v>43089</v>
      </c>
      <c r="B2254" s="1">
        <v>3552.65</v>
      </c>
      <c r="C2254" s="65">
        <v>43126</v>
      </c>
      <c r="D2254" s="1">
        <v>23856.99</v>
      </c>
    </row>
    <row r="2255" spans="1:4" x14ac:dyDescent="0.25">
      <c r="A2255" s="65">
        <v>43090</v>
      </c>
      <c r="B2255" s="1">
        <v>3570.78</v>
      </c>
      <c r="C2255" s="65">
        <v>43129</v>
      </c>
      <c r="D2255" s="1">
        <v>23801.55</v>
      </c>
    </row>
    <row r="2256" spans="1:4" x14ac:dyDescent="0.25">
      <c r="A2256" s="65">
        <v>43091</v>
      </c>
      <c r="B2256" s="1">
        <v>3553.39</v>
      </c>
      <c r="C2256" s="65">
        <v>43130</v>
      </c>
      <c r="D2256" s="1">
        <v>23480.92</v>
      </c>
    </row>
    <row r="2257" spans="1:4" x14ac:dyDescent="0.25">
      <c r="A2257" s="65">
        <v>43096</v>
      </c>
      <c r="B2257" s="1">
        <v>3550.17</v>
      </c>
      <c r="C2257" s="65">
        <v>43131</v>
      </c>
      <c r="D2257" s="1">
        <v>23507.06</v>
      </c>
    </row>
    <row r="2258" spans="1:4" x14ac:dyDescent="0.25">
      <c r="A2258" s="65">
        <v>43097</v>
      </c>
      <c r="B2258" s="1">
        <v>3524.31</v>
      </c>
      <c r="C2258" s="65">
        <v>43132</v>
      </c>
      <c r="D2258" s="1">
        <v>23541.46</v>
      </c>
    </row>
    <row r="2259" spans="1:4" x14ac:dyDescent="0.25">
      <c r="A2259" s="65">
        <v>43098</v>
      </c>
      <c r="B2259" s="1">
        <v>3503.96</v>
      </c>
      <c r="C2259" s="65">
        <v>43133</v>
      </c>
      <c r="D2259" s="1">
        <v>23202.66</v>
      </c>
    </row>
    <row r="2260" spans="1:4" x14ac:dyDescent="0.25">
      <c r="A2260" s="65">
        <v>43102</v>
      </c>
      <c r="B2260" s="1">
        <v>3490.19</v>
      </c>
      <c r="C2260" s="65">
        <v>43136</v>
      </c>
      <c r="D2260" s="1">
        <v>22821.63</v>
      </c>
    </row>
    <row r="2261" spans="1:4" x14ac:dyDescent="0.25">
      <c r="A2261" s="65">
        <v>43103</v>
      </c>
      <c r="B2261" s="1">
        <v>3509.88</v>
      </c>
      <c r="C2261" s="65">
        <v>43137</v>
      </c>
      <c r="D2261" s="1">
        <v>22347.01</v>
      </c>
    </row>
    <row r="2262" spans="1:4" x14ac:dyDescent="0.25">
      <c r="A2262" s="65">
        <v>43104</v>
      </c>
      <c r="B2262" s="1">
        <v>3568.88</v>
      </c>
      <c r="C2262" s="65">
        <v>43138</v>
      </c>
      <c r="D2262" s="1">
        <v>22986.18</v>
      </c>
    </row>
    <row r="2263" spans="1:4" x14ac:dyDescent="0.25">
      <c r="A2263" s="65">
        <v>43105</v>
      </c>
      <c r="B2263" s="1">
        <v>3607.63</v>
      </c>
      <c r="C2263" s="65">
        <v>43139</v>
      </c>
      <c r="D2263" s="1">
        <v>22466.6</v>
      </c>
    </row>
    <row r="2264" spans="1:4" x14ac:dyDescent="0.25">
      <c r="A2264" s="65">
        <v>43108</v>
      </c>
      <c r="B2264" s="1">
        <v>3616.45</v>
      </c>
      <c r="C2264" s="65">
        <v>43140</v>
      </c>
      <c r="D2264" s="1">
        <v>22166.75</v>
      </c>
    </row>
    <row r="2265" spans="1:4" x14ac:dyDescent="0.25">
      <c r="A2265" s="65">
        <v>43109</v>
      </c>
      <c r="B2265" s="1">
        <v>3622.87</v>
      </c>
      <c r="C2265" s="65">
        <v>43143</v>
      </c>
      <c r="D2265" s="1">
        <v>22336.78</v>
      </c>
    </row>
    <row r="2266" spans="1:4" x14ac:dyDescent="0.25">
      <c r="A2266" s="65">
        <v>43110</v>
      </c>
      <c r="B2266" s="1">
        <v>3609.83</v>
      </c>
      <c r="C2266" s="65">
        <v>43144</v>
      </c>
      <c r="D2266" s="1">
        <v>22034.42</v>
      </c>
    </row>
    <row r="2267" spans="1:4" x14ac:dyDescent="0.25">
      <c r="A2267" s="65">
        <v>43111</v>
      </c>
      <c r="B2267" s="1">
        <v>3595.24</v>
      </c>
      <c r="C2267" s="65">
        <v>43145</v>
      </c>
      <c r="D2267" s="1">
        <v>22433.75</v>
      </c>
    </row>
    <row r="2268" spans="1:4" x14ac:dyDescent="0.25">
      <c r="A2268" s="65">
        <v>43112</v>
      </c>
      <c r="B2268" s="1">
        <v>3612.61</v>
      </c>
      <c r="C2268" s="65">
        <v>43146</v>
      </c>
      <c r="D2268" s="1">
        <v>22495.64</v>
      </c>
    </row>
    <row r="2269" spans="1:4" x14ac:dyDescent="0.25">
      <c r="A2269" s="65">
        <v>43115</v>
      </c>
      <c r="B2269" s="1">
        <v>3611.81</v>
      </c>
      <c r="C2269" s="65">
        <v>43147</v>
      </c>
      <c r="D2269" s="1">
        <v>22797.88</v>
      </c>
    </row>
    <row r="2270" spans="1:4" x14ac:dyDescent="0.25">
      <c r="A2270" s="65">
        <v>43116</v>
      </c>
      <c r="B2270" s="1">
        <v>3622.01</v>
      </c>
      <c r="C2270" s="65">
        <v>43150</v>
      </c>
      <c r="D2270" s="1">
        <v>22568.92</v>
      </c>
    </row>
    <row r="2271" spans="1:4" x14ac:dyDescent="0.25">
      <c r="A2271" s="65">
        <v>43117</v>
      </c>
      <c r="B2271" s="1">
        <v>3612.78</v>
      </c>
      <c r="C2271" s="65">
        <v>43151</v>
      </c>
      <c r="D2271" s="1">
        <v>22673.56</v>
      </c>
    </row>
    <row r="2272" spans="1:4" x14ac:dyDescent="0.25">
      <c r="A2272" s="65">
        <v>43118</v>
      </c>
      <c r="B2272" s="1">
        <v>3620.91</v>
      </c>
      <c r="C2272" s="65">
        <v>43152</v>
      </c>
      <c r="D2272" s="1">
        <v>22653.01</v>
      </c>
    </row>
    <row r="2273" spans="1:4" x14ac:dyDescent="0.25">
      <c r="A2273" s="65">
        <v>43119</v>
      </c>
      <c r="B2273" s="1">
        <v>3649.07</v>
      </c>
      <c r="C2273" s="65">
        <v>43153</v>
      </c>
      <c r="D2273" s="1">
        <v>22463.51</v>
      </c>
    </row>
    <row r="2274" spans="1:4" x14ac:dyDescent="0.25">
      <c r="A2274" s="65">
        <v>43122</v>
      </c>
      <c r="B2274" s="1">
        <v>3665.28</v>
      </c>
      <c r="C2274" s="65">
        <v>43154</v>
      </c>
      <c r="D2274" s="1">
        <v>22672.15</v>
      </c>
    </row>
    <row r="2275" spans="1:4" x14ac:dyDescent="0.25">
      <c r="A2275" s="65">
        <v>43123</v>
      </c>
      <c r="B2275" s="1">
        <v>3672.29</v>
      </c>
      <c r="C2275" s="65">
        <v>43157</v>
      </c>
      <c r="D2275" s="1">
        <v>22706.21</v>
      </c>
    </row>
    <row r="2276" spans="1:4" x14ac:dyDescent="0.25">
      <c r="A2276" s="65">
        <v>43124</v>
      </c>
      <c r="B2276" s="1">
        <v>3643.22</v>
      </c>
      <c r="C2276" s="65">
        <v>43158</v>
      </c>
      <c r="D2276" s="1">
        <v>22724.46</v>
      </c>
    </row>
    <row r="2277" spans="1:4" x14ac:dyDescent="0.25">
      <c r="A2277" s="65">
        <v>43125</v>
      </c>
      <c r="B2277" s="1">
        <v>3630.15</v>
      </c>
      <c r="C2277" s="65">
        <v>43159</v>
      </c>
      <c r="D2277" s="1">
        <v>22607.61</v>
      </c>
    </row>
    <row r="2278" spans="1:4" x14ac:dyDescent="0.25">
      <c r="A2278" s="65">
        <v>43126</v>
      </c>
      <c r="B2278" s="1">
        <v>3647.41</v>
      </c>
      <c r="C2278" s="65">
        <v>43160</v>
      </c>
      <c r="D2278" s="1">
        <v>22448.38</v>
      </c>
    </row>
    <row r="2279" spans="1:4" x14ac:dyDescent="0.25">
      <c r="A2279" s="65">
        <v>43129</v>
      </c>
      <c r="B2279" s="1">
        <v>3643.04</v>
      </c>
      <c r="C2279" s="65">
        <v>43161</v>
      </c>
      <c r="D2279" s="1">
        <v>21912.14</v>
      </c>
    </row>
    <row r="2280" spans="1:4" x14ac:dyDescent="0.25">
      <c r="A2280" s="65">
        <v>43130</v>
      </c>
      <c r="B2280" s="1">
        <v>3606.75</v>
      </c>
      <c r="C2280" s="65">
        <v>43164</v>
      </c>
      <c r="D2280" s="1">
        <v>21819.91</v>
      </c>
    </row>
    <row r="2281" spans="1:4" x14ac:dyDescent="0.25">
      <c r="A2281" s="65">
        <v>43131</v>
      </c>
      <c r="B2281" s="1">
        <v>3609.29</v>
      </c>
      <c r="C2281" s="65">
        <v>43165</v>
      </c>
      <c r="D2281" s="1">
        <v>22202.5</v>
      </c>
    </row>
    <row r="2282" spans="1:4" x14ac:dyDescent="0.25">
      <c r="A2282" s="65">
        <v>43132</v>
      </c>
      <c r="B2282" s="1">
        <v>3577.35</v>
      </c>
      <c r="C2282" s="65">
        <v>43166</v>
      </c>
      <c r="D2282" s="1">
        <v>22473.47</v>
      </c>
    </row>
    <row r="2283" spans="1:4" x14ac:dyDescent="0.25">
      <c r="A2283" s="65">
        <v>43133</v>
      </c>
      <c r="B2283" s="1">
        <v>3523.28</v>
      </c>
      <c r="C2283" s="65">
        <v>43167</v>
      </c>
      <c r="D2283" s="1">
        <v>22731.1</v>
      </c>
    </row>
    <row r="2284" spans="1:4" x14ac:dyDescent="0.25">
      <c r="A2284" s="65">
        <v>43136</v>
      </c>
      <c r="B2284" s="1">
        <v>3478.77</v>
      </c>
      <c r="C2284" s="65">
        <v>43168</v>
      </c>
      <c r="D2284" s="1">
        <v>22745.599999999999</v>
      </c>
    </row>
    <row r="2285" spans="1:4" x14ac:dyDescent="0.25">
      <c r="A2285" s="65">
        <v>43137</v>
      </c>
      <c r="B2285" s="1">
        <v>3394.92</v>
      </c>
      <c r="C2285" s="65">
        <v>43171</v>
      </c>
      <c r="D2285" s="1">
        <v>22764.91</v>
      </c>
    </row>
    <row r="2286" spans="1:4" x14ac:dyDescent="0.25">
      <c r="A2286" s="65">
        <v>43138</v>
      </c>
      <c r="B2286" s="1">
        <v>3454.52</v>
      </c>
      <c r="C2286" s="65">
        <v>43172</v>
      </c>
      <c r="D2286" s="1">
        <v>22690.98</v>
      </c>
    </row>
    <row r="2287" spans="1:4" x14ac:dyDescent="0.25">
      <c r="A2287" s="65">
        <v>43139</v>
      </c>
      <c r="B2287" s="1">
        <v>3377.3</v>
      </c>
      <c r="C2287" s="65">
        <v>43173</v>
      </c>
      <c r="D2287" s="1">
        <v>22452.34</v>
      </c>
    </row>
    <row r="2288" spans="1:4" x14ac:dyDescent="0.25">
      <c r="A2288" s="65">
        <v>43140</v>
      </c>
      <c r="B2288" s="1">
        <v>3325.99</v>
      </c>
      <c r="C2288" s="65">
        <v>43174</v>
      </c>
      <c r="D2288" s="1">
        <v>22713.47</v>
      </c>
    </row>
    <row r="2289" spans="1:4" x14ac:dyDescent="0.25">
      <c r="A2289" s="65">
        <v>43143</v>
      </c>
      <c r="B2289" s="1">
        <v>3368.25</v>
      </c>
      <c r="C2289" s="65">
        <v>43175</v>
      </c>
      <c r="D2289" s="1">
        <v>22857.69</v>
      </c>
    </row>
    <row r="2290" spans="1:4" x14ac:dyDescent="0.25">
      <c r="A2290" s="65">
        <v>43144</v>
      </c>
      <c r="B2290" s="1">
        <v>3340.93</v>
      </c>
      <c r="C2290" s="65">
        <v>43178</v>
      </c>
      <c r="D2290" s="1">
        <v>22633.1</v>
      </c>
    </row>
    <row r="2291" spans="1:4" x14ac:dyDescent="0.25">
      <c r="A2291" s="65">
        <v>43145</v>
      </c>
      <c r="B2291" s="1">
        <v>3369.83</v>
      </c>
      <c r="C2291" s="65">
        <v>43179</v>
      </c>
      <c r="D2291" s="1">
        <v>22798.15</v>
      </c>
    </row>
    <row r="2292" spans="1:4" x14ac:dyDescent="0.25">
      <c r="A2292" s="65">
        <v>43146</v>
      </c>
      <c r="B2292" s="1">
        <v>3389.63</v>
      </c>
      <c r="C2292" s="65">
        <v>43180</v>
      </c>
      <c r="D2292" s="1">
        <v>22820.12</v>
      </c>
    </row>
    <row r="2293" spans="1:4" x14ac:dyDescent="0.25">
      <c r="A2293" s="65">
        <v>43147</v>
      </c>
      <c r="B2293" s="1">
        <v>3426.8</v>
      </c>
      <c r="C2293" s="65">
        <v>43181</v>
      </c>
      <c r="D2293" s="1">
        <v>22397.84</v>
      </c>
    </row>
    <row r="2294" spans="1:4" x14ac:dyDescent="0.25">
      <c r="A2294" s="65">
        <v>43150</v>
      </c>
      <c r="B2294" s="1">
        <v>3407.79</v>
      </c>
      <c r="C2294" s="65">
        <v>43182</v>
      </c>
      <c r="D2294" s="1">
        <v>22289.1</v>
      </c>
    </row>
    <row r="2295" spans="1:4" x14ac:dyDescent="0.25">
      <c r="A2295" s="65">
        <v>43151</v>
      </c>
      <c r="B2295" s="1">
        <v>3435.08</v>
      </c>
      <c r="C2295" s="65">
        <v>43185</v>
      </c>
      <c r="D2295" s="1">
        <v>22011.759999999998</v>
      </c>
    </row>
    <row r="2296" spans="1:4" x14ac:dyDescent="0.25">
      <c r="A2296" s="65">
        <v>43152</v>
      </c>
      <c r="B2296" s="1">
        <v>3430.16</v>
      </c>
      <c r="C2296" s="65">
        <v>43186</v>
      </c>
      <c r="D2296" s="1">
        <v>22209.75</v>
      </c>
    </row>
    <row r="2297" spans="1:4" x14ac:dyDescent="0.25">
      <c r="A2297" s="65">
        <v>43153</v>
      </c>
      <c r="B2297" s="1">
        <v>3431.99</v>
      </c>
      <c r="C2297" s="65">
        <v>43187</v>
      </c>
      <c r="D2297" s="1">
        <v>22331.360000000001</v>
      </c>
    </row>
    <row r="2298" spans="1:4" x14ac:dyDescent="0.25">
      <c r="A2298" s="65">
        <v>43154</v>
      </c>
      <c r="B2298" s="1">
        <v>3441.46</v>
      </c>
      <c r="C2298" s="65">
        <v>43188</v>
      </c>
      <c r="D2298" s="1">
        <v>22411.15</v>
      </c>
    </row>
    <row r="2299" spans="1:4" x14ac:dyDescent="0.25">
      <c r="A2299" s="65">
        <v>43157</v>
      </c>
      <c r="B2299" s="1">
        <v>3463.18</v>
      </c>
      <c r="C2299" s="65">
        <v>43193</v>
      </c>
      <c r="D2299" s="1">
        <v>22510.33</v>
      </c>
    </row>
    <row r="2300" spans="1:4" x14ac:dyDescent="0.25">
      <c r="A2300" s="65">
        <v>43158</v>
      </c>
      <c r="B2300" s="1">
        <v>3458.03</v>
      </c>
      <c r="C2300" s="65">
        <v>43194</v>
      </c>
      <c r="D2300" s="1">
        <v>22442.78</v>
      </c>
    </row>
    <row r="2301" spans="1:4" x14ac:dyDescent="0.25">
      <c r="A2301" s="65">
        <v>43159</v>
      </c>
      <c r="B2301" s="1">
        <v>3438.96</v>
      </c>
      <c r="C2301" s="65">
        <v>43195</v>
      </c>
      <c r="D2301" s="1">
        <v>22969.5</v>
      </c>
    </row>
    <row r="2302" spans="1:4" x14ac:dyDescent="0.25">
      <c r="A2302" s="65">
        <v>43160</v>
      </c>
      <c r="B2302" s="1">
        <v>3399.16</v>
      </c>
      <c r="C2302" s="65">
        <v>43196</v>
      </c>
      <c r="D2302" s="1">
        <v>22929.87</v>
      </c>
    </row>
    <row r="2303" spans="1:4" x14ac:dyDescent="0.25">
      <c r="A2303" s="65">
        <v>43161</v>
      </c>
      <c r="B2303" s="1">
        <v>3324.75</v>
      </c>
      <c r="C2303" s="65">
        <v>43199</v>
      </c>
      <c r="D2303" s="1">
        <v>23053.99</v>
      </c>
    </row>
    <row r="2304" spans="1:4" x14ac:dyDescent="0.25">
      <c r="A2304" s="65">
        <v>43164</v>
      </c>
      <c r="B2304" s="1">
        <v>3355.32</v>
      </c>
      <c r="C2304" s="65">
        <v>43200</v>
      </c>
      <c r="D2304" s="1">
        <v>23173.68</v>
      </c>
    </row>
    <row r="2305" spans="1:4" x14ac:dyDescent="0.25">
      <c r="A2305" s="65">
        <v>43165</v>
      </c>
      <c r="B2305" s="1">
        <v>3357.86</v>
      </c>
      <c r="C2305" s="65">
        <v>43201</v>
      </c>
      <c r="D2305" s="1">
        <v>23012.86</v>
      </c>
    </row>
    <row r="2306" spans="1:4" x14ac:dyDescent="0.25">
      <c r="A2306" s="65">
        <v>43166</v>
      </c>
      <c r="B2306" s="1">
        <v>3377.36</v>
      </c>
      <c r="C2306" s="65">
        <v>43202</v>
      </c>
      <c r="D2306" s="1">
        <v>23304.880000000001</v>
      </c>
    </row>
    <row r="2307" spans="1:4" x14ac:dyDescent="0.25">
      <c r="A2307" s="65">
        <v>43167</v>
      </c>
      <c r="B2307" s="1">
        <v>3413.28</v>
      </c>
      <c r="C2307" s="65">
        <v>43203</v>
      </c>
      <c r="D2307" s="1">
        <v>23330.32</v>
      </c>
    </row>
    <row r="2308" spans="1:4" x14ac:dyDescent="0.25">
      <c r="A2308" s="65">
        <v>43168</v>
      </c>
      <c r="B2308" s="1">
        <v>3420.54</v>
      </c>
      <c r="C2308" s="65">
        <v>43206</v>
      </c>
      <c r="D2308" s="1">
        <v>23329.31</v>
      </c>
    </row>
    <row r="2309" spans="1:4" x14ac:dyDescent="0.25">
      <c r="A2309" s="65">
        <v>43171</v>
      </c>
      <c r="B2309" s="1">
        <v>3429.48</v>
      </c>
      <c r="C2309" s="65">
        <v>43207</v>
      </c>
      <c r="D2309" s="1">
        <v>23649.040000000001</v>
      </c>
    </row>
    <row r="2310" spans="1:4" x14ac:dyDescent="0.25">
      <c r="A2310" s="65">
        <v>43172</v>
      </c>
      <c r="B2310" s="1">
        <v>3397.35</v>
      </c>
      <c r="C2310" s="65">
        <v>43208</v>
      </c>
      <c r="D2310" s="1">
        <v>23759.88</v>
      </c>
    </row>
    <row r="2311" spans="1:4" x14ac:dyDescent="0.25">
      <c r="A2311" s="65">
        <v>43173</v>
      </c>
      <c r="B2311" s="1">
        <v>3390.98</v>
      </c>
      <c r="C2311" s="65">
        <v>43209</v>
      </c>
      <c r="D2311" s="1">
        <v>23792.04</v>
      </c>
    </row>
    <row r="2312" spans="1:4" x14ac:dyDescent="0.25">
      <c r="A2312" s="65">
        <v>43174</v>
      </c>
      <c r="B2312" s="1">
        <v>3414.13</v>
      </c>
      <c r="C2312" s="65">
        <v>43210</v>
      </c>
      <c r="D2312" s="1">
        <v>23829.34</v>
      </c>
    </row>
    <row r="2313" spans="1:4" x14ac:dyDescent="0.25">
      <c r="A2313" s="65">
        <v>43175</v>
      </c>
      <c r="B2313" s="1">
        <v>3437.4</v>
      </c>
      <c r="C2313" s="65">
        <v>43213</v>
      </c>
      <c r="D2313" s="1">
        <v>23982.52</v>
      </c>
    </row>
    <row r="2314" spans="1:4" x14ac:dyDescent="0.25">
      <c r="A2314" s="65">
        <v>43178</v>
      </c>
      <c r="B2314" s="1">
        <v>3394.79</v>
      </c>
      <c r="C2314" s="65">
        <v>43214</v>
      </c>
      <c r="D2314" s="1">
        <v>24035.49</v>
      </c>
    </row>
    <row r="2315" spans="1:4" x14ac:dyDescent="0.25">
      <c r="A2315" s="65">
        <v>43179</v>
      </c>
      <c r="B2315" s="1">
        <v>3412.08</v>
      </c>
      <c r="C2315" s="65">
        <v>43215</v>
      </c>
      <c r="D2315" s="1">
        <v>23801.200000000001</v>
      </c>
    </row>
    <row r="2316" spans="1:4" x14ac:dyDescent="0.25">
      <c r="A2316" s="65">
        <v>43180</v>
      </c>
      <c r="B2316" s="1">
        <v>3401.04</v>
      </c>
      <c r="C2316" s="65">
        <v>43216</v>
      </c>
      <c r="D2316" s="1">
        <v>24039.63</v>
      </c>
    </row>
    <row r="2317" spans="1:4" x14ac:dyDescent="0.25">
      <c r="A2317" s="65">
        <v>43181</v>
      </c>
      <c r="B2317" s="1">
        <v>3348.19</v>
      </c>
      <c r="C2317" s="65">
        <v>43217</v>
      </c>
      <c r="D2317" s="1">
        <v>23927.61</v>
      </c>
    </row>
    <row r="2318" spans="1:4" x14ac:dyDescent="0.25">
      <c r="A2318" s="65">
        <v>43182</v>
      </c>
      <c r="B2318" s="1">
        <v>3298.07</v>
      </c>
      <c r="C2318" s="65">
        <v>43220</v>
      </c>
      <c r="D2318" s="1">
        <v>23979.37</v>
      </c>
    </row>
    <row r="2319" spans="1:4" x14ac:dyDescent="0.25">
      <c r="A2319" s="65">
        <v>43185</v>
      </c>
      <c r="B2319" s="1">
        <v>3278.72</v>
      </c>
      <c r="C2319" s="65">
        <v>43222</v>
      </c>
      <c r="D2319" s="1">
        <v>24265.61</v>
      </c>
    </row>
    <row r="2320" spans="1:4" x14ac:dyDescent="0.25">
      <c r="A2320" s="65">
        <v>43186</v>
      </c>
      <c r="B2320" s="1">
        <v>3316.95</v>
      </c>
      <c r="C2320" s="65">
        <v>43223</v>
      </c>
      <c r="D2320" s="1">
        <v>24064.46</v>
      </c>
    </row>
    <row r="2321" spans="1:4" x14ac:dyDescent="0.25">
      <c r="A2321" s="65">
        <v>43187</v>
      </c>
      <c r="B2321" s="1">
        <v>3331.25</v>
      </c>
      <c r="C2321" s="65">
        <v>43224</v>
      </c>
      <c r="D2321" s="1">
        <v>24335.02</v>
      </c>
    </row>
    <row r="2322" spans="1:4" x14ac:dyDescent="0.25">
      <c r="A2322" s="65">
        <v>43188</v>
      </c>
      <c r="B2322" s="1">
        <v>3361.5</v>
      </c>
      <c r="C2322" s="65">
        <v>43227</v>
      </c>
      <c r="D2322" s="1">
        <v>24544.26</v>
      </c>
    </row>
    <row r="2323" spans="1:4" x14ac:dyDescent="0.25">
      <c r="A2323" s="65">
        <v>43193</v>
      </c>
      <c r="B2323" s="1">
        <v>3346.93</v>
      </c>
      <c r="C2323" s="65">
        <v>43228</v>
      </c>
      <c r="D2323" s="1">
        <v>24142.54</v>
      </c>
    </row>
    <row r="2324" spans="1:4" x14ac:dyDescent="0.25">
      <c r="A2324" s="65">
        <v>43194</v>
      </c>
      <c r="B2324" s="1">
        <v>3340.35</v>
      </c>
      <c r="C2324" s="65">
        <v>43229</v>
      </c>
      <c r="D2324" s="1">
        <v>24266.560000000001</v>
      </c>
    </row>
    <row r="2325" spans="1:4" x14ac:dyDescent="0.25">
      <c r="A2325" s="65">
        <v>43195</v>
      </c>
      <c r="B2325" s="1">
        <v>3429.95</v>
      </c>
      <c r="C2325" s="65">
        <v>43230</v>
      </c>
      <c r="D2325" s="1">
        <v>24033.9</v>
      </c>
    </row>
    <row r="2326" spans="1:4" x14ac:dyDescent="0.25">
      <c r="A2326" s="65">
        <v>43196</v>
      </c>
      <c r="B2326" s="1">
        <v>3408.1</v>
      </c>
      <c r="C2326" s="65">
        <v>43231</v>
      </c>
      <c r="D2326" s="1">
        <v>24159.34</v>
      </c>
    </row>
    <row r="2327" spans="1:4" x14ac:dyDescent="0.25">
      <c r="A2327" s="65">
        <v>43199</v>
      </c>
      <c r="B2327" s="1">
        <v>3414.85</v>
      </c>
      <c r="C2327" s="65">
        <v>43234</v>
      </c>
      <c r="D2327" s="1">
        <v>24221.47</v>
      </c>
    </row>
    <row r="2328" spans="1:4" x14ac:dyDescent="0.25">
      <c r="A2328" s="65">
        <v>43200</v>
      </c>
      <c r="B2328" s="1">
        <v>3438.78</v>
      </c>
      <c r="C2328" s="65">
        <v>43235</v>
      </c>
      <c r="D2328" s="1">
        <v>24297.17</v>
      </c>
    </row>
    <row r="2329" spans="1:4" x14ac:dyDescent="0.25">
      <c r="A2329" s="65">
        <v>43201</v>
      </c>
      <c r="B2329" s="1">
        <v>3419.71</v>
      </c>
      <c r="C2329" s="65">
        <v>43236</v>
      </c>
      <c r="D2329" s="1">
        <v>23734.22</v>
      </c>
    </row>
    <row r="2330" spans="1:4" x14ac:dyDescent="0.25">
      <c r="A2330" s="65">
        <v>43202</v>
      </c>
      <c r="B2330" s="1">
        <v>3443.97</v>
      </c>
      <c r="C2330" s="65">
        <v>43237</v>
      </c>
      <c r="D2330" s="1">
        <v>23801.99</v>
      </c>
    </row>
    <row r="2331" spans="1:4" x14ac:dyDescent="0.25">
      <c r="A2331" s="65">
        <v>43203</v>
      </c>
      <c r="B2331" s="1">
        <v>3448</v>
      </c>
      <c r="C2331" s="65">
        <v>43238</v>
      </c>
      <c r="D2331" s="1">
        <v>23449.65</v>
      </c>
    </row>
    <row r="2332" spans="1:4" x14ac:dyDescent="0.25">
      <c r="A2332" s="65">
        <v>43206</v>
      </c>
      <c r="B2332" s="1">
        <v>3441.04</v>
      </c>
      <c r="C2332" s="65">
        <v>43241</v>
      </c>
      <c r="D2332" s="1">
        <v>23092.38</v>
      </c>
    </row>
    <row r="2333" spans="1:4" x14ac:dyDescent="0.25">
      <c r="A2333" s="65">
        <v>43207</v>
      </c>
      <c r="B2333" s="1">
        <v>3477.91</v>
      </c>
      <c r="C2333" s="65">
        <v>43242</v>
      </c>
      <c r="D2333" s="1">
        <v>23216.57</v>
      </c>
    </row>
    <row r="2334" spans="1:4" x14ac:dyDescent="0.25">
      <c r="A2334" s="65">
        <v>43208</v>
      </c>
      <c r="B2334" s="1">
        <v>3490.89</v>
      </c>
      <c r="C2334" s="65">
        <v>43243</v>
      </c>
      <c r="D2334" s="1">
        <v>22911.71</v>
      </c>
    </row>
    <row r="2335" spans="1:4" x14ac:dyDescent="0.25">
      <c r="A2335" s="65">
        <v>43209</v>
      </c>
      <c r="B2335" s="1">
        <v>3486.6</v>
      </c>
      <c r="C2335" s="65">
        <v>43244</v>
      </c>
      <c r="D2335" s="1">
        <v>22749.08</v>
      </c>
    </row>
    <row r="2336" spans="1:4" x14ac:dyDescent="0.25">
      <c r="A2336" s="65">
        <v>43210</v>
      </c>
      <c r="B2336" s="1">
        <v>3494.2</v>
      </c>
      <c r="C2336" s="65">
        <v>43245</v>
      </c>
      <c r="D2336" s="1">
        <v>22398.15</v>
      </c>
    </row>
    <row r="2337" spans="1:4" x14ac:dyDescent="0.25">
      <c r="A2337" s="65">
        <v>43213</v>
      </c>
      <c r="B2337" s="1">
        <v>3513.06</v>
      </c>
      <c r="C2337" s="65">
        <v>43248</v>
      </c>
      <c r="D2337" s="1">
        <v>21932.69</v>
      </c>
    </row>
    <row r="2338" spans="1:4" x14ac:dyDescent="0.25">
      <c r="A2338" s="65">
        <v>43214</v>
      </c>
      <c r="B2338" s="1">
        <v>3510.88</v>
      </c>
      <c r="C2338" s="65">
        <v>43249</v>
      </c>
      <c r="D2338" s="1">
        <v>21350.880000000001</v>
      </c>
    </row>
    <row r="2339" spans="1:4" x14ac:dyDescent="0.25">
      <c r="A2339" s="65">
        <v>43215</v>
      </c>
      <c r="B2339" s="1">
        <v>3485.83</v>
      </c>
      <c r="C2339" s="65">
        <v>43250</v>
      </c>
      <c r="D2339" s="1">
        <v>21797.82</v>
      </c>
    </row>
    <row r="2340" spans="1:4" x14ac:dyDescent="0.25">
      <c r="A2340" s="65">
        <v>43216</v>
      </c>
      <c r="B2340" s="1">
        <v>3506.03</v>
      </c>
      <c r="C2340" s="65">
        <v>43251</v>
      </c>
      <c r="D2340" s="1">
        <v>21784.18</v>
      </c>
    </row>
    <row r="2341" spans="1:4" x14ac:dyDescent="0.25">
      <c r="A2341" s="65">
        <v>43217</v>
      </c>
      <c r="B2341" s="1">
        <v>3518.78</v>
      </c>
      <c r="C2341" s="65">
        <v>43252</v>
      </c>
      <c r="D2341" s="1">
        <v>22109.55</v>
      </c>
    </row>
    <row r="2342" spans="1:4" x14ac:dyDescent="0.25">
      <c r="A2342" s="65">
        <v>43220</v>
      </c>
      <c r="B2342" s="1">
        <v>3536.52</v>
      </c>
      <c r="C2342" s="65">
        <v>43255</v>
      </c>
      <c r="D2342" s="1">
        <v>22009.95</v>
      </c>
    </row>
    <row r="2343" spans="1:4" x14ac:dyDescent="0.25">
      <c r="A2343" s="65">
        <v>43221</v>
      </c>
      <c r="B2343" s="1">
        <v>3536.26</v>
      </c>
      <c r="C2343" s="65">
        <v>43256</v>
      </c>
      <c r="D2343" s="1">
        <v>21750.15</v>
      </c>
    </row>
    <row r="2344" spans="1:4" x14ac:dyDescent="0.25">
      <c r="A2344" s="65">
        <v>43222</v>
      </c>
      <c r="B2344" s="1">
        <v>3553.79</v>
      </c>
      <c r="C2344" s="65">
        <v>43257</v>
      </c>
      <c r="D2344" s="1">
        <v>21807.59</v>
      </c>
    </row>
    <row r="2345" spans="1:4" x14ac:dyDescent="0.25">
      <c r="A2345" s="65">
        <v>43223</v>
      </c>
      <c r="B2345" s="1">
        <v>3529.12</v>
      </c>
      <c r="C2345" s="65">
        <v>43258</v>
      </c>
      <c r="D2345" s="1">
        <v>21767.599999999999</v>
      </c>
    </row>
    <row r="2346" spans="1:4" x14ac:dyDescent="0.25">
      <c r="A2346" s="65">
        <v>43224</v>
      </c>
      <c r="B2346" s="1">
        <v>3550.59</v>
      </c>
      <c r="C2346" s="65">
        <v>43259</v>
      </c>
      <c r="D2346" s="1">
        <v>21355.98</v>
      </c>
    </row>
    <row r="2347" spans="1:4" x14ac:dyDescent="0.25">
      <c r="A2347" s="65">
        <v>43227</v>
      </c>
      <c r="B2347" s="1">
        <v>3564.19</v>
      </c>
      <c r="C2347" s="65">
        <v>43262</v>
      </c>
      <c r="D2347" s="1">
        <v>22086.2</v>
      </c>
    </row>
    <row r="2348" spans="1:4" x14ac:dyDescent="0.25">
      <c r="A2348" s="65">
        <v>43228</v>
      </c>
      <c r="B2348" s="1">
        <v>3557.88</v>
      </c>
      <c r="C2348" s="65">
        <v>43263</v>
      </c>
      <c r="D2348" s="1">
        <v>22119.759999999998</v>
      </c>
    </row>
    <row r="2349" spans="1:4" x14ac:dyDescent="0.25">
      <c r="A2349" s="65">
        <v>43229</v>
      </c>
      <c r="B2349" s="1">
        <v>3569.74</v>
      </c>
      <c r="C2349" s="65">
        <v>43264</v>
      </c>
      <c r="D2349" s="1">
        <v>22216.18</v>
      </c>
    </row>
    <row r="2350" spans="1:4" x14ac:dyDescent="0.25">
      <c r="A2350" s="65">
        <v>43230</v>
      </c>
      <c r="B2350" s="1">
        <v>3569.71</v>
      </c>
      <c r="C2350" s="65">
        <v>43265</v>
      </c>
      <c r="D2350" s="1">
        <v>22486.32</v>
      </c>
    </row>
    <row r="2351" spans="1:4" x14ac:dyDescent="0.25">
      <c r="A2351" s="65">
        <v>43231</v>
      </c>
      <c r="B2351" s="1">
        <v>3565.52</v>
      </c>
      <c r="C2351" s="65">
        <v>43266</v>
      </c>
      <c r="D2351" s="1">
        <v>22190.45</v>
      </c>
    </row>
    <row r="2352" spans="1:4" x14ac:dyDescent="0.25">
      <c r="A2352" s="65">
        <v>43234</v>
      </c>
      <c r="B2352" s="1">
        <v>3565.74</v>
      </c>
      <c r="C2352" s="65">
        <v>43269</v>
      </c>
      <c r="D2352" s="1">
        <v>22099.27</v>
      </c>
    </row>
    <row r="2353" spans="1:4" x14ac:dyDescent="0.25">
      <c r="A2353" s="65">
        <v>43235</v>
      </c>
      <c r="B2353" s="1">
        <v>3564.29</v>
      </c>
      <c r="C2353" s="65">
        <v>43270</v>
      </c>
      <c r="D2353" s="1">
        <v>22084.33</v>
      </c>
    </row>
    <row r="2354" spans="1:4" x14ac:dyDescent="0.25">
      <c r="A2354" s="65">
        <v>43236</v>
      </c>
      <c r="B2354" s="1">
        <v>3562.85</v>
      </c>
      <c r="C2354" s="65">
        <v>43271</v>
      </c>
      <c r="D2354" s="1">
        <v>22120.58</v>
      </c>
    </row>
    <row r="2355" spans="1:4" x14ac:dyDescent="0.25">
      <c r="A2355" s="65">
        <v>43237</v>
      </c>
      <c r="B2355" s="1">
        <v>3592.18</v>
      </c>
      <c r="C2355" s="65">
        <v>43272</v>
      </c>
      <c r="D2355" s="1">
        <v>21673.11</v>
      </c>
    </row>
    <row r="2356" spans="1:4" x14ac:dyDescent="0.25">
      <c r="A2356" s="65">
        <v>43238</v>
      </c>
      <c r="B2356" s="1">
        <v>3573.76</v>
      </c>
      <c r="C2356" s="65">
        <v>43273</v>
      </c>
      <c r="D2356" s="1">
        <v>21888.47</v>
      </c>
    </row>
    <row r="2357" spans="1:4" x14ac:dyDescent="0.25">
      <c r="A2357" s="65">
        <v>43241</v>
      </c>
      <c r="B2357" s="1">
        <v>3572.57</v>
      </c>
      <c r="C2357" s="65">
        <v>43276</v>
      </c>
      <c r="D2357" s="1">
        <v>21355.19</v>
      </c>
    </row>
    <row r="2358" spans="1:4" x14ac:dyDescent="0.25">
      <c r="A2358" s="65">
        <v>43242</v>
      </c>
      <c r="B2358" s="1">
        <v>3587.25</v>
      </c>
      <c r="C2358" s="65">
        <v>43277</v>
      </c>
      <c r="D2358" s="1">
        <v>21419.27</v>
      </c>
    </row>
    <row r="2359" spans="1:4" x14ac:dyDescent="0.25">
      <c r="A2359" s="65">
        <v>43243</v>
      </c>
      <c r="B2359" s="1">
        <v>3541.82</v>
      </c>
      <c r="C2359" s="65">
        <v>43278</v>
      </c>
      <c r="D2359" s="1">
        <v>21557.91</v>
      </c>
    </row>
    <row r="2360" spans="1:4" x14ac:dyDescent="0.25">
      <c r="A2360" s="65">
        <v>43244</v>
      </c>
      <c r="B2360" s="1">
        <v>3521.76</v>
      </c>
      <c r="C2360" s="65">
        <v>43279</v>
      </c>
      <c r="D2360" s="1">
        <v>21432.34</v>
      </c>
    </row>
    <row r="2361" spans="1:4" x14ac:dyDescent="0.25">
      <c r="A2361" s="65">
        <v>43245</v>
      </c>
      <c r="B2361" s="1">
        <v>3515.36</v>
      </c>
      <c r="C2361" s="65">
        <v>43280</v>
      </c>
      <c r="D2361" s="1">
        <v>21626.27</v>
      </c>
    </row>
    <row r="2362" spans="1:4" x14ac:dyDescent="0.25">
      <c r="A2362" s="65">
        <v>43248</v>
      </c>
      <c r="B2362" s="1">
        <v>3482.64</v>
      </c>
      <c r="C2362" s="65">
        <v>43283</v>
      </c>
      <c r="D2362" s="1">
        <v>21427.200000000001</v>
      </c>
    </row>
    <row r="2363" spans="1:4" x14ac:dyDescent="0.25">
      <c r="A2363" s="65">
        <v>43249</v>
      </c>
      <c r="B2363" s="1">
        <v>3428.14</v>
      </c>
      <c r="C2363" s="65">
        <v>43284</v>
      </c>
      <c r="D2363" s="1">
        <v>21764.16</v>
      </c>
    </row>
    <row r="2364" spans="1:4" x14ac:dyDescent="0.25">
      <c r="A2364" s="65">
        <v>43250</v>
      </c>
      <c r="B2364" s="1">
        <v>3441.19</v>
      </c>
      <c r="C2364" s="65">
        <v>43285</v>
      </c>
      <c r="D2364" s="1">
        <v>21686.61</v>
      </c>
    </row>
    <row r="2365" spans="1:4" x14ac:dyDescent="0.25">
      <c r="A2365" s="65">
        <v>43251</v>
      </c>
      <c r="B2365" s="1">
        <v>3406.65</v>
      </c>
      <c r="C2365" s="65">
        <v>43286</v>
      </c>
      <c r="D2365" s="1">
        <v>21914.29</v>
      </c>
    </row>
    <row r="2366" spans="1:4" x14ac:dyDescent="0.25">
      <c r="A2366" s="65">
        <v>43252</v>
      </c>
      <c r="B2366" s="1">
        <v>3453.54</v>
      </c>
      <c r="C2366" s="65">
        <v>43287</v>
      </c>
      <c r="D2366" s="1">
        <v>21925.51</v>
      </c>
    </row>
    <row r="2367" spans="1:4" x14ac:dyDescent="0.25">
      <c r="A2367" s="65">
        <v>43255</v>
      </c>
      <c r="B2367" s="1">
        <v>3469.57</v>
      </c>
      <c r="C2367" s="65">
        <v>43290</v>
      </c>
      <c r="D2367" s="1">
        <v>22033.439999999999</v>
      </c>
    </row>
    <row r="2368" spans="1:4" x14ac:dyDescent="0.25">
      <c r="A2368" s="65">
        <v>43256</v>
      </c>
      <c r="B2368" s="1">
        <v>3456.79</v>
      </c>
      <c r="C2368" s="65">
        <v>43291</v>
      </c>
      <c r="D2368" s="1">
        <v>22057.3</v>
      </c>
    </row>
    <row r="2369" spans="1:4" x14ac:dyDescent="0.25">
      <c r="A2369" s="65">
        <v>43257</v>
      </c>
      <c r="B2369" s="1">
        <v>3460.82</v>
      </c>
      <c r="C2369" s="65">
        <v>43292</v>
      </c>
      <c r="D2369" s="1">
        <v>21708.06</v>
      </c>
    </row>
    <row r="2370" spans="1:4" x14ac:dyDescent="0.25">
      <c r="A2370" s="65">
        <v>43258</v>
      </c>
      <c r="B2370" s="1">
        <v>3459.77</v>
      </c>
      <c r="C2370" s="65">
        <v>43293</v>
      </c>
      <c r="D2370" s="1">
        <v>21790.12</v>
      </c>
    </row>
    <row r="2371" spans="1:4" x14ac:dyDescent="0.25">
      <c r="A2371" s="65">
        <v>43259</v>
      </c>
      <c r="B2371" s="1">
        <v>3447.3</v>
      </c>
      <c r="C2371" s="65">
        <v>43294</v>
      </c>
      <c r="D2371" s="1">
        <v>21892.35</v>
      </c>
    </row>
    <row r="2372" spans="1:4" x14ac:dyDescent="0.25">
      <c r="A2372" s="65">
        <v>43262</v>
      </c>
      <c r="B2372" s="1">
        <v>3480.22</v>
      </c>
      <c r="C2372" s="65">
        <v>43297</v>
      </c>
      <c r="D2372" s="1">
        <v>21822.959999999999</v>
      </c>
    </row>
    <row r="2373" spans="1:4" x14ac:dyDescent="0.25">
      <c r="A2373" s="65">
        <v>43263</v>
      </c>
      <c r="B2373" s="1">
        <v>3475.58</v>
      </c>
      <c r="C2373" s="65">
        <v>43298</v>
      </c>
      <c r="D2373" s="1">
        <v>21977.82</v>
      </c>
    </row>
    <row r="2374" spans="1:4" x14ac:dyDescent="0.25">
      <c r="A2374" s="65">
        <v>43264</v>
      </c>
      <c r="B2374" s="1">
        <v>3479.56</v>
      </c>
      <c r="C2374" s="65">
        <v>43299</v>
      </c>
      <c r="D2374" s="1">
        <v>21972.22</v>
      </c>
    </row>
    <row r="2375" spans="1:4" x14ac:dyDescent="0.25">
      <c r="A2375" s="65">
        <v>43265</v>
      </c>
      <c r="B2375" s="1">
        <v>3527.11</v>
      </c>
      <c r="C2375" s="65">
        <v>43300</v>
      </c>
      <c r="D2375" s="1">
        <v>21885.4</v>
      </c>
    </row>
    <row r="2376" spans="1:4" x14ac:dyDescent="0.25">
      <c r="A2376" s="65">
        <v>43266</v>
      </c>
      <c r="B2376" s="1">
        <v>3505.02</v>
      </c>
      <c r="C2376" s="65">
        <v>43301</v>
      </c>
      <c r="D2376" s="1">
        <v>21794.6</v>
      </c>
    </row>
    <row r="2377" spans="1:4" x14ac:dyDescent="0.25">
      <c r="A2377" s="65">
        <v>43269</v>
      </c>
      <c r="B2377" s="1">
        <v>3466.65</v>
      </c>
      <c r="C2377" s="65">
        <v>43304</v>
      </c>
      <c r="D2377" s="1">
        <v>21605.21</v>
      </c>
    </row>
    <row r="2378" spans="1:4" x14ac:dyDescent="0.25">
      <c r="A2378" s="65">
        <v>43270</v>
      </c>
      <c r="B2378" s="1">
        <v>3435.3</v>
      </c>
      <c r="C2378" s="65">
        <v>43305</v>
      </c>
      <c r="D2378" s="1">
        <v>21874.69</v>
      </c>
    </row>
    <row r="2379" spans="1:4" x14ac:dyDescent="0.25">
      <c r="A2379" s="65">
        <v>43271</v>
      </c>
      <c r="B2379" s="1">
        <v>3439.6</v>
      </c>
      <c r="C2379" s="65">
        <v>43306</v>
      </c>
      <c r="D2379" s="1">
        <v>21561.46</v>
      </c>
    </row>
    <row r="2380" spans="1:4" x14ac:dyDescent="0.25">
      <c r="A2380" s="65">
        <v>43272</v>
      </c>
      <c r="B2380" s="1">
        <v>3403.51</v>
      </c>
      <c r="C2380" s="65">
        <v>43307</v>
      </c>
      <c r="D2380" s="1">
        <v>21862.87</v>
      </c>
    </row>
    <row r="2381" spans="1:4" x14ac:dyDescent="0.25">
      <c r="A2381" s="65">
        <v>43273</v>
      </c>
      <c r="B2381" s="1">
        <v>3441.6</v>
      </c>
      <c r="C2381" s="65">
        <v>43308</v>
      </c>
      <c r="D2381" s="1">
        <v>21955.08</v>
      </c>
    </row>
    <row r="2382" spans="1:4" x14ac:dyDescent="0.25">
      <c r="A2382" s="65">
        <v>43276</v>
      </c>
      <c r="B2382" s="1">
        <v>3369.21</v>
      </c>
      <c r="C2382" s="65">
        <v>43311</v>
      </c>
      <c r="D2382" s="1">
        <v>21941.01</v>
      </c>
    </row>
    <row r="2383" spans="1:4" x14ac:dyDescent="0.25">
      <c r="A2383" s="65">
        <v>43277</v>
      </c>
      <c r="B2383" s="1">
        <v>3368.72</v>
      </c>
      <c r="C2383" s="65">
        <v>43312</v>
      </c>
      <c r="D2383" s="1">
        <v>22215.69</v>
      </c>
    </row>
    <row r="2384" spans="1:4" x14ac:dyDescent="0.25">
      <c r="A2384" s="65">
        <v>43278</v>
      </c>
      <c r="B2384" s="1">
        <v>3397.13</v>
      </c>
      <c r="C2384" s="65">
        <v>43313</v>
      </c>
      <c r="D2384" s="1">
        <v>21791.45</v>
      </c>
    </row>
    <row r="2385" spans="1:4" x14ac:dyDescent="0.25">
      <c r="A2385" s="65">
        <v>43279</v>
      </c>
      <c r="B2385" s="1">
        <v>3365.52</v>
      </c>
      <c r="C2385" s="65">
        <v>43314</v>
      </c>
      <c r="D2385" s="1">
        <v>21414.720000000001</v>
      </c>
    </row>
    <row r="2386" spans="1:4" x14ac:dyDescent="0.25">
      <c r="A2386" s="65">
        <v>43280</v>
      </c>
      <c r="B2386" s="1">
        <v>3395.6</v>
      </c>
      <c r="C2386" s="65">
        <v>43315</v>
      </c>
      <c r="D2386" s="1">
        <v>21586.85</v>
      </c>
    </row>
    <row r="2387" spans="1:4" x14ac:dyDescent="0.25">
      <c r="A2387" s="65">
        <v>43283</v>
      </c>
      <c r="B2387" s="1">
        <v>3372.21</v>
      </c>
      <c r="C2387" s="65">
        <v>43318</v>
      </c>
      <c r="D2387" s="1">
        <v>21580.18</v>
      </c>
    </row>
    <row r="2388" spans="1:4" x14ac:dyDescent="0.25">
      <c r="A2388" s="65">
        <v>43284</v>
      </c>
      <c r="B2388" s="1">
        <v>3406.34</v>
      </c>
      <c r="C2388" s="65">
        <v>43319</v>
      </c>
      <c r="D2388" s="1">
        <v>21853.81</v>
      </c>
    </row>
    <row r="2389" spans="1:4" x14ac:dyDescent="0.25">
      <c r="A2389" s="65">
        <v>43285</v>
      </c>
      <c r="B2389" s="1">
        <v>3412.03</v>
      </c>
      <c r="C2389" s="65">
        <v>43320</v>
      </c>
      <c r="D2389" s="1">
        <v>21790.3</v>
      </c>
    </row>
    <row r="2390" spans="1:4" x14ac:dyDescent="0.25">
      <c r="A2390" s="65">
        <v>43286</v>
      </c>
      <c r="B2390" s="1">
        <v>3440.92</v>
      </c>
      <c r="C2390" s="65">
        <v>43321</v>
      </c>
      <c r="D2390" s="1">
        <v>21634.25</v>
      </c>
    </row>
    <row r="2391" spans="1:4" x14ac:dyDescent="0.25">
      <c r="A2391" s="65">
        <v>43287</v>
      </c>
      <c r="B2391" s="1">
        <v>3448.49</v>
      </c>
      <c r="C2391" s="65">
        <v>43322</v>
      </c>
      <c r="D2391" s="1">
        <v>21090.78</v>
      </c>
    </row>
    <row r="2392" spans="1:4" x14ac:dyDescent="0.25">
      <c r="A2392" s="65">
        <v>43290</v>
      </c>
      <c r="B2392" s="1">
        <v>3460.44</v>
      </c>
      <c r="C2392" s="65">
        <v>43325</v>
      </c>
      <c r="D2392" s="1">
        <v>20969.259999999998</v>
      </c>
    </row>
    <row r="2393" spans="1:4" x14ac:dyDescent="0.25">
      <c r="A2393" s="65">
        <v>43291</v>
      </c>
      <c r="B2393" s="1">
        <v>3473.31</v>
      </c>
      <c r="C2393" s="65">
        <v>43326</v>
      </c>
      <c r="D2393" s="1">
        <v>20906.349999999999</v>
      </c>
    </row>
    <row r="2394" spans="1:4" x14ac:dyDescent="0.25">
      <c r="A2394" s="65">
        <v>43292</v>
      </c>
      <c r="B2394" s="1">
        <v>3422.35</v>
      </c>
      <c r="C2394" s="65">
        <v>43328</v>
      </c>
      <c r="D2394" s="1">
        <v>20524.13</v>
      </c>
    </row>
    <row r="2395" spans="1:4" x14ac:dyDescent="0.25">
      <c r="A2395" s="65">
        <v>43293</v>
      </c>
      <c r="B2395" s="1">
        <v>3445.49</v>
      </c>
      <c r="C2395" s="65">
        <v>43329</v>
      </c>
      <c r="D2395" s="1">
        <v>20415.27</v>
      </c>
    </row>
    <row r="2396" spans="1:4" x14ac:dyDescent="0.25">
      <c r="A2396" s="65">
        <v>43294</v>
      </c>
      <c r="B2396" s="1">
        <v>3454.54</v>
      </c>
      <c r="C2396" s="65">
        <v>43332</v>
      </c>
      <c r="D2396" s="1">
        <v>20470.97</v>
      </c>
    </row>
    <row r="2397" spans="1:4" x14ac:dyDescent="0.25">
      <c r="A2397" s="65">
        <v>43297</v>
      </c>
      <c r="B2397" s="1">
        <v>3449.08</v>
      </c>
      <c r="C2397" s="65">
        <v>43333</v>
      </c>
      <c r="D2397" s="1">
        <v>20783.79</v>
      </c>
    </row>
    <row r="2398" spans="1:4" x14ac:dyDescent="0.25">
      <c r="A2398" s="65">
        <v>43298</v>
      </c>
      <c r="B2398" s="1">
        <v>3457.5</v>
      </c>
      <c r="C2398" s="65">
        <v>43334</v>
      </c>
      <c r="D2398" s="1">
        <v>20699.7</v>
      </c>
    </row>
    <row r="2399" spans="1:4" x14ac:dyDescent="0.25">
      <c r="A2399" s="65">
        <v>43299</v>
      </c>
      <c r="B2399" s="1">
        <v>3485.08</v>
      </c>
      <c r="C2399" s="65">
        <v>43335</v>
      </c>
      <c r="D2399" s="1">
        <v>20608.509999999998</v>
      </c>
    </row>
    <row r="2400" spans="1:4" x14ac:dyDescent="0.25">
      <c r="A2400" s="65">
        <v>43300</v>
      </c>
      <c r="B2400" s="1">
        <v>3471.64</v>
      </c>
      <c r="C2400" s="65">
        <v>43336</v>
      </c>
      <c r="D2400" s="1">
        <v>20741.96</v>
      </c>
    </row>
    <row r="2401" spans="1:4" x14ac:dyDescent="0.25">
      <c r="A2401" s="65">
        <v>43301</v>
      </c>
      <c r="B2401" s="1">
        <v>3460.03</v>
      </c>
      <c r="C2401" s="65">
        <v>43339</v>
      </c>
      <c r="D2401" s="1">
        <v>20797.82</v>
      </c>
    </row>
    <row r="2402" spans="1:4" x14ac:dyDescent="0.25">
      <c r="A2402" s="65">
        <v>43304</v>
      </c>
      <c r="B2402" s="1">
        <v>3454.05</v>
      </c>
      <c r="C2402" s="65">
        <v>43340</v>
      </c>
      <c r="D2402" s="1">
        <v>20620.05</v>
      </c>
    </row>
    <row r="2403" spans="1:4" x14ac:dyDescent="0.25">
      <c r="A2403" s="65">
        <v>43305</v>
      </c>
      <c r="B2403" s="1">
        <v>3483.31</v>
      </c>
      <c r="C2403" s="65">
        <v>43341</v>
      </c>
      <c r="D2403" s="1">
        <v>20760.07</v>
      </c>
    </row>
    <row r="2404" spans="1:4" x14ac:dyDescent="0.25">
      <c r="A2404" s="65">
        <v>43306</v>
      </c>
      <c r="B2404" s="1">
        <v>3468.45</v>
      </c>
      <c r="C2404" s="65">
        <v>43342</v>
      </c>
      <c r="D2404" s="1">
        <v>20495.099999999999</v>
      </c>
    </row>
    <row r="2405" spans="1:4" x14ac:dyDescent="0.25">
      <c r="A2405" s="65">
        <v>43307</v>
      </c>
      <c r="B2405" s="1">
        <v>3509.26</v>
      </c>
      <c r="C2405" s="65">
        <v>43343</v>
      </c>
      <c r="D2405" s="1">
        <v>20269.47</v>
      </c>
    </row>
    <row r="2406" spans="1:4" x14ac:dyDescent="0.25">
      <c r="A2406" s="65">
        <v>43308</v>
      </c>
      <c r="B2406" s="1">
        <v>3527.18</v>
      </c>
      <c r="C2406" s="65">
        <v>43346</v>
      </c>
      <c r="D2406" s="1">
        <v>20395.79</v>
      </c>
    </row>
    <row r="2407" spans="1:4" x14ac:dyDescent="0.25">
      <c r="A2407" s="65">
        <v>43311</v>
      </c>
      <c r="B2407" s="1">
        <v>3512.31</v>
      </c>
      <c r="C2407" s="65">
        <v>43347</v>
      </c>
      <c r="D2407" s="1">
        <v>20601</v>
      </c>
    </row>
    <row r="2408" spans="1:4" x14ac:dyDescent="0.25">
      <c r="A2408" s="65">
        <v>43312</v>
      </c>
      <c r="B2408" s="1">
        <v>3525.49</v>
      </c>
      <c r="C2408" s="65">
        <v>43348</v>
      </c>
      <c r="D2408" s="1">
        <v>20581.78</v>
      </c>
    </row>
    <row r="2409" spans="1:4" x14ac:dyDescent="0.25">
      <c r="A2409" s="65">
        <v>43313</v>
      </c>
      <c r="B2409" s="1">
        <v>3509.23</v>
      </c>
      <c r="C2409" s="65">
        <v>43349</v>
      </c>
      <c r="D2409" s="1">
        <v>20527.22</v>
      </c>
    </row>
    <row r="2410" spans="1:4" x14ac:dyDescent="0.25">
      <c r="A2410" s="65">
        <v>43314</v>
      </c>
      <c r="B2410" s="1">
        <v>3469.21</v>
      </c>
      <c r="C2410" s="65">
        <v>43350</v>
      </c>
      <c r="D2410" s="1">
        <v>20447.689999999999</v>
      </c>
    </row>
    <row r="2411" spans="1:4" x14ac:dyDescent="0.25">
      <c r="A2411" s="65">
        <v>43315</v>
      </c>
      <c r="B2411" s="1">
        <v>3482.4</v>
      </c>
      <c r="C2411" s="65">
        <v>43353</v>
      </c>
      <c r="D2411" s="1">
        <v>20918.900000000001</v>
      </c>
    </row>
    <row r="2412" spans="1:4" x14ac:dyDescent="0.25">
      <c r="A2412" s="65">
        <v>43318</v>
      </c>
      <c r="B2412" s="1">
        <v>3483.3</v>
      </c>
      <c r="C2412" s="65">
        <v>43354</v>
      </c>
      <c r="D2412" s="1">
        <v>20853.84</v>
      </c>
    </row>
    <row r="2413" spans="1:4" x14ac:dyDescent="0.25">
      <c r="A2413" s="65">
        <v>43319</v>
      </c>
      <c r="B2413" s="1">
        <v>3504.37</v>
      </c>
      <c r="C2413" s="65">
        <v>43355</v>
      </c>
      <c r="D2413" s="1">
        <v>20963</v>
      </c>
    </row>
    <row r="2414" spans="1:4" x14ac:dyDescent="0.25">
      <c r="A2414" s="65">
        <v>43320</v>
      </c>
      <c r="B2414" s="1">
        <v>3493.6</v>
      </c>
      <c r="C2414" s="65">
        <v>43356</v>
      </c>
      <c r="D2414" s="1">
        <v>20846.18</v>
      </c>
    </row>
    <row r="2415" spans="1:4" x14ac:dyDescent="0.25">
      <c r="A2415" s="65">
        <v>43321</v>
      </c>
      <c r="B2415" s="1">
        <v>3494.13</v>
      </c>
      <c r="C2415" s="65">
        <v>43357</v>
      </c>
      <c r="D2415" s="1">
        <v>20885.43</v>
      </c>
    </row>
    <row r="2416" spans="1:4" x14ac:dyDescent="0.25">
      <c r="A2416" s="65">
        <v>43322</v>
      </c>
      <c r="B2416" s="1">
        <v>3426.28</v>
      </c>
      <c r="C2416" s="65">
        <v>43360</v>
      </c>
      <c r="D2416" s="1">
        <v>21111.4</v>
      </c>
    </row>
    <row r="2417" spans="1:4" x14ac:dyDescent="0.25">
      <c r="A2417" s="65">
        <v>43325</v>
      </c>
      <c r="B2417" s="1">
        <v>3409.68</v>
      </c>
      <c r="C2417" s="65">
        <v>43361</v>
      </c>
      <c r="D2417" s="1">
        <v>21228.23</v>
      </c>
    </row>
    <row r="2418" spans="1:4" x14ac:dyDescent="0.25">
      <c r="A2418" s="65">
        <v>43326</v>
      </c>
      <c r="B2418" s="1">
        <v>3409.44</v>
      </c>
      <c r="C2418" s="65">
        <v>43362</v>
      </c>
      <c r="D2418" s="1">
        <v>21280.78</v>
      </c>
    </row>
    <row r="2419" spans="1:4" x14ac:dyDescent="0.25">
      <c r="A2419" s="65">
        <v>43327</v>
      </c>
      <c r="B2419" s="1">
        <v>3359.08</v>
      </c>
      <c r="C2419" s="65">
        <v>43363</v>
      </c>
      <c r="D2419" s="1">
        <v>21388.38</v>
      </c>
    </row>
    <row r="2420" spans="1:4" x14ac:dyDescent="0.25">
      <c r="A2420" s="65">
        <v>43328</v>
      </c>
      <c r="B2420" s="1">
        <v>3377.56</v>
      </c>
      <c r="C2420" s="65">
        <v>43364</v>
      </c>
      <c r="D2420" s="1">
        <v>21536.74</v>
      </c>
    </row>
    <row r="2421" spans="1:4" x14ac:dyDescent="0.25">
      <c r="A2421" s="65">
        <v>43329</v>
      </c>
      <c r="B2421" s="1">
        <v>3372.94</v>
      </c>
      <c r="C2421" s="65">
        <v>43367</v>
      </c>
      <c r="D2421" s="1">
        <v>21339.87</v>
      </c>
    </row>
    <row r="2422" spans="1:4" x14ac:dyDescent="0.25">
      <c r="A2422" s="65">
        <v>43332</v>
      </c>
      <c r="B2422" s="1">
        <v>3393.67</v>
      </c>
      <c r="C2422" s="65">
        <v>43368</v>
      </c>
      <c r="D2422" s="1">
        <v>21668.99</v>
      </c>
    </row>
    <row r="2423" spans="1:4" x14ac:dyDescent="0.25">
      <c r="A2423" s="65">
        <v>43333</v>
      </c>
      <c r="B2423" s="1">
        <v>3411.66</v>
      </c>
      <c r="C2423" s="65">
        <v>43369</v>
      </c>
      <c r="D2423" s="1">
        <v>21646.34</v>
      </c>
    </row>
    <row r="2424" spans="1:4" x14ac:dyDescent="0.25">
      <c r="A2424" s="65">
        <v>43334</v>
      </c>
      <c r="B2424" s="1">
        <v>3420.18</v>
      </c>
      <c r="C2424" s="65">
        <v>43370</v>
      </c>
      <c r="D2424" s="1">
        <v>21511.07</v>
      </c>
    </row>
    <row r="2425" spans="1:4" x14ac:dyDescent="0.25">
      <c r="A2425" s="65">
        <v>43335</v>
      </c>
      <c r="B2425" s="1">
        <v>3419.26</v>
      </c>
      <c r="C2425" s="65">
        <v>43371</v>
      </c>
      <c r="D2425" s="1">
        <v>20711.7</v>
      </c>
    </row>
    <row r="2426" spans="1:4" x14ac:dyDescent="0.25">
      <c r="A2426" s="65">
        <v>43336</v>
      </c>
      <c r="B2426" s="1">
        <v>3427.44</v>
      </c>
      <c r="C2426" s="65">
        <v>43374</v>
      </c>
      <c r="D2426" s="1">
        <v>20609.990000000002</v>
      </c>
    </row>
    <row r="2427" spans="1:4" x14ac:dyDescent="0.25">
      <c r="A2427" s="65">
        <v>43339</v>
      </c>
      <c r="B2427" s="1">
        <v>3456.01</v>
      </c>
      <c r="C2427" s="65">
        <v>43375</v>
      </c>
      <c r="D2427" s="1">
        <v>20562.310000000001</v>
      </c>
    </row>
    <row r="2428" spans="1:4" x14ac:dyDescent="0.25">
      <c r="A2428" s="65">
        <v>43340</v>
      </c>
      <c r="B2428" s="1">
        <v>3447.57</v>
      </c>
      <c r="C2428" s="65">
        <v>43376</v>
      </c>
      <c r="D2428" s="1">
        <v>20736.009999999998</v>
      </c>
    </row>
    <row r="2429" spans="1:4" x14ac:dyDescent="0.25">
      <c r="A2429" s="65">
        <v>43341</v>
      </c>
      <c r="B2429" s="1">
        <v>3456.13</v>
      </c>
      <c r="C2429" s="65">
        <v>43377</v>
      </c>
      <c r="D2429" s="1">
        <v>20612.93</v>
      </c>
    </row>
    <row r="2430" spans="1:4" x14ac:dyDescent="0.25">
      <c r="A2430" s="65">
        <v>43342</v>
      </c>
      <c r="B2430" s="1">
        <v>3430.99</v>
      </c>
      <c r="C2430" s="65">
        <v>43378</v>
      </c>
      <c r="D2430" s="1">
        <v>20345.96</v>
      </c>
    </row>
    <row r="2431" spans="1:4" x14ac:dyDescent="0.25">
      <c r="A2431" s="65">
        <v>43343</v>
      </c>
      <c r="B2431" s="1">
        <v>3392.9</v>
      </c>
      <c r="C2431" s="65">
        <v>43381</v>
      </c>
      <c r="D2431" s="1">
        <v>19851.47</v>
      </c>
    </row>
    <row r="2432" spans="1:4" x14ac:dyDescent="0.25">
      <c r="A2432" s="65">
        <v>43346</v>
      </c>
      <c r="B2432" s="1">
        <v>3394.99</v>
      </c>
      <c r="C2432" s="65">
        <v>43382</v>
      </c>
      <c r="D2432" s="1">
        <v>20062.25</v>
      </c>
    </row>
    <row r="2433" spans="1:4" x14ac:dyDescent="0.25">
      <c r="A2433" s="65">
        <v>43347</v>
      </c>
      <c r="B2433" s="1">
        <v>3359.36</v>
      </c>
      <c r="C2433" s="65">
        <v>43383</v>
      </c>
      <c r="D2433" s="1">
        <v>19719.04</v>
      </c>
    </row>
    <row r="2434" spans="1:4" x14ac:dyDescent="0.25">
      <c r="A2434" s="65">
        <v>43348</v>
      </c>
      <c r="B2434" s="1">
        <v>3315.62</v>
      </c>
      <c r="C2434" s="65">
        <v>43384</v>
      </c>
      <c r="D2434" s="1">
        <v>19356.61</v>
      </c>
    </row>
    <row r="2435" spans="1:4" x14ac:dyDescent="0.25">
      <c r="A2435" s="65">
        <v>43349</v>
      </c>
      <c r="B2435" s="1">
        <v>3295.95</v>
      </c>
      <c r="C2435" s="65">
        <v>43385</v>
      </c>
      <c r="D2435" s="1">
        <v>19255.98</v>
      </c>
    </row>
    <row r="2436" spans="1:4" x14ac:dyDescent="0.25">
      <c r="A2436" s="65">
        <v>43350</v>
      </c>
      <c r="B2436" s="1">
        <v>3293.36</v>
      </c>
      <c r="C2436" s="65">
        <v>43388</v>
      </c>
      <c r="D2436" s="1">
        <v>19287.64</v>
      </c>
    </row>
    <row r="2437" spans="1:4" x14ac:dyDescent="0.25">
      <c r="A2437" s="65">
        <v>43353</v>
      </c>
      <c r="B2437" s="1">
        <v>3309.28</v>
      </c>
      <c r="C2437" s="65">
        <v>43389</v>
      </c>
      <c r="D2437" s="1">
        <v>19717.830000000002</v>
      </c>
    </row>
    <row r="2438" spans="1:4" x14ac:dyDescent="0.25">
      <c r="A2438" s="65">
        <v>43354</v>
      </c>
      <c r="B2438" s="1">
        <v>3311.66</v>
      </c>
      <c r="C2438" s="65">
        <v>43390</v>
      </c>
      <c r="D2438" s="1">
        <v>19454.990000000002</v>
      </c>
    </row>
    <row r="2439" spans="1:4" x14ac:dyDescent="0.25">
      <c r="A2439" s="65">
        <v>43355</v>
      </c>
      <c r="B2439" s="1">
        <v>3326.6</v>
      </c>
      <c r="C2439" s="65">
        <v>43391</v>
      </c>
      <c r="D2439" s="1">
        <v>19087.53</v>
      </c>
    </row>
    <row r="2440" spans="1:4" x14ac:dyDescent="0.25">
      <c r="A2440" s="65">
        <v>43356</v>
      </c>
      <c r="B2440" s="1">
        <v>3333.68</v>
      </c>
      <c r="C2440" s="65">
        <v>43392</v>
      </c>
      <c r="D2440" s="1">
        <v>19080.16</v>
      </c>
    </row>
    <row r="2441" spans="1:4" x14ac:dyDescent="0.25">
      <c r="A2441" s="65">
        <v>43357</v>
      </c>
      <c r="B2441" s="1">
        <v>3344.63</v>
      </c>
      <c r="C2441" s="65">
        <v>43395</v>
      </c>
      <c r="D2441" s="1">
        <v>18966.22</v>
      </c>
    </row>
    <row r="2442" spans="1:4" x14ac:dyDescent="0.25">
      <c r="A2442" s="65">
        <v>43360</v>
      </c>
      <c r="B2442" s="1">
        <v>3346.11</v>
      </c>
      <c r="C2442" s="65">
        <v>43396</v>
      </c>
      <c r="D2442" s="1">
        <v>18802.47</v>
      </c>
    </row>
    <row r="2443" spans="1:4" x14ac:dyDescent="0.25">
      <c r="A2443" s="65">
        <v>43361</v>
      </c>
      <c r="B2443" s="1">
        <v>3358.46</v>
      </c>
      <c r="C2443" s="65">
        <v>43397</v>
      </c>
      <c r="D2443" s="1">
        <v>18485.46</v>
      </c>
    </row>
    <row r="2444" spans="1:4" x14ac:dyDescent="0.25">
      <c r="A2444" s="65">
        <v>43362</v>
      </c>
      <c r="B2444" s="1">
        <v>3368.56</v>
      </c>
      <c r="C2444" s="65">
        <v>43398</v>
      </c>
      <c r="D2444" s="1">
        <v>18815.32</v>
      </c>
    </row>
    <row r="2445" spans="1:4" x14ac:dyDescent="0.25">
      <c r="A2445" s="65">
        <v>43363</v>
      </c>
      <c r="B2445" s="1">
        <v>3403.12</v>
      </c>
      <c r="C2445" s="65">
        <v>43399</v>
      </c>
      <c r="D2445" s="1">
        <v>18683.27</v>
      </c>
    </row>
    <row r="2446" spans="1:4" x14ac:dyDescent="0.25">
      <c r="A2446" s="65">
        <v>43364</v>
      </c>
      <c r="B2446" s="1">
        <v>3430.81</v>
      </c>
      <c r="C2446" s="65">
        <v>43402</v>
      </c>
      <c r="D2446" s="1">
        <v>19039.849999999999</v>
      </c>
    </row>
    <row r="2447" spans="1:4" x14ac:dyDescent="0.25">
      <c r="A2447" s="65">
        <v>43367</v>
      </c>
      <c r="B2447" s="1">
        <v>3410.44</v>
      </c>
      <c r="C2447" s="65">
        <v>43403</v>
      </c>
      <c r="D2447" s="1">
        <v>18998.8</v>
      </c>
    </row>
    <row r="2448" spans="1:4" x14ac:dyDescent="0.25">
      <c r="A2448" s="65">
        <v>43368</v>
      </c>
      <c r="B2448" s="1">
        <v>3419.78</v>
      </c>
      <c r="C2448" s="65">
        <v>43404</v>
      </c>
      <c r="D2448" s="1">
        <v>19050.22</v>
      </c>
    </row>
    <row r="2449" spans="1:4" x14ac:dyDescent="0.25">
      <c r="A2449" s="65">
        <v>43369</v>
      </c>
      <c r="B2449" s="1">
        <v>3433.15</v>
      </c>
      <c r="C2449" s="65">
        <v>43405</v>
      </c>
      <c r="D2449" s="1">
        <v>19185.14</v>
      </c>
    </row>
    <row r="2450" spans="1:4" x14ac:dyDescent="0.25">
      <c r="A2450" s="65">
        <v>43370</v>
      </c>
      <c r="B2450" s="1">
        <v>3449.79</v>
      </c>
      <c r="C2450" s="65">
        <v>43406</v>
      </c>
      <c r="D2450" s="1">
        <v>19390.34</v>
      </c>
    </row>
    <row r="2451" spans="1:4" x14ac:dyDescent="0.25">
      <c r="A2451" s="65">
        <v>43371</v>
      </c>
      <c r="B2451" s="1">
        <v>3399.2</v>
      </c>
      <c r="C2451" s="65">
        <v>43409</v>
      </c>
      <c r="D2451" s="1">
        <v>19281.03</v>
      </c>
    </row>
    <row r="2452" spans="1:4" x14ac:dyDescent="0.25">
      <c r="A2452" s="65">
        <v>43374</v>
      </c>
      <c r="B2452" s="1">
        <v>3414.16</v>
      </c>
      <c r="C2452" s="65">
        <v>43410</v>
      </c>
      <c r="D2452" s="1">
        <v>19268.29</v>
      </c>
    </row>
    <row r="2453" spans="1:4" x14ac:dyDescent="0.25">
      <c r="A2453" s="65">
        <v>43375</v>
      </c>
      <c r="B2453" s="1">
        <v>3388.99</v>
      </c>
      <c r="C2453" s="65">
        <v>43411</v>
      </c>
      <c r="D2453" s="1">
        <v>19540.939999999999</v>
      </c>
    </row>
    <row r="2454" spans="1:4" x14ac:dyDescent="0.25">
      <c r="A2454" s="65">
        <v>43376</v>
      </c>
      <c r="B2454" s="1">
        <v>3405.48</v>
      </c>
      <c r="C2454" s="65">
        <v>43412</v>
      </c>
      <c r="D2454" s="1">
        <v>19429.14</v>
      </c>
    </row>
    <row r="2455" spans="1:4" x14ac:dyDescent="0.25">
      <c r="A2455" s="65">
        <v>43377</v>
      </c>
      <c r="B2455" s="1">
        <v>3375.08</v>
      </c>
      <c r="C2455" s="65">
        <v>43413</v>
      </c>
      <c r="D2455" s="1">
        <v>19258.11</v>
      </c>
    </row>
    <row r="2456" spans="1:4" x14ac:dyDescent="0.25">
      <c r="A2456" s="65">
        <v>43378</v>
      </c>
      <c r="B2456" s="1">
        <v>3345.51</v>
      </c>
      <c r="C2456" s="65">
        <v>43416</v>
      </c>
      <c r="D2456" s="1">
        <v>19055.919999999998</v>
      </c>
    </row>
    <row r="2457" spans="1:4" x14ac:dyDescent="0.25">
      <c r="A2457" s="65">
        <v>43381</v>
      </c>
      <c r="B2457" s="1">
        <v>3309.72</v>
      </c>
      <c r="C2457" s="65">
        <v>43417</v>
      </c>
      <c r="D2457" s="1">
        <v>19226.52</v>
      </c>
    </row>
    <row r="2458" spans="1:4" x14ac:dyDescent="0.25">
      <c r="A2458" s="65">
        <v>43382</v>
      </c>
      <c r="B2458" s="1">
        <v>3321.79</v>
      </c>
      <c r="C2458" s="65">
        <v>43418</v>
      </c>
      <c r="D2458" s="1">
        <v>19077.47</v>
      </c>
    </row>
    <row r="2459" spans="1:4" x14ac:dyDescent="0.25">
      <c r="A2459" s="65">
        <v>43383</v>
      </c>
      <c r="B2459" s="1">
        <v>3266.9</v>
      </c>
      <c r="C2459" s="65">
        <v>43419</v>
      </c>
      <c r="D2459" s="1">
        <v>18905.36</v>
      </c>
    </row>
    <row r="2460" spans="1:4" x14ac:dyDescent="0.25">
      <c r="A2460" s="65">
        <v>43384</v>
      </c>
      <c r="B2460" s="1">
        <v>3209.19</v>
      </c>
      <c r="C2460" s="65">
        <v>43420</v>
      </c>
      <c r="D2460" s="1">
        <v>18878.310000000001</v>
      </c>
    </row>
    <row r="2461" spans="1:4" x14ac:dyDescent="0.25">
      <c r="A2461" s="65">
        <v>43385</v>
      </c>
      <c r="B2461" s="1">
        <v>3194.41</v>
      </c>
      <c r="C2461" s="65">
        <v>43423</v>
      </c>
      <c r="D2461" s="1">
        <v>18823.13</v>
      </c>
    </row>
    <row r="2462" spans="1:4" x14ac:dyDescent="0.25">
      <c r="A2462" s="65">
        <v>43388</v>
      </c>
      <c r="B2462" s="1">
        <v>3210.37</v>
      </c>
      <c r="C2462" s="65">
        <v>43424</v>
      </c>
      <c r="D2462" s="1">
        <v>18471.38</v>
      </c>
    </row>
    <row r="2463" spans="1:4" x14ac:dyDescent="0.25">
      <c r="A2463" s="65">
        <v>43389</v>
      </c>
      <c r="B2463" s="1">
        <v>3257.34</v>
      </c>
      <c r="C2463" s="65">
        <v>43425</v>
      </c>
      <c r="D2463" s="1">
        <v>18731.55</v>
      </c>
    </row>
    <row r="2464" spans="1:4" x14ac:dyDescent="0.25">
      <c r="A2464" s="65">
        <v>43390</v>
      </c>
      <c r="B2464" s="1">
        <v>3243.08</v>
      </c>
      <c r="C2464" s="65">
        <v>43426</v>
      </c>
      <c r="D2464" s="1">
        <v>18603.04</v>
      </c>
    </row>
    <row r="2465" spans="1:4" x14ac:dyDescent="0.25">
      <c r="A2465" s="65">
        <v>43391</v>
      </c>
      <c r="B2465" s="1">
        <v>3211.59</v>
      </c>
      <c r="C2465" s="65">
        <v>43427</v>
      </c>
      <c r="D2465" s="1">
        <v>18714.900000000001</v>
      </c>
    </row>
    <row r="2466" spans="1:4" x14ac:dyDescent="0.25">
      <c r="A2466" s="65">
        <v>43392</v>
      </c>
      <c r="B2466" s="1">
        <v>3210.82</v>
      </c>
      <c r="C2466" s="65">
        <v>43430</v>
      </c>
      <c r="D2466" s="1">
        <v>19233.45</v>
      </c>
    </row>
    <row r="2467" spans="1:4" x14ac:dyDescent="0.25">
      <c r="A2467" s="65">
        <v>43395</v>
      </c>
      <c r="B2467" s="1">
        <v>3190.09</v>
      </c>
      <c r="C2467" s="65">
        <v>43431</v>
      </c>
      <c r="D2467" s="1">
        <v>19150.38</v>
      </c>
    </row>
    <row r="2468" spans="1:4" x14ac:dyDescent="0.25">
      <c r="A2468" s="65">
        <v>43396</v>
      </c>
      <c r="B2468" s="1">
        <v>3140.94</v>
      </c>
      <c r="C2468" s="65">
        <v>43432</v>
      </c>
      <c r="D2468" s="1">
        <v>19115.16</v>
      </c>
    </row>
    <row r="2469" spans="1:4" x14ac:dyDescent="0.25">
      <c r="A2469" s="65">
        <v>43397</v>
      </c>
      <c r="B2469" s="1">
        <v>3130.33</v>
      </c>
      <c r="C2469" s="65">
        <v>43433</v>
      </c>
      <c r="D2469" s="1">
        <v>19159.599999999999</v>
      </c>
    </row>
    <row r="2470" spans="1:4" x14ac:dyDescent="0.25">
      <c r="A2470" s="65">
        <v>43398</v>
      </c>
      <c r="B2470" s="1">
        <v>3164.4</v>
      </c>
      <c r="C2470" s="65">
        <v>43434</v>
      </c>
      <c r="D2470" s="1">
        <v>19188.97</v>
      </c>
    </row>
    <row r="2471" spans="1:4" x14ac:dyDescent="0.25">
      <c r="A2471" s="65">
        <v>43399</v>
      </c>
      <c r="B2471" s="1">
        <v>3134.89</v>
      </c>
      <c r="C2471" s="65">
        <v>43437</v>
      </c>
      <c r="D2471" s="1">
        <v>19622.36</v>
      </c>
    </row>
    <row r="2472" spans="1:4" x14ac:dyDescent="0.25">
      <c r="A2472" s="65">
        <v>43402</v>
      </c>
      <c r="B2472" s="1">
        <v>3154.93</v>
      </c>
      <c r="C2472" s="65">
        <v>43438</v>
      </c>
      <c r="D2472" s="1">
        <v>19353.43</v>
      </c>
    </row>
    <row r="2473" spans="1:4" x14ac:dyDescent="0.25">
      <c r="A2473" s="65">
        <v>43403</v>
      </c>
      <c r="B2473" s="1">
        <v>3147.13</v>
      </c>
      <c r="C2473" s="65">
        <v>43439</v>
      </c>
      <c r="D2473" s="1">
        <v>19328.7</v>
      </c>
    </row>
    <row r="2474" spans="1:4" x14ac:dyDescent="0.25">
      <c r="A2474" s="65">
        <v>43404</v>
      </c>
      <c r="B2474" s="1">
        <v>3197.51</v>
      </c>
      <c r="C2474" s="65">
        <v>43440</v>
      </c>
      <c r="D2474" s="1">
        <v>18643.830000000002</v>
      </c>
    </row>
    <row r="2475" spans="1:4" x14ac:dyDescent="0.25">
      <c r="A2475" s="65">
        <v>43405</v>
      </c>
      <c r="B2475" s="1">
        <v>3204.21</v>
      </c>
      <c r="C2475" s="65">
        <v>43441</v>
      </c>
      <c r="D2475" s="1">
        <v>18741.98</v>
      </c>
    </row>
    <row r="2476" spans="1:4" x14ac:dyDescent="0.25">
      <c r="A2476" s="65">
        <v>43406</v>
      </c>
      <c r="B2476" s="1">
        <v>3214.41</v>
      </c>
      <c r="C2476" s="65">
        <v>43444</v>
      </c>
      <c r="D2476" s="1">
        <v>18410.13</v>
      </c>
    </row>
    <row r="2477" spans="1:4" x14ac:dyDescent="0.25">
      <c r="A2477" s="65">
        <v>43409</v>
      </c>
      <c r="B2477" s="1">
        <v>3217.37</v>
      </c>
      <c r="C2477" s="65">
        <v>43445</v>
      </c>
      <c r="D2477" s="1">
        <v>18591.009999999998</v>
      </c>
    </row>
    <row r="2478" spans="1:4" x14ac:dyDescent="0.25">
      <c r="A2478" s="65">
        <v>43410</v>
      </c>
      <c r="B2478" s="1">
        <v>3207.42</v>
      </c>
      <c r="C2478" s="65">
        <v>43446</v>
      </c>
      <c r="D2478" s="1">
        <v>18945.8</v>
      </c>
    </row>
    <row r="2479" spans="1:4" x14ac:dyDescent="0.25">
      <c r="A2479" s="65">
        <v>43411</v>
      </c>
      <c r="B2479" s="1">
        <v>3246.16</v>
      </c>
      <c r="C2479" s="65">
        <v>43447</v>
      </c>
      <c r="D2479" s="1">
        <v>19048.830000000002</v>
      </c>
    </row>
    <row r="2480" spans="1:4" x14ac:dyDescent="0.25">
      <c r="A2480" s="65">
        <v>43412</v>
      </c>
      <c r="B2480" s="1">
        <v>3237.6</v>
      </c>
      <c r="C2480" s="65">
        <v>43448</v>
      </c>
      <c r="D2480" s="1">
        <v>18910.79</v>
      </c>
    </row>
    <row r="2481" spans="1:4" x14ac:dyDescent="0.25">
      <c r="A2481" s="65">
        <v>43413</v>
      </c>
      <c r="B2481" s="1">
        <v>3229.49</v>
      </c>
      <c r="C2481" s="65">
        <v>43451</v>
      </c>
      <c r="D2481" s="1">
        <v>18693.45</v>
      </c>
    </row>
    <row r="2482" spans="1:4" x14ac:dyDescent="0.25">
      <c r="A2482" s="65">
        <v>43416</v>
      </c>
      <c r="B2482" s="1">
        <v>3194.08</v>
      </c>
      <c r="C2482" s="65">
        <v>43452</v>
      </c>
      <c r="D2482" s="1">
        <v>18644.849999999999</v>
      </c>
    </row>
    <row r="2483" spans="1:4" x14ac:dyDescent="0.25">
      <c r="A2483" s="65">
        <v>43417</v>
      </c>
      <c r="B2483" s="1">
        <v>3224.82</v>
      </c>
      <c r="C2483" s="65">
        <v>43453</v>
      </c>
      <c r="D2483" s="1">
        <v>18941.900000000001</v>
      </c>
    </row>
    <row r="2484" spans="1:4" x14ac:dyDescent="0.25">
      <c r="A2484" s="65">
        <v>43418</v>
      </c>
      <c r="B2484" s="1">
        <v>3205.36</v>
      </c>
      <c r="C2484" s="65">
        <v>43454</v>
      </c>
      <c r="D2484" s="1">
        <v>18576.900000000001</v>
      </c>
    </row>
    <row r="2485" spans="1:4" x14ac:dyDescent="0.25">
      <c r="A2485" s="65">
        <v>43419</v>
      </c>
      <c r="B2485" s="1">
        <v>3190.31</v>
      </c>
      <c r="C2485" s="65">
        <v>43455</v>
      </c>
      <c r="D2485" s="1">
        <v>18397.189999999999</v>
      </c>
    </row>
    <row r="2486" spans="1:4" x14ac:dyDescent="0.25">
      <c r="A2486" s="65">
        <v>43420</v>
      </c>
      <c r="B2486" s="1">
        <v>3180.74</v>
      </c>
      <c r="C2486" s="65">
        <v>43461</v>
      </c>
      <c r="D2486" s="1">
        <v>18064.62</v>
      </c>
    </row>
    <row r="2487" spans="1:4" x14ac:dyDescent="0.25">
      <c r="A2487" s="65">
        <v>43423</v>
      </c>
      <c r="B2487" s="1">
        <v>3160.33</v>
      </c>
      <c r="C2487" s="65">
        <v>43462</v>
      </c>
      <c r="D2487" s="1">
        <v>18324.03</v>
      </c>
    </row>
    <row r="2488" spans="1:4" x14ac:dyDescent="0.25">
      <c r="A2488" s="65">
        <v>43424</v>
      </c>
      <c r="B2488" s="1">
        <v>3116.07</v>
      </c>
      <c r="C2488" s="65">
        <v>43467</v>
      </c>
      <c r="D2488" s="1">
        <v>18330.990000000002</v>
      </c>
    </row>
    <row r="2489" spans="1:4" x14ac:dyDescent="0.25">
      <c r="A2489" s="65">
        <v>43425</v>
      </c>
      <c r="B2489" s="1">
        <v>3153.91</v>
      </c>
      <c r="C2489" s="65">
        <v>43468</v>
      </c>
      <c r="D2489" s="1">
        <v>18218.400000000001</v>
      </c>
    </row>
    <row r="2490" spans="1:4" x14ac:dyDescent="0.25">
      <c r="A2490" s="65">
        <v>43426</v>
      </c>
      <c r="B2490" s="1">
        <v>3126.67</v>
      </c>
      <c r="C2490" s="65">
        <v>43469</v>
      </c>
      <c r="D2490" s="1">
        <v>18831.79</v>
      </c>
    </row>
    <row r="2491" spans="1:4" x14ac:dyDescent="0.25">
      <c r="A2491" s="65">
        <v>43427</v>
      </c>
      <c r="B2491" s="1">
        <v>3137.21</v>
      </c>
      <c r="C2491" s="65">
        <v>43472</v>
      </c>
      <c r="D2491" s="1">
        <v>18953.27</v>
      </c>
    </row>
    <row r="2492" spans="1:4" x14ac:dyDescent="0.25">
      <c r="A2492" s="65">
        <v>43430</v>
      </c>
      <c r="B2492" s="1">
        <v>3172.71</v>
      </c>
      <c r="C2492" s="65">
        <v>43473</v>
      </c>
      <c r="D2492" s="1">
        <v>19000.14</v>
      </c>
    </row>
    <row r="2493" spans="1:4" x14ac:dyDescent="0.25">
      <c r="A2493" s="65">
        <v>43431</v>
      </c>
      <c r="B2493" s="1">
        <v>3166.42</v>
      </c>
      <c r="C2493" s="65">
        <v>43474</v>
      </c>
      <c r="D2493" s="1">
        <v>19179.16</v>
      </c>
    </row>
    <row r="2494" spans="1:4" x14ac:dyDescent="0.25">
      <c r="A2494" s="65">
        <v>43432</v>
      </c>
      <c r="B2494" s="1">
        <v>3168.29</v>
      </c>
      <c r="C2494" s="65">
        <v>43475</v>
      </c>
      <c r="D2494" s="1">
        <v>19300.740000000002</v>
      </c>
    </row>
    <row r="2495" spans="1:4" x14ac:dyDescent="0.25">
      <c r="A2495" s="65">
        <v>43433</v>
      </c>
      <c r="B2495" s="1">
        <v>3174.16</v>
      </c>
      <c r="C2495" s="65">
        <v>43476</v>
      </c>
      <c r="D2495" s="1">
        <v>19290.09</v>
      </c>
    </row>
    <row r="2496" spans="1:4" x14ac:dyDescent="0.25">
      <c r="A2496" s="65">
        <v>43434</v>
      </c>
      <c r="B2496" s="1">
        <v>3173.13</v>
      </c>
      <c r="C2496" s="65">
        <v>43479</v>
      </c>
      <c r="D2496" s="1">
        <v>19171.48</v>
      </c>
    </row>
    <row r="2497" spans="1:4" x14ac:dyDescent="0.25">
      <c r="A2497" s="65">
        <v>43437</v>
      </c>
      <c r="B2497" s="1">
        <v>3214.99</v>
      </c>
      <c r="C2497" s="65">
        <v>43480</v>
      </c>
      <c r="D2497" s="1">
        <v>19165.48</v>
      </c>
    </row>
    <row r="2498" spans="1:4" x14ac:dyDescent="0.25">
      <c r="A2498" s="65">
        <v>43438</v>
      </c>
      <c r="B2498" s="1">
        <v>3189.25</v>
      </c>
      <c r="C2498" s="65">
        <v>43481</v>
      </c>
      <c r="D2498" s="1">
        <v>19477.77</v>
      </c>
    </row>
    <row r="2499" spans="1:4" x14ac:dyDescent="0.25">
      <c r="A2499" s="65">
        <v>43439</v>
      </c>
      <c r="B2499" s="1">
        <v>3150.27</v>
      </c>
      <c r="C2499" s="65">
        <v>43482</v>
      </c>
      <c r="D2499" s="1">
        <v>19470.38</v>
      </c>
    </row>
    <row r="2500" spans="1:4" x14ac:dyDescent="0.25">
      <c r="A2500" s="65">
        <v>43440</v>
      </c>
      <c r="B2500" s="1">
        <v>3045.94</v>
      </c>
      <c r="C2500" s="65">
        <v>43483</v>
      </c>
      <c r="D2500" s="1">
        <v>19708.060000000001</v>
      </c>
    </row>
    <row r="2501" spans="1:4" x14ac:dyDescent="0.25">
      <c r="A2501" s="65">
        <v>43441</v>
      </c>
      <c r="B2501" s="1">
        <v>3058.53</v>
      </c>
      <c r="C2501" s="65">
        <v>43486</v>
      </c>
      <c r="D2501" s="1">
        <v>19638.64</v>
      </c>
    </row>
    <row r="2502" spans="1:4" x14ac:dyDescent="0.25">
      <c r="A2502" s="65">
        <v>43444</v>
      </c>
      <c r="B2502" s="1">
        <v>3016.99</v>
      </c>
      <c r="C2502" s="65">
        <v>43487</v>
      </c>
      <c r="D2502" s="1">
        <v>19437.27</v>
      </c>
    </row>
    <row r="2503" spans="1:4" x14ac:dyDescent="0.25">
      <c r="A2503" s="65">
        <v>43445</v>
      </c>
      <c r="B2503" s="1">
        <v>3055.32</v>
      </c>
      <c r="C2503" s="65">
        <v>43488</v>
      </c>
      <c r="D2503" s="1">
        <v>19400.150000000001</v>
      </c>
    </row>
    <row r="2504" spans="1:4" x14ac:dyDescent="0.25">
      <c r="A2504" s="65">
        <v>43446</v>
      </c>
      <c r="B2504" s="1">
        <v>3107.97</v>
      </c>
      <c r="C2504" s="65">
        <v>43489</v>
      </c>
      <c r="D2504" s="1">
        <v>19564.48</v>
      </c>
    </row>
    <row r="2505" spans="1:4" x14ac:dyDescent="0.25">
      <c r="A2505" s="65">
        <v>43447</v>
      </c>
      <c r="B2505" s="1">
        <v>3112.17</v>
      </c>
      <c r="C2505" s="65">
        <v>43490</v>
      </c>
      <c r="D2505" s="1">
        <v>19810.52</v>
      </c>
    </row>
    <row r="2506" spans="1:4" x14ac:dyDescent="0.25">
      <c r="A2506" s="65">
        <v>43448</v>
      </c>
      <c r="B2506" s="1">
        <v>3092.6</v>
      </c>
      <c r="C2506" s="65">
        <v>43493</v>
      </c>
      <c r="D2506" s="1">
        <v>19608.13</v>
      </c>
    </row>
    <row r="2507" spans="1:4" x14ac:dyDescent="0.25">
      <c r="A2507" s="65">
        <v>43451</v>
      </c>
      <c r="B2507" s="1">
        <v>3063.65</v>
      </c>
      <c r="C2507" s="65">
        <v>43494</v>
      </c>
      <c r="D2507" s="1">
        <v>19701.599999999999</v>
      </c>
    </row>
    <row r="2508" spans="1:4" x14ac:dyDescent="0.25">
      <c r="A2508" s="65">
        <v>43452</v>
      </c>
      <c r="B2508" s="1">
        <v>3040.13</v>
      </c>
      <c r="C2508" s="65">
        <v>43495</v>
      </c>
      <c r="D2508" s="1">
        <v>19771.55</v>
      </c>
    </row>
    <row r="2509" spans="1:4" x14ac:dyDescent="0.25">
      <c r="A2509" s="65">
        <v>43453</v>
      </c>
      <c r="B2509" s="1">
        <v>3051.38</v>
      </c>
      <c r="C2509" s="65">
        <v>43496</v>
      </c>
      <c r="D2509" s="1">
        <v>19730.78</v>
      </c>
    </row>
    <row r="2510" spans="1:4" x14ac:dyDescent="0.25">
      <c r="A2510" s="65">
        <v>43454</v>
      </c>
      <c r="B2510" s="1">
        <v>3000.06</v>
      </c>
      <c r="C2510" s="65">
        <v>43497</v>
      </c>
      <c r="D2510" s="1">
        <v>19576.77</v>
      </c>
    </row>
    <row r="2511" spans="1:4" x14ac:dyDescent="0.25">
      <c r="A2511" s="65">
        <v>43455</v>
      </c>
      <c r="B2511" s="1">
        <v>3000.61</v>
      </c>
      <c r="C2511" s="65">
        <v>43500</v>
      </c>
      <c r="D2511" s="1">
        <v>19605.599999999999</v>
      </c>
    </row>
    <row r="2512" spans="1:4" x14ac:dyDescent="0.25">
      <c r="A2512" s="65">
        <v>43458</v>
      </c>
      <c r="B2512" s="1">
        <v>2973.78</v>
      </c>
      <c r="C2512" s="65">
        <v>43501</v>
      </c>
      <c r="D2512" s="1">
        <v>19833.490000000002</v>
      </c>
    </row>
    <row r="2513" spans="1:4" x14ac:dyDescent="0.25">
      <c r="A2513" s="65">
        <v>43461</v>
      </c>
      <c r="B2513" s="1">
        <v>2937.36</v>
      </c>
      <c r="C2513" s="65">
        <v>43502</v>
      </c>
      <c r="D2513" s="1">
        <v>19996.47</v>
      </c>
    </row>
    <row r="2514" spans="1:4" x14ac:dyDescent="0.25">
      <c r="A2514" s="65">
        <v>43462</v>
      </c>
      <c r="B2514" s="1">
        <v>2986.53</v>
      </c>
      <c r="C2514" s="65">
        <v>43503</v>
      </c>
      <c r="D2514" s="1">
        <v>19478.32</v>
      </c>
    </row>
    <row r="2515" spans="1:4" x14ac:dyDescent="0.25">
      <c r="A2515" s="65">
        <v>43465</v>
      </c>
      <c r="B2515" s="1">
        <v>3001.42</v>
      </c>
      <c r="C2515" s="65">
        <v>43504</v>
      </c>
      <c r="D2515" s="1">
        <v>19351.900000000001</v>
      </c>
    </row>
    <row r="2516" spans="1:4" x14ac:dyDescent="0.25">
      <c r="A2516" s="65">
        <v>43467</v>
      </c>
      <c r="B2516" s="1">
        <v>2993.18</v>
      </c>
      <c r="C2516" s="65">
        <v>43507</v>
      </c>
      <c r="D2516" s="1">
        <v>19586.560000000001</v>
      </c>
    </row>
    <row r="2517" spans="1:4" x14ac:dyDescent="0.25">
      <c r="A2517" s="65">
        <v>43468</v>
      </c>
      <c r="B2517" s="1">
        <v>2954.66</v>
      </c>
      <c r="C2517" s="65">
        <v>43508</v>
      </c>
      <c r="D2517" s="1">
        <v>19805.28</v>
      </c>
    </row>
    <row r="2518" spans="1:4" x14ac:dyDescent="0.25">
      <c r="A2518" s="65">
        <v>43469</v>
      </c>
      <c r="B2518" s="1">
        <v>3041.85</v>
      </c>
      <c r="C2518" s="65">
        <v>43509</v>
      </c>
      <c r="D2518" s="1">
        <v>19989.900000000001</v>
      </c>
    </row>
    <row r="2519" spans="1:4" x14ac:dyDescent="0.25">
      <c r="A2519" s="65">
        <v>43472</v>
      </c>
      <c r="B2519" s="1">
        <v>3033.64</v>
      </c>
      <c r="C2519" s="65">
        <v>43510</v>
      </c>
      <c r="D2519" s="1">
        <v>19834.96</v>
      </c>
    </row>
    <row r="2520" spans="1:4" x14ac:dyDescent="0.25">
      <c r="A2520" s="65">
        <v>43473</v>
      </c>
      <c r="B2520" s="1">
        <v>3054.94</v>
      </c>
      <c r="C2520" s="65">
        <v>43511</v>
      </c>
      <c r="D2520" s="1">
        <v>20212.34</v>
      </c>
    </row>
    <row r="2521" spans="1:4" x14ac:dyDescent="0.25">
      <c r="A2521" s="65">
        <v>43474</v>
      </c>
      <c r="B2521" s="1">
        <v>3070.24</v>
      </c>
      <c r="C2521" s="65">
        <v>43514</v>
      </c>
      <c r="D2521" s="1">
        <v>20329.830000000002</v>
      </c>
    </row>
    <row r="2522" spans="1:4" x14ac:dyDescent="0.25">
      <c r="A2522" s="65">
        <v>43475</v>
      </c>
      <c r="B2522" s="1">
        <v>3075.73</v>
      </c>
      <c r="C2522" s="65">
        <v>43515</v>
      </c>
      <c r="D2522" s="1">
        <v>20228.189999999999</v>
      </c>
    </row>
    <row r="2523" spans="1:4" x14ac:dyDescent="0.25">
      <c r="A2523" s="65">
        <v>43476</v>
      </c>
      <c r="B2523" s="1">
        <v>3070.04</v>
      </c>
      <c r="C2523" s="65">
        <v>43516</v>
      </c>
      <c r="D2523" s="1">
        <v>20304.21</v>
      </c>
    </row>
    <row r="2524" spans="1:4" x14ac:dyDescent="0.25">
      <c r="A2524" s="65">
        <v>43479</v>
      </c>
      <c r="B2524" s="1">
        <v>3055.18</v>
      </c>
      <c r="C2524" s="65">
        <v>43517</v>
      </c>
      <c r="D2524" s="1">
        <v>20209.72</v>
      </c>
    </row>
    <row r="2525" spans="1:4" x14ac:dyDescent="0.25">
      <c r="A2525" s="65">
        <v>43480</v>
      </c>
      <c r="B2525" s="1">
        <v>3068.05</v>
      </c>
      <c r="C2525" s="65">
        <v>43518</v>
      </c>
      <c r="D2525" s="1">
        <v>20262.509999999998</v>
      </c>
    </row>
    <row r="2526" spans="1:4" x14ac:dyDescent="0.25">
      <c r="A2526" s="65">
        <v>43481</v>
      </c>
      <c r="B2526" s="1">
        <v>3077.22</v>
      </c>
      <c r="C2526" s="65">
        <v>43521</v>
      </c>
      <c r="D2526" s="1">
        <v>20436.96</v>
      </c>
    </row>
    <row r="2527" spans="1:4" x14ac:dyDescent="0.25">
      <c r="A2527" s="65">
        <v>43482</v>
      </c>
      <c r="B2527" s="1">
        <v>3069.35</v>
      </c>
      <c r="C2527" s="65">
        <v>43522</v>
      </c>
      <c r="D2527" s="1">
        <v>20459.59</v>
      </c>
    </row>
    <row r="2528" spans="1:4" x14ac:dyDescent="0.25">
      <c r="A2528" s="65">
        <v>43483</v>
      </c>
      <c r="B2528" s="1">
        <v>3134.92</v>
      </c>
      <c r="C2528" s="65">
        <v>43523</v>
      </c>
      <c r="D2528" s="1">
        <v>20498.79</v>
      </c>
    </row>
    <row r="2529" spans="1:4" x14ac:dyDescent="0.25">
      <c r="A2529" s="65">
        <v>43486</v>
      </c>
      <c r="B2529" s="1">
        <v>3125.07</v>
      </c>
      <c r="C2529" s="65">
        <v>43524</v>
      </c>
      <c r="D2529" s="1">
        <v>20659.46</v>
      </c>
    </row>
    <row r="2530" spans="1:4" x14ac:dyDescent="0.25">
      <c r="A2530" s="65">
        <v>43487</v>
      </c>
      <c r="B2530" s="1">
        <v>3112.8</v>
      </c>
      <c r="C2530" s="65">
        <v>43525</v>
      </c>
      <c r="D2530" s="1">
        <v>20694.53</v>
      </c>
    </row>
    <row r="2531" spans="1:4" x14ac:dyDescent="0.25">
      <c r="A2531" s="65">
        <v>43488</v>
      </c>
      <c r="B2531" s="1">
        <v>3112.13</v>
      </c>
      <c r="C2531" s="65">
        <v>43528</v>
      </c>
      <c r="D2531" s="1">
        <v>20718.3</v>
      </c>
    </row>
    <row r="2532" spans="1:4" x14ac:dyDescent="0.25">
      <c r="A2532" s="65">
        <v>43489</v>
      </c>
      <c r="B2532" s="1">
        <v>3126.31</v>
      </c>
      <c r="C2532" s="65">
        <v>43529</v>
      </c>
      <c r="D2532" s="1">
        <v>20715.97</v>
      </c>
    </row>
    <row r="2533" spans="1:4" x14ac:dyDescent="0.25">
      <c r="A2533" s="65">
        <v>43490</v>
      </c>
      <c r="B2533" s="1">
        <v>3163.24</v>
      </c>
      <c r="C2533" s="65">
        <v>43530</v>
      </c>
      <c r="D2533" s="1">
        <v>20851.560000000001</v>
      </c>
    </row>
    <row r="2534" spans="1:4" x14ac:dyDescent="0.25">
      <c r="A2534" s="65">
        <v>43493</v>
      </c>
      <c r="B2534" s="1">
        <v>3137.27</v>
      </c>
      <c r="C2534" s="65">
        <v>43531</v>
      </c>
      <c r="D2534" s="1">
        <v>20697.560000000001</v>
      </c>
    </row>
    <row r="2535" spans="1:4" x14ac:dyDescent="0.25">
      <c r="A2535" s="65">
        <v>43494</v>
      </c>
      <c r="B2535" s="1">
        <v>3153.42</v>
      </c>
      <c r="C2535" s="65">
        <v>43532</v>
      </c>
      <c r="D2535" s="1">
        <v>20484.39</v>
      </c>
    </row>
    <row r="2536" spans="1:4" x14ac:dyDescent="0.25">
      <c r="A2536" s="65">
        <v>43495</v>
      </c>
      <c r="B2536" s="1">
        <v>3161.74</v>
      </c>
      <c r="C2536" s="65">
        <v>43535</v>
      </c>
      <c r="D2536" s="1">
        <v>20638.22</v>
      </c>
    </row>
    <row r="2537" spans="1:4" x14ac:dyDescent="0.25">
      <c r="A2537" s="65">
        <v>43496</v>
      </c>
      <c r="B2537" s="1">
        <v>3159.43</v>
      </c>
      <c r="C2537" s="65">
        <v>43536</v>
      </c>
      <c r="D2537" s="1">
        <v>20631.189999999999</v>
      </c>
    </row>
    <row r="2538" spans="1:4" x14ac:dyDescent="0.25">
      <c r="A2538" s="65">
        <v>43497</v>
      </c>
      <c r="B2538" s="1">
        <v>3171.12</v>
      </c>
      <c r="C2538" s="65">
        <v>43537</v>
      </c>
      <c r="D2538" s="1">
        <v>20749.2</v>
      </c>
    </row>
    <row r="2539" spans="1:4" x14ac:dyDescent="0.25">
      <c r="A2539" s="65">
        <v>43500</v>
      </c>
      <c r="B2539" s="1">
        <v>3165.2</v>
      </c>
      <c r="C2539" s="65">
        <v>43538</v>
      </c>
      <c r="D2539" s="1">
        <v>20877.43</v>
      </c>
    </row>
    <row r="2540" spans="1:4" x14ac:dyDescent="0.25">
      <c r="A2540" s="65">
        <v>43501</v>
      </c>
      <c r="B2540" s="1">
        <v>3215.04</v>
      </c>
      <c r="C2540" s="65">
        <v>43539</v>
      </c>
      <c r="D2540" s="1">
        <v>21045.41</v>
      </c>
    </row>
    <row r="2541" spans="1:4" x14ac:dyDescent="0.25">
      <c r="A2541" s="65">
        <v>43502</v>
      </c>
      <c r="B2541" s="1">
        <v>3212.75</v>
      </c>
      <c r="C2541" s="65">
        <v>43542</v>
      </c>
      <c r="D2541" s="1">
        <v>21234.61</v>
      </c>
    </row>
    <row r="2542" spans="1:4" x14ac:dyDescent="0.25">
      <c r="A2542" s="65">
        <v>43503</v>
      </c>
      <c r="B2542" s="1">
        <v>3150.76</v>
      </c>
      <c r="C2542" s="65">
        <v>43543</v>
      </c>
      <c r="D2542" s="1">
        <v>21430.35</v>
      </c>
    </row>
    <row r="2543" spans="1:4" x14ac:dyDescent="0.25">
      <c r="A2543" s="65">
        <v>43504</v>
      </c>
      <c r="B2543" s="1">
        <v>3135.62</v>
      </c>
      <c r="C2543" s="65">
        <v>43544</v>
      </c>
      <c r="D2543" s="1">
        <v>21330.21</v>
      </c>
    </row>
    <row r="2544" spans="1:4" x14ac:dyDescent="0.25">
      <c r="A2544" s="65">
        <v>43507</v>
      </c>
      <c r="B2544" s="1">
        <v>3165.61</v>
      </c>
      <c r="C2544" s="65">
        <v>43545</v>
      </c>
      <c r="D2544" s="1">
        <v>21373.06</v>
      </c>
    </row>
    <row r="2545" spans="1:4" x14ac:dyDescent="0.25">
      <c r="A2545" s="65">
        <v>43508</v>
      </c>
      <c r="B2545" s="1">
        <v>3190.75</v>
      </c>
      <c r="C2545" s="65">
        <v>43546</v>
      </c>
      <c r="D2545" s="1">
        <v>21078.76</v>
      </c>
    </row>
    <row r="2546" spans="1:4" x14ac:dyDescent="0.25">
      <c r="A2546" s="65">
        <v>43509</v>
      </c>
      <c r="B2546" s="1">
        <v>3202.37</v>
      </c>
      <c r="C2546" s="65">
        <v>43549</v>
      </c>
      <c r="D2546" s="1">
        <v>21059.599999999999</v>
      </c>
    </row>
    <row r="2547" spans="1:4" x14ac:dyDescent="0.25">
      <c r="A2547" s="65">
        <v>43510</v>
      </c>
      <c r="B2547" s="1">
        <v>3182.66</v>
      </c>
      <c r="C2547" s="65">
        <v>43550</v>
      </c>
      <c r="D2547" s="1">
        <v>21139.4</v>
      </c>
    </row>
    <row r="2548" spans="1:4" x14ac:dyDescent="0.25">
      <c r="A2548" s="65">
        <v>43511</v>
      </c>
      <c r="B2548" s="1">
        <v>3241.25</v>
      </c>
      <c r="C2548" s="65">
        <v>43551</v>
      </c>
      <c r="D2548" s="1">
        <v>21194.19</v>
      </c>
    </row>
    <row r="2549" spans="1:4" x14ac:dyDescent="0.25">
      <c r="A2549" s="65">
        <v>43514</v>
      </c>
      <c r="B2549" s="1">
        <v>3244.79</v>
      </c>
      <c r="C2549" s="65">
        <v>43552</v>
      </c>
      <c r="D2549" s="1">
        <v>21080.97</v>
      </c>
    </row>
    <row r="2550" spans="1:4" x14ac:dyDescent="0.25">
      <c r="A2550" s="65">
        <v>43515</v>
      </c>
      <c r="B2550" s="1">
        <v>3239.41</v>
      </c>
      <c r="C2550" s="65">
        <v>43553</v>
      </c>
      <c r="D2550" s="1">
        <v>21286.13</v>
      </c>
    </row>
    <row r="2551" spans="1:4" x14ac:dyDescent="0.25">
      <c r="A2551" s="65">
        <v>43516</v>
      </c>
      <c r="B2551" s="1">
        <v>3259.49</v>
      </c>
      <c r="C2551" s="65"/>
    </row>
    <row r="2552" spans="1:4" x14ac:dyDescent="0.25">
      <c r="A2552" s="65">
        <v>43517</v>
      </c>
      <c r="B2552" s="1">
        <v>3263.7</v>
      </c>
      <c r="C2552" s="65"/>
    </row>
    <row r="2553" spans="1:4" x14ac:dyDescent="0.25">
      <c r="A2553" s="65">
        <v>43518</v>
      </c>
      <c r="B2553" s="1">
        <v>3270.55</v>
      </c>
      <c r="C2553" s="65"/>
    </row>
    <row r="2554" spans="1:4" x14ac:dyDescent="0.25">
      <c r="A2554" s="65">
        <v>43521</v>
      </c>
      <c r="B2554" s="1">
        <v>3280.01</v>
      </c>
      <c r="C2554" s="65"/>
    </row>
    <row r="2555" spans="1:4" x14ac:dyDescent="0.25">
      <c r="A2555" s="65">
        <v>43522</v>
      </c>
      <c r="B2555" s="1">
        <v>3289.32</v>
      </c>
      <c r="C2555" s="65"/>
    </row>
    <row r="2556" spans="1:4" x14ac:dyDescent="0.25">
      <c r="A2556" s="65">
        <v>43523</v>
      </c>
      <c r="B2556" s="1">
        <v>3282.77</v>
      </c>
      <c r="C2556" s="65"/>
    </row>
    <row r="2557" spans="1:4" x14ac:dyDescent="0.25">
      <c r="A2557" s="65">
        <v>43524</v>
      </c>
      <c r="B2557" s="1">
        <v>3298.26</v>
      </c>
      <c r="C2557" s="65"/>
    </row>
    <row r="2558" spans="1:4" x14ac:dyDescent="0.25">
      <c r="A2558" s="65">
        <v>43525</v>
      </c>
      <c r="B2558" s="1">
        <v>3312.1</v>
      </c>
      <c r="C2558" s="65"/>
    </row>
    <row r="2559" spans="1:4" x14ac:dyDescent="0.25">
      <c r="A2559" s="65">
        <v>43528</v>
      </c>
      <c r="B2559" s="1">
        <v>3317.12</v>
      </c>
      <c r="C2559" s="65"/>
    </row>
    <row r="2560" spans="1:4" x14ac:dyDescent="0.25">
      <c r="A2560" s="65">
        <v>43529</v>
      </c>
      <c r="B2560" s="1">
        <v>3327.19</v>
      </c>
      <c r="C2560" s="65"/>
    </row>
    <row r="2561" spans="1:3" x14ac:dyDescent="0.25">
      <c r="A2561" s="65">
        <v>43530</v>
      </c>
      <c r="B2561" s="1">
        <v>3324.67</v>
      </c>
      <c r="C2561" s="65"/>
    </row>
    <row r="2562" spans="1:3" x14ac:dyDescent="0.25">
      <c r="A2562" s="65">
        <v>43531</v>
      </c>
      <c r="B2562" s="1">
        <v>3308.85</v>
      </c>
      <c r="C2562" s="65"/>
    </row>
    <row r="2563" spans="1:3" x14ac:dyDescent="0.25">
      <c r="A2563" s="65">
        <v>43532</v>
      </c>
      <c r="B2563" s="1">
        <v>3283.6</v>
      </c>
      <c r="C2563" s="65"/>
    </row>
    <row r="2564" spans="1:3" x14ac:dyDescent="0.25">
      <c r="A2564" s="65">
        <v>43535</v>
      </c>
      <c r="B2564" s="1">
        <v>3304.44</v>
      </c>
      <c r="C2564" s="65"/>
    </row>
    <row r="2565" spans="1:3" x14ac:dyDescent="0.25">
      <c r="A2565" s="65">
        <v>43536</v>
      </c>
      <c r="B2565" s="1">
        <v>3303.95</v>
      </c>
      <c r="C2565" s="65"/>
    </row>
    <row r="2566" spans="1:3" x14ac:dyDescent="0.25">
      <c r="A2566" s="65">
        <v>43537</v>
      </c>
      <c r="B2566" s="1">
        <v>3323.45</v>
      </c>
      <c r="C2566" s="65"/>
    </row>
    <row r="2567" spans="1:3" x14ac:dyDescent="0.25">
      <c r="A2567" s="65">
        <v>43538</v>
      </c>
      <c r="B2567" s="1">
        <v>3342.03</v>
      </c>
      <c r="C2567" s="65"/>
    </row>
    <row r="2568" spans="1:3" x14ac:dyDescent="0.25">
      <c r="A2568" s="65">
        <v>43539</v>
      </c>
      <c r="B2568" s="1">
        <v>3386.08</v>
      </c>
      <c r="C2568" s="65"/>
    </row>
    <row r="2569" spans="1:3" x14ac:dyDescent="0.25">
      <c r="A2569" s="65">
        <v>43542</v>
      </c>
      <c r="B2569" s="1">
        <v>3387.94</v>
      </c>
      <c r="C2569" s="65"/>
    </row>
    <row r="2570" spans="1:3" x14ac:dyDescent="0.25">
      <c r="A2570" s="65">
        <v>43543</v>
      </c>
      <c r="B2570" s="1">
        <v>3409</v>
      </c>
      <c r="C2570" s="65"/>
    </row>
    <row r="2571" spans="1:3" x14ac:dyDescent="0.25">
      <c r="A2571" s="65">
        <v>43544</v>
      </c>
      <c r="B2571" s="1">
        <v>3372.38</v>
      </c>
      <c r="C2571" s="65"/>
    </row>
    <row r="2572" spans="1:3" x14ac:dyDescent="0.25">
      <c r="A2572" s="65">
        <v>43545</v>
      </c>
      <c r="B2572" s="1">
        <v>3367.4</v>
      </c>
    </row>
    <row r="2573" spans="1:3" x14ac:dyDescent="0.25">
      <c r="A2573" s="65">
        <v>43546</v>
      </c>
      <c r="B2573" s="1">
        <v>3305.73</v>
      </c>
    </row>
    <row r="2574" spans="1:3" x14ac:dyDescent="0.25">
      <c r="A2574" s="65">
        <v>43549</v>
      </c>
      <c r="B2574" s="1">
        <v>3300.48</v>
      </c>
    </row>
    <row r="2575" spans="1:3" x14ac:dyDescent="0.25">
      <c r="A2575" s="65">
        <v>43550</v>
      </c>
      <c r="B2575" s="1">
        <v>3319.53</v>
      </c>
    </row>
    <row r="2576" spans="1:3" x14ac:dyDescent="0.25">
      <c r="A2576" s="65">
        <v>43551</v>
      </c>
      <c r="B2576" s="1">
        <v>3322.04</v>
      </c>
    </row>
    <row r="2577" spans="1:2" x14ac:dyDescent="0.25">
      <c r="A2577" s="65">
        <v>43552</v>
      </c>
      <c r="B2577" s="1">
        <v>3320.29</v>
      </c>
    </row>
    <row r="2578" spans="1:2" x14ac:dyDescent="0.25">
      <c r="A2578" s="65">
        <v>43553</v>
      </c>
      <c r="B2578" s="1">
        <v>3351.71</v>
      </c>
    </row>
  </sheetData>
  <mergeCells count="1">
    <mergeCell ref="A1:B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oglio12">
    <tabColor theme="5" tint="-0.499984740745262"/>
  </sheetPr>
  <dimension ref="A1:BR2578"/>
  <sheetViews>
    <sheetView zoomScaleNormal="100" workbookViewId="0">
      <selection sqref="A1:B1"/>
    </sheetView>
  </sheetViews>
  <sheetFormatPr defaultColWidth="9.125" defaultRowHeight="10.9" x14ac:dyDescent="0.25"/>
  <cols>
    <col min="1" max="1" width="15" style="1" bestFit="1" customWidth="1"/>
    <col min="2" max="2" width="7.625" style="1" bestFit="1" customWidth="1"/>
    <col min="3" max="3" width="15" style="1" bestFit="1" customWidth="1"/>
    <col min="4" max="4" width="7.625" style="1" bestFit="1" customWidth="1"/>
    <col min="5" max="5" width="15" style="1" bestFit="1" customWidth="1"/>
    <col min="6" max="6" width="7.625" style="1" bestFit="1" customWidth="1"/>
    <col min="7" max="7" width="15" style="1" bestFit="1" customWidth="1"/>
    <col min="8" max="8" width="7.625" style="1" bestFit="1" customWidth="1"/>
    <col min="9" max="9" width="15" style="1" bestFit="1" customWidth="1"/>
    <col min="10" max="10" width="7.625" style="1" bestFit="1" customWidth="1"/>
    <col min="11" max="11" width="15" style="1" bestFit="1" customWidth="1"/>
    <col min="12" max="12" width="7.625" style="1" bestFit="1" customWidth="1"/>
    <col min="13" max="13" width="15" style="1" bestFit="1" customWidth="1"/>
    <col min="14" max="14" width="7.625" style="1" bestFit="1" customWidth="1"/>
    <col min="15" max="15" width="15" style="1" bestFit="1" customWidth="1"/>
    <col min="16" max="16" width="7.625" style="1" bestFit="1" customWidth="1"/>
    <col min="17" max="17" width="15" style="1" bestFit="1" customWidth="1"/>
    <col min="18" max="18" width="7.625" style="1" bestFit="1" customWidth="1"/>
    <col min="19" max="19" width="15" style="1" bestFit="1" customWidth="1"/>
    <col min="20" max="20" width="7.625" style="1" bestFit="1" customWidth="1"/>
    <col min="21" max="21" width="15" style="1" bestFit="1" customWidth="1"/>
    <col min="22" max="22" width="7.625" style="1" bestFit="1" customWidth="1"/>
    <col min="23" max="23" width="15" style="1" bestFit="1" customWidth="1"/>
    <col min="24" max="24" width="7.625" style="1" bestFit="1" customWidth="1"/>
    <col min="25" max="25" width="15" style="1" bestFit="1" customWidth="1"/>
    <col min="26" max="26" width="7.625" style="1" bestFit="1" customWidth="1"/>
    <col min="27" max="27" width="15" style="1" bestFit="1" customWidth="1"/>
    <col min="28" max="28" width="7.625" style="1" bestFit="1" customWidth="1"/>
    <col min="29" max="29" width="15" style="1" bestFit="1" customWidth="1"/>
    <col min="30" max="30" width="7.625" style="1" bestFit="1" customWidth="1"/>
    <col min="31" max="31" width="15" style="1" bestFit="1" customWidth="1"/>
    <col min="32" max="32" width="7.625" style="1" bestFit="1" customWidth="1"/>
    <col min="33" max="33" width="15" style="1" bestFit="1" customWidth="1"/>
    <col min="34" max="34" width="7.625" style="1" bestFit="1" customWidth="1"/>
    <col min="35" max="35" width="15" style="1" bestFit="1" customWidth="1"/>
    <col min="36" max="36" width="7.625" style="1" bestFit="1" customWidth="1"/>
    <col min="37" max="16384" width="9.125" style="1"/>
  </cols>
  <sheetData>
    <row r="1" spans="1:70" x14ac:dyDescent="0.25">
      <c r="A1" s="106" t="s">
        <v>53</v>
      </c>
      <c r="B1" s="106"/>
    </row>
    <row r="2" spans="1:70" x14ac:dyDescent="0.25">
      <c r="A2" s="13" t="s">
        <v>3</v>
      </c>
      <c r="B2" s="13">
        <f>'BLOOMBERG ASSETS'!B2</f>
        <v>10</v>
      </c>
      <c r="C2" s="13" t="s">
        <v>3</v>
      </c>
      <c r="D2" s="13">
        <f>'BLOOMBERG ASSETS'!D2</f>
        <v>10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</row>
    <row r="3" spans="1:70" x14ac:dyDescent="0.25">
      <c r="A3" s="13" t="s">
        <v>1</v>
      </c>
      <c r="B3" s="16">
        <f>DATE(YEAR(B4)-$B$2,MONTH(B4),DAY(B4)-1)</f>
        <v>39900</v>
      </c>
      <c r="C3" s="13" t="s">
        <v>1</v>
      </c>
      <c r="D3" s="16">
        <f>DATE(YEAR(D4)-$B$2,MONTH(D4),DAY(D4)-1)</f>
        <v>39900</v>
      </c>
      <c r="E3" s="24"/>
      <c r="F3" s="59"/>
      <c r="G3" s="24"/>
      <c r="H3" s="59"/>
      <c r="I3" s="24"/>
      <c r="J3" s="59"/>
      <c r="K3" s="24"/>
      <c r="L3" s="59"/>
      <c r="M3" s="24"/>
      <c r="N3" s="59"/>
      <c r="O3" s="24"/>
      <c r="P3" s="59"/>
      <c r="Q3" s="24"/>
      <c r="R3" s="59"/>
      <c r="S3" s="24"/>
      <c r="T3" s="59"/>
      <c r="U3" s="24"/>
      <c r="V3" s="59"/>
      <c r="W3" s="24"/>
      <c r="X3" s="59"/>
      <c r="Y3" s="24"/>
      <c r="Z3" s="59"/>
      <c r="AA3" s="24"/>
      <c r="AB3" s="59"/>
      <c r="AC3" s="24"/>
      <c r="AD3" s="59"/>
      <c r="AE3" s="24"/>
      <c r="AF3" s="59"/>
      <c r="AG3" s="24"/>
      <c r="AH3" s="59"/>
      <c r="AI3" s="24"/>
      <c r="AJ3" s="59"/>
      <c r="AK3" s="24"/>
      <c r="AL3" s="59"/>
      <c r="AM3" s="24"/>
      <c r="AN3" s="59"/>
      <c r="AO3" s="24"/>
      <c r="AP3" s="59"/>
      <c r="AQ3" s="24"/>
      <c r="AR3" s="59"/>
      <c r="AS3" s="24"/>
      <c r="AT3" s="59"/>
      <c r="AU3" s="24"/>
      <c r="AV3" s="59"/>
      <c r="AW3" s="24"/>
      <c r="AX3" s="59"/>
      <c r="AY3" s="24"/>
      <c r="AZ3" s="59"/>
      <c r="BA3" s="24"/>
      <c r="BB3" s="59"/>
      <c r="BC3" s="24"/>
      <c r="BD3" s="59"/>
      <c r="BE3" s="24"/>
      <c r="BF3" s="59"/>
      <c r="BG3" s="24"/>
      <c r="BH3" s="59"/>
      <c r="BI3" s="24"/>
      <c r="BJ3" s="59"/>
      <c r="BK3" s="24"/>
      <c r="BL3" s="59"/>
      <c r="BM3" s="24"/>
      <c r="BN3" s="59"/>
      <c r="BO3" s="24"/>
      <c r="BP3" s="59"/>
      <c r="BQ3" s="24"/>
      <c r="BR3" s="59"/>
    </row>
    <row r="4" spans="1:70" x14ac:dyDescent="0.25">
      <c r="A4" s="13" t="s">
        <v>2</v>
      </c>
      <c r="B4" s="25">
        <f>'UNDERLYING INFO'!$B$1</f>
        <v>43553</v>
      </c>
      <c r="C4" s="13" t="s">
        <v>2</v>
      </c>
      <c r="D4" s="25">
        <f>'UNDERLYING INFO'!$B$1</f>
        <v>43553</v>
      </c>
      <c r="E4" s="24"/>
      <c r="F4" s="25"/>
      <c r="G4" s="24"/>
      <c r="H4" s="25"/>
      <c r="I4" s="24"/>
      <c r="J4" s="25"/>
      <c r="K4" s="24"/>
      <c r="L4" s="25"/>
      <c r="M4" s="24"/>
      <c r="N4" s="25"/>
      <c r="O4" s="24"/>
      <c r="P4" s="25"/>
      <c r="Q4" s="24"/>
      <c r="R4" s="25"/>
      <c r="S4" s="24"/>
      <c r="T4" s="25"/>
      <c r="U4" s="24"/>
      <c r="V4" s="25"/>
      <c r="W4" s="24"/>
      <c r="X4" s="25"/>
      <c r="Y4" s="24"/>
      <c r="Z4" s="25"/>
      <c r="AA4" s="24"/>
      <c r="AB4" s="25"/>
      <c r="AC4" s="24"/>
      <c r="AD4" s="25"/>
      <c r="AE4" s="24"/>
      <c r="AF4" s="25"/>
      <c r="AG4" s="24"/>
      <c r="AH4" s="25"/>
      <c r="AI4" s="24"/>
      <c r="AJ4" s="25"/>
      <c r="AK4" s="24"/>
      <c r="AL4" s="25"/>
      <c r="AM4" s="24"/>
      <c r="AN4" s="25"/>
      <c r="AO4" s="24"/>
      <c r="AP4" s="25"/>
      <c r="AQ4" s="24"/>
      <c r="AR4" s="25"/>
      <c r="AS4" s="24"/>
      <c r="AT4" s="25"/>
      <c r="AU4" s="24"/>
      <c r="AV4" s="25"/>
      <c r="AW4" s="24"/>
      <c r="AX4" s="25"/>
      <c r="AY4" s="24"/>
      <c r="AZ4" s="25"/>
      <c r="BA4" s="24"/>
      <c r="BB4" s="25"/>
      <c r="BC4" s="24"/>
      <c r="BD4" s="25"/>
      <c r="BE4" s="24"/>
      <c r="BF4" s="25"/>
      <c r="BG4" s="24"/>
      <c r="BH4" s="25"/>
      <c r="BI4" s="24"/>
      <c r="BJ4" s="25"/>
      <c r="BK4" s="24"/>
      <c r="BL4" s="25"/>
      <c r="BM4" s="24"/>
      <c r="BN4" s="25"/>
      <c r="BO4" s="24"/>
      <c r="BP4" s="25"/>
      <c r="BQ4" s="24"/>
      <c r="BR4" s="25"/>
    </row>
    <row r="5" spans="1:70" x14ac:dyDescent="0.25">
      <c r="A5" s="13" t="s">
        <v>46</v>
      </c>
      <c r="B5" s="26" t="str">
        <f>'UNDERLYING INFO'!B7</f>
        <v>D</v>
      </c>
      <c r="C5" s="13" t="s">
        <v>46</v>
      </c>
      <c r="D5" s="26" t="str">
        <f>'UNDERLYING INFO'!D7</f>
        <v>D</v>
      </c>
      <c r="E5" s="24"/>
      <c r="F5" s="26"/>
      <c r="G5" s="24"/>
      <c r="H5" s="26"/>
      <c r="I5" s="24"/>
      <c r="J5" s="26"/>
      <c r="K5" s="24"/>
      <c r="L5" s="26"/>
      <c r="M5" s="24"/>
      <c r="N5" s="26"/>
      <c r="O5" s="24"/>
      <c r="P5" s="26"/>
      <c r="Q5" s="24"/>
      <c r="R5" s="26"/>
      <c r="S5" s="24"/>
      <c r="T5" s="26"/>
      <c r="U5" s="24"/>
      <c r="V5" s="26"/>
      <c r="W5" s="24"/>
      <c r="X5" s="26"/>
      <c r="Y5" s="24"/>
      <c r="Z5" s="26"/>
      <c r="AA5" s="24"/>
      <c r="AB5" s="26"/>
      <c r="AC5" s="24"/>
      <c r="AD5" s="26"/>
      <c r="AE5" s="24"/>
      <c r="AF5" s="26"/>
      <c r="AG5" s="24"/>
      <c r="AH5" s="26"/>
      <c r="AI5" s="24"/>
      <c r="AJ5" s="26"/>
      <c r="AK5" s="24"/>
      <c r="AL5" s="26"/>
      <c r="AM5" s="24"/>
      <c r="AN5" s="26"/>
      <c r="AO5" s="24"/>
      <c r="AP5" s="26"/>
      <c r="AQ5" s="24"/>
      <c r="AR5" s="26"/>
      <c r="AS5" s="24"/>
      <c r="AT5" s="26"/>
      <c r="AU5" s="24"/>
      <c r="AV5" s="26"/>
      <c r="AW5" s="24"/>
      <c r="AX5" s="26"/>
      <c r="AY5" s="24"/>
      <c r="AZ5" s="26"/>
      <c r="BA5" s="24"/>
      <c r="BB5" s="26"/>
      <c r="BC5" s="24"/>
      <c r="BD5" s="26"/>
      <c r="BE5" s="24"/>
      <c r="BF5" s="26"/>
      <c r="BG5" s="24"/>
      <c r="BH5" s="26"/>
      <c r="BI5" s="24"/>
      <c r="BJ5" s="26"/>
      <c r="BK5" s="24"/>
      <c r="BL5" s="26"/>
      <c r="BM5" s="24"/>
      <c r="BN5" s="26"/>
      <c r="BO5" s="24"/>
      <c r="BP5" s="26"/>
      <c r="BQ5" s="24"/>
      <c r="BR5" s="26"/>
    </row>
    <row r="6" spans="1:70" x14ac:dyDescent="0.25">
      <c r="A6" s="13" t="s">
        <v>48</v>
      </c>
      <c r="B6" s="26"/>
      <c r="C6" s="13" t="s">
        <v>48</v>
      </c>
      <c r="D6" s="26"/>
      <c r="E6" s="24"/>
      <c r="F6" s="26"/>
      <c r="G6" s="24"/>
      <c r="H6" s="26"/>
      <c r="I6" s="24"/>
      <c r="J6" s="26"/>
      <c r="K6" s="24"/>
      <c r="L6" s="26"/>
      <c r="M6" s="24"/>
      <c r="N6" s="26"/>
      <c r="O6" s="24"/>
      <c r="P6" s="26"/>
      <c r="Q6" s="24"/>
      <c r="R6" s="26"/>
      <c r="S6" s="24"/>
      <c r="T6" s="26"/>
      <c r="U6" s="24"/>
      <c r="V6" s="26"/>
      <c r="W6" s="24"/>
      <c r="X6" s="26"/>
      <c r="Y6" s="24"/>
      <c r="Z6" s="26"/>
      <c r="AA6" s="24"/>
      <c r="AB6" s="26"/>
      <c r="AC6" s="24"/>
      <c r="AD6" s="26"/>
      <c r="AE6" s="24"/>
      <c r="AF6" s="26"/>
      <c r="AG6" s="24"/>
      <c r="AH6" s="26"/>
      <c r="AI6" s="24"/>
      <c r="AJ6" s="26"/>
      <c r="AK6" s="24"/>
      <c r="AL6" s="26"/>
      <c r="AM6" s="24"/>
      <c r="AN6" s="26"/>
      <c r="AO6" s="24"/>
      <c r="AP6" s="26"/>
      <c r="AQ6" s="24"/>
      <c r="AR6" s="26"/>
      <c r="AS6" s="24"/>
      <c r="AT6" s="26"/>
      <c r="AU6" s="24"/>
      <c r="AV6" s="26"/>
      <c r="AW6" s="24"/>
      <c r="AX6" s="26"/>
      <c r="AY6" s="24"/>
      <c r="AZ6" s="26"/>
      <c r="BA6" s="24"/>
      <c r="BB6" s="26"/>
      <c r="BC6" s="24"/>
      <c r="BD6" s="26"/>
      <c r="BE6" s="24"/>
      <c r="BF6" s="26"/>
      <c r="BG6" s="24"/>
      <c r="BH6" s="26"/>
      <c r="BI6" s="24"/>
      <c r="BJ6" s="26"/>
      <c r="BK6" s="24"/>
      <c r="BL6" s="26"/>
      <c r="BM6" s="24"/>
      <c r="BN6" s="26"/>
      <c r="BO6" s="24"/>
      <c r="BP6" s="26"/>
      <c r="BQ6" s="24"/>
      <c r="BR6" s="26"/>
    </row>
    <row r="7" spans="1:70" x14ac:dyDescent="0.25">
      <c r="A7" s="13" t="s">
        <v>49</v>
      </c>
      <c r="B7" s="26"/>
      <c r="C7" s="13" t="s">
        <v>49</v>
      </c>
      <c r="D7" s="26"/>
      <c r="E7" s="24"/>
      <c r="F7" s="26"/>
      <c r="G7" s="24"/>
      <c r="H7" s="26"/>
      <c r="I7" s="24"/>
      <c r="J7" s="26"/>
      <c r="K7" s="24"/>
      <c r="L7" s="26"/>
      <c r="M7" s="24"/>
      <c r="N7" s="26"/>
      <c r="O7" s="24"/>
      <c r="P7" s="26"/>
      <c r="Q7" s="24"/>
      <c r="R7" s="26"/>
      <c r="S7" s="24"/>
      <c r="T7" s="26"/>
      <c r="U7" s="24"/>
      <c r="V7" s="26"/>
      <c r="W7" s="24"/>
      <c r="X7" s="26"/>
      <c r="Y7" s="24"/>
      <c r="Z7" s="26"/>
      <c r="AA7" s="24"/>
      <c r="AB7" s="26"/>
      <c r="AC7" s="24"/>
      <c r="AD7" s="26"/>
      <c r="AE7" s="24"/>
      <c r="AF7" s="26"/>
      <c r="AG7" s="24"/>
      <c r="AH7" s="26"/>
      <c r="AI7" s="24"/>
      <c r="AJ7" s="26"/>
      <c r="AK7" s="24"/>
      <c r="AL7" s="26"/>
      <c r="AM7" s="24"/>
      <c r="AN7" s="26"/>
      <c r="AO7" s="24"/>
      <c r="AP7" s="26"/>
      <c r="AQ7" s="24"/>
      <c r="AR7" s="26"/>
      <c r="AS7" s="24"/>
      <c r="AT7" s="26"/>
      <c r="AU7" s="24"/>
      <c r="AV7" s="26"/>
      <c r="AW7" s="24"/>
      <c r="AX7" s="26"/>
      <c r="AY7" s="24"/>
      <c r="AZ7" s="26"/>
      <c r="BA7" s="24"/>
      <c r="BB7" s="26"/>
      <c r="BC7" s="24"/>
      <c r="BD7" s="26"/>
      <c r="BE7" s="24"/>
      <c r="BF7" s="26"/>
      <c r="BG7" s="24"/>
      <c r="BH7" s="26"/>
      <c r="BI7" s="24"/>
      <c r="BJ7" s="26"/>
      <c r="BK7" s="24"/>
      <c r="BL7" s="26"/>
      <c r="BM7" s="24"/>
      <c r="BN7" s="26"/>
      <c r="BO7" s="24"/>
      <c r="BP7" s="26"/>
      <c r="BQ7" s="24"/>
      <c r="BR7" s="26"/>
    </row>
    <row r="8" spans="1:70" x14ac:dyDescent="0.25">
      <c r="A8" s="13" t="str">
        <f>CONCATENATE('UNDERLYING INFO'!B6,'PRODUCT INFO'!$C$15," Curncy")</f>
        <v>EUREUR Curncy</v>
      </c>
      <c r="B8" s="27"/>
      <c r="C8" s="13" t="str">
        <f>CONCATENATE('UNDERLYING INFO'!D6,'PRODUCT INFO'!$C$15," Curncy")</f>
        <v>EUREUR Curncy</v>
      </c>
      <c r="D8" s="27"/>
      <c r="E8" s="24"/>
      <c r="F8" s="27"/>
      <c r="G8" s="24"/>
      <c r="H8" s="27"/>
      <c r="I8" s="24"/>
      <c r="J8" s="27"/>
      <c r="K8" s="24"/>
      <c r="L8" s="27"/>
      <c r="M8" s="24"/>
      <c r="N8" s="27"/>
      <c r="O8" s="24"/>
      <c r="P8" s="27"/>
      <c r="Q8" s="24"/>
      <c r="R8" s="27"/>
      <c r="S8" s="24"/>
      <c r="T8" s="27"/>
      <c r="U8" s="24"/>
      <c r="V8" s="27"/>
      <c r="W8" s="24"/>
      <c r="X8" s="27"/>
      <c r="Y8" s="24"/>
      <c r="Z8" s="27"/>
      <c r="AA8" s="24"/>
      <c r="AB8" s="27"/>
      <c r="AC8" s="24"/>
      <c r="AD8" s="27"/>
      <c r="AE8" s="24"/>
      <c r="AF8" s="27"/>
      <c r="AG8" s="24"/>
      <c r="AH8" s="27"/>
      <c r="AI8" s="24"/>
      <c r="AJ8" s="27"/>
      <c r="AK8" s="24"/>
      <c r="AL8" s="27"/>
      <c r="AM8" s="24"/>
      <c r="AN8" s="27"/>
      <c r="AO8" s="24"/>
      <c r="AP8" s="27"/>
      <c r="AQ8" s="24"/>
      <c r="AR8" s="27"/>
      <c r="AS8" s="24"/>
      <c r="AT8" s="27"/>
      <c r="AU8" s="24"/>
      <c r="AV8" s="27"/>
      <c r="AW8" s="24"/>
      <c r="AX8" s="27"/>
      <c r="AY8" s="24"/>
      <c r="AZ8" s="27"/>
      <c r="BA8" s="24"/>
      <c r="BB8" s="27"/>
      <c r="BC8" s="24"/>
      <c r="BD8" s="27"/>
      <c r="BE8" s="24"/>
      <c r="BF8" s="27"/>
      <c r="BG8" s="24"/>
      <c r="BH8" s="27"/>
      <c r="BI8" s="24"/>
      <c r="BJ8" s="27"/>
      <c r="BK8" s="24"/>
      <c r="BL8" s="27"/>
      <c r="BM8" s="24"/>
      <c r="BN8" s="27"/>
      <c r="BO8" s="24"/>
      <c r="BP8" s="27"/>
      <c r="BQ8" s="24"/>
      <c r="BR8" s="27"/>
    </row>
    <row r="9" spans="1:70" x14ac:dyDescent="0.25">
      <c r="A9" s="13" t="s">
        <v>0</v>
      </c>
      <c r="B9" s="13" t="s">
        <v>45</v>
      </c>
      <c r="C9" s="13" t="s">
        <v>0</v>
      </c>
      <c r="D9" s="13" t="s">
        <v>45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</row>
    <row r="10" spans="1:70" x14ac:dyDescent="0.25">
      <c r="A10" s="59" t="s">
        <v>360</v>
      </c>
      <c r="B10" s="60"/>
      <c r="C10" s="59" t="s">
        <v>360</v>
      </c>
      <c r="D10" s="60"/>
      <c r="E10" s="59"/>
      <c r="F10" s="60"/>
      <c r="G10" s="59"/>
      <c r="H10" s="60"/>
      <c r="I10" s="59"/>
      <c r="J10" s="60"/>
      <c r="K10" s="59"/>
      <c r="L10" s="60"/>
      <c r="M10" s="59"/>
      <c r="N10" s="60"/>
      <c r="O10" s="59"/>
      <c r="P10" s="60"/>
      <c r="Q10" s="59"/>
      <c r="R10" s="60"/>
      <c r="S10" s="59"/>
      <c r="T10" s="60"/>
      <c r="U10" s="59"/>
      <c r="V10" s="60"/>
      <c r="W10" s="59"/>
      <c r="X10" s="60"/>
      <c r="Y10" s="59"/>
      <c r="Z10" s="60"/>
      <c r="AA10" s="59"/>
      <c r="AB10" s="60"/>
      <c r="AC10" s="59"/>
      <c r="AD10" s="60"/>
      <c r="AE10" s="59"/>
      <c r="AF10" s="60"/>
      <c r="AG10" s="59"/>
      <c r="AH10" s="60"/>
      <c r="AI10" s="59"/>
      <c r="AJ10" s="60"/>
      <c r="AK10" s="59"/>
      <c r="AL10" s="60"/>
      <c r="AM10" s="30"/>
      <c r="AN10" s="24"/>
      <c r="AO10" s="30"/>
      <c r="AP10" s="24"/>
      <c r="AQ10" s="30"/>
      <c r="AR10" s="24"/>
      <c r="AS10" s="30"/>
      <c r="AT10" s="24"/>
      <c r="AU10" s="30"/>
      <c r="AV10" s="24"/>
      <c r="AW10" s="30"/>
      <c r="AX10" s="24"/>
      <c r="AY10" s="30"/>
      <c r="AZ10" s="24"/>
      <c r="BA10" s="30"/>
      <c r="BB10" s="24"/>
      <c r="BC10" s="30"/>
      <c r="BD10" s="24"/>
      <c r="BE10" s="30"/>
      <c r="BF10" s="24"/>
      <c r="BG10" s="30"/>
      <c r="BH10" s="24"/>
      <c r="BI10" s="30"/>
      <c r="BJ10" s="24"/>
      <c r="BK10" s="30"/>
      <c r="BL10" s="24"/>
      <c r="BM10" s="30"/>
      <c r="BN10" s="24"/>
      <c r="BO10" s="30"/>
      <c r="BP10" s="24"/>
      <c r="BQ10" s="30"/>
      <c r="BR10" s="24"/>
    </row>
    <row r="11" spans="1:70" x14ac:dyDescent="0.25">
      <c r="A11" s="2">
        <v>39903</v>
      </c>
      <c r="B11" s="1">
        <v>1</v>
      </c>
      <c r="C11" s="2">
        <v>39903</v>
      </c>
      <c r="D11" s="1">
        <v>1</v>
      </c>
    </row>
    <row r="12" spans="1:70" x14ac:dyDescent="0.25">
      <c r="A12" s="2">
        <v>39904</v>
      </c>
      <c r="B12" s="1">
        <v>1</v>
      </c>
      <c r="C12" s="2">
        <v>39904</v>
      </c>
      <c r="D12" s="1">
        <v>1</v>
      </c>
    </row>
    <row r="13" spans="1:70" x14ac:dyDescent="0.25">
      <c r="A13" s="2">
        <v>39905</v>
      </c>
      <c r="B13" s="1">
        <v>1</v>
      </c>
      <c r="C13" s="2">
        <v>39905</v>
      </c>
      <c r="D13" s="1">
        <v>1</v>
      </c>
    </row>
    <row r="14" spans="1:70" x14ac:dyDescent="0.25">
      <c r="A14" s="2">
        <v>39906</v>
      </c>
      <c r="B14" s="1">
        <v>1</v>
      </c>
      <c r="C14" s="2">
        <v>39906</v>
      </c>
      <c r="D14" s="1">
        <v>1</v>
      </c>
    </row>
    <row r="15" spans="1:70" x14ac:dyDescent="0.25">
      <c r="A15" s="2">
        <v>39909</v>
      </c>
      <c r="B15" s="1">
        <v>1</v>
      </c>
      <c r="C15" s="2">
        <v>39909</v>
      </c>
      <c r="D15" s="1">
        <v>1</v>
      </c>
    </row>
    <row r="16" spans="1:70" x14ac:dyDescent="0.25">
      <c r="A16" s="2">
        <v>39910</v>
      </c>
      <c r="B16" s="1">
        <v>1</v>
      </c>
      <c r="C16" s="2">
        <v>39910</v>
      </c>
      <c r="D16" s="1">
        <v>1</v>
      </c>
    </row>
    <row r="17" spans="1:4" x14ac:dyDescent="0.25">
      <c r="A17" s="2">
        <v>39911</v>
      </c>
      <c r="B17" s="1">
        <v>1</v>
      </c>
      <c r="C17" s="2">
        <v>39911</v>
      </c>
      <c r="D17" s="1">
        <v>1</v>
      </c>
    </row>
    <row r="18" spans="1:4" x14ac:dyDescent="0.25">
      <c r="A18" s="2">
        <v>39912</v>
      </c>
      <c r="B18" s="1">
        <v>1</v>
      </c>
      <c r="C18" s="2">
        <v>39912</v>
      </c>
      <c r="D18" s="1">
        <v>1</v>
      </c>
    </row>
    <row r="19" spans="1:4" x14ac:dyDescent="0.25">
      <c r="A19" s="2">
        <v>39917</v>
      </c>
      <c r="B19" s="1">
        <v>1</v>
      </c>
      <c r="C19" s="2">
        <v>39917</v>
      </c>
      <c r="D19" s="1">
        <v>1</v>
      </c>
    </row>
    <row r="20" spans="1:4" x14ac:dyDescent="0.25">
      <c r="A20" s="2">
        <v>39918</v>
      </c>
      <c r="B20" s="1">
        <v>1</v>
      </c>
      <c r="C20" s="2">
        <v>39918</v>
      </c>
      <c r="D20" s="1">
        <v>1</v>
      </c>
    </row>
    <row r="21" spans="1:4" x14ac:dyDescent="0.25">
      <c r="A21" s="2">
        <v>39919</v>
      </c>
      <c r="B21" s="1">
        <v>1</v>
      </c>
      <c r="C21" s="2">
        <v>39919</v>
      </c>
      <c r="D21" s="1">
        <v>1</v>
      </c>
    </row>
    <row r="22" spans="1:4" x14ac:dyDescent="0.25">
      <c r="A22" s="2">
        <v>39920</v>
      </c>
      <c r="B22" s="1">
        <v>1</v>
      </c>
      <c r="C22" s="2">
        <v>39920</v>
      </c>
      <c r="D22" s="1">
        <v>1</v>
      </c>
    </row>
    <row r="23" spans="1:4" x14ac:dyDescent="0.25">
      <c r="A23" s="2">
        <v>39923</v>
      </c>
      <c r="B23" s="1">
        <v>1</v>
      </c>
      <c r="C23" s="2">
        <v>39923</v>
      </c>
      <c r="D23" s="1">
        <v>1</v>
      </c>
    </row>
    <row r="24" spans="1:4" x14ac:dyDescent="0.25">
      <c r="A24" s="2">
        <v>39924</v>
      </c>
      <c r="B24" s="1">
        <v>1</v>
      </c>
      <c r="C24" s="2">
        <v>39924</v>
      </c>
      <c r="D24" s="1">
        <v>1</v>
      </c>
    </row>
    <row r="25" spans="1:4" x14ac:dyDescent="0.25">
      <c r="A25" s="2">
        <v>39925</v>
      </c>
      <c r="B25" s="1">
        <v>1</v>
      </c>
      <c r="C25" s="2">
        <v>39925</v>
      </c>
      <c r="D25" s="1">
        <v>1</v>
      </c>
    </row>
    <row r="26" spans="1:4" x14ac:dyDescent="0.25">
      <c r="A26" s="2">
        <v>39926</v>
      </c>
      <c r="B26" s="1">
        <v>1</v>
      </c>
      <c r="C26" s="2">
        <v>39926</v>
      </c>
      <c r="D26" s="1">
        <v>1</v>
      </c>
    </row>
    <row r="27" spans="1:4" x14ac:dyDescent="0.25">
      <c r="A27" s="2">
        <v>39927</v>
      </c>
      <c r="B27" s="1">
        <v>1</v>
      </c>
      <c r="C27" s="2">
        <v>39927</v>
      </c>
      <c r="D27" s="1">
        <v>1</v>
      </c>
    </row>
    <row r="28" spans="1:4" x14ac:dyDescent="0.25">
      <c r="A28" s="2">
        <v>39930</v>
      </c>
      <c r="B28" s="1">
        <v>1</v>
      </c>
      <c r="C28" s="2">
        <v>39930</v>
      </c>
      <c r="D28" s="1">
        <v>1</v>
      </c>
    </row>
    <row r="29" spans="1:4" x14ac:dyDescent="0.25">
      <c r="A29" s="2">
        <v>39931</v>
      </c>
      <c r="B29" s="1">
        <v>1</v>
      </c>
      <c r="C29" s="2">
        <v>39931</v>
      </c>
      <c r="D29" s="1">
        <v>1</v>
      </c>
    </row>
    <row r="30" spans="1:4" x14ac:dyDescent="0.25">
      <c r="A30" s="2">
        <v>39932</v>
      </c>
      <c r="B30" s="1">
        <v>1</v>
      </c>
      <c r="C30" s="2">
        <v>39932</v>
      </c>
      <c r="D30" s="1">
        <v>1</v>
      </c>
    </row>
    <row r="31" spans="1:4" x14ac:dyDescent="0.25">
      <c r="A31" s="2">
        <v>39933</v>
      </c>
      <c r="B31" s="1">
        <v>1</v>
      </c>
      <c r="C31" s="2">
        <v>39933</v>
      </c>
      <c r="D31" s="1">
        <v>1</v>
      </c>
    </row>
    <row r="32" spans="1:4" x14ac:dyDescent="0.25">
      <c r="A32" s="2">
        <v>39934</v>
      </c>
      <c r="B32" s="1">
        <v>1</v>
      </c>
      <c r="C32" s="2">
        <v>39934</v>
      </c>
      <c r="D32" s="1">
        <v>1</v>
      </c>
    </row>
    <row r="33" spans="1:4" x14ac:dyDescent="0.25">
      <c r="A33" s="2">
        <v>39937</v>
      </c>
      <c r="B33" s="1">
        <v>1</v>
      </c>
      <c r="C33" s="2">
        <v>39937</v>
      </c>
      <c r="D33" s="1">
        <v>1</v>
      </c>
    </row>
    <row r="34" spans="1:4" x14ac:dyDescent="0.25">
      <c r="A34" s="2">
        <v>39938</v>
      </c>
      <c r="B34" s="1">
        <v>1</v>
      </c>
      <c r="C34" s="2">
        <v>39938</v>
      </c>
      <c r="D34" s="1">
        <v>1</v>
      </c>
    </row>
    <row r="35" spans="1:4" x14ac:dyDescent="0.25">
      <c r="A35" s="2">
        <v>39939</v>
      </c>
      <c r="B35" s="1">
        <v>1</v>
      </c>
      <c r="C35" s="2">
        <v>39939</v>
      </c>
      <c r="D35" s="1">
        <v>1</v>
      </c>
    </row>
    <row r="36" spans="1:4" x14ac:dyDescent="0.25">
      <c r="A36" s="2">
        <v>39940</v>
      </c>
      <c r="B36" s="1">
        <v>1</v>
      </c>
      <c r="C36" s="2">
        <v>39940</v>
      </c>
      <c r="D36" s="1">
        <v>1</v>
      </c>
    </row>
    <row r="37" spans="1:4" x14ac:dyDescent="0.25">
      <c r="A37" s="2">
        <v>39941</v>
      </c>
      <c r="B37" s="1">
        <v>1</v>
      </c>
      <c r="C37" s="2">
        <v>39941</v>
      </c>
      <c r="D37" s="1">
        <v>1</v>
      </c>
    </row>
    <row r="38" spans="1:4" x14ac:dyDescent="0.25">
      <c r="A38" s="2">
        <v>39944</v>
      </c>
      <c r="B38" s="1">
        <v>1</v>
      </c>
      <c r="C38" s="2">
        <v>39944</v>
      </c>
      <c r="D38" s="1">
        <v>1</v>
      </c>
    </row>
    <row r="39" spans="1:4" x14ac:dyDescent="0.25">
      <c r="A39" s="2">
        <v>39945</v>
      </c>
      <c r="B39" s="1">
        <v>1</v>
      </c>
      <c r="C39" s="2">
        <v>39945</v>
      </c>
      <c r="D39" s="1">
        <v>1</v>
      </c>
    </row>
    <row r="40" spans="1:4" x14ac:dyDescent="0.25">
      <c r="A40" s="2">
        <v>39946</v>
      </c>
      <c r="B40" s="1">
        <v>1</v>
      </c>
      <c r="C40" s="2">
        <v>39946</v>
      </c>
      <c r="D40" s="1">
        <v>1</v>
      </c>
    </row>
    <row r="41" spans="1:4" x14ac:dyDescent="0.25">
      <c r="A41" s="2">
        <v>39947</v>
      </c>
      <c r="B41" s="1">
        <v>1</v>
      </c>
      <c r="C41" s="2">
        <v>39947</v>
      </c>
      <c r="D41" s="1">
        <v>1</v>
      </c>
    </row>
    <row r="42" spans="1:4" x14ac:dyDescent="0.25">
      <c r="A42" s="2">
        <v>39948</v>
      </c>
      <c r="B42" s="1">
        <v>1</v>
      </c>
      <c r="C42" s="2">
        <v>39948</v>
      </c>
      <c r="D42" s="1">
        <v>1</v>
      </c>
    </row>
    <row r="43" spans="1:4" x14ac:dyDescent="0.25">
      <c r="A43" s="2">
        <v>39951</v>
      </c>
      <c r="B43" s="1">
        <v>1</v>
      </c>
      <c r="C43" s="2">
        <v>39951</v>
      </c>
      <c r="D43" s="1">
        <v>1</v>
      </c>
    </row>
    <row r="44" spans="1:4" x14ac:dyDescent="0.25">
      <c r="A44" s="2">
        <v>39952</v>
      </c>
      <c r="B44" s="1">
        <v>1</v>
      </c>
      <c r="C44" s="2">
        <v>39952</v>
      </c>
      <c r="D44" s="1">
        <v>1</v>
      </c>
    </row>
    <row r="45" spans="1:4" x14ac:dyDescent="0.25">
      <c r="A45" s="2">
        <v>39953</v>
      </c>
      <c r="B45" s="1">
        <v>1</v>
      </c>
      <c r="C45" s="2">
        <v>39953</v>
      </c>
      <c r="D45" s="1">
        <v>1</v>
      </c>
    </row>
    <row r="46" spans="1:4" x14ac:dyDescent="0.25">
      <c r="A46" s="2">
        <v>39954</v>
      </c>
      <c r="B46" s="1">
        <v>1</v>
      </c>
      <c r="C46" s="2">
        <v>39954</v>
      </c>
      <c r="D46" s="1">
        <v>1</v>
      </c>
    </row>
    <row r="47" spans="1:4" x14ac:dyDescent="0.25">
      <c r="A47" s="2">
        <v>39955</v>
      </c>
      <c r="B47" s="1">
        <v>1</v>
      </c>
      <c r="C47" s="2">
        <v>39955</v>
      </c>
      <c r="D47" s="1">
        <v>1</v>
      </c>
    </row>
    <row r="48" spans="1:4" x14ac:dyDescent="0.25">
      <c r="A48" s="2">
        <v>39958</v>
      </c>
      <c r="B48" s="1">
        <v>1</v>
      </c>
      <c r="C48" s="2">
        <v>39958</v>
      </c>
      <c r="D48" s="1">
        <v>1</v>
      </c>
    </row>
    <row r="49" spans="1:4" x14ac:dyDescent="0.25">
      <c r="A49" s="2">
        <v>39959</v>
      </c>
      <c r="B49" s="1">
        <v>1</v>
      </c>
      <c r="C49" s="2">
        <v>39959</v>
      </c>
      <c r="D49" s="1">
        <v>1</v>
      </c>
    </row>
    <row r="50" spans="1:4" x14ac:dyDescent="0.25">
      <c r="A50" s="2">
        <v>39960</v>
      </c>
      <c r="B50" s="1">
        <v>1</v>
      </c>
      <c r="C50" s="2">
        <v>39960</v>
      </c>
      <c r="D50" s="1">
        <v>1</v>
      </c>
    </row>
    <row r="51" spans="1:4" x14ac:dyDescent="0.25">
      <c r="A51" s="2">
        <v>39961</v>
      </c>
      <c r="B51" s="1">
        <v>1</v>
      </c>
      <c r="C51" s="2">
        <v>39961</v>
      </c>
      <c r="D51" s="1">
        <v>1</v>
      </c>
    </row>
    <row r="52" spans="1:4" x14ac:dyDescent="0.25">
      <c r="A52" s="2">
        <v>39962</v>
      </c>
      <c r="B52" s="1">
        <v>1</v>
      </c>
      <c r="C52" s="2">
        <v>39962</v>
      </c>
      <c r="D52" s="1">
        <v>1</v>
      </c>
    </row>
    <row r="53" spans="1:4" x14ac:dyDescent="0.25">
      <c r="A53" s="2">
        <v>39965</v>
      </c>
      <c r="B53" s="1">
        <v>1</v>
      </c>
      <c r="C53" s="2">
        <v>39965</v>
      </c>
      <c r="D53" s="1">
        <v>1</v>
      </c>
    </row>
    <row r="54" spans="1:4" x14ac:dyDescent="0.25">
      <c r="A54" s="2">
        <v>39966</v>
      </c>
      <c r="B54" s="1">
        <v>1</v>
      </c>
      <c r="C54" s="2">
        <v>39966</v>
      </c>
      <c r="D54" s="1">
        <v>1</v>
      </c>
    </row>
    <row r="55" spans="1:4" x14ac:dyDescent="0.25">
      <c r="A55" s="2">
        <v>39967</v>
      </c>
      <c r="B55" s="1">
        <v>1</v>
      </c>
      <c r="C55" s="2">
        <v>39967</v>
      </c>
      <c r="D55" s="1">
        <v>1</v>
      </c>
    </row>
    <row r="56" spans="1:4" x14ac:dyDescent="0.25">
      <c r="A56" s="2">
        <v>39968</v>
      </c>
      <c r="B56" s="1">
        <v>1</v>
      </c>
      <c r="C56" s="2">
        <v>39968</v>
      </c>
      <c r="D56" s="1">
        <v>1</v>
      </c>
    </row>
    <row r="57" spans="1:4" x14ac:dyDescent="0.25">
      <c r="A57" s="2">
        <v>39969</v>
      </c>
      <c r="B57" s="1">
        <v>1</v>
      </c>
      <c r="C57" s="2">
        <v>39969</v>
      </c>
      <c r="D57" s="1">
        <v>1</v>
      </c>
    </row>
    <row r="58" spans="1:4" x14ac:dyDescent="0.25">
      <c r="A58" s="2">
        <v>39972</v>
      </c>
      <c r="B58" s="1">
        <v>1</v>
      </c>
      <c r="C58" s="2">
        <v>39972</v>
      </c>
      <c r="D58" s="1">
        <v>1</v>
      </c>
    </row>
    <row r="59" spans="1:4" x14ac:dyDescent="0.25">
      <c r="A59" s="2">
        <v>39973</v>
      </c>
      <c r="B59" s="1">
        <v>1</v>
      </c>
      <c r="C59" s="2">
        <v>39973</v>
      </c>
      <c r="D59" s="1">
        <v>1</v>
      </c>
    </row>
    <row r="60" spans="1:4" x14ac:dyDescent="0.25">
      <c r="A60" s="2">
        <v>39974</v>
      </c>
      <c r="B60" s="1">
        <v>1</v>
      </c>
      <c r="C60" s="2">
        <v>39974</v>
      </c>
      <c r="D60" s="1">
        <v>1</v>
      </c>
    </row>
    <row r="61" spans="1:4" x14ac:dyDescent="0.25">
      <c r="A61" s="2">
        <v>39975</v>
      </c>
      <c r="B61" s="1">
        <v>1</v>
      </c>
      <c r="C61" s="2">
        <v>39975</v>
      </c>
      <c r="D61" s="1">
        <v>1</v>
      </c>
    </row>
    <row r="62" spans="1:4" x14ac:dyDescent="0.25">
      <c r="A62" s="2">
        <v>39976</v>
      </c>
      <c r="B62" s="1">
        <v>1</v>
      </c>
      <c r="C62" s="2">
        <v>39976</v>
      </c>
      <c r="D62" s="1">
        <v>1</v>
      </c>
    </row>
    <row r="63" spans="1:4" x14ac:dyDescent="0.25">
      <c r="A63" s="2">
        <v>39979</v>
      </c>
      <c r="B63" s="1">
        <v>1</v>
      </c>
      <c r="C63" s="2">
        <v>39979</v>
      </c>
      <c r="D63" s="1">
        <v>1</v>
      </c>
    </row>
    <row r="64" spans="1:4" x14ac:dyDescent="0.25">
      <c r="A64" s="2">
        <v>39980</v>
      </c>
      <c r="B64" s="1">
        <v>1</v>
      </c>
      <c r="C64" s="2">
        <v>39980</v>
      </c>
      <c r="D64" s="1">
        <v>1</v>
      </c>
    </row>
    <row r="65" spans="1:4" x14ac:dyDescent="0.25">
      <c r="A65" s="2">
        <v>39981</v>
      </c>
      <c r="B65" s="1">
        <v>1</v>
      </c>
      <c r="C65" s="2">
        <v>39981</v>
      </c>
      <c r="D65" s="1">
        <v>1</v>
      </c>
    </row>
    <row r="66" spans="1:4" x14ac:dyDescent="0.25">
      <c r="A66" s="2">
        <v>39982</v>
      </c>
      <c r="B66" s="1">
        <v>1</v>
      </c>
      <c r="C66" s="2">
        <v>39982</v>
      </c>
      <c r="D66" s="1">
        <v>1</v>
      </c>
    </row>
    <row r="67" spans="1:4" x14ac:dyDescent="0.25">
      <c r="A67" s="2">
        <v>39983</v>
      </c>
      <c r="B67" s="1">
        <v>1</v>
      </c>
      <c r="C67" s="2">
        <v>39983</v>
      </c>
      <c r="D67" s="1">
        <v>1</v>
      </c>
    </row>
    <row r="68" spans="1:4" x14ac:dyDescent="0.25">
      <c r="A68" s="2">
        <v>39986</v>
      </c>
      <c r="B68" s="1">
        <v>1</v>
      </c>
      <c r="C68" s="2">
        <v>39986</v>
      </c>
      <c r="D68" s="1">
        <v>1</v>
      </c>
    </row>
    <row r="69" spans="1:4" x14ac:dyDescent="0.25">
      <c r="A69" s="2">
        <v>39987</v>
      </c>
      <c r="B69" s="1">
        <v>1</v>
      </c>
      <c r="C69" s="2">
        <v>39987</v>
      </c>
      <c r="D69" s="1">
        <v>1</v>
      </c>
    </row>
    <row r="70" spans="1:4" x14ac:dyDescent="0.25">
      <c r="A70" s="2">
        <v>39988</v>
      </c>
      <c r="B70" s="1">
        <v>1</v>
      </c>
      <c r="C70" s="2">
        <v>39988</v>
      </c>
      <c r="D70" s="1">
        <v>1</v>
      </c>
    </row>
    <row r="71" spans="1:4" x14ac:dyDescent="0.25">
      <c r="A71" s="2">
        <v>39989</v>
      </c>
      <c r="B71" s="1">
        <v>1</v>
      </c>
      <c r="C71" s="2">
        <v>39989</v>
      </c>
      <c r="D71" s="1">
        <v>1</v>
      </c>
    </row>
    <row r="72" spans="1:4" x14ac:dyDescent="0.25">
      <c r="A72" s="2">
        <v>39990</v>
      </c>
      <c r="B72" s="1">
        <v>1</v>
      </c>
      <c r="C72" s="2">
        <v>39990</v>
      </c>
      <c r="D72" s="1">
        <v>1</v>
      </c>
    </row>
    <row r="73" spans="1:4" x14ac:dyDescent="0.25">
      <c r="A73" s="2">
        <v>39993</v>
      </c>
      <c r="B73" s="1">
        <v>1</v>
      </c>
      <c r="C73" s="2">
        <v>39993</v>
      </c>
      <c r="D73" s="1">
        <v>1</v>
      </c>
    </row>
    <row r="74" spans="1:4" x14ac:dyDescent="0.25">
      <c r="A74" s="2">
        <v>39994</v>
      </c>
      <c r="B74" s="1">
        <v>1</v>
      </c>
      <c r="C74" s="2">
        <v>39994</v>
      </c>
      <c r="D74" s="1">
        <v>1</v>
      </c>
    </row>
    <row r="75" spans="1:4" x14ac:dyDescent="0.25">
      <c r="A75" s="2">
        <v>39995</v>
      </c>
      <c r="B75" s="1">
        <v>1</v>
      </c>
      <c r="C75" s="2">
        <v>39995</v>
      </c>
      <c r="D75" s="1">
        <v>1</v>
      </c>
    </row>
    <row r="76" spans="1:4" x14ac:dyDescent="0.25">
      <c r="A76" s="2">
        <v>39996</v>
      </c>
      <c r="B76" s="1">
        <v>1</v>
      </c>
      <c r="C76" s="2">
        <v>39996</v>
      </c>
      <c r="D76" s="1">
        <v>1</v>
      </c>
    </row>
    <row r="77" spans="1:4" x14ac:dyDescent="0.25">
      <c r="A77" s="2">
        <v>39997</v>
      </c>
      <c r="B77" s="1">
        <v>1</v>
      </c>
      <c r="C77" s="2">
        <v>39997</v>
      </c>
      <c r="D77" s="1">
        <v>1</v>
      </c>
    </row>
    <row r="78" spans="1:4" x14ac:dyDescent="0.25">
      <c r="A78" s="2">
        <v>40000</v>
      </c>
      <c r="B78" s="1">
        <v>1</v>
      </c>
      <c r="C78" s="2">
        <v>40000</v>
      </c>
      <c r="D78" s="1">
        <v>1</v>
      </c>
    </row>
    <row r="79" spans="1:4" x14ac:dyDescent="0.25">
      <c r="A79" s="2">
        <v>40001</v>
      </c>
      <c r="B79" s="1">
        <v>1</v>
      </c>
      <c r="C79" s="2">
        <v>40001</v>
      </c>
      <c r="D79" s="1">
        <v>1</v>
      </c>
    </row>
    <row r="80" spans="1:4" x14ac:dyDescent="0.25">
      <c r="A80" s="2">
        <v>40002</v>
      </c>
      <c r="B80" s="1">
        <v>1</v>
      </c>
      <c r="C80" s="2">
        <v>40002</v>
      </c>
      <c r="D80" s="1">
        <v>1</v>
      </c>
    </row>
    <row r="81" spans="1:4" x14ac:dyDescent="0.25">
      <c r="A81" s="2">
        <v>40003</v>
      </c>
      <c r="B81" s="1">
        <v>1</v>
      </c>
      <c r="C81" s="2">
        <v>40003</v>
      </c>
      <c r="D81" s="1">
        <v>1</v>
      </c>
    </row>
    <row r="82" spans="1:4" x14ac:dyDescent="0.25">
      <c r="A82" s="2">
        <v>40004</v>
      </c>
      <c r="B82" s="1">
        <v>1</v>
      </c>
      <c r="C82" s="2">
        <v>40004</v>
      </c>
      <c r="D82" s="1">
        <v>1</v>
      </c>
    </row>
    <row r="83" spans="1:4" x14ac:dyDescent="0.25">
      <c r="A83" s="2">
        <v>40007</v>
      </c>
      <c r="B83" s="1">
        <v>1</v>
      </c>
      <c r="C83" s="2">
        <v>40007</v>
      </c>
      <c r="D83" s="1">
        <v>1</v>
      </c>
    </row>
    <row r="84" spans="1:4" x14ac:dyDescent="0.25">
      <c r="A84" s="2">
        <v>40008</v>
      </c>
      <c r="B84" s="1">
        <v>1</v>
      </c>
      <c r="C84" s="2">
        <v>40008</v>
      </c>
      <c r="D84" s="1">
        <v>1</v>
      </c>
    </row>
    <row r="85" spans="1:4" x14ac:dyDescent="0.25">
      <c r="A85" s="2">
        <v>40009</v>
      </c>
      <c r="B85" s="1">
        <v>1</v>
      </c>
      <c r="C85" s="2">
        <v>40009</v>
      </c>
      <c r="D85" s="1">
        <v>1</v>
      </c>
    </row>
    <row r="86" spans="1:4" x14ac:dyDescent="0.25">
      <c r="A86" s="2">
        <v>40010</v>
      </c>
      <c r="B86" s="1">
        <v>1</v>
      </c>
      <c r="C86" s="2">
        <v>40010</v>
      </c>
      <c r="D86" s="1">
        <v>1</v>
      </c>
    </row>
    <row r="87" spans="1:4" x14ac:dyDescent="0.25">
      <c r="A87" s="2">
        <v>40011</v>
      </c>
      <c r="B87" s="1">
        <v>1</v>
      </c>
      <c r="C87" s="2">
        <v>40011</v>
      </c>
      <c r="D87" s="1">
        <v>1</v>
      </c>
    </row>
    <row r="88" spans="1:4" x14ac:dyDescent="0.25">
      <c r="A88" s="2">
        <v>40014</v>
      </c>
      <c r="B88" s="1">
        <v>1</v>
      </c>
      <c r="C88" s="2">
        <v>40014</v>
      </c>
      <c r="D88" s="1">
        <v>1</v>
      </c>
    </row>
    <row r="89" spans="1:4" x14ac:dyDescent="0.25">
      <c r="A89" s="2">
        <v>40015</v>
      </c>
      <c r="B89" s="1">
        <v>1</v>
      </c>
      <c r="C89" s="2">
        <v>40015</v>
      </c>
      <c r="D89" s="1">
        <v>1</v>
      </c>
    </row>
    <row r="90" spans="1:4" x14ac:dyDescent="0.25">
      <c r="A90" s="2">
        <v>40016</v>
      </c>
      <c r="B90" s="1">
        <v>1</v>
      </c>
      <c r="C90" s="2">
        <v>40016</v>
      </c>
      <c r="D90" s="1">
        <v>1</v>
      </c>
    </row>
    <row r="91" spans="1:4" x14ac:dyDescent="0.25">
      <c r="A91" s="2">
        <v>40017</v>
      </c>
      <c r="B91" s="1">
        <v>1</v>
      </c>
      <c r="C91" s="2">
        <v>40017</v>
      </c>
      <c r="D91" s="1">
        <v>1</v>
      </c>
    </row>
    <row r="92" spans="1:4" x14ac:dyDescent="0.25">
      <c r="A92" s="2">
        <v>40018</v>
      </c>
      <c r="B92" s="1">
        <v>1</v>
      </c>
      <c r="C92" s="2">
        <v>40018</v>
      </c>
      <c r="D92" s="1">
        <v>1</v>
      </c>
    </row>
    <row r="93" spans="1:4" x14ac:dyDescent="0.25">
      <c r="A93" s="2">
        <v>40021</v>
      </c>
      <c r="B93" s="1">
        <v>1</v>
      </c>
      <c r="C93" s="2">
        <v>40021</v>
      </c>
      <c r="D93" s="1">
        <v>1</v>
      </c>
    </row>
    <row r="94" spans="1:4" x14ac:dyDescent="0.25">
      <c r="A94" s="2">
        <v>40022</v>
      </c>
      <c r="B94" s="1">
        <v>1</v>
      </c>
      <c r="C94" s="2">
        <v>40022</v>
      </c>
      <c r="D94" s="1">
        <v>1</v>
      </c>
    </row>
    <row r="95" spans="1:4" x14ac:dyDescent="0.25">
      <c r="A95" s="2">
        <v>40023</v>
      </c>
      <c r="B95" s="1">
        <v>1</v>
      </c>
      <c r="C95" s="2">
        <v>40023</v>
      </c>
      <c r="D95" s="1">
        <v>1</v>
      </c>
    </row>
    <row r="96" spans="1:4" x14ac:dyDescent="0.25">
      <c r="A96" s="2">
        <v>40024</v>
      </c>
      <c r="B96" s="1">
        <v>1</v>
      </c>
      <c r="C96" s="2">
        <v>40024</v>
      </c>
      <c r="D96" s="1">
        <v>1</v>
      </c>
    </row>
    <row r="97" spans="1:4" x14ac:dyDescent="0.25">
      <c r="A97" s="2">
        <v>40025</v>
      </c>
      <c r="B97" s="1">
        <v>1</v>
      </c>
      <c r="C97" s="2">
        <v>40025</v>
      </c>
      <c r="D97" s="1">
        <v>1</v>
      </c>
    </row>
    <row r="98" spans="1:4" x14ac:dyDescent="0.25">
      <c r="A98" s="2">
        <v>40028</v>
      </c>
      <c r="B98" s="1">
        <v>1</v>
      </c>
      <c r="C98" s="2">
        <v>40028</v>
      </c>
      <c r="D98" s="1">
        <v>1</v>
      </c>
    </row>
    <row r="99" spans="1:4" x14ac:dyDescent="0.25">
      <c r="A99" s="2">
        <v>40029</v>
      </c>
      <c r="B99" s="1">
        <v>1</v>
      </c>
      <c r="C99" s="2">
        <v>40029</v>
      </c>
      <c r="D99" s="1">
        <v>1</v>
      </c>
    </row>
    <row r="100" spans="1:4" x14ac:dyDescent="0.25">
      <c r="A100" s="2">
        <v>40030</v>
      </c>
      <c r="B100" s="1">
        <v>1</v>
      </c>
      <c r="C100" s="2">
        <v>40030</v>
      </c>
      <c r="D100" s="1">
        <v>1</v>
      </c>
    </row>
    <row r="101" spans="1:4" x14ac:dyDescent="0.25">
      <c r="A101" s="2">
        <v>40031</v>
      </c>
      <c r="B101" s="1">
        <v>1</v>
      </c>
      <c r="C101" s="2">
        <v>40031</v>
      </c>
      <c r="D101" s="1">
        <v>1</v>
      </c>
    </row>
    <row r="102" spans="1:4" x14ac:dyDescent="0.25">
      <c r="A102" s="2">
        <v>40032</v>
      </c>
      <c r="B102" s="1">
        <v>1</v>
      </c>
      <c r="C102" s="2">
        <v>40032</v>
      </c>
      <c r="D102" s="1">
        <v>1</v>
      </c>
    </row>
    <row r="103" spans="1:4" x14ac:dyDescent="0.25">
      <c r="A103" s="2">
        <v>40035</v>
      </c>
      <c r="B103" s="1">
        <v>1</v>
      </c>
      <c r="C103" s="2">
        <v>40035</v>
      </c>
      <c r="D103" s="1">
        <v>1</v>
      </c>
    </row>
    <row r="104" spans="1:4" x14ac:dyDescent="0.25">
      <c r="A104" s="2">
        <v>40036</v>
      </c>
      <c r="B104" s="1">
        <v>1</v>
      </c>
      <c r="C104" s="2">
        <v>40036</v>
      </c>
      <c r="D104" s="1">
        <v>1</v>
      </c>
    </row>
    <row r="105" spans="1:4" x14ac:dyDescent="0.25">
      <c r="A105" s="2">
        <v>40037</v>
      </c>
      <c r="B105" s="1">
        <v>1</v>
      </c>
      <c r="C105" s="2">
        <v>40037</v>
      </c>
      <c r="D105" s="1">
        <v>1</v>
      </c>
    </row>
    <row r="106" spans="1:4" x14ac:dyDescent="0.25">
      <c r="A106" s="2">
        <v>40038</v>
      </c>
      <c r="B106" s="1">
        <v>1</v>
      </c>
      <c r="C106" s="2">
        <v>40038</v>
      </c>
      <c r="D106" s="1">
        <v>1</v>
      </c>
    </row>
    <row r="107" spans="1:4" x14ac:dyDescent="0.25">
      <c r="A107" s="2">
        <v>40039</v>
      </c>
      <c r="B107" s="1">
        <v>1</v>
      </c>
      <c r="C107" s="2">
        <v>40039</v>
      </c>
      <c r="D107" s="1">
        <v>1</v>
      </c>
    </row>
    <row r="108" spans="1:4" x14ac:dyDescent="0.25">
      <c r="A108" s="2">
        <v>40042</v>
      </c>
      <c r="B108" s="1">
        <v>1</v>
      </c>
      <c r="C108" s="2">
        <v>40042</v>
      </c>
      <c r="D108" s="1">
        <v>1</v>
      </c>
    </row>
    <row r="109" spans="1:4" x14ac:dyDescent="0.25">
      <c r="A109" s="2">
        <v>40043</v>
      </c>
      <c r="B109" s="1">
        <v>1</v>
      </c>
      <c r="C109" s="2">
        <v>40043</v>
      </c>
      <c r="D109" s="1">
        <v>1</v>
      </c>
    </row>
    <row r="110" spans="1:4" x14ac:dyDescent="0.25">
      <c r="A110" s="2">
        <v>40044</v>
      </c>
      <c r="B110" s="1">
        <v>1</v>
      </c>
      <c r="C110" s="2">
        <v>40044</v>
      </c>
      <c r="D110" s="1">
        <v>1</v>
      </c>
    </row>
    <row r="111" spans="1:4" x14ac:dyDescent="0.25">
      <c r="A111" s="2">
        <v>40045</v>
      </c>
      <c r="B111" s="1">
        <v>1</v>
      </c>
      <c r="C111" s="2">
        <v>40045</v>
      </c>
      <c r="D111" s="1">
        <v>1</v>
      </c>
    </row>
    <row r="112" spans="1:4" x14ac:dyDescent="0.25">
      <c r="A112" s="2">
        <v>40046</v>
      </c>
      <c r="B112" s="1">
        <v>1</v>
      </c>
      <c r="C112" s="2">
        <v>40046</v>
      </c>
      <c r="D112" s="1">
        <v>1</v>
      </c>
    </row>
    <row r="113" spans="1:4" x14ac:dyDescent="0.25">
      <c r="A113" s="2">
        <v>40049</v>
      </c>
      <c r="B113" s="1">
        <v>1</v>
      </c>
      <c r="C113" s="2">
        <v>40049</v>
      </c>
      <c r="D113" s="1">
        <v>1</v>
      </c>
    </row>
    <row r="114" spans="1:4" x14ac:dyDescent="0.25">
      <c r="A114" s="2">
        <v>40050</v>
      </c>
      <c r="B114" s="1">
        <v>1</v>
      </c>
      <c r="C114" s="2">
        <v>40050</v>
      </c>
      <c r="D114" s="1">
        <v>1</v>
      </c>
    </row>
    <row r="115" spans="1:4" x14ac:dyDescent="0.25">
      <c r="A115" s="2">
        <v>40051</v>
      </c>
      <c r="B115" s="1">
        <v>1</v>
      </c>
      <c r="C115" s="2">
        <v>40051</v>
      </c>
      <c r="D115" s="1">
        <v>1</v>
      </c>
    </row>
    <row r="116" spans="1:4" x14ac:dyDescent="0.25">
      <c r="A116" s="2">
        <v>40052</v>
      </c>
      <c r="B116" s="1">
        <v>1</v>
      </c>
      <c r="C116" s="2">
        <v>40052</v>
      </c>
      <c r="D116" s="1">
        <v>1</v>
      </c>
    </row>
    <row r="117" spans="1:4" x14ac:dyDescent="0.25">
      <c r="A117" s="2">
        <v>40053</v>
      </c>
      <c r="B117" s="1">
        <v>1</v>
      </c>
      <c r="C117" s="2">
        <v>40053</v>
      </c>
      <c r="D117" s="1">
        <v>1</v>
      </c>
    </row>
    <row r="118" spans="1:4" x14ac:dyDescent="0.25">
      <c r="A118" s="2">
        <v>40056</v>
      </c>
      <c r="B118" s="1">
        <v>1</v>
      </c>
      <c r="C118" s="2">
        <v>40056</v>
      </c>
      <c r="D118" s="1">
        <v>1</v>
      </c>
    </row>
    <row r="119" spans="1:4" x14ac:dyDescent="0.25">
      <c r="A119" s="2">
        <v>40057</v>
      </c>
      <c r="B119" s="1">
        <v>1</v>
      </c>
      <c r="C119" s="2">
        <v>40057</v>
      </c>
      <c r="D119" s="1">
        <v>1</v>
      </c>
    </row>
    <row r="120" spans="1:4" x14ac:dyDescent="0.25">
      <c r="A120" s="2">
        <v>40058</v>
      </c>
      <c r="B120" s="1">
        <v>1</v>
      </c>
      <c r="C120" s="2">
        <v>40058</v>
      </c>
      <c r="D120" s="1">
        <v>1</v>
      </c>
    </row>
    <row r="121" spans="1:4" x14ac:dyDescent="0.25">
      <c r="A121" s="2">
        <v>40059</v>
      </c>
      <c r="B121" s="1">
        <v>1</v>
      </c>
      <c r="C121" s="2">
        <v>40059</v>
      </c>
      <c r="D121" s="1">
        <v>1</v>
      </c>
    </row>
    <row r="122" spans="1:4" x14ac:dyDescent="0.25">
      <c r="A122" s="2">
        <v>40060</v>
      </c>
      <c r="B122" s="1">
        <v>1</v>
      </c>
      <c r="C122" s="2">
        <v>40060</v>
      </c>
      <c r="D122" s="1">
        <v>1</v>
      </c>
    </row>
    <row r="123" spans="1:4" x14ac:dyDescent="0.25">
      <c r="A123" s="2">
        <v>40063</v>
      </c>
      <c r="B123" s="1">
        <v>1</v>
      </c>
      <c r="C123" s="2">
        <v>40063</v>
      </c>
      <c r="D123" s="1">
        <v>1</v>
      </c>
    </row>
    <row r="124" spans="1:4" x14ac:dyDescent="0.25">
      <c r="A124" s="2">
        <v>40064</v>
      </c>
      <c r="B124" s="1">
        <v>1</v>
      </c>
      <c r="C124" s="2">
        <v>40064</v>
      </c>
      <c r="D124" s="1">
        <v>1</v>
      </c>
    </row>
    <row r="125" spans="1:4" x14ac:dyDescent="0.25">
      <c r="A125" s="2">
        <v>40065</v>
      </c>
      <c r="B125" s="1">
        <v>1</v>
      </c>
      <c r="C125" s="2">
        <v>40065</v>
      </c>
      <c r="D125" s="1">
        <v>1</v>
      </c>
    </row>
    <row r="126" spans="1:4" x14ac:dyDescent="0.25">
      <c r="A126" s="2">
        <v>40066</v>
      </c>
      <c r="B126" s="1">
        <v>1</v>
      </c>
      <c r="C126" s="2">
        <v>40066</v>
      </c>
      <c r="D126" s="1">
        <v>1</v>
      </c>
    </row>
    <row r="127" spans="1:4" x14ac:dyDescent="0.25">
      <c r="A127" s="2">
        <v>40067</v>
      </c>
      <c r="B127" s="1">
        <v>1</v>
      </c>
      <c r="C127" s="2">
        <v>40067</v>
      </c>
      <c r="D127" s="1">
        <v>1</v>
      </c>
    </row>
    <row r="128" spans="1:4" x14ac:dyDescent="0.25">
      <c r="A128" s="2">
        <v>40070</v>
      </c>
      <c r="B128" s="1">
        <v>1</v>
      </c>
      <c r="C128" s="2">
        <v>40070</v>
      </c>
      <c r="D128" s="1">
        <v>1</v>
      </c>
    </row>
    <row r="129" spans="1:4" x14ac:dyDescent="0.25">
      <c r="A129" s="2">
        <v>40071</v>
      </c>
      <c r="B129" s="1">
        <v>1</v>
      </c>
      <c r="C129" s="2">
        <v>40071</v>
      </c>
      <c r="D129" s="1">
        <v>1</v>
      </c>
    </row>
    <row r="130" spans="1:4" x14ac:dyDescent="0.25">
      <c r="A130" s="2">
        <v>40072</v>
      </c>
      <c r="B130" s="1">
        <v>1</v>
      </c>
      <c r="C130" s="2">
        <v>40072</v>
      </c>
      <c r="D130" s="1">
        <v>1</v>
      </c>
    </row>
    <row r="131" spans="1:4" x14ac:dyDescent="0.25">
      <c r="A131" s="2">
        <v>40073</v>
      </c>
      <c r="B131" s="1">
        <v>1</v>
      </c>
      <c r="C131" s="2">
        <v>40073</v>
      </c>
      <c r="D131" s="1">
        <v>1</v>
      </c>
    </row>
    <row r="132" spans="1:4" x14ac:dyDescent="0.25">
      <c r="A132" s="2">
        <v>40074</v>
      </c>
      <c r="B132" s="1">
        <v>1</v>
      </c>
      <c r="C132" s="2">
        <v>40074</v>
      </c>
      <c r="D132" s="1">
        <v>1</v>
      </c>
    </row>
    <row r="133" spans="1:4" x14ac:dyDescent="0.25">
      <c r="A133" s="2">
        <v>40077</v>
      </c>
      <c r="B133" s="1">
        <v>1</v>
      </c>
      <c r="C133" s="2">
        <v>40077</v>
      </c>
      <c r="D133" s="1">
        <v>1</v>
      </c>
    </row>
    <row r="134" spans="1:4" x14ac:dyDescent="0.25">
      <c r="A134" s="2">
        <v>40078</v>
      </c>
      <c r="B134" s="1">
        <v>1</v>
      </c>
      <c r="C134" s="2">
        <v>40078</v>
      </c>
      <c r="D134" s="1">
        <v>1</v>
      </c>
    </row>
    <row r="135" spans="1:4" x14ac:dyDescent="0.25">
      <c r="A135" s="2">
        <v>40079</v>
      </c>
      <c r="B135" s="1">
        <v>1</v>
      </c>
      <c r="C135" s="2">
        <v>40079</v>
      </c>
      <c r="D135" s="1">
        <v>1</v>
      </c>
    </row>
    <row r="136" spans="1:4" x14ac:dyDescent="0.25">
      <c r="A136" s="2">
        <v>40080</v>
      </c>
      <c r="B136" s="1">
        <v>1</v>
      </c>
      <c r="C136" s="2">
        <v>40080</v>
      </c>
      <c r="D136" s="1">
        <v>1</v>
      </c>
    </row>
    <row r="137" spans="1:4" x14ac:dyDescent="0.25">
      <c r="A137" s="2">
        <v>40081</v>
      </c>
      <c r="B137" s="1">
        <v>1</v>
      </c>
      <c r="C137" s="2">
        <v>40081</v>
      </c>
      <c r="D137" s="1">
        <v>1</v>
      </c>
    </row>
    <row r="138" spans="1:4" x14ac:dyDescent="0.25">
      <c r="A138" s="2">
        <v>40084</v>
      </c>
      <c r="B138" s="1">
        <v>1</v>
      </c>
      <c r="C138" s="2">
        <v>40084</v>
      </c>
      <c r="D138" s="1">
        <v>1</v>
      </c>
    </row>
    <row r="139" spans="1:4" x14ac:dyDescent="0.25">
      <c r="A139" s="2">
        <v>40085</v>
      </c>
      <c r="B139" s="1">
        <v>1</v>
      </c>
      <c r="C139" s="2">
        <v>40085</v>
      </c>
      <c r="D139" s="1">
        <v>1</v>
      </c>
    </row>
    <row r="140" spans="1:4" x14ac:dyDescent="0.25">
      <c r="A140" s="2">
        <v>40086</v>
      </c>
      <c r="B140" s="1">
        <v>1</v>
      </c>
      <c r="C140" s="2">
        <v>40086</v>
      </c>
      <c r="D140" s="1">
        <v>1</v>
      </c>
    </row>
    <row r="141" spans="1:4" x14ac:dyDescent="0.25">
      <c r="A141" s="2">
        <v>40087</v>
      </c>
      <c r="B141" s="1">
        <v>1</v>
      </c>
      <c r="C141" s="2">
        <v>40087</v>
      </c>
      <c r="D141" s="1">
        <v>1</v>
      </c>
    </row>
    <row r="142" spans="1:4" x14ac:dyDescent="0.25">
      <c r="A142" s="2">
        <v>40088</v>
      </c>
      <c r="B142" s="1">
        <v>1</v>
      </c>
      <c r="C142" s="2">
        <v>40088</v>
      </c>
      <c r="D142" s="1">
        <v>1</v>
      </c>
    </row>
    <row r="143" spans="1:4" x14ac:dyDescent="0.25">
      <c r="A143" s="2">
        <v>40091</v>
      </c>
      <c r="B143" s="1">
        <v>1</v>
      </c>
      <c r="C143" s="2">
        <v>40091</v>
      </c>
      <c r="D143" s="1">
        <v>1</v>
      </c>
    </row>
    <row r="144" spans="1:4" x14ac:dyDescent="0.25">
      <c r="A144" s="2">
        <v>40092</v>
      </c>
      <c r="B144" s="1">
        <v>1</v>
      </c>
      <c r="C144" s="2">
        <v>40092</v>
      </c>
      <c r="D144" s="1">
        <v>1</v>
      </c>
    </row>
    <row r="145" spans="1:4" x14ac:dyDescent="0.25">
      <c r="A145" s="2">
        <v>40093</v>
      </c>
      <c r="B145" s="1">
        <v>1</v>
      </c>
      <c r="C145" s="2">
        <v>40093</v>
      </c>
      <c r="D145" s="1">
        <v>1</v>
      </c>
    </row>
    <row r="146" spans="1:4" x14ac:dyDescent="0.25">
      <c r="A146" s="2">
        <v>40094</v>
      </c>
      <c r="B146" s="1">
        <v>1</v>
      </c>
      <c r="C146" s="2">
        <v>40094</v>
      </c>
      <c r="D146" s="1">
        <v>1</v>
      </c>
    </row>
    <row r="147" spans="1:4" x14ac:dyDescent="0.25">
      <c r="A147" s="2">
        <v>40095</v>
      </c>
      <c r="B147" s="1">
        <v>1</v>
      </c>
      <c r="C147" s="2">
        <v>40095</v>
      </c>
      <c r="D147" s="1">
        <v>1</v>
      </c>
    </row>
    <row r="148" spans="1:4" x14ac:dyDescent="0.25">
      <c r="A148" s="2">
        <v>40098</v>
      </c>
      <c r="B148" s="1">
        <v>1</v>
      </c>
      <c r="C148" s="2">
        <v>40098</v>
      </c>
      <c r="D148" s="1">
        <v>1</v>
      </c>
    </row>
    <row r="149" spans="1:4" x14ac:dyDescent="0.25">
      <c r="A149" s="2">
        <v>40099</v>
      </c>
      <c r="B149" s="1">
        <v>1</v>
      </c>
      <c r="C149" s="2">
        <v>40099</v>
      </c>
      <c r="D149" s="1">
        <v>1</v>
      </c>
    </row>
    <row r="150" spans="1:4" x14ac:dyDescent="0.25">
      <c r="A150" s="2">
        <v>40100</v>
      </c>
      <c r="B150" s="1">
        <v>1</v>
      </c>
      <c r="C150" s="2">
        <v>40100</v>
      </c>
      <c r="D150" s="1">
        <v>1</v>
      </c>
    </row>
    <row r="151" spans="1:4" x14ac:dyDescent="0.25">
      <c r="A151" s="2">
        <v>40101</v>
      </c>
      <c r="B151" s="1">
        <v>1</v>
      </c>
      <c r="C151" s="2">
        <v>40101</v>
      </c>
      <c r="D151" s="1">
        <v>1</v>
      </c>
    </row>
    <row r="152" spans="1:4" x14ac:dyDescent="0.25">
      <c r="A152" s="2">
        <v>40102</v>
      </c>
      <c r="B152" s="1">
        <v>1</v>
      </c>
      <c r="C152" s="2">
        <v>40102</v>
      </c>
      <c r="D152" s="1">
        <v>1</v>
      </c>
    </row>
    <row r="153" spans="1:4" x14ac:dyDescent="0.25">
      <c r="A153" s="2">
        <v>40105</v>
      </c>
      <c r="B153" s="1">
        <v>1</v>
      </c>
      <c r="C153" s="2">
        <v>40105</v>
      </c>
      <c r="D153" s="1">
        <v>1</v>
      </c>
    </row>
    <row r="154" spans="1:4" x14ac:dyDescent="0.25">
      <c r="A154" s="2">
        <v>40106</v>
      </c>
      <c r="B154" s="1">
        <v>1</v>
      </c>
      <c r="C154" s="2">
        <v>40106</v>
      </c>
      <c r="D154" s="1">
        <v>1</v>
      </c>
    </row>
    <row r="155" spans="1:4" x14ac:dyDescent="0.25">
      <c r="A155" s="2">
        <v>40107</v>
      </c>
      <c r="B155" s="1">
        <v>1</v>
      </c>
      <c r="C155" s="2">
        <v>40107</v>
      </c>
      <c r="D155" s="1">
        <v>1</v>
      </c>
    </row>
    <row r="156" spans="1:4" x14ac:dyDescent="0.25">
      <c r="A156" s="2">
        <v>40108</v>
      </c>
      <c r="B156" s="1">
        <v>1</v>
      </c>
      <c r="C156" s="2">
        <v>40108</v>
      </c>
      <c r="D156" s="1">
        <v>1</v>
      </c>
    </row>
    <row r="157" spans="1:4" x14ac:dyDescent="0.25">
      <c r="A157" s="2">
        <v>40109</v>
      </c>
      <c r="B157" s="1">
        <v>1</v>
      </c>
      <c r="C157" s="2">
        <v>40109</v>
      </c>
      <c r="D157" s="1">
        <v>1</v>
      </c>
    </row>
    <row r="158" spans="1:4" x14ac:dyDescent="0.25">
      <c r="A158" s="2">
        <v>40112</v>
      </c>
      <c r="B158" s="1">
        <v>1</v>
      </c>
      <c r="C158" s="2">
        <v>40112</v>
      </c>
      <c r="D158" s="1">
        <v>1</v>
      </c>
    </row>
    <row r="159" spans="1:4" x14ac:dyDescent="0.25">
      <c r="A159" s="2">
        <v>40113</v>
      </c>
      <c r="B159" s="1">
        <v>1</v>
      </c>
      <c r="C159" s="2">
        <v>40113</v>
      </c>
      <c r="D159" s="1">
        <v>1</v>
      </c>
    </row>
    <row r="160" spans="1:4" x14ac:dyDescent="0.25">
      <c r="A160" s="2">
        <v>40114</v>
      </c>
      <c r="B160" s="1">
        <v>1</v>
      </c>
      <c r="C160" s="2">
        <v>40114</v>
      </c>
      <c r="D160" s="1">
        <v>1</v>
      </c>
    </row>
    <row r="161" spans="1:4" x14ac:dyDescent="0.25">
      <c r="A161" s="2">
        <v>40115</v>
      </c>
      <c r="B161" s="1">
        <v>1</v>
      </c>
      <c r="C161" s="2">
        <v>40115</v>
      </c>
      <c r="D161" s="1">
        <v>1</v>
      </c>
    </row>
    <row r="162" spans="1:4" x14ac:dyDescent="0.25">
      <c r="A162" s="2">
        <v>40116</v>
      </c>
      <c r="B162" s="1">
        <v>1</v>
      </c>
      <c r="C162" s="2">
        <v>40116</v>
      </c>
      <c r="D162" s="1">
        <v>1</v>
      </c>
    </row>
    <row r="163" spans="1:4" x14ac:dyDescent="0.25">
      <c r="A163" s="2">
        <v>40119</v>
      </c>
      <c r="B163" s="1">
        <v>1</v>
      </c>
      <c r="C163" s="2">
        <v>40119</v>
      </c>
      <c r="D163" s="1">
        <v>1</v>
      </c>
    </row>
    <row r="164" spans="1:4" x14ac:dyDescent="0.25">
      <c r="A164" s="2">
        <v>40120</v>
      </c>
      <c r="B164" s="1">
        <v>1</v>
      </c>
      <c r="C164" s="2">
        <v>40120</v>
      </c>
      <c r="D164" s="1">
        <v>1</v>
      </c>
    </row>
    <row r="165" spans="1:4" x14ac:dyDescent="0.25">
      <c r="A165" s="2">
        <v>40121</v>
      </c>
      <c r="B165" s="1">
        <v>1</v>
      </c>
      <c r="C165" s="2">
        <v>40121</v>
      </c>
      <c r="D165" s="1">
        <v>1</v>
      </c>
    </row>
    <row r="166" spans="1:4" x14ac:dyDescent="0.25">
      <c r="A166" s="2">
        <v>40122</v>
      </c>
      <c r="B166" s="1">
        <v>1</v>
      </c>
      <c r="C166" s="2">
        <v>40122</v>
      </c>
      <c r="D166" s="1">
        <v>1</v>
      </c>
    </row>
    <row r="167" spans="1:4" x14ac:dyDescent="0.25">
      <c r="A167" s="2">
        <v>40123</v>
      </c>
      <c r="B167" s="1">
        <v>1</v>
      </c>
      <c r="C167" s="2">
        <v>40123</v>
      </c>
      <c r="D167" s="1">
        <v>1</v>
      </c>
    </row>
    <row r="168" spans="1:4" x14ac:dyDescent="0.25">
      <c r="A168" s="2">
        <v>40126</v>
      </c>
      <c r="B168" s="1">
        <v>1</v>
      </c>
      <c r="C168" s="2">
        <v>40126</v>
      </c>
      <c r="D168" s="1">
        <v>1</v>
      </c>
    </row>
    <row r="169" spans="1:4" x14ac:dyDescent="0.25">
      <c r="A169" s="2">
        <v>40127</v>
      </c>
      <c r="B169" s="1">
        <v>1</v>
      </c>
      <c r="C169" s="2">
        <v>40127</v>
      </c>
      <c r="D169" s="1">
        <v>1</v>
      </c>
    </row>
    <row r="170" spans="1:4" x14ac:dyDescent="0.25">
      <c r="A170" s="2">
        <v>40128</v>
      </c>
      <c r="B170" s="1">
        <v>1</v>
      </c>
      <c r="C170" s="2">
        <v>40128</v>
      </c>
      <c r="D170" s="1">
        <v>1</v>
      </c>
    </row>
    <row r="171" spans="1:4" x14ac:dyDescent="0.25">
      <c r="A171" s="2">
        <v>40129</v>
      </c>
      <c r="B171" s="1">
        <v>1</v>
      </c>
      <c r="C171" s="2">
        <v>40129</v>
      </c>
      <c r="D171" s="1">
        <v>1</v>
      </c>
    </row>
    <row r="172" spans="1:4" x14ac:dyDescent="0.25">
      <c r="A172" s="2">
        <v>40130</v>
      </c>
      <c r="B172" s="1">
        <v>1</v>
      </c>
      <c r="C172" s="2">
        <v>40130</v>
      </c>
      <c r="D172" s="1">
        <v>1</v>
      </c>
    </row>
    <row r="173" spans="1:4" x14ac:dyDescent="0.25">
      <c r="A173" s="2">
        <v>40133</v>
      </c>
      <c r="B173" s="1">
        <v>1</v>
      </c>
      <c r="C173" s="2">
        <v>40133</v>
      </c>
      <c r="D173" s="1">
        <v>1</v>
      </c>
    </row>
    <row r="174" spans="1:4" x14ac:dyDescent="0.25">
      <c r="A174" s="2">
        <v>40134</v>
      </c>
      <c r="B174" s="1">
        <v>1</v>
      </c>
      <c r="C174" s="2">
        <v>40134</v>
      </c>
      <c r="D174" s="1">
        <v>1</v>
      </c>
    </row>
    <row r="175" spans="1:4" x14ac:dyDescent="0.25">
      <c r="A175" s="2">
        <v>40135</v>
      </c>
      <c r="B175" s="1">
        <v>1</v>
      </c>
      <c r="C175" s="2">
        <v>40135</v>
      </c>
      <c r="D175" s="1">
        <v>1</v>
      </c>
    </row>
    <row r="176" spans="1:4" x14ac:dyDescent="0.25">
      <c r="A176" s="2">
        <v>40136</v>
      </c>
      <c r="B176" s="1">
        <v>1</v>
      </c>
      <c r="C176" s="2">
        <v>40136</v>
      </c>
      <c r="D176" s="1">
        <v>1</v>
      </c>
    </row>
    <row r="177" spans="1:4" x14ac:dyDescent="0.25">
      <c r="A177" s="2">
        <v>40137</v>
      </c>
      <c r="B177" s="1">
        <v>1</v>
      </c>
      <c r="C177" s="2">
        <v>40137</v>
      </c>
      <c r="D177" s="1">
        <v>1</v>
      </c>
    </row>
    <row r="178" spans="1:4" x14ac:dyDescent="0.25">
      <c r="A178" s="2">
        <v>40140</v>
      </c>
      <c r="B178" s="1">
        <v>1</v>
      </c>
      <c r="C178" s="2">
        <v>40140</v>
      </c>
      <c r="D178" s="1">
        <v>1</v>
      </c>
    </row>
    <row r="179" spans="1:4" x14ac:dyDescent="0.25">
      <c r="A179" s="2">
        <v>40141</v>
      </c>
      <c r="B179" s="1">
        <v>1</v>
      </c>
      <c r="C179" s="2">
        <v>40141</v>
      </c>
      <c r="D179" s="1">
        <v>1</v>
      </c>
    </row>
    <row r="180" spans="1:4" x14ac:dyDescent="0.25">
      <c r="A180" s="2">
        <v>40142</v>
      </c>
      <c r="B180" s="1">
        <v>1</v>
      </c>
      <c r="C180" s="2">
        <v>40142</v>
      </c>
      <c r="D180" s="1">
        <v>1</v>
      </c>
    </row>
    <row r="181" spans="1:4" x14ac:dyDescent="0.25">
      <c r="A181" s="2">
        <v>40143</v>
      </c>
      <c r="B181" s="1">
        <v>1</v>
      </c>
      <c r="C181" s="2">
        <v>40143</v>
      </c>
      <c r="D181" s="1">
        <v>1</v>
      </c>
    </row>
    <row r="182" spans="1:4" x14ac:dyDescent="0.25">
      <c r="A182" s="2">
        <v>40144</v>
      </c>
      <c r="B182" s="1">
        <v>1</v>
      </c>
      <c r="C182" s="2">
        <v>40144</v>
      </c>
      <c r="D182" s="1">
        <v>1</v>
      </c>
    </row>
    <row r="183" spans="1:4" x14ac:dyDescent="0.25">
      <c r="A183" s="2">
        <v>40147</v>
      </c>
      <c r="B183" s="1">
        <v>1</v>
      </c>
      <c r="C183" s="2">
        <v>40147</v>
      </c>
      <c r="D183" s="1">
        <v>1</v>
      </c>
    </row>
    <row r="184" spans="1:4" x14ac:dyDescent="0.25">
      <c r="A184" s="2">
        <v>40148</v>
      </c>
      <c r="B184" s="1">
        <v>1</v>
      </c>
      <c r="C184" s="2">
        <v>40148</v>
      </c>
      <c r="D184" s="1">
        <v>1</v>
      </c>
    </row>
    <row r="185" spans="1:4" x14ac:dyDescent="0.25">
      <c r="A185" s="2">
        <v>40149</v>
      </c>
      <c r="B185" s="1">
        <v>1</v>
      </c>
      <c r="C185" s="2">
        <v>40149</v>
      </c>
      <c r="D185" s="1">
        <v>1</v>
      </c>
    </row>
    <row r="186" spans="1:4" x14ac:dyDescent="0.25">
      <c r="A186" s="2">
        <v>40150</v>
      </c>
      <c r="B186" s="1">
        <v>1</v>
      </c>
      <c r="C186" s="2">
        <v>40150</v>
      </c>
      <c r="D186" s="1">
        <v>1</v>
      </c>
    </row>
    <row r="187" spans="1:4" x14ac:dyDescent="0.25">
      <c r="A187" s="2">
        <v>40151</v>
      </c>
      <c r="B187" s="1">
        <v>1</v>
      </c>
      <c r="C187" s="2">
        <v>40151</v>
      </c>
      <c r="D187" s="1">
        <v>1</v>
      </c>
    </row>
    <row r="188" spans="1:4" x14ac:dyDescent="0.25">
      <c r="A188" s="2">
        <v>40154</v>
      </c>
      <c r="B188" s="1">
        <v>1</v>
      </c>
      <c r="C188" s="2">
        <v>40154</v>
      </c>
      <c r="D188" s="1">
        <v>1</v>
      </c>
    </row>
    <row r="189" spans="1:4" x14ac:dyDescent="0.25">
      <c r="A189" s="2">
        <v>40155</v>
      </c>
      <c r="B189" s="1">
        <v>1</v>
      </c>
      <c r="C189" s="2">
        <v>40155</v>
      </c>
      <c r="D189" s="1">
        <v>1</v>
      </c>
    </row>
    <row r="190" spans="1:4" x14ac:dyDescent="0.25">
      <c r="A190" s="2">
        <v>40156</v>
      </c>
      <c r="B190" s="1">
        <v>1</v>
      </c>
      <c r="C190" s="2">
        <v>40156</v>
      </c>
      <c r="D190" s="1">
        <v>1</v>
      </c>
    </row>
    <row r="191" spans="1:4" x14ac:dyDescent="0.25">
      <c r="A191" s="2">
        <v>40157</v>
      </c>
      <c r="B191" s="1">
        <v>1</v>
      </c>
      <c r="C191" s="2">
        <v>40157</v>
      </c>
      <c r="D191" s="1">
        <v>1</v>
      </c>
    </row>
    <row r="192" spans="1:4" x14ac:dyDescent="0.25">
      <c r="A192" s="2">
        <v>40158</v>
      </c>
      <c r="B192" s="1">
        <v>1</v>
      </c>
      <c r="C192" s="2">
        <v>40158</v>
      </c>
      <c r="D192" s="1">
        <v>1</v>
      </c>
    </row>
    <row r="193" spans="1:4" x14ac:dyDescent="0.25">
      <c r="A193" s="2">
        <v>40161</v>
      </c>
      <c r="B193" s="1">
        <v>1</v>
      </c>
      <c r="C193" s="2">
        <v>40161</v>
      </c>
      <c r="D193" s="1">
        <v>1</v>
      </c>
    </row>
    <row r="194" spans="1:4" x14ac:dyDescent="0.25">
      <c r="A194" s="2">
        <v>40162</v>
      </c>
      <c r="B194" s="1">
        <v>1</v>
      </c>
      <c r="C194" s="2">
        <v>40162</v>
      </c>
      <c r="D194" s="1">
        <v>1</v>
      </c>
    </row>
    <row r="195" spans="1:4" x14ac:dyDescent="0.25">
      <c r="A195" s="2">
        <v>40163</v>
      </c>
      <c r="B195" s="1">
        <v>1</v>
      </c>
      <c r="C195" s="2">
        <v>40163</v>
      </c>
      <c r="D195" s="1">
        <v>1</v>
      </c>
    </row>
    <row r="196" spans="1:4" x14ac:dyDescent="0.25">
      <c r="A196" s="2">
        <v>40164</v>
      </c>
      <c r="B196" s="1">
        <v>1</v>
      </c>
      <c r="C196" s="2">
        <v>40164</v>
      </c>
      <c r="D196" s="1">
        <v>1</v>
      </c>
    </row>
    <row r="197" spans="1:4" x14ac:dyDescent="0.25">
      <c r="A197" s="2">
        <v>40165</v>
      </c>
      <c r="B197" s="1">
        <v>1</v>
      </c>
      <c r="C197" s="2">
        <v>40165</v>
      </c>
      <c r="D197" s="1">
        <v>1</v>
      </c>
    </row>
    <row r="198" spans="1:4" x14ac:dyDescent="0.25">
      <c r="A198" s="2">
        <v>40168</v>
      </c>
      <c r="B198" s="1">
        <v>1</v>
      </c>
      <c r="C198" s="2">
        <v>40168</v>
      </c>
      <c r="D198" s="1">
        <v>1</v>
      </c>
    </row>
    <row r="199" spans="1:4" x14ac:dyDescent="0.25">
      <c r="A199" s="2">
        <v>40169</v>
      </c>
      <c r="B199" s="1">
        <v>1</v>
      </c>
      <c r="C199" s="2">
        <v>40169</v>
      </c>
      <c r="D199" s="1">
        <v>1</v>
      </c>
    </row>
    <row r="200" spans="1:4" x14ac:dyDescent="0.25">
      <c r="A200" s="2">
        <v>40170</v>
      </c>
      <c r="B200" s="1">
        <v>1</v>
      </c>
      <c r="C200" s="2">
        <v>40170</v>
      </c>
      <c r="D200" s="1">
        <v>1</v>
      </c>
    </row>
    <row r="201" spans="1:4" x14ac:dyDescent="0.25">
      <c r="A201" s="2">
        <v>40171</v>
      </c>
      <c r="B201" s="1">
        <v>1</v>
      </c>
      <c r="C201" s="2">
        <v>40171</v>
      </c>
      <c r="D201" s="1">
        <v>1</v>
      </c>
    </row>
    <row r="202" spans="1:4" x14ac:dyDescent="0.25">
      <c r="A202" s="2">
        <v>40175</v>
      </c>
      <c r="B202" s="1">
        <v>1</v>
      </c>
      <c r="C202" s="2">
        <v>40175</v>
      </c>
      <c r="D202" s="1">
        <v>1</v>
      </c>
    </row>
    <row r="203" spans="1:4" x14ac:dyDescent="0.25">
      <c r="A203" s="2">
        <v>40176</v>
      </c>
      <c r="B203" s="1">
        <v>1</v>
      </c>
      <c r="C203" s="2">
        <v>40176</v>
      </c>
      <c r="D203" s="1">
        <v>1</v>
      </c>
    </row>
    <row r="204" spans="1:4" x14ac:dyDescent="0.25">
      <c r="A204" s="2">
        <v>40177</v>
      </c>
      <c r="B204" s="1">
        <v>1</v>
      </c>
      <c r="C204" s="2">
        <v>40177</v>
      </c>
      <c r="D204" s="1">
        <v>1</v>
      </c>
    </row>
    <row r="205" spans="1:4" x14ac:dyDescent="0.25">
      <c r="A205" s="2">
        <v>40178</v>
      </c>
      <c r="B205" s="1">
        <v>1</v>
      </c>
      <c r="C205" s="2">
        <v>40178</v>
      </c>
      <c r="D205" s="1">
        <v>1</v>
      </c>
    </row>
    <row r="206" spans="1:4" x14ac:dyDescent="0.25">
      <c r="A206" s="2">
        <v>40182</v>
      </c>
      <c r="B206" s="1">
        <v>1</v>
      </c>
      <c r="C206" s="2">
        <v>40182</v>
      </c>
      <c r="D206" s="1">
        <v>1</v>
      </c>
    </row>
    <row r="207" spans="1:4" x14ac:dyDescent="0.25">
      <c r="A207" s="2">
        <v>40183</v>
      </c>
      <c r="B207" s="1">
        <v>1</v>
      </c>
      <c r="C207" s="2">
        <v>40183</v>
      </c>
      <c r="D207" s="1">
        <v>1</v>
      </c>
    </row>
    <row r="208" spans="1:4" x14ac:dyDescent="0.25">
      <c r="A208" s="2">
        <v>40184</v>
      </c>
      <c r="B208" s="1">
        <v>1</v>
      </c>
      <c r="C208" s="2">
        <v>40184</v>
      </c>
      <c r="D208" s="1">
        <v>1</v>
      </c>
    </row>
    <row r="209" spans="1:4" x14ac:dyDescent="0.25">
      <c r="A209" s="2">
        <v>40185</v>
      </c>
      <c r="B209" s="1">
        <v>1</v>
      </c>
      <c r="C209" s="2">
        <v>40185</v>
      </c>
      <c r="D209" s="1">
        <v>1</v>
      </c>
    </row>
    <row r="210" spans="1:4" x14ac:dyDescent="0.25">
      <c r="A210" s="2">
        <v>40186</v>
      </c>
      <c r="B210" s="1">
        <v>1</v>
      </c>
      <c r="C210" s="2">
        <v>40186</v>
      </c>
      <c r="D210" s="1">
        <v>1</v>
      </c>
    </row>
    <row r="211" spans="1:4" x14ac:dyDescent="0.25">
      <c r="A211" s="2">
        <v>40189</v>
      </c>
      <c r="B211" s="1">
        <v>1</v>
      </c>
      <c r="C211" s="2">
        <v>40189</v>
      </c>
      <c r="D211" s="1">
        <v>1</v>
      </c>
    </row>
    <row r="212" spans="1:4" x14ac:dyDescent="0.25">
      <c r="A212" s="2">
        <v>40190</v>
      </c>
      <c r="B212" s="1">
        <v>1</v>
      </c>
      <c r="C212" s="2">
        <v>40190</v>
      </c>
      <c r="D212" s="1">
        <v>1</v>
      </c>
    </row>
    <row r="213" spans="1:4" x14ac:dyDescent="0.25">
      <c r="A213" s="2">
        <v>40191</v>
      </c>
      <c r="B213" s="1">
        <v>1</v>
      </c>
      <c r="C213" s="2">
        <v>40191</v>
      </c>
      <c r="D213" s="1">
        <v>1</v>
      </c>
    </row>
    <row r="214" spans="1:4" x14ac:dyDescent="0.25">
      <c r="A214" s="2">
        <v>40192</v>
      </c>
      <c r="B214" s="1">
        <v>1</v>
      </c>
      <c r="C214" s="2">
        <v>40192</v>
      </c>
      <c r="D214" s="1">
        <v>1</v>
      </c>
    </row>
    <row r="215" spans="1:4" x14ac:dyDescent="0.25">
      <c r="A215" s="2">
        <v>40193</v>
      </c>
      <c r="B215" s="1">
        <v>1</v>
      </c>
      <c r="C215" s="2">
        <v>40193</v>
      </c>
      <c r="D215" s="1">
        <v>1</v>
      </c>
    </row>
    <row r="216" spans="1:4" x14ac:dyDescent="0.25">
      <c r="A216" s="2">
        <v>40196</v>
      </c>
      <c r="B216" s="1">
        <v>1</v>
      </c>
      <c r="C216" s="2">
        <v>40196</v>
      </c>
      <c r="D216" s="1">
        <v>1</v>
      </c>
    </row>
    <row r="217" spans="1:4" x14ac:dyDescent="0.25">
      <c r="A217" s="2">
        <v>40197</v>
      </c>
      <c r="B217" s="1">
        <v>1</v>
      </c>
      <c r="C217" s="2">
        <v>40197</v>
      </c>
      <c r="D217" s="1">
        <v>1</v>
      </c>
    </row>
    <row r="218" spans="1:4" x14ac:dyDescent="0.25">
      <c r="A218" s="2">
        <v>40198</v>
      </c>
      <c r="B218" s="1">
        <v>1</v>
      </c>
      <c r="C218" s="2">
        <v>40198</v>
      </c>
      <c r="D218" s="1">
        <v>1</v>
      </c>
    </row>
    <row r="219" spans="1:4" x14ac:dyDescent="0.25">
      <c r="A219" s="2">
        <v>40199</v>
      </c>
      <c r="B219" s="1">
        <v>1</v>
      </c>
      <c r="C219" s="2">
        <v>40199</v>
      </c>
      <c r="D219" s="1">
        <v>1</v>
      </c>
    </row>
    <row r="220" spans="1:4" x14ac:dyDescent="0.25">
      <c r="A220" s="2">
        <v>40200</v>
      </c>
      <c r="B220" s="1">
        <v>1</v>
      </c>
      <c r="C220" s="2">
        <v>40200</v>
      </c>
      <c r="D220" s="1">
        <v>1</v>
      </c>
    </row>
    <row r="221" spans="1:4" x14ac:dyDescent="0.25">
      <c r="A221" s="2">
        <v>40203</v>
      </c>
      <c r="B221" s="1">
        <v>1</v>
      </c>
      <c r="C221" s="2">
        <v>40203</v>
      </c>
      <c r="D221" s="1">
        <v>1</v>
      </c>
    </row>
    <row r="222" spans="1:4" x14ac:dyDescent="0.25">
      <c r="A222" s="2">
        <v>40204</v>
      </c>
      <c r="B222" s="1">
        <v>1</v>
      </c>
      <c r="C222" s="2">
        <v>40204</v>
      </c>
      <c r="D222" s="1">
        <v>1</v>
      </c>
    </row>
    <row r="223" spans="1:4" x14ac:dyDescent="0.25">
      <c r="A223" s="2">
        <v>40205</v>
      </c>
      <c r="B223" s="1">
        <v>1</v>
      </c>
      <c r="C223" s="2">
        <v>40205</v>
      </c>
      <c r="D223" s="1">
        <v>1</v>
      </c>
    </row>
    <row r="224" spans="1:4" x14ac:dyDescent="0.25">
      <c r="A224" s="2">
        <v>40206</v>
      </c>
      <c r="B224" s="1">
        <v>1</v>
      </c>
      <c r="C224" s="2">
        <v>40206</v>
      </c>
      <c r="D224" s="1">
        <v>1</v>
      </c>
    </row>
    <row r="225" spans="1:4" x14ac:dyDescent="0.25">
      <c r="A225" s="2">
        <v>40207</v>
      </c>
      <c r="B225" s="1">
        <v>1</v>
      </c>
      <c r="C225" s="2">
        <v>40207</v>
      </c>
      <c r="D225" s="1">
        <v>1</v>
      </c>
    </row>
    <row r="226" spans="1:4" x14ac:dyDescent="0.25">
      <c r="A226" s="2">
        <v>40210</v>
      </c>
      <c r="B226" s="1">
        <v>1</v>
      </c>
      <c r="C226" s="2">
        <v>40210</v>
      </c>
      <c r="D226" s="1">
        <v>1</v>
      </c>
    </row>
    <row r="227" spans="1:4" x14ac:dyDescent="0.25">
      <c r="A227" s="2">
        <v>40211</v>
      </c>
      <c r="B227" s="1">
        <v>1</v>
      </c>
      <c r="C227" s="2">
        <v>40211</v>
      </c>
      <c r="D227" s="1">
        <v>1</v>
      </c>
    </row>
    <row r="228" spans="1:4" x14ac:dyDescent="0.25">
      <c r="A228" s="2">
        <v>40212</v>
      </c>
      <c r="B228" s="1">
        <v>1</v>
      </c>
      <c r="C228" s="2">
        <v>40212</v>
      </c>
      <c r="D228" s="1">
        <v>1</v>
      </c>
    </row>
    <row r="229" spans="1:4" x14ac:dyDescent="0.25">
      <c r="A229" s="2">
        <v>40213</v>
      </c>
      <c r="B229" s="1">
        <v>1</v>
      </c>
      <c r="C229" s="2">
        <v>40213</v>
      </c>
      <c r="D229" s="1">
        <v>1</v>
      </c>
    </row>
    <row r="230" spans="1:4" x14ac:dyDescent="0.25">
      <c r="A230" s="2">
        <v>40214</v>
      </c>
      <c r="B230" s="1">
        <v>1</v>
      </c>
      <c r="C230" s="2">
        <v>40214</v>
      </c>
      <c r="D230" s="1">
        <v>1</v>
      </c>
    </row>
    <row r="231" spans="1:4" x14ac:dyDescent="0.25">
      <c r="A231" s="2">
        <v>40217</v>
      </c>
      <c r="B231" s="1">
        <v>1</v>
      </c>
      <c r="C231" s="2">
        <v>40217</v>
      </c>
      <c r="D231" s="1">
        <v>1</v>
      </c>
    </row>
    <row r="232" spans="1:4" x14ac:dyDescent="0.25">
      <c r="A232" s="2">
        <v>40218</v>
      </c>
      <c r="B232" s="1">
        <v>1</v>
      </c>
      <c r="C232" s="2">
        <v>40218</v>
      </c>
      <c r="D232" s="1">
        <v>1</v>
      </c>
    </row>
    <row r="233" spans="1:4" x14ac:dyDescent="0.25">
      <c r="A233" s="2">
        <v>40219</v>
      </c>
      <c r="B233" s="1">
        <v>1</v>
      </c>
      <c r="C233" s="2">
        <v>40219</v>
      </c>
      <c r="D233" s="1">
        <v>1</v>
      </c>
    </row>
    <row r="234" spans="1:4" x14ac:dyDescent="0.25">
      <c r="A234" s="2">
        <v>40220</v>
      </c>
      <c r="B234" s="1">
        <v>1</v>
      </c>
      <c r="C234" s="2">
        <v>40220</v>
      </c>
      <c r="D234" s="1">
        <v>1</v>
      </c>
    </row>
    <row r="235" spans="1:4" x14ac:dyDescent="0.25">
      <c r="A235" s="2">
        <v>40221</v>
      </c>
      <c r="B235" s="1">
        <v>1</v>
      </c>
      <c r="C235" s="2">
        <v>40221</v>
      </c>
      <c r="D235" s="1">
        <v>1</v>
      </c>
    </row>
    <row r="236" spans="1:4" x14ac:dyDescent="0.25">
      <c r="A236" s="2">
        <v>40224</v>
      </c>
      <c r="B236" s="1">
        <v>1</v>
      </c>
      <c r="C236" s="2">
        <v>40224</v>
      </c>
      <c r="D236" s="1">
        <v>1</v>
      </c>
    </row>
    <row r="237" spans="1:4" x14ac:dyDescent="0.25">
      <c r="A237" s="2">
        <v>40225</v>
      </c>
      <c r="B237" s="1">
        <v>1</v>
      </c>
      <c r="C237" s="2">
        <v>40225</v>
      </c>
      <c r="D237" s="1">
        <v>1</v>
      </c>
    </row>
    <row r="238" spans="1:4" x14ac:dyDescent="0.25">
      <c r="A238" s="2">
        <v>40226</v>
      </c>
      <c r="B238" s="1">
        <v>1</v>
      </c>
      <c r="C238" s="2">
        <v>40226</v>
      </c>
      <c r="D238" s="1">
        <v>1</v>
      </c>
    </row>
    <row r="239" spans="1:4" x14ac:dyDescent="0.25">
      <c r="A239" s="2">
        <v>40227</v>
      </c>
      <c r="B239" s="1">
        <v>1</v>
      </c>
      <c r="C239" s="2">
        <v>40227</v>
      </c>
      <c r="D239" s="1">
        <v>1</v>
      </c>
    </row>
    <row r="240" spans="1:4" x14ac:dyDescent="0.25">
      <c r="A240" s="2">
        <v>40228</v>
      </c>
      <c r="B240" s="1">
        <v>1</v>
      </c>
      <c r="C240" s="2">
        <v>40228</v>
      </c>
      <c r="D240" s="1">
        <v>1</v>
      </c>
    </row>
    <row r="241" spans="1:4" x14ac:dyDescent="0.25">
      <c r="A241" s="2">
        <v>40231</v>
      </c>
      <c r="B241" s="1">
        <v>1</v>
      </c>
      <c r="C241" s="2">
        <v>40231</v>
      </c>
      <c r="D241" s="1">
        <v>1</v>
      </c>
    </row>
    <row r="242" spans="1:4" x14ac:dyDescent="0.25">
      <c r="A242" s="2">
        <v>40232</v>
      </c>
      <c r="B242" s="1">
        <v>1</v>
      </c>
      <c r="C242" s="2">
        <v>40232</v>
      </c>
      <c r="D242" s="1">
        <v>1</v>
      </c>
    </row>
    <row r="243" spans="1:4" x14ac:dyDescent="0.25">
      <c r="A243" s="2">
        <v>40233</v>
      </c>
      <c r="B243" s="1">
        <v>1</v>
      </c>
      <c r="C243" s="2">
        <v>40233</v>
      </c>
      <c r="D243" s="1">
        <v>1</v>
      </c>
    </row>
    <row r="244" spans="1:4" x14ac:dyDescent="0.25">
      <c r="A244" s="2">
        <v>40234</v>
      </c>
      <c r="B244" s="1">
        <v>1</v>
      </c>
      <c r="C244" s="2">
        <v>40234</v>
      </c>
      <c r="D244" s="1">
        <v>1</v>
      </c>
    </row>
    <row r="245" spans="1:4" x14ac:dyDescent="0.25">
      <c r="A245" s="2">
        <v>40235</v>
      </c>
      <c r="B245" s="1">
        <v>1</v>
      </c>
      <c r="C245" s="2">
        <v>40235</v>
      </c>
      <c r="D245" s="1">
        <v>1</v>
      </c>
    </row>
    <row r="246" spans="1:4" x14ac:dyDescent="0.25">
      <c r="A246" s="2">
        <v>40238</v>
      </c>
      <c r="B246" s="1">
        <v>1</v>
      </c>
      <c r="C246" s="2">
        <v>40238</v>
      </c>
      <c r="D246" s="1">
        <v>1</v>
      </c>
    </row>
    <row r="247" spans="1:4" x14ac:dyDescent="0.25">
      <c r="A247" s="2">
        <v>40239</v>
      </c>
      <c r="B247" s="1">
        <v>1</v>
      </c>
      <c r="C247" s="2">
        <v>40239</v>
      </c>
      <c r="D247" s="1">
        <v>1</v>
      </c>
    </row>
    <row r="248" spans="1:4" x14ac:dyDescent="0.25">
      <c r="A248" s="2">
        <v>40240</v>
      </c>
      <c r="B248" s="1">
        <v>1</v>
      </c>
      <c r="C248" s="2">
        <v>40240</v>
      </c>
      <c r="D248" s="1">
        <v>1</v>
      </c>
    </row>
    <row r="249" spans="1:4" x14ac:dyDescent="0.25">
      <c r="A249" s="2">
        <v>40241</v>
      </c>
      <c r="B249" s="1">
        <v>1</v>
      </c>
      <c r="C249" s="2">
        <v>40241</v>
      </c>
      <c r="D249" s="1">
        <v>1</v>
      </c>
    </row>
    <row r="250" spans="1:4" x14ac:dyDescent="0.25">
      <c r="A250" s="2">
        <v>40242</v>
      </c>
      <c r="B250" s="1">
        <v>1</v>
      </c>
      <c r="C250" s="2">
        <v>40242</v>
      </c>
      <c r="D250" s="1">
        <v>1</v>
      </c>
    </row>
    <row r="251" spans="1:4" x14ac:dyDescent="0.25">
      <c r="A251" s="2">
        <v>40245</v>
      </c>
      <c r="B251" s="1">
        <v>1</v>
      </c>
      <c r="C251" s="2">
        <v>40245</v>
      </c>
      <c r="D251" s="1">
        <v>1</v>
      </c>
    </row>
    <row r="252" spans="1:4" x14ac:dyDescent="0.25">
      <c r="A252" s="2">
        <v>40246</v>
      </c>
      <c r="B252" s="1">
        <v>1</v>
      </c>
      <c r="C252" s="2">
        <v>40246</v>
      </c>
      <c r="D252" s="1">
        <v>1</v>
      </c>
    </row>
    <row r="253" spans="1:4" x14ac:dyDescent="0.25">
      <c r="A253" s="2">
        <v>40247</v>
      </c>
      <c r="B253" s="1">
        <v>1</v>
      </c>
      <c r="C253" s="2">
        <v>40247</v>
      </c>
      <c r="D253" s="1">
        <v>1</v>
      </c>
    </row>
    <row r="254" spans="1:4" x14ac:dyDescent="0.25">
      <c r="A254" s="2">
        <v>40248</v>
      </c>
      <c r="B254" s="1">
        <v>1</v>
      </c>
      <c r="C254" s="2">
        <v>40248</v>
      </c>
      <c r="D254" s="1">
        <v>1</v>
      </c>
    </row>
    <row r="255" spans="1:4" x14ac:dyDescent="0.25">
      <c r="A255" s="2">
        <v>40249</v>
      </c>
      <c r="B255" s="1">
        <v>1</v>
      </c>
      <c r="C255" s="2">
        <v>40249</v>
      </c>
      <c r="D255" s="1">
        <v>1</v>
      </c>
    </row>
    <row r="256" spans="1:4" x14ac:dyDescent="0.25">
      <c r="A256" s="2">
        <v>40252</v>
      </c>
      <c r="B256" s="1">
        <v>1</v>
      </c>
      <c r="C256" s="2">
        <v>40252</v>
      </c>
      <c r="D256" s="1">
        <v>1</v>
      </c>
    </row>
    <row r="257" spans="1:4" x14ac:dyDescent="0.25">
      <c r="A257" s="2">
        <v>40253</v>
      </c>
      <c r="B257" s="1">
        <v>1</v>
      </c>
      <c r="C257" s="2">
        <v>40253</v>
      </c>
      <c r="D257" s="1">
        <v>1</v>
      </c>
    </row>
    <row r="258" spans="1:4" x14ac:dyDescent="0.25">
      <c r="A258" s="2">
        <v>40254</v>
      </c>
      <c r="B258" s="1">
        <v>1</v>
      </c>
      <c r="C258" s="2">
        <v>40254</v>
      </c>
      <c r="D258" s="1">
        <v>1</v>
      </c>
    </row>
    <row r="259" spans="1:4" x14ac:dyDescent="0.25">
      <c r="A259" s="2">
        <v>40255</v>
      </c>
      <c r="B259" s="1">
        <v>1</v>
      </c>
      <c r="C259" s="2">
        <v>40255</v>
      </c>
      <c r="D259" s="1">
        <v>1</v>
      </c>
    </row>
    <row r="260" spans="1:4" x14ac:dyDescent="0.25">
      <c r="A260" s="2">
        <v>40256</v>
      </c>
      <c r="B260" s="1">
        <v>1</v>
      </c>
      <c r="C260" s="2">
        <v>40256</v>
      </c>
      <c r="D260" s="1">
        <v>1</v>
      </c>
    </row>
    <row r="261" spans="1:4" x14ac:dyDescent="0.25">
      <c r="A261" s="2">
        <v>40259</v>
      </c>
      <c r="B261" s="1">
        <v>1</v>
      </c>
      <c r="C261" s="2">
        <v>40259</v>
      </c>
      <c r="D261" s="1">
        <v>1</v>
      </c>
    </row>
    <row r="262" spans="1:4" x14ac:dyDescent="0.25">
      <c r="A262" s="2">
        <v>40260</v>
      </c>
      <c r="B262" s="1">
        <v>1</v>
      </c>
      <c r="C262" s="2">
        <v>40260</v>
      </c>
      <c r="D262" s="1">
        <v>1</v>
      </c>
    </row>
    <row r="263" spans="1:4" x14ac:dyDescent="0.25">
      <c r="A263" s="2">
        <v>40261</v>
      </c>
      <c r="B263" s="1">
        <v>1</v>
      </c>
      <c r="C263" s="2">
        <v>40261</v>
      </c>
      <c r="D263" s="1">
        <v>1</v>
      </c>
    </row>
    <row r="264" spans="1:4" x14ac:dyDescent="0.25">
      <c r="A264" s="2">
        <v>40262</v>
      </c>
      <c r="B264" s="1">
        <v>1</v>
      </c>
      <c r="C264" s="2">
        <v>40262</v>
      </c>
      <c r="D264" s="1">
        <v>1</v>
      </c>
    </row>
    <row r="265" spans="1:4" x14ac:dyDescent="0.25">
      <c r="A265" s="2">
        <v>40263</v>
      </c>
      <c r="B265" s="1">
        <v>1</v>
      </c>
      <c r="C265" s="2">
        <v>40263</v>
      </c>
      <c r="D265" s="1">
        <v>1</v>
      </c>
    </row>
    <row r="266" spans="1:4" x14ac:dyDescent="0.25">
      <c r="A266" s="2">
        <v>40266</v>
      </c>
      <c r="B266" s="1">
        <v>1</v>
      </c>
      <c r="C266" s="2">
        <v>40266</v>
      </c>
      <c r="D266" s="1">
        <v>1</v>
      </c>
    </row>
    <row r="267" spans="1:4" x14ac:dyDescent="0.25">
      <c r="A267" s="2">
        <v>40267</v>
      </c>
      <c r="B267" s="1">
        <v>1</v>
      </c>
      <c r="C267" s="2">
        <v>40267</v>
      </c>
      <c r="D267" s="1">
        <v>1</v>
      </c>
    </row>
    <row r="268" spans="1:4" x14ac:dyDescent="0.25">
      <c r="A268" s="2">
        <v>40268</v>
      </c>
      <c r="B268" s="1">
        <v>1</v>
      </c>
      <c r="C268" s="2">
        <v>40268</v>
      </c>
      <c r="D268" s="1">
        <v>1</v>
      </c>
    </row>
    <row r="269" spans="1:4" x14ac:dyDescent="0.25">
      <c r="A269" s="2">
        <v>40269</v>
      </c>
      <c r="B269" s="1">
        <v>1</v>
      </c>
      <c r="C269" s="2">
        <v>40269</v>
      </c>
      <c r="D269" s="1">
        <v>1</v>
      </c>
    </row>
    <row r="270" spans="1:4" x14ac:dyDescent="0.25">
      <c r="A270" s="2">
        <v>40274</v>
      </c>
      <c r="B270" s="1">
        <v>1</v>
      </c>
      <c r="C270" s="2">
        <v>40274</v>
      </c>
      <c r="D270" s="1">
        <v>1</v>
      </c>
    </row>
    <row r="271" spans="1:4" x14ac:dyDescent="0.25">
      <c r="A271" s="2">
        <v>40275</v>
      </c>
      <c r="B271" s="1">
        <v>1</v>
      </c>
      <c r="C271" s="2">
        <v>40275</v>
      </c>
      <c r="D271" s="1">
        <v>1</v>
      </c>
    </row>
    <row r="272" spans="1:4" x14ac:dyDescent="0.25">
      <c r="A272" s="2">
        <v>40276</v>
      </c>
      <c r="B272" s="1">
        <v>1</v>
      </c>
      <c r="C272" s="2">
        <v>40276</v>
      </c>
      <c r="D272" s="1">
        <v>1</v>
      </c>
    </row>
    <row r="273" spans="1:4" x14ac:dyDescent="0.25">
      <c r="A273" s="2">
        <v>40277</v>
      </c>
      <c r="B273" s="1">
        <v>1</v>
      </c>
      <c r="C273" s="2">
        <v>40277</v>
      </c>
      <c r="D273" s="1">
        <v>1</v>
      </c>
    </row>
    <row r="274" spans="1:4" x14ac:dyDescent="0.25">
      <c r="A274" s="2">
        <v>40280</v>
      </c>
      <c r="B274" s="1">
        <v>1</v>
      </c>
      <c r="C274" s="2">
        <v>40280</v>
      </c>
      <c r="D274" s="1">
        <v>1</v>
      </c>
    </row>
    <row r="275" spans="1:4" x14ac:dyDescent="0.25">
      <c r="A275" s="2">
        <v>40281</v>
      </c>
      <c r="B275" s="1">
        <v>1</v>
      </c>
      <c r="C275" s="2">
        <v>40281</v>
      </c>
      <c r="D275" s="1">
        <v>1</v>
      </c>
    </row>
    <row r="276" spans="1:4" x14ac:dyDescent="0.25">
      <c r="A276" s="2">
        <v>40282</v>
      </c>
      <c r="B276" s="1">
        <v>1</v>
      </c>
      <c r="C276" s="2">
        <v>40282</v>
      </c>
      <c r="D276" s="1">
        <v>1</v>
      </c>
    </row>
    <row r="277" spans="1:4" x14ac:dyDescent="0.25">
      <c r="A277" s="2">
        <v>40283</v>
      </c>
      <c r="B277" s="1">
        <v>1</v>
      </c>
      <c r="C277" s="2">
        <v>40283</v>
      </c>
      <c r="D277" s="1">
        <v>1</v>
      </c>
    </row>
    <row r="278" spans="1:4" x14ac:dyDescent="0.25">
      <c r="A278" s="2">
        <v>40284</v>
      </c>
      <c r="B278" s="1">
        <v>1</v>
      </c>
      <c r="C278" s="2">
        <v>40284</v>
      </c>
      <c r="D278" s="1">
        <v>1</v>
      </c>
    </row>
    <row r="279" spans="1:4" x14ac:dyDescent="0.25">
      <c r="A279" s="2">
        <v>40287</v>
      </c>
      <c r="B279" s="1">
        <v>1</v>
      </c>
      <c r="C279" s="2">
        <v>40287</v>
      </c>
      <c r="D279" s="1">
        <v>1</v>
      </c>
    </row>
    <row r="280" spans="1:4" x14ac:dyDescent="0.25">
      <c r="A280" s="2">
        <v>40288</v>
      </c>
      <c r="B280" s="1">
        <v>1</v>
      </c>
      <c r="C280" s="2">
        <v>40288</v>
      </c>
      <c r="D280" s="1">
        <v>1</v>
      </c>
    </row>
    <row r="281" spans="1:4" x14ac:dyDescent="0.25">
      <c r="A281" s="2">
        <v>40289</v>
      </c>
      <c r="B281" s="1">
        <v>1</v>
      </c>
      <c r="C281" s="2">
        <v>40289</v>
      </c>
      <c r="D281" s="1">
        <v>1</v>
      </c>
    </row>
    <row r="282" spans="1:4" x14ac:dyDescent="0.25">
      <c r="A282" s="2">
        <v>40290</v>
      </c>
      <c r="B282" s="1">
        <v>1</v>
      </c>
      <c r="C282" s="2">
        <v>40290</v>
      </c>
      <c r="D282" s="1">
        <v>1</v>
      </c>
    </row>
    <row r="283" spans="1:4" x14ac:dyDescent="0.25">
      <c r="A283" s="2">
        <v>40291</v>
      </c>
      <c r="B283" s="1">
        <v>1</v>
      </c>
      <c r="C283" s="2">
        <v>40291</v>
      </c>
      <c r="D283" s="1">
        <v>1</v>
      </c>
    </row>
    <row r="284" spans="1:4" x14ac:dyDescent="0.25">
      <c r="A284" s="2">
        <v>40294</v>
      </c>
      <c r="B284" s="1">
        <v>1</v>
      </c>
      <c r="C284" s="2">
        <v>40294</v>
      </c>
      <c r="D284" s="1">
        <v>1</v>
      </c>
    </row>
    <row r="285" spans="1:4" x14ac:dyDescent="0.25">
      <c r="A285" s="2">
        <v>40295</v>
      </c>
      <c r="B285" s="1">
        <v>1</v>
      </c>
      <c r="C285" s="2">
        <v>40295</v>
      </c>
      <c r="D285" s="1">
        <v>1</v>
      </c>
    </row>
    <row r="286" spans="1:4" x14ac:dyDescent="0.25">
      <c r="A286" s="2">
        <v>40296</v>
      </c>
      <c r="B286" s="1">
        <v>1</v>
      </c>
      <c r="C286" s="2">
        <v>40296</v>
      </c>
      <c r="D286" s="1">
        <v>1</v>
      </c>
    </row>
    <row r="287" spans="1:4" x14ac:dyDescent="0.25">
      <c r="A287" s="2">
        <v>40297</v>
      </c>
      <c r="B287" s="1">
        <v>1</v>
      </c>
      <c r="C287" s="2">
        <v>40297</v>
      </c>
      <c r="D287" s="1">
        <v>1</v>
      </c>
    </row>
    <row r="288" spans="1:4" x14ac:dyDescent="0.25">
      <c r="A288" s="2">
        <v>40298</v>
      </c>
      <c r="B288" s="1">
        <v>1</v>
      </c>
      <c r="C288" s="2">
        <v>40298</v>
      </c>
      <c r="D288" s="1">
        <v>1</v>
      </c>
    </row>
    <row r="289" spans="1:4" x14ac:dyDescent="0.25">
      <c r="A289" s="2">
        <v>40301</v>
      </c>
      <c r="B289" s="1">
        <v>1</v>
      </c>
      <c r="C289" s="2">
        <v>40301</v>
      </c>
      <c r="D289" s="1">
        <v>1</v>
      </c>
    </row>
    <row r="290" spans="1:4" x14ac:dyDescent="0.25">
      <c r="A290" s="2">
        <v>40302</v>
      </c>
      <c r="B290" s="1">
        <v>1</v>
      </c>
      <c r="C290" s="2">
        <v>40302</v>
      </c>
      <c r="D290" s="1">
        <v>1</v>
      </c>
    </row>
    <row r="291" spans="1:4" x14ac:dyDescent="0.25">
      <c r="A291" s="2">
        <v>40303</v>
      </c>
      <c r="B291" s="1">
        <v>1</v>
      </c>
      <c r="C291" s="2">
        <v>40303</v>
      </c>
      <c r="D291" s="1">
        <v>1</v>
      </c>
    </row>
    <row r="292" spans="1:4" x14ac:dyDescent="0.25">
      <c r="A292" s="2">
        <v>40304</v>
      </c>
      <c r="B292" s="1">
        <v>1</v>
      </c>
      <c r="C292" s="2">
        <v>40304</v>
      </c>
      <c r="D292" s="1">
        <v>1</v>
      </c>
    </row>
    <row r="293" spans="1:4" x14ac:dyDescent="0.25">
      <c r="A293" s="2">
        <v>40305</v>
      </c>
      <c r="B293" s="1">
        <v>1</v>
      </c>
      <c r="C293" s="2">
        <v>40305</v>
      </c>
      <c r="D293" s="1">
        <v>1</v>
      </c>
    </row>
    <row r="294" spans="1:4" x14ac:dyDescent="0.25">
      <c r="A294" s="2">
        <v>40308</v>
      </c>
      <c r="B294" s="1">
        <v>1</v>
      </c>
      <c r="C294" s="2">
        <v>40308</v>
      </c>
      <c r="D294" s="1">
        <v>1</v>
      </c>
    </row>
    <row r="295" spans="1:4" x14ac:dyDescent="0.25">
      <c r="A295" s="2">
        <v>40309</v>
      </c>
      <c r="B295" s="1">
        <v>1</v>
      </c>
      <c r="C295" s="2">
        <v>40309</v>
      </c>
      <c r="D295" s="1">
        <v>1</v>
      </c>
    </row>
    <row r="296" spans="1:4" x14ac:dyDescent="0.25">
      <c r="A296" s="2">
        <v>40310</v>
      </c>
      <c r="B296" s="1">
        <v>1</v>
      </c>
      <c r="C296" s="2">
        <v>40310</v>
      </c>
      <c r="D296" s="1">
        <v>1</v>
      </c>
    </row>
    <row r="297" spans="1:4" x14ac:dyDescent="0.25">
      <c r="A297" s="2">
        <v>40311</v>
      </c>
      <c r="B297" s="1">
        <v>1</v>
      </c>
      <c r="C297" s="2">
        <v>40311</v>
      </c>
      <c r="D297" s="1">
        <v>1</v>
      </c>
    </row>
    <row r="298" spans="1:4" x14ac:dyDescent="0.25">
      <c r="A298" s="2">
        <v>40312</v>
      </c>
      <c r="B298" s="1">
        <v>1</v>
      </c>
      <c r="C298" s="2">
        <v>40312</v>
      </c>
      <c r="D298" s="1">
        <v>1</v>
      </c>
    </row>
    <row r="299" spans="1:4" x14ac:dyDescent="0.25">
      <c r="A299" s="2">
        <v>40315</v>
      </c>
      <c r="B299" s="1">
        <v>1</v>
      </c>
      <c r="C299" s="2">
        <v>40315</v>
      </c>
      <c r="D299" s="1">
        <v>1</v>
      </c>
    </row>
    <row r="300" spans="1:4" x14ac:dyDescent="0.25">
      <c r="A300" s="2">
        <v>40316</v>
      </c>
      <c r="B300" s="1">
        <v>1</v>
      </c>
      <c r="C300" s="2">
        <v>40316</v>
      </c>
      <c r="D300" s="1">
        <v>1</v>
      </c>
    </row>
    <row r="301" spans="1:4" x14ac:dyDescent="0.25">
      <c r="A301" s="2">
        <v>40317</v>
      </c>
      <c r="B301" s="1">
        <v>1</v>
      </c>
      <c r="C301" s="2">
        <v>40317</v>
      </c>
      <c r="D301" s="1">
        <v>1</v>
      </c>
    </row>
    <row r="302" spans="1:4" x14ac:dyDescent="0.25">
      <c r="A302" s="2">
        <v>40318</v>
      </c>
      <c r="B302" s="1">
        <v>1</v>
      </c>
      <c r="C302" s="2">
        <v>40318</v>
      </c>
      <c r="D302" s="1">
        <v>1</v>
      </c>
    </row>
    <row r="303" spans="1:4" x14ac:dyDescent="0.25">
      <c r="A303" s="2">
        <v>40319</v>
      </c>
      <c r="B303" s="1">
        <v>1</v>
      </c>
      <c r="C303" s="2">
        <v>40319</v>
      </c>
      <c r="D303" s="1">
        <v>1</v>
      </c>
    </row>
    <row r="304" spans="1:4" x14ac:dyDescent="0.25">
      <c r="A304" s="2">
        <v>40322</v>
      </c>
      <c r="B304" s="1">
        <v>1</v>
      </c>
      <c r="C304" s="2">
        <v>40322</v>
      </c>
      <c r="D304" s="1">
        <v>1</v>
      </c>
    </row>
    <row r="305" spans="1:4" x14ac:dyDescent="0.25">
      <c r="A305" s="2">
        <v>40323</v>
      </c>
      <c r="B305" s="1">
        <v>1</v>
      </c>
      <c r="C305" s="2">
        <v>40323</v>
      </c>
      <c r="D305" s="1">
        <v>1</v>
      </c>
    </row>
    <row r="306" spans="1:4" x14ac:dyDescent="0.25">
      <c r="A306" s="2">
        <v>40324</v>
      </c>
      <c r="B306" s="1">
        <v>1</v>
      </c>
      <c r="C306" s="2">
        <v>40324</v>
      </c>
      <c r="D306" s="1">
        <v>1</v>
      </c>
    </row>
    <row r="307" spans="1:4" x14ac:dyDescent="0.25">
      <c r="A307" s="2">
        <v>40325</v>
      </c>
      <c r="B307" s="1">
        <v>1</v>
      </c>
      <c r="C307" s="2">
        <v>40325</v>
      </c>
      <c r="D307" s="1">
        <v>1</v>
      </c>
    </row>
    <row r="308" spans="1:4" x14ac:dyDescent="0.25">
      <c r="A308" s="2">
        <v>40326</v>
      </c>
      <c r="B308" s="1">
        <v>1</v>
      </c>
      <c r="C308" s="2">
        <v>40326</v>
      </c>
      <c r="D308" s="1">
        <v>1</v>
      </c>
    </row>
    <row r="309" spans="1:4" x14ac:dyDescent="0.25">
      <c r="A309" s="2">
        <v>40329</v>
      </c>
      <c r="B309" s="1">
        <v>1</v>
      </c>
      <c r="C309" s="2">
        <v>40329</v>
      </c>
      <c r="D309" s="1">
        <v>1</v>
      </c>
    </row>
    <row r="310" spans="1:4" x14ac:dyDescent="0.25">
      <c r="A310" s="2">
        <v>40330</v>
      </c>
      <c r="B310" s="1">
        <v>1</v>
      </c>
      <c r="C310" s="2">
        <v>40330</v>
      </c>
      <c r="D310" s="1">
        <v>1</v>
      </c>
    </row>
    <row r="311" spans="1:4" x14ac:dyDescent="0.25">
      <c r="A311" s="2">
        <v>40331</v>
      </c>
      <c r="B311" s="1">
        <v>1</v>
      </c>
      <c r="C311" s="2">
        <v>40331</v>
      </c>
      <c r="D311" s="1">
        <v>1</v>
      </c>
    </row>
    <row r="312" spans="1:4" x14ac:dyDescent="0.25">
      <c r="A312" s="2">
        <v>40332</v>
      </c>
      <c r="B312" s="1">
        <v>1</v>
      </c>
      <c r="C312" s="2">
        <v>40332</v>
      </c>
      <c r="D312" s="1">
        <v>1</v>
      </c>
    </row>
    <row r="313" spans="1:4" x14ac:dyDescent="0.25">
      <c r="A313" s="2">
        <v>40333</v>
      </c>
      <c r="B313" s="1">
        <v>1</v>
      </c>
      <c r="C313" s="2">
        <v>40333</v>
      </c>
      <c r="D313" s="1">
        <v>1</v>
      </c>
    </row>
    <row r="314" spans="1:4" x14ac:dyDescent="0.25">
      <c r="A314" s="2">
        <v>40336</v>
      </c>
      <c r="B314" s="1">
        <v>1</v>
      </c>
      <c r="C314" s="2">
        <v>40336</v>
      </c>
      <c r="D314" s="1">
        <v>1</v>
      </c>
    </row>
    <row r="315" spans="1:4" x14ac:dyDescent="0.25">
      <c r="A315" s="2">
        <v>40337</v>
      </c>
      <c r="B315" s="1">
        <v>1</v>
      </c>
      <c r="C315" s="2">
        <v>40337</v>
      </c>
      <c r="D315" s="1">
        <v>1</v>
      </c>
    </row>
    <row r="316" spans="1:4" x14ac:dyDescent="0.25">
      <c r="A316" s="2">
        <v>40338</v>
      </c>
      <c r="B316" s="1">
        <v>1</v>
      </c>
      <c r="C316" s="2">
        <v>40338</v>
      </c>
      <c r="D316" s="1">
        <v>1</v>
      </c>
    </row>
    <row r="317" spans="1:4" x14ac:dyDescent="0.25">
      <c r="A317" s="2">
        <v>40339</v>
      </c>
      <c r="B317" s="1">
        <v>1</v>
      </c>
      <c r="C317" s="2">
        <v>40339</v>
      </c>
      <c r="D317" s="1">
        <v>1</v>
      </c>
    </row>
    <row r="318" spans="1:4" x14ac:dyDescent="0.25">
      <c r="A318" s="2">
        <v>40340</v>
      </c>
      <c r="B318" s="1">
        <v>1</v>
      </c>
      <c r="C318" s="2">
        <v>40340</v>
      </c>
      <c r="D318" s="1">
        <v>1</v>
      </c>
    </row>
    <row r="319" spans="1:4" x14ac:dyDescent="0.25">
      <c r="A319" s="2">
        <v>40343</v>
      </c>
      <c r="B319" s="1">
        <v>1</v>
      </c>
      <c r="C319" s="2">
        <v>40343</v>
      </c>
      <c r="D319" s="1">
        <v>1</v>
      </c>
    </row>
    <row r="320" spans="1:4" x14ac:dyDescent="0.25">
      <c r="A320" s="2">
        <v>40344</v>
      </c>
      <c r="B320" s="1">
        <v>1</v>
      </c>
      <c r="C320" s="2">
        <v>40344</v>
      </c>
      <c r="D320" s="1">
        <v>1</v>
      </c>
    </row>
    <row r="321" spans="1:4" x14ac:dyDescent="0.25">
      <c r="A321" s="2">
        <v>40345</v>
      </c>
      <c r="B321" s="1">
        <v>1</v>
      </c>
      <c r="C321" s="2">
        <v>40345</v>
      </c>
      <c r="D321" s="1">
        <v>1</v>
      </c>
    </row>
    <row r="322" spans="1:4" x14ac:dyDescent="0.25">
      <c r="A322" s="2">
        <v>40346</v>
      </c>
      <c r="B322" s="1">
        <v>1</v>
      </c>
      <c r="C322" s="2">
        <v>40346</v>
      </c>
      <c r="D322" s="1">
        <v>1</v>
      </c>
    </row>
    <row r="323" spans="1:4" x14ac:dyDescent="0.25">
      <c r="A323" s="2">
        <v>40347</v>
      </c>
      <c r="B323" s="1">
        <v>1</v>
      </c>
      <c r="C323" s="2">
        <v>40347</v>
      </c>
      <c r="D323" s="1">
        <v>1</v>
      </c>
    </row>
    <row r="324" spans="1:4" x14ac:dyDescent="0.25">
      <c r="A324" s="2">
        <v>40350</v>
      </c>
      <c r="B324" s="1">
        <v>1</v>
      </c>
      <c r="C324" s="2">
        <v>40350</v>
      </c>
      <c r="D324" s="1">
        <v>1</v>
      </c>
    </row>
    <row r="325" spans="1:4" x14ac:dyDescent="0.25">
      <c r="A325" s="2">
        <v>40351</v>
      </c>
      <c r="B325" s="1">
        <v>1</v>
      </c>
      <c r="C325" s="2">
        <v>40351</v>
      </c>
      <c r="D325" s="1">
        <v>1</v>
      </c>
    </row>
    <row r="326" spans="1:4" x14ac:dyDescent="0.25">
      <c r="A326" s="2">
        <v>40352</v>
      </c>
      <c r="B326" s="1">
        <v>1</v>
      </c>
      <c r="C326" s="2">
        <v>40352</v>
      </c>
      <c r="D326" s="1">
        <v>1</v>
      </c>
    </row>
    <row r="327" spans="1:4" x14ac:dyDescent="0.25">
      <c r="A327" s="2">
        <v>40353</v>
      </c>
      <c r="B327" s="1">
        <v>1</v>
      </c>
      <c r="C327" s="2">
        <v>40353</v>
      </c>
      <c r="D327" s="1">
        <v>1</v>
      </c>
    </row>
    <row r="328" spans="1:4" x14ac:dyDescent="0.25">
      <c r="A328" s="2">
        <v>40354</v>
      </c>
      <c r="B328" s="1">
        <v>1</v>
      </c>
      <c r="C328" s="2">
        <v>40354</v>
      </c>
      <c r="D328" s="1">
        <v>1</v>
      </c>
    </row>
    <row r="329" spans="1:4" x14ac:dyDescent="0.25">
      <c r="A329" s="2">
        <v>40357</v>
      </c>
      <c r="B329" s="1">
        <v>1</v>
      </c>
      <c r="C329" s="2">
        <v>40357</v>
      </c>
      <c r="D329" s="1">
        <v>1</v>
      </c>
    </row>
    <row r="330" spans="1:4" x14ac:dyDescent="0.25">
      <c r="A330" s="2">
        <v>40358</v>
      </c>
      <c r="B330" s="1">
        <v>1</v>
      </c>
      <c r="C330" s="2">
        <v>40358</v>
      </c>
      <c r="D330" s="1">
        <v>1</v>
      </c>
    </row>
    <row r="331" spans="1:4" x14ac:dyDescent="0.25">
      <c r="A331" s="2">
        <v>40359</v>
      </c>
      <c r="B331" s="1">
        <v>1</v>
      </c>
      <c r="C331" s="2">
        <v>40359</v>
      </c>
      <c r="D331" s="1">
        <v>1</v>
      </c>
    </row>
    <row r="332" spans="1:4" x14ac:dyDescent="0.25">
      <c r="A332" s="2">
        <v>40360</v>
      </c>
      <c r="B332" s="1">
        <v>1</v>
      </c>
      <c r="C332" s="2">
        <v>40360</v>
      </c>
      <c r="D332" s="1">
        <v>1</v>
      </c>
    </row>
    <row r="333" spans="1:4" x14ac:dyDescent="0.25">
      <c r="A333" s="2">
        <v>40361</v>
      </c>
      <c r="B333" s="1">
        <v>1</v>
      </c>
      <c r="C333" s="2">
        <v>40361</v>
      </c>
      <c r="D333" s="1">
        <v>1</v>
      </c>
    </row>
    <row r="334" spans="1:4" x14ac:dyDescent="0.25">
      <c r="A334" s="2">
        <v>40364</v>
      </c>
      <c r="B334" s="1">
        <v>1</v>
      </c>
      <c r="C334" s="2">
        <v>40364</v>
      </c>
      <c r="D334" s="1">
        <v>1</v>
      </c>
    </row>
    <row r="335" spans="1:4" x14ac:dyDescent="0.25">
      <c r="A335" s="2">
        <v>40365</v>
      </c>
      <c r="B335" s="1">
        <v>1</v>
      </c>
      <c r="C335" s="2">
        <v>40365</v>
      </c>
      <c r="D335" s="1">
        <v>1</v>
      </c>
    </row>
    <row r="336" spans="1:4" x14ac:dyDescent="0.25">
      <c r="A336" s="2">
        <v>40366</v>
      </c>
      <c r="B336" s="1">
        <v>1</v>
      </c>
      <c r="C336" s="2">
        <v>40366</v>
      </c>
      <c r="D336" s="1">
        <v>1</v>
      </c>
    </row>
    <row r="337" spans="1:4" x14ac:dyDescent="0.25">
      <c r="A337" s="2">
        <v>40367</v>
      </c>
      <c r="B337" s="1">
        <v>1</v>
      </c>
      <c r="C337" s="2">
        <v>40367</v>
      </c>
      <c r="D337" s="1">
        <v>1</v>
      </c>
    </row>
    <row r="338" spans="1:4" x14ac:dyDescent="0.25">
      <c r="A338" s="2">
        <v>40368</v>
      </c>
      <c r="B338" s="1">
        <v>1</v>
      </c>
      <c r="C338" s="2">
        <v>40368</v>
      </c>
      <c r="D338" s="1">
        <v>1</v>
      </c>
    </row>
    <row r="339" spans="1:4" x14ac:dyDescent="0.25">
      <c r="A339" s="2">
        <v>40371</v>
      </c>
      <c r="B339" s="1">
        <v>1</v>
      </c>
      <c r="C339" s="2">
        <v>40371</v>
      </c>
      <c r="D339" s="1">
        <v>1</v>
      </c>
    </row>
    <row r="340" spans="1:4" x14ac:dyDescent="0.25">
      <c r="A340" s="2">
        <v>40372</v>
      </c>
      <c r="B340" s="1">
        <v>1</v>
      </c>
      <c r="C340" s="2">
        <v>40372</v>
      </c>
      <c r="D340" s="1">
        <v>1</v>
      </c>
    </row>
    <row r="341" spans="1:4" x14ac:dyDescent="0.25">
      <c r="A341" s="2">
        <v>40373</v>
      </c>
      <c r="B341" s="1">
        <v>1</v>
      </c>
      <c r="C341" s="2">
        <v>40373</v>
      </c>
      <c r="D341" s="1">
        <v>1</v>
      </c>
    </row>
    <row r="342" spans="1:4" x14ac:dyDescent="0.25">
      <c r="A342" s="2">
        <v>40374</v>
      </c>
      <c r="B342" s="1">
        <v>1</v>
      </c>
      <c r="C342" s="2">
        <v>40374</v>
      </c>
      <c r="D342" s="1">
        <v>1</v>
      </c>
    </row>
    <row r="343" spans="1:4" x14ac:dyDescent="0.25">
      <c r="A343" s="2">
        <v>40375</v>
      </c>
      <c r="B343" s="1">
        <v>1</v>
      </c>
      <c r="C343" s="2">
        <v>40375</v>
      </c>
      <c r="D343" s="1">
        <v>1</v>
      </c>
    </row>
    <row r="344" spans="1:4" x14ac:dyDescent="0.25">
      <c r="A344" s="2">
        <v>40378</v>
      </c>
      <c r="B344" s="1">
        <v>1</v>
      </c>
      <c r="C344" s="2">
        <v>40378</v>
      </c>
      <c r="D344" s="1">
        <v>1</v>
      </c>
    </row>
    <row r="345" spans="1:4" x14ac:dyDescent="0.25">
      <c r="A345" s="2">
        <v>40379</v>
      </c>
      <c r="B345" s="1">
        <v>1</v>
      </c>
      <c r="C345" s="2">
        <v>40379</v>
      </c>
      <c r="D345" s="1">
        <v>1</v>
      </c>
    </row>
    <row r="346" spans="1:4" x14ac:dyDescent="0.25">
      <c r="A346" s="2">
        <v>40380</v>
      </c>
      <c r="B346" s="1">
        <v>1</v>
      </c>
      <c r="C346" s="2">
        <v>40380</v>
      </c>
      <c r="D346" s="1">
        <v>1</v>
      </c>
    </row>
    <row r="347" spans="1:4" x14ac:dyDescent="0.25">
      <c r="A347" s="2">
        <v>40381</v>
      </c>
      <c r="B347" s="1">
        <v>1</v>
      </c>
      <c r="C347" s="2">
        <v>40381</v>
      </c>
      <c r="D347" s="1">
        <v>1</v>
      </c>
    </row>
    <row r="348" spans="1:4" x14ac:dyDescent="0.25">
      <c r="A348" s="2">
        <v>40382</v>
      </c>
      <c r="B348" s="1">
        <v>1</v>
      </c>
      <c r="C348" s="2">
        <v>40382</v>
      </c>
      <c r="D348" s="1">
        <v>1</v>
      </c>
    </row>
    <row r="349" spans="1:4" x14ac:dyDescent="0.25">
      <c r="A349" s="2">
        <v>40385</v>
      </c>
      <c r="B349" s="1">
        <v>1</v>
      </c>
      <c r="C349" s="2">
        <v>40385</v>
      </c>
      <c r="D349" s="1">
        <v>1</v>
      </c>
    </row>
    <row r="350" spans="1:4" x14ac:dyDescent="0.25">
      <c r="A350" s="2">
        <v>40386</v>
      </c>
      <c r="B350" s="1">
        <v>1</v>
      </c>
      <c r="C350" s="2">
        <v>40386</v>
      </c>
      <c r="D350" s="1">
        <v>1</v>
      </c>
    </row>
    <row r="351" spans="1:4" x14ac:dyDescent="0.25">
      <c r="A351" s="2">
        <v>40387</v>
      </c>
      <c r="B351" s="1">
        <v>1</v>
      </c>
      <c r="C351" s="2">
        <v>40387</v>
      </c>
      <c r="D351" s="1">
        <v>1</v>
      </c>
    </row>
    <row r="352" spans="1:4" x14ac:dyDescent="0.25">
      <c r="A352" s="2">
        <v>40388</v>
      </c>
      <c r="B352" s="1">
        <v>1</v>
      </c>
      <c r="C352" s="2">
        <v>40388</v>
      </c>
      <c r="D352" s="1">
        <v>1</v>
      </c>
    </row>
    <row r="353" spans="1:4" x14ac:dyDescent="0.25">
      <c r="A353" s="2">
        <v>40389</v>
      </c>
      <c r="B353" s="1">
        <v>1</v>
      </c>
      <c r="C353" s="2">
        <v>40389</v>
      </c>
      <c r="D353" s="1">
        <v>1</v>
      </c>
    </row>
    <row r="354" spans="1:4" x14ac:dyDescent="0.25">
      <c r="A354" s="2">
        <v>40392</v>
      </c>
      <c r="B354" s="1">
        <v>1</v>
      </c>
      <c r="C354" s="2">
        <v>40392</v>
      </c>
      <c r="D354" s="1">
        <v>1</v>
      </c>
    </row>
    <row r="355" spans="1:4" x14ac:dyDescent="0.25">
      <c r="A355" s="2">
        <v>40393</v>
      </c>
      <c r="B355" s="1">
        <v>1</v>
      </c>
      <c r="C355" s="2">
        <v>40393</v>
      </c>
      <c r="D355" s="1">
        <v>1</v>
      </c>
    </row>
    <row r="356" spans="1:4" x14ac:dyDescent="0.25">
      <c r="A356" s="2">
        <v>40394</v>
      </c>
      <c r="B356" s="1">
        <v>1</v>
      </c>
      <c r="C356" s="2">
        <v>40394</v>
      </c>
      <c r="D356" s="1">
        <v>1</v>
      </c>
    </row>
    <row r="357" spans="1:4" x14ac:dyDescent="0.25">
      <c r="A357" s="2">
        <v>40395</v>
      </c>
      <c r="B357" s="1">
        <v>1</v>
      </c>
      <c r="C357" s="2">
        <v>40395</v>
      </c>
      <c r="D357" s="1">
        <v>1</v>
      </c>
    </row>
    <row r="358" spans="1:4" x14ac:dyDescent="0.25">
      <c r="A358" s="2">
        <v>40396</v>
      </c>
      <c r="B358" s="1">
        <v>1</v>
      </c>
      <c r="C358" s="2">
        <v>40396</v>
      </c>
      <c r="D358" s="1">
        <v>1</v>
      </c>
    </row>
    <row r="359" spans="1:4" x14ac:dyDescent="0.25">
      <c r="A359" s="2">
        <v>40399</v>
      </c>
      <c r="B359" s="1">
        <v>1</v>
      </c>
      <c r="C359" s="2">
        <v>40399</v>
      </c>
      <c r="D359" s="1">
        <v>1</v>
      </c>
    </row>
    <row r="360" spans="1:4" x14ac:dyDescent="0.25">
      <c r="A360" s="2">
        <v>40400</v>
      </c>
      <c r="B360" s="1">
        <v>1</v>
      </c>
      <c r="C360" s="2">
        <v>40400</v>
      </c>
      <c r="D360" s="1">
        <v>1</v>
      </c>
    </row>
    <row r="361" spans="1:4" x14ac:dyDescent="0.25">
      <c r="A361" s="2">
        <v>40401</v>
      </c>
      <c r="B361" s="1">
        <v>1</v>
      </c>
      <c r="C361" s="2">
        <v>40401</v>
      </c>
      <c r="D361" s="1">
        <v>1</v>
      </c>
    </row>
    <row r="362" spans="1:4" x14ac:dyDescent="0.25">
      <c r="A362" s="2">
        <v>40402</v>
      </c>
      <c r="B362" s="1">
        <v>1</v>
      </c>
      <c r="C362" s="2">
        <v>40402</v>
      </c>
      <c r="D362" s="1">
        <v>1</v>
      </c>
    </row>
    <row r="363" spans="1:4" x14ac:dyDescent="0.25">
      <c r="A363" s="2">
        <v>40403</v>
      </c>
      <c r="B363" s="1">
        <v>1</v>
      </c>
      <c r="C363" s="2">
        <v>40403</v>
      </c>
      <c r="D363" s="1">
        <v>1</v>
      </c>
    </row>
    <row r="364" spans="1:4" x14ac:dyDescent="0.25">
      <c r="A364" s="2">
        <v>40406</v>
      </c>
      <c r="B364" s="1">
        <v>1</v>
      </c>
      <c r="C364" s="2">
        <v>40406</v>
      </c>
      <c r="D364" s="1">
        <v>1</v>
      </c>
    </row>
    <row r="365" spans="1:4" x14ac:dyDescent="0.25">
      <c r="A365" s="2">
        <v>40407</v>
      </c>
      <c r="B365" s="1">
        <v>1</v>
      </c>
      <c r="C365" s="2">
        <v>40407</v>
      </c>
      <c r="D365" s="1">
        <v>1</v>
      </c>
    </row>
    <row r="366" spans="1:4" x14ac:dyDescent="0.25">
      <c r="A366" s="2">
        <v>40408</v>
      </c>
      <c r="B366" s="1">
        <v>1</v>
      </c>
      <c r="C366" s="2">
        <v>40408</v>
      </c>
      <c r="D366" s="1">
        <v>1</v>
      </c>
    </row>
    <row r="367" spans="1:4" x14ac:dyDescent="0.25">
      <c r="A367" s="2">
        <v>40409</v>
      </c>
      <c r="B367" s="1">
        <v>1</v>
      </c>
      <c r="C367" s="2">
        <v>40409</v>
      </c>
      <c r="D367" s="1">
        <v>1</v>
      </c>
    </row>
    <row r="368" spans="1:4" x14ac:dyDescent="0.25">
      <c r="A368" s="2">
        <v>40410</v>
      </c>
      <c r="B368" s="1">
        <v>1</v>
      </c>
      <c r="C368" s="2">
        <v>40410</v>
      </c>
      <c r="D368" s="1">
        <v>1</v>
      </c>
    </row>
    <row r="369" spans="1:4" x14ac:dyDescent="0.25">
      <c r="A369" s="2">
        <v>40413</v>
      </c>
      <c r="B369" s="1">
        <v>1</v>
      </c>
      <c r="C369" s="2">
        <v>40413</v>
      </c>
      <c r="D369" s="1">
        <v>1</v>
      </c>
    </row>
    <row r="370" spans="1:4" x14ac:dyDescent="0.25">
      <c r="A370" s="2">
        <v>40414</v>
      </c>
      <c r="B370" s="1">
        <v>1</v>
      </c>
      <c r="C370" s="2">
        <v>40414</v>
      </c>
      <c r="D370" s="1">
        <v>1</v>
      </c>
    </row>
    <row r="371" spans="1:4" x14ac:dyDescent="0.25">
      <c r="A371" s="2">
        <v>40415</v>
      </c>
      <c r="B371" s="1">
        <v>1</v>
      </c>
      <c r="C371" s="2">
        <v>40415</v>
      </c>
      <c r="D371" s="1">
        <v>1</v>
      </c>
    </row>
    <row r="372" spans="1:4" x14ac:dyDescent="0.25">
      <c r="A372" s="2">
        <v>40416</v>
      </c>
      <c r="B372" s="1">
        <v>1</v>
      </c>
      <c r="C372" s="2">
        <v>40416</v>
      </c>
      <c r="D372" s="1">
        <v>1</v>
      </c>
    </row>
    <row r="373" spans="1:4" x14ac:dyDescent="0.25">
      <c r="A373" s="2">
        <v>40417</v>
      </c>
      <c r="B373" s="1">
        <v>1</v>
      </c>
      <c r="C373" s="2">
        <v>40417</v>
      </c>
      <c r="D373" s="1">
        <v>1</v>
      </c>
    </row>
    <row r="374" spans="1:4" x14ac:dyDescent="0.25">
      <c r="A374" s="2">
        <v>40420</v>
      </c>
      <c r="B374" s="1">
        <v>1</v>
      </c>
      <c r="C374" s="2">
        <v>40420</v>
      </c>
      <c r="D374" s="1">
        <v>1</v>
      </c>
    </row>
    <row r="375" spans="1:4" x14ac:dyDescent="0.25">
      <c r="A375" s="2">
        <v>40421</v>
      </c>
      <c r="B375" s="1">
        <v>1</v>
      </c>
      <c r="C375" s="2">
        <v>40421</v>
      </c>
      <c r="D375" s="1">
        <v>1</v>
      </c>
    </row>
    <row r="376" spans="1:4" x14ac:dyDescent="0.25">
      <c r="A376" s="2">
        <v>40422</v>
      </c>
      <c r="B376" s="1">
        <v>1</v>
      </c>
      <c r="C376" s="2">
        <v>40422</v>
      </c>
      <c r="D376" s="1">
        <v>1</v>
      </c>
    </row>
    <row r="377" spans="1:4" x14ac:dyDescent="0.25">
      <c r="A377" s="2">
        <v>40423</v>
      </c>
      <c r="B377" s="1">
        <v>1</v>
      </c>
      <c r="C377" s="2">
        <v>40423</v>
      </c>
      <c r="D377" s="1">
        <v>1</v>
      </c>
    </row>
    <row r="378" spans="1:4" x14ac:dyDescent="0.25">
      <c r="A378" s="2">
        <v>40424</v>
      </c>
      <c r="B378" s="1">
        <v>1</v>
      </c>
      <c r="C378" s="2">
        <v>40424</v>
      </c>
      <c r="D378" s="1">
        <v>1</v>
      </c>
    </row>
    <row r="379" spans="1:4" x14ac:dyDescent="0.25">
      <c r="A379" s="2">
        <v>40427</v>
      </c>
      <c r="B379" s="1">
        <v>1</v>
      </c>
      <c r="C379" s="2">
        <v>40427</v>
      </c>
      <c r="D379" s="1">
        <v>1</v>
      </c>
    </row>
    <row r="380" spans="1:4" x14ac:dyDescent="0.25">
      <c r="A380" s="2">
        <v>40428</v>
      </c>
      <c r="B380" s="1">
        <v>1</v>
      </c>
      <c r="C380" s="2">
        <v>40428</v>
      </c>
      <c r="D380" s="1">
        <v>1</v>
      </c>
    </row>
    <row r="381" spans="1:4" x14ac:dyDescent="0.25">
      <c r="A381" s="2">
        <v>40429</v>
      </c>
      <c r="B381" s="1">
        <v>1</v>
      </c>
      <c r="C381" s="2">
        <v>40429</v>
      </c>
      <c r="D381" s="1">
        <v>1</v>
      </c>
    </row>
    <row r="382" spans="1:4" x14ac:dyDescent="0.25">
      <c r="A382" s="2">
        <v>40430</v>
      </c>
      <c r="B382" s="1">
        <v>1</v>
      </c>
      <c r="C382" s="2">
        <v>40430</v>
      </c>
      <c r="D382" s="1">
        <v>1</v>
      </c>
    </row>
    <row r="383" spans="1:4" x14ac:dyDescent="0.25">
      <c r="A383" s="2">
        <v>40431</v>
      </c>
      <c r="B383" s="1">
        <v>1</v>
      </c>
      <c r="C383" s="2">
        <v>40431</v>
      </c>
      <c r="D383" s="1">
        <v>1</v>
      </c>
    </row>
    <row r="384" spans="1:4" x14ac:dyDescent="0.25">
      <c r="A384" s="2">
        <v>40434</v>
      </c>
      <c r="B384" s="1">
        <v>1</v>
      </c>
      <c r="C384" s="2">
        <v>40434</v>
      </c>
      <c r="D384" s="1">
        <v>1</v>
      </c>
    </row>
    <row r="385" spans="1:4" x14ac:dyDescent="0.25">
      <c r="A385" s="2">
        <v>40435</v>
      </c>
      <c r="B385" s="1">
        <v>1</v>
      </c>
      <c r="C385" s="2">
        <v>40435</v>
      </c>
      <c r="D385" s="1">
        <v>1</v>
      </c>
    </row>
    <row r="386" spans="1:4" x14ac:dyDescent="0.25">
      <c r="A386" s="2">
        <v>40436</v>
      </c>
      <c r="B386" s="1">
        <v>1</v>
      </c>
      <c r="C386" s="2">
        <v>40436</v>
      </c>
      <c r="D386" s="1">
        <v>1</v>
      </c>
    </row>
    <row r="387" spans="1:4" x14ac:dyDescent="0.25">
      <c r="A387" s="2">
        <v>40437</v>
      </c>
      <c r="B387" s="1">
        <v>1</v>
      </c>
      <c r="C387" s="2">
        <v>40437</v>
      </c>
      <c r="D387" s="1">
        <v>1</v>
      </c>
    </row>
    <row r="388" spans="1:4" x14ac:dyDescent="0.25">
      <c r="A388" s="2">
        <v>40438</v>
      </c>
      <c r="B388" s="1">
        <v>1</v>
      </c>
      <c r="C388" s="2">
        <v>40438</v>
      </c>
      <c r="D388" s="1">
        <v>1</v>
      </c>
    </row>
    <row r="389" spans="1:4" x14ac:dyDescent="0.25">
      <c r="A389" s="2">
        <v>40441</v>
      </c>
      <c r="B389" s="1">
        <v>1</v>
      </c>
      <c r="C389" s="2">
        <v>40441</v>
      </c>
      <c r="D389" s="1">
        <v>1</v>
      </c>
    </row>
    <row r="390" spans="1:4" x14ac:dyDescent="0.25">
      <c r="A390" s="2">
        <v>40442</v>
      </c>
      <c r="B390" s="1">
        <v>1</v>
      </c>
      <c r="C390" s="2">
        <v>40442</v>
      </c>
      <c r="D390" s="1">
        <v>1</v>
      </c>
    </row>
    <row r="391" spans="1:4" x14ac:dyDescent="0.25">
      <c r="A391" s="2">
        <v>40443</v>
      </c>
      <c r="B391" s="1">
        <v>1</v>
      </c>
      <c r="C391" s="2">
        <v>40443</v>
      </c>
      <c r="D391" s="1">
        <v>1</v>
      </c>
    </row>
    <row r="392" spans="1:4" x14ac:dyDescent="0.25">
      <c r="A392" s="2">
        <v>40444</v>
      </c>
      <c r="B392" s="1">
        <v>1</v>
      </c>
      <c r="C392" s="2">
        <v>40444</v>
      </c>
      <c r="D392" s="1">
        <v>1</v>
      </c>
    </row>
    <row r="393" spans="1:4" x14ac:dyDescent="0.25">
      <c r="A393" s="2">
        <v>40445</v>
      </c>
      <c r="B393" s="1">
        <v>1</v>
      </c>
      <c r="C393" s="2">
        <v>40445</v>
      </c>
      <c r="D393" s="1">
        <v>1</v>
      </c>
    </row>
    <row r="394" spans="1:4" x14ac:dyDescent="0.25">
      <c r="A394" s="2">
        <v>40448</v>
      </c>
      <c r="B394" s="1">
        <v>1</v>
      </c>
      <c r="C394" s="2">
        <v>40448</v>
      </c>
      <c r="D394" s="1">
        <v>1</v>
      </c>
    </row>
    <row r="395" spans="1:4" x14ac:dyDescent="0.25">
      <c r="A395" s="2">
        <v>40449</v>
      </c>
      <c r="B395" s="1">
        <v>1</v>
      </c>
      <c r="C395" s="2">
        <v>40449</v>
      </c>
      <c r="D395" s="1">
        <v>1</v>
      </c>
    </row>
    <row r="396" spans="1:4" x14ac:dyDescent="0.25">
      <c r="A396" s="2">
        <v>40450</v>
      </c>
      <c r="B396" s="1">
        <v>1</v>
      </c>
      <c r="C396" s="2">
        <v>40450</v>
      </c>
      <c r="D396" s="1">
        <v>1</v>
      </c>
    </row>
    <row r="397" spans="1:4" x14ac:dyDescent="0.25">
      <c r="A397" s="2">
        <v>40451</v>
      </c>
      <c r="B397" s="1">
        <v>1</v>
      </c>
      <c r="C397" s="2">
        <v>40451</v>
      </c>
      <c r="D397" s="1">
        <v>1</v>
      </c>
    </row>
    <row r="398" spans="1:4" x14ac:dyDescent="0.25">
      <c r="A398" s="2">
        <v>40452</v>
      </c>
      <c r="B398" s="1">
        <v>1</v>
      </c>
      <c r="C398" s="2">
        <v>40452</v>
      </c>
      <c r="D398" s="1">
        <v>1</v>
      </c>
    </row>
    <row r="399" spans="1:4" x14ac:dyDescent="0.25">
      <c r="A399" s="2">
        <v>40455</v>
      </c>
      <c r="B399" s="1">
        <v>1</v>
      </c>
      <c r="C399" s="2">
        <v>40455</v>
      </c>
      <c r="D399" s="1">
        <v>1</v>
      </c>
    </row>
    <row r="400" spans="1:4" x14ac:dyDescent="0.25">
      <c r="A400" s="2">
        <v>40456</v>
      </c>
      <c r="B400" s="1">
        <v>1</v>
      </c>
      <c r="C400" s="2">
        <v>40456</v>
      </c>
      <c r="D400" s="1">
        <v>1</v>
      </c>
    </row>
    <row r="401" spans="1:4" x14ac:dyDescent="0.25">
      <c r="A401" s="2">
        <v>40457</v>
      </c>
      <c r="B401" s="1">
        <v>1</v>
      </c>
      <c r="C401" s="2">
        <v>40457</v>
      </c>
      <c r="D401" s="1">
        <v>1</v>
      </c>
    </row>
    <row r="402" spans="1:4" x14ac:dyDescent="0.25">
      <c r="A402" s="2">
        <v>40458</v>
      </c>
      <c r="B402" s="1">
        <v>1</v>
      </c>
      <c r="C402" s="2">
        <v>40458</v>
      </c>
      <c r="D402" s="1">
        <v>1</v>
      </c>
    </row>
    <row r="403" spans="1:4" x14ac:dyDescent="0.25">
      <c r="A403" s="2">
        <v>40459</v>
      </c>
      <c r="B403" s="1">
        <v>1</v>
      </c>
      <c r="C403" s="2">
        <v>40459</v>
      </c>
      <c r="D403" s="1">
        <v>1</v>
      </c>
    </row>
    <row r="404" spans="1:4" x14ac:dyDescent="0.25">
      <c r="A404" s="2">
        <v>40462</v>
      </c>
      <c r="B404" s="1">
        <v>1</v>
      </c>
      <c r="C404" s="2">
        <v>40462</v>
      </c>
      <c r="D404" s="1">
        <v>1</v>
      </c>
    </row>
    <row r="405" spans="1:4" x14ac:dyDescent="0.25">
      <c r="A405" s="2">
        <v>40463</v>
      </c>
      <c r="B405" s="1">
        <v>1</v>
      </c>
      <c r="C405" s="2">
        <v>40463</v>
      </c>
      <c r="D405" s="1">
        <v>1</v>
      </c>
    </row>
    <row r="406" spans="1:4" x14ac:dyDescent="0.25">
      <c r="A406" s="2">
        <v>40464</v>
      </c>
      <c r="B406" s="1">
        <v>1</v>
      </c>
      <c r="C406" s="2">
        <v>40464</v>
      </c>
      <c r="D406" s="1">
        <v>1</v>
      </c>
    </row>
    <row r="407" spans="1:4" x14ac:dyDescent="0.25">
      <c r="A407" s="2">
        <v>40465</v>
      </c>
      <c r="B407" s="1">
        <v>1</v>
      </c>
      <c r="C407" s="2">
        <v>40465</v>
      </c>
      <c r="D407" s="1">
        <v>1</v>
      </c>
    </row>
    <row r="408" spans="1:4" x14ac:dyDescent="0.25">
      <c r="A408" s="2">
        <v>40466</v>
      </c>
      <c r="B408" s="1">
        <v>1</v>
      </c>
      <c r="C408" s="2">
        <v>40466</v>
      </c>
      <c r="D408" s="1">
        <v>1</v>
      </c>
    </row>
    <row r="409" spans="1:4" x14ac:dyDescent="0.25">
      <c r="A409" s="2">
        <v>40469</v>
      </c>
      <c r="B409" s="1">
        <v>1</v>
      </c>
      <c r="C409" s="2">
        <v>40469</v>
      </c>
      <c r="D409" s="1">
        <v>1</v>
      </c>
    </row>
    <row r="410" spans="1:4" x14ac:dyDescent="0.25">
      <c r="A410" s="2">
        <v>40470</v>
      </c>
      <c r="B410" s="1">
        <v>1</v>
      </c>
      <c r="C410" s="2">
        <v>40470</v>
      </c>
      <c r="D410" s="1">
        <v>1</v>
      </c>
    </row>
    <row r="411" spans="1:4" x14ac:dyDescent="0.25">
      <c r="A411" s="2">
        <v>40471</v>
      </c>
      <c r="B411" s="1">
        <v>1</v>
      </c>
      <c r="C411" s="2">
        <v>40471</v>
      </c>
      <c r="D411" s="1">
        <v>1</v>
      </c>
    </row>
    <row r="412" spans="1:4" x14ac:dyDescent="0.25">
      <c r="A412" s="2">
        <v>40472</v>
      </c>
      <c r="B412" s="1">
        <v>1</v>
      </c>
      <c r="C412" s="2">
        <v>40472</v>
      </c>
      <c r="D412" s="1">
        <v>1</v>
      </c>
    </row>
    <row r="413" spans="1:4" x14ac:dyDescent="0.25">
      <c r="A413" s="2">
        <v>40473</v>
      </c>
      <c r="B413" s="1">
        <v>1</v>
      </c>
      <c r="C413" s="2">
        <v>40473</v>
      </c>
      <c r="D413" s="1">
        <v>1</v>
      </c>
    </row>
    <row r="414" spans="1:4" x14ac:dyDescent="0.25">
      <c r="A414" s="2">
        <v>40476</v>
      </c>
      <c r="B414" s="1">
        <v>1</v>
      </c>
      <c r="C414" s="2">
        <v>40476</v>
      </c>
      <c r="D414" s="1">
        <v>1</v>
      </c>
    </row>
    <row r="415" spans="1:4" x14ac:dyDescent="0.25">
      <c r="A415" s="2">
        <v>40477</v>
      </c>
      <c r="B415" s="1">
        <v>1</v>
      </c>
      <c r="C415" s="2">
        <v>40477</v>
      </c>
      <c r="D415" s="1">
        <v>1</v>
      </c>
    </row>
    <row r="416" spans="1:4" x14ac:dyDescent="0.25">
      <c r="A416" s="2">
        <v>40478</v>
      </c>
      <c r="B416" s="1">
        <v>1</v>
      </c>
      <c r="C416" s="2">
        <v>40478</v>
      </c>
      <c r="D416" s="1">
        <v>1</v>
      </c>
    </row>
    <row r="417" spans="1:4" x14ac:dyDescent="0.25">
      <c r="A417" s="2">
        <v>40479</v>
      </c>
      <c r="B417" s="1">
        <v>1</v>
      </c>
      <c r="C417" s="2">
        <v>40479</v>
      </c>
      <c r="D417" s="1">
        <v>1</v>
      </c>
    </row>
    <row r="418" spans="1:4" x14ac:dyDescent="0.25">
      <c r="A418" s="2">
        <v>40480</v>
      </c>
      <c r="B418" s="1">
        <v>1</v>
      </c>
      <c r="C418" s="2">
        <v>40480</v>
      </c>
      <c r="D418" s="1">
        <v>1</v>
      </c>
    </row>
    <row r="419" spans="1:4" x14ac:dyDescent="0.25">
      <c r="A419" s="2">
        <v>40483</v>
      </c>
      <c r="B419" s="1">
        <v>1</v>
      </c>
      <c r="C419" s="2">
        <v>40483</v>
      </c>
      <c r="D419" s="1">
        <v>1</v>
      </c>
    </row>
    <row r="420" spans="1:4" x14ac:dyDescent="0.25">
      <c r="A420" s="2">
        <v>40484</v>
      </c>
      <c r="B420" s="1">
        <v>1</v>
      </c>
      <c r="C420" s="2">
        <v>40484</v>
      </c>
      <c r="D420" s="1">
        <v>1</v>
      </c>
    </row>
    <row r="421" spans="1:4" x14ac:dyDescent="0.25">
      <c r="A421" s="2">
        <v>40485</v>
      </c>
      <c r="B421" s="1">
        <v>1</v>
      </c>
      <c r="C421" s="2">
        <v>40485</v>
      </c>
      <c r="D421" s="1">
        <v>1</v>
      </c>
    </row>
    <row r="422" spans="1:4" x14ac:dyDescent="0.25">
      <c r="A422" s="2">
        <v>40486</v>
      </c>
      <c r="B422" s="1">
        <v>1</v>
      </c>
      <c r="C422" s="2">
        <v>40486</v>
      </c>
      <c r="D422" s="1">
        <v>1</v>
      </c>
    </row>
    <row r="423" spans="1:4" x14ac:dyDescent="0.25">
      <c r="A423" s="2">
        <v>40487</v>
      </c>
      <c r="B423" s="1">
        <v>1</v>
      </c>
      <c r="C423" s="2">
        <v>40487</v>
      </c>
      <c r="D423" s="1">
        <v>1</v>
      </c>
    </row>
    <row r="424" spans="1:4" x14ac:dyDescent="0.25">
      <c r="A424" s="2">
        <v>40490</v>
      </c>
      <c r="B424" s="1">
        <v>1</v>
      </c>
      <c r="C424" s="2">
        <v>40490</v>
      </c>
      <c r="D424" s="1">
        <v>1</v>
      </c>
    </row>
    <row r="425" spans="1:4" x14ac:dyDescent="0.25">
      <c r="A425" s="2">
        <v>40491</v>
      </c>
      <c r="B425" s="1">
        <v>1</v>
      </c>
      <c r="C425" s="2">
        <v>40491</v>
      </c>
      <c r="D425" s="1">
        <v>1</v>
      </c>
    </row>
    <row r="426" spans="1:4" x14ac:dyDescent="0.25">
      <c r="A426" s="2">
        <v>40492</v>
      </c>
      <c r="B426" s="1">
        <v>1</v>
      </c>
      <c r="C426" s="2">
        <v>40492</v>
      </c>
      <c r="D426" s="1">
        <v>1</v>
      </c>
    </row>
    <row r="427" spans="1:4" x14ac:dyDescent="0.25">
      <c r="A427" s="2">
        <v>40493</v>
      </c>
      <c r="B427" s="1">
        <v>1</v>
      </c>
      <c r="C427" s="2">
        <v>40493</v>
      </c>
      <c r="D427" s="1">
        <v>1</v>
      </c>
    </row>
    <row r="428" spans="1:4" x14ac:dyDescent="0.25">
      <c r="A428" s="2">
        <v>40494</v>
      </c>
      <c r="B428" s="1">
        <v>1</v>
      </c>
      <c r="C428" s="2">
        <v>40494</v>
      </c>
      <c r="D428" s="1">
        <v>1</v>
      </c>
    </row>
    <row r="429" spans="1:4" x14ac:dyDescent="0.25">
      <c r="A429" s="2">
        <v>40497</v>
      </c>
      <c r="B429" s="1">
        <v>1</v>
      </c>
      <c r="C429" s="2">
        <v>40497</v>
      </c>
      <c r="D429" s="1">
        <v>1</v>
      </c>
    </row>
    <row r="430" spans="1:4" x14ac:dyDescent="0.25">
      <c r="A430" s="2">
        <v>40498</v>
      </c>
      <c r="B430" s="1">
        <v>1</v>
      </c>
      <c r="C430" s="2">
        <v>40498</v>
      </c>
      <c r="D430" s="1">
        <v>1</v>
      </c>
    </row>
    <row r="431" spans="1:4" x14ac:dyDescent="0.25">
      <c r="A431" s="2">
        <v>40499</v>
      </c>
      <c r="B431" s="1">
        <v>1</v>
      </c>
      <c r="C431" s="2">
        <v>40499</v>
      </c>
      <c r="D431" s="1">
        <v>1</v>
      </c>
    </row>
    <row r="432" spans="1:4" x14ac:dyDescent="0.25">
      <c r="A432" s="2">
        <v>40500</v>
      </c>
      <c r="B432" s="1">
        <v>1</v>
      </c>
      <c r="C432" s="2">
        <v>40500</v>
      </c>
      <c r="D432" s="1">
        <v>1</v>
      </c>
    </row>
    <row r="433" spans="1:4" x14ac:dyDescent="0.25">
      <c r="A433" s="2">
        <v>40501</v>
      </c>
      <c r="B433" s="1">
        <v>1</v>
      </c>
      <c r="C433" s="2">
        <v>40501</v>
      </c>
      <c r="D433" s="1">
        <v>1</v>
      </c>
    </row>
    <row r="434" spans="1:4" x14ac:dyDescent="0.25">
      <c r="A434" s="2">
        <v>40504</v>
      </c>
      <c r="B434" s="1">
        <v>1</v>
      </c>
      <c r="C434" s="2">
        <v>40504</v>
      </c>
      <c r="D434" s="1">
        <v>1</v>
      </c>
    </row>
    <row r="435" spans="1:4" x14ac:dyDescent="0.25">
      <c r="A435" s="2">
        <v>40505</v>
      </c>
      <c r="B435" s="1">
        <v>1</v>
      </c>
      <c r="C435" s="2">
        <v>40505</v>
      </c>
      <c r="D435" s="1">
        <v>1</v>
      </c>
    </row>
    <row r="436" spans="1:4" x14ac:dyDescent="0.25">
      <c r="A436" s="2">
        <v>40506</v>
      </c>
      <c r="B436" s="1">
        <v>1</v>
      </c>
      <c r="C436" s="2">
        <v>40506</v>
      </c>
      <c r="D436" s="1">
        <v>1</v>
      </c>
    </row>
    <row r="437" spans="1:4" x14ac:dyDescent="0.25">
      <c r="A437" s="2">
        <v>40507</v>
      </c>
      <c r="B437" s="1">
        <v>1</v>
      </c>
      <c r="C437" s="2">
        <v>40507</v>
      </c>
      <c r="D437" s="1">
        <v>1</v>
      </c>
    </row>
    <row r="438" spans="1:4" x14ac:dyDescent="0.25">
      <c r="A438" s="2">
        <v>40508</v>
      </c>
      <c r="B438" s="1">
        <v>1</v>
      </c>
      <c r="C438" s="2">
        <v>40508</v>
      </c>
      <c r="D438" s="1">
        <v>1</v>
      </c>
    </row>
    <row r="439" spans="1:4" x14ac:dyDescent="0.25">
      <c r="A439" s="2">
        <v>40511</v>
      </c>
      <c r="B439" s="1">
        <v>1</v>
      </c>
      <c r="C439" s="2">
        <v>40511</v>
      </c>
      <c r="D439" s="1">
        <v>1</v>
      </c>
    </row>
    <row r="440" spans="1:4" x14ac:dyDescent="0.25">
      <c r="A440" s="2">
        <v>40512</v>
      </c>
      <c r="B440" s="1">
        <v>1</v>
      </c>
      <c r="C440" s="2">
        <v>40512</v>
      </c>
      <c r="D440" s="1">
        <v>1</v>
      </c>
    </row>
    <row r="441" spans="1:4" x14ac:dyDescent="0.25">
      <c r="A441" s="2">
        <v>40513</v>
      </c>
      <c r="B441" s="1">
        <v>1</v>
      </c>
      <c r="C441" s="2">
        <v>40513</v>
      </c>
      <c r="D441" s="1">
        <v>1</v>
      </c>
    </row>
    <row r="442" spans="1:4" x14ac:dyDescent="0.25">
      <c r="A442" s="2">
        <v>40514</v>
      </c>
      <c r="B442" s="1">
        <v>1</v>
      </c>
      <c r="C442" s="2">
        <v>40514</v>
      </c>
      <c r="D442" s="1">
        <v>1</v>
      </c>
    </row>
    <row r="443" spans="1:4" x14ac:dyDescent="0.25">
      <c r="A443" s="2">
        <v>40515</v>
      </c>
      <c r="B443" s="1">
        <v>1</v>
      </c>
      <c r="C443" s="2">
        <v>40515</v>
      </c>
      <c r="D443" s="1">
        <v>1</v>
      </c>
    </row>
    <row r="444" spans="1:4" x14ac:dyDescent="0.25">
      <c r="A444" s="2">
        <v>40518</v>
      </c>
      <c r="B444" s="1">
        <v>1</v>
      </c>
      <c r="C444" s="2">
        <v>40518</v>
      </c>
      <c r="D444" s="1">
        <v>1</v>
      </c>
    </row>
    <row r="445" spans="1:4" x14ac:dyDescent="0.25">
      <c r="A445" s="2">
        <v>40519</v>
      </c>
      <c r="B445" s="1">
        <v>1</v>
      </c>
      <c r="C445" s="2">
        <v>40519</v>
      </c>
      <c r="D445" s="1">
        <v>1</v>
      </c>
    </row>
    <row r="446" spans="1:4" x14ac:dyDescent="0.25">
      <c r="A446" s="2">
        <v>40520</v>
      </c>
      <c r="B446" s="1">
        <v>1</v>
      </c>
      <c r="C446" s="2">
        <v>40520</v>
      </c>
      <c r="D446" s="1">
        <v>1</v>
      </c>
    </row>
    <row r="447" spans="1:4" x14ac:dyDescent="0.25">
      <c r="A447" s="2">
        <v>40521</v>
      </c>
      <c r="B447" s="1">
        <v>1</v>
      </c>
      <c r="C447" s="2">
        <v>40521</v>
      </c>
      <c r="D447" s="1">
        <v>1</v>
      </c>
    </row>
    <row r="448" spans="1:4" x14ac:dyDescent="0.25">
      <c r="A448" s="2">
        <v>40522</v>
      </c>
      <c r="B448" s="1">
        <v>1</v>
      </c>
      <c r="C448" s="2">
        <v>40522</v>
      </c>
      <c r="D448" s="1">
        <v>1</v>
      </c>
    </row>
    <row r="449" spans="1:4" x14ac:dyDescent="0.25">
      <c r="A449" s="2">
        <v>40525</v>
      </c>
      <c r="B449" s="1">
        <v>1</v>
      </c>
      <c r="C449" s="2">
        <v>40525</v>
      </c>
      <c r="D449" s="1">
        <v>1</v>
      </c>
    </row>
    <row r="450" spans="1:4" x14ac:dyDescent="0.25">
      <c r="A450" s="2">
        <v>40526</v>
      </c>
      <c r="B450" s="1">
        <v>1</v>
      </c>
      <c r="C450" s="2">
        <v>40526</v>
      </c>
      <c r="D450" s="1">
        <v>1</v>
      </c>
    </row>
    <row r="451" spans="1:4" x14ac:dyDescent="0.25">
      <c r="A451" s="2">
        <v>40527</v>
      </c>
      <c r="B451" s="1">
        <v>1</v>
      </c>
      <c r="C451" s="2">
        <v>40527</v>
      </c>
      <c r="D451" s="1">
        <v>1</v>
      </c>
    </row>
    <row r="452" spans="1:4" x14ac:dyDescent="0.25">
      <c r="A452" s="2">
        <v>40528</v>
      </c>
      <c r="B452" s="1">
        <v>1</v>
      </c>
      <c r="C452" s="2">
        <v>40528</v>
      </c>
      <c r="D452" s="1">
        <v>1</v>
      </c>
    </row>
    <row r="453" spans="1:4" x14ac:dyDescent="0.25">
      <c r="A453" s="2">
        <v>40529</v>
      </c>
      <c r="B453" s="1">
        <v>1</v>
      </c>
      <c r="C453" s="2">
        <v>40529</v>
      </c>
      <c r="D453" s="1">
        <v>1</v>
      </c>
    </row>
    <row r="454" spans="1:4" x14ac:dyDescent="0.25">
      <c r="A454" s="2">
        <v>40532</v>
      </c>
      <c r="B454" s="1">
        <v>1</v>
      </c>
      <c r="C454" s="2">
        <v>40532</v>
      </c>
      <c r="D454" s="1">
        <v>1</v>
      </c>
    </row>
    <row r="455" spans="1:4" x14ac:dyDescent="0.25">
      <c r="A455" s="2">
        <v>40533</v>
      </c>
      <c r="B455" s="1">
        <v>1</v>
      </c>
      <c r="C455" s="2">
        <v>40533</v>
      </c>
      <c r="D455" s="1">
        <v>1</v>
      </c>
    </row>
    <row r="456" spans="1:4" x14ac:dyDescent="0.25">
      <c r="A456" s="2">
        <v>40534</v>
      </c>
      <c r="B456" s="1">
        <v>1</v>
      </c>
      <c r="C456" s="2">
        <v>40534</v>
      </c>
      <c r="D456" s="1">
        <v>1</v>
      </c>
    </row>
    <row r="457" spans="1:4" x14ac:dyDescent="0.25">
      <c r="A457" s="2">
        <v>40535</v>
      </c>
      <c r="B457" s="1">
        <v>1</v>
      </c>
      <c r="C457" s="2">
        <v>40535</v>
      </c>
      <c r="D457" s="1">
        <v>1</v>
      </c>
    </row>
    <row r="458" spans="1:4" x14ac:dyDescent="0.25">
      <c r="A458" s="2">
        <v>40536</v>
      </c>
      <c r="B458" s="1">
        <v>1</v>
      </c>
      <c r="C458" s="2">
        <v>40536</v>
      </c>
      <c r="D458" s="1">
        <v>1</v>
      </c>
    </row>
    <row r="459" spans="1:4" x14ac:dyDescent="0.25">
      <c r="A459" s="2">
        <v>40539</v>
      </c>
      <c r="B459" s="1">
        <v>1</v>
      </c>
      <c r="C459" s="2">
        <v>40539</v>
      </c>
      <c r="D459" s="1">
        <v>1</v>
      </c>
    </row>
    <row r="460" spans="1:4" x14ac:dyDescent="0.25">
      <c r="A460" s="2">
        <v>40540</v>
      </c>
      <c r="B460" s="1">
        <v>1</v>
      </c>
      <c r="C460" s="2">
        <v>40540</v>
      </c>
      <c r="D460" s="1">
        <v>1</v>
      </c>
    </row>
    <row r="461" spans="1:4" x14ac:dyDescent="0.25">
      <c r="A461" s="2">
        <v>40541</v>
      </c>
      <c r="B461" s="1">
        <v>1</v>
      </c>
      <c r="C461" s="2">
        <v>40541</v>
      </c>
      <c r="D461" s="1">
        <v>1</v>
      </c>
    </row>
    <row r="462" spans="1:4" x14ac:dyDescent="0.25">
      <c r="A462" s="2">
        <v>40542</v>
      </c>
      <c r="B462" s="1">
        <v>1</v>
      </c>
      <c r="C462" s="2">
        <v>40542</v>
      </c>
      <c r="D462" s="1">
        <v>1</v>
      </c>
    </row>
    <row r="463" spans="1:4" x14ac:dyDescent="0.25">
      <c r="A463" s="2">
        <v>40543</v>
      </c>
      <c r="B463" s="1">
        <v>1</v>
      </c>
      <c r="C463" s="2">
        <v>40543</v>
      </c>
      <c r="D463" s="1">
        <v>1</v>
      </c>
    </row>
    <row r="464" spans="1:4" x14ac:dyDescent="0.25">
      <c r="A464" s="2">
        <v>40546</v>
      </c>
      <c r="B464" s="1">
        <v>1</v>
      </c>
      <c r="C464" s="2">
        <v>40546</v>
      </c>
      <c r="D464" s="1">
        <v>1</v>
      </c>
    </row>
    <row r="465" spans="1:4" x14ac:dyDescent="0.25">
      <c r="A465" s="2">
        <v>40547</v>
      </c>
      <c r="B465" s="1">
        <v>1</v>
      </c>
      <c r="C465" s="2">
        <v>40547</v>
      </c>
      <c r="D465" s="1">
        <v>1</v>
      </c>
    </row>
    <row r="466" spans="1:4" x14ac:dyDescent="0.25">
      <c r="A466" s="2">
        <v>40548</v>
      </c>
      <c r="B466" s="1">
        <v>1</v>
      </c>
      <c r="C466" s="2">
        <v>40548</v>
      </c>
      <c r="D466" s="1">
        <v>1</v>
      </c>
    </row>
    <row r="467" spans="1:4" x14ac:dyDescent="0.25">
      <c r="A467" s="2">
        <v>40549</v>
      </c>
      <c r="B467" s="1">
        <v>1</v>
      </c>
      <c r="C467" s="2">
        <v>40549</v>
      </c>
      <c r="D467" s="1">
        <v>1</v>
      </c>
    </row>
    <row r="468" spans="1:4" x14ac:dyDescent="0.25">
      <c r="A468" s="2">
        <v>40550</v>
      </c>
      <c r="B468" s="1">
        <v>1</v>
      </c>
      <c r="C468" s="2">
        <v>40550</v>
      </c>
      <c r="D468" s="1">
        <v>1</v>
      </c>
    </row>
    <row r="469" spans="1:4" x14ac:dyDescent="0.25">
      <c r="A469" s="2">
        <v>40553</v>
      </c>
      <c r="B469" s="1">
        <v>1</v>
      </c>
      <c r="C469" s="2">
        <v>40553</v>
      </c>
      <c r="D469" s="1">
        <v>1</v>
      </c>
    </row>
    <row r="470" spans="1:4" x14ac:dyDescent="0.25">
      <c r="A470" s="2">
        <v>40554</v>
      </c>
      <c r="B470" s="1">
        <v>1</v>
      </c>
      <c r="C470" s="2">
        <v>40554</v>
      </c>
      <c r="D470" s="1">
        <v>1</v>
      </c>
    </row>
    <row r="471" spans="1:4" x14ac:dyDescent="0.25">
      <c r="A471" s="2">
        <v>40555</v>
      </c>
      <c r="B471" s="1">
        <v>1</v>
      </c>
      <c r="C471" s="2">
        <v>40555</v>
      </c>
      <c r="D471" s="1">
        <v>1</v>
      </c>
    </row>
    <row r="472" spans="1:4" x14ac:dyDescent="0.25">
      <c r="A472" s="2">
        <v>40556</v>
      </c>
      <c r="B472" s="1">
        <v>1</v>
      </c>
      <c r="C472" s="2">
        <v>40556</v>
      </c>
      <c r="D472" s="1">
        <v>1</v>
      </c>
    </row>
    <row r="473" spans="1:4" x14ac:dyDescent="0.25">
      <c r="A473" s="2">
        <v>40557</v>
      </c>
      <c r="B473" s="1">
        <v>1</v>
      </c>
      <c r="C473" s="2">
        <v>40557</v>
      </c>
      <c r="D473" s="1">
        <v>1</v>
      </c>
    </row>
    <row r="474" spans="1:4" x14ac:dyDescent="0.25">
      <c r="A474" s="2">
        <v>40560</v>
      </c>
      <c r="B474" s="1">
        <v>1</v>
      </c>
      <c r="C474" s="2">
        <v>40560</v>
      </c>
      <c r="D474" s="1">
        <v>1</v>
      </c>
    </row>
    <row r="475" spans="1:4" x14ac:dyDescent="0.25">
      <c r="A475" s="2">
        <v>40561</v>
      </c>
      <c r="B475" s="1">
        <v>1</v>
      </c>
      <c r="C475" s="2">
        <v>40561</v>
      </c>
      <c r="D475" s="1">
        <v>1</v>
      </c>
    </row>
    <row r="476" spans="1:4" x14ac:dyDescent="0.25">
      <c r="A476" s="2">
        <v>40562</v>
      </c>
      <c r="B476" s="1">
        <v>1</v>
      </c>
      <c r="C476" s="2">
        <v>40562</v>
      </c>
      <c r="D476" s="1">
        <v>1</v>
      </c>
    </row>
    <row r="477" spans="1:4" x14ac:dyDescent="0.25">
      <c r="A477" s="2">
        <v>40563</v>
      </c>
      <c r="B477" s="1">
        <v>1</v>
      </c>
      <c r="C477" s="2">
        <v>40563</v>
      </c>
      <c r="D477" s="1">
        <v>1</v>
      </c>
    </row>
    <row r="478" spans="1:4" x14ac:dyDescent="0.25">
      <c r="A478" s="2">
        <v>40564</v>
      </c>
      <c r="B478" s="1">
        <v>1</v>
      </c>
      <c r="C478" s="2">
        <v>40564</v>
      </c>
      <c r="D478" s="1">
        <v>1</v>
      </c>
    </row>
    <row r="479" spans="1:4" x14ac:dyDescent="0.25">
      <c r="A479" s="2">
        <v>40567</v>
      </c>
      <c r="B479" s="1">
        <v>1</v>
      </c>
      <c r="C479" s="2">
        <v>40567</v>
      </c>
      <c r="D479" s="1">
        <v>1</v>
      </c>
    </row>
    <row r="480" spans="1:4" x14ac:dyDescent="0.25">
      <c r="A480" s="2">
        <v>40568</v>
      </c>
      <c r="B480" s="1">
        <v>1</v>
      </c>
      <c r="C480" s="2">
        <v>40568</v>
      </c>
      <c r="D480" s="1">
        <v>1</v>
      </c>
    </row>
    <row r="481" spans="1:4" x14ac:dyDescent="0.25">
      <c r="A481" s="2">
        <v>40569</v>
      </c>
      <c r="B481" s="1">
        <v>1</v>
      </c>
      <c r="C481" s="2">
        <v>40569</v>
      </c>
      <c r="D481" s="1">
        <v>1</v>
      </c>
    </row>
    <row r="482" spans="1:4" x14ac:dyDescent="0.25">
      <c r="A482" s="2">
        <v>40570</v>
      </c>
      <c r="B482" s="1">
        <v>1</v>
      </c>
      <c r="C482" s="2">
        <v>40570</v>
      </c>
      <c r="D482" s="1">
        <v>1</v>
      </c>
    </row>
    <row r="483" spans="1:4" x14ac:dyDescent="0.25">
      <c r="A483" s="2">
        <v>40571</v>
      </c>
      <c r="B483" s="1">
        <v>1</v>
      </c>
      <c r="C483" s="2">
        <v>40571</v>
      </c>
      <c r="D483" s="1">
        <v>1</v>
      </c>
    </row>
    <row r="484" spans="1:4" x14ac:dyDescent="0.25">
      <c r="A484" s="2">
        <v>40574</v>
      </c>
      <c r="B484" s="1">
        <v>1</v>
      </c>
      <c r="C484" s="2">
        <v>40574</v>
      </c>
      <c r="D484" s="1">
        <v>1</v>
      </c>
    </row>
    <row r="485" spans="1:4" x14ac:dyDescent="0.25">
      <c r="A485" s="2">
        <v>40575</v>
      </c>
      <c r="B485" s="1">
        <v>1</v>
      </c>
      <c r="C485" s="2">
        <v>40575</v>
      </c>
      <c r="D485" s="1">
        <v>1</v>
      </c>
    </row>
    <row r="486" spans="1:4" x14ac:dyDescent="0.25">
      <c r="A486" s="2">
        <v>40576</v>
      </c>
      <c r="B486" s="1">
        <v>1</v>
      </c>
      <c r="C486" s="2">
        <v>40576</v>
      </c>
      <c r="D486" s="1">
        <v>1</v>
      </c>
    </row>
    <row r="487" spans="1:4" x14ac:dyDescent="0.25">
      <c r="A487" s="2">
        <v>40577</v>
      </c>
      <c r="B487" s="1">
        <v>1</v>
      </c>
      <c r="C487" s="2">
        <v>40577</v>
      </c>
      <c r="D487" s="1">
        <v>1</v>
      </c>
    </row>
    <row r="488" spans="1:4" x14ac:dyDescent="0.25">
      <c r="A488" s="2">
        <v>40578</v>
      </c>
      <c r="B488" s="1">
        <v>1</v>
      </c>
      <c r="C488" s="2">
        <v>40578</v>
      </c>
      <c r="D488" s="1">
        <v>1</v>
      </c>
    </row>
    <row r="489" spans="1:4" x14ac:dyDescent="0.25">
      <c r="A489" s="2">
        <v>40581</v>
      </c>
      <c r="B489" s="1">
        <v>1</v>
      </c>
      <c r="C489" s="2">
        <v>40581</v>
      </c>
      <c r="D489" s="1">
        <v>1</v>
      </c>
    </row>
    <row r="490" spans="1:4" x14ac:dyDescent="0.25">
      <c r="A490" s="2">
        <v>40582</v>
      </c>
      <c r="B490" s="1">
        <v>1</v>
      </c>
      <c r="C490" s="2">
        <v>40582</v>
      </c>
      <c r="D490" s="1">
        <v>1</v>
      </c>
    </row>
    <row r="491" spans="1:4" x14ac:dyDescent="0.25">
      <c r="A491" s="2">
        <v>40583</v>
      </c>
      <c r="B491" s="1">
        <v>1</v>
      </c>
      <c r="C491" s="2">
        <v>40583</v>
      </c>
      <c r="D491" s="1">
        <v>1</v>
      </c>
    </row>
    <row r="492" spans="1:4" x14ac:dyDescent="0.25">
      <c r="A492" s="2">
        <v>40584</v>
      </c>
      <c r="B492" s="1">
        <v>1</v>
      </c>
      <c r="C492" s="2">
        <v>40584</v>
      </c>
      <c r="D492" s="1">
        <v>1</v>
      </c>
    </row>
    <row r="493" spans="1:4" x14ac:dyDescent="0.25">
      <c r="A493" s="2">
        <v>40585</v>
      </c>
      <c r="B493" s="1">
        <v>1</v>
      </c>
      <c r="C493" s="2">
        <v>40585</v>
      </c>
      <c r="D493" s="1">
        <v>1</v>
      </c>
    </row>
    <row r="494" spans="1:4" x14ac:dyDescent="0.25">
      <c r="A494" s="2">
        <v>40588</v>
      </c>
      <c r="B494" s="1">
        <v>1</v>
      </c>
      <c r="C494" s="2">
        <v>40588</v>
      </c>
      <c r="D494" s="1">
        <v>1</v>
      </c>
    </row>
    <row r="495" spans="1:4" x14ac:dyDescent="0.25">
      <c r="A495" s="2">
        <v>40589</v>
      </c>
      <c r="B495" s="1">
        <v>1</v>
      </c>
      <c r="C495" s="2">
        <v>40589</v>
      </c>
      <c r="D495" s="1">
        <v>1</v>
      </c>
    </row>
    <row r="496" spans="1:4" x14ac:dyDescent="0.25">
      <c r="A496" s="2">
        <v>40590</v>
      </c>
      <c r="B496" s="1">
        <v>1</v>
      </c>
      <c r="C496" s="2">
        <v>40590</v>
      </c>
      <c r="D496" s="1">
        <v>1</v>
      </c>
    </row>
    <row r="497" spans="1:4" x14ac:dyDescent="0.25">
      <c r="A497" s="2">
        <v>40591</v>
      </c>
      <c r="B497" s="1">
        <v>1</v>
      </c>
      <c r="C497" s="2">
        <v>40591</v>
      </c>
      <c r="D497" s="1">
        <v>1</v>
      </c>
    </row>
    <row r="498" spans="1:4" x14ac:dyDescent="0.25">
      <c r="A498" s="2">
        <v>40592</v>
      </c>
      <c r="B498" s="1">
        <v>1</v>
      </c>
      <c r="C498" s="2">
        <v>40592</v>
      </c>
      <c r="D498" s="1">
        <v>1</v>
      </c>
    </row>
    <row r="499" spans="1:4" x14ac:dyDescent="0.25">
      <c r="A499" s="2">
        <v>40595</v>
      </c>
      <c r="B499" s="1">
        <v>1</v>
      </c>
      <c r="C499" s="2">
        <v>40595</v>
      </c>
      <c r="D499" s="1">
        <v>1</v>
      </c>
    </row>
    <row r="500" spans="1:4" x14ac:dyDescent="0.25">
      <c r="A500" s="2">
        <v>40596</v>
      </c>
      <c r="B500" s="1">
        <v>1</v>
      </c>
      <c r="C500" s="2">
        <v>40596</v>
      </c>
      <c r="D500" s="1">
        <v>1</v>
      </c>
    </row>
    <row r="501" spans="1:4" x14ac:dyDescent="0.25">
      <c r="A501" s="2">
        <v>40597</v>
      </c>
      <c r="B501" s="1">
        <v>1</v>
      </c>
      <c r="C501" s="2">
        <v>40597</v>
      </c>
      <c r="D501" s="1">
        <v>1</v>
      </c>
    </row>
    <row r="502" spans="1:4" x14ac:dyDescent="0.25">
      <c r="A502" s="2">
        <v>40598</v>
      </c>
      <c r="B502" s="1">
        <v>1</v>
      </c>
      <c r="C502" s="2">
        <v>40598</v>
      </c>
      <c r="D502" s="1">
        <v>1</v>
      </c>
    </row>
    <row r="503" spans="1:4" x14ac:dyDescent="0.25">
      <c r="A503" s="2">
        <v>40599</v>
      </c>
      <c r="B503" s="1">
        <v>1</v>
      </c>
      <c r="C503" s="2">
        <v>40599</v>
      </c>
      <c r="D503" s="1">
        <v>1</v>
      </c>
    </row>
    <row r="504" spans="1:4" x14ac:dyDescent="0.25">
      <c r="A504" s="2">
        <v>40602</v>
      </c>
      <c r="B504" s="1">
        <v>1</v>
      </c>
      <c r="C504" s="2">
        <v>40602</v>
      </c>
      <c r="D504" s="1">
        <v>1</v>
      </c>
    </row>
    <row r="505" spans="1:4" x14ac:dyDescent="0.25">
      <c r="A505" s="2">
        <v>40603</v>
      </c>
      <c r="B505" s="1">
        <v>1</v>
      </c>
      <c r="C505" s="2">
        <v>40603</v>
      </c>
      <c r="D505" s="1">
        <v>1</v>
      </c>
    </row>
    <row r="506" spans="1:4" x14ac:dyDescent="0.25">
      <c r="A506" s="2">
        <v>40604</v>
      </c>
      <c r="B506" s="1">
        <v>1</v>
      </c>
      <c r="C506" s="2">
        <v>40604</v>
      </c>
      <c r="D506" s="1">
        <v>1</v>
      </c>
    </row>
    <row r="507" spans="1:4" x14ac:dyDescent="0.25">
      <c r="A507" s="2">
        <v>40605</v>
      </c>
      <c r="B507" s="1">
        <v>1</v>
      </c>
      <c r="C507" s="2">
        <v>40605</v>
      </c>
      <c r="D507" s="1">
        <v>1</v>
      </c>
    </row>
    <row r="508" spans="1:4" x14ac:dyDescent="0.25">
      <c r="A508" s="2">
        <v>40606</v>
      </c>
      <c r="B508" s="1">
        <v>1</v>
      </c>
      <c r="C508" s="2">
        <v>40606</v>
      </c>
      <c r="D508" s="1">
        <v>1</v>
      </c>
    </row>
    <row r="509" spans="1:4" x14ac:dyDescent="0.25">
      <c r="A509" s="2">
        <v>40609</v>
      </c>
      <c r="B509" s="1">
        <v>1</v>
      </c>
      <c r="C509" s="2">
        <v>40609</v>
      </c>
      <c r="D509" s="1">
        <v>1</v>
      </c>
    </row>
    <row r="510" spans="1:4" x14ac:dyDescent="0.25">
      <c r="A510" s="2">
        <v>40610</v>
      </c>
      <c r="B510" s="1">
        <v>1</v>
      </c>
      <c r="C510" s="2">
        <v>40610</v>
      </c>
      <c r="D510" s="1">
        <v>1</v>
      </c>
    </row>
    <row r="511" spans="1:4" x14ac:dyDescent="0.25">
      <c r="A511" s="2">
        <v>40611</v>
      </c>
      <c r="B511" s="1">
        <v>1</v>
      </c>
      <c r="C511" s="2">
        <v>40611</v>
      </c>
      <c r="D511" s="1">
        <v>1</v>
      </c>
    </row>
    <row r="512" spans="1:4" x14ac:dyDescent="0.25">
      <c r="A512" s="2">
        <v>40612</v>
      </c>
      <c r="B512" s="1">
        <v>1</v>
      </c>
      <c r="C512" s="2">
        <v>40612</v>
      </c>
      <c r="D512" s="1">
        <v>1</v>
      </c>
    </row>
    <row r="513" spans="1:4" x14ac:dyDescent="0.25">
      <c r="A513" s="2">
        <v>40613</v>
      </c>
      <c r="B513" s="1">
        <v>1</v>
      </c>
      <c r="C513" s="2">
        <v>40613</v>
      </c>
      <c r="D513" s="1">
        <v>1</v>
      </c>
    </row>
    <row r="514" spans="1:4" x14ac:dyDescent="0.25">
      <c r="A514" s="2">
        <v>40616</v>
      </c>
      <c r="B514" s="1">
        <v>1</v>
      </c>
      <c r="C514" s="2">
        <v>40616</v>
      </c>
      <c r="D514" s="1">
        <v>1</v>
      </c>
    </row>
    <row r="515" spans="1:4" x14ac:dyDescent="0.25">
      <c r="A515" s="2">
        <v>40617</v>
      </c>
      <c r="B515" s="1">
        <v>1</v>
      </c>
      <c r="C515" s="2">
        <v>40617</v>
      </c>
      <c r="D515" s="1">
        <v>1</v>
      </c>
    </row>
    <row r="516" spans="1:4" x14ac:dyDescent="0.25">
      <c r="A516" s="2">
        <v>40618</v>
      </c>
      <c r="B516" s="1">
        <v>1</v>
      </c>
      <c r="C516" s="2">
        <v>40618</v>
      </c>
      <c r="D516" s="1">
        <v>1</v>
      </c>
    </row>
    <row r="517" spans="1:4" x14ac:dyDescent="0.25">
      <c r="A517" s="2">
        <v>40619</v>
      </c>
      <c r="B517" s="1">
        <v>1</v>
      </c>
      <c r="C517" s="2">
        <v>40619</v>
      </c>
      <c r="D517" s="1">
        <v>1</v>
      </c>
    </row>
    <row r="518" spans="1:4" x14ac:dyDescent="0.25">
      <c r="A518" s="2">
        <v>40620</v>
      </c>
      <c r="B518" s="1">
        <v>1</v>
      </c>
      <c r="C518" s="2">
        <v>40620</v>
      </c>
      <c r="D518" s="1">
        <v>1</v>
      </c>
    </row>
    <row r="519" spans="1:4" x14ac:dyDescent="0.25">
      <c r="A519" s="2">
        <v>40623</v>
      </c>
      <c r="B519" s="1">
        <v>1</v>
      </c>
      <c r="C519" s="2">
        <v>40623</v>
      </c>
      <c r="D519" s="1">
        <v>1</v>
      </c>
    </row>
    <row r="520" spans="1:4" x14ac:dyDescent="0.25">
      <c r="A520" s="2">
        <v>40624</v>
      </c>
      <c r="B520" s="1">
        <v>1</v>
      </c>
      <c r="C520" s="2">
        <v>40624</v>
      </c>
      <c r="D520" s="1">
        <v>1</v>
      </c>
    </row>
    <row r="521" spans="1:4" x14ac:dyDescent="0.25">
      <c r="A521" s="2">
        <v>40625</v>
      </c>
      <c r="B521" s="1">
        <v>1</v>
      </c>
      <c r="C521" s="2">
        <v>40625</v>
      </c>
      <c r="D521" s="1">
        <v>1</v>
      </c>
    </row>
    <row r="522" spans="1:4" x14ac:dyDescent="0.25">
      <c r="A522" s="2">
        <v>40626</v>
      </c>
      <c r="B522" s="1">
        <v>1</v>
      </c>
      <c r="C522" s="2">
        <v>40626</v>
      </c>
      <c r="D522" s="1">
        <v>1</v>
      </c>
    </row>
    <row r="523" spans="1:4" x14ac:dyDescent="0.25">
      <c r="A523" s="2">
        <v>40627</v>
      </c>
      <c r="B523" s="1">
        <v>1</v>
      </c>
      <c r="C523" s="2">
        <v>40627</v>
      </c>
      <c r="D523" s="1">
        <v>1</v>
      </c>
    </row>
    <row r="524" spans="1:4" x14ac:dyDescent="0.25">
      <c r="A524" s="2">
        <v>40630</v>
      </c>
      <c r="B524" s="1">
        <v>1</v>
      </c>
      <c r="C524" s="2">
        <v>40630</v>
      </c>
      <c r="D524" s="1">
        <v>1</v>
      </c>
    </row>
    <row r="525" spans="1:4" x14ac:dyDescent="0.25">
      <c r="A525" s="2">
        <v>40631</v>
      </c>
      <c r="B525" s="1">
        <v>1</v>
      </c>
      <c r="C525" s="2">
        <v>40631</v>
      </c>
      <c r="D525" s="1">
        <v>1</v>
      </c>
    </row>
    <row r="526" spans="1:4" x14ac:dyDescent="0.25">
      <c r="A526" s="2">
        <v>40632</v>
      </c>
      <c r="B526" s="1">
        <v>1</v>
      </c>
      <c r="C526" s="2">
        <v>40632</v>
      </c>
      <c r="D526" s="1">
        <v>1</v>
      </c>
    </row>
    <row r="527" spans="1:4" x14ac:dyDescent="0.25">
      <c r="A527" s="2">
        <v>40633</v>
      </c>
      <c r="B527" s="1">
        <v>1</v>
      </c>
      <c r="C527" s="2">
        <v>40633</v>
      </c>
      <c r="D527" s="1">
        <v>1</v>
      </c>
    </row>
    <row r="528" spans="1:4" x14ac:dyDescent="0.25">
      <c r="A528" s="2">
        <v>40634</v>
      </c>
      <c r="B528" s="1">
        <v>1</v>
      </c>
      <c r="C528" s="2">
        <v>40634</v>
      </c>
      <c r="D528" s="1">
        <v>1</v>
      </c>
    </row>
    <row r="529" spans="1:4" x14ac:dyDescent="0.25">
      <c r="A529" s="2">
        <v>40637</v>
      </c>
      <c r="B529" s="1">
        <v>1</v>
      </c>
      <c r="C529" s="2">
        <v>40637</v>
      </c>
      <c r="D529" s="1">
        <v>1</v>
      </c>
    </row>
    <row r="530" spans="1:4" x14ac:dyDescent="0.25">
      <c r="A530" s="2">
        <v>40638</v>
      </c>
      <c r="B530" s="1">
        <v>1</v>
      </c>
      <c r="C530" s="2">
        <v>40638</v>
      </c>
      <c r="D530" s="1">
        <v>1</v>
      </c>
    </row>
    <row r="531" spans="1:4" x14ac:dyDescent="0.25">
      <c r="A531" s="2">
        <v>40639</v>
      </c>
      <c r="B531" s="1">
        <v>1</v>
      </c>
      <c r="C531" s="2">
        <v>40639</v>
      </c>
      <c r="D531" s="1">
        <v>1</v>
      </c>
    </row>
    <row r="532" spans="1:4" x14ac:dyDescent="0.25">
      <c r="A532" s="2">
        <v>40640</v>
      </c>
      <c r="B532" s="1">
        <v>1</v>
      </c>
      <c r="C532" s="2">
        <v>40640</v>
      </c>
      <c r="D532" s="1">
        <v>1</v>
      </c>
    </row>
    <row r="533" spans="1:4" x14ac:dyDescent="0.25">
      <c r="A533" s="2">
        <v>40641</v>
      </c>
      <c r="B533" s="1">
        <v>1</v>
      </c>
      <c r="C533" s="2">
        <v>40641</v>
      </c>
      <c r="D533" s="1">
        <v>1</v>
      </c>
    </row>
    <row r="534" spans="1:4" x14ac:dyDescent="0.25">
      <c r="A534" s="2">
        <v>40644</v>
      </c>
      <c r="B534" s="1">
        <v>1</v>
      </c>
      <c r="C534" s="2">
        <v>40644</v>
      </c>
      <c r="D534" s="1">
        <v>1</v>
      </c>
    </row>
    <row r="535" spans="1:4" x14ac:dyDescent="0.25">
      <c r="A535" s="2">
        <v>40645</v>
      </c>
      <c r="B535" s="1">
        <v>1</v>
      </c>
      <c r="C535" s="2">
        <v>40645</v>
      </c>
      <c r="D535" s="1">
        <v>1</v>
      </c>
    </row>
    <row r="536" spans="1:4" x14ac:dyDescent="0.25">
      <c r="A536" s="2">
        <v>40646</v>
      </c>
      <c r="B536" s="1">
        <v>1</v>
      </c>
      <c r="C536" s="2">
        <v>40646</v>
      </c>
      <c r="D536" s="1">
        <v>1</v>
      </c>
    </row>
    <row r="537" spans="1:4" x14ac:dyDescent="0.25">
      <c r="A537" s="2">
        <v>40647</v>
      </c>
      <c r="B537" s="1">
        <v>1</v>
      </c>
      <c r="C537" s="2">
        <v>40647</v>
      </c>
      <c r="D537" s="1">
        <v>1</v>
      </c>
    </row>
    <row r="538" spans="1:4" x14ac:dyDescent="0.25">
      <c r="A538" s="2">
        <v>40648</v>
      </c>
      <c r="B538" s="1">
        <v>1</v>
      </c>
      <c r="C538" s="2">
        <v>40648</v>
      </c>
      <c r="D538" s="1">
        <v>1</v>
      </c>
    </row>
    <row r="539" spans="1:4" x14ac:dyDescent="0.25">
      <c r="A539" s="2">
        <v>40651</v>
      </c>
      <c r="B539" s="1">
        <v>1</v>
      </c>
      <c r="C539" s="2">
        <v>40651</v>
      </c>
      <c r="D539" s="1">
        <v>1</v>
      </c>
    </row>
    <row r="540" spans="1:4" x14ac:dyDescent="0.25">
      <c r="A540" s="2">
        <v>40652</v>
      </c>
      <c r="B540" s="1">
        <v>1</v>
      </c>
      <c r="C540" s="2">
        <v>40652</v>
      </c>
      <c r="D540" s="1">
        <v>1</v>
      </c>
    </row>
    <row r="541" spans="1:4" x14ac:dyDescent="0.25">
      <c r="A541" s="2">
        <v>40653</v>
      </c>
      <c r="B541" s="1">
        <v>1</v>
      </c>
      <c r="C541" s="2">
        <v>40653</v>
      </c>
      <c r="D541" s="1">
        <v>1</v>
      </c>
    </row>
    <row r="542" spans="1:4" x14ac:dyDescent="0.25">
      <c r="A542" s="2">
        <v>40654</v>
      </c>
      <c r="B542" s="1">
        <v>1</v>
      </c>
      <c r="C542" s="2">
        <v>40654</v>
      </c>
      <c r="D542" s="1">
        <v>1</v>
      </c>
    </row>
    <row r="543" spans="1:4" x14ac:dyDescent="0.25">
      <c r="A543" s="2">
        <v>40659</v>
      </c>
      <c r="B543" s="1">
        <v>1</v>
      </c>
      <c r="C543" s="2">
        <v>40659</v>
      </c>
      <c r="D543" s="1">
        <v>1</v>
      </c>
    </row>
    <row r="544" spans="1:4" x14ac:dyDescent="0.25">
      <c r="A544" s="2">
        <v>40660</v>
      </c>
      <c r="B544" s="1">
        <v>1</v>
      </c>
      <c r="C544" s="2">
        <v>40660</v>
      </c>
      <c r="D544" s="1">
        <v>1</v>
      </c>
    </row>
    <row r="545" spans="1:4" x14ac:dyDescent="0.25">
      <c r="A545" s="2">
        <v>40661</v>
      </c>
      <c r="B545" s="1">
        <v>1</v>
      </c>
      <c r="C545" s="2">
        <v>40661</v>
      </c>
      <c r="D545" s="1">
        <v>1</v>
      </c>
    </row>
    <row r="546" spans="1:4" x14ac:dyDescent="0.25">
      <c r="A546" s="2">
        <v>40662</v>
      </c>
      <c r="B546" s="1">
        <v>1</v>
      </c>
      <c r="C546" s="2">
        <v>40662</v>
      </c>
      <c r="D546" s="1">
        <v>1</v>
      </c>
    </row>
    <row r="547" spans="1:4" x14ac:dyDescent="0.25">
      <c r="A547" s="2">
        <v>40665</v>
      </c>
      <c r="B547" s="1">
        <v>1</v>
      </c>
      <c r="C547" s="2">
        <v>40665</v>
      </c>
      <c r="D547" s="1">
        <v>1</v>
      </c>
    </row>
    <row r="548" spans="1:4" x14ac:dyDescent="0.25">
      <c r="A548" s="2">
        <v>40666</v>
      </c>
      <c r="B548" s="1">
        <v>1</v>
      </c>
      <c r="C548" s="2">
        <v>40666</v>
      </c>
      <c r="D548" s="1">
        <v>1</v>
      </c>
    </row>
    <row r="549" spans="1:4" x14ac:dyDescent="0.25">
      <c r="A549" s="2">
        <v>40667</v>
      </c>
      <c r="B549" s="1">
        <v>1</v>
      </c>
      <c r="C549" s="2">
        <v>40667</v>
      </c>
      <c r="D549" s="1">
        <v>1</v>
      </c>
    </row>
    <row r="550" spans="1:4" x14ac:dyDescent="0.25">
      <c r="A550" s="2">
        <v>40668</v>
      </c>
      <c r="B550" s="1">
        <v>1</v>
      </c>
      <c r="C550" s="2">
        <v>40668</v>
      </c>
      <c r="D550" s="1">
        <v>1</v>
      </c>
    </row>
    <row r="551" spans="1:4" x14ac:dyDescent="0.25">
      <c r="A551" s="2">
        <v>40669</v>
      </c>
      <c r="B551" s="1">
        <v>1</v>
      </c>
      <c r="C551" s="2">
        <v>40669</v>
      </c>
      <c r="D551" s="1">
        <v>1</v>
      </c>
    </row>
    <row r="552" spans="1:4" x14ac:dyDescent="0.25">
      <c r="A552" s="2">
        <v>40672</v>
      </c>
      <c r="B552" s="1">
        <v>1</v>
      </c>
      <c r="C552" s="2">
        <v>40672</v>
      </c>
      <c r="D552" s="1">
        <v>1</v>
      </c>
    </row>
    <row r="553" spans="1:4" x14ac:dyDescent="0.25">
      <c r="A553" s="2">
        <v>40673</v>
      </c>
      <c r="B553" s="1">
        <v>1</v>
      </c>
      <c r="C553" s="2">
        <v>40673</v>
      </c>
      <c r="D553" s="1">
        <v>1</v>
      </c>
    </row>
    <row r="554" spans="1:4" x14ac:dyDescent="0.25">
      <c r="A554" s="2">
        <v>40674</v>
      </c>
      <c r="B554" s="1">
        <v>1</v>
      </c>
      <c r="C554" s="2">
        <v>40674</v>
      </c>
      <c r="D554" s="1">
        <v>1</v>
      </c>
    </row>
    <row r="555" spans="1:4" x14ac:dyDescent="0.25">
      <c r="A555" s="2">
        <v>40675</v>
      </c>
      <c r="B555" s="1">
        <v>1</v>
      </c>
      <c r="C555" s="2">
        <v>40675</v>
      </c>
      <c r="D555" s="1">
        <v>1</v>
      </c>
    </row>
    <row r="556" spans="1:4" x14ac:dyDescent="0.25">
      <c r="A556" s="2">
        <v>40676</v>
      </c>
      <c r="B556" s="1">
        <v>1</v>
      </c>
      <c r="C556" s="2">
        <v>40676</v>
      </c>
      <c r="D556" s="1">
        <v>1</v>
      </c>
    </row>
    <row r="557" spans="1:4" x14ac:dyDescent="0.25">
      <c r="A557" s="2">
        <v>40679</v>
      </c>
      <c r="B557" s="1">
        <v>1</v>
      </c>
      <c r="C557" s="2">
        <v>40679</v>
      </c>
      <c r="D557" s="1">
        <v>1</v>
      </c>
    </row>
    <row r="558" spans="1:4" x14ac:dyDescent="0.25">
      <c r="A558" s="2">
        <v>40680</v>
      </c>
      <c r="B558" s="1">
        <v>1</v>
      </c>
      <c r="C558" s="2">
        <v>40680</v>
      </c>
      <c r="D558" s="1">
        <v>1</v>
      </c>
    </row>
    <row r="559" spans="1:4" x14ac:dyDescent="0.25">
      <c r="A559" s="2">
        <v>40681</v>
      </c>
      <c r="B559" s="1">
        <v>1</v>
      </c>
      <c r="C559" s="2">
        <v>40681</v>
      </c>
      <c r="D559" s="1">
        <v>1</v>
      </c>
    </row>
    <row r="560" spans="1:4" x14ac:dyDescent="0.25">
      <c r="A560" s="2">
        <v>40682</v>
      </c>
      <c r="B560" s="1">
        <v>1</v>
      </c>
      <c r="C560" s="2">
        <v>40682</v>
      </c>
      <c r="D560" s="1">
        <v>1</v>
      </c>
    </row>
    <row r="561" spans="1:4" x14ac:dyDescent="0.25">
      <c r="A561" s="2">
        <v>40683</v>
      </c>
      <c r="B561" s="1">
        <v>1</v>
      </c>
      <c r="C561" s="2">
        <v>40683</v>
      </c>
      <c r="D561" s="1">
        <v>1</v>
      </c>
    </row>
    <row r="562" spans="1:4" x14ac:dyDescent="0.25">
      <c r="A562" s="2">
        <v>40686</v>
      </c>
      <c r="B562" s="1">
        <v>1</v>
      </c>
      <c r="C562" s="2">
        <v>40686</v>
      </c>
      <c r="D562" s="1">
        <v>1</v>
      </c>
    </row>
    <row r="563" spans="1:4" x14ac:dyDescent="0.25">
      <c r="A563" s="2">
        <v>40687</v>
      </c>
      <c r="B563" s="1">
        <v>1</v>
      </c>
      <c r="C563" s="2">
        <v>40687</v>
      </c>
      <c r="D563" s="1">
        <v>1</v>
      </c>
    </row>
    <row r="564" spans="1:4" x14ac:dyDescent="0.25">
      <c r="A564" s="2">
        <v>40688</v>
      </c>
      <c r="B564" s="1">
        <v>1</v>
      </c>
      <c r="C564" s="2">
        <v>40688</v>
      </c>
      <c r="D564" s="1">
        <v>1</v>
      </c>
    </row>
    <row r="565" spans="1:4" x14ac:dyDescent="0.25">
      <c r="A565" s="2">
        <v>40689</v>
      </c>
      <c r="B565" s="1">
        <v>1</v>
      </c>
      <c r="C565" s="2">
        <v>40689</v>
      </c>
      <c r="D565" s="1">
        <v>1</v>
      </c>
    </row>
    <row r="566" spans="1:4" x14ac:dyDescent="0.25">
      <c r="A566" s="2">
        <v>40690</v>
      </c>
      <c r="B566" s="1">
        <v>1</v>
      </c>
      <c r="C566" s="2">
        <v>40690</v>
      </c>
      <c r="D566" s="1">
        <v>1</v>
      </c>
    </row>
    <row r="567" spans="1:4" x14ac:dyDescent="0.25">
      <c r="A567" s="2">
        <v>40693</v>
      </c>
      <c r="B567" s="1">
        <v>1</v>
      </c>
      <c r="C567" s="2">
        <v>40693</v>
      </c>
      <c r="D567" s="1">
        <v>1</v>
      </c>
    </row>
    <row r="568" spans="1:4" x14ac:dyDescent="0.25">
      <c r="A568" s="2">
        <v>40694</v>
      </c>
      <c r="B568" s="1">
        <v>1</v>
      </c>
      <c r="C568" s="2">
        <v>40694</v>
      </c>
      <c r="D568" s="1">
        <v>1</v>
      </c>
    </row>
    <row r="569" spans="1:4" x14ac:dyDescent="0.25">
      <c r="A569" s="2">
        <v>40695</v>
      </c>
      <c r="B569" s="1">
        <v>1</v>
      </c>
      <c r="C569" s="2">
        <v>40695</v>
      </c>
      <c r="D569" s="1">
        <v>1</v>
      </c>
    </row>
    <row r="570" spans="1:4" x14ac:dyDescent="0.25">
      <c r="A570" s="2">
        <v>40696</v>
      </c>
      <c r="B570" s="1">
        <v>1</v>
      </c>
      <c r="C570" s="2">
        <v>40696</v>
      </c>
      <c r="D570" s="1">
        <v>1</v>
      </c>
    </row>
    <row r="571" spans="1:4" x14ac:dyDescent="0.25">
      <c r="A571" s="2">
        <v>40697</v>
      </c>
      <c r="B571" s="1">
        <v>1</v>
      </c>
      <c r="C571" s="2">
        <v>40697</v>
      </c>
      <c r="D571" s="1">
        <v>1</v>
      </c>
    </row>
    <row r="572" spans="1:4" x14ac:dyDescent="0.25">
      <c r="A572" s="2">
        <v>40700</v>
      </c>
      <c r="B572" s="1">
        <v>1</v>
      </c>
      <c r="C572" s="2">
        <v>40700</v>
      </c>
      <c r="D572" s="1">
        <v>1</v>
      </c>
    </row>
    <row r="573" spans="1:4" x14ac:dyDescent="0.25">
      <c r="A573" s="2">
        <v>40701</v>
      </c>
      <c r="B573" s="1">
        <v>1</v>
      </c>
      <c r="C573" s="2">
        <v>40701</v>
      </c>
      <c r="D573" s="1">
        <v>1</v>
      </c>
    </row>
    <row r="574" spans="1:4" x14ac:dyDescent="0.25">
      <c r="A574" s="2">
        <v>40702</v>
      </c>
      <c r="B574" s="1">
        <v>1</v>
      </c>
      <c r="C574" s="2">
        <v>40702</v>
      </c>
      <c r="D574" s="1">
        <v>1</v>
      </c>
    </row>
    <row r="575" spans="1:4" x14ac:dyDescent="0.25">
      <c r="A575" s="2">
        <v>40703</v>
      </c>
      <c r="B575" s="1">
        <v>1</v>
      </c>
      <c r="C575" s="2">
        <v>40703</v>
      </c>
      <c r="D575" s="1">
        <v>1</v>
      </c>
    </row>
    <row r="576" spans="1:4" x14ac:dyDescent="0.25">
      <c r="A576" s="2">
        <v>40704</v>
      </c>
      <c r="B576" s="1">
        <v>1</v>
      </c>
      <c r="C576" s="2">
        <v>40704</v>
      </c>
      <c r="D576" s="1">
        <v>1</v>
      </c>
    </row>
    <row r="577" spans="1:4" x14ac:dyDescent="0.25">
      <c r="A577" s="2">
        <v>40707</v>
      </c>
      <c r="B577" s="1">
        <v>1</v>
      </c>
      <c r="C577" s="2">
        <v>40707</v>
      </c>
      <c r="D577" s="1">
        <v>1</v>
      </c>
    </row>
    <row r="578" spans="1:4" x14ac:dyDescent="0.25">
      <c r="A578" s="2">
        <v>40708</v>
      </c>
      <c r="B578" s="1">
        <v>1</v>
      </c>
      <c r="C578" s="2">
        <v>40708</v>
      </c>
      <c r="D578" s="1">
        <v>1</v>
      </c>
    </row>
    <row r="579" spans="1:4" x14ac:dyDescent="0.25">
      <c r="A579" s="2">
        <v>40709</v>
      </c>
      <c r="B579" s="1">
        <v>1</v>
      </c>
      <c r="C579" s="2">
        <v>40709</v>
      </c>
      <c r="D579" s="1">
        <v>1</v>
      </c>
    </row>
    <row r="580" spans="1:4" x14ac:dyDescent="0.25">
      <c r="A580" s="2">
        <v>40710</v>
      </c>
      <c r="B580" s="1">
        <v>1</v>
      </c>
      <c r="C580" s="2">
        <v>40710</v>
      </c>
      <c r="D580" s="1">
        <v>1</v>
      </c>
    </row>
    <row r="581" spans="1:4" x14ac:dyDescent="0.25">
      <c r="A581" s="2">
        <v>40711</v>
      </c>
      <c r="B581" s="1">
        <v>1</v>
      </c>
      <c r="C581" s="2">
        <v>40711</v>
      </c>
      <c r="D581" s="1">
        <v>1</v>
      </c>
    </row>
    <row r="582" spans="1:4" x14ac:dyDescent="0.25">
      <c r="A582" s="2">
        <v>40714</v>
      </c>
      <c r="B582" s="1">
        <v>1</v>
      </c>
      <c r="C582" s="2">
        <v>40714</v>
      </c>
      <c r="D582" s="1">
        <v>1</v>
      </c>
    </row>
    <row r="583" spans="1:4" x14ac:dyDescent="0.25">
      <c r="A583" s="2">
        <v>40715</v>
      </c>
      <c r="B583" s="1">
        <v>1</v>
      </c>
      <c r="C583" s="2">
        <v>40715</v>
      </c>
      <c r="D583" s="1">
        <v>1</v>
      </c>
    </row>
    <row r="584" spans="1:4" x14ac:dyDescent="0.25">
      <c r="A584" s="2">
        <v>40716</v>
      </c>
      <c r="B584" s="1">
        <v>1</v>
      </c>
      <c r="C584" s="2">
        <v>40716</v>
      </c>
      <c r="D584" s="1">
        <v>1</v>
      </c>
    </row>
    <row r="585" spans="1:4" x14ac:dyDescent="0.25">
      <c r="A585" s="2">
        <v>40717</v>
      </c>
      <c r="B585" s="1">
        <v>1</v>
      </c>
      <c r="C585" s="2">
        <v>40717</v>
      </c>
      <c r="D585" s="1">
        <v>1</v>
      </c>
    </row>
    <row r="586" spans="1:4" x14ac:dyDescent="0.25">
      <c r="A586" s="2">
        <v>40718</v>
      </c>
      <c r="B586" s="1">
        <v>1</v>
      </c>
      <c r="C586" s="2">
        <v>40718</v>
      </c>
      <c r="D586" s="1">
        <v>1</v>
      </c>
    </row>
    <row r="587" spans="1:4" x14ac:dyDescent="0.25">
      <c r="A587" s="2">
        <v>40721</v>
      </c>
      <c r="B587" s="1">
        <v>1</v>
      </c>
      <c r="C587" s="2">
        <v>40721</v>
      </c>
      <c r="D587" s="1">
        <v>1</v>
      </c>
    </row>
    <row r="588" spans="1:4" x14ac:dyDescent="0.25">
      <c r="A588" s="2">
        <v>40722</v>
      </c>
      <c r="B588" s="1">
        <v>1</v>
      </c>
      <c r="C588" s="2">
        <v>40722</v>
      </c>
      <c r="D588" s="1">
        <v>1</v>
      </c>
    </row>
    <row r="589" spans="1:4" x14ac:dyDescent="0.25">
      <c r="A589" s="2">
        <v>40723</v>
      </c>
      <c r="B589" s="1">
        <v>1</v>
      </c>
      <c r="C589" s="2">
        <v>40723</v>
      </c>
      <c r="D589" s="1">
        <v>1</v>
      </c>
    </row>
    <row r="590" spans="1:4" x14ac:dyDescent="0.25">
      <c r="A590" s="2">
        <v>40724</v>
      </c>
      <c r="B590" s="1">
        <v>1</v>
      </c>
      <c r="C590" s="2">
        <v>40724</v>
      </c>
      <c r="D590" s="1">
        <v>1</v>
      </c>
    </row>
    <row r="591" spans="1:4" x14ac:dyDescent="0.25">
      <c r="A591" s="2">
        <v>40725</v>
      </c>
      <c r="B591" s="1">
        <v>1</v>
      </c>
      <c r="C591" s="2">
        <v>40725</v>
      </c>
      <c r="D591" s="1">
        <v>1</v>
      </c>
    </row>
    <row r="592" spans="1:4" x14ac:dyDescent="0.25">
      <c r="A592" s="2">
        <v>40728</v>
      </c>
      <c r="B592" s="1">
        <v>1</v>
      </c>
      <c r="C592" s="2">
        <v>40728</v>
      </c>
      <c r="D592" s="1">
        <v>1</v>
      </c>
    </row>
    <row r="593" spans="1:4" x14ac:dyDescent="0.25">
      <c r="A593" s="2">
        <v>40729</v>
      </c>
      <c r="B593" s="1">
        <v>1</v>
      </c>
      <c r="C593" s="2">
        <v>40729</v>
      </c>
      <c r="D593" s="1">
        <v>1</v>
      </c>
    </row>
    <row r="594" spans="1:4" x14ac:dyDescent="0.25">
      <c r="A594" s="2">
        <v>40730</v>
      </c>
      <c r="B594" s="1">
        <v>1</v>
      </c>
      <c r="C594" s="2">
        <v>40730</v>
      </c>
      <c r="D594" s="1">
        <v>1</v>
      </c>
    </row>
    <row r="595" spans="1:4" x14ac:dyDescent="0.25">
      <c r="A595" s="2">
        <v>40731</v>
      </c>
      <c r="B595" s="1">
        <v>1</v>
      </c>
      <c r="C595" s="2">
        <v>40731</v>
      </c>
      <c r="D595" s="1">
        <v>1</v>
      </c>
    </row>
    <row r="596" spans="1:4" x14ac:dyDescent="0.25">
      <c r="A596" s="2">
        <v>40732</v>
      </c>
      <c r="B596" s="1">
        <v>1</v>
      </c>
      <c r="C596" s="2">
        <v>40732</v>
      </c>
      <c r="D596" s="1">
        <v>1</v>
      </c>
    </row>
    <row r="597" spans="1:4" x14ac:dyDescent="0.25">
      <c r="A597" s="2">
        <v>40735</v>
      </c>
      <c r="B597" s="1">
        <v>1</v>
      </c>
      <c r="C597" s="2">
        <v>40735</v>
      </c>
      <c r="D597" s="1">
        <v>1</v>
      </c>
    </row>
    <row r="598" spans="1:4" x14ac:dyDescent="0.25">
      <c r="A598" s="2">
        <v>40736</v>
      </c>
      <c r="B598" s="1">
        <v>1</v>
      </c>
      <c r="C598" s="2">
        <v>40736</v>
      </c>
      <c r="D598" s="1">
        <v>1</v>
      </c>
    </row>
    <row r="599" spans="1:4" x14ac:dyDescent="0.25">
      <c r="A599" s="2">
        <v>40737</v>
      </c>
      <c r="B599" s="1">
        <v>1</v>
      </c>
      <c r="C599" s="2">
        <v>40737</v>
      </c>
      <c r="D599" s="1">
        <v>1</v>
      </c>
    </row>
    <row r="600" spans="1:4" x14ac:dyDescent="0.25">
      <c r="A600" s="2">
        <v>40738</v>
      </c>
      <c r="B600" s="1">
        <v>1</v>
      </c>
      <c r="C600" s="2">
        <v>40738</v>
      </c>
      <c r="D600" s="1">
        <v>1</v>
      </c>
    </row>
    <row r="601" spans="1:4" x14ac:dyDescent="0.25">
      <c r="A601" s="2">
        <v>40739</v>
      </c>
      <c r="B601" s="1">
        <v>1</v>
      </c>
      <c r="C601" s="2">
        <v>40739</v>
      </c>
      <c r="D601" s="1">
        <v>1</v>
      </c>
    </row>
    <row r="602" spans="1:4" x14ac:dyDescent="0.25">
      <c r="A602" s="2">
        <v>40742</v>
      </c>
      <c r="B602" s="1">
        <v>1</v>
      </c>
      <c r="C602" s="2">
        <v>40742</v>
      </c>
      <c r="D602" s="1">
        <v>1</v>
      </c>
    </row>
    <row r="603" spans="1:4" x14ac:dyDescent="0.25">
      <c r="A603" s="2">
        <v>40743</v>
      </c>
      <c r="B603" s="1">
        <v>1</v>
      </c>
      <c r="C603" s="2">
        <v>40743</v>
      </c>
      <c r="D603" s="1">
        <v>1</v>
      </c>
    </row>
    <row r="604" spans="1:4" x14ac:dyDescent="0.25">
      <c r="A604" s="2">
        <v>40744</v>
      </c>
      <c r="B604" s="1">
        <v>1</v>
      </c>
      <c r="C604" s="2">
        <v>40744</v>
      </c>
      <c r="D604" s="1">
        <v>1</v>
      </c>
    </row>
    <row r="605" spans="1:4" x14ac:dyDescent="0.25">
      <c r="A605" s="2">
        <v>40745</v>
      </c>
      <c r="B605" s="1">
        <v>1</v>
      </c>
      <c r="C605" s="2">
        <v>40745</v>
      </c>
      <c r="D605" s="1">
        <v>1</v>
      </c>
    </row>
    <row r="606" spans="1:4" x14ac:dyDescent="0.25">
      <c r="A606" s="2">
        <v>40746</v>
      </c>
      <c r="B606" s="1">
        <v>1</v>
      </c>
      <c r="C606" s="2">
        <v>40746</v>
      </c>
      <c r="D606" s="1">
        <v>1</v>
      </c>
    </row>
    <row r="607" spans="1:4" x14ac:dyDescent="0.25">
      <c r="A607" s="2">
        <v>40749</v>
      </c>
      <c r="B607" s="1">
        <v>1</v>
      </c>
      <c r="C607" s="2">
        <v>40749</v>
      </c>
      <c r="D607" s="1">
        <v>1</v>
      </c>
    </row>
    <row r="608" spans="1:4" x14ac:dyDescent="0.25">
      <c r="A608" s="2">
        <v>40750</v>
      </c>
      <c r="B608" s="1">
        <v>1</v>
      </c>
      <c r="C608" s="2">
        <v>40750</v>
      </c>
      <c r="D608" s="1">
        <v>1</v>
      </c>
    </row>
    <row r="609" spans="1:4" x14ac:dyDescent="0.25">
      <c r="A609" s="2">
        <v>40751</v>
      </c>
      <c r="B609" s="1">
        <v>1</v>
      </c>
      <c r="C609" s="2">
        <v>40751</v>
      </c>
      <c r="D609" s="1">
        <v>1</v>
      </c>
    </row>
    <row r="610" spans="1:4" x14ac:dyDescent="0.25">
      <c r="A610" s="2">
        <v>40752</v>
      </c>
      <c r="B610" s="1">
        <v>1</v>
      </c>
      <c r="C610" s="2">
        <v>40752</v>
      </c>
      <c r="D610" s="1">
        <v>1</v>
      </c>
    </row>
    <row r="611" spans="1:4" x14ac:dyDescent="0.25">
      <c r="A611" s="2">
        <v>40753</v>
      </c>
      <c r="B611" s="1">
        <v>1</v>
      </c>
      <c r="C611" s="2">
        <v>40753</v>
      </c>
      <c r="D611" s="1">
        <v>1</v>
      </c>
    </row>
    <row r="612" spans="1:4" x14ac:dyDescent="0.25">
      <c r="A612" s="2">
        <v>40756</v>
      </c>
      <c r="B612" s="1">
        <v>1</v>
      </c>
      <c r="C612" s="2">
        <v>40756</v>
      </c>
      <c r="D612" s="1">
        <v>1</v>
      </c>
    </row>
    <row r="613" spans="1:4" x14ac:dyDescent="0.25">
      <c r="A613" s="2">
        <v>40757</v>
      </c>
      <c r="B613" s="1">
        <v>1</v>
      </c>
      <c r="C613" s="2">
        <v>40757</v>
      </c>
      <c r="D613" s="1">
        <v>1</v>
      </c>
    </row>
    <row r="614" spans="1:4" x14ac:dyDescent="0.25">
      <c r="A614" s="2">
        <v>40758</v>
      </c>
      <c r="B614" s="1">
        <v>1</v>
      </c>
      <c r="C614" s="2">
        <v>40758</v>
      </c>
      <c r="D614" s="1">
        <v>1</v>
      </c>
    </row>
    <row r="615" spans="1:4" x14ac:dyDescent="0.25">
      <c r="A615" s="2">
        <v>40759</v>
      </c>
      <c r="B615" s="1">
        <v>1</v>
      </c>
      <c r="C615" s="2">
        <v>40759</v>
      </c>
      <c r="D615" s="1">
        <v>1</v>
      </c>
    </row>
    <row r="616" spans="1:4" x14ac:dyDescent="0.25">
      <c r="A616" s="2">
        <v>40760</v>
      </c>
      <c r="B616" s="1">
        <v>1</v>
      </c>
      <c r="C616" s="2">
        <v>40760</v>
      </c>
      <c r="D616" s="1">
        <v>1</v>
      </c>
    </row>
    <row r="617" spans="1:4" x14ac:dyDescent="0.25">
      <c r="A617" s="2">
        <v>40763</v>
      </c>
      <c r="B617" s="1">
        <v>1</v>
      </c>
      <c r="C617" s="2">
        <v>40763</v>
      </c>
      <c r="D617" s="1">
        <v>1</v>
      </c>
    </row>
    <row r="618" spans="1:4" x14ac:dyDescent="0.25">
      <c r="A618" s="2">
        <v>40764</v>
      </c>
      <c r="B618" s="1">
        <v>1</v>
      </c>
      <c r="C618" s="2">
        <v>40764</v>
      </c>
      <c r="D618" s="1">
        <v>1</v>
      </c>
    </row>
    <row r="619" spans="1:4" x14ac:dyDescent="0.25">
      <c r="A619" s="2">
        <v>40765</v>
      </c>
      <c r="B619" s="1">
        <v>1</v>
      </c>
      <c r="C619" s="2">
        <v>40765</v>
      </c>
      <c r="D619" s="1">
        <v>1</v>
      </c>
    </row>
    <row r="620" spans="1:4" x14ac:dyDescent="0.25">
      <c r="A620" s="2">
        <v>40766</v>
      </c>
      <c r="B620" s="1">
        <v>1</v>
      </c>
      <c r="C620" s="2">
        <v>40766</v>
      </c>
      <c r="D620" s="1">
        <v>1</v>
      </c>
    </row>
    <row r="621" spans="1:4" x14ac:dyDescent="0.25">
      <c r="A621" s="2">
        <v>40767</v>
      </c>
      <c r="B621" s="1">
        <v>1</v>
      </c>
      <c r="C621" s="2">
        <v>40767</v>
      </c>
      <c r="D621" s="1">
        <v>1</v>
      </c>
    </row>
    <row r="622" spans="1:4" x14ac:dyDescent="0.25">
      <c r="A622" s="2">
        <v>40770</v>
      </c>
      <c r="B622" s="1">
        <v>1</v>
      </c>
      <c r="C622" s="2">
        <v>40770</v>
      </c>
      <c r="D622" s="1">
        <v>1</v>
      </c>
    </row>
    <row r="623" spans="1:4" x14ac:dyDescent="0.25">
      <c r="A623" s="2">
        <v>40771</v>
      </c>
      <c r="B623" s="1">
        <v>1</v>
      </c>
      <c r="C623" s="2">
        <v>40771</v>
      </c>
      <c r="D623" s="1">
        <v>1</v>
      </c>
    </row>
    <row r="624" spans="1:4" x14ac:dyDescent="0.25">
      <c r="A624" s="2">
        <v>40772</v>
      </c>
      <c r="B624" s="1">
        <v>1</v>
      </c>
      <c r="C624" s="2">
        <v>40772</v>
      </c>
      <c r="D624" s="1">
        <v>1</v>
      </c>
    </row>
    <row r="625" spans="1:4" x14ac:dyDescent="0.25">
      <c r="A625" s="2">
        <v>40773</v>
      </c>
      <c r="B625" s="1">
        <v>1</v>
      </c>
      <c r="C625" s="2">
        <v>40773</v>
      </c>
      <c r="D625" s="1">
        <v>1</v>
      </c>
    </row>
    <row r="626" spans="1:4" x14ac:dyDescent="0.25">
      <c r="A626" s="2">
        <v>40774</v>
      </c>
      <c r="B626" s="1">
        <v>1</v>
      </c>
      <c r="C626" s="2">
        <v>40774</v>
      </c>
      <c r="D626" s="1">
        <v>1</v>
      </c>
    </row>
    <row r="627" spans="1:4" x14ac:dyDescent="0.25">
      <c r="A627" s="2">
        <v>40777</v>
      </c>
      <c r="B627" s="1">
        <v>1</v>
      </c>
      <c r="C627" s="2">
        <v>40777</v>
      </c>
      <c r="D627" s="1">
        <v>1</v>
      </c>
    </row>
    <row r="628" spans="1:4" x14ac:dyDescent="0.25">
      <c r="A628" s="2">
        <v>40778</v>
      </c>
      <c r="B628" s="1">
        <v>1</v>
      </c>
      <c r="C628" s="2">
        <v>40778</v>
      </c>
      <c r="D628" s="1">
        <v>1</v>
      </c>
    </row>
    <row r="629" spans="1:4" x14ac:dyDescent="0.25">
      <c r="A629" s="2">
        <v>40779</v>
      </c>
      <c r="B629" s="1">
        <v>1</v>
      </c>
      <c r="C629" s="2">
        <v>40779</v>
      </c>
      <c r="D629" s="1">
        <v>1</v>
      </c>
    </row>
    <row r="630" spans="1:4" x14ac:dyDescent="0.25">
      <c r="A630" s="2">
        <v>40780</v>
      </c>
      <c r="B630" s="1">
        <v>1</v>
      </c>
      <c r="C630" s="2">
        <v>40780</v>
      </c>
      <c r="D630" s="1">
        <v>1</v>
      </c>
    </row>
    <row r="631" spans="1:4" x14ac:dyDescent="0.25">
      <c r="A631" s="2">
        <v>40781</v>
      </c>
      <c r="B631" s="1">
        <v>1</v>
      </c>
      <c r="C631" s="2">
        <v>40781</v>
      </c>
      <c r="D631" s="1">
        <v>1</v>
      </c>
    </row>
    <row r="632" spans="1:4" x14ac:dyDescent="0.25">
      <c r="A632" s="2">
        <v>40784</v>
      </c>
      <c r="B632" s="1">
        <v>1</v>
      </c>
      <c r="C632" s="2">
        <v>40784</v>
      </c>
      <c r="D632" s="1">
        <v>1</v>
      </c>
    </row>
    <row r="633" spans="1:4" x14ac:dyDescent="0.25">
      <c r="A633" s="2">
        <v>40785</v>
      </c>
      <c r="B633" s="1">
        <v>1</v>
      </c>
      <c r="C633" s="2">
        <v>40785</v>
      </c>
      <c r="D633" s="1">
        <v>1</v>
      </c>
    </row>
    <row r="634" spans="1:4" x14ac:dyDescent="0.25">
      <c r="A634" s="2">
        <v>40786</v>
      </c>
      <c r="B634" s="1">
        <v>1</v>
      </c>
      <c r="C634" s="2">
        <v>40786</v>
      </c>
      <c r="D634" s="1">
        <v>1</v>
      </c>
    </row>
    <row r="635" spans="1:4" x14ac:dyDescent="0.25">
      <c r="A635" s="2">
        <v>40787</v>
      </c>
      <c r="B635" s="1">
        <v>1</v>
      </c>
      <c r="C635" s="2">
        <v>40787</v>
      </c>
      <c r="D635" s="1">
        <v>1</v>
      </c>
    </row>
    <row r="636" spans="1:4" x14ac:dyDescent="0.25">
      <c r="A636" s="2">
        <v>40788</v>
      </c>
      <c r="B636" s="1">
        <v>1</v>
      </c>
      <c r="C636" s="2">
        <v>40788</v>
      </c>
      <c r="D636" s="1">
        <v>1</v>
      </c>
    </row>
    <row r="637" spans="1:4" x14ac:dyDescent="0.25">
      <c r="A637" s="2">
        <v>40791</v>
      </c>
      <c r="B637" s="1">
        <v>1</v>
      </c>
      <c r="C637" s="2">
        <v>40791</v>
      </c>
      <c r="D637" s="1">
        <v>1</v>
      </c>
    </row>
    <row r="638" spans="1:4" x14ac:dyDescent="0.25">
      <c r="A638" s="2">
        <v>40792</v>
      </c>
      <c r="B638" s="1">
        <v>1</v>
      </c>
      <c r="C638" s="2">
        <v>40792</v>
      </c>
      <c r="D638" s="1">
        <v>1</v>
      </c>
    </row>
    <row r="639" spans="1:4" x14ac:dyDescent="0.25">
      <c r="A639" s="2">
        <v>40793</v>
      </c>
      <c r="B639" s="1">
        <v>1</v>
      </c>
      <c r="C639" s="2">
        <v>40793</v>
      </c>
      <c r="D639" s="1">
        <v>1</v>
      </c>
    </row>
    <row r="640" spans="1:4" x14ac:dyDescent="0.25">
      <c r="A640" s="2">
        <v>40794</v>
      </c>
      <c r="B640" s="1">
        <v>1</v>
      </c>
      <c r="C640" s="2">
        <v>40794</v>
      </c>
      <c r="D640" s="1">
        <v>1</v>
      </c>
    </row>
    <row r="641" spans="1:4" x14ac:dyDescent="0.25">
      <c r="A641" s="2">
        <v>40795</v>
      </c>
      <c r="B641" s="1">
        <v>1</v>
      </c>
      <c r="C641" s="2">
        <v>40795</v>
      </c>
      <c r="D641" s="1">
        <v>1</v>
      </c>
    </row>
    <row r="642" spans="1:4" x14ac:dyDescent="0.25">
      <c r="A642" s="2">
        <v>40798</v>
      </c>
      <c r="B642" s="1">
        <v>1</v>
      </c>
      <c r="C642" s="2">
        <v>40798</v>
      </c>
      <c r="D642" s="1">
        <v>1</v>
      </c>
    </row>
    <row r="643" spans="1:4" x14ac:dyDescent="0.25">
      <c r="A643" s="2">
        <v>40799</v>
      </c>
      <c r="B643" s="1">
        <v>1</v>
      </c>
      <c r="C643" s="2">
        <v>40799</v>
      </c>
      <c r="D643" s="1">
        <v>1</v>
      </c>
    </row>
    <row r="644" spans="1:4" x14ac:dyDescent="0.25">
      <c r="A644" s="2">
        <v>40800</v>
      </c>
      <c r="B644" s="1">
        <v>1</v>
      </c>
      <c r="C644" s="2">
        <v>40800</v>
      </c>
      <c r="D644" s="1">
        <v>1</v>
      </c>
    </row>
    <row r="645" spans="1:4" x14ac:dyDescent="0.25">
      <c r="A645" s="2">
        <v>40801</v>
      </c>
      <c r="B645" s="1">
        <v>1</v>
      </c>
      <c r="C645" s="2">
        <v>40801</v>
      </c>
      <c r="D645" s="1">
        <v>1</v>
      </c>
    </row>
    <row r="646" spans="1:4" x14ac:dyDescent="0.25">
      <c r="A646" s="2">
        <v>40802</v>
      </c>
      <c r="B646" s="1">
        <v>1</v>
      </c>
      <c r="C646" s="2">
        <v>40802</v>
      </c>
      <c r="D646" s="1">
        <v>1</v>
      </c>
    </row>
    <row r="647" spans="1:4" x14ac:dyDescent="0.25">
      <c r="A647" s="2">
        <v>40805</v>
      </c>
      <c r="B647" s="1">
        <v>1</v>
      </c>
      <c r="C647" s="2">
        <v>40805</v>
      </c>
      <c r="D647" s="1">
        <v>1</v>
      </c>
    </row>
    <row r="648" spans="1:4" x14ac:dyDescent="0.25">
      <c r="A648" s="2">
        <v>40806</v>
      </c>
      <c r="B648" s="1">
        <v>1</v>
      </c>
      <c r="C648" s="2">
        <v>40806</v>
      </c>
      <c r="D648" s="1">
        <v>1</v>
      </c>
    </row>
    <row r="649" spans="1:4" x14ac:dyDescent="0.25">
      <c r="A649" s="2">
        <v>40807</v>
      </c>
      <c r="B649" s="1">
        <v>1</v>
      </c>
      <c r="C649" s="2">
        <v>40807</v>
      </c>
      <c r="D649" s="1">
        <v>1</v>
      </c>
    </row>
    <row r="650" spans="1:4" x14ac:dyDescent="0.25">
      <c r="A650" s="2">
        <v>40808</v>
      </c>
      <c r="B650" s="1">
        <v>1</v>
      </c>
      <c r="C650" s="2">
        <v>40808</v>
      </c>
      <c r="D650" s="1">
        <v>1</v>
      </c>
    </row>
    <row r="651" spans="1:4" x14ac:dyDescent="0.25">
      <c r="A651" s="2">
        <v>40809</v>
      </c>
      <c r="B651" s="1">
        <v>1</v>
      </c>
      <c r="C651" s="2">
        <v>40809</v>
      </c>
      <c r="D651" s="1">
        <v>1</v>
      </c>
    </row>
    <row r="652" spans="1:4" x14ac:dyDescent="0.25">
      <c r="A652" s="2">
        <v>40812</v>
      </c>
      <c r="B652" s="1">
        <v>1</v>
      </c>
      <c r="C652" s="2">
        <v>40812</v>
      </c>
      <c r="D652" s="1">
        <v>1</v>
      </c>
    </row>
    <row r="653" spans="1:4" x14ac:dyDescent="0.25">
      <c r="A653" s="2">
        <v>40813</v>
      </c>
      <c r="B653" s="1">
        <v>1</v>
      </c>
      <c r="C653" s="2">
        <v>40813</v>
      </c>
      <c r="D653" s="1">
        <v>1</v>
      </c>
    </row>
    <row r="654" spans="1:4" x14ac:dyDescent="0.25">
      <c r="A654" s="2">
        <v>40814</v>
      </c>
      <c r="B654" s="1">
        <v>1</v>
      </c>
      <c r="C654" s="2">
        <v>40814</v>
      </c>
      <c r="D654" s="1">
        <v>1</v>
      </c>
    </row>
    <row r="655" spans="1:4" x14ac:dyDescent="0.25">
      <c r="A655" s="2">
        <v>40815</v>
      </c>
      <c r="B655" s="1">
        <v>1</v>
      </c>
      <c r="C655" s="2">
        <v>40815</v>
      </c>
      <c r="D655" s="1">
        <v>1</v>
      </c>
    </row>
    <row r="656" spans="1:4" x14ac:dyDescent="0.25">
      <c r="A656" s="2">
        <v>40816</v>
      </c>
      <c r="B656" s="1">
        <v>1</v>
      </c>
      <c r="C656" s="2">
        <v>40816</v>
      </c>
      <c r="D656" s="1">
        <v>1</v>
      </c>
    </row>
    <row r="657" spans="1:4" x14ac:dyDescent="0.25">
      <c r="A657" s="2">
        <v>40819</v>
      </c>
      <c r="B657" s="1">
        <v>1</v>
      </c>
      <c r="C657" s="2">
        <v>40819</v>
      </c>
      <c r="D657" s="1">
        <v>1</v>
      </c>
    </row>
    <row r="658" spans="1:4" x14ac:dyDescent="0.25">
      <c r="A658" s="2">
        <v>40820</v>
      </c>
      <c r="B658" s="1">
        <v>1</v>
      </c>
      <c r="C658" s="2">
        <v>40820</v>
      </c>
      <c r="D658" s="1">
        <v>1</v>
      </c>
    </row>
    <row r="659" spans="1:4" x14ac:dyDescent="0.25">
      <c r="A659" s="2">
        <v>40821</v>
      </c>
      <c r="B659" s="1">
        <v>1</v>
      </c>
      <c r="C659" s="2">
        <v>40821</v>
      </c>
      <c r="D659" s="1">
        <v>1</v>
      </c>
    </row>
    <row r="660" spans="1:4" x14ac:dyDescent="0.25">
      <c r="A660" s="2">
        <v>40822</v>
      </c>
      <c r="B660" s="1">
        <v>1</v>
      </c>
      <c r="C660" s="2">
        <v>40822</v>
      </c>
      <c r="D660" s="1">
        <v>1</v>
      </c>
    </row>
    <row r="661" spans="1:4" x14ac:dyDescent="0.25">
      <c r="A661" s="2">
        <v>40823</v>
      </c>
      <c r="B661" s="1">
        <v>1</v>
      </c>
      <c r="C661" s="2">
        <v>40823</v>
      </c>
      <c r="D661" s="1">
        <v>1</v>
      </c>
    </row>
    <row r="662" spans="1:4" x14ac:dyDescent="0.25">
      <c r="A662" s="2">
        <v>40826</v>
      </c>
      <c r="B662" s="1">
        <v>1</v>
      </c>
      <c r="C662" s="2">
        <v>40826</v>
      </c>
      <c r="D662" s="1">
        <v>1</v>
      </c>
    </row>
    <row r="663" spans="1:4" x14ac:dyDescent="0.25">
      <c r="A663" s="2">
        <v>40827</v>
      </c>
      <c r="B663" s="1">
        <v>1</v>
      </c>
      <c r="C663" s="2">
        <v>40827</v>
      </c>
      <c r="D663" s="1">
        <v>1</v>
      </c>
    </row>
    <row r="664" spans="1:4" x14ac:dyDescent="0.25">
      <c r="A664" s="2">
        <v>40828</v>
      </c>
      <c r="B664" s="1">
        <v>1</v>
      </c>
      <c r="C664" s="2">
        <v>40828</v>
      </c>
      <c r="D664" s="1">
        <v>1</v>
      </c>
    </row>
    <row r="665" spans="1:4" x14ac:dyDescent="0.25">
      <c r="A665" s="2">
        <v>40829</v>
      </c>
      <c r="B665" s="1">
        <v>1</v>
      </c>
      <c r="C665" s="2">
        <v>40829</v>
      </c>
      <c r="D665" s="1">
        <v>1</v>
      </c>
    </row>
    <row r="666" spans="1:4" x14ac:dyDescent="0.25">
      <c r="A666" s="2">
        <v>40830</v>
      </c>
      <c r="B666" s="1">
        <v>1</v>
      </c>
      <c r="C666" s="2">
        <v>40830</v>
      </c>
      <c r="D666" s="1">
        <v>1</v>
      </c>
    </row>
    <row r="667" spans="1:4" x14ac:dyDescent="0.25">
      <c r="A667" s="2">
        <v>40833</v>
      </c>
      <c r="B667" s="1">
        <v>1</v>
      </c>
      <c r="C667" s="2">
        <v>40833</v>
      </c>
      <c r="D667" s="1">
        <v>1</v>
      </c>
    </row>
    <row r="668" spans="1:4" x14ac:dyDescent="0.25">
      <c r="A668" s="2">
        <v>40834</v>
      </c>
      <c r="B668" s="1">
        <v>1</v>
      </c>
      <c r="C668" s="2">
        <v>40834</v>
      </c>
      <c r="D668" s="1">
        <v>1</v>
      </c>
    </row>
    <row r="669" spans="1:4" x14ac:dyDescent="0.25">
      <c r="A669" s="2">
        <v>40835</v>
      </c>
      <c r="B669" s="1">
        <v>1</v>
      </c>
      <c r="C669" s="2">
        <v>40835</v>
      </c>
      <c r="D669" s="1">
        <v>1</v>
      </c>
    </row>
    <row r="670" spans="1:4" x14ac:dyDescent="0.25">
      <c r="A670" s="2">
        <v>40836</v>
      </c>
      <c r="B670" s="1">
        <v>1</v>
      </c>
      <c r="C670" s="2">
        <v>40836</v>
      </c>
      <c r="D670" s="1">
        <v>1</v>
      </c>
    </row>
    <row r="671" spans="1:4" x14ac:dyDescent="0.25">
      <c r="A671" s="2">
        <v>40837</v>
      </c>
      <c r="B671" s="1">
        <v>1</v>
      </c>
      <c r="C671" s="2">
        <v>40837</v>
      </c>
      <c r="D671" s="1">
        <v>1</v>
      </c>
    </row>
    <row r="672" spans="1:4" x14ac:dyDescent="0.25">
      <c r="A672" s="2">
        <v>40840</v>
      </c>
      <c r="B672" s="1">
        <v>1</v>
      </c>
      <c r="C672" s="2">
        <v>40840</v>
      </c>
      <c r="D672" s="1">
        <v>1</v>
      </c>
    </row>
    <row r="673" spans="1:4" x14ac:dyDescent="0.25">
      <c r="A673" s="2">
        <v>40841</v>
      </c>
      <c r="B673" s="1">
        <v>1</v>
      </c>
      <c r="C673" s="2">
        <v>40841</v>
      </c>
      <c r="D673" s="1">
        <v>1</v>
      </c>
    </row>
    <row r="674" spans="1:4" x14ac:dyDescent="0.25">
      <c r="A674" s="2">
        <v>40842</v>
      </c>
      <c r="B674" s="1">
        <v>1</v>
      </c>
      <c r="C674" s="2">
        <v>40842</v>
      </c>
      <c r="D674" s="1">
        <v>1</v>
      </c>
    </row>
    <row r="675" spans="1:4" x14ac:dyDescent="0.25">
      <c r="A675" s="2">
        <v>40843</v>
      </c>
      <c r="B675" s="1">
        <v>1</v>
      </c>
      <c r="C675" s="2">
        <v>40843</v>
      </c>
      <c r="D675" s="1">
        <v>1</v>
      </c>
    </row>
    <row r="676" spans="1:4" x14ac:dyDescent="0.25">
      <c r="A676" s="2">
        <v>40844</v>
      </c>
      <c r="B676" s="1">
        <v>1</v>
      </c>
      <c r="C676" s="2">
        <v>40844</v>
      </c>
      <c r="D676" s="1">
        <v>1</v>
      </c>
    </row>
    <row r="677" spans="1:4" x14ac:dyDescent="0.25">
      <c r="A677" s="2">
        <v>40847</v>
      </c>
      <c r="B677" s="1">
        <v>1</v>
      </c>
      <c r="C677" s="2">
        <v>40847</v>
      </c>
      <c r="D677" s="1">
        <v>1</v>
      </c>
    </row>
    <row r="678" spans="1:4" x14ac:dyDescent="0.25">
      <c r="A678" s="2">
        <v>40848</v>
      </c>
      <c r="B678" s="1">
        <v>1</v>
      </c>
      <c r="C678" s="2">
        <v>40848</v>
      </c>
      <c r="D678" s="1">
        <v>1</v>
      </c>
    </row>
    <row r="679" spans="1:4" x14ac:dyDescent="0.25">
      <c r="A679" s="2">
        <v>40849</v>
      </c>
      <c r="B679" s="1">
        <v>1</v>
      </c>
      <c r="C679" s="2">
        <v>40849</v>
      </c>
      <c r="D679" s="1">
        <v>1</v>
      </c>
    </row>
    <row r="680" spans="1:4" x14ac:dyDescent="0.25">
      <c r="A680" s="2">
        <v>40850</v>
      </c>
      <c r="B680" s="1">
        <v>1</v>
      </c>
      <c r="C680" s="2">
        <v>40850</v>
      </c>
      <c r="D680" s="1">
        <v>1</v>
      </c>
    </row>
    <row r="681" spans="1:4" x14ac:dyDescent="0.25">
      <c r="A681" s="2">
        <v>40851</v>
      </c>
      <c r="B681" s="1">
        <v>1</v>
      </c>
      <c r="C681" s="2">
        <v>40851</v>
      </c>
      <c r="D681" s="1">
        <v>1</v>
      </c>
    </row>
    <row r="682" spans="1:4" x14ac:dyDescent="0.25">
      <c r="A682" s="2">
        <v>40854</v>
      </c>
      <c r="B682" s="1">
        <v>1</v>
      </c>
      <c r="C682" s="2">
        <v>40854</v>
      </c>
      <c r="D682" s="1">
        <v>1</v>
      </c>
    </row>
    <row r="683" spans="1:4" x14ac:dyDescent="0.25">
      <c r="A683" s="2">
        <v>40855</v>
      </c>
      <c r="B683" s="1">
        <v>1</v>
      </c>
      <c r="C683" s="2">
        <v>40855</v>
      </c>
      <c r="D683" s="1">
        <v>1</v>
      </c>
    </row>
    <row r="684" spans="1:4" x14ac:dyDescent="0.25">
      <c r="A684" s="2">
        <v>40856</v>
      </c>
      <c r="B684" s="1">
        <v>1</v>
      </c>
      <c r="C684" s="2">
        <v>40856</v>
      </c>
      <c r="D684" s="1">
        <v>1</v>
      </c>
    </row>
    <row r="685" spans="1:4" x14ac:dyDescent="0.25">
      <c r="A685" s="2">
        <v>40857</v>
      </c>
      <c r="B685" s="1">
        <v>1</v>
      </c>
      <c r="C685" s="2">
        <v>40857</v>
      </c>
      <c r="D685" s="1">
        <v>1</v>
      </c>
    </row>
    <row r="686" spans="1:4" x14ac:dyDescent="0.25">
      <c r="A686" s="2">
        <v>40858</v>
      </c>
      <c r="B686" s="1">
        <v>1</v>
      </c>
      <c r="C686" s="2">
        <v>40858</v>
      </c>
      <c r="D686" s="1">
        <v>1</v>
      </c>
    </row>
    <row r="687" spans="1:4" x14ac:dyDescent="0.25">
      <c r="A687" s="2">
        <v>40861</v>
      </c>
      <c r="B687" s="1">
        <v>1</v>
      </c>
      <c r="C687" s="2">
        <v>40861</v>
      </c>
      <c r="D687" s="1">
        <v>1</v>
      </c>
    </row>
    <row r="688" spans="1:4" x14ac:dyDescent="0.25">
      <c r="A688" s="2">
        <v>40862</v>
      </c>
      <c r="B688" s="1">
        <v>1</v>
      </c>
      <c r="C688" s="2">
        <v>40862</v>
      </c>
      <c r="D688" s="1">
        <v>1</v>
      </c>
    </row>
    <row r="689" spans="1:4" x14ac:dyDescent="0.25">
      <c r="A689" s="2">
        <v>40863</v>
      </c>
      <c r="B689" s="1">
        <v>1</v>
      </c>
      <c r="C689" s="2">
        <v>40863</v>
      </c>
      <c r="D689" s="1">
        <v>1</v>
      </c>
    </row>
    <row r="690" spans="1:4" x14ac:dyDescent="0.25">
      <c r="A690" s="2">
        <v>40864</v>
      </c>
      <c r="B690" s="1">
        <v>1</v>
      </c>
      <c r="C690" s="2">
        <v>40864</v>
      </c>
      <c r="D690" s="1">
        <v>1</v>
      </c>
    </row>
    <row r="691" spans="1:4" x14ac:dyDescent="0.25">
      <c r="A691" s="2">
        <v>40865</v>
      </c>
      <c r="B691" s="1">
        <v>1</v>
      </c>
      <c r="C691" s="2">
        <v>40865</v>
      </c>
      <c r="D691" s="1">
        <v>1</v>
      </c>
    </row>
    <row r="692" spans="1:4" x14ac:dyDescent="0.25">
      <c r="A692" s="2">
        <v>40868</v>
      </c>
      <c r="B692" s="1">
        <v>1</v>
      </c>
      <c r="C692" s="2">
        <v>40868</v>
      </c>
      <c r="D692" s="1">
        <v>1</v>
      </c>
    </row>
    <row r="693" spans="1:4" x14ac:dyDescent="0.25">
      <c r="A693" s="2">
        <v>40869</v>
      </c>
      <c r="B693" s="1">
        <v>1</v>
      </c>
      <c r="C693" s="2">
        <v>40869</v>
      </c>
      <c r="D693" s="1">
        <v>1</v>
      </c>
    </row>
    <row r="694" spans="1:4" x14ac:dyDescent="0.25">
      <c r="A694" s="2">
        <v>40870</v>
      </c>
      <c r="B694" s="1">
        <v>1</v>
      </c>
      <c r="C694" s="2">
        <v>40870</v>
      </c>
      <c r="D694" s="1">
        <v>1</v>
      </c>
    </row>
    <row r="695" spans="1:4" x14ac:dyDescent="0.25">
      <c r="A695" s="2">
        <v>40871</v>
      </c>
      <c r="B695" s="1">
        <v>1</v>
      </c>
      <c r="C695" s="2">
        <v>40871</v>
      </c>
      <c r="D695" s="1">
        <v>1</v>
      </c>
    </row>
    <row r="696" spans="1:4" x14ac:dyDescent="0.25">
      <c r="A696" s="2">
        <v>40872</v>
      </c>
      <c r="B696" s="1">
        <v>1</v>
      </c>
      <c r="C696" s="2">
        <v>40872</v>
      </c>
      <c r="D696" s="1">
        <v>1</v>
      </c>
    </row>
    <row r="697" spans="1:4" x14ac:dyDescent="0.25">
      <c r="A697" s="2">
        <v>40875</v>
      </c>
      <c r="B697" s="1">
        <v>1</v>
      </c>
      <c r="C697" s="2">
        <v>40875</v>
      </c>
      <c r="D697" s="1">
        <v>1</v>
      </c>
    </row>
    <row r="698" spans="1:4" x14ac:dyDescent="0.25">
      <c r="A698" s="2">
        <v>40876</v>
      </c>
      <c r="B698" s="1">
        <v>1</v>
      </c>
      <c r="C698" s="2">
        <v>40876</v>
      </c>
      <c r="D698" s="1">
        <v>1</v>
      </c>
    </row>
    <row r="699" spans="1:4" x14ac:dyDescent="0.25">
      <c r="A699" s="2">
        <v>40877</v>
      </c>
      <c r="B699" s="1">
        <v>1</v>
      </c>
      <c r="C699" s="2">
        <v>40877</v>
      </c>
      <c r="D699" s="1">
        <v>1</v>
      </c>
    </row>
    <row r="700" spans="1:4" x14ac:dyDescent="0.25">
      <c r="A700" s="2">
        <v>40878</v>
      </c>
      <c r="B700" s="1">
        <v>1</v>
      </c>
      <c r="C700" s="2">
        <v>40878</v>
      </c>
      <c r="D700" s="1">
        <v>1</v>
      </c>
    </row>
    <row r="701" spans="1:4" x14ac:dyDescent="0.25">
      <c r="A701" s="2">
        <v>40879</v>
      </c>
      <c r="B701" s="1">
        <v>1</v>
      </c>
      <c r="C701" s="2">
        <v>40879</v>
      </c>
      <c r="D701" s="1">
        <v>1</v>
      </c>
    </row>
    <row r="702" spans="1:4" x14ac:dyDescent="0.25">
      <c r="A702" s="2">
        <v>40882</v>
      </c>
      <c r="B702" s="1">
        <v>1</v>
      </c>
      <c r="C702" s="2">
        <v>40882</v>
      </c>
      <c r="D702" s="1">
        <v>1</v>
      </c>
    </row>
    <row r="703" spans="1:4" x14ac:dyDescent="0.25">
      <c r="A703" s="2">
        <v>40883</v>
      </c>
      <c r="B703" s="1">
        <v>1</v>
      </c>
      <c r="C703" s="2">
        <v>40883</v>
      </c>
      <c r="D703" s="1">
        <v>1</v>
      </c>
    </row>
    <row r="704" spans="1:4" x14ac:dyDescent="0.25">
      <c r="A704" s="2">
        <v>40884</v>
      </c>
      <c r="B704" s="1">
        <v>1</v>
      </c>
      <c r="C704" s="2">
        <v>40884</v>
      </c>
      <c r="D704" s="1">
        <v>1</v>
      </c>
    </row>
    <row r="705" spans="1:4" x14ac:dyDescent="0.25">
      <c r="A705" s="2">
        <v>40885</v>
      </c>
      <c r="B705" s="1">
        <v>1</v>
      </c>
      <c r="C705" s="2">
        <v>40885</v>
      </c>
      <c r="D705" s="1">
        <v>1</v>
      </c>
    </row>
    <row r="706" spans="1:4" x14ac:dyDescent="0.25">
      <c r="A706" s="2">
        <v>40886</v>
      </c>
      <c r="B706" s="1">
        <v>1</v>
      </c>
      <c r="C706" s="2">
        <v>40886</v>
      </c>
      <c r="D706" s="1">
        <v>1</v>
      </c>
    </row>
    <row r="707" spans="1:4" x14ac:dyDescent="0.25">
      <c r="A707" s="2">
        <v>40889</v>
      </c>
      <c r="B707" s="1">
        <v>1</v>
      </c>
      <c r="C707" s="2">
        <v>40889</v>
      </c>
      <c r="D707" s="1">
        <v>1</v>
      </c>
    </row>
    <row r="708" spans="1:4" x14ac:dyDescent="0.25">
      <c r="A708" s="2">
        <v>40890</v>
      </c>
      <c r="B708" s="1">
        <v>1</v>
      </c>
      <c r="C708" s="2">
        <v>40890</v>
      </c>
      <c r="D708" s="1">
        <v>1</v>
      </c>
    </row>
    <row r="709" spans="1:4" x14ac:dyDescent="0.25">
      <c r="A709" s="2">
        <v>40891</v>
      </c>
      <c r="B709" s="1">
        <v>1</v>
      </c>
      <c r="C709" s="2">
        <v>40891</v>
      </c>
      <c r="D709" s="1">
        <v>1</v>
      </c>
    </row>
    <row r="710" spans="1:4" x14ac:dyDescent="0.25">
      <c r="A710" s="2">
        <v>40892</v>
      </c>
      <c r="B710" s="1">
        <v>1</v>
      </c>
      <c r="C710" s="2">
        <v>40892</v>
      </c>
      <c r="D710" s="1">
        <v>1</v>
      </c>
    </row>
    <row r="711" spans="1:4" x14ac:dyDescent="0.25">
      <c r="A711" s="2">
        <v>40893</v>
      </c>
      <c r="B711" s="1">
        <v>1</v>
      </c>
      <c r="C711" s="2">
        <v>40893</v>
      </c>
      <c r="D711" s="1">
        <v>1</v>
      </c>
    </row>
    <row r="712" spans="1:4" x14ac:dyDescent="0.25">
      <c r="A712" s="2">
        <v>40896</v>
      </c>
      <c r="B712" s="1">
        <v>1</v>
      </c>
      <c r="C712" s="2">
        <v>40896</v>
      </c>
      <c r="D712" s="1">
        <v>1</v>
      </c>
    </row>
    <row r="713" spans="1:4" x14ac:dyDescent="0.25">
      <c r="A713" s="2">
        <v>40897</v>
      </c>
      <c r="B713" s="1">
        <v>1</v>
      </c>
      <c r="C713" s="2">
        <v>40897</v>
      </c>
      <c r="D713" s="1">
        <v>1</v>
      </c>
    </row>
    <row r="714" spans="1:4" x14ac:dyDescent="0.25">
      <c r="A714" s="2">
        <v>40898</v>
      </c>
      <c r="B714" s="1">
        <v>1</v>
      </c>
      <c r="C714" s="2">
        <v>40898</v>
      </c>
      <c r="D714" s="1">
        <v>1</v>
      </c>
    </row>
    <row r="715" spans="1:4" x14ac:dyDescent="0.25">
      <c r="A715" s="2">
        <v>40899</v>
      </c>
      <c r="B715" s="1">
        <v>1</v>
      </c>
      <c r="C715" s="2">
        <v>40899</v>
      </c>
      <c r="D715" s="1">
        <v>1</v>
      </c>
    </row>
    <row r="716" spans="1:4" x14ac:dyDescent="0.25">
      <c r="A716" s="2">
        <v>40900</v>
      </c>
      <c r="B716" s="1">
        <v>1</v>
      </c>
      <c r="C716" s="2">
        <v>40900</v>
      </c>
      <c r="D716" s="1">
        <v>1</v>
      </c>
    </row>
    <row r="717" spans="1:4" x14ac:dyDescent="0.25">
      <c r="A717" s="2">
        <v>40904</v>
      </c>
      <c r="B717" s="1">
        <v>1</v>
      </c>
      <c r="C717" s="2">
        <v>40904</v>
      </c>
      <c r="D717" s="1">
        <v>1</v>
      </c>
    </row>
    <row r="718" spans="1:4" x14ac:dyDescent="0.25">
      <c r="A718" s="2">
        <v>40905</v>
      </c>
      <c r="B718" s="1">
        <v>1</v>
      </c>
      <c r="C718" s="2">
        <v>40905</v>
      </c>
      <c r="D718" s="1">
        <v>1</v>
      </c>
    </row>
    <row r="719" spans="1:4" x14ac:dyDescent="0.25">
      <c r="A719" s="2">
        <v>40906</v>
      </c>
      <c r="B719" s="1">
        <v>1</v>
      </c>
      <c r="C719" s="2">
        <v>40906</v>
      </c>
      <c r="D719" s="1">
        <v>1</v>
      </c>
    </row>
    <row r="720" spans="1:4" x14ac:dyDescent="0.25">
      <c r="A720" s="2">
        <v>40907</v>
      </c>
      <c r="B720" s="1">
        <v>1</v>
      </c>
      <c r="C720" s="2">
        <v>40907</v>
      </c>
      <c r="D720" s="1">
        <v>1</v>
      </c>
    </row>
    <row r="721" spans="1:4" x14ac:dyDescent="0.25">
      <c r="A721" s="2">
        <v>40910</v>
      </c>
      <c r="B721" s="1">
        <v>1</v>
      </c>
      <c r="C721" s="2">
        <v>40910</v>
      </c>
      <c r="D721" s="1">
        <v>1</v>
      </c>
    </row>
    <row r="722" spans="1:4" x14ac:dyDescent="0.25">
      <c r="A722" s="2">
        <v>40911</v>
      </c>
      <c r="B722" s="1">
        <v>1</v>
      </c>
      <c r="C722" s="2">
        <v>40911</v>
      </c>
      <c r="D722" s="1">
        <v>1</v>
      </c>
    </row>
    <row r="723" spans="1:4" x14ac:dyDescent="0.25">
      <c r="A723" s="2">
        <v>40912</v>
      </c>
      <c r="B723" s="1">
        <v>1</v>
      </c>
      <c r="C723" s="2">
        <v>40912</v>
      </c>
      <c r="D723" s="1">
        <v>1</v>
      </c>
    </row>
    <row r="724" spans="1:4" x14ac:dyDescent="0.25">
      <c r="A724" s="2">
        <v>40913</v>
      </c>
      <c r="B724" s="1">
        <v>1</v>
      </c>
      <c r="C724" s="2">
        <v>40913</v>
      </c>
      <c r="D724" s="1">
        <v>1</v>
      </c>
    </row>
    <row r="725" spans="1:4" x14ac:dyDescent="0.25">
      <c r="A725" s="2">
        <v>40914</v>
      </c>
      <c r="B725" s="1">
        <v>1</v>
      </c>
      <c r="C725" s="2">
        <v>40914</v>
      </c>
      <c r="D725" s="1">
        <v>1</v>
      </c>
    </row>
    <row r="726" spans="1:4" x14ac:dyDescent="0.25">
      <c r="A726" s="2">
        <v>40917</v>
      </c>
      <c r="B726" s="1">
        <v>1</v>
      </c>
      <c r="C726" s="2">
        <v>40917</v>
      </c>
      <c r="D726" s="1">
        <v>1</v>
      </c>
    </row>
    <row r="727" spans="1:4" x14ac:dyDescent="0.25">
      <c r="A727" s="2">
        <v>40918</v>
      </c>
      <c r="B727" s="1">
        <v>1</v>
      </c>
      <c r="C727" s="2">
        <v>40918</v>
      </c>
      <c r="D727" s="1">
        <v>1</v>
      </c>
    </row>
    <row r="728" spans="1:4" x14ac:dyDescent="0.25">
      <c r="A728" s="2">
        <v>40919</v>
      </c>
      <c r="B728" s="1">
        <v>1</v>
      </c>
      <c r="C728" s="2">
        <v>40919</v>
      </c>
      <c r="D728" s="1">
        <v>1</v>
      </c>
    </row>
    <row r="729" spans="1:4" x14ac:dyDescent="0.25">
      <c r="A729" s="2">
        <v>40920</v>
      </c>
      <c r="B729" s="1">
        <v>1</v>
      </c>
      <c r="C729" s="2">
        <v>40920</v>
      </c>
      <c r="D729" s="1">
        <v>1</v>
      </c>
    </row>
    <row r="730" spans="1:4" x14ac:dyDescent="0.25">
      <c r="A730" s="2">
        <v>40921</v>
      </c>
      <c r="B730" s="1">
        <v>1</v>
      </c>
      <c r="C730" s="2">
        <v>40921</v>
      </c>
      <c r="D730" s="1">
        <v>1</v>
      </c>
    </row>
    <row r="731" spans="1:4" x14ac:dyDescent="0.25">
      <c r="A731" s="2">
        <v>40924</v>
      </c>
      <c r="B731" s="1">
        <v>1</v>
      </c>
      <c r="C731" s="2">
        <v>40924</v>
      </c>
      <c r="D731" s="1">
        <v>1</v>
      </c>
    </row>
    <row r="732" spans="1:4" x14ac:dyDescent="0.25">
      <c r="A732" s="2">
        <v>40925</v>
      </c>
      <c r="B732" s="1">
        <v>1</v>
      </c>
      <c r="C732" s="2">
        <v>40925</v>
      </c>
      <c r="D732" s="1">
        <v>1</v>
      </c>
    </row>
    <row r="733" spans="1:4" x14ac:dyDescent="0.25">
      <c r="A733" s="2">
        <v>40926</v>
      </c>
      <c r="B733" s="1">
        <v>1</v>
      </c>
      <c r="C733" s="2">
        <v>40926</v>
      </c>
      <c r="D733" s="1">
        <v>1</v>
      </c>
    </row>
    <row r="734" spans="1:4" x14ac:dyDescent="0.25">
      <c r="A734" s="2">
        <v>40927</v>
      </c>
      <c r="B734" s="1">
        <v>1</v>
      </c>
      <c r="C734" s="2">
        <v>40927</v>
      </c>
      <c r="D734" s="1">
        <v>1</v>
      </c>
    </row>
    <row r="735" spans="1:4" x14ac:dyDescent="0.25">
      <c r="A735" s="2">
        <v>40928</v>
      </c>
      <c r="B735" s="1">
        <v>1</v>
      </c>
      <c r="C735" s="2">
        <v>40928</v>
      </c>
      <c r="D735" s="1">
        <v>1</v>
      </c>
    </row>
    <row r="736" spans="1:4" x14ac:dyDescent="0.25">
      <c r="A736" s="2">
        <v>40931</v>
      </c>
      <c r="B736" s="1">
        <v>1</v>
      </c>
      <c r="C736" s="2">
        <v>40931</v>
      </c>
      <c r="D736" s="1">
        <v>1</v>
      </c>
    </row>
    <row r="737" spans="1:4" x14ac:dyDescent="0.25">
      <c r="A737" s="2">
        <v>40932</v>
      </c>
      <c r="B737" s="1">
        <v>1</v>
      </c>
      <c r="C737" s="2">
        <v>40932</v>
      </c>
      <c r="D737" s="1">
        <v>1</v>
      </c>
    </row>
    <row r="738" spans="1:4" x14ac:dyDescent="0.25">
      <c r="A738" s="2">
        <v>40933</v>
      </c>
      <c r="B738" s="1">
        <v>1</v>
      </c>
      <c r="C738" s="2">
        <v>40933</v>
      </c>
      <c r="D738" s="1">
        <v>1</v>
      </c>
    </row>
    <row r="739" spans="1:4" x14ac:dyDescent="0.25">
      <c r="A739" s="2">
        <v>40934</v>
      </c>
      <c r="B739" s="1">
        <v>1</v>
      </c>
      <c r="C739" s="2">
        <v>40934</v>
      </c>
      <c r="D739" s="1">
        <v>1</v>
      </c>
    </row>
    <row r="740" spans="1:4" x14ac:dyDescent="0.25">
      <c r="A740" s="2">
        <v>40935</v>
      </c>
      <c r="B740" s="1">
        <v>1</v>
      </c>
      <c r="C740" s="2">
        <v>40935</v>
      </c>
      <c r="D740" s="1">
        <v>1</v>
      </c>
    </row>
    <row r="741" spans="1:4" x14ac:dyDescent="0.25">
      <c r="A741" s="2">
        <v>40938</v>
      </c>
      <c r="B741" s="1">
        <v>1</v>
      </c>
      <c r="C741" s="2">
        <v>40938</v>
      </c>
      <c r="D741" s="1">
        <v>1</v>
      </c>
    </row>
    <row r="742" spans="1:4" x14ac:dyDescent="0.25">
      <c r="A742" s="2">
        <v>40939</v>
      </c>
      <c r="B742" s="1">
        <v>1</v>
      </c>
      <c r="C742" s="2">
        <v>40939</v>
      </c>
      <c r="D742" s="1">
        <v>1</v>
      </c>
    </row>
    <row r="743" spans="1:4" x14ac:dyDescent="0.25">
      <c r="A743" s="2">
        <v>40940</v>
      </c>
      <c r="B743" s="1">
        <v>1</v>
      </c>
      <c r="C743" s="2">
        <v>40940</v>
      </c>
      <c r="D743" s="1">
        <v>1</v>
      </c>
    </row>
    <row r="744" spans="1:4" x14ac:dyDescent="0.25">
      <c r="A744" s="2">
        <v>40941</v>
      </c>
      <c r="B744" s="1">
        <v>1</v>
      </c>
      <c r="C744" s="2">
        <v>40941</v>
      </c>
      <c r="D744" s="1">
        <v>1</v>
      </c>
    </row>
    <row r="745" spans="1:4" x14ac:dyDescent="0.25">
      <c r="A745" s="2">
        <v>40942</v>
      </c>
      <c r="B745" s="1">
        <v>1</v>
      </c>
      <c r="C745" s="2">
        <v>40942</v>
      </c>
      <c r="D745" s="1">
        <v>1</v>
      </c>
    </row>
    <row r="746" spans="1:4" x14ac:dyDescent="0.25">
      <c r="A746" s="2">
        <v>40945</v>
      </c>
      <c r="B746" s="1">
        <v>1</v>
      </c>
      <c r="C746" s="2">
        <v>40945</v>
      </c>
      <c r="D746" s="1">
        <v>1</v>
      </c>
    </row>
    <row r="747" spans="1:4" x14ac:dyDescent="0.25">
      <c r="A747" s="2">
        <v>40946</v>
      </c>
      <c r="B747" s="1">
        <v>1</v>
      </c>
      <c r="C747" s="2">
        <v>40946</v>
      </c>
      <c r="D747" s="1">
        <v>1</v>
      </c>
    </row>
    <row r="748" spans="1:4" x14ac:dyDescent="0.25">
      <c r="A748" s="2">
        <v>40947</v>
      </c>
      <c r="B748" s="1">
        <v>1</v>
      </c>
      <c r="C748" s="2">
        <v>40947</v>
      </c>
      <c r="D748" s="1">
        <v>1</v>
      </c>
    </row>
    <row r="749" spans="1:4" x14ac:dyDescent="0.25">
      <c r="A749" s="2">
        <v>40948</v>
      </c>
      <c r="B749" s="1">
        <v>1</v>
      </c>
      <c r="C749" s="2">
        <v>40948</v>
      </c>
      <c r="D749" s="1">
        <v>1</v>
      </c>
    </row>
    <row r="750" spans="1:4" x14ac:dyDescent="0.25">
      <c r="A750" s="2">
        <v>40949</v>
      </c>
      <c r="B750" s="1">
        <v>1</v>
      </c>
      <c r="C750" s="2">
        <v>40949</v>
      </c>
      <c r="D750" s="1">
        <v>1</v>
      </c>
    </row>
    <row r="751" spans="1:4" x14ac:dyDescent="0.25">
      <c r="A751" s="2">
        <v>40952</v>
      </c>
      <c r="B751" s="1">
        <v>1</v>
      </c>
      <c r="C751" s="2">
        <v>40952</v>
      </c>
      <c r="D751" s="1">
        <v>1</v>
      </c>
    </row>
    <row r="752" spans="1:4" x14ac:dyDescent="0.25">
      <c r="A752" s="2">
        <v>40953</v>
      </c>
      <c r="B752" s="1">
        <v>1</v>
      </c>
      <c r="C752" s="2">
        <v>40953</v>
      </c>
      <c r="D752" s="1">
        <v>1</v>
      </c>
    </row>
    <row r="753" spans="1:4" x14ac:dyDescent="0.25">
      <c r="A753" s="2">
        <v>40954</v>
      </c>
      <c r="B753" s="1">
        <v>1</v>
      </c>
      <c r="C753" s="2">
        <v>40954</v>
      </c>
      <c r="D753" s="1">
        <v>1</v>
      </c>
    </row>
    <row r="754" spans="1:4" x14ac:dyDescent="0.25">
      <c r="A754" s="2">
        <v>40955</v>
      </c>
      <c r="B754" s="1">
        <v>1</v>
      </c>
      <c r="C754" s="2">
        <v>40955</v>
      </c>
      <c r="D754" s="1">
        <v>1</v>
      </c>
    </row>
    <row r="755" spans="1:4" x14ac:dyDescent="0.25">
      <c r="A755" s="2">
        <v>40956</v>
      </c>
      <c r="B755" s="1">
        <v>1</v>
      </c>
      <c r="C755" s="2">
        <v>40956</v>
      </c>
      <c r="D755" s="1">
        <v>1</v>
      </c>
    </row>
    <row r="756" spans="1:4" x14ac:dyDescent="0.25">
      <c r="A756" s="2">
        <v>40959</v>
      </c>
      <c r="B756" s="1">
        <v>1</v>
      </c>
      <c r="C756" s="2">
        <v>40959</v>
      </c>
      <c r="D756" s="1">
        <v>1</v>
      </c>
    </row>
    <row r="757" spans="1:4" x14ac:dyDescent="0.25">
      <c r="A757" s="2">
        <v>40960</v>
      </c>
      <c r="B757" s="1">
        <v>1</v>
      </c>
      <c r="C757" s="2">
        <v>40960</v>
      </c>
      <c r="D757" s="1">
        <v>1</v>
      </c>
    </row>
    <row r="758" spans="1:4" x14ac:dyDescent="0.25">
      <c r="A758" s="2">
        <v>40961</v>
      </c>
      <c r="B758" s="1">
        <v>1</v>
      </c>
      <c r="C758" s="2">
        <v>40961</v>
      </c>
      <c r="D758" s="1">
        <v>1</v>
      </c>
    </row>
    <row r="759" spans="1:4" x14ac:dyDescent="0.25">
      <c r="A759" s="2">
        <v>40962</v>
      </c>
      <c r="B759" s="1">
        <v>1</v>
      </c>
      <c r="C759" s="2">
        <v>40962</v>
      </c>
      <c r="D759" s="1">
        <v>1</v>
      </c>
    </row>
    <row r="760" spans="1:4" x14ac:dyDescent="0.25">
      <c r="A760" s="2">
        <v>40963</v>
      </c>
      <c r="B760" s="1">
        <v>1</v>
      </c>
      <c r="C760" s="2">
        <v>40963</v>
      </c>
      <c r="D760" s="1">
        <v>1</v>
      </c>
    </row>
    <row r="761" spans="1:4" x14ac:dyDescent="0.25">
      <c r="A761" s="2">
        <v>40966</v>
      </c>
      <c r="B761" s="1">
        <v>1</v>
      </c>
      <c r="C761" s="2">
        <v>40966</v>
      </c>
      <c r="D761" s="1">
        <v>1</v>
      </c>
    </row>
    <row r="762" spans="1:4" x14ac:dyDescent="0.25">
      <c r="A762" s="2">
        <v>40967</v>
      </c>
      <c r="B762" s="1">
        <v>1</v>
      </c>
      <c r="C762" s="2">
        <v>40967</v>
      </c>
      <c r="D762" s="1">
        <v>1</v>
      </c>
    </row>
    <row r="763" spans="1:4" x14ac:dyDescent="0.25">
      <c r="A763" s="2">
        <v>40968</v>
      </c>
      <c r="B763" s="1">
        <v>1</v>
      </c>
      <c r="C763" s="2">
        <v>40968</v>
      </c>
      <c r="D763" s="1">
        <v>1</v>
      </c>
    </row>
    <row r="764" spans="1:4" x14ac:dyDescent="0.25">
      <c r="A764" s="2">
        <v>40969</v>
      </c>
      <c r="B764" s="1">
        <v>1</v>
      </c>
      <c r="C764" s="2">
        <v>40969</v>
      </c>
      <c r="D764" s="1">
        <v>1</v>
      </c>
    </row>
    <row r="765" spans="1:4" x14ac:dyDescent="0.25">
      <c r="A765" s="2">
        <v>40970</v>
      </c>
      <c r="B765" s="1">
        <v>1</v>
      </c>
      <c r="C765" s="2">
        <v>40970</v>
      </c>
      <c r="D765" s="1">
        <v>1</v>
      </c>
    </row>
    <row r="766" spans="1:4" x14ac:dyDescent="0.25">
      <c r="A766" s="2">
        <v>40973</v>
      </c>
      <c r="B766" s="1">
        <v>1</v>
      </c>
      <c r="C766" s="2">
        <v>40973</v>
      </c>
      <c r="D766" s="1">
        <v>1</v>
      </c>
    </row>
    <row r="767" spans="1:4" x14ac:dyDescent="0.25">
      <c r="A767" s="2">
        <v>40974</v>
      </c>
      <c r="B767" s="1">
        <v>1</v>
      </c>
      <c r="C767" s="2">
        <v>40974</v>
      </c>
      <c r="D767" s="1">
        <v>1</v>
      </c>
    </row>
    <row r="768" spans="1:4" x14ac:dyDescent="0.25">
      <c r="A768" s="2">
        <v>40975</v>
      </c>
      <c r="B768" s="1">
        <v>1</v>
      </c>
      <c r="C768" s="2">
        <v>40975</v>
      </c>
      <c r="D768" s="1">
        <v>1</v>
      </c>
    </row>
    <row r="769" spans="1:4" x14ac:dyDescent="0.25">
      <c r="A769" s="2">
        <v>40976</v>
      </c>
      <c r="B769" s="1">
        <v>1</v>
      </c>
      <c r="C769" s="2">
        <v>40976</v>
      </c>
      <c r="D769" s="1">
        <v>1</v>
      </c>
    </row>
    <row r="770" spans="1:4" x14ac:dyDescent="0.25">
      <c r="A770" s="2">
        <v>40977</v>
      </c>
      <c r="B770" s="1">
        <v>1</v>
      </c>
      <c r="C770" s="2">
        <v>40977</v>
      </c>
      <c r="D770" s="1">
        <v>1</v>
      </c>
    </row>
    <row r="771" spans="1:4" x14ac:dyDescent="0.25">
      <c r="A771" s="2">
        <v>40980</v>
      </c>
      <c r="B771" s="1">
        <v>1</v>
      </c>
      <c r="C771" s="2">
        <v>40980</v>
      </c>
      <c r="D771" s="1">
        <v>1</v>
      </c>
    </row>
    <row r="772" spans="1:4" x14ac:dyDescent="0.25">
      <c r="A772" s="2">
        <v>40981</v>
      </c>
      <c r="B772" s="1">
        <v>1</v>
      </c>
      <c r="C772" s="2">
        <v>40981</v>
      </c>
      <c r="D772" s="1">
        <v>1</v>
      </c>
    </row>
    <row r="773" spans="1:4" x14ac:dyDescent="0.25">
      <c r="A773" s="2">
        <v>40982</v>
      </c>
      <c r="B773" s="1">
        <v>1</v>
      </c>
      <c r="C773" s="2">
        <v>40982</v>
      </c>
      <c r="D773" s="1">
        <v>1</v>
      </c>
    </row>
    <row r="774" spans="1:4" x14ac:dyDescent="0.25">
      <c r="A774" s="2">
        <v>40983</v>
      </c>
      <c r="B774" s="1">
        <v>1</v>
      </c>
      <c r="C774" s="2">
        <v>40983</v>
      </c>
      <c r="D774" s="1">
        <v>1</v>
      </c>
    </row>
    <row r="775" spans="1:4" x14ac:dyDescent="0.25">
      <c r="A775" s="2">
        <v>40984</v>
      </c>
      <c r="B775" s="1">
        <v>1</v>
      </c>
      <c r="C775" s="2">
        <v>40984</v>
      </c>
      <c r="D775" s="1">
        <v>1</v>
      </c>
    </row>
    <row r="776" spans="1:4" x14ac:dyDescent="0.25">
      <c r="A776" s="2">
        <v>40987</v>
      </c>
      <c r="B776" s="1">
        <v>1</v>
      </c>
      <c r="C776" s="2">
        <v>40987</v>
      </c>
      <c r="D776" s="1">
        <v>1</v>
      </c>
    </row>
    <row r="777" spans="1:4" x14ac:dyDescent="0.25">
      <c r="A777" s="2">
        <v>40988</v>
      </c>
      <c r="B777" s="1">
        <v>1</v>
      </c>
      <c r="C777" s="2">
        <v>40988</v>
      </c>
      <c r="D777" s="1">
        <v>1</v>
      </c>
    </row>
    <row r="778" spans="1:4" x14ac:dyDescent="0.25">
      <c r="A778" s="2">
        <v>40989</v>
      </c>
      <c r="B778" s="1">
        <v>1</v>
      </c>
      <c r="C778" s="2">
        <v>40989</v>
      </c>
      <c r="D778" s="1">
        <v>1</v>
      </c>
    </row>
    <row r="779" spans="1:4" x14ac:dyDescent="0.25">
      <c r="A779" s="2">
        <v>40990</v>
      </c>
      <c r="B779" s="1">
        <v>1</v>
      </c>
      <c r="C779" s="2">
        <v>40990</v>
      </c>
      <c r="D779" s="1">
        <v>1</v>
      </c>
    </row>
    <row r="780" spans="1:4" x14ac:dyDescent="0.25">
      <c r="A780" s="2">
        <v>40991</v>
      </c>
      <c r="B780" s="1">
        <v>1</v>
      </c>
      <c r="C780" s="2">
        <v>40991</v>
      </c>
      <c r="D780" s="1">
        <v>1</v>
      </c>
    </row>
    <row r="781" spans="1:4" x14ac:dyDescent="0.25">
      <c r="A781" s="2">
        <v>40994</v>
      </c>
      <c r="B781" s="1">
        <v>1</v>
      </c>
      <c r="C781" s="2">
        <v>40994</v>
      </c>
      <c r="D781" s="1">
        <v>1</v>
      </c>
    </row>
    <row r="782" spans="1:4" x14ac:dyDescent="0.25">
      <c r="A782" s="2">
        <v>40995</v>
      </c>
      <c r="B782" s="1">
        <v>1</v>
      </c>
      <c r="C782" s="2">
        <v>40995</v>
      </c>
      <c r="D782" s="1">
        <v>1</v>
      </c>
    </row>
    <row r="783" spans="1:4" x14ac:dyDescent="0.25">
      <c r="A783" s="2">
        <v>40996</v>
      </c>
      <c r="B783" s="1">
        <v>1</v>
      </c>
      <c r="C783" s="2">
        <v>40996</v>
      </c>
      <c r="D783" s="1">
        <v>1</v>
      </c>
    </row>
    <row r="784" spans="1:4" x14ac:dyDescent="0.25">
      <c r="A784" s="2">
        <v>40997</v>
      </c>
      <c r="B784" s="1">
        <v>1</v>
      </c>
      <c r="C784" s="2">
        <v>40997</v>
      </c>
      <c r="D784" s="1">
        <v>1</v>
      </c>
    </row>
    <row r="785" spans="1:4" x14ac:dyDescent="0.25">
      <c r="A785" s="2">
        <v>40998</v>
      </c>
      <c r="B785" s="1">
        <v>1</v>
      </c>
      <c r="C785" s="2">
        <v>40998</v>
      </c>
      <c r="D785" s="1">
        <v>1</v>
      </c>
    </row>
    <row r="786" spans="1:4" x14ac:dyDescent="0.25">
      <c r="A786" s="2">
        <v>41001</v>
      </c>
      <c r="B786" s="1">
        <v>1</v>
      </c>
      <c r="C786" s="2">
        <v>41001</v>
      </c>
      <c r="D786" s="1">
        <v>1</v>
      </c>
    </row>
    <row r="787" spans="1:4" x14ac:dyDescent="0.25">
      <c r="A787" s="2">
        <v>41002</v>
      </c>
      <c r="B787" s="1">
        <v>1</v>
      </c>
      <c r="C787" s="2">
        <v>41002</v>
      </c>
      <c r="D787" s="1">
        <v>1</v>
      </c>
    </row>
    <row r="788" spans="1:4" x14ac:dyDescent="0.25">
      <c r="A788" s="2">
        <v>41003</v>
      </c>
      <c r="B788" s="1">
        <v>1</v>
      </c>
      <c r="C788" s="2">
        <v>41003</v>
      </c>
      <c r="D788" s="1">
        <v>1</v>
      </c>
    </row>
    <row r="789" spans="1:4" x14ac:dyDescent="0.25">
      <c r="A789" s="2">
        <v>41004</v>
      </c>
      <c r="B789" s="1">
        <v>1</v>
      </c>
      <c r="C789" s="2">
        <v>41004</v>
      </c>
      <c r="D789" s="1">
        <v>1</v>
      </c>
    </row>
    <row r="790" spans="1:4" x14ac:dyDescent="0.25">
      <c r="A790" s="2">
        <v>41009</v>
      </c>
      <c r="B790" s="1">
        <v>1</v>
      </c>
      <c r="C790" s="2">
        <v>41009</v>
      </c>
      <c r="D790" s="1">
        <v>1</v>
      </c>
    </row>
    <row r="791" spans="1:4" x14ac:dyDescent="0.25">
      <c r="A791" s="2">
        <v>41010</v>
      </c>
      <c r="B791" s="1">
        <v>1</v>
      </c>
      <c r="C791" s="2">
        <v>41010</v>
      </c>
      <c r="D791" s="1">
        <v>1</v>
      </c>
    </row>
    <row r="792" spans="1:4" x14ac:dyDescent="0.25">
      <c r="A792" s="2">
        <v>41011</v>
      </c>
      <c r="B792" s="1">
        <v>1</v>
      </c>
      <c r="C792" s="2">
        <v>41011</v>
      </c>
      <c r="D792" s="1">
        <v>1</v>
      </c>
    </row>
    <row r="793" spans="1:4" x14ac:dyDescent="0.25">
      <c r="A793" s="2">
        <v>41012</v>
      </c>
      <c r="B793" s="1">
        <v>1</v>
      </c>
      <c r="C793" s="2">
        <v>41012</v>
      </c>
      <c r="D793" s="1">
        <v>1</v>
      </c>
    </row>
    <row r="794" spans="1:4" x14ac:dyDescent="0.25">
      <c r="A794" s="2">
        <v>41015</v>
      </c>
      <c r="B794" s="1">
        <v>1</v>
      </c>
      <c r="C794" s="2">
        <v>41015</v>
      </c>
      <c r="D794" s="1">
        <v>1</v>
      </c>
    </row>
    <row r="795" spans="1:4" x14ac:dyDescent="0.25">
      <c r="A795" s="2">
        <v>41016</v>
      </c>
      <c r="B795" s="1">
        <v>1</v>
      </c>
      <c r="C795" s="2">
        <v>41016</v>
      </c>
      <c r="D795" s="1">
        <v>1</v>
      </c>
    </row>
    <row r="796" spans="1:4" x14ac:dyDescent="0.25">
      <c r="A796" s="2">
        <v>41017</v>
      </c>
      <c r="B796" s="1">
        <v>1</v>
      </c>
      <c r="C796" s="2">
        <v>41017</v>
      </c>
      <c r="D796" s="1">
        <v>1</v>
      </c>
    </row>
    <row r="797" spans="1:4" x14ac:dyDescent="0.25">
      <c r="A797" s="2">
        <v>41018</v>
      </c>
      <c r="B797" s="1">
        <v>1</v>
      </c>
      <c r="C797" s="2">
        <v>41018</v>
      </c>
      <c r="D797" s="1">
        <v>1</v>
      </c>
    </row>
    <row r="798" spans="1:4" x14ac:dyDescent="0.25">
      <c r="A798" s="2">
        <v>41019</v>
      </c>
      <c r="B798" s="1">
        <v>1</v>
      </c>
      <c r="C798" s="2">
        <v>41019</v>
      </c>
      <c r="D798" s="1">
        <v>1</v>
      </c>
    </row>
    <row r="799" spans="1:4" x14ac:dyDescent="0.25">
      <c r="A799" s="2">
        <v>41022</v>
      </c>
      <c r="B799" s="1">
        <v>1</v>
      </c>
      <c r="C799" s="2">
        <v>41022</v>
      </c>
      <c r="D799" s="1">
        <v>1</v>
      </c>
    </row>
    <row r="800" spans="1:4" x14ac:dyDescent="0.25">
      <c r="A800" s="2">
        <v>41023</v>
      </c>
      <c r="B800" s="1">
        <v>1</v>
      </c>
      <c r="C800" s="2">
        <v>41023</v>
      </c>
      <c r="D800" s="1">
        <v>1</v>
      </c>
    </row>
    <row r="801" spans="1:4" x14ac:dyDescent="0.25">
      <c r="A801" s="2">
        <v>41024</v>
      </c>
      <c r="B801" s="1">
        <v>1</v>
      </c>
      <c r="C801" s="2">
        <v>41024</v>
      </c>
      <c r="D801" s="1">
        <v>1</v>
      </c>
    </row>
    <row r="802" spans="1:4" x14ac:dyDescent="0.25">
      <c r="A802" s="2">
        <v>41025</v>
      </c>
      <c r="B802" s="1">
        <v>1</v>
      </c>
      <c r="C802" s="2">
        <v>41025</v>
      </c>
      <c r="D802" s="1">
        <v>1</v>
      </c>
    </row>
    <row r="803" spans="1:4" x14ac:dyDescent="0.25">
      <c r="A803" s="2">
        <v>41026</v>
      </c>
      <c r="B803" s="1">
        <v>1</v>
      </c>
      <c r="C803" s="2">
        <v>41026</v>
      </c>
      <c r="D803" s="1">
        <v>1</v>
      </c>
    </row>
    <row r="804" spans="1:4" x14ac:dyDescent="0.25">
      <c r="A804" s="2">
        <v>41029</v>
      </c>
      <c r="B804" s="1">
        <v>1</v>
      </c>
      <c r="C804" s="2">
        <v>41029</v>
      </c>
      <c r="D804" s="1">
        <v>1</v>
      </c>
    </row>
    <row r="805" spans="1:4" x14ac:dyDescent="0.25">
      <c r="A805" s="2">
        <v>41030</v>
      </c>
      <c r="B805" s="1">
        <v>1</v>
      </c>
      <c r="C805" s="2">
        <v>41030</v>
      </c>
      <c r="D805" s="1">
        <v>1</v>
      </c>
    </row>
    <row r="806" spans="1:4" x14ac:dyDescent="0.25">
      <c r="A806" s="2">
        <v>41031</v>
      </c>
      <c r="B806" s="1">
        <v>1</v>
      </c>
      <c r="C806" s="2">
        <v>41031</v>
      </c>
      <c r="D806" s="1">
        <v>1</v>
      </c>
    </row>
    <row r="807" spans="1:4" x14ac:dyDescent="0.25">
      <c r="A807" s="2">
        <v>41032</v>
      </c>
      <c r="B807" s="1">
        <v>1</v>
      </c>
      <c r="C807" s="2">
        <v>41032</v>
      </c>
      <c r="D807" s="1">
        <v>1</v>
      </c>
    </row>
    <row r="808" spans="1:4" x14ac:dyDescent="0.25">
      <c r="A808" s="2">
        <v>41033</v>
      </c>
      <c r="B808" s="1">
        <v>1</v>
      </c>
      <c r="C808" s="2">
        <v>41033</v>
      </c>
      <c r="D808" s="1">
        <v>1</v>
      </c>
    </row>
    <row r="809" spans="1:4" x14ac:dyDescent="0.25">
      <c r="A809" s="2">
        <v>41036</v>
      </c>
      <c r="B809" s="1">
        <v>1</v>
      </c>
      <c r="C809" s="2">
        <v>41036</v>
      </c>
      <c r="D809" s="1">
        <v>1</v>
      </c>
    </row>
    <row r="810" spans="1:4" x14ac:dyDescent="0.25">
      <c r="A810" s="2">
        <v>41037</v>
      </c>
      <c r="B810" s="1">
        <v>1</v>
      </c>
      <c r="C810" s="2">
        <v>41037</v>
      </c>
      <c r="D810" s="1">
        <v>1</v>
      </c>
    </row>
    <row r="811" spans="1:4" x14ac:dyDescent="0.25">
      <c r="A811" s="2">
        <v>41038</v>
      </c>
      <c r="B811" s="1">
        <v>1</v>
      </c>
      <c r="C811" s="2">
        <v>41038</v>
      </c>
      <c r="D811" s="1">
        <v>1</v>
      </c>
    </row>
    <row r="812" spans="1:4" x14ac:dyDescent="0.25">
      <c r="A812" s="2">
        <v>41039</v>
      </c>
      <c r="B812" s="1">
        <v>1</v>
      </c>
      <c r="C812" s="2">
        <v>41039</v>
      </c>
      <c r="D812" s="1">
        <v>1</v>
      </c>
    </row>
    <row r="813" spans="1:4" x14ac:dyDescent="0.25">
      <c r="A813" s="2">
        <v>41040</v>
      </c>
      <c r="B813" s="1">
        <v>1</v>
      </c>
      <c r="C813" s="2">
        <v>41040</v>
      </c>
      <c r="D813" s="1">
        <v>1</v>
      </c>
    </row>
    <row r="814" spans="1:4" x14ac:dyDescent="0.25">
      <c r="A814" s="2">
        <v>41043</v>
      </c>
      <c r="B814" s="1">
        <v>1</v>
      </c>
      <c r="C814" s="2">
        <v>41043</v>
      </c>
      <c r="D814" s="1">
        <v>1</v>
      </c>
    </row>
    <row r="815" spans="1:4" x14ac:dyDescent="0.25">
      <c r="A815" s="2">
        <v>41044</v>
      </c>
      <c r="B815" s="1">
        <v>1</v>
      </c>
      <c r="C815" s="2">
        <v>41044</v>
      </c>
      <c r="D815" s="1">
        <v>1</v>
      </c>
    </row>
    <row r="816" spans="1:4" x14ac:dyDescent="0.25">
      <c r="A816" s="2">
        <v>41045</v>
      </c>
      <c r="B816" s="1">
        <v>1</v>
      </c>
      <c r="C816" s="2">
        <v>41045</v>
      </c>
      <c r="D816" s="1">
        <v>1</v>
      </c>
    </row>
    <row r="817" spans="1:4" x14ac:dyDescent="0.25">
      <c r="A817" s="2">
        <v>41046</v>
      </c>
      <c r="B817" s="1">
        <v>1</v>
      </c>
      <c r="C817" s="2">
        <v>41046</v>
      </c>
      <c r="D817" s="1">
        <v>1</v>
      </c>
    </row>
    <row r="818" spans="1:4" x14ac:dyDescent="0.25">
      <c r="A818" s="2">
        <v>41047</v>
      </c>
      <c r="B818" s="1">
        <v>1</v>
      </c>
      <c r="C818" s="2">
        <v>41047</v>
      </c>
      <c r="D818" s="1">
        <v>1</v>
      </c>
    </row>
    <row r="819" spans="1:4" x14ac:dyDescent="0.25">
      <c r="A819" s="2">
        <v>41050</v>
      </c>
      <c r="B819" s="1">
        <v>1</v>
      </c>
      <c r="C819" s="2">
        <v>41050</v>
      </c>
      <c r="D819" s="1">
        <v>1</v>
      </c>
    </row>
    <row r="820" spans="1:4" x14ac:dyDescent="0.25">
      <c r="A820" s="2">
        <v>41051</v>
      </c>
      <c r="B820" s="1">
        <v>1</v>
      </c>
      <c r="C820" s="2">
        <v>41051</v>
      </c>
      <c r="D820" s="1">
        <v>1</v>
      </c>
    </row>
    <row r="821" spans="1:4" x14ac:dyDescent="0.25">
      <c r="A821" s="2">
        <v>41052</v>
      </c>
      <c r="B821" s="1">
        <v>1</v>
      </c>
      <c r="C821" s="2">
        <v>41052</v>
      </c>
      <c r="D821" s="1">
        <v>1</v>
      </c>
    </row>
    <row r="822" spans="1:4" x14ac:dyDescent="0.25">
      <c r="A822" s="2">
        <v>41053</v>
      </c>
      <c r="B822" s="1">
        <v>1</v>
      </c>
      <c r="C822" s="2">
        <v>41053</v>
      </c>
      <c r="D822" s="1">
        <v>1</v>
      </c>
    </row>
    <row r="823" spans="1:4" x14ac:dyDescent="0.25">
      <c r="A823" s="2">
        <v>41054</v>
      </c>
      <c r="B823" s="1">
        <v>1</v>
      </c>
      <c r="C823" s="2">
        <v>41054</v>
      </c>
      <c r="D823" s="1">
        <v>1</v>
      </c>
    </row>
    <row r="824" spans="1:4" x14ac:dyDescent="0.25">
      <c r="A824" s="2">
        <v>41057</v>
      </c>
      <c r="B824" s="1">
        <v>1</v>
      </c>
      <c r="C824" s="2">
        <v>41057</v>
      </c>
      <c r="D824" s="1">
        <v>1</v>
      </c>
    </row>
    <row r="825" spans="1:4" x14ac:dyDescent="0.25">
      <c r="A825" s="2">
        <v>41058</v>
      </c>
      <c r="B825" s="1">
        <v>1</v>
      </c>
      <c r="C825" s="2">
        <v>41058</v>
      </c>
      <c r="D825" s="1">
        <v>1</v>
      </c>
    </row>
    <row r="826" spans="1:4" x14ac:dyDescent="0.25">
      <c r="A826" s="2">
        <v>41059</v>
      </c>
      <c r="B826" s="1">
        <v>1</v>
      </c>
      <c r="C826" s="2">
        <v>41059</v>
      </c>
      <c r="D826" s="1">
        <v>1</v>
      </c>
    </row>
    <row r="827" spans="1:4" x14ac:dyDescent="0.25">
      <c r="A827" s="2">
        <v>41060</v>
      </c>
      <c r="B827" s="1">
        <v>1</v>
      </c>
      <c r="C827" s="2">
        <v>41060</v>
      </c>
      <c r="D827" s="1">
        <v>1</v>
      </c>
    </row>
    <row r="828" spans="1:4" x14ac:dyDescent="0.25">
      <c r="A828" s="2">
        <v>41061</v>
      </c>
      <c r="B828" s="1">
        <v>1</v>
      </c>
      <c r="C828" s="2">
        <v>41061</v>
      </c>
      <c r="D828" s="1">
        <v>1</v>
      </c>
    </row>
    <row r="829" spans="1:4" x14ac:dyDescent="0.25">
      <c r="A829" s="2">
        <v>41064</v>
      </c>
      <c r="B829" s="1">
        <v>1</v>
      </c>
      <c r="C829" s="2">
        <v>41064</v>
      </c>
      <c r="D829" s="1">
        <v>1</v>
      </c>
    </row>
    <row r="830" spans="1:4" x14ac:dyDescent="0.25">
      <c r="A830" s="2">
        <v>41065</v>
      </c>
      <c r="B830" s="1">
        <v>1</v>
      </c>
      <c r="C830" s="2">
        <v>41065</v>
      </c>
      <c r="D830" s="1">
        <v>1</v>
      </c>
    </row>
    <row r="831" spans="1:4" x14ac:dyDescent="0.25">
      <c r="A831" s="2">
        <v>41066</v>
      </c>
      <c r="B831" s="1">
        <v>1</v>
      </c>
      <c r="C831" s="2">
        <v>41066</v>
      </c>
      <c r="D831" s="1">
        <v>1</v>
      </c>
    </row>
    <row r="832" spans="1:4" x14ac:dyDescent="0.25">
      <c r="A832" s="2">
        <v>41067</v>
      </c>
      <c r="B832" s="1">
        <v>1</v>
      </c>
      <c r="C832" s="2">
        <v>41067</v>
      </c>
      <c r="D832" s="1">
        <v>1</v>
      </c>
    </row>
    <row r="833" spans="1:4" x14ac:dyDescent="0.25">
      <c r="A833" s="2">
        <v>41068</v>
      </c>
      <c r="B833" s="1">
        <v>1</v>
      </c>
      <c r="C833" s="2">
        <v>41068</v>
      </c>
      <c r="D833" s="1">
        <v>1</v>
      </c>
    </row>
    <row r="834" spans="1:4" x14ac:dyDescent="0.25">
      <c r="A834" s="2">
        <v>41071</v>
      </c>
      <c r="B834" s="1">
        <v>1</v>
      </c>
      <c r="C834" s="2">
        <v>41071</v>
      </c>
      <c r="D834" s="1">
        <v>1</v>
      </c>
    </row>
    <row r="835" spans="1:4" x14ac:dyDescent="0.25">
      <c r="A835" s="2">
        <v>41072</v>
      </c>
      <c r="B835" s="1">
        <v>1</v>
      </c>
      <c r="C835" s="2">
        <v>41072</v>
      </c>
      <c r="D835" s="1">
        <v>1</v>
      </c>
    </row>
    <row r="836" spans="1:4" x14ac:dyDescent="0.25">
      <c r="A836" s="2">
        <v>41073</v>
      </c>
      <c r="B836" s="1">
        <v>1</v>
      </c>
      <c r="C836" s="2">
        <v>41073</v>
      </c>
      <c r="D836" s="1">
        <v>1</v>
      </c>
    </row>
    <row r="837" spans="1:4" x14ac:dyDescent="0.25">
      <c r="A837" s="2">
        <v>41074</v>
      </c>
      <c r="B837" s="1">
        <v>1</v>
      </c>
      <c r="C837" s="2">
        <v>41074</v>
      </c>
      <c r="D837" s="1">
        <v>1</v>
      </c>
    </row>
    <row r="838" spans="1:4" x14ac:dyDescent="0.25">
      <c r="A838" s="2">
        <v>41075</v>
      </c>
      <c r="B838" s="1">
        <v>1</v>
      </c>
      <c r="C838" s="2">
        <v>41075</v>
      </c>
      <c r="D838" s="1">
        <v>1</v>
      </c>
    </row>
    <row r="839" spans="1:4" x14ac:dyDescent="0.25">
      <c r="A839" s="2">
        <v>41078</v>
      </c>
      <c r="B839" s="1">
        <v>1</v>
      </c>
      <c r="C839" s="2">
        <v>41078</v>
      </c>
      <c r="D839" s="1">
        <v>1</v>
      </c>
    </row>
    <row r="840" spans="1:4" x14ac:dyDescent="0.25">
      <c r="A840" s="2">
        <v>41079</v>
      </c>
      <c r="B840" s="1">
        <v>1</v>
      </c>
      <c r="C840" s="2">
        <v>41079</v>
      </c>
      <c r="D840" s="1">
        <v>1</v>
      </c>
    </row>
    <row r="841" spans="1:4" x14ac:dyDescent="0.25">
      <c r="A841" s="2">
        <v>41080</v>
      </c>
      <c r="B841" s="1">
        <v>1</v>
      </c>
      <c r="C841" s="2">
        <v>41080</v>
      </c>
      <c r="D841" s="1">
        <v>1</v>
      </c>
    </row>
    <row r="842" spans="1:4" x14ac:dyDescent="0.25">
      <c r="A842" s="2">
        <v>41081</v>
      </c>
      <c r="B842" s="1">
        <v>1</v>
      </c>
      <c r="C842" s="2">
        <v>41081</v>
      </c>
      <c r="D842" s="1">
        <v>1</v>
      </c>
    </row>
    <row r="843" spans="1:4" x14ac:dyDescent="0.25">
      <c r="A843" s="2">
        <v>41082</v>
      </c>
      <c r="B843" s="1">
        <v>1</v>
      </c>
      <c r="C843" s="2">
        <v>41082</v>
      </c>
      <c r="D843" s="1">
        <v>1</v>
      </c>
    </row>
    <row r="844" spans="1:4" x14ac:dyDescent="0.25">
      <c r="A844" s="2">
        <v>41085</v>
      </c>
      <c r="B844" s="1">
        <v>1</v>
      </c>
      <c r="C844" s="2">
        <v>41085</v>
      </c>
      <c r="D844" s="1">
        <v>1</v>
      </c>
    </row>
    <row r="845" spans="1:4" x14ac:dyDescent="0.25">
      <c r="A845" s="2">
        <v>41086</v>
      </c>
      <c r="B845" s="1">
        <v>1</v>
      </c>
      <c r="C845" s="2">
        <v>41086</v>
      </c>
      <c r="D845" s="1">
        <v>1</v>
      </c>
    </row>
    <row r="846" spans="1:4" x14ac:dyDescent="0.25">
      <c r="A846" s="2">
        <v>41087</v>
      </c>
      <c r="B846" s="1">
        <v>1</v>
      </c>
      <c r="C846" s="2">
        <v>41087</v>
      </c>
      <c r="D846" s="1">
        <v>1</v>
      </c>
    </row>
    <row r="847" spans="1:4" x14ac:dyDescent="0.25">
      <c r="A847" s="2">
        <v>41088</v>
      </c>
      <c r="B847" s="1">
        <v>1</v>
      </c>
      <c r="C847" s="2">
        <v>41088</v>
      </c>
      <c r="D847" s="1">
        <v>1</v>
      </c>
    </row>
    <row r="848" spans="1:4" x14ac:dyDescent="0.25">
      <c r="A848" s="2">
        <v>41089</v>
      </c>
      <c r="B848" s="1">
        <v>1</v>
      </c>
      <c r="C848" s="2">
        <v>41089</v>
      </c>
      <c r="D848" s="1">
        <v>1</v>
      </c>
    </row>
    <row r="849" spans="1:4" x14ac:dyDescent="0.25">
      <c r="A849" s="2">
        <v>41092</v>
      </c>
      <c r="B849" s="1">
        <v>1</v>
      </c>
      <c r="C849" s="2">
        <v>41092</v>
      </c>
      <c r="D849" s="1">
        <v>1</v>
      </c>
    </row>
    <row r="850" spans="1:4" x14ac:dyDescent="0.25">
      <c r="A850" s="2">
        <v>41093</v>
      </c>
      <c r="B850" s="1">
        <v>1</v>
      </c>
      <c r="C850" s="2">
        <v>41093</v>
      </c>
      <c r="D850" s="1">
        <v>1</v>
      </c>
    </row>
    <row r="851" spans="1:4" x14ac:dyDescent="0.25">
      <c r="A851" s="2">
        <v>41094</v>
      </c>
      <c r="B851" s="1">
        <v>1</v>
      </c>
      <c r="C851" s="2">
        <v>41094</v>
      </c>
      <c r="D851" s="1">
        <v>1</v>
      </c>
    </row>
    <row r="852" spans="1:4" x14ac:dyDescent="0.25">
      <c r="A852" s="2">
        <v>41095</v>
      </c>
      <c r="B852" s="1">
        <v>1</v>
      </c>
      <c r="C852" s="2">
        <v>41095</v>
      </c>
      <c r="D852" s="1">
        <v>1</v>
      </c>
    </row>
    <row r="853" spans="1:4" x14ac:dyDescent="0.25">
      <c r="A853" s="2">
        <v>41096</v>
      </c>
      <c r="B853" s="1">
        <v>1</v>
      </c>
      <c r="C853" s="2">
        <v>41096</v>
      </c>
      <c r="D853" s="1">
        <v>1</v>
      </c>
    </row>
    <row r="854" spans="1:4" x14ac:dyDescent="0.25">
      <c r="A854" s="2">
        <v>41099</v>
      </c>
      <c r="B854" s="1">
        <v>1</v>
      </c>
      <c r="C854" s="2">
        <v>41099</v>
      </c>
      <c r="D854" s="1">
        <v>1</v>
      </c>
    </row>
    <row r="855" spans="1:4" x14ac:dyDescent="0.25">
      <c r="A855" s="2">
        <v>41100</v>
      </c>
      <c r="B855" s="1">
        <v>1</v>
      </c>
      <c r="C855" s="2">
        <v>41100</v>
      </c>
      <c r="D855" s="1">
        <v>1</v>
      </c>
    </row>
    <row r="856" spans="1:4" x14ac:dyDescent="0.25">
      <c r="A856" s="2">
        <v>41101</v>
      </c>
      <c r="B856" s="1">
        <v>1</v>
      </c>
      <c r="C856" s="2">
        <v>41101</v>
      </c>
      <c r="D856" s="1">
        <v>1</v>
      </c>
    </row>
    <row r="857" spans="1:4" x14ac:dyDescent="0.25">
      <c r="A857" s="2">
        <v>41102</v>
      </c>
      <c r="B857" s="1">
        <v>1</v>
      </c>
      <c r="C857" s="2">
        <v>41102</v>
      </c>
      <c r="D857" s="1">
        <v>1</v>
      </c>
    </row>
    <row r="858" spans="1:4" x14ac:dyDescent="0.25">
      <c r="A858" s="2">
        <v>41103</v>
      </c>
      <c r="B858" s="1">
        <v>1</v>
      </c>
      <c r="C858" s="2">
        <v>41103</v>
      </c>
      <c r="D858" s="1">
        <v>1</v>
      </c>
    </row>
    <row r="859" spans="1:4" x14ac:dyDescent="0.25">
      <c r="A859" s="2">
        <v>41106</v>
      </c>
      <c r="B859" s="1">
        <v>1</v>
      </c>
      <c r="C859" s="2">
        <v>41106</v>
      </c>
      <c r="D859" s="1">
        <v>1</v>
      </c>
    </row>
    <row r="860" spans="1:4" x14ac:dyDescent="0.25">
      <c r="A860" s="2">
        <v>41107</v>
      </c>
      <c r="B860" s="1">
        <v>1</v>
      </c>
      <c r="C860" s="2">
        <v>41107</v>
      </c>
      <c r="D860" s="1">
        <v>1</v>
      </c>
    </row>
    <row r="861" spans="1:4" x14ac:dyDescent="0.25">
      <c r="A861" s="2">
        <v>41108</v>
      </c>
      <c r="B861" s="1">
        <v>1</v>
      </c>
      <c r="C861" s="2">
        <v>41108</v>
      </c>
      <c r="D861" s="1">
        <v>1</v>
      </c>
    </row>
    <row r="862" spans="1:4" x14ac:dyDescent="0.25">
      <c r="A862" s="2">
        <v>41109</v>
      </c>
      <c r="B862" s="1">
        <v>1</v>
      </c>
      <c r="C862" s="2">
        <v>41109</v>
      </c>
      <c r="D862" s="1">
        <v>1</v>
      </c>
    </row>
    <row r="863" spans="1:4" x14ac:dyDescent="0.25">
      <c r="A863" s="2">
        <v>41110</v>
      </c>
      <c r="B863" s="1">
        <v>1</v>
      </c>
      <c r="C863" s="2">
        <v>41110</v>
      </c>
      <c r="D863" s="1">
        <v>1</v>
      </c>
    </row>
    <row r="864" spans="1:4" x14ac:dyDescent="0.25">
      <c r="A864" s="2">
        <v>41113</v>
      </c>
      <c r="B864" s="1">
        <v>1</v>
      </c>
      <c r="C864" s="2">
        <v>41113</v>
      </c>
      <c r="D864" s="1">
        <v>1</v>
      </c>
    </row>
    <row r="865" spans="1:4" x14ac:dyDescent="0.25">
      <c r="A865" s="2">
        <v>41114</v>
      </c>
      <c r="B865" s="1">
        <v>1</v>
      </c>
      <c r="C865" s="2">
        <v>41114</v>
      </c>
      <c r="D865" s="1">
        <v>1</v>
      </c>
    </row>
    <row r="866" spans="1:4" x14ac:dyDescent="0.25">
      <c r="A866" s="2">
        <v>41115</v>
      </c>
      <c r="B866" s="1">
        <v>1</v>
      </c>
      <c r="C866" s="2">
        <v>41115</v>
      </c>
      <c r="D866" s="1">
        <v>1</v>
      </c>
    </row>
    <row r="867" spans="1:4" x14ac:dyDescent="0.25">
      <c r="A867" s="2">
        <v>41116</v>
      </c>
      <c r="B867" s="1">
        <v>1</v>
      </c>
      <c r="C867" s="2">
        <v>41116</v>
      </c>
      <c r="D867" s="1">
        <v>1</v>
      </c>
    </row>
    <row r="868" spans="1:4" x14ac:dyDescent="0.25">
      <c r="A868" s="2">
        <v>41117</v>
      </c>
      <c r="B868" s="1">
        <v>1</v>
      </c>
      <c r="C868" s="2">
        <v>41117</v>
      </c>
      <c r="D868" s="1">
        <v>1</v>
      </c>
    </row>
    <row r="869" spans="1:4" x14ac:dyDescent="0.25">
      <c r="A869" s="2">
        <v>41120</v>
      </c>
      <c r="B869" s="1">
        <v>1</v>
      </c>
      <c r="C869" s="2">
        <v>41120</v>
      </c>
      <c r="D869" s="1">
        <v>1</v>
      </c>
    </row>
    <row r="870" spans="1:4" x14ac:dyDescent="0.25">
      <c r="A870" s="2">
        <v>41121</v>
      </c>
      <c r="B870" s="1">
        <v>1</v>
      </c>
      <c r="C870" s="2">
        <v>41121</v>
      </c>
      <c r="D870" s="1">
        <v>1</v>
      </c>
    </row>
    <row r="871" spans="1:4" x14ac:dyDescent="0.25">
      <c r="A871" s="2">
        <v>41122</v>
      </c>
      <c r="B871" s="1">
        <v>1</v>
      </c>
      <c r="C871" s="2">
        <v>41122</v>
      </c>
      <c r="D871" s="1">
        <v>1</v>
      </c>
    </row>
    <row r="872" spans="1:4" x14ac:dyDescent="0.25">
      <c r="A872" s="2">
        <v>41123</v>
      </c>
      <c r="B872" s="1">
        <v>1</v>
      </c>
      <c r="C872" s="2">
        <v>41123</v>
      </c>
      <c r="D872" s="1">
        <v>1</v>
      </c>
    </row>
    <row r="873" spans="1:4" x14ac:dyDescent="0.25">
      <c r="A873" s="2">
        <v>41124</v>
      </c>
      <c r="B873" s="1">
        <v>1</v>
      </c>
      <c r="C873" s="2">
        <v>41124</v>
      </c>
      <c r="D873" s="1">
        <v>1</v>
      </c>
    </row>
    <row r="874" spans="1:4" x14ac:dyDescent="0.25">
      <c r="A874" s="2">
        <v>41127</v>
      </c>
      <c r="B874" s="1">
        <v>1</v>
      </c>
      <c r="C874" s="2">
        <v>41127</v>
      </c>
      <c r="D874" s="1">
        <v>1</v>
      </c>
    </row>
    <row r="875" spans="1:4" x14ac:dyDescent="0.25">
      <c r="A875" s="2">
        <v>41128</v>
      </c>
      <c r="B875" s="1">
        <v>1</v>
      </c>
      <c r="C875" s="2">
        <v>41128</v>
      </c>
      <c r="D875" s="1">
        <v>1</v>
      </c>
    </row>
    <row r="876" spans="1:4" x14ac:dyDescent="0.25">
      <c r="A876" s="2">
        <v>41129</v>
      </c>
      <c r="B876" s="1">
        <v>1</v>
      </c>
      <c r="C876" s="2">
        <v>41129</v>
      </c>
      <c r="D876" s="1">
        <v>1</v>
      </c>
    </row>
    <row r="877" spans="1:4" x14ac:dyDescent="0.25">
      <c r="A877" s="2">
        <v>41130</v>
      </c>
      <c r="B877" s="1">
        <v>1</v>
      </c>
      <c r="C877" s="2">
        <v>41130</v>
      </c>
      <c r="D877" s="1">
        <v>1</v>
      </c>
    </row>
    <row r="878" spans="1:4" x14ac:dyDescent="0.25">
      <c r="A878" s="2">
        <v>41131</v>
      </c>
      <c r="B878" s="1">
        <v>1</v>
      </c>
      <c r="C878" s="2">
        <v>41131</v>
      </c>
      <c r="D878" s="1">
        <v>1</v>
      </c>
    </row>
    <row r="879" spans="1:4" x14ac:dyDescent="0.25">
      <c r="A879" s="2">
        <v>41134</v>
      </c>
      <c r="B879" s="1">
        <v>1</v>
      </c>
      <c r="C879" s="2">
        <v>41134</v>
      </c>
      <c r="D879" s="1">
        <v>1</v>
      </c>
    </row>
    <row r="880" spans="1:4" x14ac:dyDescent="0.25">
      <c r="A880" s="2">
        <v>41135</v>
      </c>
      <c r="B880" s="1">
        <v>1</v>
      </c>
      <c r="C880" s="2">
        <v>41135</v>
      </c>
      <c r="D880" s="1">
        <v>1</v>
      </c>
    </row>
    <row r="881" spans="1:4" x14ac:dyDescent="0.25">
      <c r="A881" s="2">
        <v>41136</v>
      </c>
      <c r="B881" s="1">
        <v>1</v>
      </c>
      <c r="C881" s="2">
        <v>41136</v>
      </c>
      <c r="D881" s="1">
        <v>1</v>
      </c>
    </row>
    <row r="882" spans="1:4" x14ac:dyDescent="0.25">
      <c r="A882" s="2">
        <v>41137</v>
      </c>
      <c r="B882" s="1">
        <v>1</v>
      </c>
      <c r="C882" s="2">
        <v>41137</v>
      </c>
      <c r="D882" s="1">
        <v>1</v>
      </c>
    </row>
    <row r="883" spans="1:4" x14ac:dyDescent="0.25">
      <c r="A883" s="2">
        <v>41138</v>
      </c>
      <c r="B883" s="1">
        <v>1</v>
      </c>
      <c r="C883" s="2">
        <v>41138</v>
      </c>
      <c r="D883" s="1">
        <v>1</v>
      </c>
    </row>
    <row r="884" spans="1:4" x14ac:dyDescent="0.25">
      <c r="A884" s="2">
        <v>41141</v>
      </c>
      <c r="B884" s="1">
        <v>1</v>
      </c>
      <c r="C884" s="2">
        <v>41141</v>
      </c>
      <c r="D884" s="1">
        <v>1</v>
      </c>
    </row>
    <row r="885" spans="1:4" x14ac:dyDescent="0.25">
      <c r="A885" s="2">
        <v>41142</v>
      </c>
      <c r="B885" s="1">
        <v>1</v>
      </c>
      <c r="C885" s="2">
        <v>41142</v>
      </c>
      <c r="D885" s="1">
        <v>1</v>
      </c>
    </row>
    <row r="886" spans="1:4" x14ac:dyDescent="0.25">
      <c r="A886" s="2">
        <v>41143</v>
      </c>
      <c r="B886" s="1">
        <v>1</v>
      </c>
      <c r="C886" s="2">
        <v>41143</v>
      </c>
      <c r="D886" s="1">
        <v>1</v>
      </c>
    </row>
    <row r="887" spans="1:4" x14ac:dyDescent="0.25">
      <c r="A887" s="2">
        <v>41144</v>
      </c>
      <c r="B887" s="1">
        <v>1</v>
      </c>
      <c r="C887" s="2">
        <v>41144</v>
      </c>
      <c r="D887" s="1">
        <v>1</v>
      </c>
    </row>
    <row r="888" spans="1:4" x14ac:dyDescent="0.25">
      <c r="A888" s="2">
        <v>41145</v>
      </c>
      <c r="B888" s="1">
        <v>1</v>
      </c>
      <c r="C888" s="2">
        <v>41145</v>
      </c>
      <c r="D888" s="1">
        <v>1</v>
      </c>
    </row>
    <row r="889" spans="1:4" x14ac:dyDescent="0.25">
      <c r="A889" s="2">
        <v>41148</v>
      </c>
      <c r="B889" s="1">
        <v>1</v>
      </c>
      <c r="C889" s="2">
        <v>41148</v>
      </c>
      <c r="D889" s="1">
        <v>1</v>
      </c>
    </row>
    <row r="890" spans="1:4" x14ac:dyDescent="0.25">
      <c r="A890" s="2">
        <v>41149</v>
      </c>
      <c r="B890" s="1">
        <v>1</v>
      </c>
      <c r="C890" s="2">
        <v>41149</v>
      </c>
      <c r="D890" s="1">
        <v>1</v>
      </c>
    </row>
    <row r="891" spans="1:4" x14ac:dyDescent="0.25">
      <c r="A891" s="2">
        <v>41150</v>
      </c>
      <c r="B891" s="1">
        <v>1</v>
      </c>
      <c r="C891" s="2">
        <v>41150</v>
      </c>
      <c r="D891" s="1">
        <v>1</v>
      </c>
    </row>
    <row r="892" spans="1:4" x14ac:dyDescent="0.25">
      <c r="A892" s="2">
        <v>41151</v>
      </c>
      <c r="B892" s="1">
        <v>1</v>
      </c>
      <c r="C892" s="2">
        <v>41151</v>
      </c>
      <c r="D892" s="1">
        <v>1</v>
      </c>
    </row>
    <row r="893" spans="1:4" x14ac:dyDescent="0.25">
      <c r="A893" s="2">
        <v>41152</v>
      </c>
      <c r="B893" s="1">
        <v>1</v>
      </c>
      <c r="C893" s="2">
        <v>41152</v>
      </c>
      <c r="D893" s="1">
        <v>1</v>
      </c>
    </row>
    <row r="894" spans="1:4" x14ac:dyDescent="0.25">
      <c r="A894" s="2">
        <v>41155</v>
      </c>
      <c r="B894" s="1">
        <v>1</v>
      </c>
      <c r="C894" s="2">
        <v>41155</v>
      </c>
      <c r="D894" s="1">
        <v>1</v>
      </c>
    </row>
    <row r="895" spans="1:4" x14ac:dyDescent="0.25">
      <c r="A895" s="2">
        <v>41156</v>
      </c>
      <c r="B895" s="1">
        <v>1</v>
      </c>
      <c r="C895" s="2">
        <v>41156</v>
      </c>
      <c r="D895" s="1">
        <v>1</v>
      </c>
    </row>
    <row r="896" spans="1:4" x14ac:dyDescent="0.25">
      <c r="A896" s="2">
        <v>41157</v>
      </c>
      <c r="B896" s="1">
        <v>1</v>
      </c>
      <c r="C896" s="2">
        <v>41157</v>
      </c>
      <c r="D896" s="1">
        <v>1</v>
      </c>
    </row>
    <row r="897" spans="1:4" x14ac:dyDescent="0.25">
      <c r="A897" s="2">
        <v>41158</v>
      </c>
      <c r="B897" s="1">
        <v>1</v>
      </c>
      <c r="C897" s="2">
        <v>41158</v>
      </c>
      <c r="D897" s="1">
        <v>1</v>
      </c>
    </row>
    <row r="898" spans="1:4" x14ac:dyDescent="0.25">
      <c r="A898" s="2">
        <v>41159</v>
      </c>
      <c r="B898" s="1">
        <v>1</v>
      </c>
      <c r="C898" s="2">
        <v>41159</v>
      </c>
      <c r="D898" s="1">
        <v>1</v>
      </c>
    </row>
    <row r="899" spans="1:4" x14ac:dyDescent="0.25">
      <c r="A899" s="2">
        <v>41162</v>
      </c>
      <c r="B899" s="1">
        <v>1</v>
      </c>
      <c r="C899" s="2">
        <v>41162</v>
      </c>
      <c r="D899" s="1">
        <v>1</v>
      </c>
    </row>
    <row r="900" spans="1:4" x14ac:dyDescent="0.25">
      <c r="A900" s="2">
        <v>41163</v>
      </c>
      <c r="B900" s="1">
        <v>1</v>
      </c>
      <c r="C900" s="2">
        <v>41163</v>
      </c>
      <c r="D900" s="1">
        <v>1</v>
      </c>
    </row>
    <row r="901" spans="1:4" x14ac:dyDescent="0.25">
      <c r="A901" s="2">
        <v>41164</v>
      </c>
      <c r="B901" s="1">
        <v>1</v>
      </c>
      <c r="C901" s="2">
        <v>41164</v>
      </c>
      <c r="D901" s="1">
        <v>1</v>
      </c>
    </row>
    <row r="902" spans="1:4" x14ac:dyDescent="0.25">
      <c r="A902" s="2">
        <v>41165</v>
      </c>
      <c r="B902" s="1">
        <v>1</v>
      </c>
      <c r="C902" s="2">
        <v>41165</v>
      </c>
      <c r="D902" s="1">
        <v>1</v>
      </c>
    </row>
    <row r="903" spans="1:4" x14ac:dyDescent="0.25">
      <c r="A903" s="2">
        <v>41166</v>
      </c>
      <c r="B903" s="1">
        <v>1</v>
      </c>
      <c r="C903" s="2">
        <v>41166</v>
      </c>
      <c r="D903" s="1">
        <v>1</v>
      </c>
    </row>
    <row r="904" spans="1:4" x14ac:dyDescent="0.25">
      <c r="A904" s="2">
        <v>41169</v>
      </c>
      <c r="B904" s="1">
        <v>1</v>
      </c>
      <c r="C904" s="2">
        <v>41169</v>
      </c>
      <c r="D904" s="1">
        <v>1</v>
      </c>
    </row>
    <row r="905" spans="1:4" x14ac:dyDescent="0.25">
      <c r="A905" s="2">
        <v>41170</v>
      </c>
      <c r="B905" s="1">
        <v>1</v>
      </c>
      <c r="C905" s="2">
        <v>41170</v>
      </c>
      <c r="D905" s="1">
        <v>1</v>
      </c>
    </row>
    <row r="906" spans="1:4" x14ac:dyDescent="0.25">
      <c r="A906" s="2">
        <v>41171</v>
      </c>
      <c r="B906" s="1">
        <v>1</v>
      </c>
      <c r="C906" s="2">
        <v>41171</v>
      </c>
      <c r="D906" s="1">
        <v>1</v>
      </c>
    </row>
    <row r="907" spans="1:4" x14ac:dyDescent="0.25">
      <c r="A907" s="2">
        <v>41172</v>
      </c>
      <c r="B907" s="1">
        <v>1</v>
      </c>
      <c r="C907" s="2">
        <v>41172</v>
      </c>
      <c r="D907" s="1">
        <v>1</v>
      </c>
    </row>
    <row r="908" spans="1:4" x14ac:dyDescent="0.25">
      <c r="A908" s="2">
        <v>41173</v>
      </c>
      <c r="B908" s="1">
        <v>1</v>
      </c>
      <c r="C908" s="2">
        <v>41173</v>
      </c>
      <c r="D908" s="1">
        <v>1</v>
      </c>
    </row>
    <row r="909" spans="1:4" x14ac:dyDescent="0.25">
      <c r="A909" s="2">
        <v>41176</v>
      </c>
      <c r="B909" s="1">
        <v>1</v>
      </c>
      <c r="C909" s="2">
        <v>41176</v>
      </c>
      <c r="D909" s="1">
        <v>1</v>
      </c>
    </row>
    <row r="910" spans="1:4" x14ac:dyDescent="0.25">
      <c r="A910" s="2">
        <v>41177</v>
      </c>
      <c r="B910" s="1">
        <v>1</v>
      </c>
      <c r="C910" s="2">
        <v>41177</v>
      </c>
      <c r="D910" s="1">
        <v>1</v>
      </c>
    </row>
    <row r="911" spans="1:4" x14ac:dyDescent="0.25">
      <c r="A911" s="2">
        <v>41178</v>
      </c>
      <c r="B911" s="1">
        <v>1</v>
      </c>
      <c r="C911" s="2">
        <v>41178</v>
      </c>
      <c r="D911" s="1">
        <v>1</v>
      </c>
    </row>
    <row r="912" spans="1:4" x14ac:dyDescent="0.25">
      <c r="A912" s="2">
        <v>41179</v>
      </c>
      <c r="B912" s="1">
        <v>1</v>
      </c>
      <c r="C912" s="2">
        <v>41179</v>
      </c>
      <c r="D912" s="1">
        <v>1</v>
      </c>
    </row>
    <row r="913" spans="1:4" x14ac:dyDescent="0.25">
      <c r="A913" s="2">
        <v>41180</v>
      </c>
      <c r="B913" s="1">
        <v>1</v>
      </c>
      <c r="C913" s="2">
        <v>41180</v>
      </c>
      <c r="D913" s="1">
        <v>1</v>
      </c>
    </row>
    <row r="914" spans="1:4" x14ac:dyDescent="0.25">
      <c r="A914" s="2">
        <v>41183</v>
      </c>
      <c r="B914" s="1">
        <v>1</v>
      </c>
      <c r="C914" s="2">
        <v>41183</v>
      </c>
      <c r="D914" s="1">
        <v>1</v>
      </c>
    </row>
    <row r="915" spans="1:4" x14ac:dyDescent="0.25">
      <c r="A915" s="2">
        <v>41184</v>
      </c>
      <c r="B915" s="1">
        <v>1</v>
      </c>
      <c r="C915" s="2">
        <v>41184</v>
      </c>
      <c r="D915" s="1">
        <v>1</v>
      </c>
    </row>
    <row r="916" spans="1:4" x14ac:dyDescent="0.25">
      <c r="A916" s="2">
        <v>41185</v>
      </c>
      <c r="B916" s="1">
        <v>1</v>
      </c>
      <c r="C916" s="2">
        <v>41185</v>
      </c>
      <c r="D916" s="1">
        <v>1</v>
      </c>
    </row>
    <row r="917" spans="1:4" x14ac:dyDescent="0.25">
      <c r="A917" s="2">
        <v>41186</v>
      </c>
      <c r="B917" s="1">
        <v>1</v>
      </c>
      <c r="C917" s="2">
        <v>41186</v>
      </c>
      <c r="D917" s="1">
        <v>1</v>
      </c>
    </row>
    <row r="918" spans="1:4" x14ac:dyDescent="0.25">
      <c r="A918" s="2">
        <v>41187</v>
      </c>
      <c r="B918" s="1">
        <v>1</v>
      </c>
      <c r="C918" s="2">
        <v>41187</v>
      </c>
      <c r="D918" s="1">
        <v>1</v>
      </c>
    </row>
    <row r="919" spans="1:4" x14ac:dyDescent="0.25">
      <c r="A919" s="2">
        <v>41190</v>
      </c>
      <c r="B919" s="1">
        <v>1</v>
      </c>
      <c r="C919" s="2">
        <v>41190</v>
      </c>
      <c r="D919" s="1">
        <v>1</v>
      </c>
    </row>
    <row r="920" spans="1:4" x14ac:dyDescent="0.25">
      <c r="A920" s="2">
        <v>41191</v>
      </c>
      <c r="B920" s="1">
        <v>1</v>
      </c>
      <c r="C920" s="2">
        <v>41191</v>
      </c>
      <c r="D920" s="1">
        <v>1</v>
      </c>
    </row>
    <row r="921" spans="1:4" x14ac:dyDescent="0.25">
      <c r="A921" s="2">
        <v>41192</v>
      </c>
      <c r="B921" s="1">
        <v>1</v>
      </c>
      <c r="C921" s="2">
        <v>41192</v>
      </c>
      <c r="D921" s="1">
        <v>1</v>
      </c>
    </row>
    <row r="922" spans="1:4" x14ac:dyDescent="0.25">
      <c r="A922" s="2">
        <v>41193</v>
      </c>
      <c r="B922" s="1">
        <v>1</v>
      </c>
      <c r="C922" s="2">
        <v>41193</v>
      </c>
      <c r="D922" s="1">
        <v>1</v>
      </c>
    </row>
    <row r="923" spans="1:4" x14ac:dyDescent="0.25">
      <c r="A923" s="2">
        <v>41194</v>
      </c>
      <c r="B923" s="1">
        <v>1</v>
      </c>
      <c r="C923" s="2">
        <v>41194</v>
      </c>
      <c r="D923" s="1">
        <v>1</v>
      </c>
    </row>
    <row r="924" spans="1:4" x14ac:dyDescent="0.25">
      <c r="A924" s="2">
        <v>41197</v>
      </c>
      <c r="B924" s="1">
        <v>1</v>
      </c>
      <c r="C924" s="2">
        <v>41197</v>
      </c>
      <c r="D924" s="1">
        <v>1</v>
      </c>
    </row>
    <row r="925" spans="1:4" x14ac:dyDescent="0.25">
      <c r="A925" s="2">
        <v>41198</v>
      </c>
      <c r="B925" s="1">
        <v>1</v>
      </c>
      <c r="C925" s="2">
        <v>41198</v>
      </c>
      <c r="D925" s="1">
        <v>1</v>
      </c>
    </row>
    <row r="926" spans="1:4" x14ac:dyDescent="0.25">
      <c r="A926" s="2">
        <v>41199</v>
      </c>
      <c r="B926" s="1">
        <v>1</v>
      </c>
      <c r="C926" s="2">
        <v>41199</v>
      </c>
      <c r="D926" s="1">
        <v>1</v>
      </c>
    </row>
    <row r="927" spans="1:4" x14ac:dyDescent="0.25">
      <c r="A927" s="2">
        <v>41200</v>
      </c>
      <c r="B927" s="1">
        <v>1</v>
      </c>
      <c r="C927" s="2">
        <v>41200</v>
      </c>
      <c r="D927" s="1">
        <v>1</v>
      </c>
    </row>
    <row r="928" spans="1:4" x14ac:dyDescent="0.25">
      <c r="A928" s="2">
        <v>41201</v>
      </c>
      <c r="B928" s="1">
        <v>1</v>
      </c>
      <c r="C928" s="2">
        <v>41201</v>
      </c>
      <c r="D928" s="1">
        <v>1</v>
      </c>
    </row>
    <row r="929" spans="1:4" x14ac:dyDescent="0.25">
      <c r="A929" s="2">
        <v>41204</v>
      </c>
      <c r="B929" s="1">
        <v>1</v>
      </c>
      <c r="C929" s="2">
        <v>41204</v>
      </c>
      <c r="D929" s="1">
        <v>1</v>
      </c>
    </row>
    <row r="930" spans="1:4" x14ac:dyDescent="0.25">
      <c r="A930" s="2">
        <v>41205</v>
      </c>
      <c r="B930" s="1">
        <v>1</v>
      </c>
      <c r="C930" s="2">
        <v>41205</v>
      </c>
      <c r="D930" s="1">
        <v>1</v>
      </c>
    </row>
    <row r="931" spans="1:4" x14ac:dyDescent="0.25">
      <c r="A931" s="2">
        <v>41206</v>
      </c>
      <c r="B931" s="1">
        <v>1</v>
      </c>
      <c r="C931" s="2">
        <v>41206</v>
      </c>
      <c r="D931" s="1">
        <v>1</v>
      </c>
    </row>
    <row r="932" spans="1:4" x14ac:dyDescent="0.25">
      <c r="A932" s="2">
        <v>41207</v>
      </c>
      <c r="B932" s="1">
        <v>1</v>
      </c>
      <c r="C932" s="2">
        <v>41207</v>
      </c>
      <c r="D932" s="1">
        <v>1</v>
      </c>
    </row>
    <row r="933" spans="1:4" x14ac:dyDescent="0.25">
      <c r="A933" s="2">
        <v>41208</v>
      </c>
      <c r="B933" s="1">
        <v>1</v>
      </c>
      <c r="C933" s="2">
        <v>41208</v>
      </c>
      <c r="D933" s="1">
        <v>1</v>
      </c>
    </row>
    <row r="934" spans="1:4" x14ac:dyDescent="0.25">
      <c r="A934" s="2">
        <v>41211</v>
      </c>
      <c r="B934" s="1">
        <v>1</v>
      </c>
      <c r="C934" s="2">
        <v>41211</v>
      </c>
      <c r="D934" s="1">
        <v>1</v>
      </c>
    </row>
    <row r="935" spans="1:4" x14ac:dyDescent="0.25">
      <c r="A935" s="2">
        <v>41212</v>
      </c>
      <c r="B935" s="1">
        <v>1</v>
      </c>
      <c r="C935" s="2">
        <v>41212</v>
      </c>
      <c r="D935" s="1">
        <v>1</v>
      </c>
    </row>
    <row r="936" spans="1:4" x14ac:dyDescent="0.25">
      <c r="A936" s="2">
        <v>41213</v>
      </c>
      <c r="B936" s="1">
        <v>1</v>
      </c>
      <c r="C936" s="2">
        <v>41213</v>
      </c>
      <c r="D936" s="1">
        <v>1</v>
      </c>
    </row>
    <row r="937" spans="1:4" x14ac:dyDescent="0.25">
      <c r="A937" s="2">
        <v>41214</v>
      </c>
      <c r="B937" s="1">
        <v>1</v>
      </c>
      <c r="C937" s="2">
        <v>41214</v>
      </c>
      <c r="D937" s="1">
        <v>1</v>
      </c>
    </row>
    <row r="938" spans="1:4" x14ac:dyDescent="0.25">
      <c r="A938" s="2">
        <v>41215</v>
      </c>
      <c r="B938" s="1">
        <v>1</v>
      </c>
      <c r="C938" s="2">
        <v>41215</v>
      </c>
      <c r="D938" s="1">
        <v>1</v>
      </c>
    </row>
    <row r="939" spans="1:4" x14ac:dyDescent="0.25">
      <c r="A939" s="2">
        <v>41218</v>
      </c>
      <c r="B939" s="1">
        <v>1</v>
      </c>
      <c r="C939" s="2">
        <v>41218</v>
      </c>
      <c r="D939" s="1">
        <v>1</v>
      </c>
    </row>
    <row r="940" spans="1:4" x14ac:dyDescent="0.25">
      <c r="A940" s="2">
        <v>41219</v>
      </c>
      <c r="B940" s="1">
        <v>1</v>
      </c>
      <c r="C940" s="2">
        <v>41219</v>
      </c>
      <c r="D940" s="1">
        <v>1</v>
      </c>
    </row>
    <row r="941" spans="1:4" x14ac:dyDescent="0.25">
      <c r="A941" s="2">
        <v>41220</v>
      </c>
      <c r="B941" s="1">
        <v>1</v>
      </c>
      <c r="C941" s="2">
        <v>41220</v>
      </c>
      <c r="D941" s="1">
        <v>1</v>
      </c>
    </row>
    <row r="942" spans="1:4" x14ac:dyDescent="0.25">
      <c r="A942" s="2">
        <v>41221</v>
      </c>
      <c r="B942" s="1">
        <v>1</v>
      </c>
      <c r="C942" s="2">
        <v>41221</v>
      </c>
      <c r="D942" s="1">
        <v>1</v>
      </c>
    </row>
    <row r="943" spans="1:4" x14ac:dyDescent="0.25">
      <c r="A943" s="2">
        <v>41222</v>
      </c>
      <c r="B943" s="1">
        <v>1</v>
      </c>
      <c r="C943" s="2">
        <v>41222</v>
      </c>
      <c r="D943" s="1">
        <v>1</v>
      </c>
    </row>
    <row r="944" spans="1:4" x14ac:dyDescent="0.25">
      <c r="A944" s="2">
        <v>41225</v>
      </c>
      <c r="B944" s="1">
        <v>1</v>
      </c>
      <c r="C944" s="2">
        <v>41225</v>
      </c>
      <c r="D944" s="1">
        <v>1</v>
      </c>
    </row>
    <row r="945" spans="1:4" x14ac:dyDescent="0.25">
      <c r="A945" s="2">
        <v>41226</v>
      </c>
      <c r="B945" s="1">
        <v>1</v>
      </c>
      <c r="C945" s="2">
        <v>41226</v>
      </c>
      <c r="D945" s="1">
        <v>1</v>
      </c>
    </row>
    <row r="946" spans="1:4" x14ac:dyDescent="0.25">
      <c r="A946" s="2">
        <v>41227</v>
      </c>
      <c r="B946" s="1">
        <v>1</v>
      </c>
      <c r="C946" s="2">
        <v>41227</v>
      </c>
      <c r="D946" s="1">
        <v>1</v>
      </c>
    </row>
    <row r="947" spans="1:4" x14ac:dyDescent="0.25">
      <c r="A947" s="2">
        <v>41228</v>
      </c>
      <c r="B947" s="1">
        <v>1</v>
      </c>
      <c r="C947" s="2">
        <v>41228</v>
      </c>
      <c r="D947" s="1">
        <v>1</v>
      </c>
    </row>
    <row r="948" spans="1:4" x14ac:dyDescent="0.25">
      <c r="A948" s="2">
        <v>41229</v>
      </c>
      <c r="B948" s="1">
        <v>1</v>
      </c>
      <c r="C948" s="2">
        <v>41229</v>
      </c>
      <c r="D948" s="1">
        <v>1</v>
      </c>
    </row>
    <row r="949" spans="1:4" x14ac:dyDescent="0.25">
      <c r="A949" s="2">
        <v>41232</v>
      </c>
      <c r="B949" s="1">
        <v>1</v>
      </c>
      <c r="C949" s="2">
        <v>41232</v>
      </c>
      <c r="D949" s="1">
        <v>1</v>
      </c>
    </row>
    <row r="950" spans="1:4" x14ac:dyDescent="0.25">
      <c r="A950" s="2">
        <v>41233</v>
      </c>
      <c r="B950" s="1">
        <v>1</v>
      </c>
      <c r="C950" s="2">
        <v>41233</v>
      </c>
      <c r="D950" s="1">
        <v>1</v>
      </c>
    </row>
    <row r="951" spans="1:4" x14ac:dyDescent="0.25">
      <c r="A951" s="2">
        <v>41234</v>
      </c>
      <c r="B951" s="1">
        <v>1</v>
      </c>
      <c r="C951" s="2">
        <v>41234</v>
      </c>
      <c r="D951" s="1">
        <v>1</v>
      </c>
    </row>
    <row r="952" spans="1:4" x14ac:dyDescent="0.25">
      <c r="A952" s="2">
        <v>41235</v>
      </c>
      <c r="B952" s="1">
        <v>1</v>
      </c>
      <c r="C952" s="2">
        <v>41235</v>
      </c>
      <c r="D952" s="1">
        <v>1</v>
      </c>
    </row>
    <row r="953" spans="1:4" x14ac:dyDescent="0.25">
      <c r="A953" s="2">
        <v>41236</v>
      </c>
      <c r="B953" s="1">
        <v>1</v>
      </c>
      <c r="C953" s="2">
        <v>41236</v>
      </c>
      <c r="D953" s="1">
        <v>1</v>
      </c>
    </row>
    <row r="954" spans="1:4" x14ac:dyDescent="0.25">
      <c r="A954" s="2">
        <v>41239</v>
      </c>
      <c r="B954" s="1">
        <v>1</v>
      </c>
      <c r="C954" s="2">
        <v>41239</v>
      </c>
      <c r="D954" s="1">
        <v>1</v>
      </c>
    </row>
    <row r="955" spans="1:4" x14ac:dyDescent="0.25">
      <c r="A955" s="2">
        <v>41240</v>
      </c>
      <c r="B955" s="1">
        <v>1</v>
      </c>
      <c r="C955" s="2">
        <v>41240</v>
      </c>
      <c r="D955" s="1">
        <v>1</v>
      </c>
    </row>
    <row r="956" spans="1:4" x14ac:dyDescent="0.25">
      <c r="A956" s="2">
        <v>41241</v>
      </c>
      <c r="B956" s="1">
        <v>1</v>
      </c>
      <c r="C956" s="2">
        <v>41241</v>
      </c>
      <c r="D956" s="1">
        <v>1</v>
      </c>
    </row>
    <row r="957" spans="1:4" x14ac:dyDescent="0.25">
      <c r="A957" s="2">
        <v>41242</v>
      </c>
      <c r="B957" s="1">
        <v>1</v>
      </c>
      <c r="C957" s="2">
        <v>41242</v>
      </c>
      <c r="D957" s="1">
        <v>1</v>
      </c>
    </row>
    <row r="958" spans="1:4" x14ac:dyDescent="0.25">
      <c r="A958" s="2">
        <v>41243</v>
      </c>
      <c r="B958" s="1">
        <v>1</v>
      </c>
      <c r="C958" s="2">
        <v>41243</v>
      </c>
      <c r="D958" s="1">
        <v>1</v>
      </c>
    </row>
    <row r="959" spans="1:4" x14ac:dyDescent="0.25">
      <c r="A959" s="2">
        <v>41246</v>
      </c>
      <c r="B959" s="1">
        <v>1</v>
      </c>
      <c r="C959" s="2">
        <v>41246</v>
      </c>
      <c r="D959" s="1">
        <v>1</v>
      </c>
    </row>
    <row r="960" spans="1:4" x14ac:dyDescent="0.25">
      <c r="A960" s="2">
        <v>41247</v>
      </c>
      <c r="B960" s="1">
        <v>1</v>
      </c>
      <c r="C960" s="2">
        <v>41247</v>
      </c>
      <c r="D960" s="1">
        <v>1</v>
      </c>
    </row>
    <row r="961" spans="1:4" x14ac:dyDescent="0.25">
      <c r="A961" s="2">
        <v>41248</v>
      </c>
      <c r="B961" s="1">
        <v>1</v>
      </c>
      <c r="C961" s="2">
        <v>41248</v>
      </c>
      <c r="D961" s="1">
        <v>1</v>
      </c>
    </row>
    <row r="962" spans="1:4" x14ac:dyDescent="0.25">
      <c r="A962" s="2">
        <v>41249</v>
      </c>
      <c r="B962" s="1">
        <v>1</v>
      </c>
      <c r="C962" s="2">
        <v>41249</v>
      </c>
      <c r="D962" s="1">
        <v>1</v>
      </c>
    </row>
    <row r="963" spans="1:4" x14ac:dyDescent="0.25">
      <c r="A963" s="2">
        <v>41250</v>
      </c>
      <c r="B963" s="1">
        <v>1</v>
      </c>
      <c r="C963" s="2">
        <v>41250</v>
      </c>
      <c r="D963" s="1">
        <v>1</v>
      </c>
    </row>
    <row r="964" spans="1:4" x14ac:dyDescent="0.25">
      <c r="A964" s="2">
        <v>41253</v>
      </c>
      <c r="B964" s="1">
        <v>1</v>
      </c>
      <c r="C964" s="2">
        <v>41253</v>
      </c>
      <c r="D964" s="1">
        <v>1</v>
      </c>
    </row>
    <row r="965" spans="1:4" x14ac:dyDescent="0.25">
      <c r="A965" s="2">
        <v>41254</v>
      </c>
      <c r="B965" s="1">
        <v>1</v>
      </c>
      <c r="C965" s="2">
        <v>41254</v>
      </c>
      <c r="D965" s="1">
        <v>1</v>
      </c>
    </row>
    <row r="966" spans="1:4" x14ac:dyDescent="0.25">
      <c r="A966" s="2">
        <v>41255</v>
      </c>
      <c r="B966" s="1">
        <v>1</v>
      </c>
      <c r="C966" s="2">
        <v>41255</v>
      </c>
      <c r="D966" s="1">
        <v>1</v>
      </c>
    </row>
    <row r="967" spans="1:4" x14ac:dyDescent="0.25">
      <c r="A967" s="2">
        <v>41256</v>
      </c>
      <c r="B967" s="1">
        <v>1</v>
      </c>
      <c r="C967" s="2">
        <v>41256</v>
      </c>
      <c r="D967" s="1">
        <v>1</v>
      </c>
    </row>
    <row r="968" spans="1:4" x14ac:dyDescent="0.25">
      <c r="A968" s="2">
        <v>41257</v>
      </c>
      <c r="B968" s="1">
        <v>1</v>
      </c>
      <c r="C968" s="2">
        <v>41257</v>
      </c>
      <c r="D968" s="1">
        <v>1</v>
      </c>
    </row>
    <row r="969" spans="1:4" x14ac:dyDescent="0.25">
      <c r="A969" s="2">
        <v>41260</v>
      </c>
      <c r="B969" s="1">
        <v>1</v>
      </c>
      <c r="C969" s="2">
        <v>41260</v>
      </c>
      <c r="D969" s="1">
        <v>1</v>
      </c>
    </row>
    <row r="970" spans="1:4" x14ac:dyDescent="0.25">
      <c r="A970" s="2">
        <v>41261</v>
      </c>
      <c r="B970" s="1">
        <v>1</v>
      </c>
      <c r="C970" s="2">
        <v>41261</v>
      </c>
      <c r="D970" s="1">
        <v>1</v>
      </c>
    </row>
    <row r="971" spans="1:4" x14ac:dyDescent="0.25">
      <c r="A971" s="2">
        <v>41262</v>
      </c>
      <c r="B971" s="1">
        <v>1</v>
      </c>
      <c r="C971" s="2">
        <v>41262</v>
      </c>
      <c r="D971" s="1">
        <v>1</v>
      </c>
    </row>
    <row r="972" spans="1:4" x14ac:dyDescent="0.25">
      <c r="A972" s="2">
        <v>41263</v>
      </c>
      <c r="B972" s="1">
        <v>1</v>
      </c>
      <c r="C972" s="2">
        <v>41263</v>
      </c>
      <c r="D972" s="1">
        <v>1</v>
      </c>
    </row>
    <row r="973" spans="1:4" x14ac:dyDescent="0.25">
      <c r="A973" s="2">
        <v>41264</v>
      </c>
      <c r="B973" s="1">
        <v>1</v>
      </c>
      <c r="C973" s="2">
        <v>41264</v>
      </c>
      <c r="D973" s="1">
        <v>1</v>
      </c>
    </row>
    <row r="974" spans="1:4" x14ac:dyDescent="0.25">
      <c r="A974" s="2">
        <v>41267</v>
      </c>
      <c r="B974" s="1">
        <v>1</v>
      </c>
      <c r="C974" s="2">
        <v>41267</v>
      </c>
      <c r="D974" s="1">
        <v>1</v>
      </c>
    </row>
    <row r="975" spans="1:4" x14ac:dyDescent="0.25">
      <c r="A975" s="2">
        <v>41270</v>
      </c>
      <c r="B975" s="1">
        <v>1</v>
      </c>
      <c r="C975" s="2">
        <v>41270</v>
      </c>
      <c r="D975" s="1">
        <v>1</v>
      </c>
    </row>
    <row r="976" spans="1:4" x14ac:dyDescent="0.25">
      <c r="A976" s="2">
        <v>41271</v>
      </c>
      <c r="B976" s="1">
        <v>1</v>
      </c>
      <c r="C976" s="2">
        <v>41271</v>
      </c>
      <c r="D976" s="1">
        <v>1</v>
      </c>
    </row>
    <row r="977" spans="1:4" x14ac:dyDescent="0.25">
      <c r="A977" s="2">
        <v>41274</v>
      </c>
      <c r="B977" s="1">
        <v>1</v>
      </c>
      <c r="C977" s="2">
        <v>41274</v>
      </c>
      <c r="D977" s="1">
        <v>1</v>
      </c>
    </row>
    <row r="978" spans="1:4" x14ac:dyDescent="0.25">
      <c r="A978" s="2">
        <v>41276</v>
      </c>
      <c r="B978" s="1">
        <v>1</v>
      </c>
      <c r="C978" s="2">
        <v>41276</v>
      </c>
      <c r="D978" s="1">
        <v>1</v>
      </c>
    </row>
    <row r="979" spans="1:4" x14ac:dyDescent="0.25">
      <c r="A979" s="2">
        <v>41277</v>
      </c>
      <c r="B979" s="1">
        <v>1</v>
      </c>
      <c r="C979" s="2">
        <v>41277</v>
      </c>
      <c r="D979" s="1">
        <v>1</v>
      </c>
    </row>
    <row r="980" spans="1:4" x14ac:dyDescent="0.25">
      <c r="A980" s="2">
        <v>41278</v>
      </c>
      <c r="B980" s="1">
        <v>1</v>
      </c>
      <c r="C980" s="2">
        <v>41278</v>
      </c>
      <c r="D980" s="1">
        <v>1</v>
      </c>
    </row>
    <row r="981" spans="1:4" x14ac:dyDescent="0.25">
      <c r="A981" s="2">
        <v>41281</v>
      </c>
      <c r="B981" s="1">
        <v>1</v>
      </c>
      <c r="C981" s="2">
        <v>41281</v>
      </c>
      <c r="D981" s="1">
        <v>1</v>
      </c>
    </row>
    <row r="982" spans="1:4" x14ac:dyDescent="0.25">
      <c r="A982" s="2">
        <v>41282</v>
      </c>
      <c r="B982" s="1">
        <v>1</v>
      </c>
      <c r="C982" s="2">
        <v>41282</v>
      </c>
      <c r="D982" s="1">
        <v>1</v>
      </c>
    </row>
    <row r="983" spans="1:4" x14ac:dyDescent="0.25">
      <c r="A983" s="2">
        <v>41283</v>
      </c>
      <c r="B983" s="1">
        <v>1</v>
      </c>
      <c r="C983" s="2">
        <v>41283</v>
      </c>
      <c r="D983" s="1">
        <v>1</v>
      </c>
    </row>
    <row r="984" spans="1:4" x14ac:dyDescent="0.25">
      <c r="A984" s="2">
        <v>41284</v>
      </c>
      <c r="B984" s="1">
        <v>1</v>
      </c>
      <c r="C984" s="2">
        <v>41284</v>
      </c>
      <c r="D984" s="1">
        <v>1</v>
      </c>
    </row>
    <row r="985" spans="1:4" x14ac:dyDescent="0.25">
      <c r="A985" s="2">
        <v>41285</v>
      </c>
      <c r="B985" s="1">
        <v>1</v>
      </c>
      <c r="C985" s="2">
        <v>41285</v>
      </c>
      <c r="D985" s="1">
        <v>1</v>
      </c>
    </row>
    <row r="986" spans="1:4" x14ac:dyDescent="0.25">
      <c r="A986" s="2">
        <v>41288</v>
      </c>
      <c r="B986" s="1">
        <v>1</v>
      </c>
      <c r="C986" s="2">
        <v>41288</v>
      </c>
      <c r="D986" s="1">
        <v>1</v>
      </c>
    </row>
    <row r="987" spans="1:4" x14ac:dyDescent="0.25">
      <c r="A987" s="2">
        <v>41289</v>
      </c>
      <c r="B987" s="1">
        <v>1</v>
      </c>
      <c r="C987" s="2">
        <v>41289</v>
      </c>
      <c r="D987" s="1">
        <v>1</v>
      </c>
    </row>
    <row r="988" spans="1:4" x14ac:dyDescent="0.25">
      <c r="A988" s="2">
        <v>41290</v>
      </c>
      <c r="B988" s="1">
        <v>1</v>
      </c>
      <c r="C988" s="2">
        <v>41290</v>
      </c>
      <c r="D988" s="1">
        <v>1</v>
      </c>
    </row>
    <row r="989" spans="1:4" x14ac:dyDescent="0.25">
      <c r="A989" s="2">
        <v>41291</v>
      </c>
      <c r="B989" s="1">
        <v>1</v>
      </c>
      <c r="C989" s="2">
        <v>41291</v>
      </c>
      <c r="D989" s="1">
        <v>1</v>
      </c>
    </row>
    <row r="990" spans="1:4" x14ac:dyDescent="0.25">
      <c r="A990" s="2">
        <v>41292</v>
      </c>
      <c r="B990" s="1">
        <v>1</v>
      </c>
      <c r="C990" s="2">
        <v>41292</v>
      </c>
      <c r="D990" s="1">
        <v>1</v>
      </c>
    </row>
    <row r="991" spans="1:4" x14ac:dyDescent="0.25">
      <c r="A991" s="2">
        <v>41295</v>
      </c>
      <c r="B991" s="1">
        <v>1</v>
      </c>
      <c r="C991" s="2">
        <v>41295</v>
      </c>
      <c r="D991" s="1">
        <v>1</v>
      </c>
    </row>
    <row r="992" spans="1:4" x14ac:dyDescent="0.25">
      <c r="A992" s="2">
        <v>41296</v>
      </c>
      <c r="B992" s="1">
        <v>1</v>
      </c>
      <c r="C992" s="2">
        <v>41296</v>
      </c>
      <c r="D992" s="1">
        <v>1</v>
      </c>
    </row>
    <row r="993" spans="1:4" x14ac:dyDescent="0.25">
      <c r="A993" s="2">
        <v>41297</v>
      </c>
      <c r="B993" s="1">
        <v>1</v>
      </c>
      <c r="C993" s="2">
        <v>41297</v>
      </c>
      <c r="D993" s="1">
        <v>1</v>
      </c>
    </row>
    <row r="994" spans="1:4" x14ac:dyDescent="0.25">
      <c r="A994" s="2">
        <v>41298</v>
      </c>
      <c r="B994" s="1">
        <v>1</v>
      </c>
      <c r="C994" s="2">
        <v>41298</v>
      </c>
      <c r="D994" s="1">
        <v>1</v>
      </c>
    </row>
    <row r="995" spans="1:4" x14ac:dyDescent="0.25">
      <c r="A995" s="2">
        <v>41299</v>
      </c>
      <c r="B995" s="1">
        <v>1</v>
      </c>
      <c r="C995" s="2">
        <v>41299</v>
      </c>
      <c r="D995" s="1">
        <v>1</v>
      </c>
    </row>
    <row r="996" spans="1:4" x14ac:dyDescent="0.25">
      <c r="A996" s="2">
        <v>41302</v>
      </c>
      <c r="B996" s="1">
        <v>1</v>
      </c>
      <c r="C996" s="2">
        <v>41302</v>
      </c>
      <c r="D996" s="1">
        <v>1</v>
      </c>
    </row>
    <row r="997" spans="1:4" x14ac:dyDescent="0.25">
      <c r="A997" s="2">
        <v>41303</v>
      </c>
      <c r="B997" s="1">
        <v>1</v>
      </c>
      <c r="C997" s="2">
        <v>41303</v>
      </c>
      <c r="D997" s="1">
        <v>1</v>
      </c>
    </row>
    <row r="998" spans="1:4" x14ac:dyDescent="0.25">
      <c r="A998" s="2">
        <v>41304</v>
      </c>
      <c r="B998" s="1">
        <v>1</v>
      </c>
      <c r="C998" s="2">
        <v>41304</v>
      </c>
      <c r="D998" s="1">
        <v>1</v>
      </c>
    </row>
    <row r="999" spans="1:4" x14ac:dyDescent="0.25">
      <c r="A999" s="2">
        <v>41305</v>
      </c>
      <c r="B999" s="1">
        <v>1</v>
      </c>
      <c r="C999" s="2">
        <v>41305</v>
      </c>
      <c r="D999" s="1">
        <v>1</v>
      </c>
    </row>
    <row r="1000" spans="1:4" x14ac:dyDescent="0.25">
      <c r="A1000" s="2">
        <v>41306</v>
      </c>
      <c r="B1000" s="1">
        <v>1</v>
      </c>
      <c r="C1000" s="2">
        <v>41306</v>
      </c>
      <c r="D1000" s="1">
        <v>1</v>
      </c>
    </row>
    <row r="1001" spans="1:4" x14ac:dyDescent="0.25">
      <c r="A1001" s="2">
        <v>41309</v>
      </c>
      <c r="B1001" s="1">
        <v>1</v>
      </c>
      <c r="C1001" s="2">
        <v>41309</v>
      </c>
      <c r="D1001" s="1">
        <v>1</v>
      </c>
    </row>
    <row r="1002" spans="1:4" x14ac:dyDescent="0.25">
      <c r="A1002" s="2">
        <v>41310</v>
      </c>
      <c r="B1002" s="1">
        <v>1</v>
      </c>
      <c r="C1002" s="2">
        <v>41310</v>
      </c>
      <c r="D1002" s="1">
        <v>1</v>
      </c>
    </row>
    <row r="1003" spans="1:4" x14ac:dyDescent="0.25">
      <c r="A1003" s="2">
        <v>41311</v>
      </c>
      <c r="B1003" s="1">
        <v>1</v>
      </c>
      <c r="C1003" s="2">
        <v>41311</v>
      </c>
      <c r="D1003" s="1">
        <v>1</v>
      </c>
    </row>
    <row r="1004" spans="1:4" x14ac:dyDescent="0.25">
      <c r="A1004" s="2">
        <v>41312</v>
      </c>
      <c r="B1004" s="1">
        <v>1</v>
      </c>
      <c r="C1004" s="2">
        <v>41312</v>
      </c>
      <c r="D1004" s="1">
        <v>1</v>
      </c>
    </row>
    <row r="1005" spans="1:4" x14ac:dyDescent="0.25">
      <c r="A1005" s="2">
        <v>41313</v>
      </c>
      <c r="B1005" s="1">
        <v>1</v>
      </c>
      <c r="C1005" s="2">
        <v>41313</v>
      </c>
      <c r="D1005" s="1">
        <v>1</v>
      </c>
    </row>
    <row r="1006" spans="1:4" x14ac:dyDescent="0.25">
      <c r="A1006" s="2">
        <v>41316</v>
      </c>
      <c r="B1006" s="1">
        <v>1</v>
      </c>
      <c r="C1006" s="2">
        <v>41316</v>
      </c>
      <c r="D1006" s="1">
        <v>1</v>
      </c>
    </row>
    <row r="1007" spans="1:4" x14ac:dyDescent="0.25">
      <c r="A1007" s="2">
        <v>41317</v>
      </c>
      <c r="B1007" s="1">
        <v>1</v>
      </c>
      <c r="C1007" s="2">
        <v>41317</v>
      </c>
      <c r="D1007" s="1">
        <v>1</v>
      </c>
    </row>
    <row r="1008" spans="1:4" x14ac:dyDescent="0.25">
      <c r="A1008" s="2">
        <v>41318</v>
      </c>
      <c r="B1008" s="1">
        <v>1</v>
      </c>
      <c r="C1008" s="2">
        <v>41318</v>
      </c>
      <c r="D1008" s="1">
        <v>1</v>
      </c>
    </row>
    <row r="1009" spans="1:4" x14ac:dyDescent="0.25">
      <c r="A1009" s="2">
        <v>41319</v>
      </c>
      <c r="B1009" s="1">
        <v>1</v>
      </c>
      <c r="C1009" s="2">
        <v>41319</v>
      </c>
      <c r="D1009" s="1">
        <v>1</v>
      </c>
    </row>
    <row r="1010" spans="1:4" x14ac:dyDescent="0.25">
      <c r="A1010" s="2">
        <v>41320</v>
      </c>
      <c r="B1010" s="1">
        <v>1</v>
      </c>
      <c r="C1010" s="2">
        <v>41320</v>
      </c>
      <c r="D1010" s="1">
        <v>1</v>
      </c>
    </row>
    <row r="1011" spans="1:4" x14ac:dyDescent="0.25">
      <c r="A1011" s="2">
        <v>41323</v>
      </c>
      <c r="B1011" s="1">
        <v>1</v>
      </c>
      <c r="C1011" s="2">
        <v>41323</v>
      </c>
      <c r="D1011" s="1">
        <v>1</v>
      </c>
    </row>
    <row r="1012" spans="1:4" x14ac:dyDescent="0.25">
      <c r="A1012" s="2">
        <v>41324</v>
      </c>
      <c r="B1012" s="1">
        <v>1</v>
      </c>
      <c r="C1012" s="2">
        <v>41324</v>
      </c>
      <c r="D1012" s="1">
        <v>1</v>
      </c>
    </row>
    <row r="1013" spans="1:4" x14ac:dyDescent="0.25">
      <c r="A1013" s="2">
        <v>41325</v>
      </c>
      <c r="B1013" s="1">
        <v>1</v>
      </c>
      <c r="C1013" s="2">
        <v>41325</v>
      </c>
      <c r="D1013" s="1">
        <v>1</v>
      </c>
    </row>
    <row r="1014" spans="1:4" x14ac:dyDescent="0.25">
      <c r="A1014" s="2">
        <v>41326</v>
      </c>
      <c r="B1014" s="1">
        <v>1</v>
      </c>
      <c r="C1014" s="2">
        <v>41326</v>
      </c>
      <c r="D1014" s="1">
        <v>1</v>
      </c>
    </row>
    <row r="1015" spans="1:4" x14ac:dyDescent="0.25">
      <c r="A1015" s="2">
        <v>41327</v>
      </c>
      <c r="B1015" s="1">
        <v>1</v>
      </c>
      <c r="C1015" s="2">
        <v>41327</v>
      </c>
      <c r="D1015" s="1">
        <v>1</v>
      </c>
    </row>
    <row r="1016" spans="1:4" x14ac:dyDescent="0.25">
      <c r="A1016" s="2">
        <v>41330</v>
      </c>
      <c r="B1016" s="1">
        <v>1</v>
      </c>
      <c r="C1016" s="2">
        <v>41330</v>
      </c>
      <c r="D1016" s="1">
        <v>1</v>
      </c>
    </row>
    <row r="1017" spans="1:4" x14ac:dyDescent="0.25">
      <c r="A1017" s="2">
        <v>41331</v>
      </c>
      <c r="B1017" s="1">
        <v>1</v>
      </c>
      <c r="C1017" s="2">
        <v>41331</v>
      </c>
      <c r="D1017" s="1">
        <v>1</v>
      </c>
    </row>
    <row r="1018" spans="1:4" x14ac:dyDescent="0.25">
      <c r="A1018" s="2">
        <v>41332</v>
      </c>
      <c r="B1018" s="1">
        <v>1</v>
      </c>
      <c r="C1018" s="2">
        <v>41332</v>
      </c>
      <c r="D1018" s="1">
        <v>1</v>
      </c>
    </row>
    <row r="1019" spans="1:4" x14ac:dyDescent="0.25">
      <c r="A1019" s="2">
        <v>41333</v>
      </c>
      <c r="B1019" s="1">
        <v>1</v>
      </c>
      <c r="C1019" s="2">
        <v>41333</v>
      </c>
      <c r="D1019" s="1">
        <v>1</v>
      </c>
    </row>
    <row r="1020" spans="1:4" x14ac:dyDescent="0.25">
      <c r="A1020" s="2">
        <v>41334</v>
      </c>
      <c r="B1020" s="1">
        <v>1</v>
      </c>
      <c r="C1020" s="2">
        <v>41334</v>
      </c>
      <c r="D1020" s="1">
        <v>1</v>
      </c>
    </row>
    <row r="1021" spans="1:4" x14ac:dyDescent="0.25">
      <c r="A1021" s="2">
        <v>41337</v>
      </c>
      <c r="B1021" s="1">
        <v>1</v>
      </c>
      <c r="C1021" s="2">
        <v>41337</v>
      </c>
      <c r="D1021" s="1">
        <v>1</v>
      </c>
    </row>
    <row r="1022" spans="1:4" x14ac:dyDescent="0.25">
      <c r="A1022" s="2">
        <v>41338</v>
      </c>
      <c r="B1022" s="1">
        <v>1</v>
      </c>
      <c r="C1022" s="2">
        <v>41338</v>
      </c>
      <c r="D1022" s="1">
        <v>1</v>
      </c>
    </row>
    <row r="1023" spans="1:4" x14ac:dyDescent="0.25">
      <c r="A1023" s="2">
        <v>41339</v>
      </c>
      <c r="B1023" s="1">
        <v>1</v>
      </c>
      <c r="C1023" s="2">
        <v>41339</v>
      </c>
      <c r="D1023" s="1">
        <v>1</v>
      </c>
    </row>
    <row r="1024" spans="1:4" x14ac:dyDescent="0.25">
      <c r="A1024" s="2">
        <v>41340</v>
      </c>
      <c r="B1024" s="1">
        <v>1</v>
      </c>
      <c r="C1024" s="2">
        <v>41340</v>
      </c>
      <c r="D1024" s="1">
        <v>1</v>
      </c>
    </row>
    <row r="1025" spans="1:4" x14ac:dyDescent="0.25">
      <c r="A1025" s="2">
        <v>41341</v>
      </c>
      <c r="B1025" s="1">
        <v>1</v>
      </c>
      <c r="C1025" s="2">
        <v>41341</v>
      </c>
      <c r="D1025" s="1">
        <v>1</v>
      </c>
    </row>
    <row r="1026" spans="1:4" x14ac:dyDescent="0.25">
      <c r="A1026" s="2">
        <v>41344</v>
      </c>
      <c r="B1026" s="1">
        <v>1</v>
      </c>
      <c r="C1026" s="2">
        <v>41344</v>
      </c>
      <c r="D1026" s="1">
        <v>1</v>
      </c>
    </row>
    <row r="1027" spans="1:4" x14ac:dyDescent="0.25">
      <c r="A1027" s="2">
        <v>41345</v>
      </c>
      <c r="B1027" s="1">
        <v>1</v>
      </c>
      <c r="C1027" s="2">
        <v>41345</v>
      </c>
      <c r="D1027" s="1">
        <v>1</v>
      </c>
    </row>
    <row r="1028" spans="1:4" x14ac:dyDescent="0.25">
      <c r="A1028" s="2">
        <v>41346</v>
      </c>
      <c r="B1028" s="1">
        <v>1</v>
      </c>
      <c r="C1028" s="2">
        <v>41346</v>
      </c>
      <c r="D1028" s="1">
        <v>1</v>
      </c>
    </row>
    <row r="1029" spans="1:4" x14ac:dyDescent="0.25">
      <c r="A1029" s="2">
        <v>41347</v>
      </c>
      <c r="B1029" s="1">
        <v>1</v>
      </c>
      <c r="C1029" s="2">
        <v>41347</v>
      </c>
      <c r="D1029" s="1">
        <v>1</v>
      </c>
    </row>
    <row r="1030" spans="1:4" x14ac:dyDescent="0.25">
      <c r="A1030" s="2">
        <v>41348</v>
      </c>
      <c r="B1030" s="1">
        <v>1</v>
      </c>
      <c r="C1030" s="2">
        <v>41348</v>
      </c>
      <c r="D1030" s="1">
        <v>1</v>
      </c>
    </row>
    <row r="1031" spans="1:4" x14ac:dyDescent="0.25">
      <c r="A1031" s="2">
        <v>41351</v>
      </c>
      <c r="B1031" s="1">
        <v>1</v>
      </c>
      <c r="C1031" s="2">
        <v>41351</v>
      </c>
      <c r="D1031" s="1">
        <v>1</v>
      </c>
    </row>
    <row r="1032" spans="1:4" x14ac:dyDescent="0.25">
      <c r="A1032" s="2">
        <v>41352</v>
      </c>
      <c r="B1032" s="1">
        <v>1</v>
      </c>
      <c r="C1032" s="2">
        <v>41352</v>
      </c>
      <c r="D1032" s="1">
        <v>1</v>
      </c>
    </row>
    <row r="1033" spans="1:4" x14ac:dyDescent="0.25">
      <c r="A1033" s="2">
        <v>41353</v>
      </c>
      <c r="B1033" s="1">
        <v>1</v>
      </c>
      <c r="C1033" s="2">
        <v>41353</v>
      </c>
      <c r="D1033" s="1">
        <v>1</v>
      </c>
    </row>
    <row r="1034" spans="1:4" x14ac:dyDescent="0.25">
      <c r="A1034" s="2">
        <v>41354</v>
      </c>
      <c r="B1034" s="1">
        <v>1</v>
      </c>
      <c r="C1034" s="2">
        <v>41354</v>
      </c>
      <c r="D1034" s="1">
        <v>1</v>
      </c>
    </row>
    <row r="1035" spans="1:4" x14ac:dyDescent="0.25">
      <c r="A1035" s="2">
        <v>41355</v>
      </c>
      <c r="B1035" s="1">
        <v>1</v>
      </c>
      <c r="C1035" s="2">
        <v>41355</v>
      </c>
      <c r="D1035" s="1">
        <v>1</v>
      </c>
    </row>
    <row r="1036" spans="1:4" x14ac:dyDescent="0.25">
      <c r="A1036" s="2">
        <v>41358</v>
      </c>
      <c r="B1036" s="1">
        <v>1</v>
      </c>
      <c r="C1036" s="2">
        <v>41358</v>
      </c>
      <c r="D1036" s="1">
        <v>1</v>
      </c>
    </row>
    <row r="1037" spans="1:4" x14ac:dyDescent="0.25">
      <c r="A1037" s="2">
        <v>41359</v>
      </c>
      <c r="B1037" s="1">
        <v>1</v>
      </c>
      <c r="C1037" s="2">
        <v>41359</v>
      </c>
      <c r="D1037" s="1">
        <v>1</v>
      </c>
    </row>
    <row r="1038" spans="1:4" x14ac:dyDescent="0.25">
      <c r="A1038" s="2">
        <v>41360</v>
      </c>
      <c r="B1038" s="1">
        <v>1</v>
      </c>
      <c r="C1038" s="2">
        <v>41360</v>
      </c>
      <c r="D1038" s="1">
        <v>1</v>
      </c>
    </row>
    <row r="1039" spans="1:4" x14ac:dyDescent="0.25">
      <c r="A1039" s="2">
        <v>41361</v>
      </c>
      <c r="B1039" s="1">
        <v>1</v>
      </c>
      <c r="C1039" s="2">
        <v>41361</v>
      </c>
      <c r="D1039" s="1">
        <v>1</v>
      </c>
    </row>
    <row r="1040" spans="1:4" x14ac:dyDescent="0.25">
      <c r="A1040" s="2">
        <v>41366</v>
      </c>
      <c r="B1040" s="1">
        <v>1</v>
      </c>
      <c r="C1040" s="2">
        <v>41366</v>
      </c>
      <c r="D1040" s="1">
        <v>1</v>
      </c>
    </row>
    <row r="1041" spans="1:4" x14ac:dyDescent="0.25">
      <c r="A1041" s="2">
        <v>41367</v>
      </c>
      <c r="B1041" s="1">
        <v>1</v>
      </c>
      <c r="C1041" s="2">
        <v>41367</v>
      </c>
      <c r="D1041" s="1">
        <v>1</v>
      </c>
    </row>
    <row r="1042" spans="1:4" x14ac:dyDescent="0.25">
      <c r="A1042" s="2">
        <v>41368</v>
      </c>
      <c r="B1042" s="1">
        <v>1</v>
      </c>
      <c r="C1042" s="2">
        <v>41368</v>
      </c>
      <c r="D1042" s="1">
        <v>1</v>
      </c>
    </row>
    <row r="1043" spans="1:4" x14ac:dyDescent="0.25">
      <c r="A1043" s="2">
        <v>41369</v>
      </c>
      <c r="B1043" s="1">
        <v>1</v>
      </c>
      <c r="C1043" s="2">
        <v>41369</v>
      </c>
      <c r="D1043" s="1">
        <v>1</v>
      </c>
    </row>
    <row r="1044" spans="1:4" x14ac:dyDescent="0.25">
      <c r="A1044" s="2">
        <v>41372</v>
      </c>
      <c r="B1044" s="1">
        <v>1</v>
      </c>
      <c r="C1044" s="2">
        <v>41372</v>
      </c>
      <c r="D1044" s="1">
        <v>1</v>
      </c>
    </row>
    <row r="1045" spans="1:4" x14ac:dyDescent="0.25">
      <c r="A1045" s="2">
        <v>41373</v>
      </c>
      <c r="B1045" s="1">
        <v>1</v>
      </c>
      <c r="C1045" s="2">
        <v>41373</v>
      </c>
      <c r="D1045" s="1">
        <v>1</v>
      </c>
    </row>
    <row r="1046" spans="1:4" x14ac:dyDescent="0.25">
      <c r="A1046" s="2">
        <v>41374</v>
      </c>
      <c r="B1046" s="1">
        <v>1</v>
      </c>
      <c r="C1046" s="2">
        <v>41374</v>
      </c>
      <c r="D1046" s="1">
        <v>1</v>
      </c>
    </row>
    <row r="1047" spans="1:4" x14ac:dyDescent="0.25">
      <c r="A1047" s="2">
        <v>41375</v>
      </c>
      <c r="B1047" s="1">
        <v>1</v>
      </c>
      <c r="C1047" s="2">
        <v>41375</v>
      </c>
      <c r="D1047" s="1">
        <v>1</v>
      </c>
    </row>
    <row r="1048" spans="1:4" x14ac:dyDescent="0.25">
      <c r="A1048" s="2">
        <v>41376</v>
      </c>
      <c r="B1048" s="1">
        <v>1</v>
      </c>
      <c r="C1048" s="2">
        <v>41376</v>
      </c>
      <c r="D1048" s="1">
        <v>1</v>
      </c>
    </row>
    <row r="1049" spans="1:4" x14ac:dyDescent="0.25">
      <c r="A1049" s="2">
        <v>41379</v>
      </c>
      <c r="B1049" s="1">
        <v>1</v>
      </c>
      <c r="C1049" s="2">
        <v>41379</v>
      </c>
      <c r="D1049" s="1">
        <v>1</v>
      </c>
    </row>
    <row r="1050" spans="1:4" x14ac:dyDescent="0.25">
      <c r="A1050" s="2">
        <v>41380</v>
      </c>
      <c r="B1050" s="1">
        <v>1</v>
      </c>
      <c r="C1050" s="2">
        <v>41380</v>
      </c>
      <c r="D1050" s="1">
        <v>1</v>
      </c>
    </row>
    <row r="1051" spans="1:4" x14ac:dyDescent="0.25">
      <c r="A1051" s="2">
        <v>41381</v>
      </c>
      <c r="B1051" s="1">
        <v>1</v>
      </c>
      <c r="C1051" s="2">
        <v>41381</v>
      </c>
      <c r="D1051" s="1">
        <v>1</v>
      </c>
    </row>
    <row r="1052" spans="1:4" x14ac:dyDescent="0.25">
      <c r="A1052" s="2">
        <v>41382</v>
      </c>
      <c r="B1052" s="1">
        <v>1</v>
      </c>
      <c r="C1052" s="2">
        <v>41382</v>
      </c>
      <c r="D1052" s="1">
        <v>1</v>
      </c>
    </row>
    <row r="1053" spans="1:4" x14ac:dyDescent="0.25">
      <c r="A1053" s="2">
        <v>41383</v>
      </c>
      <c r="B1053" s="1">
        <v>1</v>
      </c>
      <c r="C1053" s="2">
        <v>41383</v>
      </c>
      <c r="D1053" s="1">
        <v>1</v>
      </c>
    </row>
    <row r="1054" spans="1:4" x14ac:dyDescent="0.25">
      <c r="A1054" s="2">
        <v>41386</v>
      </c>
      <c r="B1054" s="1">
        <v>1</v>
      </c>
      <c r="C1054" s="2">
        <v>41386</v>
      </c>
      <c r="D1054" s="1">
        <v>1</v>
      </c>
    </row>
    <row r="1055" spans="1:4" x14ac:dyDescent="0.25">
      <c r="A1055" s="2">
        <v>41387</v>
      </c>
      <c r="B1055" s="1">
        <v>1</v>
      </c>
      <c r="C1055" s="2">
        <v>41387</v>
      </c>
      <c r="D1055" s="1">
        <v>1</v>
      </c>
    </row>
    <row r="1056" spans="1:4" x14ac:dyDescent="0.25">
      <c r="A1056" s="2">
        <v>41388</v>
      </c>
      <c r="B1056" s="1">
        <v>1</v>
      </c>
      <c r="C1056" s="2">
        <v>41388</v>
      </c>
      <c r="D1056" s="1">
        <v>1</v>
      </c>
    </row>
    <row r="1057" spans="1:4" x14ac:dyDescent="0.25">
      <c r="A1057" s="2">
        <v>41389</v>
      </c>
      <c r="B1057" s="1">
        <v>1</v>
      </c>
      <c r="C1057" s="2">
        <v>41389</v>
      </c>
      <c r="D1057" s="1">
        <v>1</v>
      </c>
    </row>
    <row r="1058" spans="1:4" x14ac:dyDescent="0.25">
      <c r="A1058" s="2">
        <v>41390</v>
      </c>
      <c r="B1058" s="1">
        <v>1</v>
      </c>
      <c r="C1058" s="2">
        <v>41390</v>
      </c>
      <c r="D1058" s="1">
        <v>1</v>
      </c>
    </row>
    <row r="1059" spans="1:4" x14ac:dyDescent="0.25">
      <c r="A1059" s="2">
        <v>41393</v>
      </c>
      <c r="B1059" s="1">
        <v>1</v>
      </c>
      <c r="C1059" s="2">
        <v>41393</v>
      </c>
      <c r="D1059" s="1">
        <v>1</v>
      </c>
    </row>
    <row r="1060" spans="1:4" x14ac:dyDescent="0.25">
      <c r="A1060" s="2">
        <v>41394</v>
      </c>
      <c r="B1060" s="1">
        <v>1</v>
      </c>
      <c r="C1060" s="2">
        <v>41394</v>
      </c>
      <c r="D1060" s="1">
        <v>1</v>
      </c>
    </row>
    <row r="1061" spans="1:4" x14ac:dyDescent="0.25">
      <c r="A1061" s="2">
        <v>41395</v>
      </c>
      <c r="B1061" s="1">
        <v>1</v>
      </c>
      <c r="C1061" s="2">
        <v>41395</v>
      </c>
      <c r="D1061" s="1">
        <v>1</v>
      </c>
    </row>
    <row r="1062" spans="1:4" x14ac:dyDescent="0.25">
      <c r="A1062" s="2">
        <v>41396</v>
      </c>
      <c r="B1062" s="1">
        <v>1</v>
      </c>
      <c r="C1062" s="2">
        <v>41396</v>
      </c>
      <c r="D1062" s="1">
        <v>1</v>
      </c>
    </row>
    <row r="1063" spans="1:4" x14ac:dyDescent="0.25">
      <c r="A1063" s="2">
        <v>41397</v>
      </c>
      <c r="B1063" s="1">
        <v>1</v>
      </c>
      <c r="C1063" s="2">
        <v>41397</v>
      </c>
      <c r="D1063" s="1">
        <v>1</v>
      </c>
    </row>
    <row r="1064" spans="1:4" x14ac:dyDescent="0.25">
      <c r="A1064" s="2">
        <v>41400</v>
      </c>
      <c r="B1064" s="1">
        <v>1</v>
      </c>
      <c r="C1064" s="2">
        <v>41400</v>
      </c>
      <c r="D1064" s="1">
        <v>1</v>
      </c>
    </row>
    <row r="1065" spans="1:4" x14ac:dyDescent="0.25">
      <c r="A1065" s="2">
        <v>41401</v>
      </c>
      <c r="B1065" s="1">
        <v>1</v>
      </c>
      <c r="C1065" s="2">
        <v>41401</v>
      </c>
      <c r="D1065" s="1">
        <v>1</v>
      </c>
    </row>
    <row r="1066" spans="1:4" x14ac:dyDescent="0.25">
      <c r="A1066" s="2">
        <v>41402</v>
      </c>
      <c r="B1066" s="1">
        <v>1</v>
      </c>
      <c r="C1066" s="2">
        <v>41402</v>
      </c>
      <c r="D1066" s="1">
        <v>1</v>
      </c>
    </row>
    <row r="1067" spans="1:4" x14ac:dyDescent="0.25">
      <c r="A1067" s="2">
        <v>41403</v>
      </c>
      <c r="B1067" s="1">
        <v>1</v>
      </c>
      <c r="C1067" s="2">
        <v>41403</v>
      </c>
      <c r="D1067" s="1">
        <v>1</v>
      </c>
    </row>
    <row r="1068" spans="1:4" x14ac:dyDescent="0.25">
      <c r="A1068" s="2">
        <v>41404</v>
      </c>
      <c r="B1068" s="1">
        <v>1</v>
      </c>
      <c r="C1068" s="2">
        <v>41404</v>
      </c>
      <c r="D1068" s="1">
        <v>1</v>
      </c>
    </row>
    <row r="1069" spans="1:4" x14ac:dyDescent="0.25">
      <c r="A1069" s="2">
        <v>41407</v>
      </c>
      <c r="B1069" s="1">
        <v>1</v>
      </c>
      <c r="C1069" s="2">
        <v>41407</v>
      </c>
      <c r="D1069" s="1">
        <v>1</v>
      </c>
    </row>
    <row r="1070" spans="1:4" x14ac:dyDescent="0.25">
      <c r="A1070" s="2">
        <v>41408</v>
      </c>
      <c r="B1070" s="1">
        <v>1</v>
      </c>
      <c r="C1070" s="2">
        <v>41408</v>
      </c>
      <c r="D1070" s="1">
        <v>1</v>
      </c>
    </row>
    <row r="1071" spans="1:4" x14ac:dyDescent="0.25">
      <c r="A1071" s="2">
        <v>41409</v>
      </c>
      <c r="B1071" s="1">
        <v>1</v>
      </c>
      <c r="C1071" s="2">
        <v>41409</v>
      </c>
      <c r="D1071" s="1">
        <v>1</v>
      </c>
    </row>
    <row r="1072" spans="1:4" x14ac:dyDescent="0.25">
      <c r="A1072" s="2">
        <v>41410</v>
      </c>
      <c r="B1072" s="1">
        <v>1</v>
      </c>
      <c r="C1072" s="2">
        <v>41410</v>
      </c>
      <c r="D1072" s="1">
        <v>1</v>
      </c>
    </row>
    <row r="1073" spans="1:4" x14ac:dyDescent="0.25">
      <c r="A1073" s="2">
        <v>41411</v>
      </c>
      <c r="B1073" s="1">
        <v>1</v>
      </c>
      <c r="C1073" s="2">
        <v>41411</v>
      </c>
      <c r="D1073" s="1">
        <v>1</v>
      </c>
    </row>
    <row r="1074" spans="1:4" x14ac:dyDescent="0.25">
      <c r="A1074" s="2">
        <v>41414</v>
      </c>
      <c r="B1074" s="1">
        <v>1</v>
      </c>
      <c r="C1074" s="2">
        <v>41414</v>
      </c>
      <c r="D1074" s="1">
        <v>1</v>
      </c>
    </row>
    <row r="1075" spans="1:4" x14ac:dyDescent="0.25">
      <c r="A1075" s="2">
        <v>41415</v>
      </c>
      <c r="B1075" s="1">
        <v>1</v>
      </c>
      <c r="C1075" s="2">
        <v>41415</v>
      </c>
      <c r="D1075" s="1">
        <v>1</v>
      </c>
    </row>
    <row r="1076" spans="1:4" x14ac:dyDescent="0.25">
      <c r="A1076" s="2">
        <v>41416</v>
      </c>
      <c r="B1076" s="1">
        <v>1</v>
      </c>
      <c r="C1076" s="2">
        <v>41416</v>
      </c>
      <c r="D1076" s="1">
        <v>1</v>
      </c>
    </row>
    <row r="1077" spans="1:4" x14ac:dyDescent="0.25">
      <c r="A1077" s="2">
        <v>41417</v>
      </c>
      <c r="B1077" s="1">
        <v>1</v>
      </c>
      <c r="C1077" s="2">
        <v>41417</v>
      </c>
      <c r="D1077" s="1">
        <v>1</v>
      </c>
    </row>
    <row r="1078" spans="1:4" x14ac:dyDescent="0.25">
      <c r="A1078" s="2">
        <v>41418</v>
      </c>
      <c r="B1078" s="1">
        <v>1</v>
      </c>
      <c r="C1078" s="2">
        <v>41418</v>
      </c>
      <c r="D1078" s="1">
        <v>1</v>
      </c>
    </row>
    <row r="1079" spans="1:4" x14ac:dyDescent="0.25">
      <c r="A1079" s="2">
        <v>41421</v>
      </c>
      <c r="B1079" s="1">
        <v>1</v>
      </c>
      <c r="C1079" s="2">
        <v>41421</v>
      </c>
      <c r="D1079" s="1">
        <v>1</v>
      </c>
    </row>
    <row r="1080" spans="1:4" x14ac:dyDescent="0.25">
      <c r="A1080" s="2">
        <v>41422</v>
      </c>
      <c r="B1080" s="1">
        <v>1</v>
      </c>
      <c r="C1080" s="2">
        <v>41422</v>
      </c>
      <c r="D1080" s="1">
        <v>1</v>
      </c>
    </row>
    <row r="1081" spans="1:4" x14ac:dyDescent="0.25">
      <c r="A1081" s="2">
        <v>41423</v>
      </c>
      <c r="B1081" s="1">
        <v>1</v>
      </c>
      <c r="C1081" s="2">
        <v>41423</v>
      </c>
      <c r="D1081" s="1">
        <v>1</v>
      </c>
    </row>
    <row r="1082" spans="1:4" x14ac:dyDescent="0.25">
      <c r="A1082" s="2">
        <v>41424</v>
      </c>
      <c r="B1082" s="1">
        <v>1</v>
      </c>
      <c r="C1082" s="2">
        <v>41424</v>
      </c>
      <c r="D1082" s="1">
        <v>1</v>
      </c>
    </row>
    <row r="1083" spans="1:4" x14ac:dyDescent="0.25">
      <c r="A1083" s="2">
        <v>41425</v>
      </c>
      <c r="B1083" s="1">
        <v>1</v>
      </c>
      <c r="C1083" s="2">
        <v>41425</v>
      </c>
      <c r="D1083" s="1">
        <v>1</v>
      </c>
    </row>
    <row r="1084" spans="1:4" x14ac:dyDescent="0.25">
      <c r="A1084" s="2">
        <v>41428</v>
      </c>
      <c r="B1084" s="1">
        <v>1</v>
      </c>
      <c r="C1084" s="2">
        <v>41428</v>
      </c>
      <c r="D1084" s="1">
        <v>1</v>
      </c>
    </row>
    <row r="1085" spans="1:4" x14ac:dyDescent="0.25">
      <c r="A1085" s="2">
        <v>41429</v>
      </c>
      <c r="B1085" s="1">
        <v>1</v>
      </c>
      <c r="C1085" s="2">
        <v>41429</v>
      </c>
      <c r="D1085" s="1">
        <v>1</v>
      </c>
    </row>
    <row r="1086" spans="1:4" x14ac:dyDescent="0.25">
      <c r="A1086" s="2">
        <v>41430</v>
      </c>
      <c r="B1086" s="1">
        <v>1</v>
      </c>
      <c r="C1086" s="2">
        <v>41430</v>
      </c>
      <c r="D1086" s="1">
        <v>1</v>
      </c>
    </row>
    <row r="1087" spans="1:4" x14ac:dyDescent="0.25">
      <c r="A1087" s="2">
        <v>41431</v>
      </c>
      <c r="B1087" s="1">
        <v>1</v>
      </c>
      <c r="C1087" s="2">
        <v>41431</v>
      </c>
      <c r="D1087" s="1">
        <v>1</v>
      </c>
    </row>
    <row r="1088" spans="1:4" x14ac:dyDescent="0.25">
      <c r="A1088" s="2">
        <v>41432</v>
      </c>
      <c r="B1088" s="1">
        <v>1</v>
      </c>
      <c r="C1088" s="2">
        <v>41432</v>
      </c>
      <c r="D1088" s="1">
        <v>1</v>
      </c>
    </row>
    <row r="1089" spans="1:4" x14ac:dyDescent="0.25">
      <c r="A1089" s="2">
        <v>41435</v>
      </c>
      <c r="B1089" s="1">
        <v>1</v>
      </c>
      <c r="C1089" s="2">
        <v>41435</v>
      </c>
      <c r="D1089" s="1">
        <v>1</v>
      </c>
    </row>
    <row r="1090" spans="1:4" x14ac:dyDescent="0.25">
      <c r="A1090" s="2">
        <v>41436</v>
      </c>
      <c r="B1090" s="1">
        <v>1</v>
      </c>
      <c r="C1090" s="2">
        <v>41436</v>
      </c>
      <c r="D1090" s="1">
        <v>1</v>
      </c>
    </row>
    <row r="1091" spans="1:4" x14ac:dyDescent="0.25">
      <c r="A1091" s="2">
        <v>41437</v>
      </c>
      <c r="B1091" s="1">
        <v>1</v>
      </c>
      <c r="C1091" s="2">
        <v>41437</v>
      </c>
      <c r="D1091" s="1">
        <v>1</v>
      </c>
    </row>
    <row r="1092" spans="1:4" x14ac:dyDescent="0.25">
      <c r="A1092" s="2">
        <v>41438</v>
      </c>
      <c r="B1092" s="1">
        <v>1</v>
      </c>
      <c r="C1092" s="2">
        <v>41438</v>
      </c>
      <c r="D1092" s="1">
        <v>1</v>
      </c>
    </row>
    <row r="1093" spans="1:4" x14ac:dyDescent="0.25">
      <c r="A1093" s="2">
        <v>41439</v>
      </c>
      <c r="B1093" s="1">
        <v>1</v>
      </c>
      <c r="C1093" s="2">
        <v>41439</v>
      </c>
      <c r="D1093" s="1">
        <v>1</v>
      </c>
    </row>
    <row r="1094" spans="1:4" x14ac:dyDescent="0.25">
      <c r="A1094" s="2">
        <v>41442</v>
      </c>
      <c r="B1094" s="1">
        <v>1</v>
      </c>
      <c r="C1094" s="2">
        <v>41442</v>
      </c>
      <c r="D1094" s="1">
        <v>1</v>
      </c>
    </row>
    <row r="1095" spans="1:4" x14ac:dyDescent="0.25">
      <c r="A1095" s="2">
        <v>41443</v>
      </c>
      <c r="B1095" s="1">
        <v>1</v>
      </c>
      <c r="C1095" s="2">
        <v>41443</v>
      </c>
      <c r="D1095" s="1">
        <v>1</v>
      </c>
    </row>
    <row r="1096" spans="1:4" x14ac:dyDescent="0.25">
      <c r="A1096" s="2">
        <v>41444</v>
      </c>
      <c r="B1096" s="1">
        <v>1</v>
      </c>
      <c r="C1096" s="2">
        <v>41444</v>
      </c>
      <c r="D1096" s="1">
        <v>1</v>
      </c>
    </row>
    <row r="1097" spans="1:4" x14ac:dyDescent="0.25">
      <c r="A1097" s="2">
        <v>41445</v>
      </c>
      <c r="B1097" s="1">
        <v>1</v>
      </c>
      <c r="C1097" s="2">
        <v>41445</v>
      </c>
      <c r="D1097" s="1">
        <v>1</v>
      </c>
    </row>
    <row r="1098" spans="1:4" x14ac:dyDescent="0.25">
      <c r="A1098" s="2">
        <v>41446</v>
      </c>
      <c r="B1098" s="1">
        <v>1</v>
      </c>
      <c r="C1098" s="2">
        <v>41446</v>
      </c>
      <c r="D1098" s="1">
        <v>1</v>
      </c>
    </row>
    <row r="1099" spans="1:4" x14ac:dyDescent="0.25">
      <c r="A1099" s="2">
        <v>41449</v>
      </c>
      <c r="B1099" s="1">
        <v>1</v>
      </c>
      <c r="C1099" s="2">
        <v>41449</v>
      </c>
      <c r="D1099" s="1">
        <v>1</v>
      </c>
    </row>
    <row r="1100" spans="1:4" x14ac:dyDescent="0.25">
      <c r="A1100" s="2">
        <v>41450</v>
      </c>
      <c r="B1100" s="1">
        <v>1</v>
      </c>
      <c r="C1100" s="2">
        <v>41450</v>
      </c>
      <c r="D1100" s="1">
        <v>1</v>
      </c>
    </row>
    <row r="1101" spans="1:4" x14ac:dyDescent="0.25">
      <c r="A1101" s="2">
        <v>41451</v>
      </c>
      <c r="B1101" s="1">
        <v>1</v>
      </c>
      <c r="C1101" s="2">
        <v>41451</v>
      </c>
      <c r="D1101" s="1">
        <v>1</v>
      </c>
    </row>
    <row r="1102" spans="1:4" x14ac:dyDescent="0.25">
      <c r="A1102" s="2">
        <v>41452</v>
      </c>
      <c r="B1102" s="1">
        <v>1</v>
      </c>
      <c r="C1102" s="2">
        <v>41452</v>
      </c>
      <c r="D1102" s="1">
        <v>1</v>
      </c>
    </row>
    <row r="1103" spans="1:4" x14ac:dyDescent="0.25">
      <c r="A1103" s="2">
        <v>41453</v>
      </c>
      <c r="B1103" s="1">
        <v>1</v>
      </c>
      <c r="C1103" s="2">
        <v>41453</v>
      </c>
      <c r="D1103" s="1">
        <v>1</v>
      </c>
    </row>
    <row r="1104" spans="1:4" x14ac:dyDescent="0.25">
      <c r="A1104" s="2">
        <v>41456</v>
      </c>
      <c r="B1104" s="1">
        <v>1</v>
      </c>
      <c r="C1104" s="2">
        <v>41456</v>
      </c>
      <c r="D1104" s="1">
        <v>1</v>
      </c>
    </row>
    <row r="1105" spans="1:4" x14ac:dyDescent="0.25">
      <c r="A1105" s="2">
        <v>41457</v>
      </c>
      <c r="B1105" s="1">
        <v>1</v>
      </c>
      <c r="C1105" s="2">
        <v>41457</v>
      </c>
      <c r="D1105" s="1">
        <v>1</v>
      </c>
    </row>
    <row r="1106" spans="1:4" x14ac:dyDescent="0.25">
      <c r="A1106" s="2">
        <v>41458</v>
      </c>
      <c r="B1106" s="1">
        <v>1</v>
      </c>
      <c r="C1106" s="2">
        <v>41458</v>
      </c>
      <c r="D1106" s="1">
        <v>1</v>
      </c>
    </row>
    <row r="1107" spans="1:4" x14ac:dyDescent="0.25">
      <c r="A1107" s="2">
        <v>41459</v>
      </c>
      <c r="B1107" s="1">
        <v>1</v>
      </c>
      <c r="C1107" s="2">
        <v>41459</v>
      </c>
      <c r="D1107" s="1">
        <v>1</v>
      </c>
    </row>
    <row r="1108" spans="1:4" x14ac:dyDescent="0.25">
      <c r="A1108" s="2">
        <v>41460</v>
      </c>
      <c r="B1108" s="1">
        <v>1</v>
      </c>
      <c r="C1108" s="2">
        <v>41460</v>
      </c>
      <c r="D1108" s="1">
        <v>1</v>
      </c>
    </row>
    <row r="1109" spans="1:4" x14ac:dyDescent="0.25">
      <c r="A1109" s="2">
        <v>41463</v>
      </c>
      <c r="B1109" s="1">
        <v>1</v>
      </c>
      <c r="C1109" s="2">
        <v>41463</v>
      </c>
      <c r="D1109" s="1">
        <v>1</v>
      </c>
    </row>
    <row r="1110" spans="1:4" x14ac:dyDescent="0.25">
      <c r="A1110" s="2">
        <v>41464</v>
      </c>
      <c r="B1110" s="1">
        <v>1</v>
      </c>
      <c r="C1110" s="2">
        <v>41464</v>
      </c>
      <c r="D1110" s="1">
        <v>1</v>
      </c>
    </row>
    <row r="1111" spans="1:4" x14ac:dyDescent="0.25">
      <c r="A1111" s="2">
        <v>41465</v>
      </c>
      <c r="B1111" s="1">
        <v>1</v>
      </c>
      <c r="C1111" s="2">
        <v>41465</v>
      </c>
      <c r="D1111" s="1">
        <v>1</v>
      </c>
    </row>
    <row r="1112" spans="1:4" x14ac:dyDescent="0.25">
      <c r="A1112" s="2">
        <v>41466</v>
      </c>
      <c r="B1112" s="1">
        <v>1</v>
      </c>
      <c r="C1112" s="2">
        <v>41466</v>
      </c>
      <c r="D1112" s="1">
        <v>1</v>
      </c>
    </row>
    <row r="1113" spans="1:4" x14ac:dyDescent="0.25">
      <c r="A1113" s="2">
        <v>41467</v>
      </c>
      <c r="B1113" s="1">
        <v>1</v>
      </c>
      <c r="C1113" s="2">
        <v>41467</v>
      </c>
      <c r="D1113" s="1">
        <v>1</v>
      </c>
    </row>
    <row r="1114" spans="1:4" x14ac:dyDescent="0.25">
      <c r="A1114" s="2">
        <v>41470</v>
      </c>
      <c r="B1114" s="1">
        <v>1</v>
      </c>
      <c r="C1114" s="2">
        <v>41470</v>
      </c>
      <c r="D1114" s="1">
        <v>1</v>
      </c>
    </row>
    <row r="1115" spans="1:4" x14ac:dyDescent="0.25">
      <c r="A1115" s="2">
        <v>41471</v>
      </c>
      <c r="B1115" s="1">
        <v>1</v>
      </c>
      <c r="C1115" s="2">
        <v>41471</v>
      </c>
      <c r="D1115" s="1">
        <v>1</v>
      </c>
    </row>
    <row r="1116" spans="1:4" x14ac:dyDescent="0.25">
      <c r="A1116" s="2">
        <v>41472</v>
      </c>
      <c r="B1116" s="1">
        <v>1</v>
      </c>
      <c r="C1116" s="2">
        <v>41472</v>
      </c>
      <c r="D1116" s="1">
        <v>1</v>
      </c>
    </row>
    <row r="1117" spans="1:4" x14ac:dyDescent="0.25">
      <c r="A1117" s="2">
        <v>41473</v>
      </c>
      <c r="B1117" s="1">
        <v>1</v>
      </c>
      <c r="C1117" s="2">
        <v>41473</v>
      </c>
      <c r="D1117" s="1">
        <v>1</v>
      </c>
    </row>
    <row r="1118" spans="1:4" x14ac:dyDescent="0.25">
      <c r="A1118" s="2">
        <v>41474</v>
      </c>
      <c r="B1118" s="1">
        <v>1</v>
      </c>
      <c r="C1118" s="2">
        <v>41474</v>
      </c>
      <c r="D1118" s="1">
        <v>1</v>
      </c>
    </row>
    <row r="1119" spans="1:4" x14ac:dyDescent="0.25">
      <c r="A1119" s="2">
        <v>41477</v>
      </c>
      <c r="B1119" s="1">
        <v>1</v>
      </c>
      <c r="C1119" s="2">
        <v>41477</v>
      </c>
      <c r="D1119" s="1">
        <v>1</v>
      </c>
    </row>
    <row r="1120" spans="1:4" x14ac:dyDescent="0.25">
      <c r="A1120" s="2">
        <v>41478</v>
      </c>
      <c r="B1120" s="1">
        <v>1</v>
      </c>
      <c r="C1120" s="2">
        <v>41478</v>
      </c>
      <c r="D1120" s="1">
        <v>1</v>
      </c>
    </row>
    <row r="1121" spans="1:4" x14ac:dyDescent="0.25">
      <c r="A1121" s="2">
        <v>41479</v>
      </c>
      <c r="B1121" s="1">
        <v>1</v>
      </c>
      <c r="C1121" s="2">
        <v>41479</v>
      </c>
      <c r="D1121" s="1">
        <v>1</v>
      </c>
    </row>
    <row r="1122" spans="1:4" x14ac:dyDescent="0.25">
      <c r="A1122" s="2">
        <v>41480</v>
      </c>
      <c r="B1122" s="1">
        <v>1</v>
      </c>
      <c r="C1122" s="2">
        <v>41480</v>
      </c>
      <c r="D1122" s="1">
        <v>1</v>
      </c>
    </row>
    <row r="1123" spans="1:4" x14ac:dyDescent="0.25">
      <c r="A1123" s="2">
        <v>41481</v>
      </c>
      <c r="B1123" s="1">
        <v>1</v>
      </c>
      <c r="C1123" s="2">
        <v>41481</v>
      </c>
      <c r="D1123" s="1">
        <v>1</v>
      </c>
    </row>
    <row r="1124" spans="1:4" x14ac:dyDescent="0.25">
      <c r="A1124" s="2">
        <v>41484</v>
      </c>
      <c r="B1124" s="1">
        <v>1</v>
      </c>
      <c r="C1124" s="2">
        <v>41484</v>
      </c>
      <c r="D1124" s="1">
        <v>1</v>
      </c>
    </row>
    <row r="1125" spans="1:4" x14ac:dyDescent="0.25">
      <c r="A1125" s="2">
        <v>41485</v>
      </c>
      <c r="B1125" s="1">
        <v>1</v>
      </c>
      <c r="C1125" s="2">
        <v>41485</v>
      </c>
      <c r="D1125" s="1">
        <v>1</v>
      </c>
    </row>
    <row r="1126" spans="1:4" x14ac:dyDescent="0.25">
      <c r="A1126" s="2">
        <v>41486</v>
      </c>
      <c r="B1126" s="1">
        <v>1</v>
      </c>
      <c r="C1126" s="2">
        <v>41486</v>
      </c>
      <c r="D1126" s="1">
        <v>1</v>
      </c>
    </row>
    <row r="1127" spans="1:4" x14ac:dyDescent="0.25">
      <c r="A1127" s="2">
        <v>41487</v>
      </c>
      <c r="B1127" s="1">
        <v>1</v>
      </c>
      <c r="C1127" s="2">
        <v>41487</v>
      </c>
      <c r="D1127" s="1">
        <v>1</v>
      </c>
    </row>
    <row r="1128" spans="1:4" x14ac:dyDescent="0.25">
      <c r="A1128" s="2">
        <v>41488</v>
      </c>
      <c r="B1128" s="1">
        <v>1</v>
      </c>
      <c r="C1128" s="2">
        <v>41488</v>
      </c>
      <c r="D1128" s="1">
        <v>1</v>
      </c>
    </row>
    <row r="1129" spans="1:4" x14ac:dyDescent="0.25">
      <c r="A1129" s="2">
        <v>41491</v>
      </c>
      <c r="B1129" s="1">
        <v>1</v>
      </c>
      <c r="C1129" s="2">
        <v>41491</v>
      </c>
      <c r="D1129" s="1">
        <v>1</v>
      </c>
    </row>
    <row r="1130" spans="1:4" x14ac:dyDescent="0.25">
      <c r="A1130" s="2">
        <v>41492</v>
      </c>
      <c r="B1130" s="1">
        <v>1</v>
      </c>
      <c r="C1130" s="2">
        <v>41492</v>
      </c>
      <c r="D1130" s="1">
        <v>1</v>
      </c>
    </row>
    <row r="1131" spans="1:4" x14ac:dyDescent="0.25">
      <c r="A1131" s="2">
        <v>41493</v>
      </c>
      <c r="B1131" s="1">
        <v>1</v>
      </c>
      <c r="C1131" s="2">
        <v>41493</v>
      </c>
      <c r="D1131" s="1">
        <v>1</v>
      </c>
    </row>
    <row r="1132" spans="1:4" x14ac:dyDescent="0.25">
      <c r="A1132" s="2">
        <v>41494</v>
      </c>
      <c r="B1132" s="1">
        <v>1</v>
      </c>
      <c r="C1132" s="2">
        <v>41494</v>
      </c>
      <c r="D1132" s="1">
        <v>1</v>
      </c>
    </row>
    <row r="1133" spans="1:4" x14ac:dyDescent="0.25">
      <c r="A1133" s="2">
        <v>41495</v>
      </c>
      <c r="B1133" s="1">
        <v>1</v>
      </c>
      <c r="C1133" s="2">
        <v>41495</v>
      </c>
      <c r="D1133" s="1">
        <v>1</v>
      </c>
    </row>
    <row r="1134" spans="1:4" x14ac:dyDescent="0.25">
      <c r="A1134" s="2">
        <v>41498</v>
      </c>
      <c r="B1134" s="1">
        <v>1</v>
      </c>
      <c r="C1134" s="2">
        <v>41498</v>
      </c>
      <c r="D1134" s="1">
        <v>1</v>
      </c>
    </row>
    <row r="1135" spans="1:4" x14ac:dyDescent="0.25">
      <c r="A1135" s="2">
        <v>41499</v>
      </c>
      <c r="B1135" s="1">
        <v>1</v>
      </c>
      <c r="C1135" s="2">
        <v>41499</v>
      </c>
      <c r="D1135" s="1">
        <v>1</v>
      </c>
    </row>
    <row r="1136" spans="1:4" x14ac:dyDescent="0.25">
      <c r="A1136" s="2">
        <v>41500</v>
      </c>
      <c r="B1136" s="1">
        <v>1</v>
      </c>
      <c r="C1136" s="2">
        <v>41500</v>
      </c>
      <c r="D1136" s="1">
        <v>1</v>
      </c>
    </row>
    <row r="1137" spans="1:4" x14ac:dyDescent="0.25">
      <c r="A1137" s="2">
        <v>41501</v>
      </c>
      <c r="B1137" s="1">
        <v>1</v>
      </c>
      <c r="C1137" s="2">
        <v>41501</v>
      </c>
      <c r="D1137" s="1">
        <v>1</v>
      </c>
    </row>
    <row r="1138" spans="1:4" x14ac:dyDescent="0.25">
      <c r="A1138" s="2">
        <v>41502</v>
      </c>
      <c r="B1138" s="1">
        <v>1</v>
      </c>
      <c r="C1138" s="2">
        <v>41502</v>
      </c>
      <c r="D1138" s="1">
        <v>1</v>
      </c>
    </row>
    <row r="1139" spans="1:4" x14ac:dyDescent="0.25">
      <c r="A1139" s="2">
        <v>41505</v>
      </c>
      <c r="B1139" s="1">
        <v>1</v>
      </c>
      <c r="C1139" s="2">
        <v>41505</v>
      </c>
      <c r="D1139" s="1">
        <v>1</v>
      </c>
    </row>
    <row r="1140" spans="1:4" x14ac:dyDescent="0.25">
      <c r="A1140" s="2">
        <v>41506</v>
      </c>
      <c r="B1140" s="1">
        <v>1</v>
      </c>
      <c r="C1140" s="2">
        <v>41506</v>
      </c>
      <c r="D1140" s="1">
        <v>1</v>
      </c>
    </row>
    <row r="1141" spans="1:4" x14ac:dyDescent="0.25">
      <c r="A1141" s="2">
        <v>41507</v>
      </c>
      <c r="B1141" s="1">
        <v>1</v>
      </c>
      <c r="C1141" s="2">
        <v>41507</v>
      </c>
      <c r="D1141" s="1">
        <v>1</v>
      </c>
    </row>
    <row r="1142" spans="1:4" x14ac:dyDescent="0.25">
      <c r="A1142" s="2">
        <v>41508</v>
      </c>
      <c r="B1142" s="1">
        <v>1</v>
      </c>
      <c r="C1142" s="2">
        <v>41508</v>
      </c>
      <c r="D1142" s="1">
        <v>1</v>
      </c>
    </row>
    <row r="1143" spans="1:4" x14ac:dyDescent="0.25">
      <c r="A1143" s="2">
        <v>41509</v>
      </c>
      <c r="B1143" s="1">
        <v>1</v>
      </c>
      <c r="C1143" s="2">
        <v>41509</v>
      </c>
      <c r="D1143" s="1">
        <v>1</v>
      </c>
    </row>
    <row r="1144" spans="1:4" x14ac:dyDescent="0.25">
      <c r="A1144" s="2">
        <v>41512</v>
      </c>
      <c r="B1144" s="1">
        <v>1</v>
      </c>
      <c r="C1144" s="2">
        <v>41512</v>
      </c>
      <c r="D1144" s="1">
        <v>1</v>
      </c>
    </row>
    <row r="1145" spans="1:4" x14ac:dyDescent="0.25">
      <c r="A1145" s="2">
        <v>41513</v>
      </c>
      <c r="B1145" s="1">
        <v>1</v>
      </c>
      <c r="C1145" s="2">
        <v>41513</v>
      </c>
      <c r="D1145" s="1">
        <v>1</v>
      </c>
    </row>
    <row r="1146" spans="1:4" x14ac:dyDescent="0.25">
      <c r="A1146" s="2">
        <v>41514</v>
      </c>
      <c r="B1146" s="1">
        <v>1</v>
      </c>
      <c r="C1146" s="2">
        <v>41514</v>
      </c>
      <c r="D1146" s="1">
        <v>1</v>
      </c>
    </row>
    <row r="1147" spans="1:4" x14ac:dyDescent="0.25">
      <c r="A1147" s="2">
        <v>41515</v>
      </c>
      <c r="B1147" s="1">
        <v>1</v>
      </c>
      <c r="C1147" s="2">
        <v>41515</v>
      </c>
      <c r="D1147" s="1">
        <v>1</v>
      </c>
    </row>
    <row r="1148" spans="1:4" x14ac:dyDescent="0.25">
      <c r="A1148" s="2">
        <v>41516</v>
      </c>
      <c r="B1148" s="1">
        <v>1</v>
      </c>
      <c r="C1148" s="2">
        <v>41516</v>
      </c>
      <c r="D1148" s="1">
        <v>1</v>
      </c>
    </row>
    <row r="1149" spans="1:4" x14ac:dyDescent="0.25">
      <c r="A1149" s="2">
        <v>41519</v>
      </c>
      <c r="B1149" s="1">
        <v>1</v>
      </c>
      <c r="C1149" s="2">
        <v>41519</v>
      </c>
      <c r="D1149" s="1">
        <v>1</v>
      </c>
    </row>
    <row r="1150" spans="1:4" x14ac:dyDescent="0.25">
      <c r="A1150" s="2">
        <v>41520</v>
      </c>
      <c r="B1150" s="1">
        <v>1</v>
      </c>
      <c r="C1150" s="2">
        <v>41520</v>
      </c>
      <c r="D1150" s="1">
        <v>1</v>
      </c>
    </row>
    <row r="1151" spans="1:4" x14ac:dyDescent="0.25">
      <c r="A1151" s="2">
        <v>41521</v>
      </c>
      <c r="B1151" s="1">
        <v>1</v>
      </c>
      <c r="C1151" s="2">
        <v>41521</v>
      </c>
      <c r="D1151" s="1">
        <v>1</v>
      </c>
    </row>
    <row r="1152" spans="1:4" x14ac:dyDescent="0.25">
      <c r="A1152" s="2">
        <v>41522</v>
      </c>
      <c r="B1152" s="1">
        <v>1</v>
      </c>
      <c r="C1152" s="2">
        <v>41522</v>
      </c>
      <c r="D1152" s="1">
        <v>1</v>
      </c>
    </row>
    <row r="1153" spans="1:4" x14ac:dyDescent="0.25">
      <c r="A1153" s="2">
        <v>41523</v>
      </c>
      <c r="B1153" s="1">
        <v>1</v>
      </c>
      <c r="C1153" s="2">
        <v>41523</v>
      </c>
      <c r="D1153" s="1">
        <v>1</v>
      </c>
    </row>
    <row r="1154" spans="1:4" x14ac:dyDescent="0.25">
      <c r="A1154" s="2">
        <v>41526</v>
      </c>
      <c r="B1154" s="1">
        <v>1</v>
      </c>
      <c r="C1154" s="2">
        <v>41526</v>
      </c>
      <c r="D1154" s="1">
        <v>1</v>
      </c>
    </row>
    <row r="1155" spans="1:4" x14ac:dyDescent="0.25">
      <c r="A1155" s="2">
        <v>41527</v>
      </c>
      <c r="B1155" s="1">
        <v>1</v>
      </c>
      <c r="C1155" s="2">
        <v>41527</v>
      </c>
      <c r="D1155" s="1">
        <v>1</v>
      </c>
    </row>
    <row r="1156" spans="1:4" x14ac:dyDescent="0.25">
      <c r="A1156" s="2">
        <v>41528</v>
      </c>
      <c r="B1156" s="1">
        <v>1</v>
      </c>
      <c r="C1156" s="2">
        <v>41528</v>
      </c>
      <c r="D1156" s="1">
        <v>1</v>
      </c>
    </row>
    <row r="1157" spans="1:4" x14ac:dyDescent="0.25">
      <c r="A1157" s="2">
        <v>41529</v>
      </c>
      <c r="B1157" s="1">
        <v>1</v>
      </c>
      <c r="C1157" s="2">
        <v>41529</v>
      </c>
      <c r="D1157" s="1">
        <v>1</v>
      </c>
    </row>
    <row r="1158" spans="1:4" x14ac:dyDescent="0.25">
      <c r="A1158" s="2">
        <v>41530</v>
      </c>
      <c r="B1158" s="1">
        <v>1</v>
      </c>
      <c r="C1158" s="2">
        <v>41530</v>
      </c>
      <c r="D1158" s="1">
        <v>1</v>
      </c>
    </row>
    <row r="1159" spans="1:4" x14ac:dyDescent="0.25">
      <c r="A1159" s="2">
        <v>41533</v>
      </c>
      <c r="B1159" s="1">
        <v>1</v>
      </c>
      <c r="C1159" s="2">
        <v>41533</v>
      </c>
      <c r="D1159" s="1">
        <v>1</v>
      </c>
    </row>
    <row r="1160" spans="1:4" x14ac:dyDescent="0.25">
      <c r="A1160" s="2">
        <v>41534</v>
      </c>
      <c r="B1160" s="1">
        <v>1</v>
      </c>
      <c r="C1160" s="2">
        <v>41534</v>
      </c>
      <c r="D1160" s="1">
        <v>1</v>
      </c>
    </row>
    <row r="1161" spans="1:4" x14ac:dyDescent="0.25">
      <c r="A1161" s="2">
        <v>41535</v>
      </c>
      <c r="B1161" s="1">
        <v>1</v>
      </c>
      <c r="C1161" s="2">
        <v>41535</v>
      </c>
      <c r="D1161" s="1">
        <v>1</v>
      </c>
    </row>
    <row r="1162" spans="1:4" x14ac:dyDescent="0.25">
      <c r="A1162" s="2">
        <v>41536</v>
      </c>
      <c r="B1162" s="1">
        <v>1</v>
      </c>
      <c r="C1162" s="2">
        <v>41536</v>
      </c>
      <c r="D1162" s="1">
        <v>1</v>
      </c>
    </row>
    <row r="1163" spans="1:4" x14ac:dyDescent="0.25">
      <c r="A1163" s="2">
        <v>41537</v>
      </c>
      <c r="B1163" s="1">
        <v>1</v>
      </c>
      <c r="C1163" s="2">
        <v>41537</v>
      </c>
      <c r="D1163" s="1">
        <v>1</v>
      </c>
    </row>
    <row r="1164" spans="1:4" x14ac:dyDescent="0.25">
      <c r="A1164" s="2">
        <v>41540</v>
      </c>
      <c r="B1164" s="1">
        <v>1</v>
      </c>
      <c r="C1164" s="2">
        <v>41540</v>
      </c>
      <c r="D1164" s="1">
        <v>1</v>
      </c>
    </row>
    <row r="1165" spans="1:4" x14ac:dyDescent="0.25">
      <c r="A1165" s="2">
        <v>41541</v>
      </c>
      <c r="B1165" s="1">
        <v>1</v>
      </c>
      <c r="C1165" s="2">
        <v>41541</v>
      </c>
      <c r="D1165" s="1">
        <v>1</v>
      </c>
    </row>
    <row r="1166" spans="1:4" x14ac:dyDescent="0.25">
      <c r="A1166" s="2">
        <v>41542</v>
      </c>
      <c r="B1166" s="1">
        <v>1</v>
      </c>
      <c r="C1166" s="2">
        <v>41542</v>
      </c>
      <c r="D1166" s="1">
        <v>1</v>
      </c>
    </row>
    <row r="1167" spans="1:4" x14ac:dyDescent="0.25">
      <c r="A1167" s="2">
        <v>41543</v>
      </c>
      <c r="B1167" s="1">
        <v>1</v>
      </c>
      <c r="C1167" s="2">
        <v>41543</v>
      </c>
      <c r="D1167" s="1">
        <v>1</v>
      </c>
    </row>
    <row r="1168" spans="1:4" x14ac:dyDescent="0.25">
      <c r="A1168" s="2">
        <v>41544</v>
      </c>
      <c r="B1168" s="1">
        <v>1</v>
      </c>
      <c r="C1168" s="2">
        <v>41544</v>
      </c>
      <c r="D1168" s="1">
        <v>1</v>
      </c>
    </row>
    <row r="1169" spans="1:4" x14ac:dyDescent="0.25">
      <c r="A1169" s="2">
        <v>41547</v>
      </c>
      <c r="B1169" s="1">
        <v>1</v>
      </c>
      <c r="C1169" s="2">
        <v>41547</v>
      </c>
      <c r="D1169" s="1">
        <v>1</v>
      </c>
    </row>
    <row r="1170" spans="1:4" x14ac:dyDescent="0.25">
      <c r="A1170" s="2">
        <v>41548</v>
      </c>
      <c r="B1170" s="1">
        <v>1</v>
      </c>
      <c r="C1170" s="2">
        <v>41548</v>
      </c>
      <c r="D1170" s="1">
        <v>1</v>
      </c>
    </row>
    <row r="1171" spans="1:4" x14ac:dyDescent="0.25">
      <c r="A1171" s="2">
        <v>41549</v>
      </c>
      <c r="B1171" s="1">
        <v>1</v>
      </c>
      <c r="C1171" s="2">
        <v>41549</v>
      </c>
      <c r="D1171" s="1">
        <v>1</v>
      </c>
    </row>
    <row r="1172" spans="1:4" x14ac:dyDescent="0.25">
      <c r="A1172" s="2">
        <v>41550</v>
      </c>
      <c r="B1172" s="1">
        <v>1</v>
      </c>
      <c r="C1172" s="2">
        <v>41550</v>
      </c>
      <c r="D1172" s="1">
        <v>1</v>
      </c>
    </row>
    <row r="1173" spans="1:4" x14ac:dyDescent="0.25">
      <c r="A1173" s="2">
        <v>41551</v>
      </c>
      <c r="B1173" s="1">
        <v>1</v>
      </c>
      <c r="C1173" s="2">
        <v>41551</v>
      </c>
      <c r="D1173" s="1">
        <v>1</v>
      </c>
    </row>
    <row r="1174" spans="1:4" x14ac:dyDescent="0.25">
      <c r="A1174" s="2">
        <v>41554</v>
      </c>
      <c r="B1174" s="1">
        <v>1</v>
      </c>
      <c r="C1174" s="2">
        <v>41554</v>
      </c>
      <c r="D1174" s="1">
        <v>1</v>
      </c>
    </row>
    <row r="1175" spans="1:4" x14ac:dyDescent="0.25">
      <c r="A1175" s="2">
        <v>41555</v>
      </c>
      <c r="B1175" s="1">
        <v>1</v>
      </c>
      <c r="C1175" s="2">
        <v>41555</v>
      </c>
      <c r="D1175" s="1">
        <v>1</v>
      </c>
    </row>
    <row r="1176" spans="1:4" x14ac:dyDescent="0.25">
      <c r="A1176" s="2">
        <v>41556</v>
      </c>
      <c r="B1176" s="1">
        <v>1</v>
      </c>
      <c r="C1176" s="2">
        <v>41556</v>
      </c>
      <c r="D1176" s="1">
        <v>1</v>
      </c>
    </row>
    <row r="1177" spans="1:4" x14ac:dyDescent="0.25">
      <c r="A1177" s="2">
        <v>41557</v>
      </c>
      <c r="B1177" s="1">
        <v>1</v>
      </c>
      <c r="C1177" s="2">
        <v>41557</v>
      </c>
      <c r="D1177" s="1">
        <v>1</v>
      </c>
    </row>
    <row r="1178" spans="1:4" x14ac:dyDescent="0.25">
      <c r="A1178" s="2">
        <v>41558</v>
      </c>
      <c r="B1178" s="1">
        <v>1</v>
      </c>
      <c r="C1178" s="2">
        <v>41558</v>
      </c>
      <c r="D1178" s="1">
        <v>1</v>
      </c>
    </row>
    <row r="1179" spans="1:4" x14ac:dyDescent="0.25">
      <c r="A1179" s="2">
        <v>41561</v>
      </c>
      <c r="B1179" s="1">
        <v>1</v>
      </c>
      <c r="C1179" s="2">
        <v>41561</v>
      </c>
      <c r="D1179" s="1">
        <v>1</v>
      </c>
    </row>
    <row r="1180" spans="1:4" x14ac:dyDescent="0.25">
      <c r="A1180" s="2">
        <v>41562</v>
      </c>
      <c r="B1180" s="1">
        <v>1</v>
      </c>
      <c r="C1180" s="2">
        <v>41562</v>
      </c>
      <c r="D1180" s="1">
        <v>1</v>
      </c>
    </row>
    <row r="1181" spans="1:4" x14ac:dyDescent="0.25">
      <c r="A1181" s="2">
        <v>41563</v>
      </c>
      <c r="B1181" s="1">
        <v>1</v>
      </c>
      <c r="C1181" s="2">
        <v>41563</v>
      </c>
      <c r="D1181" s="1">
        <v>1</v>
      </c>
    </row>
    <row r="1182" spans="1:4" x14ac:dyDescent="0.25">
      <c r="A1182" s="2">
        <v>41564</v>
      </c>
      <c r="B1182" s="1">
        <v>1</v>
      </c>
      <c r="C1182" s="2">
        <v>41564</v>
      </c>
      <c r="D1182" s="1">
        <v>1</v>
      </c>
    </row>
    <row r="1183" spans="1:4" x14ac:dyDescent="0.25">
      <c r="A1183" s="2">
        <v>41565</v>
      </c>
      <c r="B1183" s="1">
        <v>1</v>
      </c>
      <c r="C1183" s="2">
        <v>41565</v>
      </c>
      <c r="D1183" s="1">
        <v>1</v>
      </c>
    </row>
    <row r="1184" spans="1:4" x14ac:dyDescent="0.25">
      <c r="A1184" s="2">
        <v>41568</v>
      </c>
      <c r="B1184" s="1">
        <v>1</v>
      </c>
      <c r="C1184" s="2">
        <v>41568</v>
      </c>
      <c r="D1184" s="1">
        <v>1</v>
      </c>
    </row>
    <row r="1185" spans="1:4" x14ac:dyDescent="0.25">
      <c r="A1185" s="2">
        <v>41569</v>
      </c>
      <c r="B1185" s="1">
        <v>1</v>
      </c>
      <c r="C1185" s="2">
        <v>41569</v>
      </c>
      <c r="D1185" s="1">
        <v>1</v>
      </c>
    </row>
    <row r="1186" spans="1:4" x14ac:dyDescent="0.25">
      <c r="A1186" s="2">
        <v>41570</v>
      </c>
      <c r="B1186" s="1">
        <v>1</v>
      </c>
      <c r="C1186" s="2">
        <v>41570</v>
      </c>
      <c r="D1186" s="1">
        <v>1</v>
      </c>
    </row>
    <row r="1187" spans="1:4" x14ac:dyDescent="0.25">
      <c r="A1187" s="2">
        <v>41571</v>
      </c>
      <c r="B1187" s="1">
        <v>1</v>
      </c>
      <c r="C1187" s="2">
        <v>41571</v>
      </c>
      <c r="D1187" s="1">
        <v>1</v>
      </c>
    </row>
    <row r="1188" spans="1:4" x14ac:dyDescent="0.25">
      <c r="A1188" s="2">
        <v>41572</v>
      </c>
      <c r="B1188" s="1">
        <v>1</v>
      </c>
      <c r="C1188" s="2">
        <v>41572</v>
      </c>
      <c r="D1188" s="1">
        <v>1</v>
      </c>
    </row>
    <row r="1189" spans="1:4" x14ac:dyDescent="0.25">
      <c r="A1189" s="2">
        <v>41575</v>
      </c>
      <c r="B1189" s="1">
        <v>1</v>
      </c>
      <c r="C1189" s="2">
        <v>41575</v>
      </c>
      <c r="D1189" s="1">
        <v>1</v>
      </c>
    </row>
    <row r="1190" spans="1:4" x14ac:dyDescent="0.25">
      <c r="A1190" s="2">
        <v>41576</v>
      </c>
      <c r="B1190" s="1">
        <v>1</v>
      </c>
      <c r="C1190" s="2">
        <v>41576</v>
      </c>
      <c r="D1190" s="1">
        <v>1</v>
      </c>
    </row>
    <row r="1191" spans="1:4" x14ac:dyDescent="0.25">
      <c r="A1191" s="2">
        <v>41577</v>
      </c>
      <c r="B1191" s="1">
        <v>1</v>
      </c>
      <c r="C1191" s="2">
        <v>41577</v>
      </c>
      <c r="D1191" s="1">
        <v>1</v>
      </c>
    </row>
    <row r="1192" spans="1:4" x14ac:dyDescent="0.25">
      <c r="A1192" s="2">
        <v>41578</v>
      </c>
      <c r="B1192" s="1">
        <v>1</v>
      </c>
      <c r="C1192" s="2">
        <v>41578</v>
      </c>
      <c r="D1192" s="1">
        <v>1</v>
      </c>
    </row>
    <row r="1193" spans="1:4" x14ac:dyDescent="0.25">
      <c r="A1193" s="2">
        <v>41579</v>
      </c>
      <c r="B1193" s="1">
        <v>1</v>
      </c>
      <c r="C1193" s="2">
        <v>41579</v>
      </c>
      <c r="D1193" s="1">
        <v>1</v>
      </c>
    </row>
    <row r="1194" spans="1:4" x14ac:dyDescent="0.25">
      <c r="A1194" s="2">
        <v>41582</v>
      </c>
      <c r="B1194" s="1">
        <v>1</v>
      </c>
      <c r="C1194" s="2">
        <v>41582</v>
      </c>
      <c r="D1194" s="1">
        <v>1</v>
      </c>
    </row>
    <row r="1195" spans="1:4" x14ac:dyDescent="0.25">
      <c r="A1195" s="2">
        <v>41583</v>
      </c>
      <c r="B1195" s="1">
        <v>1</v>
      </c>
      <c r="C1195" s="2">
        <v>41583</v>
      </c>
      <c r="D1195" s="1">
        <v>1</v>
      </c>
    </row>
    <row r="1196" spans="1:4" x14ac:dyDescent="0.25">
      <c r="A1196" s="2">
        <v>41584</v>
      </c>
      <c r="B1196" s="1">
        <v>1</v>
      </c>
      <c r="C1196" s="2">
        <v>41584</v>
      </c>
      <c r="D1196" s="1">
        <v>1</v>
      </c>
    </row>
    <row r="1197" spans="1:4" x14ac:dyDescent="0.25">
      <c r="A1197" s="2">
        <v>41585</v>
      </c>
      <c r="B1197" s="1">
        <v>1</v>
      </c>
      <c r="C1197" s="2">
        <v>41585</v>
      </c>
      <c r="D1197" s="1">
        <v>1</v>
      </c>
    </row>
    <row r="1198" spans="1:4" x14ac:dyDescent="0.25">
      <c r="A1198" s="2">
        <v>41586</v>
      </c>
      <c r="B1198" s="1">
        <v>1</v>
      </c>
      <c r="C1198" s="2">
        <v>41586</v>
      </c>
      <c r="D1198" s="1">
        <v>1</v>
      </c>
    </row>
    <row r="1199" spans="1:4" x14ac:dyDescent="0.25">
      <c r="A1199" s="2">
        <v>41589</v>
      </c>
      <c r="B1199" s="1">
        <v>1</v>
      </c>
      <c r="C1199" s="2">
        <v>41589</v>
      </c>
      <c r="D1199" s="1">
        <v>1</v>
      </c>
    </row>
    <row r="1200" spans="1:4" x14ac:dyDescent="0.25">
      <c r="A1200" s="2">
        <v>41590</v>
      </c>
      <c r="B1200" s="1">
        <v>1</v>
      </c>
      <c r="C1200" s="2">
        <v>41590</v>
      </c>
      <c r="D1200" s="1">
        <v>1</v>
      </c>
    </row>
    <row r="1201" spans="1:4" x14ac:dyDescent="0.25">
      <c r="A1201" s="2">
        <v>41591</v>
      </c>
      <c r="B1201" s="1">
        <v>1</v>
      </c>
      <c r="C1201" s="2">
        <v>41591</v>
      </c>
      <c r="D1201" s="1">
        <v>1</v>
      </c>
    </row>
    <row r="1202" spans="1:4" x14ac:dyDescent="0.25">
      <c r="A1202" s="2">
        <v>41592</v>
      </c>
      <c r="B1202" s="1">
        <v>1</v>
      </c>
      <c r="C1202" s="2">
        <v>41592</v>
      </c>
      <c r="D1202" s="1">
        <v>1</v>
      </c>
    </row>
    <row r="1203" spans="1:4" x14ac:dyDescent="0.25">
      <c r="A1203" s="2">
        <v>41593</v>
      </c>
      <c r="B1203" s="1">
        <v>1</v>
      </c>
      <c r="C1203" s="2">
        <v>41593</v>
      </c>
      <c r="D1203" s="1">
        <v>1</v>
      </c>
    </row>
    <row r="1204" spans="1:4" x14ac:dyDescent="0.25">
      <c r="A1204" s="2">
        <v>41596</v>
      </c>
      <c r="B1204" s="1">
        <v>1</v>
      </c>
      <c r="C1204" s="2">
        <v>41596</v>
      </c>
      <c r="D1204" s="1">
        <v>1</v>
      </c>
    </row>
    <row r="1205" spans="1:4" x14ac:dyDescent="0.25">
      <c r="A1205" s="2">
        <v>41597</v>
      </c>
      <c r="B1205" s="1">
        <v>1</v>
      </c>
      <c r="C1205" s="2">
        <v>41597</v>
      </c>
      <c r="D1205" s="1">
        <v>1</v>
      </c>
    </row>
    <row r="1206" spans="1:4" x14ac:dyDescent="0.25">
      <c r="A1206" s="2">
        <v>41598</v>
      </c>
      <c r="B1206" s="1">
        <v>1</v>
      </c>
      <c r="C1206" s="2">
        <v>41598</v>
      </c>
      <c r="D1206" s="1">
        <v>1</v>
      </c>
    </row>
    <row r="1207" spans="1:4" x14ac:dyDescent="0.25">
      <c r="A1207" s="2">
        <v>41599</v>
      </c>
      <c r="B1207" s="1">
        <v>1</v>
      </c>
      <c r="C1207" s="2">
        <v>41599</v>
      </c>
      <c r="D1207" s="1">
        <v>1</v>
      </c>
    </row>
    <row r="1208" spans="1:4" x14ac:dyDescent="0.25">
      <c r="A1208" s="2">
        <v>41600</v>
      </c>
      <c r="B1208" s="1">
        <v>1</v>
      </c>
      <c r="C1208" s="2">
        <v>41600</v>
      </c>
      <c r="D1208" s="1">
        <v>1</v>
      </c>
    </row>
    <row r="1209" spans="1:4" x14ac:dyDescent="0.25">
      <c r="A1209" s="2">
        <v>41603</v>
      </c>
      <c r="B1209" s="1">
        <v>1</v>
      </c>
      <c r="C1209" s="2">
        <v>41603</v>
      </c>
      <c r="D1209" s="1">
        <v>1</v>
      </c>
    </row>
    <row r="1210" spans="1:4" x14ac:dyDescent="0.25">
      <c r="A1210" s="2">
        <v>41604</v>
      </c>
      <c r="B1210" s="1">
        <v>1</v>
      </c>
      <c r="C1210" s="2">
        <v>41604</v>
      </c>
      <c r="D1210" s="1">
        <v>1</v>
      </c>
    </row>
    <row r="1211" spans="1:4" x14ac:dyDescent="0.25">
      <c r="A1211" s="2">
        <v>41605</v>
      </c>
      <c r="B1211" s="1">
        <v>1</v>
      </c>
      <c r="C1211" s="2">
        <v>41605</v>
      </c>
      <c r="D1211" s="1">
        <v>1</v>
      </c>
    </row>
    <row r="1212" spans="1:4" x14ac:dyDescent="0.25">
      <c r="A1212" s="2">
        <v>41606</v>
      </c>
      <c r="B1212" s="1">
        <v>1</v>
      </c>
      <c r="C1212" s="2">
        <v>41606</v>
      </c>
      <c r="D1212" s="1">
        <v>1</v>
      </c>
    </row>
    <row r="1213" spans="1:4" x14ac:dyDescent="0.25">
      <c r="A1213" s="2">
        <v>41607</v>
      </c>
      <c r="B1213" s="1">
        <v>1</v>
      </c>
      <c r="C1213" s="2">
        <v>41607</v>
      </c>
      <c r="D1213" s="1">
        <v>1</v>
      </c>
    </row>
    <row r="1214" spans="1:4" x14ac:dyDescent="0.25">
      <c r="A1214" s="2">
        <v>41610</v>
      </c>
      <c r="B1214" s="1">
        <v>1</v>
      </c>
      <c r="C1214" s="2">
        <v>41610</v>
      </c>
      <c r="D1214" s="1">
        <v>1</v>
      </c>
    </row>
    <row r="1215" spans="1:4" x14ac:dyDescent="0.25">
      <c r="A1215" s="2">
        <v>41611</v>
      </c>
      <c r="B1215" s="1">
        <v>1</v>
      </c>
      <c r="C1215" s="2">
        <v>41611</v>
      </c>
      <c r="D1215" s="1">
        <v>1</v>
      </c>
    </row>
    <row r="1216" spans="1:4" x14ac:dyDescent="0.25">
      <c r="A1216" s="2">
        <v>41612</v>
      </c>
      <c r="B1216" s="1">
        <v>1</v>
      </c>
      <c r="C1216" s="2">
        <v>41612</v>
      </c>
      <c r="D1216" s="1">
        <v>1</v>
      </c>
    </row>
    <row r="1217" spans="1:4" x14ac:dyDescent="0.25">
      <c r="A1217" s="2">
        <v>41613</v>
      </c>
      <c r="B1217" s="1">
        <v>1</v>
      </c>
      <c r="C1217" s="2">
        <v>41613</v>
      </c>
      <c r="D1217" s="1">
        <v>1</v>
      </c>
    </row>
    <row r="1218" spans="1:4" x14ac:dyDescent="0.25">
      <c r="A1218" s="2">
        <v>41614</v>
      </c>
      <c r="B1218" s="1">
        <v>1</v>
      </c>
      <c r="C1218" s="2">
        <v>41614</v>
      </c>
      <c r="D1218" s="1">
        <v>1</v>
      </c>
    </row>
    <row r="1219" spans="1:4" x14ac:dyDescent="0.25">
      <c r="A1219" s="2">
        <v>41617</v>
      </c>
      <c r="B1219" s="1">
        <v>1</v>
      </c>
      <c r="C1219" s="2">
        <v>41617</v>
      </c>
      <c r="D1219" s="1">
        <v>1</v>
      </c>
    </row>
    <row r="1220" spans="1:4" x14ac:dyDescent="0.25">
      <c r="A1220" s="2">
        <v>41618</v>
      </c>
      <c r="B1220" s="1">
        <v>1</v>
      </c>
      <c r="C1220" s="2">
        <v>41618</v>
      </c>
      <c r="D1220" s="1">
        <v>1</v>
      </c>
    </row>
    <row r="1221" spans="1:4" x14ac:dyDescent="0.25">
      <c r="A1221" s="2">
        <v>41619</v>
      </c>
      <c r="B1221" s="1">
        <v>1</v>
      </c>
      <c r="C1221" s="2">
        <v>41619</v>
      </c>
      <c r="D1221" s="1">
        <v>1</v>
      </c>
    </row>
    <row r="1222" spans="1:4" x14ac:dyDescent="0.25">
      <c r="A1222" s="2">
        <v>41620</v>
      </c>
      <c r="B1222" s="1">
        <v>1</v>
      </c>
      <c r="C1222" s="2">
        <v>41620</v>
      </c>
      <c r="D1222" s="1">
        <v>1</v>
      </c>
    </row>
    <row r="1223" spans="1:4" x14ac:dyDescent="0.25">
      <c r="A1223" s="2">
        <v>41621</v>
      </c>
      <c r="B1223" s="1">
        <v>1</v>
      </c>
      <c r="C1223" s="2">
        <v>41621</v>
      </c>
      <c r="D1223" s="1">
        <v>1</v>
      </c>
    </row>
    <row r="1224" spans="1:4" x14ac:dyDescent="0.25">
      <c r="A1224" s="2">
        <v>41624</v>
      </c>
      <c r="B1224" s="1">
        <v>1</v>
      </c>
      <c r="C1224" s="2">
        <v>41624</v>
      </c>
      <c r="D1224" s="1">
        <v>1</v>
      </c>
    </row>
    <row r="1225" spans="1:4" x14ac:dyDescent="0.25">
      <c r="A1225" s="2">
        <v>41625</v>
      </c>
      <c r="B1225" s="1">
        <v>1</v>
      </c>
      <c r="C1225" s="2">
        <v>41625</v>
      </c>
      <c r="D1225" s="1">
        <v>1</v>
      </c>
    </row>
    <row r="1226" spans="1:4" x14ac:dyDescent="0.25">
      <c r="A1226" s="2">
        <v>41626</v>
      </c>
      <c r="B1226" s="1">
        <v>1</v>
      </c>
      <c r="C1226" s="2">
        <v>41626</v>
      </c>
      <c r="D1226" s="1">
        <v>1</v>
      </c>
    </row>
    <row r="1227" spans="1:4" x14ac:dyDescent="0.25">
      <c r="A1227" s="2">
        <v>41627</v>
      </c>
      <c r="B1227" s="1">
        <v>1</v>
      </c>
      <c r="C1227" s="2">
        <v>41627</v>
      </c>
      <c r="D1227" s="1">
        <v>1</v>
      </c>
    </row>
    <row r="1228" spans="1:4" x14ac:dyDescent="0.25">
      <c r="A1228" s="2">
        <v>41628</v>
      </c>
      <c r="B1228" s="1">
        <v>1</v>
      </c>
      <c r="C1228" s="2">
        <v>41628</v>
      </c>
      <c r="D1228" s="1">
        <v>1</v>
      </c>
    </row>
    <row r="1229" spans="1:4" x14ac:dyDescent="0.25">
      <c r="A1229" s="2">
        <v>41631</v>
      </c>
      <c r="B1229" s="1">
        <v>1</v>
      </c>
      <c r="C1229" s="2">
        <v>41631</v>
      </c>
      <c r="D1229" s="1">
        <v>1</v>
      </c>
    </row>
    <row r="1230" spans="1:4" x14ac:dyDescent="0.25">
      <c r="A1230" s="2">
        <v>41632</v>
      </c>
      <c r="B1230" s="1">
        <v>1</v>
      </c>
      <c r="C1230" s="2">
        <v>41632</v>
      </c>
      <c r="D1230" s="1">
        <v>1</v>
      </c>
    </row>
    <row r="1231" spans="1:4" x14ac:dyDescent="0.25">
      <c r="A1231" s="2">
        <v>41635</v>
      </c>
      <c r="B1231" s="1">
        <v>1</v>
      </c>
      <c r="C1231" s="2">
        <v>41635</v>
      </c>
      <c r="D1231" s="1">
        <v>1</v>
      </c>
    </row>
    <row r="1232" spans="1:4" x14ac:dyDescent="0.25">
      <c r="A1232" s="2">
        <v>41638</v>
      </c>
      <c r="B1232" s="1">
        <v>1</v>
      </c>
      <c r="C1232" s="2">
        <v>41638</v>
      </c>
      <c r="D1232" s="1">
        <v>1</v>
      </c>
    </row>
    <row r="1233" spans="1:4" x14ac:dyDescent="0.25">
      <c r="A1233" s="2">
        <v>41639</v>
      </c>
      <c r="B1233" s="1">
        <v>1</v>
      </c>
      <c r="C1233" s="2">
        <v>41639</v>
      </c>
      <c r="D1233" s="1">
        <v>1</v>
      </c>
    </row>
    <row r="1234" spans="1:4" x14ac:dyDescent="0.25">
      <c r="A1234" s="2">
        <v>41641</v>
      </c>
      <c r="B1234" s="1">
        <v>1</v>
      </c>
      <c r="C1234" s="2">
        <v>41641</v>
      </c>
      <c r="D1234" s="1">
        <v>1</v>
      </c>
    </row>
    <row r="1235" spans="1:4" x14ac:dyDescent="0.25">
      <c r="A1235" s="2">
        <v>41642</v>
      </c>
      <c r="B1235" s="1">
        <v>1</v>
      </c>
      <c r="C1235" s="2">
        <v>41642</v>
      </c>
      <c r="D1235" s="1">
        <v>1</v>
      </c>
    </row>
    <row r="1236" spans="1:4" x14ac:dyDescent="0.25">
      <c r="A1236" s="2">
        <v>41645</v>
      </c>
      <c r="B1236" s="1">
        <v>1</v>
      </c>
      <c r="C1236" s="2">
        <v>41645</v>
      </c>
      <c r="D1236" s="1">
        <v>1</v>
      </c>
    </row>
    <row r="1237" spans="1:4" x14ac:dyDescent="0.25">
      <c r="A1237" s="2">
        <v>41646</v>
      </c>
      <c r="B1237" s="1">
        <v>1</v>
      </c>
      <c r="C1237" s="2">
        <v>41646</v>
      </c>
      <c r="D1237" s="1">
        <v>1</v>
      </c>
    </row>
    <row r="1238" spans="1:4" x14ac:dyDescent="0.25">
      <c r="A1238" s="2">
        <v>41647</v>
      </c>
      <c r="B1238" s="1">
        <v>1</v>
      </c>
      <c r="C1238" s="2">
        <v>41647</v>
      </c>
      <c r="D1238" s="1">
        <v>1</v>
      </c>
    </row>
    <row r="1239" spans="1:4" x14ac:dyDescent="0.25">
      <c r="A1239" s="2">
        <v>41648</v>
      </c>
      <c r="B1239" s="1">
        <v>1</v>
      </c>
      <c r="C1239" s="2">
        <v>41648</v>
      </c>
      <c r="D1239" s="1">
        <v>1</v>
      </c>
    </row>
    <row r="1240" spans="1:4" x14ac:dyDescent="0.25">
      <c r="A1240" s="2">
        <v>41649</v>
      </c>
      <c r="B1240" s="1">
        <v>1</v>
      </c>
      <c r="C1240" s="2">
        <v>41649</v>
      </c>
      <c r="D1240" s="1">
        <v>1</v>
      </c>
    </row>
    <row r="1241" spans="1:4" x14ac:dyDescent="0.25">
      <c r="A1241" s="2">
        <v>41652</v>
      </c>
      <c r="B1241" s="1">
        <v>1</v>
      </c>
      <c r="C1241" s="2">
        <v>41652</v>
      </c>
      <c r="D1241" s="1">
        <v>1</v>
      </c>
    </row>
    <row r="1242" spans="1:4" x14ac:dyDescent="0.25">
      <c r="A1242" s="2">
        <v>41653</v>
      </c>
      <c r="B1242" s="1">
        <v>1</v>
      </c>
      <c r="C1242" s="2">
        <v>41653</v>
      </c>
      <c r="D1242" s="1">
        <v>1</v>
      </c>
    </row>
    <row r="1243" spans="1:4" x14ac:dyDescent="0.25">
      <c r="A1243" s="2">
        <v>41654</v>
      </c>
      <c r="B1243" s="1">
        <v>1</v>
      </c>
      <c r="C1243" s="2">
        <v>41654</v>
      </c>
      <c r="D1243" s="1">
        <v>1</v>
      </c>
    </row>
    <row r="1244" spans="1:4" x14ac:dyDescent="0.25">
      <c r="A1244" s="2">
        <v>41655</v>
      </c>
      <c r="B1244" s="1">
        <v>1</v>
      </c>
      <c r="C1244" s="2">
        <v>41655</v>
      </c>
      <c r="D1244" s="1">
        <v>1</v>
      </c>
    </row>
    <row r="1245" spans="1:4" x14ac:dyDescent="0.25">
      <c r="A1245" s="2">
        <v>41656</v>
      </c>
      <c r="B1245" s="1">
        <v>1</v>
      </c>
      <c r="C1245" s="2">
        <v>41656</v>
      </c>
      <c r="D1245" s="1">
        <v>1</v>
      </c>
    </row>
    <row r="1246" spans="1:4" x14ac:dyDescent="0.25">
      <c r="A1246" s="2">
        <v>41659</v>
      </c>
      <c r="B1246" s="1">
        <v>1</v>
      </c>
      <c r="C1246" s="2">
        <v>41659</v>
      </c>
      <c r="D1246" s="1">
        <v>1</v>
      </c>
    </row>
    <row r="1247" spans="1:4" x14ac:dyDescent="0.25">
      <c r="A1247" s="2">
        <v>41660</v>
      </c>
      <c r="B1247" s="1">
        <v>1</v>
      </c>
      <c r="C1247" s="2">
        <v>41660</v>
      </c>
      <c r="D1247" s="1">
        <v>1</v>
      </c>
    </row>
    <row r="1248" spans="1:4" x14ac:dyDescent="0.25">
      <c r="A1248" s="2">
        <v>41661</v>
      </c>
      <c r="B1248" s="1">
        <v>1</v>
      </c>
      <c r="C1248" s="2">
        <v>41661</v>
      </c>
      <c r="D1248" s="1">
        <v>1</v>
      </c>
    </row>
    <row r="1249" spans="1:4" x14ac:dyDescent="0.25">
      <c r="A1249" s="2">
        <v>41662</v>
      </c>
      <c r="B1249" s="1">
        <v>1</v>
      </c>
      <c r="C1249" s="2">
        <v>41662</v>
      </c>
      <c r="D1249" s="1">
        <v>1</v>
      </c>
    </row>
    <row r="1250" spans="1:4" x14ac:dyDescent="0.25">
      <c r="A1250" s="2">
        <v>41663</v>
      </c>
      <c r="B1250" s="1">
        <v>1</v>
      </c>
      <c r="C1250" s="2">
        <v>41663</v>
      </c>
      <c r="D1250" s="1">
        <v>1</v>
      </c>
    </row>
    <row r="1251" spans="1:4" x14ac:dyDescent="0.25">
      <c r="A1251" s="2">
        <v>41666</v>
      </c>
      <c r="B1251" s="1">
        <v>1</v>
      </c>
      <c r="C1251" s="2">
        <v>41666</v>
      </c>
      <c r="D1251" s="1">
        <v>1</v>
      </c>
    </row>
    <row r="1252" spans="1:4" x14ac:dyDescent="0.25">
      <c r="A1252" s="2">
        <v>41667</v>
      </c>
      <c r="B1252" s="1">
        <v>1</v>
      </c>
      <c r="C1252" s="2">
        <v>41667</v>
      </c>
      <c r="D1252" s="1">
        <v>1</v>
      </c>
    </row>
    <row r="1253" spans="1:4" x14ac:dyDescent="0.25">
      <c r="A1253" s="2">
        <v>41668</v>
      </c>
      <c r="B1253" s="1">
        <v>1</v>
      </c>
      <c r="C1253" s="2">
        <v>41668</v>
      </c>
      <c r="D1253" s="1">
        <v>1</v>
      </c>
    </row>
    <row r="1254" spans="1:4" x14ac:dyDescent="0.25">
      <c r="A1254" s="2">
        <v>41669</v>
      </c>
      <c r="B1254" s="1">
        <v>1</v>
      </c>
      <c r="C1254" s="2">
        <v>41669</v>
      </c>
      <c r="D1254" s="1">
        <v>1</v>
      </c>
    </row>
    <row r="1255" spans="1:4" x14ac:dyDescent="0.25">
      <c r="A1255" s="2">
        <v>41670</v>
      </c>
      <c r="B1255" s="1">
        <v>1</v>
      </c>
      <c r="C1255" s="2">
        <v>41670</v>
      </c>
      <c r="D1255" s="1">
        <v>1</v>
      </c>
    </row>
    <row r="1256" spans="1:4" x14ac:dyDescent="0.25">
      <c r="A1256" s="2">
        <v>41673</v>
      </c>
      <c r="B1256" s="1">
        <v>1</v>
      </c>
      <c r="C1256" s="2">
        <v>41673</v>
      </c>
      <c r="D1256" s="1">
        <v>1</v>
      </c>
    </row>
    <row r="1257" spans="1:4" x14ac:dyDescent="0.25">
      <c r="A1257" s="2">
        <v>41674</v>
      </c>
      <c r="B1257" s="1">
        <v>1</v>
      </c>
      <c r="C1257" s="2">
        <v>41674</v>
      </c>
      <c r="D1257" s="1">
        <v>1</v>
      </c>
    </row>
    <row r="1258" spans="1:4" x14ac:dyDescent="0.25">
      <c r="A1258" s="2">
        <v>41675</v>
      </c>
      <c r="B1258" s="1">
        <v>1</v>
      </c>
      <c r="C1258" s="2">
        <v>41675</v>
      </c>
      <c r="D1258" s="1">
        <v>1</v>
      </c>
    </row>
    <row r="1259" spans="1:4" x14ac:dyDescent="0.25">
      <c r="A1259" s="2">
        <v>41676</v>
      </c>
      <c r="B1259" s="1">
        <v>1</v>
      </c>
      <c r="C1259" s="2">
        <v>41676</v>
      </c>
      <c r="D1259" s="1">
        <v>1</v>
      </c>
    </row>
    <row r="1260" spans="1:4" x14ac:dyDescent="0.25">
      <c r="A1260" s="2">
        <v>41677</v>
      </c>
      <c r="B1260" s="1">
        <v>1</v>
      </c>
      <c r="C1260" s="2">
        <v>41677</v>
      </c>
      <c r="D1260" s="1">
        <v>1</v>
      </c>
    </row>
    <row r="1261" spans="1:4" x14ac:dyDescent="0.25">
      <c r="A1261" s="2">
        <v>41680</v>
      </c>
      <c r="B1261" s="1">
        <v>1</v>
      </c>
      <c r="C1261" s="2">
        <v>41680</v>
      </c>
      <c r="D1261" s="1">
        <v>1</v>
      </c>
    </row>
    <row r="1262" spans="1:4" x14ac:dyDescent="0.25">
      <c r="A1262" s="2">
        <v>41681</v>
      </c>
      <c r="B1262" s="1">
        <v>1</v>
      </c>
      <c r="C1262" s="2">
        <v>41681</v>
      </c>
      <c r="D1262" s="1">
        <v>1</v>
      </c>
    </row>
    <row r="1263" spans="1:4" x14ac:dyDescent="0.25">
      <c r="A1263" s="2">
        <v>41682</v>
      </c>
      <c r="B1263" s="1">
        <v>1</v>
      </c>
      <c r="C1263" s="2">
        <v>41682</v>
      </c>
      <c r="D1263" s="1">
        <v>1</v>
      </c>
    </row>
    <row r="1264" spans="1:4" x14ac:dyDescent="0.25">
      <c r="A1264" s="2">
        <v>41683</v>
      </c>
      <c r="B1264" s="1">
        <v>1</v>
      </c>
      <c r="C1264" s="2">
        <v>41683</v>
      </c>
      <c r="D1264" s="1">
        <v>1</v>
      </c>
    </row>
    <row r="1265" spans="1:4" x14ac:dyDescent="0.25">
      <c r="A1265" s="2">
        <v>41684</v>
      </c>
      <c r="B1265" s="1">
        <v>1</v>
      </c>
      <c r="C1265" s="2">
        <v>41684</v>
      </c>
      <c r="D1265" s="1">
        <v>1</v>
      </c>
    </row>
    <row r="1266" spans="1:4" x14ac:dyDescent="0.25">
      <c r="A1266" s="2">
        <v>41687</v>
      </c>
      <c r="B1266" s="1">
        <v>1</v>
      </c>
      <c r="C1266" s="2">
        <v>41687</v>
      </c>
      <c r="D1266" s="1">
        <v>1</v>
      </c>
    </row>
    <row r="1267" spans="1:4" x14ac:dyDescent="0.25">
      <c r="A1267" s="2">
        <v>41688</v>
      </c>
      <c r="B1267" s="1">
        <v>1</v>
      </c>
      <c r="C1267" s="2">
        <v>41688</v>
      </c>
      <c r="D1267" s="1">
        <v>1</v>
      </c>
    </row>
    <row r="1268" spans="1:4" x14ac:dyDescent="0.25">
      <c r="A1268" s="2">
        <v>41689</v>
      </c>
      <c r="B1268" s="1">
        <v>1</v>
      </c>
      <c r="C1268" s="2">
        <v>41689</v>
      </c>
      <c r="D1268" s="1">
        <v>1</v>
      </c>
    </row>
    <row r="1269" spans="1:4" x14ac:dyDescent="0.25">
      <c r="A1269" s="2">
        <v>41690</v>
      </c>
      <c r="B1269" s="1">
        <v>1</v>
      </c>
      <c r="C1269" s="2">
        <v>41690</v>
      </c>
      <c r="D1269" s="1">
        <v>1</v>
      </c>
    </row>
    <row r="1270" spans="1:4" x14ac:dyDescent="0.25">
      <c r="A1270" s="2">
        <v>41691</v>
      </c>
      <c r="B1270" s="1">
        <v>1</v>
      </c>
      <c r="C1270" s="2">
        <v>41691</v>
      </c>
      <c r="D1270" s="1">
        <v>1</v>
      </c>
    </row>
    <row r="1271" spans="1:4" x14ac:dyDescent="0.25">
      <c r="A1271" s="2">
        <v>41694</v>
      </c>
      <c r="B1271" s="1">
        <v>1</v>
      </c>
      <c r="C1271" s="2">
        <v>41694</v>
      </c>
      <c r="D1271" s="1">
        <v>1</v>
      </c>
    </row>
    <row r="1272" spans="1:4" x14ac:dyDescent="0.25">
      <c r="A1272" s="2">
        <v>41695</v>
      </c>
      <c r="B1272" s="1">
        <v>1</v>
      </c>
      <c r="C1272" s="2">
        <v>41695</v>
      </c>
      <c r="D1272" s="1">
        <v>1</v>
      </c>
    </row>
    <row r="1273" spans="1:4" x14ac:dyDescent="0.25">
      <c r="A1273" s="2">
        <v>41696</v>
      </c>
      <c r="B1273" s="1">
        <v>1</v>
      </c>
      <c r="C1273" s="2">
        <v>41696</v>
      </c>
      <c r="D1273" s="1">
        <v>1</v>
      </c>
    </row>
    <row r="1274" spans="1:4" x14ac:dyDescent="0.25">
      <c r="A1274" s="2">
        <v>41697</v>
      </c>
      <c r="B1274" s="1">
        <v>1</v>
      </c>
      <c r="C1274" s="2">
        <v>41697</v>
      </c>
      <c r="D1274" s="1">
        <v>1</v>
      </c>
    </row>
    <row r="1275" spans="1:4" x14ac:dyDescent="0.25">
      <c r="A1275" s="2">
        <v>41698</v>
      </c>
      <c r="B1275" s="1">
        <v>1</v>
      </c>
      <c r="C1275" s="2">
        <v>41698</v>
      </c>
      <c r="D1275" s="1">
        <v>1</v>
      </c>
    </row>
    <row r="1276" spans="1:4" x14ac:dyDescent="0.25">
      <c r="A1276" s="2">
        <v>41701</v>
      </c>
      <c r="B1276" s="1">
        <v>1</v>
      </c>
      <c r="C1276" s="2">
        <v>41701</v>
      </c>
      <c r="D1276" s="1">
        <v>1</v>
      </c>
    </row>
    <row r="1277" spans="1:4" x14ac:dyDescent="0.25">
      <c r="A1277" s="2">
        <v>41702</v>
      </c>
      <c r="B1277" s="1">
        <v>1</v>
      </c>
      <c r="C1277" s="2">
        <v>41702</v>
      </c>
      <c r="D1277" s="1">
        <v>1</v>
      </c>
    </row>
    <row r="1278" spans="1:4" x14ac:dyDescent="0.25">
      <c r="A1278" s="2">
        <v>41703</v>
      </c>
      <c r="B1278" s="1">
        <v>1</v>
      </c>
      <c r="C1278" s="2">
        <v>41703</v>
      </c>
      <c r="D1278" s="1">
        <v>1</v>
      </c>
    </row>
    <row r="1279" spans="1:4" x14ac:dyDescent="0.25">
      <c r="A1279" s="2">
        <v>41704</v>
      </c>
      <c r="B1279" s="1">
        <v>1</v>
      </c>
      <c r="C1279" s="2">
        <v>41704</v>
      </c>
      <c r="D1279" s="1">
        <v>1</v>
      </c>
    </row>
    <row r="1280" spans="1:4" x14ac:dyDescent="0.25">
      <c r="A1280" s="2">
        <v>41705</v>
      </c>
      <c r="B1280" s="1">
        <v>1</v>
      </c>
      <c r="C1280" s="2">
        <v>41705</v>
      </c>
      <c r="D1280" s="1">
        <v>1</v>
      </c>
    </row>
    <row r="1281" spans="1:4" x14ac:dyDescent="0.25">
      <c r="A1281" s="2">
        <v>41708</v>
      </c>
      <c r="B1281" s="1">
        <v>1</v>
      </c>
      <c r="C1281" s="2">
        <v>41708</v>
      </c>
      <c r="D1281" s="1">
        <v>1</v>
      </c>
    </row>
    <row r="1282" spans="1:4" x14ac:dyDescent="0.25">
      <c r="A1282" s="2">
        <v>41709</v>
      </c>
      <c r="B1282" s="1">
        <v>1</v>
      </c>
      <c r="C1282" s="2">
        <v>41709</v>
      </c>
      <c r="D1282" s="1">
        <v>1</v>
      </c>
    </row>
    <row r="1283" spans="1:4" x14ac:dyDescent="0.25">
      <c r="A1283" s="2">
        <v>41710</v>
      </c>
      <c r="B1283" s="1">
        <v>1</v>
      </c>
      <c r="C1283" s="2">
        <v>41710</v>
      </c>
      <c r="D1283" s="1">
        <v>1</v>
      </c>
    </row>
    <row r="1284" spans="1:4" x14ac:dyDescent="0.25">
      <c r="A1284" s="2">
        <v>41711</v>
      </c>
      <c r="B1284" s="1">
        <v>1</v>
      </c>
      <c r="C1284" s="2">
        <v>41711</v>
      </c>
      <c r="D1284" s="1">
        <v>1</v>
      </c>
    </row>
    <row r="1285" spans="1:4" x14ac:dyDescent="0.25">
      <c r="A1285" s="2">
        <v>41712</v>
      </c>
      <c r="B1285" s="1">
        <v>1</v>
      </c>
      <c r="C1285" s="2">
        <v>41712</v>
      </c>
      <c r="D1285" s="1">
        <v>1</v>
      </c>
    </row>
    <row r="1286" spans="1:4" x14ac:dyDescent="0.25">
      <c r="A1286" s="2">
        <v>41715</v>
      </c>
      <c r="B1286" s="1">
        <v>1</v>
      </c>
      <c r="C1286" s="2">
        <v>41715</v>
      </c>
      <c r="D1286" s="1">
        <v>1</v>
      </c>
    </row>
    <row r="1287" spans="1:4" x14ac:dyDescent="0.25">
      <c r="A1287" s="2">
        <v>41716</v>
      </c>
      <c r="B1287" s="1">
        <v>1</v>
      </c>
      <c r="C1287" s="2">
        <v>41716</v>
      </c>
      <c r="D1287" s="1">
        <v>1</v>
      </c>
    </row>
    <row r="1288" spans="1:4" x14ac:dyDescent="0.25">
      <c r="A1288" s="2">
        <v>41717</v>
      </c>
      <c r="B1288" s="1">
        <v>1</v>
      </c>
      <c r="C1288" s="2">
        <v>41717</v>
      </c>
      <c r="D1288" s="1">
        <v>1</v>
      </c>
    </row>
    <row r="1289" spans="1:4" x14ac:dyDescent="0.25">
      <c r="A1289" s="2">
        <v>41718</v>
      </c>
      <c r="B1289" s="1">
        <v>1</v>
      </c>
      <c r="C1289" s="2">
        <v>41718</v>
      </c>
      <c r="D1289" s="1">
        <v>1</v>
      </c>
    </row>
    <row r="1290" spans="1:4" x14ac:dyDescent="0.25">
      <c r="A1290" s="2">
        <v>41719</v>
      </c>
      <c r="B1290" s="1">
        <v>1</v>
      </c>
      <c r="C1290" s="2">
        <v>41719</v>
      </c>
      <c r="D1290" s="1">
        <v>1</v>
      </c>
    </row>
    <row r="1291" spans="1:4" x14ac:dyDescent="0.25">
      <c r="A1291" s="2">
        <v>41722</v>
      </c>
      <c r="B1291" s="1">
        <v>1</v>
      </c>
      <c r="C1291" s="2">
        <v>41722</v>
      </c>
      <c r="D1291" s="1">
        <v>1</v>
      </c>
    </row>
    <row r="1292" spans="1:4" x14ac:dyDescent="0.25">
      <c r="A1292" s="2">
        <v>41723</v>
      </c>
      <c r="B1292" s="1">
        <v>1</v>
      </c>
      <c r="C1292" s="2">
        <v>41723</v>
      </c>
      <c r="D1292" s="1">
        <v>1</v>
      </c>
    </row>
    <row r="1293" spans="1:4" x14ac:dyDescent="0.25">
      <c r="A1293" s="2">
        <v>41724</v>
      </c>
      <c r="B1293" s="1">
        <v>1</v>
      </c>
      <c r="C1293" s="2">
        <v>41724</v>
      </c>
      <c r="D1293" s="1">
        <v>1</v>
      </c>
    </row>
    <row r="1294" spans="1:4" x14ac:dyDescent="0.25">
      <c r="A1294" s="2">
        <v>41725</v>
      </c>
      <c r="B1294" s="1">
        <v>1</v>
      </c>
      <c r="C1294" s="2">
        <v>41725</v>
      </c>
      <c r="D1294" s="1">
        <v>1</v>
      </c>
    </row>
    <row r="1295" spans="1:4" x14ac:dyDescent="0.25">
      <c r="A1295" s="2">
        <v>41726</v>
      </c>
      <c r="B1295" s="1">
        <v>1</v>
      </c>
      <c r="C1295" s="2">
        <v>41726</v>
      </c>
      <c r="D1295" s="1">
        <v>1</v>
      </c>
    </row>
    <row r="1296" spans="1:4" x14ac:dyDescent="0.25">
      <c r="A1296" s="2">
        <v>41729</v>
      </c>
      <c r="B1296" s="1">
        <v>1</v>
      </c>
      <c r="C1296" s="2">
        <v>41729</v>
      </c>
      <c r="D1296" s="1">
        <v>1</v>
      </c>
    </row>
    <row r="1297" spans="1:4" x14ac:dyDescent="0.25">
      <c r="A1297" s="2">
        <v>41730</v>
      </c>
      <c r="B1297" s="1">
        <v>1</v>
      </c>
      <c r="C1297" s="2">
        <v>41730</v>
      </c>
      <c r="D1297" s="1">
        <v>1</v>
      </c>
    </row>
    <row r="1298" spans="1:4" x14ac:dyDescent="0.25">
      <c r="A1298" s="2">
        <v>41731</v>
      </c>
      <c r="B1298" s="1">
        <v>1</v>
      </c>
      <c r="C1298" s="2">
        <v>41731</v>
      </c>
      <c r="D1298" s="1">
        <v>1</v>
      </c>
    </row>
    <row r="1299" spans="1:4" x14ac:dyDescent="0.25">
      <c r="A1299" s="2">
        <v>41732</v>
      </c>
      <c r="B1299" s="1">
        <v>1</v>
      </c>
      <c r="C1299" s="2">
        <v>41732</v>
      </c>
      <c r="D1299" s="1">
        <v>1</v>
      </c>
    </row>
    <row r="1300" spans="1:4" x14ac:dyDescent="0.25">
      <c r="A1300" s="2">
        <v>41733</v>
      </c>
      <c r="B1300" s="1">
        <v>1</v>
      </c>
      <c r="C1300" s="2">
        <v>41733</v>
      </c>
      <c r="D1300" s="1">
        <v>1</v>
      </c>
    </row>
    <row r="1301" spans="1:4" x14ac:dyDescent="0.25">
      <c r="A1301" s="2">
        <v>41736</v>
      </c>
      <c r="B1301" s="1">
        <v>1</v>
      </c>
      <c r="C1301" s="2">
        <v>41736</v>
      </c>
      <c r="D1301" s="1">
        <v>1</v>
      </c>
    </row>
    <row r="1302" spans="1:4" x14ac:dyDescent="0.25">
      <c r="A1302" s="2">
        <v>41737</v>
      </c>
      <c r="B1302" s="1">
        <v>1</v>
      </c>
      <c r="C1302" s="2">
        <v>41737</v>
      </c>
      <c r="D1302" s="1">
        <v>1</v>
      </c>
    </row>
    <row r="1303" spans="1:4" x14ac:dyDescent="0.25">
      <c r="A1303" s="2">
        <v>41738</v>
      </c>
      <c r="B1303" s="1">
        <v>1</v>
      </c>
      <c r="C1303" s="2">
        <v>41738</v>
      </c>
      <c r="D1303" s="1">
        <v>1</v>
      </c>
    </row>
    <row r="1304" spans="1:4" x14ac:dyDescent="0.25">
      <c r="A1304" s="2">
        <v>41739</v>
      </c>
      <c r="B1304" s="1">
        <v>1</v>
      </c>
      <c r="C1304" s="2">
        <v>41739</v>
      </c>
      <c r="D1304" s="1">
        <v>1</v>
      </c>
    </row>
    <row r="1305" spans="1:4" x14ac:dyDescent="0.25">
      <c r="A1305" s="2">
        <v>41740</v>
      </c>
      <c r="B1305" s="1">
        <v>1</v>
      </c>
      <c r="C1305" s="2">
        <v>41740</v>
      </c>
      <c r="D1305" s="1">
        <v>1</v>
      </c>
    </row>
    <row r="1306" spans="1:4" x14ac:dyDescent="0.25">
      <c r="A1306" s="2">
        <v>41743</v>
      </c>
      <c r="B1306" s="1">
        <v>1</v>
      </c>
      <c r="C1306" s="2">
        <v>41743</v>
      </c>
      <c r="D1306" s="1">
        <v>1</v>
      </c>
    </row>
    <row r="1307" spans="1:4" x14ac:dyDescent="0.25">
      <c r="A1307" s="2">
        <v>41744</v>
      </c>
      <c r="B1307" s="1">
        <v>1</v>
      </c>
      <c r="C1307" s="2">
        <v>41744</v>
      </c>
      <c r="D1307" s="1">
        <v>1</v>
      </c>
    </row>
    <row r="1308" spans="1:4" x14ac:dyDescent="0.25">
      <c r="A1308" s="2">
        <v>41745</v>
      </c>
      <c r="B1308" s="1">
        <v>1</v>
      </c>
      <c r="C1308" s="2">
        <v>41745</v>
      </c>
      <c r="D1308" s="1">
        <v>1</v>
      </c>
    </row>
    <row r="1309" spans="1:4" x14ac:dyDescent="0.25">
      <c r="A1309" s="2">
        <v>41746</v>
      </c>
      <c r="B1309" s="1">
        <v>1</v>
      </c>
      <c r="C1309" s="2">
        <v>41746</v>
      </c>
      <c r="D1309" s="1">
        <v>1</v>
      </c>
    </row>
    <row r="1310" spans="1:4" x14ac:dyDescent="0.25">
      <c r="A1310" s="2">
        <v>41751</v>
      </c>
      <c r="B1310" s="1">
        <v>1</v>
      </c>
      <c r="C1310" s="2">
        <v>41751</v>
      </c>
      <c r="D1310" s="1">
        <v>1</v>
      </c>
    </row>
    <row r="1311" spans="1:4" x14ac:dyDescent="0.25">
      <c r="A1311" s="65">
        <v>41752</v>
      </c>
      <c r="B1311" s="1">
        <v>1</v>
      </c>
      <c r="C1311" s="65">
        <v>41752</v>
      </c>
      <c r="D1311" s="1">
        <v>1</v>
      </c>
    </row>
    <row r="1312" spans="1:4" x14ac:dyDescent="0.25">
      <c r="A1312" s="65">
        <v>41753</v>
      </c>
      <c r="B1312" s="1">
        <v>1</v>
      </c>
      <c r="C1312" s="65">
        <v>41753</v>
      </c>
      <c r="D1312" s="1">
        <v>1</v>
      </c>
    </row>
    <row r="1313" spans="1:4" x14ac:dyDescent="0.25">
      <c r="A1313" s="65">
        <v>41754</v>
      </c>
      <c r="B1313" s="1">
        <v>1</v>
      </c>
      <c r="C1313" s="65">
        <v>41754</v>
      </c>
      <c r="D1313" s="1">
        <v>1</v>
      </c>
    </row>
    <row r="1314" spans="1:4" x14ac:dyDescent="0.25">
      <c r="A1314" s="65">
        <v>41757</v>
      </c>
      <c r="B1314" s="1">
        <v>1</v>
      </c>
      <c r="C1314" s="65">
        <v>41757</v>
      </c>
      <c r="D1314" s="1">
        <v>1</v>
      </c>
    </row>
    <row r="1315" spans="1:4" x14ac:dyDescent="0.25">
      <c r="A1315" s="65">
        <v>41758</v>
      </c>
      <c r="B1315" s="1">
        <v>1</v>
      </c>
      <c r="C1315" s="65">
        <v>41758</v>
      </c>
      <c r="D1315" s="1">
        <v>1</v>
      </c>
    </row>
    <row r="1316" spans="1:4" x14ac:dyDescent="0.25">
      <c r="A1316" s="65">
        <v>41759</v>
      </c>
      <c r="B1316" s="1">
        <v>1</v>
      </c>
      <c r="C1316" s="65">
        <v>41759</v>
      </c>
      <c r="D1316" s="1">
        <v>1</v>
      </c>
    </row>
    <row r="1317" spans="1:4" x14ac:dyDescent="0.25">
      <c r="A1317" s="65">
        <v>41760</v>
      </c>
      <c r="B1317" s="1">
        <v>1</v>
      </c>
      <c r="C1317" s="65">
        <v>41760</v>
      </c>
      <c r="D1317" s="1">
        <v>1</v>
      </c>
    </row>
    <row r="1318" spans="1:4" x14ac:dyDescent="0.25">
      <c r="A1318" s="65">
        <v>41761</v>
      </c>
      <c r="B1318" s="1">
        <v>1</v>
      </c>
      <c r="C1318" s="65">
        <v>41761</v>
      </c>
      <c r="D1318" s="1">
        <v>1</v>
      </c>
    </row>
    <row r="1319" spans="1:4" x14ac:dyDescent="0.25">
      <c r="A1319" s="65">
        <v>41764</v>
      </c>
      <c r="B1319" s="1">
        <v>1</v>
      </c>
      <c r="C1319" s="65">
        <v>41764</v>
      </c>
      <c r="D1319" s="1">
        <v>1</v>
      </c>
    </row>
    <row r="1320" spans="1:4" x14ac:dyDescent="0.25">
      <c r="A1320" s="65">
        <v>41765</v>
      </c>
      <c r="B1320" s="1">
        <v>1</v>
      </c>
      <c r="C1320" s="65">
        <v>41765</v>
      </c>
      <c r="D1320" s="1">
        <v>1</v>
      </c>
    </row>
    <row r="1321" spans="1:4" x14ac:dyDescent="0.25">
      <c r="A1321" s="65">
        <v>41766</v>
      </c>
      <c r="B1321" s="1">
        <v>1</v>
      </c>
      <c r="C1321" s="65">
        <v>41766</v>
      </c>
      <c r="D1321" s="1">
        <v>1</v>
      </c>
    </row>
    <row r="1322" spans="1:4" x14ac:dyDescent="0.25">
      <c r="A1322" s="65">
        <v>41767</v>
      </c>
      <c r="B1322" s="1">
        <v>1</v>
      </c>
      <c r="C1322" s="65">
        <v>41767</v>
      </c>
      <c r="D1322" s="1">
        <v>1</v>
      </c>
    </row>
    <row r="1323" spans="1:4" x14ac:dyDescent="0.25">
      <c r="A1323" s="65">
        <v>41768</v>
      </c>
      <c r="B1323" s="1">
        <v>1</v>
      </c>
      <c r="C1323" s="65">
        <v>41768</v>
      </c>
      <c r="D1323" s="1">
        <v>1</v>
      </c>
    </row>
    <row r="1324" spans="1:4" x14ac:dyDescent="0.25">
      <c r="A1324" s="65">
        <v>41771</v>
      </c>
      <c r="B1324" s="1">
        <v>1</v>
      </c>
      <c r="C1324" s="65">
        <v>41771</v>
      </c>
      <c r="D1324" s="1">
        <v>1</v>
      </c>
    </row>
    <row r="1325" spans="1:4" x14ac:dyDescent="0.25">
      <c r="A1325" s="65">
        <v>41772</v>
      </c>
      <c r="B1325" s="1">
        <v>1</v>
      </c>
      <c r="C1325" s="65">
        <v>41772</v>
      </c>
      <c r="D1325" s="1">
        <v>1</v>
      </c>
    </row>
    <row r="1326" spans="1:4" x14ac:dyDescent="0.25">
      <c r="A1326" s="65">
        <v>41773</v>
      </c>
      <c r="B1326" s="1">
        <v>1</v>
      </c>
      <c r="C1326" s="65">
        <v>41773</v>
      </c>
      <c r="D1326" s="1">
        <v>1</v>
      </c>
    </row>
    <row r="1327" spans="1:4" x14ac:dyDescent="0.25">
      <c r="A1327" s="65">
        <v>41774</v>
      </c>
      <c r="B1327" s="1">
        <v>1</v>
      </c>
      <c r="C1327" s="65">
        <v>41774</v>
      </c>
      <c r="D1327" s="1">
        <v>1</v>
      </c>
    </row>
    <row r="1328" spans="1:4" x14ac:dyDescent="0.25">
      <c r="A1328" s="65">
        <v>41775</v>
      </c>
      <c r="B1328" s="1">
        <v>1</v>
      </c>
      <c r="C1328" s="65">
        <v>41775</v>
      </c>
      <c r="D1328" s="1">
        <v>1</v>
      </c>
    </row>
    <row r="1329" spans="1:4" x14ac:dyDescent="0.25">
      <c r="A1329" s="65">
        <v>41778</v>
      </c>
      <c r="B1329" s="1">
        <v>1</v>
      </c>
      <c r="C1329" s="65">
        <v>41778</v>
      </c>
      <c r="D1329" s="1">
        <v>1</v>
      </c>
    </row>
    <row r="1330" spans="1:4" x14ac:dyDescent="0.25">
      <c r="A1330" s="65">
        <v>41779</v>
      </c>
      <c r="B1330" s="1">
        <v>1</v>
      </c>
      <c r="C1330" s="65">
        <v>41779</v>
      </c>
      <c r="D1330" s="1">
        <v>1</v>
      </c>
    </row>
    <row r="1331" spans="1:4" x14ac:dyDescent="0.25">
      <c r="A1331" s="65">
        <v>41780</v>
      </c>
      <c r="B1331" s="1">
        <v>1</v>
      </c>
      <c r="C1331" s="65">
        <v>41780</v>
      </c>
      <c r="D1331" s="1">
        <v>1</v>
      </c>
    </row>
    <row r="1332" spans="1:4" x14ac:dyDescent="0.25">
      <c r="A1332" s="65">
        <v>41781</v>
      </c>
      <c r="B1332" s="1">
        <v>1</v>
      </c>
      <c r="C1332" s="65">
        <v>41781</v>
      </c>
      <c r="D1332" s="1">
        <v>1</v>
      </c>
    </row>
    <row r="1333" spans="1:4" x14ac:dyDescent="0.25">
      <c r="A1333" s="65">
        <v>41782</v>
      </c>
      <c r="B1333" s="1">
        <v>1</v>
      </c>
      <c r="C1333" s="65">
        <v>41782</v>
      </c>
      <c r="D1333" s="1">
        <v>1</v>
      </c>
    </row>
    <row r="1334" spans="1:4" x14ac:dyDescent="0.25">
      <c r="A1334" s="65">
        <v>41785</v>
      </c>
      <c r="B1334" s="1">
        <v>1</v>
      </c>
      <c r="C1334" s="65">
        <v>41785</v>
      </c>
      <c r="D1334" s="1">
        <v>1</v>
      </c>
    </row>
    <row r="1335" spans="1:4" x14ac:dyDescent="0.25">
      <c r="A1335" s="65">
        <v>41786</v>
      </c>
      <c r="B1335" s="1">
        <v>1</v>
      </c>
      <c r="C1335" s="65">
        <v>41786</v>
      </c>
      <c r="D1335" s="1">
        <v>1</v>
      </c>
    </row>
    <row r="1336" spans="1:4" x14ac:dyDescent="0.25">
      <c r="A1336" s="65">
        <v>41787</v>
      </c>
      <c r="B1336" s="1">
        <v>1</v>
      </c>
      <c r="C1336" s="65">
        <v>41787</v>
      </c>
      <c r="D1336" s="1">
        <v>1</v>
      </c>
    </row>
    <row r="1337" spans="1:4" x14ac:dyDescent="0.25">
      <c r="A1337" s="65">
        <v>41788</v>
      </c>
      <c r="B1337" s="1">
        <v>1</v>
      </c>
      <c r="C1337" s="65">
        <v>41788</v>
      </c>
      <c r="D1337" s="1">
        <v>1</v>
      </c>
    </row>
    <row r="1338" spans="1:4" x14ac:dyDescent="0.25">
      <c r="A1338" s="65">
        <v>41789</v>
      </c>
      <c r="B1338" s="1">
        <v>1</v>
      </c>
      <c r="C1338" s="65">
        <v>41789</v>
      </c>
      <c r="D1338" s="1">
        <v>1</v>
      </c>
    </row>
    <row r="1339" spans="1:4" x14ac:dyDescent="0.25">
      <c r="A1339" s="65">
        <v>41792</v>
      </c>
      <c r="B1339" s="1">
        <v>1</v>
      </c>
      <c r="C1339" s="65">
        <v>41792</v>
      </c>
      <c r="D1339" s="1">
        <v>1</v>
      </c>
    </row>
    <row r="1340" spans="1:4" x14ac:dyDescent="0.25">
      <c r="A1340" s="65">
        <v>41793</v>
      </c>
      <c r="B1340" s="1">
        <v>1</v>
      </c>
      <c r="C1340" s="65">
        <v>41793</v>
      </c>
      <c r="D1340" s="1">
        <v>1</v>
      </c>
    </row>
    <row r="1341" spans="1:4" x14ac:dyDescent="0.25">
      <c r="A1341" s="65">
        <v>41794</v>
      </c>
      <c r="B1341" s="1">
        <v>1</v>
      </c>
      <c r="C1341" s="65">
        <v>41794</v>
      </c>
      <c r="D1341" s="1">
        <v>1</v>
      </c>
    </row>
    <row r="1342" spans="1:4" x14ac:dyDescent="0.25">
      <c r="A1342" s="65">
        <v>41795</v>
      </c>
      <c r="B1342" s="1">
        <v>1</v>
      </c>
      <c r="C1342" s="65">
        <v>41795</v>
      </c>
      <c r="D1342" s="1">
        <v>1</v>
      </c>
    </row>
    <row r="1343" spans="1:4" x14ac:dyDescent="0.25">
      <c r="A1343" s="65">
        <v>41796</v>
      </c>
      <c r="B1343" s="1">
        <v>1</v>
      </c>
      <c r="C1343" s="65">
        <v>41796</v>
      </c>
      <c r="D1343" s="1">
        <v>1</v>
      </c>
    </row>
    <row r="1344" spans="1:4" x14ac:dyDescent="0.25">
      <c r="A1344" s="65">
        <v>41799</v>
      </c>
      <c r="B1344" s="1">
        <v>1</v>
      </c>
      <c r="C1344" s="65">
        <v>41799</v>
      </c>
      <c r="D1344" s="1">
        <v>1</v>
      </c>
    </row>
    <row r="1345" spans="1:4" x14ac:dyDescent="0.25">
      <c r="A1345" s="65">
        <v>41800</v>
      </c>
      <c r="B1345" s="1">
        <v>1</v>
      </c>
      <c r="C1345" s="65">
        <v>41800</v>
      </c>
      <c r="D1345" s="1">
        <v>1</v>
      </c>
    </row>
    <row r="1346" spans="1:4" x14ac:dyDescent="0.25">
      <c r="A1346" s="65">
        <v>41801</v>
      </c>
      <c r="B1346" s="1">
        <v>1</v>
      </c>
      <c r="C1346" s="65">
        <v>41801</v>
      </c>
      <c r="D1346" s="1">
        <v>1</v>
      </c>
    </row>
    <row r="1347" spans="1:4" x14ac:dyDescent="0.25">
      <c r="A1347" s="65">
        <v>41802</v>
      </c>
      <c r="B1347" s="1">
        <v>1</v>
      </c>
      <c r="C1347" s="65">
        <v>41802</v>
      </c>
      <c r="D1347" s="1">
        <v>1</v>
      </c>
    </row>
    <row r="1348" spans="1:4" x14ac:dyDescent="0.25">
      <c r="A1348" s="65">
        <v>41803</v>
      </c>
      <c r="B1348" s="1">
        <v>1</v>
      </c>
      <c r="C1348" s="65">
        <v>41803</v>
      </c>
      <c r="D1348" s="1">
        <v>1</v>
      </c>
    </row>
    <row r="1349" spans="1:4" x14ac:dyDescent="0.25">
      <c r="A1349" s="65">
        <v>41806</v>
      </c>
      <c r="B1349" s="1">
        <v>1</v>
      </c>
      <c r="C1349" s="65">
        <v>41806</v>
      </c>
      <c r="D1349" s="1">
        <v>1</v>
      </c>
    </row>
    <row r="1350" spans="1:4" x14ac:dyDescent="0.25">
      <c r="A1350" s="65">
        <v>41807</v>
      </c>
      <c r="B1350" s="1">
        <v>1</v>
      </c>
      <c r="C1350" s="65">
        <v>41807</v>
      </c>
      <c r="D1350" s="1">
        <v>1</v>
      </c>
    </row>
    <row r="1351" spans="1:4" x14ac:dyDescent="0.25">
      <c r="A1351" s="65">
        <v>41808</v>
      </c>
      <c r="B1351" s="1">
        <v>1</v>
      </c>
      <c r="C1351" s="65">
        <v>41808</v>
      </c>
      <c r="D1351" s="1">
        <v>1</v>
      </c>
    </row>
    <row r="1352" spans="1:4" x14ac:dyDescent="0.25">
      <c r="A1352" s="65">
        <v>41809</v>
      </c>
      <c r="B1352" s="1">
        <v>1</v>
      </c>
      <c r="C1352" s="65">
        <v>41809</v>
      </c>
      <c r="D1352" s="1">
        <v>1</v>
      </c>
    </row>
    <row r="1353" spans="1:4" x14ac:dyDescent="0.25">
      <c r="A1353" s="65">
        <v>41810</v>
      </c>
      <c r="B1353" s="1">
        <v>1</v>
      </c>
      <c r="C1353" s="65">
        <v>41810</v>
      </c>
      <c r="D1353" s="1">
        <v>1</v>
      </c>
    </row>
    <row r="1354" spans="1:4" x14ac:dyDescent="0.25">
      <c r="A1354" s="65">
        <v>41813</v>
      </c>
      <c r="B1354" s="1">
        <v>1</v>
      </c>
      <c r="C1354" s="65">
        <v>41813</v>
      </c>
      <c r="D1354" s="1">
        <v>1</v>
      </c>
    </row>
    <row r="1355" spans="1:4" x14ac:dyDescent="0.25">
      <c r="A1355" s="65">
        <v>41814</v>
      </c>
      <c r="B1355" s="1">
        <v>1</v>
      </c>
      <c r="C1355" s="65">
        <v>41814</v>
      </c>
      <c r="D1355" s="1">
        <v>1</v>
      </c>
    </row>
    <row r="1356" spans="1:4" x14ac:dyDescent="0.25">
      <c r="A1356" s="65">
        <v>41815</v>
      </c>
      <c r="B1356" s="1">
        <v>1</v>
      </c>
      <c r="C1356" s="65">
        <v>41815</v>
      </c>
      <c r="D1356" s="1">
        <v>1</v>
      </c>
    </row>
    <row r="1357" spans="1:4" x14ac:dyDescent="0.25">
      <c r="A1357" s="65">
        <v>41816</v>
      </c>
      <c r="B1357" s="1">
        <v>1</v>
      </c>
      <c r="C1357" s="65">
        <v>41816</v>
      </c>
      <c r="D1357" s="1">
        <v>1</v>
      </c>
    </row>
    <row r="1358" spans="1:4" x14ac:dyDescent="0.25">
      <c r="A1358" s="65">
        <v>41817</v>
      </c>
      <c r="B1358" s="1">
        <v>1</v>
      </c>
      <c r="C1358" s="65">
        <v>41817</v>
      </c>
      <c r="D1358" s="1">
        <v>1</v>
      </c>
    </row>
    <row r="1359" spans="1:4" x14ac:dyDescent="0.25">
      <c r="A1359" s="65">
        <v>41820</v>
      </c>
      <c r="B1359" s="1">
        <v>1</v>
      </c>
      <c r="C1359" s="65">
        <v>41820</v>
      </c>
      <c r="D1359" s="1">
        <v>1</v>
      </c>
    </row>
    <row r="1360" spans="1:4" x14ac:dyDescent="0.25">
      <c r="A1360" s="65">
        <v>41821</v>
      </c>
      <c r="B1360" s="1">
        <v>1</v>
      </c>
      <c r="C1360" s="65">
        <v>41821</v>
      </c>
      <c r="D1360" s="1">
        <v>1</v>
      </c>
    </row>
    <row r="1361" spans="1:4" x14ac:dyDescent="0.25">
      <c r="A1361" s="65">
        <v>41822</v>
      </c>
      <c r="B1361" s="1">
        <v>1</v>
      </c>
      <c r="C1361" s="65">
        <v>41822</v>
      </c>
      <c r="D1361" s="1">
        <v>1</v>
      </c>
    </row>
    <row r="1362" spans="1:4" x14ac:dyDescent="0.25">
      <c r="A1362" s="65">
        <v>41823</v>
      </c>
      <c r="B1362" s="1">
        <v>1</v>
      </c>
      <c r="C1362" s="65">
        <v>41823</v>
      </c>
      <c r="D1362" s="1">
        <v>1</v>
      </c>
    </row>
    <row r="1363" spans="1:4" x14ac:dyDescent="0.25">
      <c r="A1363" s="65">
        <v>41824</v>
      </c>
      <c r="B1363" s="1">
        <v>1</v>
      </c>
      <c r="C1363" s="65">
        <v>41824</v>
      </c>
      <c r="D1363" s="1">
        <v>1</v>
      </c>
    </row>
    <row r="1364" spans="1:4" x14ac:dyDescent="0.25">
      <c r="A1364" s="65">
        <v>41827</v>
      </c>
      <c r="B1364" s="1">
        <v>1</v>
      </c>
      <c r="C1364" s="65">
        <v>41827</v>
      </c>
      <c r="D1364" s="1">
        <v>1</v>
      </c>
    </row>
    <row r="1365" spans="1:4" x14ac:dyDescent="0.25">
      <c r="A1365" s="65">
        <v>41828</v>
      </c>
      <c r="B1365" s="1">
        <v>1</v>
      </c>
      <c r="C1365" s="65">
        <v>41828</v>
      </c>
      <c r="D1365" s="1">
        <v>1</v>
      </c>
    </row>
    <row r="1366" spans="1:4" x14ac:dyDescent="0.25">
      <c r="A1366" s="65">
        <v>41829</v>
      </c>
      <c r="B1366" s="1">
        <v>1</v>
      </c>
      <c r="C1366" s="65">
        <v>41829</v>
      </c>
      <c r="D1366" s="1">
        <v>1</v>
      </c>
    </row>
    <row r="1367" spans="1:4" x14ac:dyDescent="0.25">
      <c r="A1367" s="65">
        <v>41830</v>
      </c>
      <c r="B1367" s="1">
        <v>1</v>
      </c>
      <c r="C1367" s="65">
        <v>41830</v>
      </c>
      <c r="D1367" s="1">
        <v>1</v>
      </c>
    </row>
    <row r="1368" spans="1:4" x14ac:dyDescent="0.25">
      <c r="A1368" s="65">
        <v>41831</v>
      </c>
      <c r="B1368" s="1">
        <v>1</v>
      </c>
      <c r="C1368" s="65">
        <v>41831</v>
      </c>
      <c r="D1368" s="1">
        <v>1</v>
      </c>
    </row>
    <row r="1369" spans="1:4" x14ac:dyDescent="0.25">
      <c r="A1369" s="65">
        <v>41834</v>
      </c>
      <c r="B1369" s="1">
        <v>1</v>
      </c>
      <c r="C1369" s="65">
        <v>41834</v>
      </c>
      <c r="D1369" s="1">
        <v>1</v>
      </c>
    </row>
    <row r="1370" spans="1:4" x14ac:dyDescent="0.25">
      <c r="A1370" s="65">
        <v>41835</v>
      </c>
      <c r="B1370" s="1">
        <v>1</v>
      </c>
      <c r="C1370" s="65">
        <v>41835</v>
      </c>
      <c r="D1370" s="1">
        <v>1</v>
      </c>
    </row>
    <row r="1371" spans="1:4" x14ac:dyDescent="0.25">
      <c r="A1371" s="65">
        <v>41836</v>
      </c>
      <c r="B1371" s="1">
        <v>1</v>
      </c>
      <c r="C1371" s="65">
        <v>41836</v>
      </c>
      <c r="D1371" s="1">
        <v>1</v>
      </c>
    </row>
    <row r="1372" spans="1:4" x14ac:dyDescent="0.25">
      <c r="A1372" s="65">
        <v>41837</v>
      </c>
      <c r="B1372" s="1">
        <v>1</v>
      </c>
      <c r="C1372" s="65">
        <v>41837</v>
      </c>
      <c r="D1372" s="1">
        <v>1</v>
      </c>
    </row>
    <row r="1373" spans="1:4" x14ac:dyDescent="0.25">
      <c r="A1373" s="65">
        <v>41838</v>
      </c>
      <c r="B1373" s="1">
        <v>1</v>
      </c>
      <c r="C1373" s="65">
        <v>41838</v>
      </c>
      <c r="D1373" s="1">
        <v>1</v>
      </c>
    </row>
    <row r="1374" spans="1:4" x14ac:dyDescent="0.25">
      <c r="A1374" s="65">
        <v>41841</v>
      </c>
      <c r="B1374" s="1">
        <v>1</v>
      </c>
      <c r="C1374" s="65">
        <v>41841</v>
      </c>
      <c r="D1374" s="1">
        <v>1</v>
      </c>
    </row>
    <row r="1375" spans="1:4" x14ac:dyDescent="0.25">
      <c r="A1375" s="65">
        <v>41842</v>
      </c>
      <c r="B1375" s="1">
        <v>1</v>
      </c>
      <c r="C1375" s="65">
        <v>41842</v>
      </c>
      <c r="D1375" s="1">
        <v>1</v>
      </c>
    </row>
    <row r="1376" spans="1:4" x14ac:dyDescent="0.25">
      <c r="A1376" s="65">
        <v>41843</v>
      </c>
      <c r="B1376" s="1">
        <v>1</v>
      </c>
      <c r="C1376" s="65">
        <v>41843</v>
      </c>
      <c r="D1376" s="1">
        <v>1</v>
      </c>
    </row>
    <row r="1377" spans="1:4" x14ac:dyDescent="0.25">
      <c r="A1377" s="65">
        <v>41844</v>
      </c>
      <c r="B1377" s="1">
        <v>1</v>
      </c>
      <c r="C1377" s="65">
        <v>41844</v>
      </c>
      <c r="D1377" s="1">
        <v>1</v>
      </c>
    </row>
    <row r="1378" spans="1:4" x14ac:dyDescent="0.25">
      <c r="A1378" s="65">
        <v>41845</v>
      </c>
      <c r="B1378" s="1">
        <v>1</v>
      </c>
      <c r="C1378" s="65">
        <v>41845</v>
      </c>
      <c r="D1378" s="1">
        <v>1</v>
      </c>
    </row>
    <row r="1379" spans="1:4" x14ac:dyDescent="0.25">
      <c r="A1379" s="65">
        <v>41848</v>
      </c>
      <c r="B1379" s="1">
        <v>1</v>
      </c>
      <c r="C1379" s="65">
        <v>41848</v>
      </c>
      <c r="D1379" s="1">
        <v>1</v>
      </c>
    </row>
    <row r="1380" spans="1:4" x14ac:dyDescent="0.25">
      <c r="A1380" s="65">
        <v>41849</v>
      </c>
      <c r="B1380" s="1">
        <v>1</v>
      </c>
      <c r="C1380" s="65">
        <v>41849</v>
      </c>
      <c r="D1380" s="1">
        <v>1</v>
      </c>
    </row>
    <row r="1381" spans="1:4" x14ac:dyDescent="0.25">
      <c r="A1381" s="65">
        <v>41850</v>
      </c>
      <c r="B1381" s="1">
        <v>1</v>
      </c>
      <c r="C1381" s="65">
        <v>41850</v>
      </c>
      <c r="D1381" s="1">
        <v>1</v>
      </c>
    </row>
    <row r="1382" spans="1:4" x14ac:dyDescent="0.25">
      <c r="A1382" s="65">
        <v>41851</v>
      </c>
      <c r="B1382" s="1">
        <v>1</v>
      </c>
      <c r="C1382" s="65">
        <v>41851</v>
      </c>
      <c r="D1382" s="1">
        <v>1</v>
      </c>
    </row>
    <row r="1383" spans="1:4" x14ac:dyDescent="0.25">
      <c r="A1383" s="65">
        <v>41852</v>
      </c>
      <c r="B1383" s="1">
        <v>1</v>
      </c>
      <c r="C1383" s="65">
        <v>41852</v>
      </c>
      <c r="D1383" s="1">
        <v>1</v>
      </c>
    </row>
    <row r="1384" spans="1:4" x14ac:dyDescent="0.25">
      <c r="A1384" s="65">
        <v>41855</v>
      </c>
      <c r="B1384" s="1">
        <v>1</v>
      </c>
      <c r="C1384" s="65">
        <v>41855</v>
      </c>
      <c r="D1384" s="1">
        <v>1</v>
      </c>
    </row>
    <row r="1385" spans="1:4" x14ac:dyDescent="0.25">
      <c r="A1385" s="65">
        <v>41856</v>
      </c>
      <c r="B1385" s="1">
        <v>1</v>
      </c>
      <c r="C1385" s="65">
        <v>41856</v>
      </c>
      <c r="D1385" s="1">
        <v>1</v>
      </c>
    </row>
    <row r="1386" spans="1:4" x14ac:dyDescent="0.25">
      <c r="A1386" s="65">
        <v>41857</v>
      </c>
      <c r="B1386" s="1">
        <v>1</v>
      </c>
      <c r="C1386" s="65">
        <v>41857</v>
      </c>
      <c r="D1386" s="1">
        <v>1</v>
      </c>
    </row>
    <row r="1387" spans="1:4" x14ac:dyDescent="0.25">
      <c r="A1387" s="65">
        <v>41858</v>
      </c>
      <c r="B1387" s="1">
        <v>1</v>
      </c>
      <c r="C1387" s="65">
        <v>41858</v>
      </c>
      <c r="D1387" s="1">
        <v>1</v>
      </c>
    </row>
    <row r="1388" spans="1:4" x14ac:dyDescent="0.25">
      <c r="A1388" s="65">
        <v>41859</v>
      </c>
      <c r="B1388" s="1">
        <v>1</v>
      </c>
      <c r="C1388" s="65">
        <v>41859</v>
      </c>
      <c r="D1388" s="1">
        <v>1</v>
      </c>
    </row>
    <row r="1389" spans="1:4" x14ac:dyDescent="0.25">
      <c r="A1389" s="65">
        <v>41862</v>
      </c>
      <c r="B1389" s="1">
        <v>1</v>
      </c>
      <c r="C1389" s="65">
        <v>41862</v>
      </c>
      <c r="D1389" s="1">
        <v>1</v>
      </c>
    </row>
    <row r="1390" spans="1:4" x14ac:dyDescent="0.25">
      <c r="A1390" s="65">
        <v>41863</v>
      </c>
      <c r="B1390" s="1">
        <v>1</v>
      </c>
      <c r="C1390" s="65">
        <v>41863</v>
      </c>
      <c r="D1390" s="1">
        <v>1</v>
      </c>
    </row>
    <row r="1391" spans="1:4" x14ac:dyDescent="0.25">
      <c r="A1391" s="65">
        <v>41864</v>
      </c>
      <c r="B1391" s="1">
        <v>1</v>
      </c>
      <c r="C1391" s="65">
        <v>41864</v>
      </c>
      <c r="D1391" s="1">
        <v>1</v>
      </c>
    </row>
    <row r="1392" spans="1:4" x14ac:dyDescent="0.25">
      <c r="A1392" s="65">
        <v>41865</v>
      </c>
      <c r="B1392" s="1">
        <v>1</v>
      </c>
      <c r="C1392" s="65">
        <v>41865</v>
      </c>
      <c r="D1392" s="1">
        <v>1</v>
      </c>
    </row>
    <row r="1393" spans="1:4" x14ac:dyDescent="0.25">
      <c r="A1393" s="65">
        <v>41866</v>
      </c>
      <c r="B1393" s="1">
        <v>1</v>
      </c>
      <c r="C1393" s="65">
        <v>41866</v>
      </c>
      <c r="D1393" s="1">
        <v>1</v>
      </c>
    </row>
    <row r="1394" spans="1:4" x14ac:dyDescent="0.25">
      <c r="A1394" s="65">
        <v>41869</v>
      </c>
      <c r="B1394" s="1">
        <v>1</v>
      </c>
      <c r="C1394" s="65">
        <v>41869</v>
      </c>
      <c r="D1394" s="1">
        <v>1</v>
      </c>
    </row>
    <row r="1395" spans="1:4" x14ac:dyDescent="0.25">
      <c r="A1395" s="65">
        <v>41870</v>
      </c>
      <c r="B1395" s="1">
        <v>1</v>
      </c>
      <c r="C1395" s="65">
        <v>41870</v>
      </c>
      <c r="D1395" s="1">
        <v>1</v>
      </c>
    </row>
    <row r="1396" spans="1:4" x14ac:dyDescent="0.25">
      <c r="A1396" s="65">
        <v>41871</v>
      </c>
      <c r="B1396" s="1">
        <v>1</v>
      </c>
      <c r="C1396" s="65">
        <v>41871</v>
      </c>
      <c r="D1396" s="1">
        <v>1</v>
      </c>
    </row>
    <row r="1397" spans="1:4" x14ac:dyDescent="0.25">
      <c r="A1397" s="65">
        <v>41872</v>
      </c>
      <c r="B1397" s="1">
        <v>1</v>
      </c>
      <c r="C1397" s="65">
        <v>41872</v>
      </c>
      <c r="D1397" s="1">
        <v>1</v>
      </c>
    </row>
    <row r="1398" spans="1:4" x14ac:dyDescent="0.25">
      <c r="A1398" s="65">
        <v>41873</v>
      </c>
      <c r="B1398" s="1">
        <v>1</v>
      </c>
      <c r="C1398" s="65">
        <v>41873</v>
      </c>
      <c r="D1398" s="1">
        <v>1</v>
      </c>
    </row>
    <row r="1399" spans="1:4" x14ac:dyDescent="0.25">
      <c r="A1399" s="65">
        <v>41876</v>
      </c>
      <c r="B1399" s="1">
        <v>1</v>
      </c>
      <c r="C1399" s="65">
        <v>41876</v>
      </c>
      <c r="D1399" s="1">
        <v>1</v>
      </c>
    </row>
    <row r="1400" spans="1:4" x14ac:dyDescent="0.25">
      <c r="A1400" s="65">
        <v>41877</v>
      </c>
      <c r="B1400" s="1">
        <v>1</v>
      </c>
      <c r="C1400" s="65">
        <v>41877</v>
      </c>
      <c r="D1400" s="1">
        <v>1</v>
      </c>
    </row>
    <row r="1401" spans="1:4" x14ac:dyDescent="0.25">
      <c r="A1401" s="65">
        <v>41878</v>
      </c>
      <c r="B1401" s="1">
        <v>1</v>
      </c>
      <c r="C1401" s="65">
        <v>41878</v>
      </c>
      <c r="D1401" s="1">
        <v>1</v>
      </c>
    </row>
    <row r="1402" spans="1:4" x14ac:dyDescent="0.25">
      <c r="A1402" s="65">
        <v>41879</v>
      </c>
      <c r="B1402" s="1">
        <v>1</v>
      </c>
      <c r="C1402" s="65">
        <v>41879</v>
      </c>
      <c r="D1402" s="1">
        <v>1</v>
      </c>
    </row>
    <row r="1403" spans="1:4" x14ac:dyDescent="0.25">
      <c r="A1403" s="65">
        <v>41880</v>
      </c>
      <c r="B1403" s="1">
        <v>1</v>
      </c>
      <c r="C1403" s="65">
        <v>41880</v>
      </c>
      <c r="D1403" s="1">
        <v>1</v>
      </c>
    </row>
    <row r="1404" spans="1:4" x14ac:dyDescent="0.25">
      <c r="A1404" s="65">
        <v>41883</v>
      </c>
      <c r="B1404" s="1">
        <v>1</v>
      </c>
      <c r="C1404" s="65">
        <v>41883</v>
      </c>
      <c r="D1404" s="1">
        <v>1</v>
      </c>
    </row>
    <row r="1405" spans="1:4" x14ac:dyDescent="0.25">
      <c r="A1405" s="65">
        <v>41884</v>
      </c>
      <c r="B1405" s="1">
        <v>1</v>
      </c>
      <c r="C1405" s="65">
        <v>41884</v>
      </c>
      <c r="D1405" s="1">
        <v>1</v>
      </c>
    </row>
    <row r="1406" spans="1:4" x14ac:dyDescent="0.25">
      <c r="A1406" s="65">
        <v>41885</v>
      </c>
      <c r="B1406" s="1">
        <v>1</v>
      </c>
      <c r="C1406" s="65">
        <v>41885</v>
      </c>
      <c r="D1406" s="1">
        <v>1</v>
      </c>
    </row>
    <row r="1407" spans="1:4" x14ac:dyDescent="0.25">
      <c r="A1407" s="65">
        <v>41886</v>
      </c>
      <c r="B1407" s="1">
        <v>1</v>
      </c>
      <c r="C1407" s="65">
        <v>41886</v>
      </c>
      <c r="D1407" s="1">
        <v>1</v>
      </c>
    </row>
    <row r="1408" spans="1:4" x14ac:dyDescent="0.25">
      <c r="A1408" s="65">
        <v>41887</v>
      </c>
      <c r="B1408" s="1">
        <v>1</v>
      </c>
      <c r="C1408" s="65">
        <v>41887</v>
      </c>
      <c r="D1408" s="1">
        <v>1</v>
      </c>
    </row>
    <row r="1409" spans="1:4" x14ac:dyDescent="0.25">
      <c r="A1409" s="65">
        <v>41890</v>
      </c>
      <c r="B1409" s="1">
        <v>1</v>
      </c>
      <c r="C1409" s="65">
        <v>41890</v>
      </c>
      <c r="D1409" s="1">
        <v>1</v>
      </c>
    </row>
    <row r="1410" spans="1:4" x14ac:dyDescent="0.25">
      <c r="A1410" s="65">
        <v>41891</v>
      </c>
      <c r="B1410" s="1">
        <v>1</v>
      </c>
      <c r="C1410" s="65">
        <v>41891</v>
      </c>
      <c r="D1410" s="1">
        <v>1</v>
      </c>
    </row>
    <row r="1411" spans="1:4" x14ac:dyDescent="0.25">
      <c r="A1411" s="65">
        <v>41892</v>
      </c>
      <c r="B1411" s="1">
        <v>1</v>
      </c>
      <c r="C1411" s="65">
        <v>41892</v>
      </c>
      <c r="D1411" s="1">
        <v>1</v>
      </c>
    </row>
    <row r="1412" spans="1:4" x14ac:dyDescent="0.25">
      <c r="A1412" s="65">
        <v>41893</v>
      </c>
      <c r="B1412" s="1">
        <v>1</v>
      </c>
      <c r="C1412" s="65">
        <v>41893</v>
      </c>
      <c r="D1412" s="1">
        <v>1</v>
      </c>
    </row>
    <row r="1413" spans="1:4" x14ac:dyDescent="0.25">
      <c r="A1413" s="65">
        <v>41894</v>
      </c>
      <c r="B1413" s="1">
        <v>1</v>
      </c>
      <c r="C1413" s="65">
        <v>41894</v>
      </c>
      <c r="D1413" s="1">
        <v>1</v>
      </c>
    </row>
    <row r="1414" spans="1:4" x14ac:dyDescent="0.25">
      <c r="A1414" s="65">
        <v>41897</v>
      </c>
      <c r="B1414" s="1">
        <v>1</v>
      </c>
      <c r="C1414" s="65">
        <v>41897</v>
      </c>
      <c r="D1414" s="1">
        <v>1</v>
      </c>
    </row>
    <row r="1415" spans="1:4" x14ac:dyDescent="0.25">
      <c r="A1415" s="65">
        <v>41898</v>
      </c>
      <c r="B1415" s="1">
        <v>1</v>
      </c>
      <c r="C1415" s="65">
        <v>41898</v>
      </c>
      <c r="D1415" s="1">
        <v>1</v>
      </c>
    </row>
    <row r="1416" spans="1:4" x14ac:dyDescent="0.25">
      <c r="A1416" s="65">
        <v>41899</v>
      </c>
      <c r="B1416" s="1">
        <v>1</v>
      </c>
      <c r="C1416" s="65">
        <v>41899</v>
      </c>
      <c r="D1416" s="1">
        <v>1</v>
      </c>
    </row>
    <row r="1417" spans="1:4" x14ac:dyDescent="0.25">
      <c r="A1417" s="65">
        <v>41900</v>
      </c>
      <c r="B1417" s="1">
        <v>1</v>
      </c>
      <c r="C1417" s="65">
        <v>41900</v>
      </c>
      <c r="D1417" s="1">
        <v>1</v>
      </c>
    </row>
    <row r="1418" spans="1:4" x14ac:dyDescent="0.25">
      <c r="A1418" s="65">
        <v>41901</v>
      </c>
      <c r="B1418" s="1">
        <v>1</v>
      </c>
      <c r="C1418" s="65">
        <v>41901</v>
      </c>
      <c r="D1418" s="1">
        <v>1</v>
      </c>
    </row>
    <row r="1419" spans="1:4" x14ac:dyDescent="0.25">
      <c r="A1419" s="65">
        <v>41904</v>
      </c>
      <c r="B1419" s="1">
        <v>1</v>
      </c>
      <c r="C1419" s="65">
        <v>41904</v>
      </c>
      <c r="D1419" s="1">
        <v>1</v>
      </c>
    </row>
    <row r="1420" spans="1:4" x14ac:dyDescent="0.25">
      <c r="A1420" s="65">
        <v>41905</v>
      </c>
      <c r="B1420" s="1">
        <v>1</v>
      </c>
      <c r="C1420" s="65">
        <v>41905</v>
      </c>
      <c r="D1420" s="1">
        <v>1</v>
      </c>
    </row>
    <row r="1421" spans="1:4" x14ac:dyDescent="0.25">
      <c r="A1421" s="65">
        <v>41906</v>
      </c>
      <c r="B1421" s="1">
        <v>1</v>
      </c>
      <c r="C1421" s="65">
        <v>41906</v>
      </c>
      <c r="D1421" s="1">
        <v>1</v>
      </c>
    </row>
    <row r="1422" spans="1:4" x14ac:dyDescent="0.25">
      <c r="A1422" s="65">
        <v>41907</v>
      </c>
      <c r="B1422" s="1">
        <v>1</v>
      </c>
      <c r="C1422" s="65">
        <v>41907</v>
      </c>
      <c r="D1422" s="1">
        <v>1</v>
      </c>
    </row>
    <row r="1423" spans="1:4" x14ac:dyDescent="0.25">
      <c r="A1423" s="65">
        <v>41908</v>
      </c>
      <c r="B1423" s="1">
        <v>1</v>
      </c>
      <c r="C1423" s="65">
        <v>41908</v>
      </c>
      <c r="D1423" s="1">
        <v>1</v>
      </c>
    </row>
    <row r="1424" spans="1:4" x14ac:dyDescent="0.25">
      <c r="A1424" s="65">
        <v>41911</v>
      </c>
      <c r="B1424" s="1">
        <v>1</v>
      </c>
      <c r="C1424" s="65">
        <v>41911</v>
      </c>
      <c r="D1424" s="1">
        <v>1</v>
      </c>
    </row>
    <row r="1425" spans="1:4" x14ac:dyDescent="0.25">
      <c r="A1425" s="65">
        <v>41912</v>
      </c>
      <c r="B1425" s="1">
        <v>1</v>
      </c>
      <c r="C1425" s="65">
        <v>41912</v>
      </c>
      <c r="D1425" s="1">
        <v>1</v>
      </c>
    </row>
    <row r="1426" spans="1:4" x14ac:dyDescent="0.25">
      <c r="A1426" s="65">
        <v>41913</v>
      </c>
      <c r="B1426" s="1">
        <v>1</v>
      </c>
      <c r="C1426" s="65">
        <v>41913</v>
      </c>
      <c r="D1426" s="1">
        <v>1</v>
      </c>
    </row>
    <row r="1427" spans="1:4" x14ac:dyDescent="0.25">
      <c r="A1427" s="65">
        <v>41914</v>
      </c>
      <c r="B1427" s="1">
        <v>1</v>
      </c>
      <c r="C1427" s="65">
        <v>41914</v>
      </c>
      <c r="D1427" s="1">
        <v>1</v>
      </c>
    </row>
    <row r="1428" spans="1:4" x14ac:dyDescent="0.25">
      <c r="A1428" s="65">
        <v>41915</v>
      </c>
      <c r="B1428" s="1">
        <v>1</v>
      </c>
      <c r="C1428" s="65">
        <v>41915</v>
      </c>
      <c r="D1428" s="1">
        <v>1</v>
      </c>
    </row>
    <row r="1429" spans="1:4" x14ac:dyDescent="0.25">
      <c r="A1429" s="65">
        <v>41918</v>
      </c>
      <c r="B1429" s="1">
        <v>1</v>
      </c>
      <c r="C1429" s="65">
        <v>41918</v>
      </c>
      <c r="D1429" s="1">
        <v>1</v>
      </c>
    </row>
    <row r="1430" spans="1:4" x14ac:dyDescent="0.25">
      <c r="A1430" s="65">
        <v>41919</v>
      </c>
      <c r="B1430" s="1">
        <v>1</v>
      </c>
      <c r="C1430" s="65">
        <v>41919</v>
      </c>
      <c r="D1430" s="1">
        <v>1</v>
      </c>
    </row>
    <row r="1431" spans="1:4" x14ac:dyDescent="0.25">
      <c r="A1431" s="65">
        <v>41920</v>
      </c>
      <c r="B1431" s="1">
        <v>1</v>
      </c>
      <c r="C1431" s="65">
        <v>41920</v>
      </c>
      <c r="D1431" s="1">
        <v>1</v>
      </c>
    </row>
    <row r="1432" spans="1:4" x14ac:dyDescent="0.25">
      <c r="A1432" s="65">
        <v>41921</v>
      </c>
      <c r="B1432" s="1">
        <v>1</v>
      </c>
      <c r="C1432" s="65">
        <v>41921</v>
      </c>
      <c r="D1432" s="1">
        <v>1</v>
      </c>
    </row>
    <row r="1433" spans="1:4" x14ac:dyDescent="0.25">
      <c r="A1433" s="65">
        <v>41922</v>
      </c>
      <c r="B1433" s="1">
        <v>1</v>
      </c>
      <c r="C1433" s="65">
        <v>41922</v>
      </c>
      <c r="D1433" s="1">
        <v>1</v>
      </c>
    </row>
    <row r="1434" spans="1:4" x14ac:dyDescent="0.25">
      <c r="A1434" s="65">
        <v>41925</v>
      </c>
      <c r="B1434" s="1">
        <v>1</v>
      </c>
      <c r="C1434" s="65">
        <v>41925</v>
      </c>
      <c r="D1434" s="1">
        <v>1</v>
      </c>
    </row>
    <row r="1435" spans="1:4" x14ac:dyDescent="0.25">
      <c r="A1435" s="65">
        <v>41926</v>
      </c>
      <c r="B1435" s="1">
        <v>1</v>
      </c>
      <c r="C1435" s="65">
        <v>41926</v>
      </c>
      <c r="D1435" s="1">
        <v>1</v>
      </c>
    </row>
    <row r="1436" spans="1:4" x14ac:dyDescent="0.25">
      <c r="A1436" s="65">
        <v>41927</v>
      </c>
      <c r="B1436" s="1">
        <v>1</v>
      </c>
      <c r="C1436" s="65">
        <v>41927</v>
      </c>
      <c r="D1436" s="1">
        <v>1</v>
      </c>
    </row>
    <row r="1437" spans="1:4" x14ac:dyDescent="0.25">
      <c r="A1437" s="65">
        <v>41928</v>
      </c>
      <c r="B1437" s="1">
        <v>1</v>
      </c>
      <c r="C1437" s="65">
        <v>41928</v>
      </c>
      <c r="D1437" s="1">
        <v>1</v>
      </c>
    </row>
    <row r="1438" spans="1:4" x14ac:dyDescent="0.25">
      <c r="A1438" s="65">
        <v>41929</v>
      </c>
      <c r="B1438" s="1">
        <v>1</v>
      </c>
      <c r="C1438" s="65">
        <v>41929</v>
      </c>
      <c r="D1438" s="1">
        <v>1</v>
      </c>
    </row>
    <row r="1439" spans="1:4" x14ac:dyDescent="0.25">
      <c r="A1439" s="65">
        <v>41932</v>
      </c>
      <c r="B1439" s="1">
        <v>1</v>
      </c>
      <c r="C1439" s="65">
        <v>41932</v>
      </c>
      <c r="D1439" s="1">
        <v>1</v>
      </c>
    </row>
    <row r="1440" spans="1:4" x14ac:dyDescent="0.25">
      <c r="A1440" s="65">
        <v>41933</v>
      </c>
      <c r="B1440" s="1">
        <v>1</v>
      </c>
      <c r="C1440" s="65">
        <v>41933</v>
      </c>
      <c r="D1440" s="1">
        <v>1</v>
      </c>
    </row>
    <row r="1441" spans="1:4" x14ac:dyDescent="0.25">
      <c r="A1441" s="65">
        <v>41934</v>
      </c>
      <c r="B1441" s="1">
        <v>1</v>
      </c>
      <c r="C1441" s="65">
        <v>41934</v>
      </c>
      <c r="D1441" s="1">
        <v>1</v>
      </c>
    </row>
    <row r="1442" spans="1:4" x14ac:dyDescent="0.25">
      <c r="A1442" s="65">
        <v>41935</v>
      </c>
      <c r="B1442" s="1">
        <v>1</v>
      </c>
      <c r="C1442" s="65">
        <v>41935</v>
      </c>
      <c r="D1442" s="1">
        <v>1</v>
      </c>
    </row>
    <row r="1443" spans="1:4" x14ac:dyDescent="0.25">
      <c r="A1443" s="65">
        <v>41936</v>
      </c>
      <c r="B1443" s="1">
        <v>1</v>
      </c>
      <c r="C1443" s="65">
        <v>41936</v>
      </c>
      <c r="D1443" s="1">
        <v>1</v>
      </c>
    </row>
    <row r="1444" spans="1:4" x14ac:dyDescent="0.25">
      <c r="A1444" s="65">
        <v>41939</v>
      </c>
      <c r="B1444" s="1">
        <v>1</v>
      </c>
      <c r="C1444" s="65">
        <v>41939</v>
      </c>
      <c r="D1444" s="1">
        <v>1</v>
      </c>
    </row>
    <row r="1445" spans="1:4" x14ac:dyDescent="0.25">
      <c r="A1445" s="65">
        <v>41940</v>
      </c>
      <c r="B1445" s="1">
        <v>1</v>
      </c>
      <c r="C1445" s="65">
        <v>41940</v>
      </c>
      <c r="D1445" s="1">
        <v>1</v>
      </c>
    </row>
    <row r="1446" spans="1:4" x14ac:dyDescent="0.25">
      <c r="A1446" s="65">
        <v>41941</v>
      </c>
      <c r="B1446" s="1">
        <v>1</v>
      </c>
      <c r="C1446" s="65">
        <v>41941</v>
      </c>
      <c r="D1446" s="1">
        <v>1</v>
      </c>
    </row>
    <row r="1447" spans="1:4" x14ac:dyDescent="0.25">
      <c r="A1447" s="65">
        <v>41942</v>
      </c>
      <c r="B1447" s="1">
        <v>1</v>
      </c>
      <c r="C1447" s="65">
        <v>41942</v>
      </c>
      <c r="D1447" s="1">
        <v>1</v>
      </c>
    </row>
    <row r="1448" spans="1:4" x14ac:dyDescent="0.25">
      <c r="A1448" s="65">
        <v>41943</v>
      </c>
      <c r="B1448" s="1">
        <v>1</v>
      </c>
      <c r="C1448" s="65">
        <v>41943</v>
      </c>
      <c r="D1448" s="1">
        <v>1</v>
      </c>
    </row>
    <row r="1449" spans="1:4" x14ac:dyDescent="0.25">
      <c r="A1449" s="65">
        <v>41946</v>
      </c>
      <c r="B1449" s="1">
        <v>1</v>
      </c>
      <c r="C1449" s="65">
        <v>41946</v>
      </c>
      <c r="D1449" s="1">
        <v>1</v>
      </c>
    </row>
    <row r="1450" spans="1:4" x14ac:dyDescent="0.25">
      <c r="A1450" s="65">
        <v>41947</v>
      </c>
      <c r="B1450" s="1">
        <v>1</v>
      </c>
      <c r="C1450" s="65">
        <v>41947</v>
      </c>
      <c r="D1450" s="1">
        <v>1</v>
      </c>
    </row>
    <row r="1451" spans="1:4" x14ac:dyDescent="0.25">
      <c r="A1451" s="65">
        <v>41948</v>
      </c>
      <c r="B1451" s="1">
        <v>1</v>
      </c>
      <c r="C1451" s="65">
        <v>41948</v>
      </c>
      <c r="D1451" s="1">
        <v>1</v>
      </c>
    </row>
    <row r="1452" spans="1:4" x14ac:dyDescent="0.25">
      <c r="A1452" s="65">
        <v>41949</v>
      </c>
      <c r="B1452" s="1">
        <v>1</v>
      </c>
      <c r="C1452" s="65">
        <v>41949</v>
      </c>
      <c r="D1452" s="1">
        <v>1</v>
      </c>
    </row>
    <row r="1453" spans="1:4" x14ac:dyDescent="0.25">
      <c r="A1453" s="65">
        <v>41950</v>
      </c>
      <c r="B1453" s="1">
        <v>1</v>
      </c>
      <c r="C1453" s="65">
        <v>41950</v>
      </c>
      <c r="D1453" s="1">
        <v>1</v>
      </c>
    </row>
    <row r="1454" spans="1:4" x14ac:dyDescent="0.25">
      <c r="A1454" s="65">
        <v>41953</v>
      </c>
      <c r="B1454" s="1">
        <v>1</v>
      </c>
      <c r="C1454" s="65">
        <v>41953</v>
      </c>
      <c r="D1454" s="1">
        <v>1</v>
      </c>
    </row>
    <row r="1455" spans="1:4" x14ac:dyDescent="0.25">
      <c r="A1455" s="65">
        <v>41954</v>
      </c>
      <c r="B1455" s="1">
        <v>1</v>
      </c>
      <c r="C1455" s="65">
        <v>41954</v>
      </c>
      <c r="D1455" s="1">
        <v>1</v>
      </c>
    </row>
    <row r="1456" spans="1:4" x14ac:dyDescent="0.25">
      <c r="A1456" s="65">
        <v>41955</v>
      </c>
      <c r="B1456" s="1">
        <v>1</v>
      </c>
      <c r="C1456" s="65">
        <v>41955</v>
      </c>
      <c r="D1456" s="1">
        <v>1</v>
      </c>
    </row>
    <row r="1457" spans="1:4" x14ac:dyDescent="0.25">
      <c r="A1457" s="65">
        <v>41956</v>
      </c>
      <c r="B1457" s="1">
        <v>1</v>
      </c>
      <c r="C1457" s="65">
        <v>41956</v>
      </c>
      <c r="D1457" s="1">
        <v>1</v>
      </c>
    </row>
    <row r="1458" spans="1:4" x14ac:dyDescent="0.25">
      <c r="A1458" s="65">
        <v>41957</v>
      </c>
      <c r="B1458" s="1">
        <v>1</v>
      </c>
      <c r="C1458" s="65">
        <v>41957</v>
      </c>
      <c r="D1458" s="1">
        <v>1</v>
      </c>
    </row>
    <row r="1459" spans="1:4" x14ac:dyDescent="0.25">
      <c r="A1459" s="65">
        <v>41960</v>
      </c>
      <c r="B1459" s="1">
        <v>1</v>
      </c>
      <c r="C1459" s="65">
        <v>41960</v>
      </c>
      <c r="D1459" s="1">
        <v>1</v>
      </c>
    </row>
    <row r="1460" spans="1:4" x14ac:dyDescent="0.25">
      <c r="A1460" s="65">
        <v>41961</v>
      </c>
      <c r="B1460" s="1">
        <v>1</v>
      </c>
      <c r="C1460" s="65">
        <v>41961</v>
      </c>
      <c r="D1460" s="1">
        <v>1</v>
      </c>
    </row>
    <row r="1461" spans="1:4" x14ac:dyDescent="0.25">
      <c r="A1461" s="65">
        <v>41962</v>
      </c>
      <c r="B1461" s="1">
        <v>1</v>
      </c>
      <c r="C1461" s="65">
        <v>41962</v>
      </c>
      <c r="D1461" s="1">
        <v>1</v>
      </c>
    </row>
    <row r="1462" spans="1:4" x14ac:dyDescent="0.25">
      <c r="A1462" s="65">
        <v>41963</v>
      </c>
      <c r="B1462" s="1">
        <v>1</v>
      </c>
      <c r="C1462" s="65">
        <v>41963</v>
      </c>
      <c r="D1462" s="1">
        <v>1</v>
      </c>
    </row>
    <row r="1463" spans="1:4" x14ac:dyDescent="0.25">
      <c r="A1463" s="65">
        <v>41964</v>
      </c>
      <c r="B1463" s="1">
        <v>1</v>
      </c>
      <c r="C1463" s="65">
        <v>41964</v>
      </c>
      <c r="D1463" s="1">
        <v>1</v>
      </c>
    </row>
    <row r="1464" spans="1:4" x14ac:dyDescent="0.25">
      <c r="A1464" s="65">
        <v>41967</v>
      </c>
      <c r="B1464" s="1">
        <v>1</v>
      </c>
      <c r="C1464" s="65">
        <v>41967</v>
      </c>
      <c r="D1464" s="1">
        <v>1</v>
      </c>
    </row>
    <row r="1465" spans="1:4" x14ac:dyDescent="0.25">
      <c r="A1465" s="65">
        <v>41968</v>
      </c>
      <c r="B1465" s="1">
        <v>1</v>
      </c>
      <c r="C1465" s="65">
        <v>41968</v>
      </c>
      <c r="D1465" s="1">
        <v>1</v>
      </c>
    </row>
    <row r="1466" spans="1:4" x14ac:dyDescent="0.25">
      <c r="A1466" s="65">
        <v>41969</v>
      </c>
      <c r="B1466" s="1">
        <v>1</v>
      </c>
      <c r="C1466" s="65">
        <v>41969</v>
      </c>
      <c r="D1466" s="1">
        <v>1</v>
      </c>
    </row>
    <row r="1467" spans="1:4" x14ac:dyDescent="0.25">
      <c r="A1467" s="65">
        <v>41970</v>
      </c>
      <c r="B1467" s="1">
        <v>1</v>
      </c>
      <c r="C1467" s="65">
        <v>41970</v>
      </c>
      <c r="D1467" s="1">
        <v>1</v>
      </c>
    </row>
    <row r="1468" spans="1:4" x14ac:dyDescent="0.25">
      <c r="A1468" s="65">
        <v>41971</v>
      </c>
      <c r="B1468" s="1">
        <v>1</v>
      </c>
      <c r="C1468" s="65">
        <v>41971</v>
      </c>
      <c r="D1468" s="1">
        <v>1</v>
      </c>
    </row>
    <row r="1469" spans="1:4" x14ac:dyDescent="0.25">
      <c r="A1469" s="65">
        <v>41974</v>
      </c>
      <c r="B1469" s="1">
        <v>1</v>
      </c>
      <c r="C1469" s="65">
        <v>41974</v>
      </c>
      <c r="D1469" s="1">
        <v>1</v>
      </c>
    </row>
    <row r="1470" spans="1:4" x14ac:dyDescent="0.25">
      <c r="A1470" s="65">
        <v>41975</v>
      </c>
      <c r="B1470" s="1">
        <v>1</v>
      </c>
      <c r="C1470" s="65">
        <v>41975</v>
      </c>
      <c r="D1470" s="1">
        <v>1</v>
      </c>
    </row>
    <row r="1471" spans="1:4" x14ac:dyDescent="0.25">
      <c r="A1471" s="65">
        <v>41976</v>
      </c>
      <c r="B1471" s="1">
        <v>1</v>
      </c>
      <c r="C1471" s="65">
        <v>41976</v>
      </c>
      <c r="D1471" s="1">
        <v>1</v>
      </c>
    </row>
    <row r="1472" spans="1:4" x14ac:dyDescent="0.25">
      <c r="A1472" s="65">
        <v>41977</v>
      </c>
      <c r="B1472" s="1">
        <v>1</v>
      </c>
      <c r="C1472" s="65">
        <v>41977</v>
      </c>
      <c r="D1472" s="1">
        <v>1</v>
      </c>
    </row>
    <row r="1473" spans="1:4" x14ac:dyDescent="0.25">
      <c r="A1473" s="65">
        <v>41978</v>
      </c>
      <c r="B1473" s="1">
        <v>1</v>
      </c>
      <c r="C1473" s="65">
        <v>41978</v>
      </c>
      <c r="D1473" s="1">
        <v>1</v>
      </c>
    </row>
    <row r="1474" spans="1:4" x14ac:dyDescent="0.25">
      <c r="A1474" s="65">
        <v>41981</v>
      </c>
      <c r="B1474" s="1">
        <v>1</v>
      </c>
      <c r="C1474" s="65">
        <v>41981</v>
      </c>
      <c r="D1474" s="1">
        <v>1</v>
      </c>
    </row>
    <row r="1475" spans="1:4" x14ac:dyDescent="0.25">
      <c r="A1475" s="65">
        <v>41982</v>
      </c>
      <c r="B1475" s="1">
        <v>1</v>
      </c>
      <c r="C1475" s="65">
        <v>41982</v>
      </c>
      <c r="D1475" s="1">
        <v>1</v>
      </c>
    </row>
    <row r="1476" spans="1:4" x14ac:dyDescent="0.25">
      <c r="A1476" s="65">
        <v>41983</v>
      </c>
      <c r="B1476" s="1">
        <v>1</v>
      </c>
      <c r="C1476" s="65">
        <v>41983</v>
      </c>
      <c r="D1476" s="1">
        <v>1</v>
      </c>
    </row>
    <row r="1477" spans="1:4" x14ac:dyDescent="0.25">
      <c r="A1477" s="65">
        <v>41984</v>
      </c>
      <c r="B1477" s="1">
        <v>1</v>
      </c>
      <c r="C1477" s="65">
        <v>41984</v>
      </c>
      <c r="D1477" s="1">
        <v>1</v>
      </c>
    </row>
    <row r="1478" spans="1:4" x14ac:dyDescent="0.25">
      <c r="A1478" s="65">
        <v>41985</v>
      </c>
      <c r="B1478" s="1">
        <v>1</v>
      </c>
      <c r="C1478" s="65">
        <v>41985</v>
      </c>
      <c r="D1478" s="1">
        <v>1</v>
      </c>
    </row>
    <row r="1479" spans="1:4" x14ac:dyDescent="0.25">
      <c r="A1479" s="65">
        <v>41988</v>
      </c>
      <c r="B1479" s="1">
        <v>1</v>
      </c>
      <c r="C1479" s="65">
        <v>41988</v>
      </c>
      <c r="D1479" s="1">
        <v>1</v>
      </c>
    </row>
    <row r="1480" spans="1:4" x14ac:dyDescent="0.25">
      <c r="A1480" s="65">
        <v>41989</v>
      </c>
      <c r="B1480" s="1">
        <v>1</v>
      </c>
      <c r="C1480" s="65">
        <v>41989</v>
      </c>
      <c r="D1480" s="1">
        <v>1</v>
      </c>
    </row>
    <row r="1481" spans="1:4" x14ac:dyDescent="0.25">
      <c r="A1481" s="65">
        <v>41990</v>
      </c>
      <c r="B1481" s="1">
        <v>1</v>
      </c>
      <c r="C1481" s="65">
        <v>41990</v>
      </c>
      <c r="D1481" s="1">
        <v>1</v>
      </c>
    </row>
    <row r="1482" spans="1:4" x14ac:dyDescent="0.25">
      <c r="A1482" s="65">
        <v>41991</v>
      </c>
      <c r="B1482" s="1">
        <v>1</v>
      </c>
      <c r="C1482" s="65">
        <v>41991</v>
      </c>
      <c r="D1482" s="1">
        <v>1</v>
      </c>
    </row>
    <row r="1483" spans="1:4" x14ac:dyDescent="0.25">
      <c r="A1483" s="65">
        <v>41992</v>
      </c>
      <c r="B1483" s="1">
        <v>1</v>
      </c>
      <c r="C1483" s="65">
        <v>41992</v>
      </c>
      <c r="D1483" s="1">
        <v>1</v>
      </c>
    </row>
    <row r="1484" spans="1:4" x14ac:dyDescent="0.25">
      <c r="A1484" s="65">
        <v>41995</v>
      </c>
      <c r="B1484" s="1">
        <v>1</v>
      </c>
      <c r="C1484" s="65">
        <v>41995</v>
      </c>
      <c r="D1484" s="1">
        <v>1</v>
      </c>
    </row>
    <row r="1485" spans="1:4" x14ac:dyDescent="0.25">
      <c r="A1485" s="65">
        <v>41996</v>
      </c>
      <c r="B1485" s="1">
        <v>1</v>
      </c>
      <c r="C1485" s="65">
        <v>41996</v>
      </c>
      <c r="D1485" s="1">
        <v>1</v>
      </c>
    </row>
    <row r="1486" spans="1:4" x14ac:dyDescent="0.25">
      <c r="A1486" s="65">
        <v>41997</v>
      </c>
      <c r="B1486" s="1">
        <v>1</v>
      </c>
      <c r="C1486" s="65">
        <v>41997</v>
      </c>
      <c r="D1486" s="1">
        <v>1</v>
      </c>
    </row>
    <row r="1487" spans="1:4" x14ac:dyDescent="0.25">
      <c r="A1487" s="65">
        <v>42002</v>
      </c>
      <c r="B1487" s="1">
        <v>1</v>
      </c>
      <c r="C1487" s="65">
        <v>42002</v>
      </c>
      <c r="D1487" s="1">
        <v>1</v>
      </c>
    </row>
    <row r="1488" spans="1:4" x14ac:dyDescent="0.25">
      <c r="A1488" s="65">
        <v>42003</v>
      </c>
      <c r="B1488" s="1">
        <v>1</v>
      </c>
      <c r="C1488" s="65">
        <v>42003</v>
      </c>
      <c r="D1488" s="1">
        <v>1</v>
      </c>
    </row>
    <row r="1489" spans="1:4" x14ac:dyDescent="0.25">
      <c r="A1489" s="65">
        <v>42004</v>
      </c>
      <c r="B1489" s="1">
        <v>1</v>
      </c>
      <c r="C1489" s="65">
        <v>42004</v>
      </c>
      <c r="D1489" s="1">
        <v>1</v>
      </c>
    </row>
    <row r="1490" spans="1:4" x14ac:dyDescent="0.25">
      <c r="A1490" s="65">
        <v>42006</v>
      </c>
      <c r="B1490" s="1">
        <v>1</v>
      </c>
      <c r="C1490" s="65">
        <v>42006</v>
      </c>
      <c r="D1490" s="1">
        <v>1</v>
      </c>
    </row>
    <row r="1491" spans="1:4" x14ac:dyDescent="0.25">
      <c r="A1491" s="65">
        <v>42009</v>
      </c>
      <c r="B1491" s="1">
        <v>1</v>
      </c>
      <c r="C1491" s="65">
        <v>42009</v>
      </c>
      <c r="D1491" s="1">
        <v>1</v>
      </c>
    </row>
    <row r="1492" spans="1:4" x14ac:dyDescent="0.25">
      <c r="A1492" s="65">
        <v>42010</v>
      </c>
      <c r="B1492" s="1">
        <v>1</v>
      </c>
      <c r="C1492" s="65">
        <v>42010</v>
      </c>
      <c r="D1492" s="1">
        <v>1</v>
      </c>
    </row>
    <row r="1493" spans="1:4" x14ac:dyDescent="0.25">
      <c r="A1493" s="65">
        <v>42011</v>
      </c>
      <c r="B1493" s="1">
        <v>1</v>
      </c>
      <c r="C1493" s="65">
        <v>42011</v>
      </c>
      <c r="D1493" s="1">
        <v>1</v>
      </c>
    </row>
    <row r="1494" spans="1:4" x14ac:dyDescent="0.25">
      <c r="A1494" s="65">
        <v>42012</v>
      </c>
      <c r="B1494" s="1">
        <v>1</v>
      </c>
      <c r="C1494" s="65">
        <v>42012</v>
      </c>
      <c r="D1494" s="1">
        <v>1</v>
      </c>
    </row>
    <row r="1495" spans="1:4" x14ac:dyDescent="0.25">
      <c r="A1495" s="65">
        <v>42013</v>
      </c>
      <c r="B1495" s="1">
        <v>1</v>
      </c>
      <c r="C1495" s="65">
        <v>42013</v>
      </c>
      <c r="D1495" s="1">
        <v>1</v>
      </c>
    </row>
    <row r="1496" spans="1:4" x14ac:dyDescent="0.25">
      <c r="A1496" s="65">
        <v>42016</v>
      </c>
      <c r="B1496" s="1">
        <v>1</v>
      </c>
      <c r="C1496" s="65">
        <v>42016</v>
      </c>
      <c r="D1496" s="1">
        <v>1</v>
      </c>
    </row>
    <row r="1497" spans="1:4" x14ac:dyDescent="0.25">
      <c r="A1497" s="65">
        <v>42017</v>
      </c>
      <c r="B1497" s="1">
        <v>1</v>
      </c>
      <c r="C1497" s="65">
        <v>42017</v>
      </c>
      <c r="D1497" s="1">
        <v>1</v>
      </c>
    </row>
    <row r="1498" spans="1:4" x14ac:dyDescent="0.25">
      <c r="A1498" s="65">
        <v>42018</v>
      </c>
      <c r="B1498" s="1">
        <v>1</v>
      </c>
      <c r="C1498" s="65">
        <v>42018</v>
      </c>
      <c r="D1498" s="1">
        <v>1</v>
      </c>
    </row>
    <row r="1499" spans="1:4" x14ac:dyDescent="0.25">
      <c r="A1499" s="65">
        <v>42019</v>
      </c>
      <c r="B1499" s="1">
        <v>1</v>
      </c>
      <c r="C1499" s="65">
        <v>42019</v>
      </c>
      <c r="D1499" s="1">
        <v>1</v>
      </c>
    </row>
    <row r="1500" spans="1:4" x14ac:dyDescent="0.25">
      <c r="A1500" s="65">
        <v>42020</v>
      </c>
      <c r="B1500" s="1">
        <v>1</v>
      </c>
      <c r="C1500" s="65">
        <v>42020</v>
      </c>
      <c r="D1500" s="1">
        <v>1</v>
      </c>
    </row>
    <row r="1501" spans="1:4" x14ac:dyDescent="0.25">
      <c r="A1501" s="65">
        <v>42023</v>
      </c>
      <c r="B1501" s="1">
        <v>1</v>
      </c>
      <c r="C1501" s="65">
        <v>42023</v>
      </c>
      <c r="D1501" s="1">
        <v>1</v>
      </c>
    </row>
    <row r="1502" spans="1:4" x14ac:dyDescent="0.25">
      <c r="A1502" s="65">
        <v>42024</v>
      </c>
      <c r="B1502" s="1">
        <v>1</v>
      </c>
      <c r="C1502" s="65">
        <v>42024</v>
      </c>
      <c r="D1502" s="1">
        <v>1</v>
      </c>
    </row>
    <row r="1503" spans="1:4" x14ac:dyDescent="0.25">
      <c r="A1503" s="65">
        <v>42025</v>
      </c>
      <c r="B1503" s="1">
        <v>1</v>
      </c>
      <c r="C1503" s="65">
        <v>42025</v>
      </c>
      <c r="D1503" s="1">
        <v>1</v>
      </c>
    </row>
    <row r="1504" spans="1:4" x14ac:dyDescent="0.25">
      <c r="A1504" s="65">
        <v>42026</v>
      </c>
      <c r="B1504" s="1">
        <v>1</v>
      </c>
      <c r="C1504" s="65">
        <v>42026</v>
      </c>
      <c r="D1504" s="1">
        <v>1</v>
      </c>
    </row>
    <row r="1505" spans="1:4" x14ac:dyDescent="0.25">
      <c r="A1505" s="65">
        <v>42027</v>
      </c>
      <c r="B1505" s="1">
        <v>1</v>
      </c>
      <c r="C1505" s="65">
        <v>42027</v>
      </c>
      <c r="D1505" s="1">
        <v>1</v>
      </c>
    </row>
    <row r="1506" spans="1:4" x14ac:dyDescent="0.25">
      <c r="A1506" s="65">
        <v>42030</v>
      </c>
      <c r="B1506" s="1">
        <v>1</v>
      </c>
      <c r="C1506" s="65">
        <v>42030</v>
      </c>
      <c r="D1506" s="1">
        <v>1</v>
      </c>
    </row>
    <row r="1507" spans="1:4" x14ac:dyDescent="0.25">
      <c r="A1507" s="65">
        <v>42031</v>
      </c>
      <c r="B1507" s="1">
        <v>1</v>
      </c>
      <c r="C1507" s="65">
        <v>42031</v>
      </c>
      <c r="D1507" s="1">
        <v>1</v>
      </c>
    </row>
    <row r="1508" spans="1:4" x14ac:dyDescent="0.25">
      <c r="A1508" s="65">
        <v>42032</v>
      </c>
      <c r="B1508" s="1">
        <v>1</v>
      </c>
      <c r="C1508" s="65">
        <v>42032</v>
      </c>
      <c r="D1508" s="1">
        <v>1</v>
      </c>
    </row>
    <row r="1509" spans="1:4" x14ac:dyDescent="0.25">
      <c r="A1509" s="65">
        <v>42033</v>
      </c>
      <c r="B1509" s="1">
        <v>1</v>
      </c>
      <c r="C1509" s="65">
        <v>42033</v>
      </c>
      <c r="D1509" s="1">
        <v>1</v>
      </c>
    </row>
    <row r="1510" spans="1:4" x14ac:dyDescent="0.25">
      <c r="A1510" s="65">
        <v>42034</v>
      </c>
      <c r="B1510" s="1">
        <v>1</v>
      </c>
      <c r="C1510" s="65">
        <v>42034</v>
      </c>
      <c r="D1510" s="1">
        <v>1</v>
      </c>
    </row>
    <row r="1511" spans="1:4" x14ac:dyDescent="0.25">
      <c r="A1511" s="65">
        <v>42037</v>
      </c>
      <c r="B1511" s="1">
        <v>1</v>
      </c>
      <c r="C1511" s="65">
        <v>42037</v>
      </c>
      <c r="D1511" s="1">
        <v>1</v>
      </c>
    </row>
    <row r="1512" spans="1:4" x14ac:dyDescent="0.25">
      <c r="A1512" s="65">
        <v>42038</v>
      </c>
      <c r="B1512" s="1">
        <v>1</v>
      </c>
      <c r="C1512" s="65">
        <v>42038</v>
      </c>
      <c r="D1512" s="1">
        <v>1</v>
      </c>
    </row>
    <row r="1513" spans="1:4" x14ac:dyDescent="0.25">
      <c r="A1513" s="65">
        <v>42039</v>
      </c>
      <c r="B1513" s="1">
        <v>1</v>
      </c>
      <c r="C1513" s="65">
        <v>42039</v>
      </c>
      <c r="D1513" s="1">
        <v>1</v>
      </c>
    </row>
    <row r="1514" spans="1:4" x14ac:dyDescent="0.25">
      <c r="A1514" s="65">
        <v>42040</v>
      </c>
      <c r="B1514" s="1">
        <v>1</v>
      </c>
      <c r="C1514" s="65">
        <v>42040</v>
      </c>
      <c r="D1514" s="1">
        <v>1</v>
      </c>
    </row>
    <row r="1515" spans="1:4" x14ac:dyDescent="0.25">
      <c r="A1515" s="65">
        <v>42041</v>
      </c>
      <c r="B1515" s="1">
        <v>1</v>
      </c>
      <c r="C1515" s="65">
        <v>42041</v>
      </c>
      <c r="D1515" s="1">
        <v>1</v>
      </c>
    </row>
    <row r="1516" spans="1:4" x14ac:dyDescent="0.25">
      <c r="A1516" s="65">
        <v>42044</v>
      </c>
      <c r="B1516" s="1">
        <v>1</v>
      </c>
      <c r="C1516" s="65">
        <v>42044</v>
      </c>
      <c r="D1516" s="1">
        <v>1</v>
      </c>
    </row>
    <row r="1517" spans="1:4" x14ac:dyDescent="0.25">
      <c r="A1517" s="65">
        <v>42045</v>
      </c>
      <c r="B1517" s="1">
        <v>1</v>
      </c>
      <c r="C1517" s="65">
        <v>42045</v>
      </c>
      <c r="D1517" s="1">
        <v>1</v>
      </c>
    </row>
    <row r="1518" spans="1:4" x14ac:dyDescent="0.25">
      <c r="A1518" s="65">
        <v>42046</v>
      </c>
      <c r="B1518" s="1">
        <v>1</v>
      </c>
      <c r="C1518" s="65">
        <v>42046</v>
      </c>
      <c r="D1518" s="1">
        <v>1</v>
      </c>
    </row>
    <row r="1519" spans="1:4" x14ac:dyDescent="0.25">
      <c r="A1519" s="65">
        <v>42047</v>
      </c>
      <c r="B1519" s="1">
        <v>1</v>
      </c>
      <c r="C1519" s="65">
        <v>42047</v>
      </c>
      <c r="D1519" s="1">
        <v>1</v>
      </c>
    </row>
    <row r="1520" spans="1:4" x14ac:dyDescent="0.25">
      <c r="A1520" s="65">
        <v>42048</v>
      </c>
      <c r="B1520" s="1">
        <v>1</v>
      </c>
      <c r="C1520" s="65">
        <v>42048</v>
      </c>
      <c r="D1520" s="1">
        <v>1</v>
      </c>
    </row>
    <row r="1521" spans="1:4" x14ac:dyDescent="0.25">
      <c r="A1521" s="65">
        <v>42051</v>
      </c>
      <c r="B1521" s="1">
        <v>1</v>
      </c>
      <c r="C1521" s="65">
        <v>42051</v>
      </c>
      <c r="D1521" s="1">
        <v>1</v>
      </c>
    </row>
    <row r="1522" spans="1:4" x14ac:dyDescent="0.25">
      <c r="A1522" s="65">
        <v>42052</v>
      </c>
      <c r="B1522" s="1">
        <v>1</v>
      </c>
      <c r="C1522" s="65">
        <v>42052</v>
      </c>
      <c r="D1522" s="1">
        <v>1</v>
      </c>
    </row>
    <row r="1523" spans="1:4" x14ac:dyDescent="0.25">
      <c r="A1523" s="65">
        <v>42053</v>
      </c>
      <c r="B1523" s="1">
        <v>1</v>
      </c>
      <c r="C1523" s="65">
        <v>42053</v>
      </c>
      <c r="D1523" s="1">
        <v>1</v>
      </c>
    </row>
    <row r="1524" spans="1:4" x14ac:dyDescent="0.25">
      <c r="A1524" s="65">
        <v>42054</v>
      </c>
      <c r="B1524" s="1">
        <v>1</v>
      </c>
      <c r="C1524" s="65">
        <v>42054</v>
      </c>
      <c r="D1524" s="1">
        <v>1</v>
      </c>
    </row>
    <row r="1525" spans="1:4" x14ac:dyDescent="0.25">
      <c r="A1525" s="65">
        <v>42055</v>
      </c>
      <c r="B1525" s="1">
        <v>1</v>
      </c>
      <c r="C1525" s="65">
        <v>42055</v>
      </c>
      <c r="D1525" s="1">
        <v>1</v>
      </c>
    </row>
    <row r="1526" spans="1:4" x14ac:dyDescent="0.25">
      <c r="A1526" s="65">
        <v>42058</v>
      </c>
      <c r="B1526" s="1">
        <v>1</v>
      </c>
      <c r="C1526" s="65">
        <v>42058</v>
      </c>
      <c r="D1526" s="1">
        <v>1</v>
      </c>
    </row>
    <row r="1527" spans="1:4" x14ac:dyDescent="0.25">
      <c r="A1527" s="65">
        <v>42059</v>
      </c>
      <c r="B1527" s="1">
        <v>1</v>
      </c>
      <c r="C1527" s="65">
        <v>42059</v>
      </c>
      <c r="D1527" s="1">
        <v>1</v>
      </c>
    </row>
    <row r="1528" spans="1:4" x14ac:dyDescent="0.25">
      <c r="A1528" s="65">
        <v>42060</v>
      </c>
      <c r="B1528" s="1">
        <v>1</v>
      </c>
      <c r="C1528" s="65">
        <v>42060</v>
      </c>
      <c r="D1528" s="1">
        <v>1</v>
      </c>
    </row>
    <row r="1529" spans="1:4" x14ac:dyDescent="0.25">
      <c r="A1529" s="65">
        <v>42061</v>
      </c>
      <c r="B1529" s="1">
        <v>1</v>
      </c>
      <c r="C1529" s="65">
        <v>42061</v>
      </c>
      <c r="D1529" s="1">
        <v>1</v>
      </c>
    </row>
    <row r="1530" spans="1:4" x14ac:dyDescent="0.25">
      <c r="A1530" s="65">
        <v>42062</v>
      </c>
      <c r="B1530" s="1">
        <v>1</v>
      </c>
      <c r="C1530" s="65">
        <v>42062</v>
      </c>
      <c r="D1530" s="1">
        <v>1</v>
      </c>
    </row>
    <row r="1531" spans="1:4" x14ac:dyDescent="0.25">
      <c r="A1531" s="65">
        <v>42065</v>
      </c>
      <c r="B1531" s="1">
        <v>1</v>
      </c>
      <c r="C1531" s="65">
        <v>42065</v>
      </c>
      <c r="D1531" s="1">
        <v>1</v>
      </c>
    </row>
    <row r="1532" spans="1:4" x14ac:dyDescent="0.25">
      <c r="A1532" s="65">
        <v>42066</v>
      </c>
      <c r="B1532" s="1">
        <v>1</v>
      </c>
      <c r="C1532" s="65">
        <v>42066</v>
      </c>
      <c r="D1532" s="1">
        <v>1</v>
      </c>
    </row>
    <row r="1533" spans="1:4" x14ac:dyDescent="0.25">
      <c r="A1533" s="65">
        <v>42067</v>
      </c>
      <c r="B1533" s="1">
        <v>1</v>
      </c>
      <c r="C1533" s="65">
        <v>42067</v>
      </c>
      <c r="D1533" s="1">
        <v>1</v>
      </c>
    </row>
    <row r="1534" spans="1:4" x14ac:dyDescent="0.25">
      <c r="A1534" s="65">
        <v>42068</v>
      </c>
      <c r="B1534" s="1">
        <v>1</v>
      </c>
      <c r="C1534" s="65">
        <v>42068</v>
      </c>
      <c r="D1534" s="1">
        <v>1</v>
      </c>
    </row>
    <row r="1535" spans="1:4" x14ac:dyDescent="0.25">
      <c r="A1535" s="65">
        <v>42069</v>
      </c>
      <c r="B1535" s="1">
        <v>1</v>
      </c>
      <c r="C1535" s="65">
        <v>42069</v>
      </c>
      <c r="D1535" s="1">
        <v>1</v>
      </c>
    </row>
    <row r="1536" spans="1:4" x14ac:dyDescent="0.25">
      <c r="A1536" s="65">
        <v>42072</v>
      </c>
      <c r="B1536" s="1">
        <v>1</v>
      </c>
      <c r="C1536" s="65">
        <v>42072</v>
      </c>
      <c r="D1536" s="1">
        <v>1</v>
      </c>
    </row>
    <row r="1537" spans="1:4" x14ac:dyDescent="0.25">
      <c r="A1537" s="65">
        <v>42073</v>
      </c>
      <c r="B1537" s="1">
        <v>1</v>
      </c>
      <c r="C1537" s="65">
        <v>42073</v>
      </c>
      <c r="D1537" s="1">
        <v>1</v>
      </c>
    </row>
    <row r="1538" spans="1:4" x14ac:dyDescent="0.25">
      <c r="A1538" s="65">
        <v>42074</v>
      </c>
      <c r="B1538" s="1">
        <v>1</v>
      </c>
      <c r="C1538" s="65">
        <v>42074</v>
      </c>
      <c r="D1538" s="1">
        <v>1</v>
      </c>
    </row>
    <row r="1539" spans="1:4" x14ac:dyDescent="0.25">
      <c r="A1539" s="65">
        <v>42075</v>
      </c>
      <c r="B1539" s="1">
        <v>1</v>
      </c>
      <c r="C1539" s="65">
        <v>42075</v>
      </c>
      <c r="D1539" s="1">
        <v>1</v>
      </c>
    </row>
    <row r="1540" spans="1:4" x14ac:dyDescent="0.25">
      <c r="A1540" s="65">
        <v>42076</v>
      </c>
      <c r="B1540" s="1">
        <v>1</v>
      </c>
      <c r="C1540" s="65">
        <v>42076</v>
      </c>
      <c r="D1540" s="1">
        <v>1</v>
      </c>
    </row>
    <row r="1541" spans="1:4" x14ac:dyDescent="0.25">
      <c r="A1541" s="65">
        <v>42079</v>
      </c>
      <c r="B1541" s="1">
        <v>1</v>
      </c>
      <c r="C1541" s="65">
        <v>42079</v>
      </c>
      <c r="D1541" s="1">
        <v>1</v>
      </c>
    </row>
    <row r="1542" spans="1:4" x14ac:dyDescent="0.25">
      <c r="A1542" s="65">
        <v>42080</v>
      </c>
      <c r="B1542" s="1">
        <v>1</v>
      </c>
      <c r="C1542" s="65">
        <v>42080</v>
      </c>
      <c r="D1542" s="1">
        <v>1</v>
      </c>
    </row>
    <row r="1543" spans="1:4" x14ac:dyDescent="0.25">
      <c r="A1543" s="65">
        <v>42081</v>
      </c>
      <c r="B1543" s="1">
        <v>1</v>
      </c>
      <c r="C1543" s="65">
        <v>42081</v>
      </c>
      <c r="D1543" s="1">
        <v>1</v>
      </c>
    </row>
    <row r="1544" spans="1:4" x14ac:dyDescent="0.25">
      <c r="A1544" s="65">
        <v>42082</v>
      </c>
      <c r="B1544" s="1">
        <v>1</v>
      </c>
      <c r="C1544" s="65">
        <v>42082</v>
      </c>
      <c r="D1544" s="1">
        <v>1</v>
      </c>
    </row>
    <row r="1545" spans="1:4" x14ac:dyDescent="0.25">
      <c r="A1545" s="65">
        <v>42083</v>
      </c>
      <c r="B1545" s="1">
        <v>1</v>
      </c>
      <c r="C1545" s="65">
        <v>42083</v>
      </c>
      <c r="D1545" s="1">
        <v>1</v>
      </c>
    </row>
    <row r="1546" spans="1:4" x14ac:dyDescent="0.25">
      <c r="A1546" s="65">
        <v>42086</v>
      </c>
      <c r="B1546" s="1">
        <v>1</v>
      </c>
      <c r="C1546" s="65">
        <v>42086</v>
      </c>
      <c r="D1546" s="1">
        <v>1</v>
      </c>
    </row>
    <row r="1547" spans="1:4" x14ac:dyDescent="0.25">
      <c r="A1547" s="65">
        <v>42087</v>
      </c>
      <c r="B1547" s="1">
        <v>1</v>
      </c>
      <c r="C1547" s="65">
        <v>42087</v>
      </c>
      <c r="D1547" s="1">
        <v>1</v>
      </c>
    </row>
    <row r="1548" spans="1:4" x14ac:dyDescent="0.25">
      <c r="A1548" s="65">
        <v>42088</v>
      </c>
      <c r="B1548" s="1">
        <v>1</v>
      </c>
      <c r="C1548" s="65">
        <v>42088</v>
      </c>
      <c r="D1548" s="1">
        <v>1</v>
      </c>
    </row>
    <row r="1549" spans="1:4" x14ac:dyDescent="0.25">
      <c r="A1549" s="65">
        <v>42089</v>
      </c>
      <c r="B1549" s="1">
        <v>1</v>
      </c>
      <c r="C1549" s="65">
        <v>42089</v>
      </c>
      <c r="D1549" s="1">
        <v>1</v>
      </c>
    </row>
    <row r="1550" spans="1:4" x14ac:dyDescent="0.25">
      <c r="A1550" s="65">
        <v>42090</v>
      </c>
      <c r="B1550" s="1">
        <v>1</v>
      </c>
      <c r="C1550" s="65">
        <v>42090</v>
      </c>
      <c r="D1550" s="1">
        <v>1</v>
      </c>
    </row>
    <row r="1551" spans="1:4" x14ac:dyDescent="0.25">
      <c r="A1551" s="65">
        <v>42093</v>
      </c>
      <c r="B1551" s="1">
        <v>1</v>
      </c>
      <c r="C1551" s="65">
        <v>42093</v>
      </c>
      <c r="D1551" s="1">
        <v>1</v>
      </c>
    </row>
    <row r="1552" spans="1:4" x14ac:dyDescent="0.25">
      <c r="A1552" s="65">
        <v>42094</v>
      </c>
      <c r="B1552" s="1">
        <v>1</v>
      </c>
      <c r="C1552" s="65">
        <v>42094</v>
      </c>
      <c r="D1552" s="1">
        <v>1</v>
      </c>
    </row>
    <row r="1553" spans="1:4" x14ac:dyDescent="0.25">
      <c r="A1553" s="65">
        <v>42095</v>
      </c>
      <c r="B1553" s="1">
        <v>1</v>
      </c>
      <c r="C1553" s="65">
        <v>42095</v>
      </c>
      <c r="D1553" s="1">
        <v>1</v>
      </c>
    </row>
    <row r="1554" spans="1:4" x14ac:dyDescent="0.25">
      <c r="A1554" s="65">
        <v>42096</v>
      </c>
      <c r="B1554" s="1">
        <v>1</v>
      </c>
      <c r="C1554" s="65">
        <v>42096</v>
      </c>
      <c r="D1554" s="1">
        <v>1</v>
      </c>
    </row>
    <row r="1555" spans="1:4" x14ac:dyDescent="0.25">
      <c r="A1555" s="65">
        <v>42101</v>
      </c>
      <c r="B1555" s="1">
        <v>1</v>
      </c>
      <c r="C1555" s="65">
        <v>42101</v>
      </c>
      <c r="D1555" s="1">
        <v>1</v>
      </c>
    </row>
    <row r="1556" spans="1:4" x14ac:dyDescent="0.25">
      <c r="A1556" s="65">
        <v>42102</v>
      </c>
      <c r="B1556" s="1">
        <v>1</v>
      </c>
      <c r="C1556" s="65">
        <v>42102</v>
      </c>
      <c r="D1556" s="1">
        <v>1</v>
      </c>
    </row>
    <row r="1557" spans="1:4" x14ac:dyDescent="0.25">
      <c r="A1557" s="65">
        <v>42103</v>
      </c>
      <c r="B1557" s="1">
        <v>1</v>
      </c>
      <c r="C1557" s="65">
        <v>42103</v>
      </c>
      <c r="D1557" s="1">
        <v>1</v>
      </c>
    </row>
    <row r="1558" spans="1:4" x14ac:dyDescent="0.25">
      <c r="A1558" s="65">
        <v>42104</v>
      </c>
      <c r="B1558" s="1">
        <v>1</v>
      </c>
      <c r="C1558" s="65">
        <v>42104</v>
      </c>
      <c r="D1558" s="1">
        <v>1</v>
      </c>
    </row>
    <row r="1559" spans="1:4" x14ac:dyDescent="0.25">
      <c r="A1559" s="65">
        <v>42107</v>
      </c>
      <c r="B1559" s="1">
        <v>1</v>
      </c>
      <c r="C1559" s="65">
        <v>42107</v>
      </c>
      <c r="D1559" s="1">
        <v>1</v>
      </c>
    </row>
    <row r="1560" spans="1:4" x14ac:dyDescent="0.25">
      <c r="A1560" s="65">
        <v>42108</v>
      </c>
      <c r="B1560" s="1">
        <v>1</v>
      </c>
      <c r="C1560" s="65">
        <v>42108</v>
      </c>
      <c r="D1560" s="1">
        <v>1</v>
      </c>
    </row>
    <row r="1561" spans="1:4" x14ac:dyDescent="0.25">
      <c r="A1561" s="65">
        <v>42109</v>
      </c>
      <c r="B1561" s="1">
        <v>1</v>
      </c>
      <c r="C1561" s="65">
        <v>42109</v>
      </c>
      <c r="D1561" s="1">
        <v>1</v>
      </c>
    </row>
    <row r="1562" spans="1:4" x14ac:dyDescent="0.25">
      <c r="A1562" s="65">
        <v>42110</v>
      </c>
      <c r="B1562" s="1">
        <v>1</v>
      </c>
      <c r="C1562" s="65">
        <v>42110</v>
      </c>
      <c r="D1562" s="1">
        <v>1</v>
      </c>
    </row>
    <row r="1563" spans="1:4" x14ac:dyDescent="0.25">
      <c r="A1563" s="65">
        <v>42111</v>
      </c>
      <c r="B1563" s="1">
        <v>1</v>
      </c>
      <c r="C1563" s="65">
        <v>42111</v>
      </c>
      <c r="D1563" s="1">
        <v>1</v>
      </c>
    </row>
    <row r="1564" spans="1:4" x14ac:dyDescent="0.25">
      <c r="A1564" s="65">
        <v>42114</v>
      </c>
      <c r="B1564" s="1">
        <v>1</v>
      </c>
      <c r="C1564" s="65">
        <v>42114</v>
      </c>
      <c r="D1564" s="1">
        <v>1</v>
      </c>
    </row>
    <row r="1565" spans="1:4" x14ac:dyDescent="0.25">
      <c r="A1565" s="65">
        <v>42115</v>
      </c>
      <c r="B1565" s="1">
        <v>1</v>
      </c>
      <c r="C1565" s="65">
        <v>42115</v>
      </c>
      <c r="D1565" s="1">
        <v>1</v>
      </c>
    </row>
    <row r="1566" spans="1:4" x14ac:dyDescent="0.25">
      <c r="A1566" s="65">
        <v>42116</v>
      </c>
      <c r="B1566" s="1">
        <v>1</v>
      </c>
      <c r="C1566" s="65">
        <v>42116</v>
      </c>
      <c r="D1566" s="1">
        <v>1</v>
      </c>
    </row>
    <row r="1567" spans="1:4" x14ac:dyDescent="0.25">
      <c r="A1567" s="65">
        <v>42117</v>
      </c>
      <c r="B1567" s="1">
        <v>1</v>
      </c>
      <c r="C1567" s="65">
        <v>42117</v>
      </c>
      <c r="D1567" s="1">
        <v>1</v>
      </c>
    </row>
    <row r="1568" spans="1:4" x14ac:dyDescent="0.25">
      <c r="A1568" s="65">
        <v>42118</v>
      </c>
      <c r="B1568" s="1">
        <v>1</v>
      </c>
      <c r="C1568" s="65">
        <v>42118</v>
      </c>
      <c r="D1568" s="1">
        <v>1</v>
      </c>
    </row>
    <row r="1569" spans="1:4" x14ac:dyDescent="0.25">
      <c r="A1569" s="65">
        <v>42121</v>
      </c>
      <c r="B1569" s="1">
        <v>1</v>
      </c>
      <c r="C1569" s="65">
        <v>42121</v>
      </c>
      <c r="D1569" s="1">
        <v>1</v>
      </c>
    </row>
    <row r="1570" spans="1:4" x14ac:dyDescent="0.25">
      <c r="A1570" s="65">
        <v>42122</v>
      </c>
      <c r="B1570" s="1">
        <v>1</v>
      </c>
      <c r="C1570" s="65">
        <v>42122</v>
      </c>
      <c r="D1570" s="1">
        <v>1</v>
      </c>
    </row>
    <row r="1571" spans="1:4" x14ac:dyDescent="0.25">
      <c r="A1571" s="65">
        <v>42123</v>
      </c>
      <c r="B1571" s="1">
        <v>1</v>
      </c>
      <c r="C1571" s="65">
        <v>42123</v>
      </c>
      <c r="D1571" s="1">
        <v>1</v>
      </c>
    </row>
    <row r="1572" spans="1:4" x14ac:dyDescent="0.25">
      <c r="A1572" s="65">
        <v>42124</v>
      </c>
      <c r="B1572" s="1">
        <v>1</v>
      </c>
      <c r="C1572" s="65">
        <v>42124</v>
      </c>
      <c r="D1572" s="1">
        <v>1</v>
      </c>
    </row>
    <row r="1573" spans="1:4" x14ac:dyDescent="0.25">
      <c r="A1573" s="65">
        <v>42125</v>
      </c>
      <c r="B1573" s="1">
        <v>1</v>
      </c>
      <c r="C1573" s="65">
        <v>42125</v>
      </c>
      <c r="D1573" s="1">
        <v>1</v>
      </c>
    </row>
    <row r="1574" spans="1:4" x14ac:dyDescent="0.25">
      <c r="A1574" s="65">
        <v>42128</v>
      </c>
      <c r="B1574" s="1">
        <v>1</v>
      </c>
      <c r="C1574" s="65">
        <v>42128</v>
      </c>
      <c r="D1574" s="1">
        <v>1</v>
      </c>
    </row>
    <row r="1575" spans="1:4" x14ac:dyDescent="0.25">
      <c r="A1575" s="65">
        <v>42129</v>
      </c>
      <c r="B1575" s="1">
        <v>1</v>
      </c>
      <c r="C1575" s="65">
        <v>42129</v>
      </c>
      <c r="D1575" s="1">
        <v>1</v>
      </c>
    </row>
    <row r="1576" spans="1:4" x14ac:dyDescent="0.25">
      <c r="A1576" s="65">
        <v>42130</v>
      </c>
      <c r="B1576" s="1">
        <v>1</v>
      </c>
      <c r="C1576" s="65">
        <v>42130</v>
      </c>
      <c r="D1576" s="1">
        <v>1</v>
      </c>
    </row>
    <row r="1577" spans="1:4" x14ac:dyDescent="0.25">
      <c r="A1577" s="65">
        <v>42131</v>
      </c>
      <c r="B1577" s="1">
        <v>1</v>
      </c>
      <c r="C1577" s="65">
        <v>42131</v>
      </c>
      <c r="D1577" s="1">
        <v>1</v>
      </c>
    </row>
    <row r="1578" spans="1:4" x14ac:dyDescent="0.25">
      <c r="A1578" s="65">
        <v>42132</v>
      </c>
      <c r="B1578" s="1">
        <v>1</v>
      </c>
      <c r="C1578" s="65">
        <v>42132</v>
      </c>
      <c r="D1578" s="1">
        <v>1</v>
      </c>
    </row>
    <row r="1579" spans="1:4" x14ac:dyDescent="0.25">
      <c r="A1579" s="65">
        <v>42135</v>
      </c>
      <c r="B1579" s="1">
        <v>1</v>
      </c>
      <c r="C1579" s="65">
        <v>42135</v>
      </c>
      <c r="D1579" s="1">
        <v>1</v>
      </c>
    </row>
    <row r="1580" spans="1:4" x14ac:dyDescent="0.25">
      <c r="A1580" s="65">
        <v>42136</v>
      </c>
      <c r="B1580" s="1">
        <v>1</v>
      </c>
      <c r="C1580" s="65">
        <v>42136</v>
      </c>
      <c r="D1580" s="1">
        <v>1</v>
      </c>
    </row>
    <row r="1581" spans="1:4" x14ac:dyDescent="0.25">
      <c r="A1581" s="65">
        <v>42137</v>
      </c>
      <c r="B1581" s="1">
        <v>1</v>
      </c>
      <c r="C1581" s="65">
        <v>42137</v>
      </c>
      <c r="D1581" s="1">
        <v>1</v>
      </c>
    </row>
    <row r="1582" spans="1:4" x14ac:dyDescent="0.25">
      <c r="A1582" s="65">
        <v>42138</v>
      </c>
      <c r="B1582" s="1">
        <v>1</v>
      </c>
      <c r="C1582" s="65">
        <v>42138</v>
      </c>
      <c r="D1582" s="1">
        <v>1</v>
      </c>
    </row>
    <row r="1583" spans="1:4" x14ac:dyDescent="0.25">
      <c r="A1583" s="65">
        <v>42139</v>
      </c>
      <c r="B1583" s="1">
        <v>1</v>
      </c>
      <c r="C1583" s="65">
        <v>42139</v>
      </c>
      <c r="D1583" s="1">
        <v>1</v>
      </c>
    </row>
    <row r="1584" spans="1:4" x14ac:dyDescent="0.25">
      <c r="A1584" s="65">
        <v>42142</v>
      </c>
      <c r="B1584" s="1">
        <v>1</v>
      </c>
      <c r="C1584" s="65">
        <v>42142</v>
      </c>
      <c r="D1584" s="1">
        <v>1</v>
      </c>
    </row>
    <row r="1585" spans="1:4" x14ac:dyDescent="0.25">
      <c r="A1585" s="65">
        <v>42143</v>
      </c>
      <c r="B1585" s="1">
        <v>1</v>
      </c>
      <c r="C1585" s="65">
        <v>42143</v>
      </c>
      <c r="D1585" s="1">
        <v>1</v>
      </c>
    </row>
    <row r="1586" spans="1:4" x14ac:dyDescent="0.25">
      <c r="A1586" s="65">
        <v>42144</v>
      </c>
      <c r="B1586" s="1">
        <v>1</v>
      </c>
      <c r="C1586" s="65">
        <v>42144</v>
      </c>
      <c r="D1586" s="1">
        <v>1</v>
      </c>
    </row>
    <row r="1587" spans="1:4" x14ac:dyDescent="0.25">
      <c r="A1587" s="65">
        <v>42145</v>
      </c>
      <c r="B1587" s="1">
        <v>1</v>
      </c>
      <c r="C1587" s="65">
        <v>42145</v>
      </c>
      <c r="D1587" s="1">
        <v>1</v>
      </c>
    </row>
    <row r="1588" spans="1:4" x14ac:dyDescent="0.25">
      <c r="A1588" s="65">
        <v>42146</v>
      </c>
      <c r="B1588" s="1">
        <v>1</v>
      </c>
      <c r="C1588" s="65">
        <v>42146</v>
      </c>
      <c r="D1588" s="1">
        <v>1</v>
      </c>
    </row>
    <row r="1589" spans="1:4" x14ac:dyDescent="0.25">
      <c r="A1589" s="65">
        <v>42149</v>
      </c>
      <c r="B1589" s="1">
        <v>1</v>
      </c>
      <c r="C1589" s="65">
        <v>42149</v>
      </c>
      <c r="D1589" s="1">
        <v>1</v>
      </c>
    </row>
    <row r="1590" spans="1:4" x14ac:dyDescent="0.25">
      <c r="A1590" s="65">
        <v>42150</v>
      </c>
      <c r="B1590" s="1">
        <v>1</v>
      </c>
      <c r="C1590" s="65">
        <v>42150</v>
      </c>
      <c r="D1590" s="1">
        <v>1</v>
      </c>
    </row>
    <row r="1591" spans="1:4" x14ac:dyDescent="0.25">
      <c r="A1591" s="65">
        <v>42151</v>
      </c>
      <c r="B1591" s="1">
        <v>1</v>
      </c>
      <c r="C1591" s="65">
        <v>42151</v>
      </c>
      <c r="D1591" s="1">
        <v>1</v>
      </c>
    </row>
    <row r="1592" spans="1:4" x14ac:dyDescent="0.25">
      <c r="A1592" s="65">
        <v>42152</v>
      </c>
      <c r="B1592" s="1">
        <v>1</v>
      </c>
      <c r="C1592" s="65">
        <v>42152</v>
      </c>
      <c r="D1592" s="1">
        <v>1</v>
      </c>
    </row>
    <row r="1593" spans="1:4" x14ac:dyDescent="0.25">
      <c r="A1593" s="65">
        <v>42153</v>
      </c>
      <c r="B1593" s="1">
        <v>1</v>
      </c>
      <c r="C1593" s="65">
        <v>42153</v>
      </c>
      <c r="D1593" s="1">
        <v>1</v>
      </c>
    </row>
    <row r="1594" spans="1:4" x14ac:dyDescent="0.25">
      <c r="A1594" s="65">
        <v>42156</v>
      </c>
      <c r="B1594" s="1">
        <v>1</v>
      </c>
      <c r="C1594" s="65">
        <v>42156</v>
      </c>
      <c r="D1594" s="1">
        <v>1</v>
      </c>
    </row>
    <row r="1595" spans="1:4" x14ac:dyDescent="0.25">
      <c r="A1595" s="65">
        <v>42157</v>
      </c>
      <c r="B1595" s="1">
        <v>1</v>
      </c>
      <c r="C1595" s="65">
        <v>42157</v>
      </c>
      <c r="D1595" s="1">
        <v>1</v>
      </c>
    </row>
    <row r="1596" spans="1:4" x14ac:dyDescent="0.25">
      <c r="A1596" s="65">
        <v>42158</v>
      </c>
      <c r="B1596" s="1">
        <v>1</v>
      </c>
      <c r="C1596" s="65">
        <v>42158</v>
      </c>
      <c r="D1596" s="1">
        <v>1</v>
      </c>
    </row>
    <row r="1597" spans="1:4" x14ac:dyDescent="0.25">
      <c r="A1597" s="65">
        <v>42159</v>
      </c>
      <c r="B1597" s="1">
        <v>1</v>
      </c>
      <c r="C1597" s="65">
        <v>42159</v>
      </c>
      <c r="D1597" s="1">
        <v>1</v>
      </c>
    </row>
    <row r="1598" spans="1:4" x14ac:dyDescent="0.25">
      <c r="A1598" s="65">
        <v>42160</v>
      </c>
      <c r="B1598" s="1">
        <v>1</v>
      </c>
      <c r="C1598" s="65">
        <v>42160</v>
      </c>
      <c r="D1598" s="1">
        <v>1</v>
      </c>
    </row>
    <row r="1599" spans="1:4" x14ac:dyDescent="0.25">
      <c r="A1599" s="65">
        <v>42163</v>
      </c>
      <c r="B1599" s="1">
        <v>1</v>
      </c>
      <c r="C1599" s="65">
        <v>42163</v>
      </c>
      <c r="D1599" s="1">
        <v>1</v>
      </c>
    </row>
    <row r="1600" spans="1:4" x14ac:dyDescent="0.25">
      <c r="A1600" s="65">
        <v>42164</v>
      </c>
      <c r="B1600" s="1">
        <v>1</v>
      </c>
      <c r="C1600" s="65">
        <v>42164</v>
      </c>
      <c r="D1600" s="1">
        <v>1</v>
      </c>
    </row>
    <row r="1601" spans="1:4" x14ac:dyDescent="0.25">
      <c r="A1601" s="65">
        <v>42165</v>
      </c>
      <c r="B1601" s="1">
        <v>1</v>
      </c>
      <c r="C1601" s="65">
        <v>42165</v>
      </c>
      <c r="D1601" s="1">
        <v>1</v>
      </c>
    </row>
    <row r="1602" spans="1:4" x14ac:dyDescent="0.25">
      <c r="A1602" s="65">
        <v>42166</v>
      </c>
      <c r="B1602" s="1">
        <v>1</v>
      </c>
      <c r="C1602" s="65">
        <v>42166</v>
      </c>
      <c r="D1602" s="1">
        <v>1</v>
      </c>
    </row>
    <row r="1603" spans="1:4" x14ac:dyDescent="0.25">
      <c r="A1603" s="65">
        <v>42167</v>
      </c>
      <c r="B1603" s="1">
        <v>1</v>
      </c>
      <c r="C1603" s="65">
        <v>42167</v>
      </c>
      <c r="D1603" s="1">
        <v>1</v>
      </c>
    </row>
    <row r="1604" spans="1:4" x14ac:dyDescent="0.25">
      <c r="A1604" s="65">
        <v>42170</v>
      </c>
      <c r="B1604" s="1">
        <v>1</v>
      </c>
      <c r="C1604" s="65">
        <v>42170</v>
      </c>
      <c r="D1604" s="1">
        <v>1</v>
      </c>
    </row>
    <row r="1605" spans="1:4" x14ac:dyDescent="0.25">
      <c r="A1605" s="65">
        <v>42171</v>
      </c>
      <c r="B1605" s="1">
        <v>1</v>
      </c>
      <c r="C1605" s="65">
        <v>42171</v>
      </c>
      <c r="D1605" s="1">
        <v>1</v>
      </c>
    </row>
    <row r="1606" spans="1:4" x14ac:dyDescent="0.25">
      <c r="A1606" s="65">
        <v>42172</v>
      </c>
      <c r="B1606" s="1">
        <v>1</v>
      </c>
      <c r="C1606" s="65">
        <v>42172</v>
      </c>
      <c r="D1606" s="1">
        <v>1</v>
      </c>
    </row>
    <row r="1607" spans="1:4" x14ac:dyDescent="0.25">
      <c r="A1607" s="65">
        <v>42173</v>
      </c>
      <c r="B1607" s="1">
        <v>1</v>
      </c>
      <c r="C1607" s="65">
        <v>42173</v>
      </c>
      <c r="D1607" s="1">
        <v>1</v>
      </c>
    </row>
    <row r="1608" spans="1:4" x14ac:dyDescent="0.25">
      <c r="A1608" s="65">
        <v>42174</v>
      </c>
      <c r="B1608" s="1">
        <v>1</v>
      </c>
      <c r="C1608" s="65">
        <v>42174</v>
      </c>
      <c r="D1608" s="1">
        <v>1</v>
      </c>
    </row>
    <row r="1609" spans="1:4" x14ac:dyDescent="0.25">
      <c r="A1609" s="65">
        <v>42177</v>
      </c>
      <c r="B1609" s="1">
        <v>1</v>
      </c>
      <c r="C1609" s="65">
        <v>42177</v>
      </c>
      <c r="D1609" s="1">
        <v>1</v>
      </c>
    </row>
    <row r="1610" spans="1:4" x14ac:dyDescent="0.25">
      <c r="A1610" s="65">
        <v>42178</v>
      </c>
      <c r="B1610" s="1">
        <v>1</v>
      </c>
      <c r="C1610" s="65">
        <v>42178</v>
      </c>
      <c r="D1610" s="1">
        <v>1</v>
      </c>
    </row>
    <row r="1611" spans="1:4" x14ac:dyDescent="0.25">
      <c r="A1611" s="65">
        <v>42179</v>
      </c>
      <c r="B1611" s="1">
        <v>1</v>
      </c>
      <c r="C1611" s="65">
        <v>42179</v>
      </c>
      <c r="D1611" s="1">
        <v>1</v>
      </c>
    </row>
    <row r="1612" spans="1:4" x14ac:dyDescent="0.25">
      <c r="A1612" s="65">
        <v>42180</v>
      </c>
      <c r="B1612" s="1">
        <v>1</v>
      </c>
      <c r="C1612" s="65">
        <v>42180</v>
      </c>
      <c r="D1612" s="1">
        <v>1</v>
      </c>
    </row>
    <row r="1613" spans="1:4" x14ac:dyDescent="0.25">
      <c r="A1613" s="65">
        <v>42181</v>
      </c>
      <c r="B1613" s="1">
        <v>1</v>
      </c>
      <c r="C1613" s="65">
        <v>42181</v>
      </c>
      <c r="D1613" s="1">
        <v>1</v>
      </c>
    </row>
    <row r="1614" spans="1:4" x14ac:dyDescent="0.25">
      <c r="A1614" s="65">
        <v>42184</v>
      </c>
      <c r="B1614" s="1">
        <v>1</v>
      </c>
      <c r="C1614" s="65">
        <v>42184</v>
      </c>
      <c r="D1614" s="1">
        <v>1</v>
      </c>
    </row>
    <row r="1615" spans="1:4" x14ac:dyDescent="0.25">
      <c r="A1615" s="65">
        <v>42185</v>
      </c>
      <c r="B1615" s="1">
        <v>1</v>
      </c>
      <c r="C1615" s="65">
        <v>42185</v>
      </c>
      <c r="D1615" s="1">
        <v>1</v>
      </c>
    </row>
    <row r="1616" spans="1:4" x14ac:dyDescent="0.25">
      <c r="A1616" s="65">
        <v>42186</v>
      </c>
      <c r="B1616" s="1">
        <v>1</v>
      </c>
      <c r="C1616" s="65">
        <v>42186</v>
      </c>
      <c r="D1616" s="1">
        <v>1</v>
      </c>
    </row>
    <row r="1617" spans="1:4" x14ac:dyDescent="0.25">
      <c r="A1617" s="65">
        <v>42187</v>
      </c>
      <c r="B1617" s="1">
        <v>1</v>
      </c>
      <c r="C1617" s="65">
        <v>42187</v>
      </c>
      <c r="D1617" s="1">
        <v>1</v>
      </c>
    </row>
    <row r="1618" spans="1:4" x14ac:dyDescent="0.25">
      <c r="A1618" s="65">
        <v>42188</v>
      </c>
      <c r="B1618" s="1">
        <v>1</v>
      </c>
      <c r="C1618" s="65">
        <v>42188</v>
      </c>
      <c r="D1618" s="1">
        <v>1</v>
      </c>
    </row>
    <row r="1619" spans="1:4" x14ac:dyDescent="0.25">
      <c r="A1619" s="65">
        <v>42191</v>
      </c>
      <c r="B1619" s="1">
        <v>1</v>
      </c>
      <c r="C1619" s="65">
        <v>42191</v>
      </c>
      <c r="D1619" s="1">
        <v>1</v>
      </c>
    </row>
    <row r="1620" spans="1:4" x14ac:dyDescent="0.25">
      <c r="A1620" s="65">
        <v>42192</v>
      </c>
      <c r="B1620" s="1">
        <v>1</v>
      </c>
      <c r="C1620" s="65">
        <v>42192</v>
      </c>
      <c r="D1620" s="1">
        <v>1</v>
      </c>
    </row>
    <row r="1621" spans="1:4" x14ac:dyDescent="0.25">
      <c r="A1621" s="65">
        <v>42193</v>
      </c>
      <c r="B1621" s="1">
        <v>1</v>
      </c>
      <c r="C1621" s="65">
        <v>42193</v>
      </c>
      <c r="D1621" s="1">
        <v>1</v>
      </c>
    </row>
    <row r="1622" spans="1:4" x14ac:dyDescent="0.25">
      <c r="A1622" s="65">
        <v>42194</v>
      </c>
      <c r="B1622" s="1">
        <v>1</v>
      </c>
      <c r="C1622" s="65">
        <v>42194</v>
      </c>
      <c r="D1622" s="1">
        <v>1</v>
      </c>
    </row>
    <row r="1623" spans="1:4" x14ac:dyDescent="0.25">
      <c r="A1623" s="65">
        <v>42195</v>
      </c>
      <c r="B1623" s="1">
        <v>1</v>
      </c>
      <c r="C1623" s="65">
        <v>42195</v>
      </c>
      <c r="D1623" s="1">
        <v>1</v>
      </c>
    </row>
    <row r="1624" spans="1:4" x14ac:dyDescent="0.25">
      <c r="A1624" s="65">
        <v>42198</v>
      </c>
      <c r="B1624" s="1">
        <v>1</v>
      </c>
      <c r="C1624" s="65">
        <v>42198</v>
      </c>
      <c r="D1624" s="1">
        <v>1</v>
      </c>
    </row>
    <row r="1625" spans="1:4" x14ac:dyDescent="0.25">
      <c r="A1625" s="65">
        <v>42199</v>
      </c>
      <c r="B1625" s="1">
        <v>1</v>
      </c>
      <c r="C1625" s="65">
        <v>42199</v>
      </c>
      <c r="D1625" s="1">
        <v>1</v>
      </c>
    </row>
    <row r="1626" spans="1:4" x14ac:dyDescent="0.25">
      <c r="A1626" s="65">
        <v>42200</v>
      </c>
      <c r="B1626" s="1">
        <v>1</v>
      </c>
      <c r="C1626" s="65">
        <v>42200</v>
      </c>
      <c r="D1626" s="1">
        <v>1</v>
      </c>
    </row>
    <row r="1627" spans="1:4" x14ac:dyDescent="0.25">
      <c r="A1627" s="65">
        <v>42201</v>
      </c>
      <c r="B1627" s="1">
        <v>1</v>
      </c>
      <c r="C1627" s="65">
        <v>42201</v>
      </c>
      <c r="D1627" s="1">
        <v>1</v>
      </c>
    </row>
    <row r="1628" spans="1:4" x14ac:dyDescent="0.25">
      <c r="A1628" s="65">
        <v>42202</v>
      </c>
      <c r="B1628" s="1">
        <v>1</v>
      </c>
      <c r="C1628" s="65">
        <v>42202</v>
      </c>
      <c r="D1628" s="1">
        <v>1</v>
      </c>
    </row>
    <row r="1629" spans="1:4" x14ac:dyDescent="0.25">
      <c r="A1629" s="65">
        <v>42205</v>
      </c>
      <c r="B1629" s="1">
        <v>1</v>
      </c>
      <c r="C1629" s="65">
        <v>42205</v>
      </c>
      <c r="D1629" s="1">
        <v>1</v>
      </c>
    </row>
    <row r="1630" spans="1:4" x14ac:dyDescent="0.25">
      <c r="A1630" s="65">
        <v>42206</v>
      </c>
      <c r="B1630" s="1">
        <v>1</v>
      </c>
      <c r="C1630" s="65">
        <v>42206</v>
      </c>
      <c r="D1630" s="1">
        <v>1</v>
      </c>
    </row>
    <row r="1631" spans="1:4" x14ac:dyDescent="0.25">
      <c r="A1631" s="65">
        <v>42207</v>
      </c>
      <c r="B1631" s="1">
        <v>1</v>
      </c>
      <c r="C1631" s="65">
        <v>42207</v>
      </c>
      <c r="D1631" s="1">
        <v>1</v>
      </c>
    </row>
    <row r="1632" spans="1:4" x14ac:dyDescent="0.25">
      <c r="A1632" s="65">
        <v>42208</v>
      </c>
      <c r="B1632" s="1">
        <v>1</v>
      </c>
      <c r="C1632" s="65">
        <v>42208</v>
      </c>
      <c r="D1632" s="1">
        <v>1</v>
      </c>
    </row>
    <row r="1633" spans="1:4" x14ac:dyDescent="0.25">
      <c r="A1633" s="65">
        <v>42209</v>
      </c>
      <c r="B1633" s="1">
        <v>1</v>
      </c>
      <c r="C1633" s="65">
        <v>42209</v>
      </c>
      <c r="D1633" s="1">
        <v>1</v>
      </c>
    </row>
    <row r="1634" spans="1:4" x14ac:dyDescent="0.25">
      <c r="A1634" s="65">
        <v>42212</v>
      </c>
      <c r="B1634" s="1">
        <v>1</v>
      </c>
      <c r="C1634" s="65">
        <v>42212</v>
      </c>
      <c r="D1634" s="1">
        <v>1</v>
      </c>
    </row>
    <row r="1635" spans="1:4" x14ac:dyDescent="0.25">
      <c r="A1635" s="65">
        <v>42213</v>
      </c>
      <c r="B1635" s="1">
        <v>1</v>
      </c>
      <c r="C1635" s="65">
        <v>42213</v>
      </c>
      <c r="D1635" s="1">
        <v>1</v>
      </c>
    </row>
    <row r="1636" spans="1:4" x14ac:dyDescent="0.25">
      <c r="A1636" s="65">
        <v>42214</v>
      </c>
      <c r="B1636" s="1">
        <v>1</v>
      </c>
      <c r="C1636" s="65">
        <v>42214</v>
      </c>
      <c r="D1636" s="1">
        <v>1</v>
      </c>
    </row>
    <row r="1637" spans="1:4" x14ac:dyDescent="0.25">
      <c r="A1637" s="65">
        <v>42215</v>
      </c>
      <c r="B1637" s="1">
        <v>1</v>
      </c>
      <c r="C1637" s="65">
        <v>42215</v>
      </c>
      <c r="D1637" s="1">
        <v>1</v>
      </c>
    </row>
    <row r="1638" spans="1:4" x14ac:dyDescent="0.25">
      <c r="A1638" s="65">
        <v>42216</v>
      </c>
      <c r="B1638" s="1">
        <v>1</v>
      </c>
      <c r="C1638" s="65">
        <v>42216</v>
      </c>
      <c r="D1638" s="1">
        <v>1</v>
      </c>
    </row>
    <row r="1639" spans="1:4" x14ac:dyDescent="0.25">
      <c r="A1639" s="65">
        <v>42219</v>
      </c>
      <c r="B1639" s="1">
        <v>1</v>
      </c>
      <c r="C1639" s="65">
        <v>42219</v>
      </c>
      <c r="D1639" s="1">
        <v>1</v>
      </c>
    </row>
    <row r="1640" spans="1:4" x14ac:dyDescent="0.25">
      <c r="A1640" s="65">
        <v>42220</v>
      </c>
      <c r="B1640" s="1">
        <v>1</v>
      </c>
      <c r="C1640" s="65">
        <v>42220</v>
      </c>
      <c r="D1640" s="1">
        <v>1</v>
      </c>
    </row>
    <row r="1641" spans="1:4" x14ac:dyDescent="0.25">
      <c r="A1641" s="65">
        <v>42221</v>
      </c>
      <c r="B1641" s="1">
        <v>1</v>
      </c>
      <c r="C1641" s="65">
        <v>42221</v>
      </c>
      <c r="D1641" s="1">
        <v>1</v>
      </c>
    </row>
    <row r="1642" spans="1:4" x14ac:dyDescent="0.25">
      <c r="A1642" s="65">
        <v>42222</v>
      </c>
      <c r="B1642" s="1">
        <v>1</v>
      </c>
      <c r="C1642" s="65">
        <v>42222</v>
      </c>
      <c r="D1642" s="1">
        <v>1</v>
      </c>
    </row>
    <row r="1643" spans="1:4" x14ac:dyDescent="0.25">
      <c r="A1643" s="65">
        <v>42223</v>
      </c>
      <c r="B1643" s="1">
        <v>1</v>
      </c>
      <c r="C1643" s="65">
        <v>42223</v>
      </c>
      <c r="D1643" s="1">
        <v>1</v>
      </c>
    </row>
    <row r="1644" spans="1:4" x14ac:dyDescent="0.25">
      <c r="A1644" s="65">
        <v>42226</v>
      </c>
      <c r="B1644" s="1">
        <v>1</v>
      </c>
      <c r="C1644" s="65">
        <v>42226</v>
      </c>
      <c r="D1644" s="1">
        <v>1</v>
      </c>
    </row>
    <row r="1645" spans="1:4" x14ac:dyDescent="0.25">
      <c r="A1645" s="65">
        <v>42227</v>
      </c>
      <c r="B1645" s="1">
        <v>1</v>
      </c>
      <c r="C1645" s="65">
        <v>42227</v>
      </c>
      <c r="D1645" s="1">
        <v>1</v>
      </c>
    </row>
    <row r="1646" spans="1:4" x14ac:dyDescent="0.25">
      <c r="A1646" s="65">
        <v>42228</v>
      </c>
      <c r="B1646" s="1">
        <v>1</v>
      </c>
      <c r="C1646" s="65">
        <v>42228</v>
      </c>
      <c r="D1646" s="1">
        <v>1</v>
      </c>
    </row>
    <row r="1647" spans="1:4" x14ac:dyDescent="0.25">
      <c r="A1647" s="65">
        <v>42229</v>
      </c>
      <c r="B1647" s="1">
        <v>1</v>
      </c>
      <c r="C1647" s="65">
        <v>42229</v>
      </c>
      <c r="D1647" s="1">
        <v>1</v>
      </c>
    </row>
    <row r="1648" spans="1:4" x14ac:dyDescent="0.25">
      <c r="A1648" s="65">
        <v>42230</v>
      </c>
      <c r="B1648" s="1">
        <v>1</v>
      </c>
      <c r="C1648" s="65">
        <v>42230</v>
      </c>
      <c r="D1648" s="1">
        <v>1</v>
      </c>
    </row>
    <row r="1649" spans="1:4" x14ac:dyDescent="0.25">
      <c r="A1649" s="65">
        <v>42233</v>
      </c>
      <c r="B1649" s="1">
        <v>1</v>
      </c>
      <c r="C1649" s="65">
        <v>42233</v>
      </c>
      <c r="D1649" s="1">
        <v>1</v>
      </c>
    </row>
    <row r="1650" spans="1:4" x14ac:dyDescent="0.25">
      <c r="A1650" s="65">
        <v>42234</v>
      </c>
      <c r="B1650" s="1">
        <v>1</v>
      </c>
      <c r="C1650" s="65">
        <v>42234</v>
      </c>
      <c r="D1650" s="1">
        <v>1</v>
      </c>
    </row>
    <row r="1651" spans="1:4" x14ac:dyDescent="0.25">
      <c r="A1651" s="65">
        <v>42235</v>
      </c>
      <c r="B1651" s="1">
        <v>1</v>
      </c>
      <c r="C1651" s="65">
        <v>42235</v>
      </c>
      <c r="D1651" s="1">
        <v>1</v>
      </c>
    </row>
    <row r="1652" spans="1:4" x14ac:dyDescent="0.25">
      <c r="A1652" s="65">
        <v>42236</v>
      </c>
      <c r="B1652" s="1">
        <v>1</v>
      </c>
      <c r="C1652" s="65">
        <v>42236</v>
      </c>
      <c r="D1652" s="1">
        <v>1</v>
      </c>
    </row>
    <row r="1653" spans="1:4" x14ac:dyDescent="0.25">
      <c r="A1653" s="65">
        <v>42237</v>
      </c>
      <c r="B1653" s="1">
        <v>1</v>
      </c>
      <c r="C1653" s="65">
        <v>42237</v>
      </c>
      <c r="D1653" s="1">
        <v>1</v>
      </c>
    </row>
    <row r="1654" spans="1:4" x14ac:dyDescent="0.25">
      <c r="A1654" s="65">
        <v>42240</v>
      </c>
      <c r="B1654" s="1">
        <v>1</v>
      </c>
      <c r="C1654" s="65">
        <v>42240</v>
      </c>
      <c r="D1654" s="1">
        <v>1</v>
      </c>
    </row>
    <row r="1655" spans="1:4" x14ac:dyDescent="0.25">
      <c r="A1655" s="65">
        <v>42241</v>
      </c>
      <c r="B1655" s="1">
        <v>1</v>
      </c>
      <c r="C1655" s="65">
        <v>42241</v>
      </c>
      <c r="D1655" s="1">
        <v>1</v>
      </c>
    </row>
    <row r="1656" spans="1:4" x14ac:dyDescent="0.25">
      <c r="A1656" s="65">
        <v>42242</v>
      </c>
      <c r="B1656" s="1">
        <v>1</v>
      </c>
      <c r="C1656" s="65">
        <v>42242</v>
      </c>
      <c r="D1656" s="1">
        <v>1</v>
      </c>
    </row>
    <row r="1657" spans="1:4" x14ac:dyDescent="0.25">
      <c r="A1657" s="65">
        <v>42243</v>
      </c>
      <c r="B1657" s="1">
        <v>1</v>
      </c>
      <c r="C1657" s="65">
        <v>42243</v>
      </c>
      <c r="D1657" s="1">
        <v>1</v>
      </c>
    </row>
    <row r="1658" spans="1:4" x14ac:dyDescent="0.25">
      <c r="A1658" s="65">
        <v>42244</v>
      </c>
      <c r="B1658" s="1">
        <v>1</v>
      </c>
      <c r="C1658" s="65">
        <v>42244</v>
      </c>
      <c r="D1658" s="1">
        <v>1</v>
      </c>
    </row>
    <row r="1659" spans="1:4" x14ac:dyDescent="0.25">
      <c r="A1659" s="65">
        <v>42247</v>
      </c>
      <c r="B1659" s="1">
        <v>1</v>
      </c>
      <c r="C1659" s="65">
        <v>42247</v>
      </c>
      <c r="D1659" s="1">
        <v>1</v>
      </c>
    </row>
    <row r="1660" spans="1:4" x14ac:dyDescent="0.25">
      <c r="A1660" s="65">
        <v>42248</v>
      </c>
      <c r="B1660" s="1">
        <v>1</v>
      </c>
      <c r="C1660" s="65">
        <v>42248</v>
      </c>
      <c r="D1660" s="1">
        <v>1</v>
      </c>
    </row>
    <row r="1661" spans="1:4" x14ac:dyDescent="0.25">
      <c r="A1661" s="65">
        <v>42249</v>
      </c>
      <c r="B1661" s="1">
        <v>1</v>
      </c>
      <c r="C1661" s="65">
        <v>42249</v>
      </c>
      <c r="D1661" s="1">
        <v>1</v>
      </c>
    </row>
    <row r="1662" spans="1:4" x14ac:dyDescent="0.25">
      <c r="A1662" s="65">
        <v>42250</v>
      </c>
      <c r="B1662" s="1">
        <v>1</v>
      </c>
      <c r="C1662" s="65">
        <v>42250</v>
      </c>
      <c r="D1662" s="1">
        <v>1</v>
      </c>
    </row>
    <row r="1663" spans="1:4" x14ac:dyDescent="0.25">
      <c r="A1663" s="65">
        <v>42251</v>
      </c>
      <c r="B1663" s="1">
        <v>1</v>
      </c>
      <c r="C1663" s="65">
        <v>42251</v>
      </c>
      <c r="D1663" s="1">
        <v>1</v>
      </c>
    </row>
    <row r="1664" spans="1:4" x14ac:dyDescent="0.25">
      <c r="A1664" s="65">
        <v>42254</v>
      </c>
      <c r="B1664" s="1">
        <v>1</v>
      </c>
      <c r="C1664" s="65">
        <v>42254</v>
      </c>
      <c r="D1664" s="1">
        <v>1</v>
      </c>
    </row>
    <row r="1665" spans="1:4" x14ac:dyDescent="0.25">
      <c r="A1665" s="65">
        <v>42255</v>
      </c>
      <c r="B1665" s="1">
        <v>1</v>
      </c>
      <c r="C1665" s="65">
        <v>42255</v>
      </c>
      <c r="D1665" s="1">
        <v>1</v>
      </c>
    </row>
    <row r="1666" spans="1:4" x14ac:dyDescent="0.25">
      <c r="A1666" s="65">
        <v>42256</v>
      </c>
      <c r="B1666" s="1">
        <v>1</v>
      </c>
      <c r="C1666" s="65">
        <v>42256</v>
      </c>
      <c r="D1666" s="1">
        <v>1</v>
      </c>
    </row>
    <row r="1667" spans="1:4" x14ac:dyDescent="0.25">
      <c r="A1667" s="65">
        <v>42257</v>
      </c>
      <c r="B1667" s="1">
        <v>1</v>
      </c>
      <c r="C1667" s="65">
        <v>42257</v>
      </c>
      <c r="D1667" s="1">
        <v>1</v>
      </c>
    </row>
    <row r="1668" spans="1:4" x14ac:dyDescent="0.25">
      <c r="A1668" s="65">
        <v>42258</v>
      </c>
      <c r="B1668" s="1">
        <v>1</v>
      </c>
      <c r="C1668" s="65">
        <v>42258</v>
      </c>
      <c r="D1668" s="1">
        <v>1</v>
      </c>
    </row>
    <row r="1669" spans="1:4" x14ac:dyDescent="0.25">
      <c r="A1669" s="65">
        <v>42261</v>
      </c>
      <c r="B1669" s="1">
        <v>1</v>
      </c>
      <c r="C1669" s="65">
        <v>42261</v>
      </c>
      <c r="D1669" s="1">
        <v>1</v>
      </c>
    </row>
    <row r="1670" spans="1:4" x14ac:dyDescent="0.25">
      <c r="A1670" s="65">
        <v>42262</v>
      </c>
      <c r="B1670" s="1">
        <v>1</v>
      </c>
      <c r="C1670" s="65">
        <v>42262</v>
      </c>
      <c r="D1670" s="1">
        <v>1</v>
      </c>
    </row>
    <row r="1671" spans="1:4" x14ac:dyDescent="0.25">
      <c r="A1671" s="65">
        <v>42263</v>
      </c>
      <c r="B1671" s="1">
        <v>1</v>
      </c>
      <c r="C1671" s="65">
        <v>42263</v>
      </c>
      <c r="D1671" s="1">
        <v>1</v>
      </c>
    </row>
    <row r="1672" spans="1:4" x14ac:dyDescent="0.25">
      <c r="A1672" s="65">
        <v>42264</v>
      </c>
      <c r="B1672" s="1">
        <v>1</v>
      </c>
      <c r="C1672" s="65">
        <v>42264</v>
      </c>
      <c r="D1672" s="1">
        <v>1</v>
      </c>
    </row>
    <row r="1673" spans="1:4" x14ac:dyDescent="0.25">
      <c r="A1673" s="65">
        <v>42265</v>
      </c>
      <c r="B1673" s="1">
        <v>1</v>
      </c>
      <c r="C1673" s="65">
        <v>42265</v>
      </c>
      <c r="D1673" s="1">
        <v>1</v>
      </c>
    </row>
    <row r="1674" spans="1:4" x14ac:dyDescent="0.25">
      <c r="A1674" s="65">
        <v>42268</v>
      </c>
      <c r="B1674" s="1">
        <v>1</v>
      </c>
      <c r="C1674" s="65">
        <v>42268</v>
      </c>
      <c r="D1674" s="1">
        <v>1</v>
      </c>
    </row>
    <row r="1675" spans="1:4" x14ac:dyDescent="0.25">
      <c r="A1675" s="65">
        <v>42269</v>
      </c>
      <c r="B1675" s="1">
        <v>1</v>
      </c>
      <c r="C1675" s="65">
        <v>42269</v>
      </c>
      <c r="D1675" s="1">
        <v>1</v>
      </c>
    </row>
    <row r="1676" spans="1:4" x14ac:dyDescent="0.25">
      <c r="A1676" s="65">
        <v>42270</v>
      </c>
      <c r="B1676" s="1">
        <v>1</v>
      </c>
      <c r="C1676" s="65">
        <v>42270</v>
      </c>
      <c r="D1676" s="1">
        <v>1</v>
      </c>
    </row>
    <row r="1677" spans="1:4" x14ac:dyDescent="0.25">
      <c r="A1677" s="65">
        <v>42271</v>
      </c>
      <c r="B1677" s="1">
        <v>1</v>
      </c>
      <c r="C1677" s="65">
        <v>42271</v>
      </c>
      <c r="D1677" s="1">
        <v>1</v>
      </c>
    </row>
    <row r="1678" spans="1:4" x14ac:dyDescent="0.25">
      <c r="A1678" s="65">
        <v>42272</v>
      </c>
      <c r="B1678" s="1">
        <v>1</v>
      </c>
      <c r="C1678" s="65">
        <v>42272</v>
      </c>
      <c r="D1678" s="1">
        <v>1</v>
      </c>
    </row>
    <row r="1679" spans="1:4" x14ac:dyDescent="0.25">
      <c r="A1679" s="65">
        <v>42275</v>
      </c>
      <c r="B1679" s="1">
        <v>1</v>
      </c>
      <c r="C1679" s="65">
        <v>42275</v>
      </c>
      <c r="D1679" s="1">
        <v>1</v>
      </c>
    </row>
    <row r="1680" spans="1:4" x14ac:dyDescent="0.25">
      <c r="A1680" s="65">
        <v>42276</v>
      </c>
      <c r="B1680" s="1">
        <v>1</v>
      </c>
      <c r="C1680" s="65">
        <v>42276</v>
      </c>
      <c r="D1680" s="1">
        <v>1</v>
      </c>
    </row>
    <row r="1681" spans="1:4" x14ac:dyDescent="0.25">
      <c r="A1681" s="65">
        <v>42277</v>
      </c>
      <c r="B1681" s="1">
        <v>1</v>
      </c>
      <c r="C1681" s="65">
        <v>42277</v>
      </c>
      <c r="D1681" s="1">
        <v>1</v>
      </c>
    </row>
    <row r="1682" spans="1:4" x14ac:dyDescent="0.25">
      <c r="A1682" s="65">
        <v>42278</v>
      </c>
      <c r="B1682" s="1">
        <v>1</v>
      </c>
      <c r="C1682" s="65">
        <v>42278</v>
      </c>
      <c r="D1682" s="1">
        <v>1</v>
      </c>
    </row>
    <row r="1683" spans="1:4" x14ac:dyDescent="0.25">
      <c r="A1683" s="65">
        <v>42279</v>
      </c>
      <c r="B1683" s="1">
        <v>1</v>
      </c>
      <c r="C1683" s="65">
        <v>42279</v>
      </c>
      <c r="D1683" s="1">
        <v>1</v>
      </c>
    </row>
    <row r="1684" spans="1:4" x14ac:dyDescent="0.25">
      <c r="A1684" s="65">
        <v>42282</v>
      </c>
      <c r="B1684" s="1">
        <v>1</v>
      </c>
      <c r="C1684" s="65">
        <v>42282</v>
      </c>
      <c r="D1684" s="1">
        <v>1</v>
      </c>
    </row>
    <row r="1685" spans="1:4" x14ac:dyDescent="0.25">
      <c r="A1685" s="65">
        <v>42283</v>
      </c>
      <c r="B1685" s="1">
        <v>1</v>
      </c>
      <c r="C1685" s="65">
        <v>42283</v>
      </c>
      <c r="D1685" s="1">
        <v>1</v>
      </c>
    </row>
    <row r="1686" spans="1:4" x14ac:dyDescent="0.25">
      <c r="A1686" s="65">
        <v>42284</v>
      </c>
      <c r="B1686" s="1">
        <v>1</v>
      </c>
      <c r="C1686" s="65">
        <v>42284</v>
      </c>
      <c r="D1686" s="1">
        <v>1</v>
      </c>
    </row>
    <row r="1687" spans="1:4" x14ac:dyDescent="0.25">
      <c r="A1687" s="65">
        <v>42285</v>
      </c>
      <c r="B1687" s="1">
        <v>1</v>
      </c>
      <c r="C1687" s="65">
        <v>42285</v>
      </c>
      <c r="D1687" s="1">
        <v>1</v>
      </c>
    </row>
    <row r="1688" spans="1:4" x14ac:dyDescent="0.25">
      <c r="A1688" s="65">
        <v>42286</v>
      </c>
      <c r="B1688" s="1">
        <v>1</v>
      </c>
      <c r="C1688" s="65">
        <v>42286</v>
      </c>
      <c r="D1688" s="1">
        <v>1</v>
      </c>
    </row>
    <row r="1689" spans="1:4" x14ac:dyDescent="0.25">
      <c r="A1689" s="65">
        <v>42289</v>
      </c>
      <c r="B1689" s="1">
        <v>1</v>
      </c>
      <c r="C1689" s="65">
        <v>42289</v>
      </c>
      <c r="D1689" s="1">
        <v>1</v>
      </c>
    </row>
    <row r="1690" spans="1:4" x14ac:dyDescent="0.25">
      <c r="A1690" s="65">
        <v>42290</v>
      </c>
      <c r="B1690" s="1">
        <v>1</v>
      </c>
      <c r="C1690" s="65">
        <v>42290</v>
      </c>
      <c r="D1690" s="1">
        <v>1</v>
      </c>
    </row>
    <row r="1691" spans="1:4" x14ac:dyDescent="0.25">
      <c r="A1691" s="65">
        <v>42291</v>
      </c>
      <c r="B1691" s="1">
        <v>1</v>
      </c>
      <c r="C1691" s="65">
        <v>42291</v>
      </c>
      <c r="D1691" s="1">
        <v>1</v>
      </c>
    </row>
    <row r="1692" spans="1:4" x14ac:dyDescent="0.25">
      <c r="A1692" s="65">
        <v>42292</v>
      </c>
      <c r="B1692" s="1">
        <v>1</v>
      </c>
      <c r="C1692" s="65">
        <v>42292</v>
      </c>
      <c r="D1692" s="1">
        <v>1</v>
      </c>
    </row>
    <row r="1693" spans="1:4" x14ac:dyDescent="0.25">
      <c r="A1693" s="65">
        <v>42293</v>
      </c>
      <c r="B1693" s="1">
        <v>1</v>
      </c>
      <c r="C1693" s="65">
        <v>42293</v>
      </c>
      <c r="D1693" s="1">
        <v>1</v>
      </c>
    </row>
    <row r="1694" spans="1:4" x14ac:dyDescent="0.25">
      <c r="A1694" s="65">
        <v>42296</v>
      </c>
      <c r="B1694" s="1">
        <v>1</v>
      </c>
      <c r="C1694" s="65">
        <v>42296</v>
      </c>
      <c r="D1694" s="1">
        <v>1</v>
      </c>
    </row>
    <row r="1695" spans="1:4" x14ac:dyDescent="0.25">
      <c r="A1695" s="65">
        <v>42297</v>
      </c>
      <c r="B1695" s="1">
        <v>1</v>
      </c>
      <c r="C1695" s="65">
        <v>42297</v>
      </c>
      <c r="D1695" s="1">
        <v>1</v>
      </c>
    </row>
    <row r="1696" spans="1:4" x14ac:dyDescent="0.25">
      <c r="A1696" s="65">
        <v>42298</v>
      </c>
      <c r="B1696" s="1">
        <v>1</v>
      </c>
      <c r="C1696" s="65">
        <v>42298</v>
      </c>
      <c r="D1696" s="1">
        <v>1</v>
      </c>
    </row>
    <row r="1697" spans="1:4" x14ac:dyDescent="0.25">
      <c r="A1697" s="65">
        <v>42299</v>
      </c>
      <c r="B1697" s="1">
        <v>1</v>
      </c>
      <c r="C1697" s="65">
        <v>42299</v>
      </c>
      <c r="D1697" s="1">
        <v>1</v>
      </c>
    </row>
    <row r="1698" spans="1:4" x14ac:dyDescent="0.25">
      <c r="A1698" s="65">
        <v>42300</v>
      </c>
      <c r="B1698" s="1">
        <v>1</v>
      </c>
      <c r="C1698" s="65">
        <v>42300</v>
      </c>
      <c r="D1698" s="1">
        <v>1</v>
      </c>
    </row>
    <row r="1699" spans="1:4" x14ac:dyDescent="0.25">
      <c r="A1699" s="65">
        <v>42303</v>
      </c>
      <c r="B1699" s="1">
        <v>1</v>
      </c>
      <c r="C1699" s="65">
        <v>42303</v>
      </c>
      <c r="D1699" s="1">
        <v>1</v>
      </c>
    </row>
    <row r="1700" spans="1:4" x14ac:dyDescent="0.25">
      <c r="A1700" s="65">
        <v>42304</v>
      </c>
      <c r="B1700" s="1">
        <v>1</v>
      </c>
      <c r="C1700" s="65">
        <v>42304</v>
      </c>
      <c r="D1700" s="1">
        <v>1</v>
      </c>
    </row>
    <row r="1701" spans="1:4" x14ac:dyDescent="0.25">
      <c r="A1701" s="65">
        <v>42305</v>
      </c>
      <c r="B1701" s="1">
        <v>1</v>
      </c>
      <c r="C1701" s="65">
        <v>42305</v>
      </c>
      <c r="D1701" s="1">
        <v>1</v>
      </c>
    </row>
    <row r="1702" spans="1:4" x14ac:dyDescent="0.25">
      <c r="A1702" s="65">
        <v>42306</v>
      </c>
      <c r="B1702" s="1">
        <v>1</v>
      </c>
      <c r="C1702" s="65">
        <v>42306</v>
      </c>
      <c r="D1702" s="1">
        <v>1</v>
      </c>
    </row>
    <row r="1703" spans="1:4" x14ac:dyDescent="0.25">
      <c r="A1703" s="65">
        <v>42307</v>
      </c>
      <c r="B1703" s="1">
        <v>1</v>
      </c>
      <c r="C1703" s="65">
        <v>42307</v>
      </c>
      <c r="D1703" s="1">
        <v>1</v>
      </c>
    </row>
    <row r="1704" spans="1:4" x14ac:dyDescent="0.25">
      <c r="A1704" s="65">
        <v>42310</v>
      </c>
      <c r="B1704" s="1">
        <v>1</v>
      </c>
      <c r="C1704" s="65">
        <v>42310</v>
      </c>
      <c r="D1704" s="1">
        <v>1</v>
      </c>
    </row>
    <row r="1705" spans="1:4" x14ac:dyDescent="0.25">
      <c r="A1705" s="65">
        <v>42311</v>
      </c>
      <c r="B1705" s="1">
        <v>1</v>
      </c>
      <c r="C1705" s="65">
        <v>42311</v>
      </c>
      <c r="D1705" s="1">
        <v>1</v>
      </c>
    </row>
    <row r="1706" spans="1:4" x14ac:dyDescent="0.25">
      <c r="A1706" s="65">
        <v>42312</v>
      </c>
      <c r="B1706" s="1">
        <v>1</v>
      </c>
      <c r="C1706" s="65">
        <v>42312</v>
      </c>
      <c r="D1706" s="1">
        <v>1</v>
      </c>
    </row>
    <row r="1707" spans="1:4" x14ac:dyDescent="0.25">
      <c r="A1707" s="65">
        <v>42313</v>
      </c>
      <c r="B1707" s="1">
        <v>1</v>
      </c>
      <c r="C1707" s="65">
        <v>42313</v>
      </c>
      <c r="D1707" s="1">
        <v>1</v>
      </c>
    </row>
    <row r="1708" spans="1:4" x14ac:dyDescent="0.25">
      <c r="A1708" s="65">
        <v>42314</v>
      </c>
      <c r="B1708" s="1">
        <v>1</v>
      </c>
      <c r="C1708" s="65">
        <v>42314</v>
      </c>
      <c r="D1708" s="1">
        <v>1</v>
      </c>
    </row>
    <row r="1709" spans="1:4" x14ac:dyDescent="0.25">
      <c r="A1709" s="65">
        <v>42317</v>
      </c>
      <c r="B1709" s="1">
        <v>1</v>
      </c>
      <c r="C1709" s="65">
        <v>42317</v>
      </c>
      <c r="D1709" s="1">
        <v>1</v>
      </c>
    </row>
    <row r="1710" spans="1:4" x14ac:dyDescent="0.25">
      <c r="A1710" s="65">
        <v>42318</v>
      </c>
      <c r="B1710" s="1">
        <v>1</v>
      </c>
      <c r="C1710" s="65">
        <v>42318</v>
      </c>
      <c r="D1710" s="1">
        <v>1</v>
      </c>
    </row>
    <row r="1711" spans="1:4" x14ac:dyDescent="0.25">
      <c r="A1711" s="65">
        <v>42319</v>
      </c>
      <c r="B1711" s="1">
        <v>1</v>
      </c>
      <c r="C1711" s="65">
        <v>42319</v>
      </c>
      <c r="D1711" s="1">
        <v>1</v>
      </c>
    </row>
    <row r="1712" spans="1:4" x14ac:dyDescent="0.25">
      <c r="A1712" s="65">
        <v>42320</v>
      </c>
      <c r="B1712" s="1">
        <v>1</v>
      </c>
      <c r="C1712" s="65">
        <v>42320</v>
      </c>
      <c r="D1712" s="1">
        <v>1</v>
      </c>
    </row>
    <row r="1713" spans="1:4" x14ac:dyDescent="0.25">
      <c r="A1713" s="65">
        <v>42321</v>
      </c>
      <c r="B1713" s="1">
        <v>1</v>
      </c>
      <c r="C1713" s="65">
        <v>42321</v>
      </c>
      <c r="D1713" s="1">
        <v>1</v>
      </c>
    </row>
    <row r="1714" spans="1:4" x14ac:dyDescent="0.25">
      <c r="A1714" s="65">
        <v>42324</v>
      </c>
      <c r="B1714" s="1">
        <v>1</v>
      </c>
      <c r="C1714" s="65">
        <v>42324</v>
      </c>
      <c r="D1714" s="1">
        <v>1</v>
      </c>
    </row>
    <row r="1715" spans="1:4" x14ac:dyDescent="0.25">
      <c r="A1715" s="65">
        <v>42325</v>
      </c>
      <c r="B1715" s="1">
        <v>1</v>
      </c>
      <c r="C1715" s="65">
        <v>42325</v>
      </c>
      <c r="D1715" s="1">
        <v>1</v>
      </c>
    </row>
    <row r="1716" spans="1:4" x14ac:dyDescent="0.25">
      <c r="A1716" s="65">
        <v>42326</v>
      </c>
      <c r="B1716" s="1">
        <v>1</v>
      </c>
      <c r="C1716" s="65">
        <v>42326</v>
      </c>
      <c r="D1716" s="1">
        <v>1</v>
      </c>
    </row>
    <row r="1717" spans="1:4" x14ac:dyDescent="0.25">
      <c r="A1717" s="65">
        <v>42327</v>
      </c>
      <c r="B1717" s="1">
        <v>1</v>
      </c>
      <c r="C1717" s="65">
        <v>42327</v>
      </c>
      <c r="D1717" s="1">
        <v>1</v>
      </c>
    </row>
    <row r="1718" spans="1:4" x14ac:dyDescent="0.25">
      <c r="A1718" s="65">
        <v>42328</v>
      </c>
      <c r="B1718" s="1">
        <v>1</v>
      </c>
      <c r="C1718" s="65">
        <v>42328</v>
      </c>
      <c r="D1718" s="1">
        <v>1</v>
      </c>
    </row>
    <row r="1719" spans="1:4" x14ac:dyDescent="0.25">
      <c r="A1719" s="65">
        <v>42331</v>
      </c>
      <c r="B1719" s="1">
        <v>1</v>
      </c>
      <c r="C1719" s="65">
        <v>42331</v>
      </c>
      <c r="D1719" s="1">
        <v>1</v>
      </c>
    </row>
    <row r="1720" spans="1:4" x14ac:dyDescent="0.25">
      <c r="A1720" s="65">
        <v>42332</v>
      </c>
      <c r="B1720" s="1">
        <v>1</v>
      </c>
      <c r="C1720" s="65">
        <v>42332</v>
      </c>
      <c r="D1720" s="1">
        <v>1</v>
      </c>
    </row>
    <row r="1721" spans="1:4" x14ac:dyDescent="0.25">
      <c r="A1721" s="65">
        <v>42333</v>
      </c>
      <c r="B1721" s="1">
        <v>1</v>
      </c>
      <c r="C1721" s="65">
        <v>42333</v>
      </c>
      <c r="D1721" s="1">
        <v>1</v>
      </c>
    </row>
    <row r="1722" spans="1:4" x14ac:dyDescent="0.25">
      <c r="A1722" s="65">
        <v>42334</v>
      </c>
      <c r="B1722" s="1">
        <v>1</v>
      </c>
      <c r="C1722" s="65">
        <v>42334</v>
      </c>
      <c r="D1722" s="1">
        <v>1</v>
      </c>
    </row>
    <row r="1723" spans="1:4" x14ac:dyDescent="0.25">
      <c r="A1723" s="65">
        <v>42335</v>
      </c>
      <c r="B1723" s="1">
        <v>1</v>
      </c>
      <c r="C1723" s="65">
        <v>42335</v>
      </c>
      <c r="D1723" s="1">
        <v>1</v>
      </c>
    </row>
    <row r="1724" spans="1:4" x14ac:dyDescent="0.25">
      <c r="A1724" s="65">
        <v>42338</v>
      </c>
      <c r="B1724" s="1">
        <v>1</v>
      </c>
      <c r="C1724" s="65">
        <v>42338</v>
      </c>
      <c r="D1724" s="1">
        <v>1</v>
      </c>
    </row>
    <row r="1725" spans="1:4" x14ac:dyDescent="0.25">
      <c r="A1725" s="65">
        <v>42339</v>
      </c>
      <c r="B1725" s="1">
        <v>1</v>
      </c>
      <c r="C1725" s="65">
        <v>42339</v>
      </c>
      <c r="D1725" s="1">
        <v>1</v>
      </c>
    </row>
    <row r="1726" spans="1:4" x14ac:dyDescent="0.25">
      <c r="A1726" s="65">
        <v>42340</v>
      </c>
      <c r="B1726" s="1">
        <v>1</v>
      </c>
      <c r="C1726" s="65">
        <v>42340</v>
      </c>
      <c r="D1726" s="1">
        <v>1</v>
      </c>
    </row>
    <row r="1727" spans="1:4" x14ac:dyDescent="0.25">
      <c r="A1727" s="65">
        <v>42341</v>
      </c>
      <c r="B1727" s="1">
        <v>1</v>
      </c>
      <c r="C1727" s="65">
        <v>42341</v>
      </c>
      <c r="D1727" s="1">
        <v>1</v>
      </c>
    </row>
    <row r="1728" spans="1:4" x14ac:dyDescent="0.25">
      <c r="A1728" s="65">
        <v>42342</v>
      </c>
      <c r="B1728" s="1">
        <v>1</v>
      </c>
      <c r="C1728" s="65">
        <v>42342</v>
      </c>
      <c r="D1728" s="1">
        <v>1</v>
      </c>
    </row>
    <row r="1729" spans="1:4" x14ac:dyDescent="0.25">
      <c r="A1729" s="65">
        <v>42345</v>
      </c>
      <c r="B1729" s="1">
        <v>1</v>
      </c>
      <c r="C1729" s="65">
        <v>42345</v>
      </c>
      <c r="D1729" s="1">
        <v>1</v>
      </c>
    </row>
    <row r="1730" spans="1:4" x14ac:dyDescent="0.25">
      <c r="A1730" s="65">
        <v>42346</v>
      </c>
      <c r="B1730" s="1">
        <v>1</v>
      </c>
      <c r="C1730" s="65">
        <v>42346</v>
      </c>
      <c r="D1730" s="1">
        <v>1</v>
      </c>
    </row>
    <row r="1731" spans="1:4" x14ac:dyDescent="0.25">
      <c r="A1731" s="65">
        <v>42347</v>
      </c>
      <c r="B1731" s="1">
        <v>1</v>
      </c>
      <c r="C1731" s="65">
        <v>42347</v>
      </c>
      <c r="D1731" s="1">
        <v>1</v>
      </c>
    </row>
    <row r="1732" spans="1:4" x14ac:dyDescent="0.25">
      <c r="A1732" s="65">
        <v>42348</v>
      </c>
      <c r="B1732" s="1">
        <v>1</v>
      </c>
      <c r="C1732" s="65">
        <v>42348</v>
      </c>
      <c r="D1732" s="1">
        <v>1</v>
      </c>
    </row>
    <row r="1733" spans="1:4" x14ac:dyDescent="0.25">
      <c r="A1733" s="65">
        <v>42349</v>
      </c>
      <c r="B1733" s="1">
        <v>1</v>
      </c>
      <c r="C1733" s="65">
        <v>42349</v>
      </c>
      <c r="D1733" s="1">
        <v>1</v>
      </c>
    </row>
    <row r="1734" spans="1:4" x14ac:dyDescent="0.25">
      <c r="A1734" s="65">
        <v>42352</v>
      </c>
      <c r="B1734" s="1">
        <v>1</v>
      </c>
      <c r="C1734" s="65">
        <v>42352</v>
      </c>
      <c r="D1734" s="1">
        <v>1</v>
      </c>
    </row>
    <row r="1735" spans="1:4" x14ac:dyDescent="0.25">
      <c r="A1735" s="65">
        <v>42353</v>
      </c>
      <c r="B1735" s="1">
        <v>1</v>
      </c>
      <c r="C1735" s="65">
        <v>42353</v>
      </c>
      <c r="D1735" s="1">
        <v>1</v>
      </c>
    </row>
    <row r="1736" spans="1:4" x14ac:dyDescent="0.25">
      <c r="A1736" s="65">
        <v>42354</v>
      </c>
      <c r="B1736" s="1">
        <v>1</v>
      </c>
      <c r="C1736" s="65">
        <v>42354</v>
      </c>
      <c r="D1736" s="1">
        <v>1</v>
      </c>
    </row>
    <row r="1737" spans="1:4" x14ac:dyDescent="0.25">
      <c r="A1737" s="65">
        <v>42355</v>
      </c>
      <c r="B1737" s="1">
        <v>1</v>
      </c>
      <c r="C1737" s="65">
        <v>42355</v>
      </c>
      <c r="D1737" s="1">
        <v>1</v>
      </c>
    </row>
    <row r="1738" spans="1:4" x14ac:dyDescent="0.25">
      <c r="A1738" s="65">
        <v>42356</v>
      </c>
      <c r="B1738" s="1">
        <v>1</v>
      </c>
      <c r="C1738" s="65">
        <v>42356</v>
      </c>
      <c r="D1738" s="1">
        <v>1</v>
      </c>
    </row>
    <row r="1739" spans="1:4" x14ac:dyDescent="0.25">
      <c r="A1739" s="65">
        <v>42359</v>
      </c>
      <c r="B1739" s="1">
        <v>1</v>
      </c>
      <c r="C1739" s="65">
        <v>42359</v>
      </c>
      <c r="D1739" s="1">
        <v>1</v>
      </c>
    </row>
    <row r="1740" spans="1:4" x14ac:dyDescent="0.25">
      <c r="A1740" s="65">
        <v>42360</v>
      </c>
      <c r="B1740" s="1">
        <v>1</v>
      </c>
      <c r="C1740" s="65">
        <v>42360</v>
      </c>
      <c r="D1740" s="1">
        <v>1</v>
      </c>
    </row>
    <row r="1741" spans="1:4" x14ac:dyDescent="0.25">
      <c r="A1741" s="65">
        <v>42361</v>
      </c>
      <c r="B1741" s="1">
        <v>1</v>
      </c>
      <c r="C1741" s="65">
        <v>42361</v>
      </c>
      <c r="D1741" s="1">
        <v>1</v>
      </c>
    </row>
    <row r="1742" spans="1:4" x14ac:dyDescent="0.25">
      <c r="A1742" s="65">
        <v>42362</v>
      </c>
      <c r="B1742" s="1">
        <v>1</v>
      </c>
      <c r="C1742" s="65">
        <v>42362</v>
      </c>
      <c r="D1742" s="1">
        <v>1</v>
      </c>
    </row>
    <row r="1743" spans="1:4" x14ac:dyDescent="0.25">
      <c r="A1743" s="65">
        <v>42366</v>
      </c>
      <c r="B1743" s="1">
        <v>1</v>
      </c>
      <c r="C1743" s="65">
        <v>42366</v>
      </c>
      <c r="D1743" s="1">
        <v>1</v>
      </c>
    </row>
    <row r="1744" spans="1:4" x14ac:dyDescent="0.25">
      <c r="A1744" s="65">
        <v>42367</v>
      </c>
      <c r="B1744" s="1">
        <v>1</v>
      </c>
      <c r="C1744" s="65">
        <v>42367</v>
      </c>
      <c r="D1744" s="1">
        <v>1</v>
      </c>
    </row>
    <row r="1745" spans="1:4" x14ac:dyDescent="0.25">
      <c r="A1745" s="65">
        <v>42368</v>
      </c>
      <c r="B1745" s="1">
        <v>1</v>
      </c>
      <c r="C1745" s="65">
        <v>42368</v>
      </c>
      <c r="D1745" s="1">
        <v>1</v>
      </c>
    </row>
    <row r="1746" spans="1:4" x14ac:dyDescent="0.25">
      <c r="A1746" s="65">
        <v>42369</v>
      </c>
      <c r="B1746" s="1">
        <v>1</v>
      </c>
      <c r="C1746" s="65">
        <v>42369</v>
      </c>
      <c r="D1746" s="1">
        <v>1</v>
      </c>
    </row>
    <row r="1747" spans="1:4" x14ac:dyDescent="0.25">
      <c r="A1747" s="65">
        <v>42373</v>
      </c>
      <c r="B1747" s="1">
        <v>1</v>
      </c>
      <c r="C1747" s="65">
        <v>42373</v>
      </c>
      <c r="D1747" s="1">
        <v>1</v>
      </c>
    </row>
    <row r="1748" spans="1:4" x14ac:dyDescent="0.25">
      <c r="A1748" s="65">
        <v>42374</v>
      </c>
      <c r="B1748" s="1">
        <v>1</v>
      </c>
      <c r="C1748" s="65">
        <v>42374</v>
      </c>
      <c r="D1748" s="1">
        <v>1</v>
      </c>
    </row>
    <row r="1749" spans="1:4" x14ac:dyDescent="0.25">
      <c r="A1749" s="65">
        <v>42375</v>
      </c>
      <c r="B1749" s="1">
        <v>1</v>
      </c>
      <c r="C1749" s="65">
        <v>42375</v>
      </c>
      <c r="D1749" s="1">
        <v>1</v>
      </c>
    </row>
    <row r="1750" spans="1:4" x14ac:dyDescent="0.25">
      <c r="A1750" s="65">
        <v>42376</v>
      </c>
      <c r="B1750" s="1">
        <v>1</v>
      </c>
      <c r="C1750" s="65">
        <v>42376</v>
      </c>
      <c r="D1750" s="1">
        <v>1</v>
      </c>
    </row>
    <row r="1751" spans="1:4" x14ac:dyDescent="0.25">
      <c r="A1751" s="65">
        <v>42377</v>
      </c>
      <c r="B1751" s="1">
        <v>1</v>
      </c>
      <c r="C1751" s="65">
        <v>42377</v>
      </c>
      <c r="D1751" s="1">
        <v>1</v>
      </c>
    </row>
    <row r="1752" spans="1:4" x14ac:dyDescent="0.25">
      <c r="A1752" s="65">
        <v>42380</v>
      </c>
      <c r="B1752" s="1">
        <v>1</v>
      </c>
      <c r="C1752" s="65">
        <v>42380</v>
      </c>
      <c r="D1752" s="1">
        <v>1</v>
      </c>
    </row>
    <row r="1753" spans="1:4" x14ac:dyDescent="0.25">
      <c r="A1753" s="65">
        <v>42381</v>
      </c>
      <c r="B1753" s="1">
        <v>1</v>
      </c>
      <c r="C1753" s="65">
        <v>42381</v>
      </c>
      <c r="D1753" s="1">
        <v>1</v>
      </c>
    </row>
    <row r="1754" spans="1:4" x14ac:dyDescent="0.25">
      <c r="A1754" s="65">
        <v>42382</v>
      </c>
      <c r="B1754" s="1">
        <v>1</v>
      </c>
      <c r="C1754" s="65">
        <v>42382</v>
      </c>
      <c r="D1754" s="1">
        <v>1</v>
      </c>
    </row>
    <row r="1755" spans="1:4" x14ac:dyDescent="0.25">
      <c r="A1755" s="65">
        <v>42383</v>
      </c>
      <c r="B1755" s="1">
        <v>1</v>
      </c>
      <c r="C1755" s="65">
        <v>42383</v>
      </c>
      <c r="D1755" s="1">
        <v>1</v>
      </c>
    </row>
    <row r="1756" spans="1:4" x14ac:dyDescent="0.25">
      <c r="A1756" s="65">
        <v>42384</v>
      </c>
      <c r="B1756" s="1">
        <v>1</v>
      </c>
      <c r="C1756" s="65">
        <v>42384</v>
      </c>
      <c r="D1756" s="1">
        <v>1</v>
      </c>
    </row>
    <row r="1757" spans="1:4" x14ac:dyDescent="0.25">
      <c r="A1757" s="65">
        <v>42387</v>
      </c>
      <c r="B1757" s="1">
        <v>1</v>
      </c>
      <c r="C1757" s="65">
        <v>42387</v>
      </c>
      <c r="D1757" s="1">
        <v>1</v>
      </c>
    </row>
    <row r="1758" spans="1:4" x14ac:dyDescent="0.25">
      <c r="A1758" s="65">
        <v>42388</v>
      </c>
      <c r="B1758" s="1">
        <v>1</v>
      </c>
      <c r="C1758" s="65">
        <v>42388</v>
      </c>
      <c r="D1758" s="1">
        <v>1</v>
      </c>
    </row>
    <row r="1759" spans="1:4" x14ac:dyDescent="0.25">
      <c r="A1759" s="65">
        <v>42389</v>
      </c>
      <c r="B1759" s="1">
        <v>1</v>
      </c>
      <c r="C1759" s="65">
        <v>42389</v>
      </c>
      <c r="D1759" s="1">
        <v>1</v>
      </c>
    </row>
    <row r="1760" spans="1:4" x14ac:dyDescent="0.25">
      <c r="A1760" s="65">
        <v>42390</v>
      </c>
      <c r="B1760" s="1">
        <v>1</v>
      </c>
      <c r="C1760" s="65">
        <v>42390</v>
      </c>
      <c r="D1760" s="1">
        <v>1</v>
      </c>
    </row>
    <row r="1761" spans="1:4" x14ac:dyDescent="0.25">
      <c r="A1761" s="65">
        <v>42391</v>
      </c>
      <c r="B1761" s="1">
        <v>1</v>
      </c>
      <c r="C1761" s="65">
        <v>42391</v>
      </c>
      <c r="D1761" s="1">
        <v>1</v>
      </c>
    </row>
    <row r="1762" spans="1:4" x14ac:dyDescent="0.25">
      <c r="A1762" s="65">
        <v>42394</v>
      </c>
      <c r="B1762" s="1">
        <v>1</v>
      </c>
      <c r="C1762" s="65">
        <v>42394</v>
      </c>
      <c r="D1762" s="1">
        <v>1</v>
      </c>
    </row>
    <row r="1763" spans="1:4" x14ac:dyDescent="0.25">
      <c r="A1763" s="65">
        <v>42395</v>
      </c>
      <c r="B1763" s="1">
        <v>1</v>
      </c>
      <c r="C1763" s="65">
        <v>42395</v>
      </c>
      <c r="D1763" s="1">
        <v>1</v>
      </c>
    </row>
    <row r="1764" spans="1:4" x14ac:dyDescent="0.25">
      <c r="A1764" s="65">
        <v>42396</v>
      </c>
      <c r="B1764" s="1">
        <v>1</v>
      </c>
      <c r="C1764" s="65">
        <v>42396</v>
      </c>
      <c r="D1764" s="1">
        <v>1</v>
      </c>
    </row>
    <row r="1765" spans="1:4" x14ac:dyDescent="0.25">
      <c r="A1765" s="65">
        <v>42397</v>
      </c>
      <c r="B1765" s="1">
        <v>1</v>
      </c>
      <c r="C1765" s="65">
        <v>42397</v>
      </c>
      <c r="D1765" s="1">
        <v>1</v>
      </c>
    </row>
    <row r="1766" spans="1:4" x14ac:dyDescent="0.25">
      <c r="A1766" s="65">
        <v>42398</v>
      </c>
      <c r="B1766" s="1">
        <v>1</v>
      </c>
      <c r="C1766" s="65">
        <v>42398</v>
      </c>
      <c r="D1766" s="1">
        <v>1</v>
      </c>
    </row>
    <row r="1767" spans="1:4" x14ac:dyDescent="0.25">
      <c r="A1767" s="65">
        <v>42401</v>
      </c>
      <c r="B1767" s="1">
        <v>1</v>
      </c>
      <c r="C1767" s="65">
        <v>42401</v>
      </c>
      <c r="D1767" s="1">
        <v>1</v>
      </c>
    </row>
    <row r="1768" spans="1:4" x14ac:dyDescent="0.25">
      <c r="A1768" s="65">
        <v>42402</v>
      </c>
      <c r="B1768" s="1">
        <v>1</v>
      </c>
      <c r="C1768" s="65">
        <v>42402</v>
      </c>
      <c r="D1768" s="1">
        <v>1</v>
      </c>
    </row>
    <row r="1769" spans="1:4" x14ac:dyDescent="0.25">
      <c r="A1769" s="65">
        <v>42403</v>
      </c>
      <c r="B1769" s="1">
        <v>1</v>
      </c>
      <c r="C1769" s="65">
        <v>42403</v>
      </c>
      <c r="D1769" s="1">
        <v>1</v>
      </c>
    </row>
    <row r="1770" spans="1:4" x14ac:dyDescent="0.25">
      <c r="A1770" s="65">
        <v>42404</v>
      </c>
      <c r="B1770" s="1">
        <v>1</v>
      </c>
      <c r="C1770" s="65">
        <v>42404</v>
      </c>
      <c r="D1770" s="1">
        <v>1</v>
      </c>
    </row>
    <row r="1771" spans="1:4" x14ac:dyDescent="0.25">
      <c r="A1771" s="65">
        <v>42405</v>
      </c>
      <c r="B1771" s="1">
        <v>1</v>
      </c>
      <c r="C1771" s="65">
        <v>42405</v>
      </c>
      <c r="D1771" s="1">
        <v>1</v>
      </c>
    </row>
    <row r="1772" spans="1:4" x14ac:dyDescent="0.25">
      <c r="A1772" s="65">
        <v>42408</v>
      </c>
      <c r="B1772" s="1">
        <v>1</v>
      </c>
      <c r="C1772" s="65">
        <v>42408</v>
      </c>
      <c r="D1772" s="1">
        <v>1</v>
      </c>
    </row>
    <row r="1773" spans="1:4" x14ac:dyDescent="0.25">
      <c r="A1773" s="65">
        <v>42409</v>
      </c>
      <c r="B1773" s="1">
        <v>1</v>
      </c>
      <c r="C1773" s="65">
        <v>42409</v>
      </c>
      <c r="D1773" s="1">
        <v>1</v>
      </c>
    </row>
    <row r="1774" spans="1:4" x14ac:dyDescent="0.25">
      <c r="A1774" s="65">
        <v>42410</v>
      </c>
      <c r="B1774" s="1">
        <v>1</v>
      </c>
      <c r="C1774" s="65">
        <v>42410</v>
      </c>
      <c r="D1774" s="1">
        <v>1</v>
      </c>
    </row>
    <row r="1775" spans="1:4" x14ac:dyDescent="0.25">
      <c r="A1775" s="65">
        <v>42411</v>
      </c>
      <c r="B1775" s="1">
        <v>1</v>
      </c>
      <c r="C1775" s="65">
        <v>42411</v>
      </c>
      <c r="D1775" s="1">
        <v>1</v>
      </c>
    </row>
    <row r="1776" spans="1:4" x14ac:dyDescent="0.25">
      <c r="A1776" s="65">
        <v>42412</v>
      </c>
      <c r="B1776" s="1">
        <v>1</v>
      </c>
      <c r="C1776" s="65">
        <v>42412</v>
      </c>
      <c r="D1776" s="1">
        <v>1</v>
      </c>
    </row>
    <row r="1777" spans="1:4" x14ac:dyDescent="0.25">
      <c r="A1777" s="65">
        <v>42415</v>
      </c>
      <c r="B1777" s="1">
        <v>1</v>
      </c>
      <c r="C1777" s="65">
        <v>42415</v>
      </c>
      <c r="D1777" s="1">
        <v>1</v>
      </c>
    </row>
    <row r="1778" spans="1:4" x14ac:dyDescent="0.25">
      <c r="A1778" s="65">
        <v>42416</v>
      </c>
      <c r="B1778" s="1">
        <v>1</v>
      </c>
      <c r="C1778" s="65">
        <v>42416</v>
      </c>
      <c r="D1778" s="1">
        <v>1</v>
      </c>
    </row>
    <row r="1779" spans="1:4" x14ac:dyDescent="0.25">
      <c r="A1779" s="65">
        <v>42417</v>
      </c>
      <c r="B1779" s="1">
        <v>1</v>
      </c>
      <c r="C1779" s="65">
        <v>42417</v>
      </c>
      <c r="D1779" s="1">
        <v>1</v>
      </c>
    </row>
    <row r="1780" spans="1:4" x14ac:dyDescent="0.25">
      <c r="A1780" s="65">
        <v>42418</v>
      </c>
      <c r="B1780" s="1">
        <v>1</v>
      </c>
      <c r="C1780" s="65">
        <v>42418</v>
      </c>
      <c r="D1780" s="1">
        <v>1</v>
      </c>
    </row>
    <row r="1781" spans="1:4" x14ac:dyDescent="0.25">
      <c r="A1781" s="65">
        <v>42419</v>
      </c>
      <c r="B1781" s="1">
        <v>1</v>
      </c>
      <c r="C1781" s="65">
        <v>42419</v>
      </c>
      <c r="D1781" s="1">
        <v>1</v>
      </c>
    </row>
    <row r="1782" spans="1:4" x14ac:dyDescent="0.25">
      <c r="A1782" s="65">
        <v>42422</v>
      </c>
      <c r="B1782" s="1">
        <v>1</v>
      </c>
      <c r="C1782" s="65">
        <v>42422</v>
      </c>
      <c r="D1782" s="1">
        <v>1</v>
      </c>
    </row>
    <row r="1783" spans="1:4" x14ac:dyDescent="0.25">
      <c r="A1783" s="65">
        <v>42423</v>
      </c>
      <c r="B1783" s="1">
        <v>1</v>
      </c>
      <c r="C1783" s="65">
        <v>42423</v>
      </c>
      <c r="D1783" s="1">
        <v>1</v>
      </c>
    </row>
    <row r="1784" spans="1:4" x14ac:dyDescent="0.25">
      <c r="A1784" s="65">
        <v>42424</v>
      </c>
      <c r="B1784" s="1">
        <v>1</v>
      </c>
      <c r="C1784" s="65">
        <v>42424</v>
      </c>
      <c r="D1784" s="1">
        <v>1</v>
      </c>
    </row>
    <row r="1785" spans="1:4" x14ac:dyDescent="0.25">
      <c r="A1785" s="65">
        <v>42425</v>
      </c>
      <c r="B1785" s="1">
        <v>1</v>
      </c>
      <c r="C1785" s="65">
        <v>42425</v>
      </c>
      <c r="D1785" s="1">
        <v>1</v>
      </c>
    </row>
    <row r="1786" spans="1:4" x14ac:dyDescent="0.25">
      <c r="A1786" s="65">
        <v>42426</v>
      </c>
      <c r="B1786" s="1">
        <v>1</v>
      </c>
      <c r="C1786" s="65">
        <v>42426</v>
      </c>
      <c r="D1786" s="1">
        <v>1</v>
      </c>
    </row>
    <row r="1787" spans="1:4" x14ac:dyDescent="0.25">
      <c r="A1787" s="65">
        <v>42429</v>
      </c>
      <c r="B1787" s="1">
        <v>1</v>
      </c>
      <c r="C1787" s="65">
        <v>42429</v>
      </c>
      <c r="D1787" s="1">
        <v>1</v>
      </c>
    </row>
    <row r="1788" spans="1:4" x14ac:dyDescent="0.25">
      <c r="A1788" s="65">
        <v>42430</v>
      </c>
      <c r="B1788" s="1">
        <v>1</v>
      </c>
      <c r="C1788" s="65">
        <v>42430</v>
      </c>
      <c r="D1788" s="1">
        <v>1</v>
      </c>
    </row>
    <row r="1789" spans="1:4" x14ac:dyDescent="0.25">
      <c r="A1789" s="65">
        <v>42431</v>
      </c>
      <c r="B1789" s="1">
        <v>1</v>
      </c>
      <c r="C1789" s="65">
        <v>42431</v>
      </c>
      <c r="D1789" s="1">
        <v>1</v>
      </c>
    </row>
    <row r="1790" spans="1:4" x14ac:dyDescent="0.25">
      <c r="A1790" s="65">
        <v>42432</v>
      </c>
      <c r="B1790" s="1">
        <v>1</v>
      </c>
      <c r="C1790" s="65">
        <v>42432</v>
      </c>
      <c r="D1790" s="1">
        <v>1</v>
      </c>
    </row>
    <row r="1791" spans="1:4" x14ac:dyDescent="0.25">
      <c r="A1791" s="65">
        <v>42433</v>
      </c>
      <c r="B1791" s="1">
        <v>1</v>
      </c>
      <c r="C1791" s="65">
        <v>42433</v>
      </c>
      <c r="D1791" s="1">
        <v>1</v>
      </c>
    </row>
    <row r="1792" spans="1:4" x14ac:dyDescent="0.25">
      <c r="A1792" s="65">
        <v>42436</v>
      </c>
      <c r="B1792" s="1">
        <v>1</v>
      </c>
      <c r="C1792" s="65">
        <v>42436</v>
      </c>
      <c r="D1792" s="1">
        <v>1</v>
      </c>
    </row>
    <row r="1793" spans="1:4" x14ac:dyDescent="0.25">
      <c r="A1793" s="65">
        <v>42437</v>
      </c>
      <c r="B1793" s="1">
        <v>1</v>
      </c>
      <c r="C1793" s="65">
        <v>42437</v>
      </c>
      <c r="D1793" s="1">
        <v>1</v>
      </c>
    </row>
    <row r="1794" spans="1:4" x14ac:dyDescent="0.25">
      <c r="A1794" s="65">
        <v>42438</v>
      </c>
      <c r="B1794" s="1">
        <v>1</v>
      </c>
      <c r="C1794" s="65">
        <v>42438</v>
      </c>
      <c r="D1794" s="1">
        <v>1</v>
      </c>
    </row>
    <row r="1795" spans="1:4" x14ac:dyDescent="0.25">
      <c r="A1795" s="65">
        <v>42439</v>
      </c>
      <c r="B1795" s="1">
        <v>1</v>
      </c>
      <c r="C1795" s="65">
        <v>42439</v>
      </c>
      <c r="D1795" s="1">
        <v>1</v>
      </c>
    </row>
    <row r="1796" spans="1:4" x14ac:dyDescent="0.25">
      <c r="A1796" s="65">
        <v>42440</v>
      </c>
      <c r="B1796" s="1">
        <v>1</v>
      </c>
      <c r="C1796" s="65">
        <v>42440</v>
      </c>
      <c r="D1796" s="1">
        <v>1</v>
      </c>
    </row>
    <row r="1797" spans="1:4" x14ac:dyDescent="0.25">
      <c r="A1797" s="65">
        <v>42443</v>
      </c>
      <c r="B1797" s="1">
        <v>1</v>
      </c>
      <c r="C1797" s="65">
        <v>42443</v>
      </c>
      <c r="D1797" s="1">
        <v>1</v>
      </c>
    </row>
    <row r="1798" spans="1:4" x14ac:dyDescent="0.25">
      <c r="A1798" s="65">
        <v>42444</v>
      </c>
      <c r="B1798" s="1">
        <v>1</v>
      </c>
      <c r="C1798" s="65">
        <v>42444</v>
      </c>
      <c r="D1798" s="1">
        <v>1</v>
      </c>
    </row>
    <row r="1799" spans="1:4" x14ac:dyDescent="0.25">
      <c r="A1799" s="65">
        <v>42445</v>
      </c>
      <c r="B1799" s="1">
        <v>1</v>
      </c>
      <c r="C1799" s="65">
        <v>42445</v>
      </c>
      <c r="D1799" s="1">
        <v>1</v>
      </c>
    </row>
    <row r="1800" spans="1:4" x14ac:dyDescent="0.25">
      <c r="A1800" s="65">
        <v>42446</v>
      </c>
      <c r="B1800" s="1">
        <v>1</v>
      </c>
      <c r="C1800" s="65">
        <v>42446</v>
      </c>
      <c r="D1800" s="1">
        <v>1</v>
      </c>
    </row>
    <row r="1801" spans="1:4" x14ac:dyDescent="0.25">
      <c r="A1801" s="65">
        <v>42447</v>
      </c>
      <c r="B1801" s="1">
        <v>1</v>
      </c>
      <c r="C1801" s="65">
        <v>42447</v>
      </c>
      <c r="D1801" s="1">
        <v>1</v>
      </c>
    </row>
    <row r="1802" spans="1:4" x14ac:dyDescent="0.25">
      <c r="A1802" s="65">
        <v>42450</v>
      </c>
      <c r="B1802" s="1">
        <v>1</v>
      </c>
      <c r="C1802" s="65">
        <v>42450</v>
      </c>
      <c r="D1802" s="1">
        <v>1</v>
      </c>
    </row>
    <row r="1803" spans="1:4" x14ac:dyDescent="0.25">
      <c r="A1803" s="65">
        <v>42451</v>
      </c>
      <c r="B1803" s="1">
        <v>1</v>
      </c>
      <c r="C1803" s="65">
        <v>42451</v>
      </c>
      <c r="D1803" s="1">
        <v>1</v>
      </c>
    </row>
    <row r="1804" spans="1:4" x14ac:dyDescent="0.25">
      <c r="A1804" s="65">
        <v>42452</v>
      </c>
      <c r="B1804" s="1">
        <v>1</v>
      </c>
      <c r="C1804" s="65">
        <v>42452</v>
      </c>
      <c r="D1804" s="1">
        <v>1</v>
      </c>
    </row>
    <row r="1805" spans="1:4" x14ac:dyDescent="0.25">
      <c r="A1805" s="65">
        <v>42453</v>
      </c>
      <c r="B1805" s="1">
        <v>1</v>
      </c>
      <c r="C1805" s="65">
        <v>42453</v>
      </c>
      <c r="D1805" s="1">
        <v>1</v>
      </c>
    </row>
    <row r="1806" spans="1:4" x14ac:dyDescent="0.25">
      <c r="A1806" s="65">
        <v>42458</v>
      </c>
      <c r="B1806" s="1">
        <v>1</v>
      </c>
      <c r="C1806" s="65">
        <v>42458</v>
      </c>
      <c r="D1806" s="1">
        <v>1</v>
      </c>
    </row>
    <row r="1807" spans="1:4" x14ac:dyDescent="0.25">
      <c r="A1807" s="65">
        <v>42459</v>
      </c>
      <c r="B1807" s="1">
        <v>1</v>
      </c>
      <c r="C1807" s="65">
        <v>42459</v>
      </c>
      <c r="D1807" s="1">
        <v>1</v>
      </c>
    </row>
    <row r="1808" spans="1:4" x14ac:dyDescent="0.25">
      <c r="A1808" s="65">
        <v>42460</v>
      </c>
      <c r="B1808" s="1">
        <v>1</v>
      </c>
      <c r="C1808" s="65">
        <v>42460</v>
      </c>
      <c r="D1808" s="1">
        <v>1</v>
      </c>
    </row>
    <row r="1809" spans="1:4" x14ac:dyDescent="0.25">
      <c r="A1809" s="65">
        <v>42461</v>
      </c>
      <c r="B1809" s="1">
        <v>1</v>
      </c>
      <c r="C1809" s="65">
        <v>42461</v>
      </c>
      <c r="D1809" s="1">
        <v>1</v>
      </c>
    </row>
    <row r="1810" spans="1:4" x14ac:dyDescent="0.25">
      <c r="A1810" s="65">
        <v>42464</v>
      </c>
      <c r="B1810" s="1">
        <v>1</v>
      </c>
      <c r="C1810" s="65">
        <v>42464</v>
      </c>
      <c r="D1810" s="1">
        <v>1</v>
      </c>
    </row>
    <row r="1811" spans="1:4" x14ac:dyDescent="0.25">
      <c r="A1811" s="65">
        <v>42465</v>
      </c>
      <c r="B1811" s="1">
        <v>1</v>
      </c>
      <c r="C1811" s="65">
        <v>42465</v>
      </c>
      <c r="D1811" s="1">
        <v>1</v>
      </c>
    </row>
    <row r="1812" spans="1:4" x14ac:dyDescent="0.25">
      <c r="A1812" s="65">
        <v>42466</v>
      </c>
      <c r="B1812" s="1">
        <v>1</v>
      </c>
      <c r="C1812" s="65">
        <v>42466</v>
      </c>
      <c r="D1812" s="1">
        <v>1</v>
      </c>
    </row>
    <row r="1813" spans="1:4" x14ac:dyDescent="0.25">
      <c r="A1813" s="65">
        <v>42467</v>
      </c>
      <c r="B1813" s="1">
        <v>1</v>
      </c>
      <c r="C1813" s="65">
        <v>42467</v>
      </c>
      <c r="D1813" s="1">
        <v>1</v>
      </c>
    </row>
    <row r="1814" spans="1:4" x14ac:dyDescent="0.25">
      <c r="A1814" s="65">
        <v>42468</v>
      </c>
      <c r="B1814" s="1">
        <v>1</v>
      </c>
      <c r="C1814" s="65">
        <v>42468</v>
      </c>
      <c r="D1814" s="1">
        <v>1</v>
      </c>
    </row>
    <row r="1815" spans="1:4" x14ac:dyDescent="0.25">
      <c r="A1815" s="65">
        <v>42471</v>
      </c>
      <c r="B1815" s="1">
        <v>1</v>
      </c>
      <c r="C1815" s="65">
        <v>42471</v>
      </c>
      <c r="D1815" s="1">
        <v>1</v>
      </c>
    </row>
    <row r="1816" spans="1:4" x14ac:dyDescent="0.25">
      <c r="A1816" s="65">
        <v>42472</v>
      </c>
      <c r="B1816" s="1">
        <v>1</v>
      </c>
      <c r="C1816" s="65">
        <v>42472</v>
      </c>
      <c r="D1816" s="1">
        <v>1</v>
      </c>
    </row>
    <row r="1817" spans="1:4" x14ac:dyDescent="0.25">
      <c r="A1817" s="65">
        <v>42473</v>
      </c>
      <c r="B1817" s="1">
        <v>1</v>
      </c>
      <c r="C1817" s="65">
        <v>42473</v>
      </c>
      <c r="D1817" s="1">
        <v>1</v>
      </c>
    </row>
    <row r="1818" spans="1:4" x14ac:dyDescent="0.25">
      <c r="A1818" s="65">
        <v>42474</v>
      </c>
      <c r="B1818" s="1">
        <v>1</v>
      </c>
      <c r="C1818" s="65">
        <v>42474</v>
      </c>
      <c r="D1818" s="1">
        <v>1</v>
      </c>
    </row>
    <row r="1819" spans="1:4" x14ac:dyDescent="0.25">
      <c r="A1819" s="65">
        <v>42475</v>
      </c>
      <c r="B1819" s="1">
        <v>1</v>
      </c>
      <c r="C1819" s="65">
        <v>42475</v>
      </c>
      <c r="D1819" s="1">
        <v>1</v>
      </c>
    </row>
    <row r="1820" spans="1:4" x14ac:dyDescent="0.25">
      <c r="A1820" s="65">
        <v>42478</v>
      </c>
      <c r="B1820" s="1">
        <v>1</v>
      </c>
      <c r="C1820" s="65">
        <v>42478</v>
      </c>
      <c r="D1820" s="1">
        <v>1</v>
      </c>
    </row>
    <row r="1821" spans="1:4" x14ac:dyDescent="0.25">
      <c r="A1821" s="65">
        <v>42479</v>
      </c>
      <c r="B1821" s="1">
        <v>1</v>
      </c>
      <c r="C1821" s="65">
        <v>42479</v>
      </c>
      <c r="D1821" s="1">
        <v>1</v>
      </c>
    </row>
    <row r="1822" spans="1:4" x14ac:dyDescent="0.25">
      <c r="A1822" s="65">
        <v>42480</v>
      </c>
      <c r="B1822" s="1">
        <v>1</v>
      </c>
      <c r="C1822" s="65">
        <v>42480</v>
      </c>
      <c r="D1822" s="1">
        <v>1</v>
      </c>
    </row>
    <row r="1823" spans="1:4" x14ac:dyDescent="0.25">
      <c r="A1823" s="65">
        <v>42481</v>
      </c>
      <c r="B1823" s="1">
        <v>1</v>
      </c>
      <c r="C1823" s="65">
        <v>42481</v>
      </c>
      <c r="D1823" s="1">
        <v>1</v>
      </c>
    </row>
    <row r="1824" spans="1:4" x14ac:dyDescent="0.25">
      <c r="A1824" s="65">
        <v>42482</v>
      </c>
      <c r="B1824" s="1">
        <v>1</v>
      </c>
      <c r="C1824" s="65">
        <v>42482</v>
      </c>
      <c r="D1824" s="1">
        <v>1</v>
      </c>
    </row>
    <row r="1825" spans="1:4" x14ac:dyDescent="0.25">
      <c r="A1825" s="65">
        <v>42485</v>
      </c>
      <c r="B1825" s="1">
        <v>1</v>
      </c>
      <c r="C1825" s="65">
        <v>42485</v>
      </c>
      <c r="D1825" s="1">
        <v>1</v>
      </c>
    </row>
    <row r="1826" spans="1:4" x14ac:dyDescent="0.25">
      <c r="A1826" s="65">
        <v>42486</v>
      </c>
      <c r="B1826" s="1">
        <v>1</v>
      </c>
      <c r="C1826" s="65">
        <v>42486</v>
      </c>
      <c r="D1826" s="1">
        <v>1</v>
      </c>
    </row>
    <row r="1827" spans="1:4" x14ac:dyDescent="0.25">
      <c r="A1827" s="65">
        <v>42487</v>
      </c>
      <c r="B1827" s="1">
        <v>1</v>
      </c>
      <c r="C1827" s="65">
        <v>42487</v>
      </c>
      <c r="D1827" s="1">
        <v>1</v>
      </c>
    </row>
    <row r="1828" spans="1:4" x14ac:dyDescent="0.25">
      <c r="A1828" s="65">
        <v>42488</v>
      </c>
      <c r="B1828" s="1">
        <v>1</v>
      </c>
      <c r="C1828" s="65">
        <v>42488</v>
      </c>
      <c r="D1828" s="1">
        <v>1</v>
      </c>
    </row>
    <row r="1829" spans="1:4" x14ac:dyDescent="0.25">
      <c r="A1829" s="65">
        <v>42489</v>
      </c>
      <c r="B1829" s="1">
        <v>1</v>
      </c>
      <c r="C1829" s="65">
        <v>42489</v>
      </c>
      <c r="D1829" s="1">
        <v>1</v>
      </c>
    </row>
    <row r="1830" spans="1:4" x14ac:dyDescent="0.25">
      <c r="A1830" s="65">
        <v>42492</v>
      </c>
      <c r="B1830" s="1">
        <v>1</v>
      </c>
      <c r="C1830" s="65">
        <v>42492</v>
      </c>
      <c r="D1830" s="1">
        <v>1</v>
      </c>
    </row>
    <row r="1831" spans="1:4" x14ac:dyDescent="0.25">
      <c r="A1831" s="65">
        <v>42493</v>
      </c>
      <c r="B1831" s="1">
        <v>1</v>
      </c>
      <c r="C1831" s="65">
        <v>42493</v>
      </c>
      <c r="D1831" s="1">
        <v>1</v>
      </c>
    </row>
    <row r="1832" spans="1:4" x14ac:dyDescent="0.25">
      <c r="A1832" s="65">
        <v>42494</v>
      </c>
      <c r="B1832" s="1">
        <v>1</v>
      </c>
      <c r="C1832" s="65">
        <v>42494</v>
      </c>
      <c r="D1832" s="1">
        <v>1</v>
      </c>
    </row>
    <row r="1833" spans="1:4" x14ac:dyDescent="0.25">
      <c r="A1833" s="65">
        <v>42495</v>
      </c>
      <c r="B1833" s="1">
        <v>1</v>
      </c>
      <c r="C1833" s="65">
        <v>42495</v>
      </c>
      <c r="D1833" s="1">
        <v>1</v>
      </c>
    </row>
    <row r="1834" spans="1:4" x14ac:dyDescent="0.25">
      <c r="A1834" s="65">
        <v>42496</v>
      </c>
      <c r="B1834" s="1">
        <v>1</v>
      </c>
      <c r="C1834" s="65">
        <v>42496</v>
      </c>
      <c r="D1834" s="1">
        <v>1</v>
      </c>
    </row>
    <row r="1835" spans="1:4" x14ac:dyDescent="0.25">
      <c r="A1835" s="65">
        <v>42499</v>
      </c>
      <c r="B1835" s="1">
        <v>1</v>
      </c>
      <c r="C1835" s="65">
        <v>42499</v>
      </c>
      <c r="D1835" s="1">
        <v>1</v>
      </c>
    </row>
    <row r="1836" spans="1:4" x14ac:dyDescent="0.25">
      <c r="A1836" s="65">
        <v>42500</v>
      </c>
      <c r="B1836" s="1">
        <v>1</v>
      </c>
      <c r="C1836" s="65">
        <v>42500</v>
      </c>
      <c r="D1836" s="1">
        <v>1</v>
      </c>
    </row>
    <row r="1837" spans="1:4" x14ac:dyDescent="0.25">
      <c r="A1837" s="65">
        <v>42501</v>
      </c>
      <c r="B1837" s="1">
        <v>1</v>
      </c>
      <c r="C1837" s="65">
        <v>42501</v>
      </c>
      <c r="D1837" s="1">
        <v>1</v>
      </c>
    </row>
    <row r="1838" spans="1:4" x14ac:dyDescent="0.25">
      <c r="A1838" s="65">
        <v>42502</v>
      </c>
      <c r="B1838" s="1">
        <v>1</v>
      </c>
      <c r="C1838" s="65">
        <v>42502</v>
      </c>
      <c r="D1838" s="1">
        <v>1</v>
      </c>
    </row>
    <row r="1839" spans="1:4" x14ac:dyDescent="0.25">
      <c r="A1839" s="65">
        <v>42503</v>
      </c>
      <c r="B1839" s="1">
        <v>1</v>
      </c>
      <c r="C1839" s="65">
        <v>42503</v>
      </c>
      <c r="D1839" s="1">
        <v>1</v>
      </c>
    </row>
    <row r="1840" spans="1:4" x14ac:dyDescent="0.25">
      <c r="A1840" s="65">
        <v>42506</v>
      </c>
      <c r="B1840" s="1">
        <v>1</v>
      </c>
      <c r="C1840" s="65">
        <v>42506</v>
      </c>
      <c r="D1840" s="1">
        <v>1</v>
      </c>
    </row>
    <row r="1841" spans="1:4" x14ac:dyDescent="0.25">
      <c r="A1841" s="65">
        <v>42507</v>
      </c>
      <c r="B1841" s="1">
        <v>1</v>
      </c>
      <c r="C1841" s="65">
        <v>42507</v>
      </c>
      <c r="D1841" s="1">
        <v>1</v>
      </c>
    </row>
    <row r="1842" spans="1:4" x14ac:dyDescent="0.25">
      <c r="A1842" s="65">
        <v>42508</v>
      </c>
      <c r="B1842" s="1">
        <v>1</v>
      </c>
      <c r="C1842" s="65">
        <v>42508</v>
      </c>
      <c r="D1842" s="1">
        <v>1</v>
      </c>
    </row>
    <row r="1843" spans="1:4" x14ac:dyDescent="0.25">
      <c r="A1843" s="65">
        <v>42509</v>
      </c>
      <c r="B1843" s="1">
        <v>1</v>
      </c>
      <c r="C1843" s="65">
        <v>42509</v>
      </c>
      <c r="D1843" s="1">
        <v>1</v>
      </c>
    </row>
    <row r="1844" spans="1:4" x14ac:dyDescent="0.25">
      <c r="A1844" s="65">
        <v>42510</v>
      </c>
      <c r="B1844" s="1">
        <v>1</v>
      </c>
      <c r="C1844" s="65">
        <v>42510</v>
      </c>
      <c r="D1844" s="1">
        <v>1</v>
      </c>
    </row>
    <row r="1845" spans="1:4" x14ac:dyDescent="0.25">
      <c r="A1845" s="65">
        <v>42513</v>
      </c>
      <c r="B1845" s="1">
        <v>1</v>
      </c>
      <c r="C1845" s="65">
        <v>42513</v>
      </c>
      <c r="D1845" s="1">
        <v>1</v>
      </c>
    </row>
    <row r="1846" spans="1:4" x14ac:dyDescent="0.25">
      <c r="A1846" s="65">
        <v>42514</v>
      </c>
      <c r="B1846" s="1">
        <v>1</v>
      </c>
      <c r="C1846" s="65">
        <v>42514</v>
      </c>
      <c r="D1846" s="1">
        <v>1</v>
      </c>
    </row>
    <row r="1847" spans="1:4" x14ac:dyDescent="0.25">
      <c r="A1847" s="65">
        <v>42515</v>
      </c>
      <c r="B1847" s="1">
        <v>1</v>
      </c>
      <c r="C1847" s="65">
        <v>42515</v>
      </c>
      <c r="D1847" s="1">
        <v>1</v>
      </c>
    </row>
    <row r="1848" spans="1:4" x14ac:dyDescent="0.25">
      <c r="A1848" s="65">
        <v>42516</v>
      </c>
      <c r="B1848" s="1">
        <v>1</v>
      </c>
      <c r="C1848" s="65">
        <v>42516</v>
      </c>
      <c r="D1848" s="1">
        <v>1</v>
      </c>
    </row>
    <row r="1849" spans="1:4" x14ac:dyDescent="0.25">
      <c r="A1849" s="65">
        <v>42517</v>
      </c>
      <c r="B1849" s="1">
        <v>1</v>
      </c>
      <c r="C1849" s="65">
        <v>42517</v>
      </c>
      <c r="D1849" s="1">
        <v>1</v>
      </c>
    </row>
    <row r="1850" spans="1:4" x14ac:dyDescent="0.25">
      <c r="A1850" s="65">
        <v>42520</v>
      </c>
      <c r="B1850" s="1">
        <v>1</v>
      </c>
      <c r="C1850" s="65">
        <v>42520</v>
      </c>
      <c r="D1850" s="1">
        <v>1</v>
      </c>
    </row>
    <row r="1851" spans="1:4" x14ac:dyDescent="0.25">
      <c r="A1851" s="65">
        <v>42521</v>
      </c>
      <c r="B1851" s="1">
        <v>1</v>
      </c>
      <c r="C1851" s="65">
        <v>42521</v>
      </c>
      <c r="D1851" s="1">
        <v>1</v>
      </c>
    </row>
    <row r="1852" spans="1:4" x14ac:dyDescent="0.25">
      <c r="A1852" s="65">
        <v>42522</v>
      </c>
      <c r="B1852" s="1">
        <v>1</v>
      </c>
      <c r="C1852" s="65">
        <v>42522</v>
      </c>
      <c r="D1852" s="1">
        <v>1</v>
      </c>
    </row>
    <row r="1853" spans="1:4" x14ac:dyDescent="0.25">
      <c r="A1853" s="65">
        <v>42523</v>
      </c>
      <c r="B1853" s="1">
        <v>1</v>
      </c>
      <c r="C1853" s="65">
        <v>42523</v>
      </c>
      <c r="D1853" s="1">
        <v>1</v>
      </c>
    </row>
    <row r="1854" spans="1:4" x14ac:dyDescent="0.25">
      <c r="A1854" s="65">
        <v>42524</v>
      </c>
      <c r="B1854" s="1">
        <v>1</v>
      </c>
      <c r="C1854" s="65">
        <v>42524</v>
      </c>
      <c r="D1854" s="1">
        <v>1</v>
      </c>
    </row>
    <row r="1855" spans="1:4" x14ac:dyDescent="0.25">
      <c r="A1855" s="65">
        <v>42527</v>
      </c>
      <c r="B1855" s="1">
        <v>1</v>
      </c>
      <c r="C1855" s="65">
        <v>42527</v>
      </c>
      <c r="D1855" s="1">
        <v>1</v>
      </c>
    </row>
    <row r="1856" spans="1:4" x14ac:dyDescent="0.25">
      <c r="A1856" s="65">
        <v>42528</v>
      </c>
      <c r="B1856" s="1">
        <v>1</v>
      </c>
      <c r="C1856" s="65">
        <v>42528</v>
      </c>
      <c r="D1856" s="1">
        <v>1</v>
      </c>
    </row>
    <row r="1857" spans="1:4" x14ac:dyDescent="0.25">
      <c r="A1857" s="65">
        <v>42529</v>
      </c>
      <c r="B1857" s="1">
        <v>1</v>
      </c>
      <c r="C1857" s="65">
        <v>42529</v>
      </c>
      <c r="D1857" s="1">
        <v>1</v>
      </c>
    </row>
    <row r="1858" spans="1:4" x14ac:dyDescent="0.25">
      <c r="A1858" s="65">
        <v>42530</v>
      </c>
      <c r="B1858" s="1">
        <v>1</v>
      </c>
      <c r="C1858" s="65">
        <v>42530</v>
      </c>
      <c r="D1858" s="1">
        <v>1</v>
      </c>
    </row>
    <row r="1859" spans="1:4" x14ac:dyDescent="0.25">
      <c r="A1859" s="65">
        <v>42531</v>
      </c>
      <c r="B1859" s="1">
        <v>1</v>
      </c>
      <c r="C1859" s="65">
        <v>42531</v>
      </c>
      <c r="D1859" s="1">
        <v>1</v>
      </c>
    </row>
    <row r="1860" spans="1:4" x14ac:dyDescent="0.25">
      <c r="A1860" s="65">
        <v>42534</v>
      </c>
      <c r="B1860" s="1">
        <v>1</v>
      </c>
      <c r="C1860" s="65">
        <v>42534</v>
      </c>
      <c r="D1860" s="1">
        <v>1</v>
      </c>
    </row>
    <row r="1861" spans="1:4" x14ac:dyDescent="0.25">
      <c r="A1861" s="65">
        <v>42535</v>
      </c>
      <c r="B1861" s="1">
        <v>1</v>
      </c>
      <c r="C1861" s="65">
        <v>42535</v>
      </c>
      <c r="D1861" s="1">
        <v>1</v>
      </c>
    </row>
    <row r="1862" spans="1:4" x14ac:dyDescent="0.25">
      <c r="A1862" s="65">
        <v>42536</v>
      </c>
      <c r="B1862" s="1">
        <v>1</v>
      </c>
      <c r="C1862" s="65">
        <v>42536</v>
      </c>
      <c r="D1862" s="1">
        <v>1</v>
      </c>
    </row>
    <row r="1863" spans="1:4" x14ac:dyDescent="0.25">
      <c r="A1863" s="65">
        <v>42537</v>
      </c>
      <c r="B1863" s="1">
        <v>1</v>
      </c>
      <c r="C1863" s="65">
        <v>42537</v>
      </c>
      <c r="D1863" s="1">
        <v>1</v>
      </c>
    </row>
    <row r="1864" spans="1:4" x14ac:dyDescent="0.25">
      <c r="A1864" s="65">
        <v>42538</v>
      </c>
      <c r="B1864" s="1">
        <v>1</v>
      </c>
      <c r="C1864" s="65">
        <v>42538</v>
      </c>
      <c r="D1864" s="1">
        <v>1</v>
      </c>
    </row>
    <row r="1865" spans="1:4" x14ac:dyDescent="0.25">
      <c r="A1865" s="65">
        <v>42541</v>
      </c>
      <c r="B1865" s="1">
        <v>1</v>
      </c>
      <c r="C1865" s="65">
        <v>42541</v>
      </c>
      <c r="D1865" s="1">
        <v>1</v>
      </c>
    </row>
    <row r="1866" spans="1:4" x14ac:dyDescent="0.25">
      <c r="A1866" s="65">
        <v>42542</v>
      </c>
      <c r="B1866" s="1">
        <v>1</v>
      </c>
      <c r="C1866" s="65">
        <v>42542</v>
      </c>
      <c r="D1866" s="1">
        <v>1</v>
      </c>
    </row>
    <row r="1867" spans="1:4" x14ac:dyDescent="0.25">
      <c r="A1867" s="65">
        <v>42543</v>
      </c>
      <c r="B1867" s="1">
        <v>1</v>
      </c>
      <c r="C1867" s="65">
        <v>42543</v>
      </c>
      <c r="D1867" s="1">
        <v>1</v>
      </c>
    </row>
    <row r="1868" spans="1:4" x14ac:dyDescent="0.25">
      <c r="A1868" s="65">
        <v>42544</v>
      </c>
      <c r="B1868" s="1">
        <v>1</v>
      </c>
      <c r="C1868" s="65">
        <v>42544</v>
      </c>
      <c r="D1868" s="1">
        <v>1</v>
      </c>
    </row>
    <row r="1869" spans="1:4" x14ac:dyDescent="0.25">
      <c r="A1869" s="65">
        <v>42545</v>
      </c>
      <c r="B1869" s="1">
        <v>1</v>
      </c>
      <c r="C1869" s="65">
        <v>42545</v>
      </c>
      <c r="D1869" s="1">
        <v>1</v>
      </c>
    </row>
    <row r="1870" spans="1:4" x14ac:dyDescent="0.25">
      <c r="A1870" s="65">
        <v>42548</v>
      </c>
      <c r="B1870" s="1">
        <v>1</v>
      </c>
      <c r="C1870" s="65">
        <v>42548</v>
      </c>
      <c r="D1870" s="1">
        <v>1</v>
      </c>
    </row>
    <row r="1871" spans="1:4" x14ac:dyDescent="0.25">
      <c r="A1871" s="65">
        <v>42549</v>
      </c>
      <c r="B1871" s="1">
        <v>1</v>
      </c>
      <c r="C1871" s="65">
        <v>42549</v>
      </c>
      <c r="D1871" s="1">
        <v>1</v>
      </c>
    </row>
    <row r="1872" spans="1:4" x14ac:dyDescent="0.25">
      <c r="A1872" s="65">
        <v>42550</v>
      </c>
      <c r="B1872" s="1">
        <v>1</v>
      </c>
      <c r="C1872" s="65">
        <v>42550</v>
      </c>
      <c r="D1872" s="1">
        <v>1</v>
      </c>
    </row>
    <row r="1873" spans="1:4" x14ac:dyDescent="0.25">
      <c r="A1873" s="65">
        <v>42551</v>
      </c>
      <c r="B1873" s="1">
        <v>1</v>
      </c>
      <c r="C1873" s="65">
        <v>42551</v>
      </c>
      <c r="D1873" s="1">
        <v>1</v>
      </c>
    </row>
    <row r="1874" spans="1:4" x14ac:dyDescent="0.25">
      <c r="A1874" s="65">
        <v>42552</v>
      </c>
      <c r="B1874" s="1">
        <v>1</v>
      </c>
      <c r="C1874" s="65">
        <v>42552</v>
      </c>
      <c r="D1874" s="1">
        <v>1</v>
      </c>
    </row>
    <row r="1875" spans="1:4" x14ac:dyDescent="0.25">
      <c r="A1875" s="65">
        <v>42555</v>
      </c>
      <c r="B1875" s="1">
        <v>1</v>
      </c>
      <c r="C1875" s="65">
        <v>42555</v>
      </c>
      <c r="D1875" s="1">
        <v>1</v>
      </c>
    </row>
    <row r="1876" spans="1:4" x14ac:dyDescent="0.25">
      <c r="A1876" s="65">
        <v>42556</v>
      </c>
      <c r="B1876" s="1">
        <v>1</v>
      </c>
      <c r="C1876" s="65">
        <v>42556</v>
      </c>
      <c r="D1876" s="1">
        <v>1</v>
      </c>
    </row>
    <row r="1877" spans="1:4" x14ac:dyDescent="0.25">
      <c r="A1877" s="65">
        <v>42557</v>
      </c>
      <c r="B1877" s="1">
        <v>1</v>
      </c>
      <c r="C1877" s="65">
        <v>42557</v>
      </c>
      <c r="D1877" s="1">
        <v>1</v>
      </c>
    </row>
    <row r="1878" spans="1:4" x14ac:dyDescent="0.25">
      <c r="A1878" s="65">
        <v>42558</v>
      </c>
      <c r="B1878" s="1">
        <v>1</v>
      </c>
      <c r="C1878" s="65">
        <v>42558</v>
      </c>
      <c r="D1878" s="1">
        <v>1</v>
      </c>
    </row>
    <row r="1879" spans="1:4" x14ac:dyDescent="0.25">
      <c r="A1879" s="65">
        <v>42559</v>
      </c>
      <c r="B1879" s="1">
        <v>1</v>
      </c>
      <c r="C1879" s="65">
        <v>42559</v>
      </c>
      <c r="D1879" s="1">
        <v>1</v>
      </c>
    </row>
    <row r="1880" spans="1:4" x14ac:dyDescent="0.25">
      <c r="A1880" s="65">
        <v>42562</v>
      </c>
      <c r="B1880" s="1">
        <v>1</v>
      </c>
      <c r="C1880" s="65">
        <v>42562</v>
      </c>
      <c r="D1880" s="1">
        <v>1</v>
      </c>
    </row>
    <row r="1881" spans="1:4" x14ac:dyDescent="0.25">
      <c r="A1881" s="65">
        <v>42563</v>
      </c>
      <c r="B1881" s="1">
        <v>1</v>
      </c>
      <c r="C1881" s="65">
        <v>42563</v>
      </c>
      <c r="D1881" s="1">
        <v>1</v>
      </c>
    </row>
    <row r="1882" spans="1:4" x14ac:dyDescent="0.25">
      <c r="A1882" s="65">
        <v>42564</v>
      </c>
      <c r="B1882" s="1">
        <v>1</v>
      </c>
      <c r="C1882" s="65">
        <v>42564</v>
      </c>
      <c r="D1882" s="1">
        <v>1</v>
      </c>
    </row>
    <row r="1883" spans="1:4" x14ac:dyDescent="0.25">
      <c r="A1883" s="65">
        <v>42565</v>
      </c>
      <c r="B1883" s="1">
        <v>1</v>
      </c>
      <c r="C1883" s="65">
        <v>42565</v>
      </c>
      <c r="D1883" s="1">
        <v>1</v>
      </c>
    </row>
    <row r="1884" spans="1:4" x14ac:dyDescent="0.25">
      <c r="A1884" s="65">
        <v>42566</v>
      </c>
      <c r="B1884" s="1">
        <v>1</v>
      </c>
      <c r="C1884" s="65">
        <v>42566</v>
      </c>
      <c r="D1884" s="1">
        <v>1</v>
      </c>
    </row>
    <row r="1885" spans="1:4" x14ac:dyDescent="0.25">
      <c r="A1885" s="65">
        <v>42569</v>
      </c>
      <c r="B1885" s="1">
        <v>1</v>
      </c>
      <c r="C1885" s="65">
        <v>42569</v>
      </c>
      <c r="D1885" s="1">
        <v>1</v>
      </c>
    </row>
    <row r="1886" spans="1:4" x14ac:dyDescent="0.25">
      <c r="A1886" s="65">
        <v>42570</v>
      </c>
      <c r="B1886" s="1">
        <v>1</v>
      </c>
      <c r="C1886" s="65">
        <v>42570</v>
      </c>
      <c r="D1886" s="1">
        <v>1</v>
      </c>
    </row>
    <row r="1887" spans="1:4" x14ac:dyDescent="0.25">
      <c r="A1887" s="65">
        <v>42571</v>
      </c>
      <c r="B1887" s="1">
        <v>1</v>
      </c>
      <c r="C1887" s="65">
        <v>42571</v>
      </c>
      <c r="D1887" s="1">
        <v>1</v>
      </c>
    </row>
    <row r="1888" spans="1:4" x14ac:dyDescent="0.25">
      <c r="A1888" s="65">
        <v>42572</v>
      </c>
      <c r="B1888" s="1">
        <v>1</v>
      </c>
      <c r="C1888" s="65">
        <v>42572</v>
      </c>
      <c r="D1888" s="1">
        <v>1</v>
      </c>
    </row>
    <row r="1889" spans="1:4" x14ac:dyDescent="0.25">
      <c r="A1889" s="65">
        <v>42573</v>
      </c>
      <c r="B1889" s="1">
        <v>1</v>
      </c>
      <c r="C1889" s="65">
        <v>42573</v>
      </c>
      <c r="D1889" s="1">
        <v>1</v>
      </c>
    </row>
    <row r="1890" spans="1:4" x14ac:dyDescent="0.25">
      <c r="A1890" s="65">
        <v>42576</v>
      </c>
      <c r="B1890" s="1">
        <v>1</v>
      </c>
      <c r="C1890" s="65">
        <v>42576</v>
      </c>
      <c r="D1890" s="1">
        <v>1</v>
      </c>
    </row>
    <row r="1891" spans="1:4" x14ac:dyDescent="0.25">
      <c r="A1891" s="65">
        <v>42577</v>
      </c>
      <c r="B1891" s="1">
        <v>1</v>
      </c>
      <c r="C1891" s="65">
        <v>42577</v>
      </c>
      <c r="D1891" s="1">
        <v>1</v>
      </c>
    </row>
    <row r="1892" spans="1:4" x14ac:dyDescent="0.25">
      <c r="A1892" s="65">
        <v>42578</v>
      </c>
      <c r="B1892" s="1">
        <v>1</v>
      </c>
      <c r="C1892" s="65">
        <v>42578</v>
      </c>
      <c r="D1892" s="1">
        <v>1</v>
      </c>
    </row>
    <row r="1893" spans="1:4" x14ac:dyDescent="0.25">
      <c r="A1893" s="65">
        <v>42579</v>
      </c>
      <c r="B1893" s="1">
        <v>1</v>
      </c>
      <c r="C1893" s="65">
        <v>42579</v>
      </c>
      <c r="D1893" s="1">
        <v>1</v>
      </c>
    </row>
    <row r="1894" spans="1:4" x14ac:dyDescent="0.25">
      <c r="A1894" s="65">
        <v>42580</v>
      </c>
      <c r="B1894" s="1">
        <v>1</v>
      </c>
      <c r="C1894" s="65">
        <v>42580</v>
      </c>
      <c r="D1894" s="1">
        <v>1</v>
      </c>
    </row>
    <row r="1895" spans="1:4" x14ac:dyDescent="0.25">
      <c r="A1895" s="65">
        <v>42583</v>
      </c>
      <c r="B1895" s="1">
        <v>1</v>
      </c>
      <c r="C1895" s="65">
        <v>42583</v>
      </c>
      <c r="D1895" s="1">
        <v>1</v>
      </c>
    </row>
    <row r="1896" spans="1:4" x14ac:dyDescent="0.25">
      <c r="A1896" s="65">
        <v>42584</v>
      </c>
      <c r="B1896" s="1">
        <v>1</v>
      </c>
      <c r="C1896" s="65">
        <v>42584</v>
      </c>
      <c r="D1896" s="1">
        <v>1</v>
      </c>
    </row>
    <row r="1897" spans="1:4" x14ac:dyDescent="0.25">
      <c r="A1897" s="65">
        <v>42585</v>
      </c>
      <c r="B1897" s="1">
        <v>1</v>
      </c>
      <c r="C1897" s="65">
        <v>42585</v>
      </c>
      <c r="D1897" s="1">
        <v>1</v>
      </c>
    </row>
    <row r="1898" spans="1:4" x14ac:dyDescent="0.25">
      <c r="A1898" s="65">
        <v>42586</v>
      </c>
      <c r="B1898" s="1">
        <v>1</v>
      </c>
      <c r="C1898" s="65">
        <v>42586</v>
      </c>
      <c r="D1898" s="1">
        <v>1</v>
      </c>
    </row>
    <row r="1899" spans="1:4" x14ac:dyDescent="0.25">
      <c r="A1899" s="65">
        <v>42587</v>
      </c>
      <c r="B1899" s="1">
        <v>1</v>
      </c>
      <c r="C1899" s="65">
        <v>42587</v>
      </c>
      <c r="D1899" s="1">
        <v>1</v>
      </c>
    </row>
    <row r="1900" spans="1:4" x14ac:dyDescent="0.25">
      <c r="A1900" s="65">
        <v>42590</v>
      </c>
      <c r="B1900" s="1">
        <v>1</v>
      </c>
      <c r="C1900" s="65">
        <v>42590</v>
      </c>
      <c r="D1900" s="1">
        <v>1</v>
      </c>
    </row>
    <row r="1901" spans="1:4" x14ac:dyDescent="0.25">
      <c r="A1901" s="65">
        <v>42591</v>
      </c>
      <c r="B1901" s="1">
        <v>1</v>
      </c>
      <c r="C1901" s="65">
        <v>42591</v>
      </c>
      <c r="D1901" s="1">
        <v>1</v>
      </c>
    </row>
    <row r="1902" spans="1:4" x14ac:dyDescent="0.25">
      <c r="A1902" s="65">
        <v>42592</v>
      </c>
      <c r="B1902" s="1">
        <v>1</v>
      </c>
      <c r="C1902" s="65">
        <v>42592</v>
      </c>
      <c r="D1902" s="1">
        <v>1</v>
      </c>
    </row>
    <row r="1903" spans="1:4" x14ac:dyDescent="0.25">
      <c r="A1903" s="65">
        <v>42593</v>
      </c>
      <c r="B1903" s="1">
        <v>1</v>
      </c>
      <c r="C1903" s="65">
        <v>42593</v>
      </c>
      <c r="D1903" s="1">
        <v>1</v>
      </c>
    </row>
    <row r="1904" spans="1:4" x14ac:dyDescent="0.25">
      <c r="A1904" s="65">
        <v>42594</v>
      </c>
      <c r="B1904" s="1">
        <v>1</v>
      </c>
      <c r="C1904" s="65">
        <v>42594</v>
      </c>
      <c r="D1904" s="1">
        <v>1</v>
      </c>
    </row>
    <row r="1905" spans="1:4" x14ac:dyDescent="0.25">
      <c r="A1905" s="65">
        <v>42597</v>
      </c>
      <c r="B1905" s="1">
        <v>1</v>
      </c>
      <c r="C1905" s="65">
        <v>42597</v>
      </c>
      <c r="D1905" s="1">
        <v>1</v>
      </c>
    </row>
    <row r="1906" spans="1:4" x14ac:dyDescent="0.25">
      <c r="A1906" s="65">
        <v>42598</v>
      </c>
      <c r="B1906" s="1">
        <v>1</v>
      </c>
      <c r="C1906" s="65">
        <v>42598</v>
      </c>
      <c r="D1906" s="1">
        <v>1</v>
      </c>
    </row>
    <row r="1907" spans="1:4" x14ac:dyDescent="0.25">
      <c r="A1907" s="65">
        <v>42599</v>
      </c>
      <c r="B1907" s="1">
        <v>1</v>
      </c>
      <c r="C1907" s="65">
        <v>42599</v>
      </c>
      <c r="D1907" s="1">
        <v>1</v>
      </c>
    </row>
    <row r="1908" spans="1:4" x14ac:dyDescent="0.25">
      <c r="A1908" s="65">
        <v>42600</v>
      </c>
      <c r="B1908" s="1">
        <v>1</v>
      </c>
      <c r="C1908" s="65">
        <v>42600</v>
      </c>
      <c r="D1908" s="1">
        <v>1</v>
      </c>
    </row>
    <row r="1909" spans="1:4" x14ac:dyDescent="0.25">
      <c r="A1909" s="65">
        <v>42601</v>
      </c>
      <c r="B1909" s="1">
        <v>1</v>
      </c>
      <c r="C1909" s="65">
        <v>42601</v>
      </c>
      <c r="D1909" s="1">
        <v>1</v>
      </c>
    </row>
    <row r="1910" spans="1:4" x14ac:dyDescent="0.25">
      <c r="A1910" s="65">
        <v>42604</v>
      </c>
      <c r="B1910" s="1">
        <v>1</v>
      </c>
      <c r="C1910" s="65">
        <v>42604</v>
      </c>
      <c r="D1910" s="1">
        <v>1</v>
      </c>
    </row>
    <row r="1911" spans="1:4" x14ac:dyDescent="0.25">
      <c r="A1911" s="65">
        <v>42605</v>
      </c>
      <c r="B1911" s="1">
        <v>1</v>
      </c>
      <c r="C1911" s="65">
        <v>42605</v>
      </c>
      <c r="D1911" s="1">
        <v>1</v>
      </c>
    </row>
    <row r="1912" spans="1:4" x14ac:dyDescent="0.25">
      <c r="A1912" s="65">
        <v>42606</v>
      </c>
      <c r="B1912" s="1">
        <v>1</v>
      </c>
      <c r="C1912" s="65">
        <v>42606</v>
      </c>
      <c r="D1912" s="1">
        <v>1</v>
      </c>
    </row>
    <row r="1913" spans="1:4" x14ac:dyDescent="0.25">
      <c r="A1913" s="65">
        <v>42607</v>
      </c>
      <c r="B1913" s="1">
        <v>1</v>
      </c>
      <c r="C1913" s="65">
        <v>42607</v>
      </c>
      <c r="D1913" s="1">
        <v>1</v>
      </c>
    </row>
    <row r="1914" spans="1:4" x14ac:dyDescent="0.25">
      <c r="A1914" s="65">
        <v>42608</v>
      </c>
      <c r="B1914" s="1">
        <v>1</v>
      </c>
      <c r="C1914" s="65">
        <v>42608</v>
      </c>
      <c r="D1914" s="1">
        <v>1</v>
      </c>
    </row>
    <row r="1915" spans="1:4" x14ac:dyDescent="0.25">
      <c r="A1915" s="65">
        <v>42611</v>
      </c>
      <c r="B1915" s="1">
        <v>1</v>
      </c>
      <c r="C1915" s="65">
        <v>42611</v>
      </c>
      <c r="D1915" s="1">
        <v>1</v>
      </c>
    </row>
    <row r="1916" spans="1:4" x14ac:dyDescent="0.25">
      <c r="A1916" s="65">
        <v>42612</v>
      </c>
      <c r="B1916" s="1">
        <v>1</v>
      </c>
      <c r="C1916" s="65">
        <v>42612</v>
      </c>
      <c r="D1916" s="1">
        <v>1</v>
      </c>
    </row>
    <row r="1917" spans="1:4" x14ac:dyDescent="0.25">
      <c r="A1917" s="65">
        <v>42613</v>
      </c>
      <c r="B1917" s="1">
        <v>1</v>
      </c>
      <c r="C1917" s="65">
        <v>42613</v>
      </c>
      <c r="D1917" s="1">
        <v>1</v>
      </c>
    </row>
    <row r="1918" spans="1:4" x14ac:dyDescent="0.25">
      <c r="A1918" s="65">
        <v>42614</v>
      </c>
      <c r="B1918" s="1">
        <v>1</v>
      </c>
      <c r="C1918" s="65">
        <v>42614</v>
      </c>
      <c r="D1918" s="1">
        <v>1</v>
      </c>
    </row>
    <row r="1919" spans="1:4" x14ac:dyDescent="0.25">
      <c r="A1919" s="65">
        <v>42615</v>
      </c>
      <c r="B1919" s="1">
        <v>1</v>
      </c>
      <c r="C1919" s="65">
        <v>42615</v>
      </c>
      <c r="D1919" s="1">
        <v>1</v>
      </c>
    </row>
    <row r="1920" spans="1:4" x14ac:dyDescent="0.25">
      <c r="A1920" s="65">
        <v>42618</v>
      </c>
      <c r="B1920" s="1">
        <v>1</v>
      </c>
      <c r="C1920" s="65">
        <v>42618</v>
      </c>
      <c r="D1920" s="1">
        <v>1</v>
      </c>
    </row>
    <row r="1921" spans="1:4" x14ac:dyDescent="0.25">
      <c r="A1921" s="65">
        <v>42619</v>
      </c>
      <c r="B1921" s="1">
        <v>1</v>
      </c>
      <c r="C1921" s="65">
        <v>42619</v>
      </c>
      <c r="D1921" s="1">
        <v>1</v>
      </c>
    </row>
    <row r="1922" spans="1:4" x14ac:dyDescent="0.25">
      <c r="A1922" s="65">
        <v>42620</v>
      </c>
      <c r="B1922" s="1">
        <v>1</v>
      </c>
      <c r="C1922" s="65">
        <v>42620</v>
      </c>
      <c r="D1922" s="1">
        <v>1</v>
      </c>
    </row>
    <row r="1923" spans="1:4" x14ac:dyDescent="0.25">
      <c r="A1923" s="65">
        <v>42621</v>
      </c>
      <c r="B1923" s="1">
        <v>1</v>
      </c>
      <c r="C1923" s="65">
        <v>42621</v>
      </c>
      <c r="D1923" s="1">
        <v>1</v>
      </c>
    </row>
    <row r="1924" spans="1:4" x14ac:dyDescent="0.25">
      <c r="A1924" s="65">
        <v>42622</v>
      </c>
      <c r="B1924" s="1">
        <v>1</v>
      </c>
      <c r="C1924" s="65">
        <v>42622</v>
      </c>
      <c r="D1924" s="1">
        <v>1</v>
      </c>
    </row>
    <row r="1925" spans="1:4" x14ac:dyDescent="0.25">
      <c r="A1925" s="65">
        <v>42625</v>
      </c>
      <c r="B1925" s="1">
        <v>1</v>
      </c>
      <c r="C1925" s="65">
        <v>42625</v>
      </c>
      <c r="D1925" s="1">
        <v>1</v>
      </c>
    </row>
    <row r="1926" spans="1:4" x14ac:dyDescent="0.25">
      <c r="A1926" s="65">
        <v>42626</v>
      </c>
      <c r="B1926" s="1">
        <v>1</v>
      </c>
      <c r="C1926" s="65">
        <v>42626</v>
      </c>
      <c r="D1926" s="1">
        <v>1</v>
      </c>
    </row>
    <row r="1927" spans="1:4" x14ac:dyDescent="0.25">
      <c r="A1927" s="65">
        <v>42627</v>
      </c>
      <c r="B1927" s="1">
        <v>1</v>
      </c>
      <c r="C1927" s="65">
        <v>42627</v>
      </c>
      <c r="D1927" s="1">
        <v>1</v>
      </c>
    </row>
    <row r="1928" spans="1:4" x14ac:dyDescent="0.25">
      <c r="A1928" s="65">
        <v>42628</v>
      </c>
      <c r="B1928" s="1">
        <v>1</v>
      </c>
      <c r="C1928" s="65">
        <v>42628</v>
      </c>
      <c r="D1928" s="1">
        <v>1</v>
      </c>
    </row>
    <row r="1929" spans="1:4" x14ac:dyDescent="0.25">
      <c r="A1929" s="65">
        <v>42629</v>
      </c>
      <c r="B1929" s="1">
        <v>1</v>
      </c>
      <c r="C1929" s="65">
        <v>42629</v>
      </c>
      <c r="D1929" s="1">
        <v>1</v>
      </c>
    </row>
    <row r="1930" spans="1:4" x14ac:dyDescent="0.25">
      <c r="A1930" s="65">
        <v>42632</v>
      </c>
      <c r="B1930" s="1">
        <v>1</v>
      </c>
      <c r="C1930" s="65">
        <v>42632</v>
      </c>
      <c r="D1930" s="1">
        <v>1</v>
      </c>
    </row>
    <row r="1931" spans="1:4" x14ac:dyDescent="0.25">
      <c r="A1931" s="65">
        <v>42633</v>
      </c>
      <c r="B1931" s="1">
        <v>1</v>
      </c>
      <c r="C1931" s="65">
        <v>42633</v>
      </c>
      <c r="D1931" s="1">
        <v>1</v>
      </c>
    </row>
    <row r="1932" spans="1:4" x14ac:dyDescent="0.25">
      <c r="A1932" s="65">
        <v>42634</v>
      </c>
      <c r="B1932" s="1">
        <v>1</v>
      </c>
      <c r="C1932" s="65">
        <v>42634</v>
      </c>
      <c r="D1932" s="1">
        <v>1</v>
      </c>
    </row>
    <row r="1933" spans="1:4" x14ac:dyDescent="0.25">
      <c r="A1933" s="65">
        <v>42635</v>
      </c>
      <c r="B1933" s="1">
        <v>1</v>
      </c>
      <c r="C1933" s="65">
        <v>42635</v>
      </c>
      <c r="D1933" s="1">
        <v>1</v>
      </c>
    </row>
    <row r="1934" spans="1:4" x14ac:dyDescent="0.25">
      <c r="A1934" s="65">
        <v>42636</v>
      </c>
      <c r="B1934" s="1">
        <v>1</v>
      </c>
      <c r="C1934" s="65">
        <v>42636</v>
      </c>
      <c r="D1934" s="1">
        <v>1</v>
      </c>
    </row>
    <row r="1935" spans="1:4" x14ac:dyDescent="0.25">
      <c r="A1935" s="65">
        <v>42639</v>
      </c>
      <c r="B1935" s="1">
        <v>1</v>
      </c>
      <c r="C1935" s="65">
        <v>42639</v>
      </c>
      <c r="D1935" s="1">
        <v>1</v>
      </c>
    </row>
    <row r="1936" spans="1:4" x14ac:dyDescent="0.25">
      <c r="A1936" s="65">
        <v>42640</v>
      </c>
      <c r="B1936" s="1">
        <v>1</v>
      </c>
      <c r="C1936" s="65">
        <v>42640</v>
      </c>
      <c r="D1936" s="1">
        <v>1</v>
      </c>
    </row>
    <row r="1937" spans="1:4" x14ac:dyDescent="0.25">
      <c r="A1937" s="65">
        <v>42641</v>
      </c>
      <c r="B1937" s="1">
        <v>1</v>
      </c>
      <c r="C1937" s="65">
        <v>42641</v>
      </c>
      <c r="D1937" s="1">
        <v>1</v>
      </c>
    </row>
    <row r="1938" spans="1:4" x14ac:dyDescent="0.25">
      <c r="A1938" s="65">
        <v>42642</v>
      </c>
      <c r="B1938" s="1">
        <v>1</v>
      </c>
      <c r="C1938" s="65">
        <v>42642</v>
      </c>
      <c r="D1938" s="1">
        <v>1</v>
      </c>
    </row>
    <row r="1939" spans="1:4" x14ac:dyDescent="0.25">
      <c r="A1939" s="65">
        <v>42643</v>
      </c>
      <c r="B1939" s="1">
        <v>1</v>
      </c>
      <c r="C1939" s="65">
        <v>42643</v>
      </c>
      <c r="D1939" s="1">
        <v>1</v>
      </c>
    </row>
    <row r="1940" spans="1:4" x14ac:dyDescent="0.25">
      <c r="A1940" s="65">
        <v>42646</v>
      </c>
      <c r="B1940" s="1">
        <v>1</v>
      </c>
      <c r="C1940" s="65">
        <v>42646</v>
      </c>
      <c r="D1940" s="1">
        <v>1</v>
      </c>
    </row>
    <row r="1941" spans="1:4" x14ac:dyDescent="0.25">
      <c r="A1941" s="65">
        <v>42647</v>
      </c>
      <c r="B1941" s="1">
        <v>1</v>
      </c>
      <c r="C1941" s="65">
        <v>42647</v>
      </c>
      <c r="D1941" s="1">
        <v>1</v>
      </c>
    </row>
    <row r="1942" spans="1:4" x14ac:dyDescent="0.25">
      <c r="A1942" s="65">
        <v>42648</v>
      </c>
      <c r="B1942" s="1">
        <v>1</v>
      </c>
      <c r="C1942" s="65">
        <v>42648</v>
      </c>
      <c r="D1942" s="1">
        <v>1</v>
      </c>
    </row>
    <row r="1943" spans="1:4" x14ac:dyDescent="0.25">
      <c r="A1943" s="65">
        <v>42649</v>
      </c>
      <c r="B1943" s="1">
        <v>1</v>
      </c>
      <c r="C1943" s="65">
        <v>42649</v>
      </c>
      <c r="D1943" s="1">
        <v>1</v>
      </c>
    </row>
    <row r="1944" spans="1:4" x14ac:dyDescent="0.25">
      <c r="A1944" s="65">
        <v>42650</v>
      </c>
      <c r="B1944" s="1">
        <v>1</v>
      </c>
      <c r="C1944" s="65">
        <v>42650</v>
      </c>
      <c r="D1944" s="1">
        <v>1</v>
      </c>
    </row>
    <row r="1945" spans="1:4" x14ac:dyDescent="0.25">
      <c r="A1945" s="65">
        <v>42653</v>
      </c>
      <c r="B1945" s="1">
        <v>1</v>
      </c>
      <c r="C1945" s="65">
        <v>42653</v>
      </c>
      <c r="D1945" s="1">
        <v>1</v>
      </c>
    </row>
    <row r="1946" spans="1:4" x14ac:dyDescent="0.25">
      <c r="A1946" s="65">
        <v>42654</v>
      </c>
      <c r="B1946" s="1">
        <v>1</v>
      </c>
      <c r="C1946" s="65">
        <v>42654</v>
      </c>
      <c r="D1946" s="1">
        <v>1</v>
      </c>
    </row>
    <row r="1947" spans="1:4" x14ac:dyDescent="0.25">
      <c r="A1947" s="65">
        <v>42655</v>
      </c>
      <c r="B1947" s="1">
        <v>1</v>
      </c>
      <c r="C1947" s="65">
        <v>42655</v>
      </c>
      <c r="D1947" s="1">
        <v>1</v>
      </c>
    </row>
    <row r="1948" spans="1:4" x14ac:dyDescent="0.25">
      <c r="A1948" s="65">
        <v>42656</v>
      </c>
      <c r="B1948" s="1">
        <v>1</v>
      </c>
      <c r="C1948" s="65">
        <v>42656</v>
      </c>
      <c r="D1948" s="1">
        <v>1</v>
      </c>
    </row>
    <row r="1949" spans="1:4" x14ac:dyDescent="0.25">
      <c r="A1949" s="65">
        <v>42657</v>
      </c>
      <c r="B1949" s="1">
        <v>1</v>
      </c>
      <c r="C1949" s="65">
        <v>42657</v>
      </c>
      <c r="D1949" s="1">
        <v>1</v>
      </c>
    </row>
    <row r="1950" spans="1:4" x14ac:dyDescent="0.25">
      <c r="A1950" s="65">
        <v>42660</v>
      </c>
      <c r="B1950" s="1">
        <v>1</v>
      </c>
      <c r="C1950" s="65">
        <v>42660</v>
      </c>
      <c r="D1950" s="1">
        <v>1</v>
      </c>
    </row>
    <row r="1951" spans="1:4" x14ac:dyDescent="0.25">
      <c r="A1951" s="65">
        <v>42661</v>
      </c>
      <c r="B1951" s="1">
        <v>1</v>
      </c>
      <c r="C1951" s="65">
        <v>42661</v>
      </c>
      <c r="D1951" s="1">
        <v>1</v>
      </c>
    </row>
    <row r="1952" spans="1:4" x14ac:dyDescent="0.25">
      <c r="A1952" s="65">
        <v>42662</v>
      </c>
      <c r="B1952" s="1">
        <v>1</v>
      </c>
      <c r="C1952" s="65">
        <v>42662</v>
      </c>
      <c r="D1952" s="1">
        <v>1</v>
      </c>
    </row>
    <row r="1953" spans="1:4" x14ac:dyDescent="0.25">
      <c r="A1953" s="65">
        <v>42663</v>
      </c>
      <c r="B1953" s="1">
        <v>1</v>
      </c>
      <c r="C1953" s="65">
        <v>42663</v>
      </c>
      <c r="D1953" s="1">
        <v>1</v>
      </c>
    </row>
    <row r="1954" spans="1:4" x14ac:dyDescent="0.25">
      <c r="A1954" s="65">
        <v>42664</v>
      </c>
      <c r="B1954" s="1">
        <v>1</v>
      </c>
      <c r="C1954" s="65">
        <v>42664</v>
      </c>
      <c r="D1954" s="1">
        <v>1</v>
      </c>
    </row>
    <row r="1955" spans="1:4" x14ac:dyDescent="0.25">
      <c r="A1955" s="65">
        <v>42667</v>
      </c>
      <c r="B1955" s="1">
        <v>1</v>
      </c>
      <c r="C1955" s="65">
        <v>42667</v>
      </c>
      <c r="D1955" s="1">
        <v>1</v>
      </c>
    </row>
    <row r="1956" spans="1:4" x14ac:dyDescent="0.25">
      <c r="A1956" s="65">
        <v>42668</v>
      </c>
      <c r="B1956" s="1">
        <v>1</v>
      </c>
      <c r="C1956" s="65">
        <v>42668</v>
      </c>
      <c r="D1956" s="1">
        <v>1</v>
      </c>
    </row>
    <row r="1957" spans="1:4" x14ac:dyDescent="0.25">
      <c r="A1957" s="65">
        <v>42669</v>
      </c>
      <c r="B1957" s="1">
        <v>1</v>
      </c>
      <c r="C1957" s="65">
        <v>42669</v>
      </c>
      <c r="D1957" s="1">
        <v>1</v>
      </c>
    </row>
    <row r="1958" spans="1:4" x14ac:dyDescent="0.25">
      <c r="A1958" s="65">
        <v>42670</v>
      </c>
      <c r="B1958" s="1">
        <v>1</v>
      </c>
      <c r="C1958" s="65">
        <v>42670</v>
      </c>
      <c r="D1958" s="1">
        <v>1</v>
      </c>
    </row>
    <row r="1959" spans="1:4" x14ac:dyDescent="0.25">
      <c r="A1959" s="65">
        <v>42671</v>
      </c>
      <c r="B1959" s="1">
        <v>1</v>
      </c>
      <c r="C1959" s="65">
        <v>42671</v>
      </c>
      <c r="D1959" s="1">
        <v>1</v>
      </c>
    </row>
    <row r="1960" spans="1:4" x14ac:dyDescent="0.25">
      <c r="A1960" s="65">
        <v>42674</v>
      </c>
      <c r="B1960" s="1">
        <v>1</v>
      </c>
      <c r="C1960" s="65">
        <v>42674</v>
      </c>
      <c r="D1960" s="1">
        <v>1</v>
      </c>
    </row>
    <row r="1961" spans="1:4" x14ac:dyDescent="0.25">
      <c r="A1961" s="65">
        <v>42675</v>
      </c>
      <c r="B1961" s="1">
        <v>1</v>
      </c>
      <c r="C1961" s="65">
        <v>42675</v>
      </c>
      <c r="D1961" s="1">
        <v>1</v>
      </c>
    </row>
    <row r="1962" spans="1:4" x14ac:dyDescent="0.25">
      <c r="A1962" s="65">
        <v>42676</v>
      </c>
      <c r="B1962" s="1">
        <v>1</v>
      </c>
      <c r="C1962" s="65">
        <v>42676</v>
      </c>
      <c r="D1962" s="1">
        <v>1</v>
      </c>
    </row>
    <row r="1963" spans="1:4" x14ac:dyDescent="0.25">
      <c r="A1963" s="65">
        <v>42677</v>
      </c>
      <c r="B1963" s="1">
        <v>1</v>
      </c>
      <c r="C1963" s="65">
        <v>42677</v>
      </c>
      <c r="D1963" s="1">
        <v>1</v>
      </c>
    </row>
    <row r="1964" spans="1:4" x14ac:dyDescent="0.25">
      <c r="A1964" s="65">
        <v>42678</v>
      </c>
      <c r="B1964" s="1">
        <v>1</v>
      </c>
      <c r="C1964" s="65">
        <v>42678</v>
      </c>
      <c r="D1964" s="1">
        <v>1</v>
      </c>
    </row>
    <row r="1965" spans="1:4" x14ac:dyDescent="0.25">
      <c r="A1965" s="65">
        <v>42681</v>
      </c>
      <c r="B1965" s="1">
        <v>1</v>
      </c>
      <c r="C1965" s="65">
        <v>42681</v>
      </c>
      <c r="D1965" s="1">
        <v>1</v>
      </c>
    </row>
    <row r="1966" spans="1:4" x14ac:dyDescent="0.25">
      <c r="A1966" s="65">
        <v>42682</v>
      </c>
      <c r="B1966" s="1">
        <v>1</v>
      </c>
      <c r="C1966" s="65">
        <v>42682</v>
      </c>
      <c r="D1966" s="1">
        <v>1</v>
      </c>
    </row>
    <row r="1967" spans="1:4" x14ac:dyDescent="0.25">
      <c r="A1967" s="65">
        <v>42683</v>
      </c>
      <c r="B1967" s="1">
        <v>1</v>
      </c>
      <c r="C1967" s="65">
        <v>42683</v>
      </c>
      <c r="D1967" s="1">
        <v>1</v>
      </c>
    </row>
    <row r="1968" spans="1:4" x14ac:dyDescent="0.25">
      <c r="A1968" s="65">
        <v>42684</v>
      </c>
      <c r="B1968" s="1">
        <v>1</v>
      </c>
      <c r="C1968" s="65">
        <v>42684</v>
      </c>
      <c r="D1968" s="1">
        <v>1</v>
      </c>
    </row>
    <row r="1969" spans="1:4" x14ac:dyDescent="0.25">
      <c r="A1969" s="65">
        <v>42685</v>
      </c>
      <c r="B1969" s="1">
        <v>1</v>
      </c>
      <c r="C1969" s="65">
        <v>42685</v>
      </c>
      <c r="D1969" s="1">
        <v>1</v>
      </c>
    </row>
    <row r="1970" spans="1:4" x14ac:dyDescent="0.25">
      <c r="A1970" s="65">
        <v>42688</v>
      </c>
      <c r="B1970" s="1">
        <v>1</v>
      </c>
      <c r="C1970" s="65">
        <v>42688</v>
      </c>
      <c r="D1970" s="1">
        <v>1</v>
      </c>
    </row>
    <row r="1971" spans="1:4" x14ac:dyDescent="0.25">
      <c r="A1971" s="65">
        <v>42689</v>
      </c>
      <c r="B1971" s="1">
        <v>1</v>
      </c>
      <c r="C1971" s="65">
        <v>42689</v>
      </c>
      <c r="D1971" s="1">
        <v>1</v>
      </c>
    </row>
    <row r="1972" spans="1:4" x14ac:dyDescent="0.25">
      <c r="A1972" s="65">
        <v>42690</v>
      </c>
      <c r="B1972" s="1">
        <v>1</v>
      </c>
      <c r="C1972" s="65">
        <v>42690</v>
      </c>
      <c r="D1972" s="1">
        <v>1</v>
      </c>
    </row>
    <row r="1973" spans="1:4" x14ac:dyDescent="0.25">
      <c r="A1973" s="65">
        <v>42691</v>
      </c>
      <c r="B1973" s="1">
        <v>1</v>
      </c>
      <c r="C1973" s="65">
        <v>42691</v>
      </c>
      <c r="D1973" s="1">
        <v>1</v>
      </c>
    </row>
    <row r="1974" spans="1:4" x14ac:dyDescent="0.25">
      <c r="A1974" s="65">
        <v>42692</v>
      </c>
      <c r="B1974" s="1">
        <v>1</v>
      </c>
      <c r="C1974" s="65">
        <v>42692</v>
      </c>
      <c r="D1974" s="1">
        <v>1</v>
      </c>
    </row>
    <row r="1975" spans="1:4" x14ac:dyDescent="0.25">
      <c r="A1975" s="65">
        <v>42695</v>
      </c>
      <c r="B1975" s="1">
        <v>1</v>
      </c>
      <c r="C1975" s="65">
        <v>42695</v>
      </c>
      <c r="D1975" s="1">
        <v>1</v>
      </c>
    </row>
    <row r="1976" spans="1:4" x14ac:dyDescent="0.25">
      <c r="A1976" s="65">
        <v>42696</v>
      </c>
      <c r="B1976" s="1">
        <v>1</v>
      </c>
      <c r="C1976" s="65">
        <v>42696</v>
      </c>
      <c r="D1976" s="1">
        <v>1</v>
      </c>
    </row>
    <row r="1977" spans="1:4" x14ac:dyDescent="0.25">
      <c r="A1977" s="65">
        <v>42697</v>
      </c>
      <c r="B1977" s="1">
        <v>1</v>
      </c>
      <c r="C1977" s="65">
        <v>42697</v>
      </c>
      <c r="D1977" s="1">
        <v>1</v>
      </c>
    </row>
    <row r="1978" spans="1:4" x14ac:dyDescent="0.25">
      <c r="A1978" s="65">
        <v>42698</v>
      </c>
      <c r="B1978" s="1">
        <v>1</v>
      </c>
      <c r="C1978" s="65">
        <v>42698</v>
      </c>
      <c r="D1978" s="1">
        <v>1</v>
      </c>
    </row>
    <row r="1979" spans="1:4" x14ac:dyDescent="0.25">
      <c r="A1979" s="65">
        <v>42699</v>
      </c>
      <c r="B1979" s="1">
        <v>1</v>
      </c>
      <c r="C1979" s="65">
        <v>42699</v>
      </c>
      <c r="D1979" s="1">
        <v>1</v>
      </c>
    </row>
    <row r="1980" spans="1:4" x14ac:dyDescent="0.25">
      <c r="A1980" s="65">
        <v>42702</v>
      </c>
      <c r="B1980" s="1">
        <v>1</v>
      </c>
      <c r="C1980" s="65">
        <v>42702</v>
      </c>
      <c r="D1980" s="1">
        <v>1</v>
      </c>
    </row>
    <row r="1981" spans="1:4" x14ac:dyDescent="0.25">
      <c r="A1981" s="65">
        <v>42703</v>
      </c>
      <c r="B1981" s="1">
        <v>1</v>
      </c>
      <c r="C1981" s="65">
        <v>42703</v>
      </c>
      <c r="D1981" s="1">
        <v>1</v>
      </c>
    </row>
    <row r="1982" spans="1:4" x14ac:dyDescent="0.25">
      <c r="A1982" s="65">
        <v>42704</v>
      </c>
      <c r="B1982" s="1">
        <v>1</v>
      </c>
      <c r="C1982" s="65">
        <v>42704</v>
      </c>
      <c r="D1982" s="1">
        <v>1</v>
      </c>
    </row>
    <row r="1983" spans="1:4" x14ac:dyDescent="0.25">
      <c r="A1983" s="65">
        <v>42705</v>
      </c>
      <c r="B1983" s="1">
        <v>1</v>
      </c>
      <c r="C1983" s="65">
        <v>42705</v>
      </c>
      <c r="D1983" s="1">
        <v>1</v>
      </c>
    </row>
    <row r="1984" spans="1:4" x14ac:dyDescent="0.25">
      <c r="A1984" s="65">
        <v>42706</v>
      </c>
      <c r="B1984" s="1">
        <v>1</v>
      </c>
      <c r="C1984" s="65">
        <v>42706</v>
      </c>
      <c r="D1984" s="1">
        <v>1</v>
      </c>
    </row>
    <row r="1985" spans="1:4" x14ac:dyDescent="0.25">
      <c r="A1985" s="65">
        <v>42709</v>
      </c>
      <c r="B1985" s="1">
        <v>1</v>
      </c>
      <c r="C1985" s="65">
        <v>42709</v>
      </c>
      <c r="D1985" s="1">
        <v>1</v>
      </c>
    </row>
    <row r="1986" spans="1:4" x14ac:dyDescent="0.25">
      <c r="A1986" s="65">
        <v>42710</v>
      </c>
      <c r="B1986" s="1">
        <v>1</v>
      </c>
      <c r="C1986" s="65">
        <v>42710</v>
      </c>
      <c r="D1986" s="1">
        <v>1</v>
      </c>
    </row>
    <row r="1987" spans="1:4" x14ac:dyDescent="0.25">
      <c r="A1987" s="65">
        <v>42711</v>
      </c>
      <c r="B1987" s="1">
        <v>1</v>
      </c>
      <c r="C1987" s="65">
        <v>42711</v>
      </c>
      <c r="D1987" s="1">
        <v>1</v>
      </c>
    </row>
    <row r="1988" spans="1:4" x14ac:dyDescent="0.25">
      <c r="A1988" s="65">
        <v>42712</v>
      </c>
      <c r="B1988" s="1">
        <v>1</v>
      </c>
      <c r="C1988" s="65">
        <v>42712</v>
      </c>
      <c r="D1988" s="1">
        <v>1</v>
      </c>
    </row>
    <row r="1989" spans="1:4" x14ac:dyDescent="0.25">
      <c r="A1989" s="65">
        <v>42713</v>
      </c>
      <c r="B1989" s="1">
        <v>1</v>
      </c>
      <c r="C1989" s="65">
        <v>42713</v>
      </c>
      <c r="D1989" s="1">
        <v>1</v>
      </c>
    </row>
    <row r="1990" spans="1:4" x14ac:dyDescent="0.25">
      <c r="A1990" s="65">
        <v>42716</v>
      </c>
      <c r="B1990" s="1">
        <v>1</v>
      </c>
      <c r="C1990" s="65">
        <v>42716</v>
      </c>
      <c r="D1990" s="1">
        <v>1</v>
      </c>
    </row>
    <row r="1991" spans="1:4" x14ac:dyDescent="0.25">
      <c r="A1991" s="65">
        <v>42717</v>
      </c>
      <c r="B1991" s="1">
        <v>1</v>
      </c>
      <c r="C1991" s="65">
        <v>42717</v>
      </c>
      <c r="D1991" s="1">
        <v>1</v>
      </c>
    </row>
    <row r="1992" spans="1:4" x14ac:dyDescent="0.25">
      <c r="A1992" s="65">
        <v>42718</v>
      </c>
      <c r="B1992" s="1">
        <v>1</v>
      </c>
      <c r="C1992" s="65">
        <v>42718</v>
      </c>
      <c r="D1992" s="1">
        <v>1</v>
      </c>
    </row>
    <row r="1993" spans="1:4" x14ac:dyDescent="0.25">
      <c r="A1993" s="65">
        <v>42719</v>
      </c>
      <c r="B1993" s="1">
        <v>1</v>
      </c>
      <c r="C1993" s="65">
        <v>42719</v>
      </c>
      <c r="D1993" s="1">
        <v>1</v>
      </c>
    </row>
    <row r="1994" spans="1:4" x14ac:dyDescent="0.25">
      <c r="A1994" s="65">
        <v>42720</v>
      </c>
      <c r="B1994" s="1">
        <v>1</v>
      </c>
      <c r="C1994" s="65">
        <v>42720</v>
      </c>
      <c r="D1994" s="1">
        <v>1</v>
      </c>
    </row>
    <row r="1995" spans="1:4" x14ac:dyDescent="0.25">
      <c r="A1995" s="65">
        <v>42723</v>
      </c>
      <c r="B1995" s="1">
        <v>1</v>
      </c>
      <c r="C1995" s="65">
        <v>42723</v>
      </c>
      <c r="D1995" s="1">
        <v>1</v>
      </c>
    </row>
    <row r="1996" spans="1:4" x14ac:dyDescent="0.25">
      <c r="A1996" s="65">
        <v>42724</v>
      </c>
      <c r="B1996" s="1">
        <v>1</v>
      </c>
      <c r="C1996" s="65">
        <v>42724</v>
      </c>
      <c r="D1996" s="1">
        <v>1</v>
      </c>
    </row>
    <row r="1997" spans="1:4" x14ac:dyDescent="0.25">
      <c r="A1997" s="65">
        <v>42725</v>
      </c>
      <c r="B1997" s="1">
        <v>1</v>
      </c>
      <c r="C1997" s="65">
        <v>42725</v>
      </c>
      <c r="D1997" s="1">
        <v>1</v>
      </c>
    </row>
    <row r="1998" spans="1:4" x14ac:dyDescent="0.25">
      <c r="A1998" s="65">
        <v>42726</v>
      </c>
      <c r="B1998" s="1">
        <v>1</v>
      </c>
      <c r="C1998" s="65">
        <v>42726</v>
      </c>
      <c r="D1998" s="1">
        <v>1</v>
      </c>
    </row>
    <row r="1999" spans="1:4" x14ac:dyDescent="0.25">
      <c r="A1999" s="65">
        <v>42727</v>
      </c>
      <c r="B1999" s="1">
        <v>1</v>
      </c>
      <c r="C1999" s="65">
        <v>42727</v>
      </c>
      <c r="D1999" s="1">
        <v>1</v>
      </c>
    </row>
    <row r="2000" spans="1:4" x14ac:dyDescent="0.25">
      <c r="A2000" s="65">
        <v>42731</v>
      </c>
      <c r="B2000" s="1">
        <v>1</v>
      </c>
      <c r="C2000" s="65">
        <v>42731</v>
      </c>
      <c r="D2000" s="1">
        <v>1</v>
      </c>
    </row>
    <row r="2001" spans="1:4" x14ac:dyDescent="0.25">
      <c r="A2001" s="65">
        <v>42732</v>
      </c>
      <c r="B2001" s="1">
        <v>1</v>
      </c>
      <c r="C2001" s="65">
        <v>42732</v>
      </c>
      <c r="D2001" s="1">
        <v>1</v>
      </c>
    </row>
    <row r="2002" spans="1:4" x14ac:dyDescent="0.25">
      <c r="A2002" s="65">
        <v>42733</v>
      </c>
      <c r="B2002" s="1">
        <v>1</v>
      </c>
      <c r="C2002" s="65">
        <v>42733</v>
      </c>
      <c r="D2002" s="1">
        <v>1</v>
      </c>
    </row>
    <row r="2003" spans="1:4" x14ac:dyDescent="0.25">
      <c r="A2003" s="65">
        <v>42734</v>
      </c>
      <c r="B2003" s="1">
        <v>1</v>
      </c>
      <c r="C2003" s="65">
        <v>42734</v>
      </c>
      <c r="D2003" s="1">
        <v>1</v>
      </c>
    </row>
    <row r="2004" spans="1:4" x14ac:dyDescent="0.25">
      <c r="A2004" s="65">
        <v>42737</v>
      </c>
      <c r="B2004" s="1">
        <v>1</v>
      </c>
      <c r="C2004" s="65">
        <v>42737</v>
      </c>
      <c r="D2004" s="1">
        <v>1</v>
      </c>
    </row>
    <row r="2005" spans="1:4" x14ac:dyDescent="0.25">
      <c r="A2005" s="65">
        <v>42738</v>
      </c>
      <c r="B2005" s="1">
        <v>1</v>
      </c>
      <c r="C2005" s="65">
        <v>42738</v>
      </c>
      <c r="D2005" s="1">
        <v>1</v>
      </c>
    </row>
    <row r="2006" spans="1:4" x14ac:dyDescent="0.25">
      <c r="A2006" s="65">
        <v>42739</v>
      </c>
      <c r="B2006" s="1">
        <v>1</v>
      </c>
      <c r="C2006" s="65">
        <v>42739</v>
      </c>
      <c r="D2006" s="1">
        <v>1</v>
      </c>
    </row>
    <row r="2007" spans="1:4" x14ac:dyDescent="0.25">
      <c r="A2007" s="65">
        <v>42740</v>
      </c>
      <c r="B2007" s="1">
        <v>1</v>
      </c>
      <c r="C2007" s="65">
        <v>42740</v>
      </c>
      <c r="D2007" s="1">
        <v>1</v>
      </c>
    </row>
    <row r="2008" spans="1:4" x14ac:dyDescent="0.25">
      <c r="A2008" s="65">
        <v>42741</v>
      </c>
      <c r="B2008" s="1">
        <v>1</v>
      </c>
      <c r="C2008" s="65">
        <v>42741</v>
      </c>
      <c r="D2008" s="1">
        <v>1</v>
      </c>
    </row>
    <row r="2009" spans="1:4" x14ac:dyDescent="0.25">
      <c r="A2009" s="65">
        <v>42744</v>
      </c>
      <c r="B2009" s="1">
        <v>1</v>
      </c>
      <c r="C2009" s="65">
        <v>42744</v>
      </c>
      <c r="D2009" s="1">
        <v>1</v>
      </c>
    </row>
    <row r="2010" spans="1:4" x14ac:dyDescent="0.25">
      <c r="A2010" s="65">
        <v>42745</v>
      </c>
      <c r="B2010" s="1">
        <v>1</v>
      </c>
      <c r="C2010" s="65">
        <v>42745</v>
      </c>
      <c r="D2010" s="1">
        <v>1</v>
      </c>
    </row>
    <row r="2011" spans="1:4" x14ac:dyDescent="0.25">
      <c r="A2011" s="65">
        <v>42746</v>
      </c>
      <c r="B2011" s="1">
        <v>1</v>
      </c>
      <c r="C2011" s="65">
        <v>42746</v>
      </c>
      <c r="D2011" s="1">
        <v>1</v>
      </c>
    </row>
    <row r="2012" spans="1:4" x14ac:dyDescent="0.25">
      <c r="A2012" s="65">
        <v>42747</v>
      </c>
      <c r="B2012" s="1">
        <v>1</v>
      </c>
      <c r="C2012" s="65">
        <v>42747</v>
      </c>
      <c r="D2012" s="1">
        <v>1</v>
      </c>
    </row>
    <row r="2013" spans="1:4" x14ac:dyDescent="0.25">
      <c r="A2013" s="65">
        <v>42748</v>
      </c>
      <c r="B2013" s="1">
        <v>1</v>
      </c>
      <c r="C2013" s="65">
        <v>42748</v>
      </c>
      <c r="D2013" s="1">
        <v>1</v>
      </c>
    </row>
    <row r="2014" spans="1:4" x14ac:dyDescent="0.25">
      <c r="A2014" s="65">
        <v>42751</v>
      </c>
      <c r="B2014" s="1">
        <v>1</v>
      </c>
      <c r="C2014" s="65">
        <v>42751</v>
      </c>
      <c r="D2014" s="1">
        <v>1</v>
      </c>
    </row>
    <row r="2015" spans="1:4" x14ac:dyDescent="0.25">
      <c r="A2015" s="65">
        <v>42752</v>
      </c>
      <c r="B2015" s="1">
        <v>1</v>
      </c>
      <c r="C2015" s="65">
        <v>42752</v>
      </c>
      <c r="D2015" s="1">
        <v>1</v>
      </c>
    </row>
    <row r="2016" spans="1:4" x14ac:dyDescent="0.25">
      <c r="A2016" s="65">
        <v>42753</v>
      </c>
      <c r="B2016" s="1">
        <v>1</v>
      </c>
      <c r="C2016" s="65">
        <v>42753</v>
      </c>
      <c r="D2016" s="1">
        <v>1</v>
      </c>
    </row>
    <row r="2017" spans="1:4" x14ac:dyDescent="0.25">
      <c r="A2017" s="65">
        <v>42754</v>
      </c>
      <c r="B2017" s="1">
        <v>1</v>
      </c>
      <c r="C2017" s="65">
        <v>42754</v>
      </c>
      <c r="D2017" s="1">
        <v>1</v>
      </c>
    </row>
    <row r="2018" spans="1:4" x14ac:dyDescent="0.25">
      <c r="A2018" s="65">
        <v>42755</v>
      </c>
      <c r="B2018" s="1">
        <v>1</v>
      </c>
      <c r="C2018" s="65">
        <v>42755</v>
      </c>
      <c r="D2018" s="1">
        <v>1</v>
      </c>
    </row>
    <row r="2019" spans="1:4" x14ac:dyDescent="0.25">
      <c r="A2019" s="65">
        <v>42758</v>
      </c>
      <c r="B2019" s="1">
        <v>1</v>
      </c>
      <c r="C2019" s="65">
        <v>42758</v>
      </c>
      <c r="D2019" s="1">
        <v>1</v>
      </c>
    </row>
    <row r="2020" spans="1:4" x14ac:dyDescent="0.25">
      <c r="A2020" s="65">
        <v>42759</v>
      </c>
      <c r="B2020" s="1">
        <v>1</v>
      </c>
      <c r="C2020" s="65">
        <v>42759</v>
      </c>
      <c r="D2020" s="1">
        <v>1</v>
      </c>
    </row>
    <row r="2021" spans="1:4" x14ac:dyDescent="0.25">
      <c r="A2021" s="65">
        <v>42760</v>
      </c>
      <c r="B2021" s="1">
        <v>1</v>
      </c>
      <c r="C2021" s="65">
        <v>42760</v>
      </c>
      <c r="D2021" s="1">
        <v>1</v>
      </c>
    </row>
    <row r="2022" spans="1:4" x14ac:dyDescent="0.25">
      <c r="A2022" s="65">
        <v>42761</v>
      </c>
      <c r="B2022" s="1">
        <v>1</v>
      </c>
      <c r="C2022" s="65">
        <v>42761</v>
      </c>
      <c r="D2022" s="1">
        <v>1</v>
      </c>
    </row>
    <row r="2023" spans="1:4" x14ac:dyDescent="0.25">
      <c r="A2023" s="65">
        <v>42762</v>
      </c>
      <c r="B2023" s="1">
        <v>1</v>
      </c>
      <c r="C2023" s="65">
        <v>42762</v>
      </c>
      <c r="D2023" s="1">
        <v>1</v>
      </c>
    </row>
    <row r="2024" spans="1:4" x14ac:dyDescent="0.25">
      <c r="A2024" s="65">
        <v>42765</v>
      </c>
      <c r="B2024" s="1">
        <v>1</v>
      </c>
      <c r="C2024" s="65">
        <v>42765</v>
      </c>
      <c r="D2024" s="1">
        <v>1</v>
      </c>
    </row>
    <row r="2025" spans="1:4" x14ac:dyDescent="0.25">
      <c r="A2025" s="65">
        <v>42766</v>
      </c>
      <c r="B2025" s="1">
        <v>1</v>
      </c>
      <c r="C2025" s="65">
        <v>42766</v>
      </c>
      <c r="D2025" s="1">
        <v>1</v>
      </c>
    </row>
    <row r="2026" spans="1:4" x14ac:dyDescent="0.25">
      <c r="A2026" s="65">
        <v>42767</v>
      </c>
      <c r="B2026" s="1">
        <v>1</v>
      </c>
      <c r="C2026" s="65">
        <v>42767</v>
      </c>
      <c r="D2026" s="1">
        <v>1</v>
      </c>
    </row>
    <row r="2027" spans="1:4" x14ac:dyDescent="0.25">
      <c r="A2027" s="65">
        <v>42768</v>
      </c>
      <c r="B2027" s="1">
        <v>1</v>
      </c>
      <c r="C2027" s="65">
        <v>42768</v>
      </c>
      <c r="D2027" s="1">
        <v>1</v>
      </c>
    </row>
    <row r="2028" spans="1:4" x14ac:dyDescent="0.25">
      <c r="A2028" s="65">
        <v>42769</v>
      </c>
      <c r="B2028" s="1">
        <v>1</v>
      </c>
      <c r="C2028" s="65">
        <v>42769</v>
      </c>
      <c r="D2028" s="1">
        <v>1</v>
      </c>
    </row>
    <row r="2029" spans="1:4" x14ac:dyDescent="0.25">
      <c r="A2029" s="65">
        <v>42772</v>
      </c>
      <c r="B2029" s="1">
        <v>1</v>
      </c>
      <c r="C2029" s="65">
        <v>42772</v>
      </c>
      <c r="D2029" s="1">
        <v>1</v>
      </c>
    </row>
    <row r="2030" spans="1:4" x14ac:dyDescent="0.25">
      <c r="A2030" s="65">
        <v>42773</v>
      </c>
      <c r="B2030" s="1">
        <v>1</v>
      </c>
      <c r="C2030" s="65">
        <v>42773</v>
      </c>
      <c r="D2030" s="1">
        <v>1</v>
      </c>
    </row>
    <row r="2031" spans="1:4" x14ac:dyDescent="0.25">
      <c r="A2031" s="65">
        <v>42774</v>
      </c>
      <c r="B2031" s="1">
        <v>1</v>
      </c>
      <c r="C2031" s="65">
        <v>42774</v>
      </c>
      <c r="D2031" s="1">
        <v>1</v>
      </c>
    </row>
    <row r="2032" spans="1:4" x14ac:dyDescent="0.25">
      <c r="A2032" s="65">
        <v>42775</v>
      </c>
      <c r="B2032" s="1">
        <v>1</v>
      </c>
      <c r="C2032" s="65">
        <v>42775</v>
      </c>
      <c r="D2032" s="1">
        <v>1</v>
      </c>
    </row>
    <row r="2033" spans="1:4" x14ac:dyDescent="0.25">
      <c r="A2033" s="65">
        <v>42776</v>
      </c>
      <c r="B2033" s="1">
        <v>1</v>
      </c>
      <c r="C2033" s="65">
        <v>42776</v>
      </c>
      <c r="D2033" s="1">
        <v>1</v>
      </c>
    </row>
    <row r="2034" spans="1:4" x14ac:dyDescent="0.25">
      <c r="A2034" s="65">
        <v>42779</v>
      </c>
      <c r="B2034" s="1">
        <v>1</v>
      </c>
      <c r="C2034" s="65">
        <v>42779</v>
      </c>
      <c r="D2034" s="1">
        <v>1</v>
      </c>
    </row>
    <row r="2035" spans="1:4" x14ac:dyDescent="0.25">
      <c r="A2035" s="65">
        <v>42780</v>
      </c>
      <c r="B2035" s="1">
        <v>1</v>
      </c>
      <c r="C2035" s="65">
        <v>42780</v>
      </c>
      <c r="D2035" s="1">
        <v>1</v>
      </c>
    </row>
    <row r="2036" spans="1:4" x14ac:dyDescent="0.25">
      <c r="A2036" s="65">
        <v>42781</v>
      </c>
      <c r="B2036" s="1">
        <v>1</v>
      </c>
      <c r="C2036" s="65">
        <v>42781</v>
      </c>
      <c r="D2036" s="1">
        <v>1</v>
      </c>
    </row>
    <row r="2037" spans="1:4" x14ac:dyDescent="0.25">
      <c r="A2037" s="65">
        <v>42782</v>
      </c>
      <c r="B2037" s="1">
        <v>1</v>
      </c>
      <c r="C2037" s="65">
        <v>42782</v>
      </c>
      <c r="D2037" s="1">
        <v>1</v>
      </c>
    </row>
    <row r="2038" spans="1:4" x14ac:dyDescent="0.25">
      <c r="A2038" s="65">
        <v>42783</v>
      </c>
      <c r="B2038" s="1">
        <v>1</v>
      </c>
      <c r="C2038" s="65">
        <v>42783</v>
      </c>
      <c r="D2038" s="1">
        <v>1</v>
      </c>
    </row>
    <row r="2039" spans="1:4" x14ac:dyDescent="0.25">
      <c r="A2039" s="65">
        <v>42786</v>
      </c>
      <c r="B2039" s="1">
        <v>1</v>
      </c>
      <c r="C2039" s="65">
        <v>42786</v>
      </c>
      <c r="D2039" s="1">
        <v>1</v>
      </c>
    </row>
    <row r="2040" spans="1:4" x14ac:dyDescent="0.25">
      <c r="A2040" s="65">
        <v>42787</v>
      </c>
      <c r="B2040" s="1">
        <v>1</v>
      </c>
      <c r="C2040" s="65">
        <v>42787</v>
      </c>
      <c r="D2040" s="1">
        <v>1</v>
      </c>
    </row>
    <row r="2041" spans="1:4" x14ac:dyDescent="0.25">
      <c r="A2041" s="65">
        <v>42788</v>
      </c>
      <c r="B2041" s="1">
        <v>1</v>
      </c>
      <c r="C2041" s="65">
        <v>42788</v>
      </c>
      <c r="D2041" s="1">
        <v>1</v>
      </c>
    </row>
    <row r="2042" spans="1:4" x14ac:dyDescent="0.25">
      <c r="A2042" s="65">
        <v>42789</v>
      </c>
      <c r="B2042" s="1">
        <v>1</v>
      </c>
      <c r="C2042" s="65">
        <v>42789</v>
      </c>
      <c r="D2042" s="1">
        <v>1</v>
      </c>
    </row>
    <row r="2043" spans="1:4" x14ac:dyDescent="0.25">
      <c r="A2043" s="65">
        <v>42790</v>
      </c>
      <c r="B2043" s="1">
        <v>1</v>
      </c>
      <c r="C2043" s="65">
        <v>42790</v>
      </c>
      <c r="D2043" s="1">
        <v>1</v>
      </c>
    </row>
    <row r="2044" spans="1:4" x14ac:dyDescent="0.25">
      <c r="A2044" s="65">
        <v>42793</v>
      </c>
      <c r="B2044" s="1">
        <v>1</v>
      </c>
      <c r="C2044" s="65">
        <v>42793</v>
      </c>
      <c r="D2044" s="1">
        <v>1</v>
      </c>
    </row>
    <row r="2045" spans="1:4" x14ac:dyDescent="0.25">
      <c r="A2045" s="65">
        <v>42794</v>
      </c>
      <c r="B2045" s="1">
        <v>1</v>
      </c>
      <c r="C2045" s="65">
        <v>42794</v>
      </c>
      <c r="D2045" s="1">
        <v>1</v>
      </c>
    </row>
    <row r="2046" spans="1:4" x14ac:dyDescent="0.25">
      <c r="A2046" s="65">
        <v>42795</v>
      </c>
      <c r="B2046" s="1">
        <v>1</v>
      </c>
      <c r="C2046" s="65">
        <v>42795</v>
      </c>
      <c r="D2046" s="1">
        <v>1</v>
      </c>
    </row>
    <row r="2047" spans="1:4" x14ac:dyDescent="0.25">
      <c r="A2047" s="65">
        <v>42796</v>
      </c>
      <c r="B2047" s="1">
        <v>1</v>
      </c>
      <c r="C2047" s="65">
        <v>42796</v>
      </c>
      <c r="D2047" s="1">
        <v>1</v>
      </c>
    </row>
    <row r="2048" spans="1:4" x14ac:dyDescent="0.25">
      <c r="A2048" s="65">
        <v>42797</v>
      </c>
      <c r="B2048" s="1">
        <v>1</v>
      </c>
      <c r="C2048" s="65">
        <v>42797</v>
      </c>
      <c r="D2048" s="1">
        <v>1</v>
      </c>
    </row>
    <row r="2049" spans="1:4" x14ac:dyDescent="0.25">
      <c r="A2049" s="65">
        <v>42800</v>
      </c>
      <c r="B2049" s="1">
        <v>1</v>
      </c>
      <c r="C2049" s="65">
        <v>42800</v>
      </c>
      <c r="D2049" s="1">
        <v>1</v>
      </c>
    </row>
    <row r="2050" spans="1:4" x14ac:dyDescent="0.25">
      <c r="A2050" s="65">
        <v>42801</v>
      </c>
      <c r="B2050" s="1">
        <v>1</v>
      </c>
      <c r="C2050" s="65">
        <v>42801</v>
      </c>
      <c r="D2050" s="1">
        <v>1</v>
      </c>
    </row>
    <row r="2051" spans="1:4" x14ac:dyDescent="0.25">
      <c r="A2051" s="65">
        <v>42802</v>
      </c>
      <c r="B2051" s="1">
        <v>1</v>
      </c>
      <c r="C2051" s="65">
        <v>42802</v>
      </c>
      <c r="D2051" s="1">
        <v>1</v>
      </c>
    </row>
    <row r="2052" spans="1:4" x14ac:dyDescent="0.25">
      <c r="A2052" s="65">
        <v>42803</v>
      </c>
      <c r="B2052" s="1">
        <v>1</v>
      </c>
      <c r="C2052" s="65">
        <v>42803</v>
      </c>
      <c r="D2052" s="1">
        <v>1</v>
      </c>
    </row>
    <row r="2053" spans="1:4" x14ac:dyDescent="0.25">
      <c r="A2053" s="65">
        <v>42804</v>
      </c>
      <c r="B2053" s="1">
        <v>1</v>
      </c>
      <c r="C2053" s="65">
        <v>42804</v>
      </c>
      <c r="D2053" s="1">
        <v>1</v>
      </c>
    </row>
    <row r="2054" spans="1:4" x14ac:dyDescent="0.25">
      <c r="A2054" s="65">
        <v>42807</v>
      </c>
      <c r="B2054" s="1">
        <v>1</v>
      </c>
      <c r="C2054" s="65">
        <v>42807</v>
      </c>
      <c r="D2054" s="1">
        <v>1</v>
      </c>
    </row>
    <row r="2055" spans="1:4" x14ac:dyDescent="0.25">
      <c r="A2055" s="65">
        <v>42808</v>
      </c>
      <c r="B2055" s="1">
        <v>1</v>
      </c>
      <c r="C2055" s="65">
        <v>42808</v>
      </c>
      <c r="D2055" s="1">
        <v>1</v>
      </c>
    </row>
    <row r="2056" spans="1:4" x14ac:dyDescent="0.25">
      <c r="A2056" s="65">
        <v>42809</v>
      </c>
      <c r="B2056" s="1">
        <v>1</v>
      </c>
      <c r="C2056" s="65">
        <v>42809</v>
      </c>
      <c r="D2056" s="1">
        <v>1</v>
      </c>
    </row>
    <row r="2057" spans="1:4" x14ac:dyDescent="0.25">
      <c r="A2057" s="65">
        <v>42810</v>
      </c>
      <c r="B2057" s="1">
        <v>1</v>
      </c>
      <c r="C2057" s="65">
        <v>42810</v>
      </c>
      <c r="D2057" s="1">
        <v>1</v>
      </c>
    </row>
    <row r="2058" spans="1:4" x14ac:dyDescent="0.25">
      <c r="A2058" s="65">
        <v>42811</v>
      </c>
      <c r="B2058" s="1">
        <v>1</v>
      </c>
      <c r="C2058" s="65">
        <v>42811</v>
      </c>
      <c r="D2058" s="1">
        <v>1</v>
      </c>
    </row>
    <row r="2059" spans="1:4" x14ac:dyDescent="0.25">
      <c r="A2059" s="65">
        <v>42814</v>
      </c>
      <c r="B2059" s="1">
        <v>1</v>
      </c>
      <c r="C2059" s="65">
        <v>42814</v>
      </c>
      <c r="D2059" s="1">
        <v>1</v>
      </c>
    </row>
    <row r="2060" spans="1:4" x14ac:dyDescent="0.25">
      <c r="A2060" s="65">
        <v>42815</v>
      </c>
      <c r="B2060" s="1">
        <v>1</v>
      </c>
      <c r="C2060" s="65">
        <v>42815</v>
      </c>
      <c r="D2060" s="1">
        <v>1</v>
      </c>
    </row>
    <row r="2061" spans="1:4" x14ac:dyDescent="0.25">
      <c r="A2061" s="65">
        <v>42816</v>
      </c>
      <c r="B2061" s="1">
        <v>1</v>
      </c>
      <c r="C2061" s="65">
        <v>42816</v>
      </c>
      <c r="D2061" s="1">
        <v>1</v>
      </c>
    </row>
    <row r="2062" spans="1:4" x14ac:dyDescent="0.25">
      <c r="A2062" s="65">
        <v>42817</v>
      </c>
      <c r="B2062" s="1">
        <v>1</v>
      </c>
      <c r="C2062" s="65">
        <v>42817</v>
      </c>
      <c r="D2062" s="1">
        <v>1</v>
      </c>
    </row>
    <row r="2063" spans="1:4" x14ac:dyDescent="0.25">
      <c r="A2063" s="65">
        <v>42818</v>
      </c>
      <c r="B2063" s="1">
        <v>1</v>
      </c>
      <c r="C2063" s="65">
        <v>42818</v>
      </c>
      <c r="D2063" s="1">
        <v>1</v>
      </c>
    </row>
    <row r="2064" spans="1:4" x14ac:dyDescent="0.25">
      <c r="A2064" s="65">
        <v>42821</v>
      </c>
      <c r="B2064" s="1">
        <v>1</v>
      </c>
      <c r="C2064" s="65">
        <v>42821</v>
      </c>
      <c r="D2064" s="1">
        <v>1</v>
      </c>
    </row>
    <row r="2065" spans="1:4" x14ac:dyDescent="0.25">
      <c r="A2065" s="65">
        <v>42822</v>
      </c>
      <c r="B2065" s="1">
        <v>1</v>
      </c>
      <c r="C2065" s="65">
        <v>42822</v>
      </c>
      <c r="D2065" s="1">
        <v>1</v>
      </c>
    </row>
    <row r="2066" spans="1:4" x14ac:dyDescent="0.25">
      <c r="A2066" s="65">
        <v>42823</v>
      </c>
      <c r="B2066" s="1">
        <v>1</v>
      </c>
      <c r="C2066" s="65">
        <v>42823</v>
      </c>
      <c r="D2066" s="1">
        <v>1</v>
      </c>
    </row>
    <row r="2067" spans="1:4" x14ac:dyDescent="0.25">
      <c r="A2067" s="65">
        <v>42824</v>
      </c>
      <c r="B2067" s="1">
        <v>1</v>
      </c>
      <c r="C2067" s="65">
        <v>42824</v>
      </c>
      <c r="D2067" s="1">
        <v>1</v>
      </c>
    </row>
    <row r="2068" spans="1:4" x14ac:dyDescent="0.25">
      <c r="A2068" s="65">
        <v>42825</v>
      </c>
      <c r="B2068" s="1">
        <v>1</v>
      </c>
      <c r="C2068" s="65">
        <v>42825</v>
      </c>
      <c r="D2068" s="1">
        <v>1</v>
      </c>
    </row>
    <row r="2069" spans="1:4" x14ac:dyDescent="0.25">
      <c r="A2069" s="65">
        <v>42828</v>
      </c>
      <c r="B2069" s="1">
        <v>1</v>
      </c>
      <c r="C2069" s="65">
        <v>42828</v>
      </c>
      <c r="D2069" s="1">
        <v>1</v>
      </c>
    </row>
    <row r="2070" spans="1:4" x14ac:dyDescent="0.25">
      <c r="A2070" s="65">
        <v>42829</v>
      </c>
      <c r="B2070" s="1">
        <v>1</v>
      </c>
      <c r="C2070" s="65">
        <v>42829</v>
      </c>
      <c r="D2070" s="1">
        <v>1</v>
      </c>
    </row>
    <row r="2071" spans="1:4" x14ac:dyDescent="0.25">
      <c r="A2071" s="65">
        <v>42830</v>
      </c>
      <c r="B2071" s="1">
        <v>1</v>
      </c>
      <c r="C2071" s="65">
        <v>42830</v>
      </c>
      <c r="D2071" s="1">
        <v>1</v>
      </c>
    </row>
    <row r="2072" spans="1:4" x14ac:dyDescent="0.25">
      <c r="A2072" s="65">
        <v>42831</v>
      </c>
      <c r="B2072" s="1">
        <v>1</v>
      </c>
      <c r="C2072" s="65">
        <v>42831</v>
      </c>
      <c r="D2072" s="1">
        <v>1</v>
      </c>
    </row>
    <row r="2073" spans="1:4" x14ac:dyDescent="0.25">
      <c r="A2073" s="65">
        <v>42832</v>
      </c>
      <c r="B2073" s="1">
        <v>1</v>
      </c>
      <c r="C2073" s="65">
        <v>42832</v>
      </c>
      <c r="D2073" s="1">
        <v>1</v>
      </c>
    </row>
    <row r="2074" spans="1:4" x14ac:dyDescent="0.25">
      <c r="A2074" s="65">
        <v>42835</v>
      </c>
      <c r="B2074" s="1">
        <v>1</v>
      </c>
      <c r="C2074" s="65">
        <v>42835</v>
      </c>
      <c r="D2074" s="1">
        <v>1</v>
      </c>
    </row>
    <row r="2075" spans="1:4" x14ac:dyDescent="0.25">
      <c r="A2075" s="65">
        <v>42836</v>
      </c>
      <c r="B2075" s="1">
        <v>1</v>
      </c>
      <c r="C2075" s="65">
        <v>42836</v>
      </c>
      <c r="D2075" s="1">
        <v>1</v>
      </c>
    </row>
    <row r="2076" spans="1:4" x14ac:dyDescent="0.25">
      <c r="A2076" s="65">
        <v>42837</v>
      </c>
      <c r="B2076" s="1">
        <v>1</v>
      </c>
      <c r="C2076" s="65">
        <v>42837</v>
      </c>
      <c r="D2076" s="1">
        <v>1</v>
      </c>
    </row>
    <row r="2077" spans="1:4" x14ac:dyDescent="0.25">
      <c r="A2077" s="65">
        <v>42838</v>
      </c>
      <c r="B2077" s="1">
        <v>1</v>
      </c>
      <c r="C2077" s="65">
        <v>42838</v>
      </c>
      <c r="D2077" s="1">
        <v>1</v>
      </c>
    </row>
    <row r="2078" spans="1:4" x14ac:dyDescent="0.25">
      <c r="A2078" s="65">
        <v>42843</v>
      </c>
      <c r="B2078" s="1">
        <v>1</v>
      </c>
      <c r="C2078" s="65">
        <v>42843</v>
      </c>
      <c r="D2078" s="1">
        <v>1</v>
      </c>
    </row>
    <row r="2079" spans="1:4" x14ac:dyDescent="0.25">
      <c r="A2079" s="65">
        <v>42844</v>
      </c>
      <c r="B2079" s="1">
        <v>1</v>
      </c>
      <c r="C2079" s="65">
        <v>42844</v>
      </c>
      <c r="D2079" s="1">
        <v>1</v>
      </c>
    </row>
    <row r="2080" spans="1:4" x14ac:dyDescent="0.25">
      <c r="A2080" s="65">
        <v>42845</v>
      </c>
      <c r="B2080" s="1">
        <v>1</v>
      </c>
      <c r="C2080" s="65">
        <v>42845</v>
      </c>
      <c r="D2080" s="1">
        <v>1</v>
      </c>
    </row>
    <row r="2081" spans="1:4" x14ac:dyDescent="0.25">
      <c r="A2081" s="65">
        <v>42846</v>
      </c>
      <c r="B2081" s="1">
        <v>1</v>
      </c>
      <c r="C2081" s="65">
        <v>42846</v>
      </c>
      <c r="D2081" s="1">
        <v>1</v>
      </c>
    </row>
    <row r="2082" spans="1:4" x14ac:dyDescent="0.25">
      <c r="A2082" s="65">
        <v>42849</v>
      </c>
      <c r="B2082" s="1">
        <v>1</v>
      </c>
      <c r="C2082" s="65">
        <v>42849</v>
      </c>
      <c r="D2082" s="1">
        <v>1</v>
      </c>
    </row>
    <row r="2083" spans="1:4" x14ac:dyDescent="0.25">
      <c r="A2083" s="65">
        <v>42850</v>
      </c>
      <c r="B2083" s="1">
        <v>1</v>
      </c>
      <c r="C2083" s="65">
        <v>42850</v>
      </c>
      <c r="D2083" s="1">
        <v>1</v>
      </c>
    </row>
    <row r="2084" spans="1:4" x14ac:dyDescent="0.25">
      <c r="A2084" s="65">
        <v>42851</v>
      </c>
      <c r="B2084" s="1">
        <v>1</v>
      </c>
      <c r="C2084" s="65">
        <v>42851</v>
      </c>
      <c r="D2084" s="1">
        <v>1</v>
      </c>
    </row>
    <row r="2085" spans="1:4" x14ac:dyDescent="0.25">
      <c r="A2085" s="65">
        <v>42852</v>
      </c>
      <c r="B2085" s="1">
        <v>1</v>
      </c>
      <c r="C2085" s="65">
        <v>42852</v>
      </c>
      <c r="D2085" s="1">
        <v>1</v>
      </c>
    </row>
    <row r="2086" spans="1:4" x14ac:dyDescent="0.25">
      <c r="A2086" s="65">
        <v>42853</v>
      </c>
      <c r="B2086" s="1">
        <v>1</v>
      </c>
      <c r="C2086" s="65">
        <v>42853</v>
      </c>
      <c r="D2086" s="1">
        <v>1</v>
      </c>
    </row>
    <row r="2087" spans="1:4" x14ac:dyDescent="0.25">
      <c r="A2087" s="65">
        <v>42856</v>
      </c>
      <c r="B2087" s="1">
        <v>1</v>
      </c>
      <c r="C2087" s="65">
        <v>42856</v>
      </c>
      <c r="D2087" s="1">
        <v>1</v>
      </c>
    </row>
    <row r="2088" spans="1:4" x14ac:dyDescent="0.25">
      <c r="A2088" s="65">
        <v>42857</v>
      </c>
      <c r="B2088" s="1">
        <v>1</v>
      </c>
      <c r="C2088" s="65">
        <v>42857</v>
      </c>
      <c r="D2088" s="1">
        <v>1</v>
      </c>
    </row>
    <row r="2089" spans="1:4" x14ac:dyDescent="0.25">
      <c r="A2089" s="65">
        <v>42858</v>
      </c>
      <c r="B2089" s="1">
        <v>1</v>
      </c>
      <c r="C2089" s="65">
        <v>42858</v>
      </c>
      <c r="D2089" s="1">
        <v>1</v>
      </c>
    </row>
    <row r="2090" spans="1:4" x14ac:dyDescent="0.25">
      <c r="A2090" s="65">
        <v>42859</v>
      </c>
      <c r="B2090" s="1">
        <v>1</v>
      </c>
      <c r="C2090" s="65">
        <v>42859</v>
      </c>
      <c r="D2090" s="1">
        <v>1</v>
      </c>
    </row>
    <row r="2091" spans="1:4" x14ac:dyDescent="0.25">
      <c r="A2091" s="65">
        <v>42860</v>
      </c>
      <c r="B2091" s="1">
        <v>1</v>
      </c>
      <c r="C2091" s="65">
        <v>42860</v>
      </c>
      <c r="D2091" s="1">
        <v>1</v>
      </c>
    </row>
    <row r="2092" spans="1:4" x14ac:dyDescent="0.25">
      <c r="A2092" s="65">
        <v>42863</v>
      </c>
      <c r="B2092" s="1">
        <v>1</v>
      </c>
      <c r="C2092" s="65">
        <v>42863</v>
      </c>
      <c r="D2092" s="1">
        <v>1</v>
      </c>
    </row>
    <row r="2093" spans="1:4" x14ac:dyDescent="0.25">
      <c r="A2093" s="65">
        <v>42864</v>
      </c>
      <c r="B2093" s="1">
        <v>1</v>
      </c>
      <c r="C2093" s="65">
        <v>42864</v>
      </c>
      <c r="D2093" s="1">
        <v>1</v>
      </c>
    </row>
    <row r="2094" spans="1:4" x14ac:dyDescent="0.25">
      <c r="A2094" s="65">
        <v>42865</v>
      </c>
      <c r="B2094" s="1">
        <v>1</v>
      </c>
      <c r="C2094" s="65">
        <v>42865</v>
      </c>
      <c r="D2094" s="1">
        <v>1</v>
      </c>
    </row>
    <row r="2095" spans="1:4" x14ac:dyDescent="0.25">
      <c r="A2095" s="65">
        <v>42866</v>
      </c>
      <c r="B2095" s="1">
        <v>1</v>
      </c>
      <c r="C2095" s="65">
        <v>42866</v>
      </c>
      <c r="D2095" s="1">
        <v>1</v>
      </c>
    </row>
    <row r="2096" spans="1:4" x14ac:dyDescent="0.25">
      <c r="A2096" s="65">
        <v>42867</v>
      </c>
      <c r="B2096" s="1">
        <v>1</v>
      </c>
      <c r="C2096" s="65">
        <v>42867</v>
      </c>
      <c r="D2096" s="1">
        <v>1</v>
      </c>
    </row>
    <row r="2097" spans="1:4" x14ac:dyDescent="0.25">
      <c r="A2097" s="65">
        <v>42870</v>
      </c>
      <c r="B2097" s="1">
        <v>1</v>
      </c>
      <c r="C2097" s="65">
        <v>42870</v>
      </c>
      <c r="D2097" s="1">
        <v>1</v>
      </c>
    </row>
    <row r="2098" spans="1:4" x14ac:dyDescent="0.25">
      <c r="A2098" s="65">
        <v>42871</v>
      </c>
      <c r="B2098" s="1">
        <v>1</v>
      </c>
      <c r="C2098" s="65">
        <v>42871</v>
      </c>
      <c r="D2098" s="1">
        <v>1</v>
      </c>
    </row>
    <row r="2099" spans="1:4" x14ac:dyDescent="0.25">
      <c r="A2099" s="65">
        <v>42872</v>
      </c>
      <c r="B2099" s="1">
        <v>1</v>
      </c>
      <c r="C2099" s="65">
        <v>42872</v>
      </c>
      <c r="D2099" s="1">
        <v>1</v>
      </c>
    </row>
    <row r="2100" spans="1:4" x14ac:dyDescent="0.25">
      <c r="A2100" s="65">
        <v>42873</v>
      </c>
      <c r="B2100" s="1">
        <v>1</v>
      </c>
      <c r="C2100" s="65">
        <v>42873</v>
      </c>
      <c r="D2100" s="1">
        <v>1</v>
      </c>
    </row>
    <row r="2101" spans="1:4" x14ac:dyDescent="0.25">
      <c r="A2101" s="65">
        <v>42874</v>
      </c>
      <c r="B2101" s="1">
        <v>1</v>
      </c>
      <c r="C2101" s="65">
        <v>42874</v>
      </c>
      <c r="D2101" s="1">
        <v>1</v>
      </c>
    </row>
    <row r="2102" spans="1:4" x14ac:dyDescent="0.25">
      <c r="A2102" s="65">
        <v>42877</v>
      </c>
      <c r="B2102" s="1">
        <v>1</v>
      </c>
      <c r="C2102" s="65">
        <v>42877</v>
      </c>
      <c r="D2102" s="1">
        <v>1</v>
      </c>
    </row>
    <row r="2103" spans="1:4" x14ac:dyDescent="0.25">
      <c r="A2103" s="65">
        <v>42878</v>
      </c>
      <c r="B2103" s="1">
        <v>1</v>
      </c>
      <c r="C2103" s="65">
        <v>42878</v>
      </c>
      <c r="D2103" s="1">
        <v>1</v>
      </c>
    </row>
    <row r="2104" spans="1:4" x14ac:dyDescent="0.25">
      <c r="A2104" s="65">
        <v>42879</v>
      </c>
      <c r="B2104" s="1">
        <v>1</v>
      </c>
      <c r="C2104" s="65">
        <v>42879</v>
      </c>
      <c r="D2104" s="1">
        <v>1</v>
      </c>
    </row>
    <row r="2105" spans="1:4" x14ac:dyDescent="0.25">
      <c r="A2105" s="65">
        <v>42880</v>
      </c>
      <c r="B2105" s="1">
        <v>1</v>
      </c>
      <c r="C2105" s="65">
        <v>42880</v>
      </c>
      <c r="D2105" s="1">
        <v>1</v>
      </c>
    </row>
    <row r="2106" spans="1:4" x14ac:dyDescent="0.25">
      <c r="A2106" s="65">
        <v>42881</v>
      </c>
      <c r="B2106" s="1">
        <v>1</v>
      </c>
      <c r="C2106" s="65">
        <v>42881</v>
      </c>
      <c r="D2106" s="1">
        <v>1</v>
      </c>
    </row>
    <row r="2107" spans="1:4" x14ac:dyDescent="0.25">
      <c r="A2107" s="65">
        <v>42884</v>
      </c>
      <c r="B2107" s="1">
        <v>1</v>
      </c>
      <c r="C2107" s="65">
        <v>42884</v>
      </c>
      <c r="D2107" s="1">
        <v>1</v>
      </c>
    </row>
    <row r="2108" spans="1:4" x14ac:dyDescent="0.25">
      <c r="A2108" s="65">
        <v>42885</v>
      </c>
      <c r="B2108" s="1">
        <v>1</v>
      </c>
      <c r="C2108" s="65">
        <v>42885</v>
      </c>
      <c r="D2108" s="1">
        <v>1</v>
      </c>
    </row>
    <row r="2109" spans="1:4" x14ac:dyDescent="0.25">
      <c r="A2109" s="65">
        <v>42886</v>
      </c>
      <c r="B2109" s="1">
        <v>1</v>
      </c>
      <c r="C2109" s="65">
        <v>42886</v>
      </c>
      <c r="D2109" s="1">
        <v>1</v>
      </c>
    </row>
    <row r="2110" spans="1:4" x14ac:dyDescent="0.25">
      <c r="A2110" s="65">
        <v>42887</v>
      </c>
      <c r="B2110" s="1">
        <v>1</v>
      </c>
      <c r="C2110" s="65">
        <v>42887</v>
      </c>
      <c r="D2110" s="1">
        <v>1</v>
      </c>
    </row>
    <row r="2111" spans="1:4" x14ac:dyDescent="0.25">
      <c r="A2111" s="65">
        <v>42888</v>
      </c>
      <c r="B2111" s="1">
        <v>1</v>
      </c>
      <c r="C2111" s="65">
        <v>42888</v>
      </c>
      <c r="D2111" s="1">
        <v>1</v>
      </c>
    </row>
    <row r="2112" spans="1:4" x14ac:dyDescent="0.25">
      <c r="A2112" s="65">
        <v>42891</v>
      </c>
      <c r="B2112" s="1">
        <v>1</v>
      </c>
      <c r="C2112" s="65">
        <v>42891</v>
      </c>
      <c r="D2112" s="1">
        <v>1</v>
      </c>
    </row>
    <row r="2113" spans="1:4" x14ac:dyDescent="0.25">
      <c r="A2113" s="65">
        <v>42892</v>
      </c>
      <c r="B2113" s="1">
        <v>1</v>
      </c>
      <c r="C2113" s="65">
        <v>42892</v>
      </c>
      <c r="D2113" s="1">
        <v>1</v>
      </c>
    </row>
    <row r="2114" spans="1:4" x14ac:dyDescent="0.25">
      <c r="A2114" s="65">
        <v>42893</v>
      </c>
      <c r="B2114" s="1">
        <v>1</v>
      </c>
      <c r="C2114" s="65">
        <v>42893</v>
      </c>
      <c r="D2114" s="1">
        <v>1</v>
      </c>
    </row>
    <row r="2115" spans="1:4" x14ac:dyDescent="0.25">
      <c r="A2115" s="65">
        <v>42894</v>
      </c>
      <c r="B2115" s="1">
        <v>1</v>
      </c>
      <c r="C2115" s="65">
        <v>42894</v>
      </c>
      <c r="D2115" s="1">
        <v>1</v>
      </c>
    </row>
    <row r="2116" spans="1:4" x14ac:dyDescent="0.25">
      <c r="A2116" s="65">
        <v>42895</v>
      </c>
      <c r="B2116" s="1">
        <v>1</v>
      </c>
      <c r="C2116" s="65">
        <v>42895</v>
      </c>
      <c r="D2116" s="1">
        <v>1</v>
      </c>
    </row>
    <row r="2117" spans="1:4" x14ac:dyDescent="0.25">
      <c r="A2117" s="65">
        <v>42898</v>
      </c>
      <c r="B2117" s="1">
        <v>1</v>
      </c>
      <c r="C2117" s="65">
        <v>42898</v>
      </c>
      <c r="D2117" s="1">
        <v>1</v>
      </c>
    </row>
    <row r="2118" spans="1:4" x14ac:dyDescent="0.25">
      <c r="A2118" s="65">
        <v>42899</v>
      </c>
      <c r="B2118" s="1">
        <v>1</v>
      </c>
      <c r="C2118" s="65">
        <v>42899</v>
      </c>
      <c r="D2118" s="1">
        <v>1</v>
      </c>
    </row>
    <row r="2119" spans="1:4" x14ac:dyDescent="0.25">
      <c r="A2119" s="65">
        <v>42900</v>
      </c>
      <c r="B2119" s="1">
        <v>1</v>
      </c>
      <c r="C2119" s="65">
        <v>42900</v>
      </c>
      <c r="D2119" s="1">
        <v>1</v>
      </c>
    </row>
    <row r="2120" spans="1:4" x14ac:dyDescent="0.25">
      <c r="A2120" s="65">
        <v>42901</v>
      </c>
      <c r="B2120" s="1">
        <v>1</v>
      </c>
      <c r="C2120" s="65">
        <v>42901</v>
      </c>
      <c r="D2120" s="1">
        <v>1</v>
      </c>
    </row>
    <row r="2121" spans="1:4" x14ac:dyDescent="0.25">
      <c r="A2121" s="65">
        <v>42902</v>
      </c>
      <c r="B2121" s="1">
        <v>1</v>
      </c>
      <c r="C2121" s="65">
        <v>42902</v>
      </c>
      <c r="D2121" s="1">
        <v>1</v>
      </c>
    </row>
    <row r="2122" spans="1:4" x14ac:dyDescent="0.25">
      <c r="A2122" s="65">
        <v>42905</v>
      </c>
      <c r="B2122" s="1">
        <v>1</v>
      </c>
      <c r="C2122" s="65">
        <v>42905</v>
      </c>
      <c r="D2122" s="1">
        <v>1</v>
      </c>
    </row>
    <row r="2123" spans="1:4" x14ac:dyDescent="0.25">
      <c r="A2123" s="65">
        <v>42906</v>
      </c>
      <c r="B2123" s="1">
        <v>1</v>
      </c>
      <c r="C2123" s="65">
        <v>42906</v>
      </c>
      <c r="D2123" s="1">
        <v>1</v>
      </c>
    </row>
    <row r="2124" spans="1:4" x14ac:dyDescent="0.25">
      <c r="A2124" s="65">
        <v>42907</v>
      </c>
      <c r="B2124" s="1">
        <v>1</v>
      </c>
      <c r="C2124" s="65">
        <v>42907</v>
      </c>
      <c r="D2124" s="1">
        <v>1</v>
      </c>
    </row>
    <row r="2125" spans="1:4" x14ac:dyDescent="0.25">
      <c r="A2125" s="65">
        <v>42908</v>
      </c>
      <c r="B2125" s="1">
        <v>1</v>
      </c>
      <c r="C2125" s="65">
        <v>42908</v>
      </c>
      <c r="D2125" s="1">
        <v>1</v>
      </c>
    </row>
    <row r="2126" spans="1:4" x14ac:dyDescent="0.25">
      <c r="A2126" s="65">
        <v>42909</v>
      </c>
      <c r="B2126" s="1">
        <v>1</v>
      </c>
      <c r="C2126" s="65">
        <v>42909</v>
      </c>
      <c r="D2126" s="1">
        <v>1</v>
      </c>
    </row>
    <row r="2127" spans="1:4" x14ac:dyDescent="0.25">
      <c r="A2127" s="65">
        <v>42912</v>
      </c>
      <c r="B2127" s="1">
        <v>1</v>
      </c>
      <c r="C2127" s="65">
        <v>42912</v>
      </c>
      <c r="D2127" s="1">
        <v>1</v>
      </c>
    </row>
    <row r="2128" spans="1:4" x14ac:dyDescent="0.25">
      <c r="A2128" s="65">
        <v>42913</v>
      </c>
      <c r="B2128" s="1">
        <v>1</v>
      </c>
      <c r="C2128" s="65">
        <v>42913</v>
      </c>
      <c r="D2128" s="1">
        <v>1</v>
      </c>
    </row>
    <row r="2129" spans="1:4" x14ac:dyDescent="0.25">
      <c r="A2129" s="65">
        <v>42914</v>
      </c>
      <c r="B2129" s="1">
        <v>1</v>
      </c>
      <c r="C2129" s="65">
        <v>42914</v>
      </c>
      <c r="D2129" s="1">
        <v>1</v>
      </c>
    </row>
    <row r="2130" spans="1:4" x14ac:dyDescent="0.25">
      <c r="A2130" s="65">
        <v>42915</v>
      </c>
      <c r="B2130" s="1">
        <v>1</v>
      </c>
      <c r="C2130" s="65">
        <v>42915</v>
      </c>
      <c r="D2130" s="1">
        <v>1</v>
      </c>
    </row>
    <row r="2131" spans="1:4" x14ac:dyDescent="0.25">
      <c r="A2131" s="65">
        <v>42916</v>
      </c>
      <c r="B2131" s="1">
        <v>1</v>
      </c>
      <c r="C2131" s="65">
        <v>42916</v>
      </c>
      <c r="D2131" s="1">
        <v>1</v>
      </c>
    </row>
    <row r="2132" spans="1:4" x14ac:dyDescent="0.25">
      <c r="A2132" s="65">
        <v>42919</v>
      </c>
      <c r="B2132" s="1">
        <v>1</v>
      </c>
      <c r="C2132" s="65">
        <v>42919</v>
      </c>
      <c r="D2132" s="1">
        <v>1</v>
      </c>
    </row>
    <row r="2133" spans="1:4" x14ac:dyDescent="0.25">
      <c r="A2133" s="65">
        <v>42920</v>
      </c>
      <c r="B2133" s="1">
        <v>1</v>
      </c>
      <c r="C2133" s="65">
        <v>42920</v>
      </c>
      <c r="D2133" s="1">
        <v>1</v>
      </c>
    </row>
    <row r="2134" spans="1:4" x14ac:dyDescent="0.25">
      <c r="A2134" s="65">
        <v>42921</v>
      </c>
      <c r="B2134" s="1">
        <v>1</v>
      </c>
      <c r="C2134" s="65">
        <v>42921</v>
      </c>
      <c r="D2134" s="1">
        <v>1</v>
      </c>
    </row>
    <row r="2135" spans="1:4" x14ac:dyDescent="0.25">
      <c r="A2135" s="65">
        <v>42922</v>
      </c>
      <c r="B2135" s="1">
        <v>1</v>
      </c>
      <c r="C2135" s="65">
        <v>42922</v>
      </c>
      <c r="D2135" s="1">
        <v>1</v>
      </c>
    </row>
    <row r="2136" spans="1:4" x14ac:dyDescent="0.25">
      <c r="A2136" s="65">
        <v>42923</v>
      </c>
      <c r="B2136" s="1">
        <v>1</v>
      </c>
      <c r="C2136" s="65">
        <v>42923</v>
      </c>
      <c r="D2136" s="1">
        <v>1</v>
      </c>
    </row>
    <row r="2137" spans="1:4" x14ac:dyDescent="0.25">
      <c r="A2137" s="65">
        <v>42926</v>
      </c>
      <c r="B2137" s="1">
        <v>1</v>
      </c>
      <c r="C2137" s="65">
        <v>42926</v>
      </c>
      <c r="D2137" s="1">
        <v>1</v>
      </c>
    </row>
    <row r="2138" spans="1:4" x14ac:dyDescent="0.25">
      <c r="A2138" s="65">
        <v>42927</v>
      </c>
      <c r="B2138" s="1">
        <v>1</v>
      </c>
      <c r="C2138" s="65">
        <v>42927</v>
      </c>
      <c r="D2138" s="1">
        <v>1</v>
      </c>
    </row>
    <row r="2139" spans="1:4" x14ac:dyDescent="0.25">
      <c r="A2139" s="65">
        <v>42928</v>
      </c>
      <c r="B2139" s="1">
        <v>1</v>
      </c>
      <c r="C2139" s="65">
        <v>42928</v>
      </c>
      <c r="D2139" s="1">
        <v>1</v>
      </c>
    </row>
    <row r="2140" spans="1:4" x14ac:dyDescent="0.25">
      <c r="A2140" s="65">
        <v>42929</v>
      </c>
      <c r="B2140" s="1">
        <v>1</v>
      </c>
      <c r="C2140" s="65">
        <v>42929</v>
      </c>
      <c r="D2140" s="1">
        <v>1</v>
      </c>
    </row>
    <row r="2141" spans="1:4" x14ac:dyDescent="0.25">
      <c r="A2141" s="65">
        <v>42930</v>
      </c>
      <c r="B2141" s="1">
        <v>1</v>
      </c>
      <c r="C2141" s="65">
        <v>42930</v>
      </c>
      <c r="D2141" s="1">
        <v>1</v>
      </c>
    </row>
    <row r="2142" spans="1:4" x14ac:dyDescent="0.25">
      <c r="A2142" s="65">
        <v>42933</v>
      </c>
      <c r="B2142" s="1">
        <v>1</v>
      </c>
      <c r="C2142" s="65">
        <v>42933</v>
      </c>
      <c r="D2142" s="1">
        <v>1</v>
      </c>
    </row>
    <row r="2143" spans="1:4" x14ac:dyDescent="0.25">
      <c r="A2143" s="65">
        <v>42934</v>
      </c>
      <c r="B2143" s="1">
        <v>1</v>
      </c>
      <c r="C2143" s="65">
        <v>42934</v>
      </c>
      <c r="D2143" s="1">
        <v>1</v>
      </c>
    </row>
    <row r="2144" spans="1:4" x14ac:dyDescent="0.25">
      <c r="A2144" s="65">
        <v>42935</v>
      </c>
      <c r="B2144" s="1">
        <v>1</v>
      </c>
      <c r="C2144" s="65">
        <v>42935</v>
      </c>
      <c r="D2144" s="1">
        <v>1</v>
      </c>
    </row>
    <row r="2145" spans="1:4" x14ac:dyDescent="0.25">
      <c r="A2145" s="65">
        <v>42936</v>
      </c>
      <c r="B2145" s="1">
        <v>1</v>
      </c>
      <c r="C2145" s="65">
        <v>42936</v>
      </c>
      <c r="D2145" s="1">
        <v>1</v>
      </c>
    </row>
    <row r="2146" spans="1:4" x14ac:dyDescent="0.25">
      <c r="A2146" s="65">
        <v>42937</v>
      </c>
      <c r="B2146" s="1">
        <v>1</v>
      </c>
      <c r="C2146" s="65">
        <v>42937</v>
      </c>
      <c r="D2146" s="1">
        <v>1</v>
      </c>
    </row>
    <row r="2147" spans="1:4" x14ac:dyDescent="0.25">
      <c r="A2147" s="65">
        <v>42940</v>
      </c>
      <c r="B2147" s="1">
        <v>1</v>
      </c>
      <c r="C2147" s="65">
        <v>42940</v>
      </c>
      <c r="D2147" s="1">
        <v>1</v>
      </c>
    </row>
    <row r="2148" spans="1:4" x14ac:dyDescent="0.25">
      <c r="A2148" s="65">
        <v>42941</v>
      </c>
      <c r="B2148" s="1">
        <v>1</v>
      </c>
      <c r="C2148" s="65">
        <v>42941</v>
      </c>
      <c r="D2148" s="1">
        <v>1</v>
      </c>
    </row>
    <row r="2149" spans="1:4" x14ac:dyDescent="0.25">
      <c r="A2149" s="65">
        <v>42942</v>
      </c>
      <c r="B2149" s="1">
        <v>1</v>
      </c>
      <c r="C2149" s="65">
        <v>42942</v>
      </c>
      <c r="D2149" s="1">
        <v>1</v>
      </c>
    </row>
    <row r="2150" spans="1:4" x14ac:dyDescent="0.25">
      <c r="A2150" s="65">
        <v>42943</v>
      </c>
      <c r="B2150" s="1">
        <v>1</v>
      </c>
      <c r="C2150" s="65">
        <v>42943</v>
      </c>
      <c r="D2150" s="1">
        <v>1</v>
      </c>
    </row>
    <row r="2151" spans="1:4" x14ac:dyDescent="0.25">
      <c r="A2151" s="65">
        <v>42944</v>
      </c>
      <c r="B2151" s="1">
        <v>1</v>
      </c>
      <c r="C2151" s="65">
        <v>42944</v>
      </c>
      <c r="D2151" s="1">
        <v>1</v>
      </c>
    </row>
    <row r="2152" spans="1:4" x14ac:dyDescent="0.25">
      <c r="A2152" s="65">
        <v>42947</v>
      </c>
      <c r="B2152" s="1">
        <v>1</v>
      </c>
      <c r="C2152" s="65">
        <v>42947</v>
      </c>
      <c r="D2152" s="1">
        <v>1</v>
      </c>
    </row>
    <row r="2153" spans="1:4" x14ac:dyDescent="0.25">
      <c r="A2153" s="65">
        <v>42948</v>
      </c>
      <c r="B2153" s="1">
        <v>1</v>
      </c>
      <c r="C2153" s="65">
        <v>42948</v>
      </c>
      <c r="D2153" s="1">
        <v>1</v>
      </c>
    </row>
    <row r="2154" spans="1:4" x14ac:dyDescent="0.25">
      <c r="A2154" s="65">
        <v>42949</v>
      </c>
      <c r="B2154" s="1">
        <v>1</v>
      </c>
      <c r="C2154" s="65">
        <v>42949</v>
      </c>
      <c r="D2154" s="1">
        <v>1</v>
      </c>
    </row>
    <row r="2155" spans="1:4" x14ac:dyDescent="0.25">
      <c r="A2155" s="65">
        <v>42950</v>
      </c>
      <c r="B2155" s="1">
        <v>1</v>
      </c>
      <c r="C2155" s="65">
        <v>42950</v>
      </c>
      <c r="D2155" s="1">
        <v>1</v>
      </c>
    </row>
    <row r="2156" spans="1:4" x14ac:dyDescent="0.25">
      <c r="A2156" s="65">
        <v>42951</v>
      </c>
      <c r="B2156" s="1">
        <v>1</v>
      </c>
      <c r="C2156" s="65">
        <v>42951</v>
      </c>
      <c r="D2156" s="1">
        <v>1</v>
      </c>
    </row>
    <row r="2157" spans="1:4" x14ac:dyDescent="0.25">
      <c r="A2157" s="65">
        <v>42954</v>
      </c>
      <c r="B2157" s="1">
        <v>1</v>
      </c>
      <c r="C2157" s="65">
        <v>42954</v>
      </c>
      <c r="D2157" s="1">
        <v>1</v>
      </c>
    </row>
    <row r="2158" spans="1:4" x14ac:dyDescent="0.25">
      <c r="A2158" s="65">
        <v>42955</v>
      </c>
      <c r="B2158" s="1">
        <v>1</v>
      </c>
      <c r="C2158" s="65">
        <v>42955</v>
      </c>
      <c r="D2158" s="1">
        <v>1</v>
      </c>
    </row>
    <row r="2159" spans="1:4" x14ac:dyDescent="0.25">
      <c r="A2159" s="65">
        <v>42956</v>
      </c>
      <c r="B2159" s="1">
        <v>1</v>
      </c>
      <c r="C2159" s="65">
        <v>42956</v>
      </c>
      <c r="D2159" s="1">
        <v>1</v>
      </c>
    </row>
    <row r="2160" spans="1:4" x14ac:dyDescent="0.25">
      <c r="A2160" s="65">
        <v>42957</v>
      </c>
      <c r="B2160" s="1">
        <v>1</v>
      </c>
      <c r="C2160" s="65">
        <v>42957</v>
      </c>
      <c r="D2160" s="1">
        <v>1</v>
      </c>
    </row>
    <row r="2161" spans="1:4" x14ac:dyDescent="0.25">
      <c r="A2161" s="65">
        <v>42958</v>
      </c>
      <c r="B2161" s="1">
        <v>1</v>
      </c>
      <c r="C2161" s="65">
        <v>42958</v>
      </c>
      <c r="D2161" s="1">
        <v>1</v>
      </c>
    </row>
    <row r="2162" spans="1:4" x14ac:dyDescent="0.25">
      <c r="A2162" s="65">
        <v>42961</v>
      </c>
      <c r="B2162" s="1">
        <v>1</v>
      </c>
      <c r="C2162" s="65">
        <v>42961</v>
      </c>
      <c r="D2162" s="1">
        <v>1</v>
      </c>
    </row>
    <row r="2163" spans="1:4" x14ac:dyDescent="0.25">
      <c r="A2163" s="65">
        <v>42962</v>
      </c>
      <c r="B2163" s="1">
        <v>1</v>
      </c>
      <c r="C2163" s="65">
        <v>42962</v>
      </c>
      <c r="D2163" s="1">
        <v>1</v>
      </c>
    </row>
    <row r="2164" spans="1:4" x14ac:dyDescent="0.25">
      <c r="A2164" s="65">
        <v>42963</v>
      </c>
      <c r="B2164" s="1">
        <v>1</v>
      </c>
      <c r="C2164" s="65">
        <v>42963</v>
      </c>
      <c r="D2164" s="1">
        <v>1</v>
      </c>
    </row>
    <row r="2165" spans="1:4" x14ac:dyDescent="0.25">
      <c r="A2165" s="65">
        <v>42964</v>
      </c>
      <c r="B2165" s="1">
        <v>1</v>
      </c>
      <c r="C2165" s="65">
        <v>42964</v>
      </c>
      <c r="D2165" s="1">
        <v>1</v>
      </c>
    </row>
    <row r="2166" spans="1:4" x14ac:dyDescent="0.25">
      <c r="A2166" s="65">
        <v>42965</v>
      </c>
      <c r="B2166" s="1">
        <v>1</v>
      </c>
      <c r="C2166" s="65">
        <v>42965</v>
      </c>
      <c r="D2166" s="1">
        <v>1</v>
      </c>
    </row>
    <row r="2167" spans="1:4" x14ac:dyDescent="0.25">
      <c r="A2167" s="65">
        <v>42968</v>
      </c>
      <c r="B2167" s="1">
        <v>1</v>
      </c>
      <c r="C2167" s="65">
        <v>42968</v>
      </c>
      <c r="D2167" s="1">
        <v>1</v>
      </c>
    </row>
    <row r="2168" spans="1:4" x14ac:dyDescent="0.25">
      <c r="A2168" s="65">
        <v>42969</v>
      </c>
      <c r="B2168" s="1">
        <v>1</v>
      </c>
      <c r="C2168" s="65">
        <v>42969</v>
      </c>
      <c r="D2168" s="1">
        <v>1</v>
      </c>
    </row>
    <row r="2169" spans="1:4" x14ac:dyDescent="0.25">
      <c r="A2169" s="65">
        <v>42970</v>
      </c>
      <c r="B2169" s="1">
        <v>1</v>
      </c>
      <c r="C2169" s="65">
        <v>42970</v>
      </c>
      <c r="D2169" s="1">
        <v>1</v>
      </c>
    </row>
    <row r="2170" spans="1:4" x14ac:dyDescent="0.25">
      <c r="A2170" s="65">
        <v>42971</v>
      </c>
      <c r="B2170" s="1">
        <v>1</v>
      </c>
      <c r="C2170" s="65">
        <v>42971</v>
      </c>
      <c r="D2170" s="1">
        <v>1</v>
      </c>
    </row>
    <row r="2171" spans="1:4" x14ac:dyDescent="0.25">
      <c r="A2171" s="65">
        <v>42972</v>
      </c>
      <c r="B2171" s="1">
        <v>1</v>
      </c>
      <c r="C2171" s="65">
        <v>42972</v>
      </c>
      <c r="D2171" s="1">
        <v>1</v>
      </c>
    </row>
    <row r="2172" spans="1:4" x14ac:dyDescent="0.25">
      <c r="A2172" s="65">
        <v>42975</v>
      </c>
      <c r="B2172" s="1">
        <v>1</v>
      </c>
      <c r="C2172" s="65">
        <v>42975</v>
      </c>
      <c r="D2172" s="1">
        <v>1</v>
      </c>
    </row>
    <row r="2173" spans="1:4" x14ac:dyDescent="0.25">
      <c r="A2173" s="65">
        <v>42976</v>
      </c>
      <c r="B2173" s="1">
        <v>1</v>
      </c>
      <c r="C2173" s="65">
        <v>42976</v>
      </c>
      <c r="D2173" s="1">
        <v>1</v>
      </c>
    </row>
    <row r="2174" spans="1:4" x14ac:dyDescent="0.25">
      <c r="A2174" s="65">
        <v>42977</v>
      </c>
      <c r="B2174" s="1">
        <v>1</v>
      </c>
      <c r="C2174" s="65">
        <v>42977</v>
      </c>
      <c r="D2174" s="1">
        <v>1</v>
      </c>
    </row>
    <row r="2175" spans="1:4" x14ac:dyDescent="0.25">
      <c r="A2175" s="65">
        <v>42978</v>
      </c>
      <c r="B2175" s="1">
        <v>1</v>
      </c>
      <c r="C2175" s="65">
        <v>42978</v>
      </c>
      <c r="D2175" s="1">
        <v>1</v>
      </c>
    </row>
    <row r="2176" spans="1:4" x14ac:dyDescent="0.25">
      <c r="A2176" s="65">
        <v>42979</v>
      </c>
      <c r="B2176" s="1">
        <v>1</v>
      </c>
      <c r="C2176" s="65">
        <v>42979</v>
      </c>
      <c r="D2176" s="1">
        <v>1</v>
      </c>
    </row>
    <row r="2177" spans="1:4" x14ac:dyDescent="0.25">
      <c r="A2177" s="65">
        <v>42982</v>
      </c>
      <c r="B2177" s="1">
        <v>1</v>
      </c>
      <c r="C2177" s="65">
        <v>42982</v>
      </c>
      <c r="D2177" s="1">
        <v>1</v>
      </c>
    </row>
    <row r="2178" spans="1:4" x14ac:dyDescent="0.25">
      <c r="A2178" s="65">
        <v>42983</v>
      </c>
      <c r="B2178" s="1">
        <v>1</v>
      </c>
      <c r="C2178" s="65">
        <v>42983</v>
      </c>
      <c r="D2178" s="1">
        <v>1</v>
      </c>
    </row>
    <row r="2179" spans="1:4" x14ac:dyDescent="0.25">
      <c r="A2179" s="65">
        <v>42984</v>
      </c>
      <c r="B2179" s="1">
        <v>1</v>
      </c>
      <c r="C2179" s="65">
        <v>42984</v>
      </c>
      <c r="D2179" s="1">
        <v>1</v>
      </c>
    </row>
    <row r="2180" spans="1:4" x14ac:dyDescent="0.25">
      <c r="A2180" s="65">
        <v>42985</v>
      </c>
      <c r="B2180" s="1">
        <v>1</v>
      </c>
      <c r="C2180" s="65">
        <v>42985</v>
      </c>
      <c r="D2180" s="1">
        <v>1</v>
      </c>
    </row>
    <row r="2181" spans="1:4" x14ac:dyDescent="0.25">
      <c r="A2181" s="65">
        <v>42986</v>
      </c>
      <c r="B2181" s="1">
        <v>1</v>
      </c>
      <c r="C2181" s="65">
        <v>42986</v>
      </c>
      <c r="D2181" s="1">
        <v>1</v>
      </c>
    </row>
    <row r="2182" spans="1:4" x14ac:dyDescent="0.25">
      <c r="A2182" s="65">
        <v>42989</v>
      </c>
      <c r="B2182" s="1">
        <v>1</v>
      </c>
      <c r="C2182" s="65">
        <v>42989</v>
      </c>
      <c r="D2182" s="1">
        <v>1</v>
      </c>
    </row>
    <row r="2183" spans="1:4" x14ac:dyDescent="0.25">
      <c r="A2183" s="65">
        <v>42990</v>
      </c>
      <c r="B2183" s="1">
        <v>1</v>
      </c>
      <c r="C2183" s="65">
        <v>42990</v>
      </c>
      <c r="D2183" s="1">
        <v>1</v>
      </c>
    </row>
    <row r="2184" spans="1:4" x14ac:dyDescent="0.25">
      <c r="A2184" s="65">
        <v>42991</v>
      </c>
      <c r="B2184" s="1">
        <v>1</v>
      </c>
      <c r="C2184" s="65">
        <v>42991</v>
      </c>
      <c r="D2184" s="1">
        <v>1</v>
      </c>
    </row>
    <row r="2185" spans="1:4" x14ac:dyDescent="0.25">
      <c r="A2185" s="65">
        <v>42992</v>
      </c>
      <c r="B2185" s="1">
        <v>1</v>
      </c>
      <c r="C2185" s="65">
        <v>42992</v>
      </c>
      <c r="D2185" s="1">
        <v>1</v>
      </c>
    </row>
    <row r="2186" spans="1:4" x14ac:dyDescent="0.25">
      <c r="A2186" s="65">
        <v>42993</v>
      </c>
      <c r="B2186" s="1">
        <v>1</v>
      </c>
      <c r="C2186" s="65">
        <v>42993</v>
      </c>
      <c r="D2186" s="1">
        <v>1</v>
      </c>
    </row>
    <row r="2187" spans="1:4" x14ac:dyDescent="0.25">
      <c r="A2187" s="65">
        <v>42996</v>
      </c>
      <c r="B2187" s="1">
        <v>1</v>
      </c>
      <c r="C2187" s="65">
        <v>42996</v>
      </c>
      <c r="D2187" s="1">
        <v>1</v>
      </c>
    </row>
    <row r="2188" spans="1:4" x14ac:dyDescent="0.25">
      <c r="A2188" s="65">
        <v>42997</v>
      </c>
      <c r="B2188" s="1">
        <v>1</v>
      </c>
      <c r="C2188" s="65">
        <v>42997</v>
      </c>
      <c r="D2188" s="1">
        <v>1</v>
      </c>
    </row>
    <row r="2189" spans="1:4" x14ac:dyDescent="0.25">
      <c r="A2189" s="65">
        <v>42998</v>
      </c>
      <c r="B2189" s="1">
        <v>1</v>
      </c>
      <c r="C2189" s="65">
        <v>42998</v>
      </c>
      <c r="D2189" s="1">
        <v>1</v>
      </c>
    </row>
    <row r="2190" spans="1:4" x14ac:dyDescent="0.25">
      <c r="A2190" s="65">
        <v>42999</v>
      </c>
      <c r="B2190" s="1">
        <v>1</v>
      </c>
      <c r="C2190" s="65">
        <v>42999</v>
      </c>
      <c r="D2190" s="1">
        <v>1</v>
      </c>
    </row>
    <row r="2191" spans="1:4" x14ac:dyDescent="0.25">
      <c r="A2191" s="65">
        <v>43000</v>
      </c>
      <c r="B2191" s="1">
        <v>1</v>
      </c>
      <c r="C2191" s="65">
        <v>43000</v>
      </c>
      <c r="D2191" s="1">
        <v>1</v>
      </c>
    </row>
    <row r="2192" spans="1:4" x14ac:dyDescent="0.25">
      <c r="A2192" s="65">
        <v>43003</v>
      </c>
      <c r="B2192" s="1">
        <v>1</v>
      </c>
      <c r="C2192" s="65">
        <v>43003</v>
      </c>
      <c r="D2192" s="1">
        <v>1</v>
      </c>
    </row>
    <row r="2193" spans="1:4" x14ac:dyDescent="0.25">
      <c r="A2193" s="65">
        <v>43004</v>
      </c>
      <c r="B2193" s="1">
        <v>1</v>
      </c>
      <c r="C2193" s="65">
        <v>43004</v>
      </c>
      <c r="D2193" s="1">
        <v>1</v>
      </c>
    </row>
    <row r="2194" spans="1:4" x14ac:dyDescent="0.25">
      <c r="A2194" s="65">
        <v>43005</v>
      </c>
      <c r="B2194" s="1">
        <v>1</v>
      </c>
      <c r="C2194" s="65">
        <v>43005</v>
      </c>
      <c r="D2194" s="1">
        <v>1</v>
      </c>
    </row>
    <row r="2195" spans="1:4" x14ac:dyDescent="0.25">
      <c r="A2195" s="65">
        <v>43006</v>
      </c>
      <c r="B2195" s="1">
        <v>1</v>
      </c>
      <c r="C2195" s="65">
        <v>43006</v>
      </c>
      <c r="D2195" s="1">
        <v>1</v>
      </c>
    </row>
    <row r="2196" spans="1:4" x14ac:dyDescent="0.25">
      <c r="A2196" s="65">
        <v>43007</v>
      </c>
      <c r="B2196" s="1">
        <v>1</v>
      </c>
      <c r="C2196" s="65">
        <v>43007</v>
      </c>
      <c r="D2196" s="1">
        <v>1</v>
      </c>
    </row>
    <row r="2197" spans="1:4" x14ac:dyDescent="0.25">
      <c r="A2197" s="65">
        <v>43010</v>
      </c>
      <c r="B2197" s="1">
        <v>1</v>
      </c>
      <c r="C2197" s="65">
        <v>43010</v>
      </c>
      <c r="D2197" s="1">
        <v>1</v>
      </c>
    </row>
    <row r="2198" spans="1:4" x14ac:dyDescent="0.25">
      <c r="A2198" s="65">
        <v>43011</v>
      </c>
      <c r="B2198" s="1">
        <v>1</v>
      </c>
      <c r="C2198" s="65">
        <v>43011</v>
      </c>
      <c r="D2198" s="1">
        <v>1</v>
      </c>
    </row>
    <row r="2199" spans="1:4" x14ac:dyDescent="0.25">
      <c r="A2199" s="65">
        <v>43012</v>
      </c>
      <c r="B2199" s="1">
        <v>1</v>
      </c>
      <c r="C2199" s="65">
        <v>43012</v>
      </c>
      <c r="D2199" s="1">
        <v>1</v>
      </c>
    </row>
    <row r="2200" spans="1:4" x14ac:dyDescent="0.25">
      <c r="A2200" s="65">
        <v>43013</v>
      </c>
      <c r="B2200" s="1">
        <v>1</v>
      </c>
      <c r="C2200" s="65">
        <v>43013</v>
      </c>
      <c r="D2200" s="1">
        <v>1</v>
      </c>
    </row>
    <row r="2201" spans="1:4" x14ac:dyDescent="0.25">
      <c r="A2201" s="65">
        <v>43014</v>
      </c>
      <c r="B2201" s="1">
        <v>1</v>
      </c>
      <c r="C2201" s="65">
        <v>43014</v>
      </c>
      <c r="D2201" s="1">
        <v>1</v>
      </c>
    </row>
    <row r="2202" spans="1:4" x14ac:dyDescent="0.25">
      <c r="A2202" s="65">
        <v>43017</v>
      </c>
      <c r="B2202" s="1">
        <v>1</v>
      </c>
      <c r="C2202" s="65">
        <v>43017</v>
      </c>
      <c r="D2202" s="1">
        <v>1</v>
      </c>
    </row>
    <row r="2203" spans="1:4" x14ac:dyDescent="0.25">
      <c r="A2203" s="65">
        <v>43018</v>
      </c>
      <c r="B2203" s="1">
        <v>1</v>
      </c>
      <c r="C2203" s="65">
        <v>43018</v>
      </c>
      <c r="D2203" s="1">
        <v>1</v>
      </c>
    </row>
    <row r="2204" spans="1:4" x14ac:dyDescent="0.25">
      <c r="A2204" s="65">
        <v>43019</v>
      </c>
      <c r="B2204" s="1">
        <v>1</v>
      </c>
      <c r="C2204" s="65">
        <v>43019</v>
      </c>
      <c r="D2204" s="1">
        <v>1</v>
      </c>
    </row>
    <row r="2205" spans="1:4" x14ac:dyDescent="0.25">
      <c r="A2205" s="65">
        <v>43020</v>
      </c>
      <c r="B2205" s="1">
        <v>1</v>
      </c>
      <c r="C2205" s="65">
        <v>43020</v>
      </c>
      <c r="D2205" s="1">
        <v>1</v>
      </c>
    </row>
    <row r="2206" spans="1:4" x14ac:dyDescent="0.25">
      <c r="A2206" s="65">
        <v>43021</v>
      </c>
      <c r="B2206" s="1">
        <v>1</v>
      </c>
      <c r="C2206" s="65">
        <v>43021</v>
      </c>
      <c r="D2206" s="1">
        <v>1</v>
      </c>
    </row>
    <row r="2207" spans="1:4" x14ac:dyDescent="0.25">
      <c r="A2207" s="65">
        <v>43024</v>
      </c>
      <c r="B2207" s="1">
        <v>1</v>
      </c>
      <c r="C2207" s="65">
        <v>43024</v>
      </c>
      <c r="D2207" s="1">
        <v>1</v>
      </c>
    </row>
    <row r="2208" spans="1:4" x14ac:dyDescent="0.25">
      <c r="A2208" s="65">
        <v>43025</v>
      </c>
      <c r="B2208" s="1">
        <v>1</v>
      </c>
      <c r="C2208" s="65">
        <v>43025</v>
      </c>
      <c r="D2208" s="1">
        <v>1</v>
      </c>
    </row>
    <row r="2209" spans="1:4" x14ac:dyDescent="0.25">
      <c r="A2209" s="65">
        <v>43026</v>
      </c>
      <c r="B2209" s="1">
        <v>1</v>
      </c>
      <c r="C2209" s="65">
        <v>43026</v>
      </c>
      <c r="D2209" s="1">
        <v>1</v>
      </c>
    </row>
    <row r="2210" spans="1:4" x14ac:dyDescent="0.25">
      <c r="A2210" s="65">
        <v>43027</v>
      </c>
      <c r="B2210" s="1">
        <v>1</v>
      </c>
      <c r="C2210" s="65">
        <v>43027</v>
      </c>
      <c r="D2210" s="1">
        <v>1</v>
      </c>
    </row>
    <row r="2211" spans="1:4" x14ac:dyDescent="0.25">
      <c r="A2211" s="65">
        <v>43028</v>
      </c>
      <c r="B2211" s="1">
        <v>1</v>
      </c>
      <c r="C2211" s="65">
        <v>43028</v>
      </c>
      <c r="D2211" s="1">
        <v>1</v>
      </c>
    </row>
    <row r="2212" spans="1:4" x14ac:dyDescent="0.25">
      <c r="A2212" s="65">
        <v>43031</v>
      </c>
      <c r="B2212" s="1">
        <v>1</v>
      </c>
      <c r="C2212" s="65">
        <v>43031</v>
      </c>
      <c r="D2212" s="1">
        <v>1</v>
      </c>
    </row>
    <row r="2213" spans="1:4" x14ac:dyDescent="0.25">
      <c r="A2213" s="65">
        <v>43032</v>
      </c>
      <c r="B2213" s="1">
        <v>1</v>
      </c>
      <c r="C2213" s="65">
        <v>43032</v>
      </c>
      <c r="D2213" s="1">
        <v>1</v>
      </c>
    </row>
    <row r="2214" spans="1:4" x14ac:dyDescent="0.25">
      <c r="A2214" s="65">
        <v>43033</v>
      </c>
      <c r="B2214" s="1">
        <v>1</v>
      </c>
      <c r="C2214" s="65">
        <v>43033</v>
      </c>
      <c r="D2214" s="1">
        <v>1</v>
      </c>
    </row>
    <row r="2215" spans="1:4" x14ac:dyDescent="0.25">
      <c r="A2215" s="65">
        <v>43034</v>
      </c>
      <c r="B2215" s="1">
        <v>1</v>
      </c>
      <c r="C2215" s="65">
        <v>43034</v>
      </c>
      <c r="D2215" s="1">
        <v>1</v>
      </c>
    </row>
    <row r="2216" spans="1:4" x14ac:dyDescent="0.25">
      <c r="A2216" s="65">
        <v>43035</v>
      </c>
      <c r="B2216" s="1">
        <v>1</v>
      </c>
      <c r="C2216" s="65">
        <v>43035</v>
      </c>
      <c r="D2216" s="1">
        <v>1</v>
      </c>
    </row>
    <row r="2217" spans="1:4" x14ac:dyDescent="0.25">
      <c r="A2217" s="65">
        <v>43038</v>
      </c>
      <c r="B2217" s="1">
        <v>1</v>
      </c>
      <c r="C2217" s="65">
        <v>43038</v>
      </c>
      <c r="D2217" s="1">
        <v>1</v>
      </c>
    </row>
    <row r="2218" spans="1:4" x14ac:dyDescent="0.25">
      <c r="A2218" s="65">
        <v>43039</v>
      </c>
      <c r="B2218" s="1">
        <v>1</v>
      </c>
      <c r="C2218" s="65">
        <v>43039</v>
      </c>
      <c r="D2218" s="1">
        <v>1</v>
      </c>
    </row>
    <row r="2219" spans="1:4" x14ac:dyDescent="0.25">
      <c r="A2219" s="65">
        <v>43040</v>
      </c>
      <c r="B2219" s="1">
        <v>1</v>
      </c>
      <c r="C2219" s="65">
        <v>43040</v>
      </c>
      <c r="D2219" s="1">
        <v>1</v>
      </c>
    </row>
    <row r="2220" spans="1:4" x14ac:dyDescent="0.25">
      <c r="A2220" s="65">
        <v>43041</v>
      </c>
      <c r="B2220" s="1">
        <v>1</v>
      </c>
      <c r="C2220" s="65">
        <v>43041</v>
      </c>
      <c r="D2220" s="1">
        <v>1</v>
      </c>
    </row>
    <row r="2221" spans="1:4" x14ac:dyDescent="0.25">
      <c r="A2221" s="65">
        <v>43042</v>
      </c>
      <c r="B2221" s="1">
        <v>1</v>
      </c>
      <c r="C2221" s="65">
        <v>43042</v>
      </c>
      <c r="D2221" s="1">
        <v>1</v>
      </c>
    </row>
    <row r="2222" spans="1:4" x14ac:dyDescent="0.25">
      <c r="A2222" s="65">
        <v>43045</v>
      </c>
      <c r="B2222" s="1">
        <v>1</v>
      </c>
      <c r="C2222" s="65">
        <v>43045</v>
      </c>
      <c r="D2222" s="1">
        <v>1</v>
      </c>
    </row>
    <row r="2223" spans="1:4" x14ac:dyDescent="0.25">
      <c r="A2223" s="65">
        <v>43046</v>
      </c>
      <c r="B2223" s="1">
        <v>1</v>
      </c>
      <c r="C2223" s="65">
        <v>43046</v>
      </c>
      <c r="D2223" s="1">
        <v>1</v>
      </c>
    </row>
    <row r="2224" spans="1:4" x14ac:dyDescent="0.25">
      <c r="A2224" s="65">
        <v>43047</v>
      </c>
      <c r="B2224" s="1">
        <v>1</v>
      </c>
      <c r="C2224" s="65">
        <v>43047</v>
      </c>
      <c r="D2224" s="1">
        <v>1</v>
      </c>
    </row>
    <row r="2225" spans="1:4" x14ac:dyDescent="0.25">
      <c r="A2225" s="65">
        <v>43048</v>
      </c>
      <c r="B2225" s="1">
        <v>1</v>
      </c>
      <c r="C2225" s="65">
        <v>43048</v>
      </c>
      <c r="D2225" s="1">
        <v>1</v>
      </c>
    </row>
    <row r="2226" spans="1:4" x14ac:dyDescent="0.25">
      <c r="A2226" s="65">
        <v>43049</v>
      </c>
      <c r="B2226" s="1">
        <v>1</v>
      </c>
      <c r="C2226" s="65">
        <v>43049</v>
      </c>
      <c r="D2226" s="1">
        <v>1</v>
      </c>
    </row>
    <row r="2227" spans="1:4" x14ac:dyDescent="0.25">
      <c r="A2227" s="65">
        <v>43052</v>
      </c>
      <c r="B2227" s="1">
        <v>1</v>
      </c>
      <c r="C2227" s="65">
        <v>43052</v>
      </c>
      <c r="D2227" s="1">
        <v>1</v>
      </c>
    </row>
    <row r="2228" spans="1:4" x14ac:dyDescent="0.25">
      <c r="A2228" s="65">
        <v>43053</v>
      </c>
      <c r="B2228" s="1">
        <v>1</v>
      </c>
      <c r="C2228" s="65">
        <v>43053</v>
      </c>
      <c r="D2228" s="1">
        <v>1</v>
      </c>
    </row>
    <row r="2229" spans="1:4" x14ac:dyDescent="0.25">
      <c r="A2229" s="65">
        <v>43054</v>
      </c>
      <c r="B2229" s="1">
        <v>1</v>
      </c>
      <c r="C2229" s="65">
        <v>43054</v>
      </c>
      <c r="D2229" s="1">
        <v>1</v>
      </c>
    </row>
    <row r="2230" spans="1:4" x14ac:dyDescent="0.25">
      <c r="A2230" s="65">
        <v>43055</v>
      </c>
      <c r="B2230" s="1">
        <v>1</v>
      </c>
      <c r="C2230" s="65">
        <v>43055</v>
      </c>
      <c r="D2230" s="1">
        <v>1</v>
      </c>
    </row>
    <row r="2231" spans="1:4" x14ac:dyDescent="0.25">
      <c r="A2231" s="65">
        <v>43056</v>
      </c>
      <c r="B2231" s="1">
        <v>1</v>
      </c>
      <c r="C2231" s="65">
        <v>43056</v>
      </c>
      <c r="D2231" s="1">
        <v>1</v>
      </c>
    </row>
    <row r="2232" spans="1:4" x14ac:dyDescent="0.25">
      <c r="A2232" s="65">
        <v>43059</v>
      </c>
      <c r="B2232" s="1">
        <v>1</v>
      </c>
      <c r="C2232" s="65">
        <v>43059</v>
      </c>
      <c r="D2232" s="1">
        <v>1</v>
      </c>
    </row>
    <row r="2233" spans="1:4" x14ac:dyDescent="0.25">
      <c r="A2233" s="65">
        <v>43060</v>
      </c>
      <c r="B2233" s="1">
        <v>1</v>
      </c>
      <c r="C2233" s="65">
        <v>43060</v>
      </c>
      <c r="D2233" s="1">
        <v>1</v>
      </c>
    </row>
    <row r="2234" spans="1:4" x14ac:dyDescent="0.25">
      <c r="A2234" s="65">
        <v>43061</v>
      </c>
      <c r="B2234" s="1">
        <v>1</v>
      </c>
      <c r="C2234" s="65">
        <v>43061</v>
      </c>
      <c r="D2234" s="1">
        <v>1</v>
      </c>
    </row>
    <row r="2235" spans="1:4" x14ac:dyDescent="0.25">
      <c r="A2235" s="65">
        <v>43062</v>
      </c>
      <c r="B2235" s="1">
        <v>1</v>
      </c>
      <c r="C2235" s="65">
        <v>43062</v>
      </c>
      <c r="D2235" s="1">
        <v>1</v>
      </c>
    </row>
    <row r="2236" spans="1:4" x14ac:dyDescent="0.25">
      <c r="A2236" s="65">
        <v>43063</v>
      </c>
      <c r="B2236" s="1">
        <v>1</v>
      </c>
      <c r="C2236" s="65">
        <v>43063</v>
      </c>
      <c r="D2236" s="1">
        <v>1</v>
      </c>
    </row>
    <row r="2237" spans="1:4" x14ac:dyDescent="0.25">
      <c r="A2237" s="65">
        <v>43066</v>
      </c>
      <c r="B2237" s="1">
        <v>1</v>
      </c>
      <c r="C2237" s="65">
        <v>43066</v>
      </c>
      <c r="D2237" s="1">
        <v>1</v>
      </c>
    </row>
    <row r="2238" spans="1:4" x14ac:dyDescent="0.25">
      <c r="A2238" s="65">
        <v>43067</v>
      </c>
      <c r="B2238" s="1">
        <v>1</v>
      </c>
      <c r="C2238" s="65">
        <v>43067</v>
      </c>
      <c r="D2238" s="1">
        <v>1</v>
      </c>
    </row>
    <row r="2239" spans="1:4" x14ac:dyDescent="0.25">
      <c r="A2239" s="65">
        <v>43068</v>
      </c>
      <c r="B2239" s="1">
        <v>1</v>
      </c>
      <c r="C2239" s="65">
        <v>43068</v>
      </c>
      <c r="D2239" s="1">
        <v>1</v>
      </c>
    </row>
    <row r="2240" spans="1:4" x14ac:dyDescent="0.25">
      <c r="A2240" s="65">
        <v>43069</v>
      </c>
      <c r="B2240" s="1">
        <v>1</v>
      </c>
      <c r="C2240" s="65">
        <v>43069</v>
      </c>
      <c r="D2240" s="1">
        <v>1</v>
      </c>
    </row>
    <row r="2241" spans="1:4" x14ac:dyDescent="0.25">
      <c r="A2241" s="65">
        <v>43070</v>
      </c>
      <c r="B2241" s="1">
        <v>1</v>
      </c>
      <c r="C2241" s="65">
        <v>43070</v>
      </c>
      <c r="D2241" s="1">
        <v>1</v>
      </c>
    </row>
    <row r="2242" spans="1:4" x14ac:dyDescent="0.25">
      <c r="A2242" s="65">
        <v>43073</v>
      </c>
      <c r="B2242" s="1">
        <v>1</v>
      </c>
      <c r="C2242" s="65">
        <v>43073</v>
      </c>
      <c r="D2242" s="1">
        <v>1</v>
      </c>
    </row>
    <row r="2243" spans="1:4" x14ac:dyDescent="0.25">
      <c r="A2243" s="65">
        <v>43074</v>
      </c>
      <c r="B2243" s="1">
        <v>1</v>
      </c>
      <c r="C2243" s="65">
        <v>43074</v>
      </c>
      <c r="D2243" s="1">
        <v>1</v>
      </c>
    </row>
    <row r="2244" spans="1:4" x14ac:dyDescent="0.25">
      <c r="A2244" s="65">
        <v>43075</v>
      </c>
      <c r="B2244" s="1">
        <v>1</v>
      </c>
      <c r="C2244" s="65">
        <v>43075</v>
      </c>
      <c r="D2244" s="1">
        <v>1</v>
      </c>
    </row>
    <row r="2245" spans="1:4" x14ac:dyDescent="0.25">
      <c r="A2245" s="65">
        <v>43076</v>
      </c>
      <c r="B2245" s="1">
        <v>1</v>
      </c>
      <c r="C2245" s="65">
        <v>43076</v>
      </c>
      <c r="D2245" s="1">
        <v>1</v>
      </c>
    </row>
    <row r="2246" spans="1:4" x14ac:dyDescent="0.25">
      <c r="A2246" s="65">
        <v>43077</v>
      </c>
      <c r="B2246" s="1">
        <v>1</v>
      </c>
      <c r="C2246" s="65">
        <v>43077</v>
      </c>
      <c r="D2246" s="1">
        <v>1</v>
      </c>
    </row>
    <row r="2247" spans="1:4" x14ac:dyDescent="0.25">
      <c r="A2247" s="65">
        <v>43080</v>
      </c>
      <c r="B2247" s="1">
        <v>1</v>
      </c>
      <c r="C2247" s="65">
        <v>43080</v>
      </c>
      <c r="D2247" s="1">
        <v>1</v>
      </c>
    </row>
    <row r="2248" spans="1:4" x14ac:dyDescent="0.25">
      <c r="A2248" s="65">
        <v>43081</v>
      </c>
      <c r="B2248" s="1">
        <v>1</v>
      </c>
      <c r="C2248" s="65">
        <v>43081</v>
      </c>
      <c r="D2248" s="1">
        <v>1</v>
      </c>
    </row>
    <row r="2249" spans="1:4" x14ac:dyDescent="0.25">
      <c r="A2249" s="65">
        <v>43082</v>
      </c>
      <c r="B2249" s="1">
        <v>1</v>
      </c>
      <c r="C2249" s="65">
        <v>43082</v>
      </c>
      <c r="D2249" s="1">
        <v>1</v>
      </c>
    </row>
    <row r="2250" spans="1:4" x14ac:dyDescent="0.25">
      <c r="A2250" s="65">
        <v>43083</v>
      </c>
      <c r="B2250" s="1">
        <v>1</v>
      </c>
      <c r="C2250" s="65">
        <v>43083</v>
      </c>
      <c r="D2250" s="1">
        <v>1</v>
      </c>
    </row>
    <row r="2251" spans="1:4" x14ac:dyDescent="0.25">
      <c r="A2251" s="65">
        <v>43084</v>
      </c>
      <c r="B2251" s="1">
        <v>1</v>
      </c>
      <c r="C2251" s="65">
        <v>43084</v>
      </c>
      <c r="D2251" s="1">
        <v>1</v>
      </c>
    </row>
    <row r="2252" spans="1:4" x14ac:dyDescent="0.25">
      <c r="A2252" s="65">
        <v>43087</v>
      </c>
      <c r="B2252" s="1">
        <v>1</v>
      </c>
      <c r="C2252" s="65">
        <v>43087</v>
      </c>
      <c r="D2252" s="1">
        <v>1</v>
      </c>
    </row>
    <row r="2253" spans="1:4" x14ac:dyDescent="0.25">
      <c r="A2253" s="65">
        <v>43088</v>
      </c>
      <c r="B2253" s="1">
        <v>1</v>
      </c>
      <c r="C2253" s="65">
        <v>43088</v>
      </c>
      <c r="D2253" s="1">
        <v>1</v>
      </c>
    </row>
    <row r="2254" spans="1:4" x14ac:dyDescent="0.25">
      <c r="A2254" s="65">
        <v>43089</v>
      </c>
      <c r="B2254" s="1">
        <v>1</v>
      </c>
      <c r="C2254" s="65">
        <v>43089</v>
      </c>
      <c r="D2254" s="1">
        <v>1</v>
      </c>
    </row>
    <row r="2255" spans="1:4" x14ac:dyDescent="0.25">
      <c r="A2255" s="65">
        <v>43090</v>
      </c>
      <c r="B2255" s="1">
        <v>1</v>
      </c>
      <c r="C2255" s="65">
        <v>43090</v>
      </c>
      <c r="D2255" s="1">
        <v>1</v>
      </c>
    </row>
    <row r="2256" spans="1:4" x14ac:dyDescent="0.25">
      <c r="A2256" s="65">
        <v>43091</v>
      </c>
      <c r="B2256" s="1">
        <v>1</v>
      </c>
      <c r="C2256" s="65">
        <v>43091</v>
      </c>
      <c r="D2256" s="1">
        <v>1</v>
      </c>
    </row>
    <row r="2257" spans="1:4" x14ac:dyDescent="0.25">
      <c r="A2257" s="65">
        <v>43096</v>
      </c>
      <c r="B2257" s="1">
        <v>1</v>
      </c>
      <c r="C2257" s="65">
        <v>43096</v>
      </c>
      <c r="D2257" s="1">
        <v>1</v>
      </c>
    </row>
    <row r="2258" spans="1:4" x14ac:dyDescent="0.25">
      <c r="A2258" s="65">
        <v>43097</v>
      </c>
      <c r="B2258" s="1">
        <v>1</v>
      </c>
      <c r="C2258" s="65">
        <v>43097</v>
      </c>
      <c r="D2258" s="1">
        <v>1</v>
      </c>
    </row>
    <row r="2259" spans="1:4" x14ac:dyDescent="0.25">
      <c r="A2259" s="65">
        <v>43098</v>
      </c>
      <c r="B2259" s="1">
        <v>1</v>
      </c>
      <c r="C2259" s="65">
        <v>43098</v>
      </c>
      <c r="D2259" s="1">
        <v>1</v>
      </c>
    </row>
    <row r="2260" spans="1:4" x14ac:dyDescent="0.25">
      <c r="A2260" s="65">
        <v>43102</v>
      </c>
      <c r="B2260" s="1">
        <v>1</v>
      </c>
      <c r="C2260" s="65">
        <v>43102</v>
      </c>
      <c r="D2260" s="1">
        <v>1</v>
      </c>
    </row>
    <row r="2261" spans="1:4" x14ac:dyDescent="0.25">
      <c r="A2261" s="65">
        <v>43103</v>
      </c>
      <c r="B2261" s="1">
        <v>1</v>
      </c>
      <c r="C2261" s="65">
        <v>43103</v>
      </c>
      <c r="D2261" s="1">
        <v>1</v>
      </c>
    </row>
    <row r="2262" spans="1:4" x14ac:dyDescent="0.25">
      <c r="A2262" s="65">
        <v>43104</v>
      </c>
      <c r="B2262" s="1">
        <v>1</v>
      </c>
      <c r="C2262" s="65">
        <v>43104</v>
      </c>
      <c r="D2262" s="1">
        <v>1</v>
      </c>
    </row>
    <row r="2263" spans="1:4" x14ac:dyDescent="0.25">
      <c r="A2263" s="65">
        <v>43105</v>
      </c>
      <c r="B2263" s="1">
        <v>1</v>
      </c>
      <c r="C2263" s="65">
        <v>43105</v>
      </c>
      <c r="D2263" s="1">
        <v>1</v>
      </c>
    </row>
    <row r="2264" spans="1:4" x14ac:dyDescent="0.25">
      <c r="A2264" s="65">
        <v>43108</v>
      </c>
      <c r="B2264" s="1">
        <v>1</v>
      </c>
      <c r="C2264" s="65">
        <v>43108</v>
      </c>
      <c r="D2264" s="1">
        <v>1</v>
      </c>
    </row>
    <row r="2265" spans="1:4" x14ac:dyDescent="0.25">
      <c r="A2265" s="65">
        <v>43109</v>
      </c>
      <c r="B2265" s="1">
        <v>1</v>
      </c>
      <c r="C2265" s="65">
        <v>43109</v>
      </c>
      <c r="D2265" s="1">
        <v>1</v>
      </c>
    </row>
    <row r="2266" spans="1:4" x14ac:dyDescent="0.25">
      <c r="A2266" s="65">
        <v>43110</v>
      </c>
      <c r="B2266" s="1">
        <v>1</v>
      </c>
      <c r="C2266" s="65">
        <v>43110</v>
      </c>
      <c r="D2266" s="1">
        <v>1</v>
      </c>
    </row>
    <row r="2267" spans="1:4" x14ac:dyDescent="0.25">
      <c r="A2267" s="65">
        <v>43111</v>
      </c>
      <c r="B2267" s="1">
        <v>1</v>
      </c>
      <c r="C2267" s="65">
        <v>43111</v>
      </c>
      <c r="D2267" s="1">
        <v>1</v>
      </c>
    </row>
    <row r="2268" spans="1:4" x14ac:dyDescent="0.25">
      <c r="A2268" s="65">
        <v>43112</v>
      </c>
      <c r="B2268" s="1">
        <v>1</v>
      </c>
      <c r="C2268" s="65">
        <v>43112</v>
      </c>
      <c r="D2268" s="1">
        <v>1</v>
      </c>
    </row>
    <row r="2269" spans="1:4" x14ac:dyDescent="0.25">
      <c r="A2269" s="65">
        <v>43115</v>
      </c>
      <c r="B2269" s="1">
        <v>1</v>
      </c>
      <c r="C2269" s="65">
        <v>43115</v>
      </c>
      <c r="D2269" s="1">
        <v>1</v>
      </c>
    </row>
    <row r="2270" spans="1:4" x14ac:dyDescent="0.25">
      <c r="A2270" s="65">
        <v>43116</v>
      </c>
      <c r="B2270" s="1">
        <v>1</v>
      </c>
      <c r="C2270" s="65">
        <v>43116</v>
      </c>
      <c r="D2270" s="1">
        <v>1</v>
      </c>
    </row>
    <row r="2271" spans="1:4" x14ac:dyDescent="0.25">
      <c r="A2271" s="65">
        <v>43117</v>
      </c>
      <c r="B2271" s="1">
        <v>1</v>
      </c>
      <c r="C2271" s="65">
        <v>43117</v>
      </c>
      <c r="D2271" s="1">
        <v>1</v>
      </c>
    </row>
    <row r="2272" spans="1:4" x14ac:dyDescent="0.25">
      <c r="A2272" s="65">
        <v>43118</v>
      </c>
      <c r="B2272" s="1">
        <v>1</v>
      </c>
      <c r="C2272" s="65">
        <v>43118</v>
      </c>
      <c r="D2272" s="1">
        <v>1</v>
      </c>
    </row>
    <row r="2273" spans="1:4" x14ac:dyDescent="0.25">
      <c r="A2273" s="65">
        <v>43119</v>
      </c>
      <c r="B2273" s="1">
        <v>1</v>
      </c>
      <c r="C2273" s="65">
        <v>43119</v>
      </c>
      <c r="D2273" s="1">
        <v>1</v>
      </c>
    </row>
    <row r="2274" spans="1:4" x14ac:dyDescent="0.25">
      <c r="A2274" s="65">
        <v>43122</v>
      </c>
      <c r="B2274" s="1">
        <v>1</v>
      </c>
      <c r="C2274" s="65">
        <v>43122</v>
      </c>
      <c r="D2274" s="1">
        <v>1</v>
      </c>
    </row>
    <row r="2275" spans="1:4" x14ac:dyDescent="0.25">
      <c r="A2275" s="65">
        <v>43123</v>
      </c>
      <c r="B2275" s="1">
        <v>1</v>
      </c>
      <c r="C2275" s="65">
        <v>43123</v>
      </c>
      <c r="D2275" s="1">
        <v>1</v>
      </c>
    </row>
    <row r="2276" spans="1:4" x14ac:dyDescent="0.25">
      <c r="A2276" s="65">
        <v>43124</v>
      </c>
      <c r="B2276" s="1">
        <v>1</v>
      </c>
      <c r="C2276" s="65">
        <v>43124</v>
      </c>
      <c r="D2276" s="1">
        <v>1</v>
      </c>
    </row>
    <row r="2277" spans="1:4" x14ac:dyDescent="0.25">
      <c r="A2277" s="65">
        <v>43125</v>
      </c>
      <c r="B2277" s="1">
        <v>1</v>
      </c>
      <c r="C2277" s="65">
        <v>43125</v>
      </c>
      <c r="D2277" s="1">
        <v>1</v>
      </c>
    </row>
    <row r="2278" spans="1:4" x14ac:dyDescent="0.25">
      <c r="A2278" s="65">
        <v>43126</v>
      </c>
      <c r="B2278" s="1">
        <v>1</v>
      </c>
      <c r="C2278" s="65">
        <v>43126</v>
      </c>
      <c r="D2278" s="1">
        <v>1</v>
      </c>
    </row>
    <row r="2279" spans="1:4" x14ac:dyDescent="0.25">
      <c r="A2279" s="65">
        <v>43129</v>
      </c>
      <c r="B2279" s="1">
        <v>1</v>
      </c>
      <c r="C2279" s="65">
        <v>43129</v>
      </c>
      <c r="D2279" s="1">
        <v>1</v>
      </c>
    </row>
    <row r="2280" spans="1:4" x14ac:dyDescent="0.25">
      <c r="A2280" s="65">
        <v>43130</v>
      </c>
      <c r="B2280" s="1">
        <v>1</v>
      </c>
      <c r="C2280" s="65">
        <v>43130</v>
      </c>
      <c r="D2280" s="1">
        <v>1</v>
      </c>
    </row>
    <row r="2281" spans="1:4" x14ac:dyDescent="0.25">
      <c r="A2281" s="65">
        <v>43131</v>
      </c>
      <c r="B2281" s="1">
        <v>1</v>
      </c>
      <c r="C2281" s="65">
        <v>43131</v>
      </c>
      <c r="D2281" s="1">
        <v>1</v>
      </c>
    </row>
    <row r="2282" spans="1:4" x14ac:dyDescent="0.25">
      <c r="A2282" s="65">
        <v>43132</v>
      </c>
      <c r="B2282" s="1">
        <v>1</v>
      </c>
      <c r="C2282" s="65">
        <v>43132</v>
      </c>
      <c r="D2282" s="1">
        <v>1</v>
      </c>
    </row>
    <row r="2283" spans="1:4" x14ac:dyDescent="0.25">
      <c r="A2283" s="65">
        <v>43133</v>
      </c>
      <c r="B2283" s="1">
        <v>1</v>
      </c>
      <c r="C2283" s="65">
        <v>43133</v>
      </c>
      <c r="D2283" s="1">
        <v>1</v>
      </c>
    </row>
    <row r="2284" spans="1:4" x14ac:dyDescent="0.25">
      <c r="A2284" s="65">
        <v>43136</v>
      </c>
      <c r="B2284" s="1">
        <v>1</v>
      </c>
      <c r="C2284" s="65">
        <v>43136</v>
      </c>
      <c r="D2284" s="1">
        <v>1</v>
      </c>
    </row>
    <row r="2285" spans="1:4" x14ac:dyDescent="0.25">
      <c r="A2285" s="65">
        <v>43137</v>
      </c>
      <c r="B2285" s="1">
        <v>1</v>
      </c>
      <c r="C2285" s="65">
        <v>43137</v>
      </c>
      <c r="D2285" s="1">
        <v>1</v>
      </c>
    </row>
    <row r="2286" spans="1:4" x14ac:dyDescent="0.25">
      <c r="A2286" s="65">
        <v>43138</v>
      </c>
      <c r="B2286" s="1">
        <v>1</v>
      </c>
      <c r="C2286" s="65">
        <v>43138</v>
      </c>
      <c r="D2286" s="1">
        <v>1</v>
      </c>
    </row>
    <row r="2287" spans="1:4" x14ac:dyDescent="0.25">
      <c r="A2287" s="65">
        <v>43139</v>
      </c>
      <c r="B2287" s="1">
        <v>1</v>
      </c>
      <c r="C2287" s="65">
        <v>43139</v>
      </c>
      <c r="D2287" s="1">
        <v>1</v>
      </c>
    </row>
    <row r="2288" spans="1:4" x14ac:dyDescent="0.25">
      <c r="A2288" s="65">
        <v>43140</v>
      </c>
      <c r="B2288" s="1">
        <v>1</v>
      </c>
      <c r="C2288" s="65">
        <v>43140</v>
      </c>
      <c r="D2288" s="1">
        <v>1</v>
      </c>
    </row>
    <row r="2289" spans="1:4" x14ac:dyDescent="0.25">
      <c r="A2289" s="65">
        <v>43143</v>
      </c>
      <c r="B2289" s="1">
        <v>1</v>
      </c>
      <c r="C2289" s="65">
        <v>43143</v>
      </c>
      <c r="D2289" s="1">
        <v>1</v>
      </c>
    </row>
    <row r="2290" spans="1:4" x14ac:dyDescent="0.25">
      <c r="A2290" s="65">
        <v>43144</v>
      </c>
      <c r="B2290" s="1">
        <v>1</v>
      </c>
      <c r="C2290" s="65">
        <v>43144</v>
      </c>
      <c r="D2290" s="1">
        <v>1</v>
      </c>
    </row>
    <row r="2291" spans="1:4" x14ac:dyDescent="0.25">
      <c r="A2291" s="65">
        <v>43145</v>
      </c>
      <c r="B2291" s="1">
        <v>1</v>
      </c>
      <c r="C2291" s="65">
        <v>43145</v>
      </c>
      <c r="D2291" s="1">
        <v>1</v>
      </c>
    </row>
    <row r="2292" spans="1:4" x14ac:dyDescent="0.25">
      <c r="A2292" s="65">
        <v>43146</v>
      </c>
      <c r="B2292" s="1">
        <v>1</v>
      </c>
      <c r="C2292" s="65">
        <v>43146</v>
      </c>
      <c r="D2292" s="1">
        <v>1</v>
      </c>
    </row>
    <row r="2293" spans="1:4" x14ac:dyDescent="0.25">
      <c r="A2293" s="65">
        <v>43147</v>
      </c>
      <c r="B2293" s="1">
        <v>1</v>
      </c>
      <c r="C2293" s="65">
        <v>43147</v>
      </c>
      <c r="D2293" s="1">
        <v>1</v>
      </c>
    </row>
    <row r="2294" spans="1:4" x14ac:dyDescent="0.25">
      <c r="A2294" s="65">
        <v>43150</v>
      </c>
      <c r="B2294" s="1">
        <v>1</v>
      </c>
      <c r="C2294" s="65">
        <v>43150</v>
      </c>
      <c r="D2294" s="1">
        <v>1</v>
      </c>
    </row>
    <row r="2295" spans="1:4" x14ac:dyDescent="0.25">
      <c r="A2295" s="65">
        <v>43151</v>
      </c>
      <c r="B2295" s="1">
        <v>1</v>
      </c>
      <c r="C2295" s="65">
        <v>43151</v>
      </c>
      <c r="D2295" s="1">
        <v>1</v>
      </c>
    </row>
    <row r="2296" spans="1:4" x14ac:dyDescent="0.25">
      <c r="A2296" s="65">
        <v>43152</v>
      </c>
      <c r="B2296" s="1">
        <v>1</v>
      </c>
      <c r="C2296" s="65">
        <v>43152</v>
      </c>
      <c r="D2296" s="1">
        <v>1</v>
      </c>
    </row>
    <row r="2297" spans="1:4" x14ac:dyDescent="0.25">
      <c r="A2297" s="65">
        <v>43153</v>
      </c>
      <c r="B2297" s="1">
        <v>1</v>
      </c>
      <c r="C2297" s="65">
        <v>43153</v>
      </c>
      <c r="D2297" s="1">
        <v>1</v>
      </c>
    </row>
    <row r="2298" spans="1:4" x14ac:dyDescent="0.25">
      <c r="A2298" s="65">
        <v>43154</v>
      </c>
      <c r="B2298" s="1">
        <v>1</v>
      </c>
      <c r="C2298" s="65">
        <v>43154</v>
      </c>
      <c r="D2298" s="1">
        <v>1</v>
      </c>
    </row>
    <row r="2299" spans="1:4" x14ac:dyDescent="0.25">
      <c r="A2299" s="65">
        <v>43157</v>
      </c>
      <c r="B2299" s="1">
        <v>1</v>
      </c>
      <c r="C2299" s="65">
        <v>43157</v>
      </c>
      <c r="D2299" s="1">
        <v>1</v>
      </c>
    </row>
    <row r="2300" spans="1:4" x14ac:dyDescent="0.25">
      <c r="A2300" s="65">
        <v>43158</v>
      </c>
      <c r="B2300" s="1">
        <v>1</v>
      </c>
      <c r="C2300" s="65">
        <v>43158</v>
      </c>
      <c r="D2300" s="1">
        <v>1</v>
      </c>
    </row>
    <row r="2301" spans="1:4" x14ac:dyDescent="0.25">
      <c r="A2301" s="65">
        <v>43159</v>
      </c>
      <c r="B2301" s="1">
        <v>1</v>
      </c>
      <c r="C2301" s="65">
        <v>43159</v>
      </c>
      <c r="D2301" s="1">
        <v>1</v>
      </c>
    </row>
    <row r="2302" spans="1:4" x14ac:dyDescent="0.25">
      <c r="A2302" s="65">
        <v>43160</v>
      </c>
      <c r="B2302" s="1">
        <v>1</v>
      </c>
      <c r="C2302" s="65">
        <v>43160</v>
      </c>
      <c r="D2302" s="1">
        <v>1</v>
      </c>
    </row>
    <row r="2303" spans="1:4" x14ac:dyDescent="0.25">
      <c r="A2303" s="65">
        <v>43161</v>
      </c>
      <c r="B2303" s="1">
        <v>1</v>
      </c>
      <c r="C2303" s="65">
        <v>43161</v>
      </c>
      <c r="D2303" s="1">
        <v>1</v>
      </c>
    </row>
    <row r="2304" spans="1:4" x14ac:dyDescent="0.25">
      <c r="A2304" s="65">
        <v>43164</v>
      </c>
      <c r="B2304" s="1">
        <v>1</v>
      </c>
      <c r="C2304" s="65">
        <v>43164</v>
      </c>
      <c r="D2304" s="1">
        <v>1</v>
      </c>
    </row>
    <row r="2305" spans="1:4" x14ac:dyDescent="0.25">
      <c r="A2305" s="65">
        <v>43165</v>
      </c>
      <c r="B2305" s="1">
        <v>1</v>
      </c>
      <c r="C2305" s="65">
        <v>43165</v>
      </c>
      <c r="D2305" s="1">
        <v>1</v>
      </c>
    </row>
    <row r="2306" spans="1:4" x14ac:dyDescent="0.25">
      <c r="A2306" s="65">
        <v>43166</v>
      </c>
      <c r="B2306" s="1">
        <v>1</v>
      </c>
      <c r="C2306" s="65">
        <v>43166</v>
      </c>
      <c r="D2306" s="1">
        <v>1</v>
      </c>
    </row>
    <row r="2307" spans="1:4" x14ac:dyDescent="0.25">
      <c r="A2307" s="65">
        <v>43167</v>
      </c>
      <c r="B2307" s="1">
        <v>1</v>
      </c>
      <c r="C2307" s="65">
        <v>43167</v>
      </c>
      <c r="D2307" s="1">
        <v>1</v>
      </c>
    </row>
    <row r="2308" spans="1:4" x14ac:dyDescent="0.25">
      <c r="A2308" s="65">
        <v>43168</v>
      </c>
      <c r="B2308" s="1">
        <v>1</v>
      </c>
      <c r="C2308" s="65">
        <v>43168</v>
      </c>
      <c r="D2308" s="1">
        <v>1</v>
      </c>
    </row>
    <row r="2309" spans="1:4" x14ac:dyDescent="0.25">
      <c r="A2309" s="65">
        <v>43171</v>
      </c>
      <c r="B2309" s="1">
        <v>1</v>
      </c>
      <c r="C2309" s="65">
        <v>43171</v>
      </c>
      <c r="D2309" s="1">
        <v>1</v>
      </c>
    </row>
    <row r="2310" spans="1:4" x14ac:dyDescent="0.25">
      <c r="A2310" s="65">
        <v>43172</v>
      </c>
      <c r="B2310" s="1">
        <v>1</v>
      </c>
      <c r="C2310" s="65">
        <v>43172</v>
      </c>
      <c r="D2310" s="1">
        <v>1</v>
      </c>
    </row>
    <row r="2311" spans="1:4" x14ac:dyDescent="0.25">
      <c r="A2311" s="65">
        <v>43173</v>
      </c>
      <c r="B2311" s="1">
        <v>1</v>
      </c>
      <c r="C2311" s="65">
        <v>43173</v>
      </c>
      <c r="D2311" s="1">
        <v>1</v>
      </c>
    </row>
    <row r="2312" spans="1:4" x14ac:dyDescent="0.25">
      <c r="A2312" s="65">
        <v>43174</v>
      </c>
      <c r="B2312" s="1">
        <v>1</v>
      </c>
      <c r="C2312" s="65">
        <v>43174</v>
      </c>
      <c r="D2312" s="1">
        <v>1</v>
      </c>
    </row>
    <row r="2313" spans="1:4" x14ac:dyDescent="0.25">
      <c r="A2313" s="65">
        <v>43175</v>
      </c>
      <c r="B2313" s="1">
        <v>1</v>
      </c>
      <c r="C2313" s="65">
        <v>43175</v>
      </c>
      <c r="D2313" s="1">
        <v>1</v>
      </c>
    </row>
    <row r="2314" spans="1:4" x14ac:dyDescent="0.25">
      <c r="A2314" s="65">
        <v>43178</v>
      </c>
      <c r="B2314" s="1">
        <v>1</v>
      </c>
      <c r="C2314" s="65">
        <v>43178</v>
      </c>
      <c r="D2314" s="1">
        <v>1</v>
      </c>
    </row>
    <row r="2315" spans="1:4" x14ac:dyDescent="0.25">
      <c r="A2315" s="65">
        <v>43179</v>
      </c>
      <c r="B2315" s="1">
        <v>1</v>
      </c>
      <c r="C2315" s="65">
        <v>43179</v>
      </c>
      <c r="D2315" s="1">
        <v>1</v>
      </c>
    </row>
    <row r="2316" spans="1:4" x14ac:dyDescent="0.25">
      <c r="A2316" s="65">
        <v>43180</v>
      </c>
      <c r="B2316" s="1">
        <v>1</v>
      </c>
      <c r="C2316" s="65">
        <v>43180</v>
      </c>
      <c r="D2316" s="1">
        <v>1</v>
      </c>
    </row>
    <row r="2317" spans="1:4" x14ac:dyDescent="0.25">
      <c r="A2317" s="65">
        <v>43181</v>
      </c>
      <c r="B2317" s="1">
        <v>1</v>
      </c>
      <c r="C2317" s="65">
        <v>43181</v>
      </c>
      <c r="D2317" s="1">
        <v>1</v>
      </c>
    </row>
    <row r="2318" spans="1:4" x14ac:dyDescent="0.25">
      <c r="A2318" s="65">
        <v>43182</v>
      </c>
      <c r="B2318" s="1">
        <v>1</v>
      </c>
      <c r="C2318" s="65">
        <v>43182</v>
      </c>
      <c r="D2318" s="1">
        <v>1</v>
      </c>
    </row>
    <row r="2319" spans="1:4" x14ac:dyDescent="0.25">
      <c r="A2319" s="65">
        <v>43185</v>
      </c>
      <c r="B2319" s="1">
        <v>1</v>
      </c>
      <c r="C2319" s="65">
        <v>43185</v>
      </c>
      <c r="D2319" s="1">
        <v>1</v>
      </c>
    </row>
    <row r="2320" spans="1:4" x14ac:dyDescent="0.25">
      <c r="A2320" s="65">
        <v>43186</v>
      </c>
      <c r="B2320" s="1">
        <v>1</v>
      </c>
      <c r="C2320" s="65">
        <v>43186</v>
      </c>
      <c r="D2320" s="1">
        <v>1</v>
      </c>
    </row>
    <row r="2321" spans="1:4" x14ac:dyDescent="0.25">
      <c r="A2321" s="65">
        <v>43187</v>
      </c>
      <c r="B2321" s="1">
        <v>1</v>
      </c>
      <c r="C2321" s="65">
        <v>43187</v>
      </c>
      <c r="D2321" s="1">
        <v>1</v>
      </c>
    </row>
    <row r="2322" spans="1:4" x14ac:dyDescent="0.25">
      <c r="A2322" s="65">
        <v>43188</v>
      </c>
      <c r="B2322" s="1">
        <v>1</v>
      </c>
      <c r="C2322" s="65">
        <v>43188</v>
      </c>
      <c r="D2322" s="1">
        <v>1</v>
      </c>
    </row>
    <row r="2323" spans="1:4" x14ac:dyDescent="0.25">
      <c r="A2323" s="65">
        <v>43193</v>
      </c>
      <c r="B2323" s="1">
        <v>1</v>
      </c>
      <c r="C2323" s="65">
        <v>43193</v>
      </c>
      <c r="D2323" s="1">
        <v>1</v>
      </c>
    </row>
    <row r="2324" spans="1:4" x14ac:dyDescent="0.25">
      <c r="A2324" s="65">
        <v>43194</v>
      </c>
      <c r="B2324" s="1">
        <v>1</v>
      </c>
      <c r="C2324" s="65">
        <v>43194</v>
      </c>
      <c r="D2324" s="1">
        <v>1</v>
      </c>
    </row>
    <row r="2325" spans="1:4" x14ac:dyDescent="0.25">
      <c r="A2325" s="65">
        <v>43195</v>
      </c>
      <c r="B2325" s="1">
        <v>1</v>
      </c>
      <c r="C2325" s="65">
        <v>43195</v>
      </c>
      <c r="D2325" s="1">
        <v>1</v>
      </c>
    </row>
    <row r="2326" spans="1:4" x14ac:dyDescent="0.25">
      <c r="A2326" s="65">
        <v>43196</v>
      </c>
      <c r="B2326" s="1">
        <v>1</v>
      </c>
      <c r="C2326" s="65">
        <v>43196</v>
      </c>
      <c r="D2326" s="1">
        <v>1</v>
      </c>
    </row>
    <row r="2327" spans="1:4" x14ac:dyDescent="0.25">
      <c r="A2327" s="65">
        <v>43199</v>
      </c>
      <c r="B2327" s="1">
        <v>1</v>
      </c>
      <c r="C2327" s="65">
        <v>43199</v>
      </c>
      <c r="D2327" s="1">
        <v>1</v>
      </c>
    </row>
    <row r="2328" spans="1:4" x14ac:dyDescent="0.25">
      <c r="A2328" s="65">
        <v>43200</v>
      </c>
      <c r="B2328" s="1">
        <v>1</v>
      </c>
      <c r="C2328" s="65">
        <v>43200</v>
      </c>
      <c r="D2328" s="1">
        <v>1</v>
      </c>
    </row>
    <row r="2329" spans="1:4" x14ac:dyDescent="0.25">
      <c r="A2329" s="65">
        <v>43201</v>
      </c>
      <c r="B2329" s="1">
        <v>1</v>
      </c>
      <c r="C2329" s="65">
        <v>43201</v>
      </c>
      <c r="D2329" s="1">
        <v>1</v>
      </c>
    </row>
    <row r="2330" spans="1:4" x14ac:dyDescent="0.25">
      <c r="A2330" s="65">
        <v>43202</v>
      </c>
      <c r="B2330" s="1">
        <v>1</v>
      </c>
      <c r="C2330" s="65">
        <v>43202</v>
      </c>
      <c r="D2330" s="1">
        <v>1</v>
      </c>
    </row>
    <row r="2331" spans="1:4" x14ac:dyDescent="0.25">
      <c r="A2331" s="65">
        <v>43203</v>
      </c>
      <c r="B2331" s="1">
        <v>1</v>
      </c>
      <c r="C2331" s="65">
        <v>43203</v>
      </c>
      <c r="D2331" s="1">
        <v>1</v>
      </c>
    </row>
    <row r="2332" spans="1:4" x14ac:dyDescent="0.25">
      <c r="A2332" s="65">
        <v>43206</v>
      </c>
      <c r="B2332" s="1">
        <v>1</v>
      </c>
      <c r="C2332" s="65">
        <v>43206</v>
      </c>
      <c r="D2332" s="1">
        <v>1</v>
      </c>
    </row>
    <row r="2333" spans="1:4" x14ac:dyDescent="0.25">
      <c r="A2333" s="65">
        <v>43207</v>
      </c>
      <c r="B2333" s="1">
        <v>1</v>
      </c>
      <c r="C2333" s="65">
        <v>43207</v>
      </c>
      <c r="D2333" s="1">
        <v>1</v>
      </c>
    </row>
    <row r="2334" spans="1:4" x14ac:dyDescent="0.25">
      <c r="A2334" s="65">
        <v>43208</v>
      </c>
      <c r="B2334" s="1">
        <v>1</v>
      </c>
      <c r="C2334" s="65">
        <v>43208</v>
      </c>
      <c r="D2334" s="1">
        <v>1</v>
      </c>
    </row>
    <row r="2335" spans="1:4" x14ac:dyDescent="0.25">
      <c r="A2335" s="65">
        <v>43209</v>
      </c>
      <c r="B2335" s="1">
        <v>1</v>
      </c>
      <c r="C2335" s="65">
        <v>43209</v>
      </c>
      <c r="D2335" s="1">
        <v>1</v>
      </c>
    </row>
    <row r="2336" spans="1:4" x14ac:dyDescent="0.25">
      <c r="A2336" s="65">
        <v>43210</v>
      </c>
      <c r="B2336" s="1">
        <v>1</v>
      </c>
      <c r="C2336" s="65">
        <v>43210</v>
      </c>
      <c r="D2336" s="1">
        <v>1</v>
      </c>
    </row>
    <row r="2337" spans="1:4" x14ac:dyDescent="0.25">
      <c r="A2337" s="65">
        <v>43213</v>
      </c>
      <c r="B2337" s="1">
        <v>1</v>
      </c>
      <c r="C2337" s="65">
        <v>43213</v>
      </c>
      <c r="D2337" s="1">
        <v>1</v>
      </c>
    </row>
    <row r="2338" spans="1:4" x14ac:dyDescent="0.25">
      <c r="A2338" s="65">
        <v>43214</v>
      </c>
      <c r="B2338" s="1">
        <v>1</v>
      </c>
      <c r="C2338" s="65">
        <v>43214</v>
      </c>
      <c r="D2338" s="1">
        <v>1</v>
      </c>
    </row>
    <row r="2339" spans="1:4" x14ac:dyDescent="0.25">
      <c r="A2339" s="65">
        <v>43215</v>
      </c>
      <c r="B2339" s="1">
        <v>1</v>
      </c>
      <c r="C2339" s="65">
        <v>43215</v>
      </c>
      <c r="D2339" s="1">
        <v>1</v>
      </c>
    </row>
    <row r="2340" spans="1:4" x14ac:dyDescent="0.25">
      <c r="A2340" s="65">
        <v>43216</v>
      </c>
      <c r="B2340" s="1">
        <v>1</v>
      </c>
      <c r="C2340" s="65">
        <v>43216</v>
      </c>
      <c r="D2340" s="1">
        <v>1</v>
      </c>
    </row>
    <row r="2341" spans="1:4" x14ac:dyDescent="0.25">
      <c r="A2341" s="65">
        <v>43217</v>
      </c>
      <c r="B2341" s="1">
        <v>1</v>
      </c>
      <c r="C2341" s="65">
        <v>43217</v>
      </c>
      <c r="D2341" s="1">
        <v>1</v>
      </c>
    </row>
    <row r="2342" spans="1:4" x14ac:dyDescent="0.25">
      <c r="A2342" s="65">
        <v>43220</v>
      </c>
      <c r="B2342" s="1">
        <v>1</v>
      </c>
      <c r="C2342" s="65">
        <v>43220</v>
      </c>
      <c r="D2342" s="1">
        <v>1</v>
      </c>
    </row>
    <row r="2343" spans="1:4" x14ac:dyDescent="0.25">
      <c r="A2343" s="65">
        <v>43221</v>
      </c>
      <c r="B2343" s="1">
        <v>1</v>
      </c>
      <c r="C2343" s="65">
        <v>43221</v>
      </c>
      <c r="D2343" s="1">
        <v>1</v>
      </c>
    </row>
    <row r="2344" spans="1:4" x14ac:dyDescent="0.25">
      <c r="A2344" s="65">
        <v>43222</v>
      </c>
      <c r="B2344" s="1">
        <v>1</v>
      </c>
      <c r="C2344" s="65">
        <v>43222</v>
      </c>
      <c r="D2344" s="1">
        <v>1</v>
      </c>
    </row>
    <row r="2345" spans="1:4" x14ac:dyDescent="0.25">
      <c r="A2345" s="65">
        <v>43223</v>
      </c>
      <c r="B2345" s="1">
        <v>1</v>
      </c>
      <c r="C2345" s="65">
        <v>43223</v>
      </c>
      <c r="D2345" s="1">
        <v>1</v>
      </c>
    </row>
    <row r="2346" spans="1:4" x14ac:dyDescent="0.25">
      <c r="A2346" s="65">
        <v>43224</v>
      </c>
      <c r="B2346" s="1">
        <v>1</v>
      </c>
      <c r="C2346" s="65">
        <v>43224</v>
      </c>
      <c r="D2346" s="1">
        <v>1</v>
      </c>
    </row>
    <row r="2347" spans="1:4" x14ac:dyDescent="0.25">
      <c r="A2347" s="65">
        <v>43227</v>
      </c>
      <c r="B2347" s="1">
        <v>1</v>
      </c>
      <c r="C2347" s="65">
        <v>43227</v>
      </c>
      <c r="D2347" s="1">
        <v>1</v>
      </c>
    </row>
    <row r="2348" spans="1:4" x14ac:dyDescent="0.25">
      <c r="A2348" s="65">
        <v>43228</v>
      </c>
      <c r="B2348" s="1">
        <v>1</v>
      </c>
      <c r="C2348" s="65">
        <v>43228</v>
      </c>
      <c r="D2348" s="1">
        <v>1</v>
      </c>
    </row>
    <row r="2349" spans="1:4" x14ac:dyDescent="0.25">
      <c r="A2349" s="65">
        <v>43229</v>
      </c>
      <c r="B2349" s="1">
        <v>1</v>
      </c>
      <c r="C2349" s="65">
        <v>43229</v>
      </c>
      <c r="D2349" s="1">
        <v>1</v>
      </c>
    </row>
    <row r="2350" spans="1:4" x14ac:dyDescent="0.25">
      <c r="A2350" s="65">
        <v>43230</v>
      </c>
      <c r="B2350" s="1">
        <v>1</v>
      </c>
      <c r="C2350" s="65">
        <v>43230</v>
      </c>
      <c r="D2350" s="1">
        <v>1</v>
      </c>
    </row>
    <row r="2351" spans="1:4" x14ac:dyDescent="0.25">
      <c r="A2351" s="65">
        <v>43231</v>
      </c>
      <c r="B2351" s="1">
        <v>1</v>
      </c>
      <c r="C2351" s="65">
        <v>43231</v>
      </c>
      <c r="D2351" s="1">
        <v>1</v>
      </c>
    </row>
    <row r="2352" spans="1:4" x14ac:dyDescent="0.25">
      <c r="A2352" s="65">
        <v>43234</v>
      </c>
      <c r="B2352" s="1">
        <v>1</v>
      </c>
      <c r="C2352" s="65">
        <v>43234</v>
      </c>
      <c r="D2352" s="1">
        <v>1</v>
      </c>
    </row>
    <row r="2353" spans="1:4" x14ac:dyDescent="0.25">
      <c r="A2353" s="65">
        <v>43235</v>
      </c>
      <c r="B2353" s="1">
        <v>1</v>
      </c>
      <c r="C2353" s="65">
        <v>43235</v>
      </c>
      <c r="D2353" s="1">
        <v>1</v>
      </c>
    </row>
    <row r="2354" spans="1:4" x14ac:dyDescent="0.25">
      <c r="A2354" s="65">
        <v>43236</v>
      </c>
      <c r="B2354" s="1">
        <v>1</v>
      </c>
      <c r="C2354" s="65">
        <v>43236</v>
      </c>
      <c r="D2354" s="1">
        <v>1</v>
      </c>
    </row>
    <row r="2355" spans="1:4" x14ac:dyDescent="0.25">
      <c r="A2355" s="65">
        <v>43237</v>
      </c>
      <c r="B2355" s="1">
        <v>1</v>
      </c>
      <c r="C2355" s="65">
        <v>43237</v>
      </c>
      <c r="D2355" s="1">
        <v>1</v>
      </c>
    </row>
    <row r="2356" spans="1:4" x14ac:dyDescent="0.25">
      <c r="A2356" s="65">
        <v>43238</v>
      </c>
      <c r="B2356" s="1">
        <v>1</v>
      </c>
      <c r="C2356" s="65">
        <v>43238</v>
      </c>
      <c r="D2356" s="1">
        <v>1</v>
      </c>
    </row>
    <row r="2357" spans="1:4" x14ac:dyDescent="0.25">
      <c r="A2357" s="65">
        <v>43241</v>
      </c>
      <c r="B2357" s="1">
        <v>1</v>
      </c>
      <c r="C2357" s="65">
        <v>43241</v>
      </c>
      <c r="D2357" s="1">
        <v>1</v>
      </c>
    </row>
    <row r="2358" spans="1:4" x14ac:dyDescent="0.25">
      <c r="A2358" s="65">
        <v>43242</v>
      </c>
      <c r="B2358" s="1">
        <v>1</v>
      </c>
      <c r="C2358" s="65">
        <v>43242</v>
      </c>
      <c r="D2358" s="1">
        <v>1</v>
      </c>
    </row>
    <row r="2359" spans="1:4" x14ac:dyDescent="0.25">
      <c r="A2359" s="65">
        <v>43243</v>
      </c>
      <c r="B2359" s="1">
        <v>1</v>
      </c>
      <c r="C2359" s="65">
        <v>43243</v>
      </c>
      <c r="D2359" s="1">
        <v>1</v>
      </c>
    </row>
    <row r="2360" spans="1:4" x14ac:dyDescent="0.25">
      <c r="A2360" s="65">
        <v>43244</v>
      </c>
      <c r="B2360" s="1">
        <v>1</v>
      </c>
      <c r="C2360" s="65">
        <v>43244</v>
      </c>
      <c r="D2360" s="1">
        <v>1</v>
      </c>
    </row>
    <row r="2361" spans="1:4" x14ac:dyDescent="0.25">
      <c r="A2361" s="65">
        <v>43245</v>
      </c>
      <c r="B2361" s="1">
        <v>1</v>
      </c>
      <c r="C2361" s="65">
        <v>43245</v>
      </c>
      <c r="D2361" s="1">
        <v>1</v>
      </c>
    </row>
    <row r="2362" spans="1:4" x14ac:dyDescent="0.25">
      <c r="A2362" s="65">
        <v>43248</v>
      </c>
      <c r="B2362" s="1">
        <v>1</v>
      </c>
      <c r="C2362" s="65">
        <v>43248</v>
      </c>
      <c r="D2362" s="1">
        <v>1</v>
      </c>
    </row>
    <row r="2363" spans="1:4" x14ac:dyDescent="0.25">
      <c r="A2363" s="65">
        <v>43249</v>
      </c>
      <c r="B2363" s="1">
        <v>1</v>
      </c>
      <c r="C2363" s="65">
        <v>43249</v>
      </c>
      <c r="D2363" s="1">
        <v>1</v>
      </c>
    </row>
    <row r="2364" spans="1:4" x14ac:dyDescent="0.25">
      <c r="A2364" s="65">
        <v>43250</v>
      </c>
      <c r="B2364" s="1">
        <v>1</v>
      </c>
      <c r="C2364" s="65">
        <v>43250</v>
      </c>
      <c r="D2364" s="1">
        <v>1</v>
      </c>
    </row>
    <row r="2365" spans="1:4" x14ac:dyDescent="0.25">
      <c r="A2365" s="65">
        <v>43251</v>
      </c>
      <c r="B2365" s="1">
        <v>1</v>
      </c>
      <c r="C2365" s="65">
        <v>43251</v>
      </c>
      <c r="D2365" s="1">
        <v>1</v>
      </c>
    </row>
    <row r="2366" spans="1:4" x14ac:dyDescent="0.25">
      <c r="A2366" s="65">
        <v>43252</v>
      </c>
      <c r="B2366" s="1">
        <v>1</v>
      </c>
      <c r="C2366" s="65">
        <v>43252</v>
      </c>
      <c r="D2366" s="1">
        <v>1</v>
      </c>
    </row>
    <row r="2367" spans="1:4" x14ac:dyDescent="0.25">
      <c r="A2367" s="65">
        <v>43255</v>
      </c>
      <c r="B2367" s="1">
        <v>1</v>
      </c>
      <c r="C2367" s="65">
        <v>43255</v>
      </c>
      <c r="D2367" s="1">
        <v>1</v>
      </c>
    </row>
    <row r="2368" spans="1:4" x14ac:dyDescent="0.25">
      <c r="A2368" s="65">
        <v>43256</v>
      </c>
      <c r="B2368" s="1">
        <v>1</v>
      </c>
      <c r="C2368" s="65">
        <v>43256</v>
      </c>
      <c r="D2368" s="1">
        <v>1</v>
      </c>
    </row>
    <row r="2369" spans="1:4" x14ac:dyDescent="0.25">
      <c r="A2369" s="65">
        <v>43257</v>
      </c>
      <c r="B2369" s="1">
        <v>1</v>
      </c>
      <c r="C2369" s="65">
        <v>43257</v>
      </c>
      <c r="D2369" s="1">
        <v>1</v>
      </c>
    </row>
    <row r="2370" spans="1:4" x14ac:dyDescent="0.25">
      <c r="A2370" s="65">
        <v>43258</v>
      </c>
      <c r="B2370" s="1">
        <v>1</v>
      </c>
      <c r="C2370" s="65">
        <v>43258</v>
      </c>
      <c r="D2370" s="1">
        <v>1</v>
      </c>
    </row>
    <row r="2371" spans="1:4" x14ac:dyDescent="0.25">
      <c r="A2371" s="65">
        <v>43259</v>
      </c>
      <c r="B2371" s="1">
        <v>1</v>
      </c>
      <c r="C2371" s="65">
        <v>43259</v>
      </c>
      <c r="D2371" s="1">
        <v>1</v>
      </c>
    </row>
    <row r="2372" spans="1:4" x14ac:dyDescent="0.25">
      <c r="A2372" s="65">
        <v>43262</v>
      </c>
      <c r="B2372" s="1">
        <v>1</v>
      </c>
      <c r="C2372" s="65">
        <v>43262</v>
      </c>
      <c r="D2372" s="1">
        <v>1</v>
      </c>
    </row>
    <row r="2373" spans="1:4" x14ac:dyDescent="0.25">
      <c r="A2373" s="65">
        <v>43263</v>
      </c>
      <c r="B2373" s="1">
        <v>1</v>
      </c>
      <c r="C2373" s="65">
        <v>43263</v>
      </c>
      <c r="D2373" s="1">
        <v>1</v>
      </c>
    </row>
    <row r="2374" spans="1:4" x14ac:dyDescent="0.25">
      <c r="A2374" s="65">
        <v>43264</v>
      </c>
      <c r="B2374" s="1">
        <v>1</v>
      </c>
      <c r="C2374" s="65">
        <v>43264</v>
      </c>
      <c r="D2374" s="1">
        <v>1</v>
      </c>
    </row>
    <row r="2375" spans="1:4" x14ac:dyDescent="0.25">
      <c r="A2375" s="65">
        <v>43265</v>
      </c>
      <c r="B2375" s="1">
        <v>1</v>
      </c>
      <c r="C2375" s="65">
        <v>43265</v>
      </c>
      <c r="D2375" s="1">
        <v>1</v>
      </c>
    </row>
    <row r="2376" spans="1:4" x14ac:dyDescent="0.25">
      <c r="A2376" s="65">
        <v>43266</v>
      </c>
      <c r="B2376" s="1">
        <v>1</v>
      </c>
      <c r="C2376" s="65">
        <v>43266</v>
      </c>
      <c r="D2376" s="1">
        <v>1</v>
      </c>
    </row>
    <row r="2377" spans="1:4" x14ac:dyDescent="0.25">
      <c r="A2377" s="65">
        <v>43269</v>
      </c>
      <c r="B2377" s="1">
        <v>1</v>
      </c>
      <c r="C2377" s="65">
        <v>43269</v>
      </c>
      <c r="D2377" s="1">
        <v>1</v>
      </c>
    </row>
    <row r="2378" spans="1:4" x14ac:dyDescent="0.25">
      <c r="A2378" s="65">
        <v>43270</v>
      </c>
      <c r="B2378" s="1">
        <v>1</v>
      </c>
      <c r="C2378" s="65">
        <v>43270</v>
      </c>
      <c r="D2378" s="1">
        <v>1</v>
      </c>
    </row>
    <row r="2379" spans="1:4" x14ac:dyDescent="0.25">
      <c r="A2379" s="65">
        <v>43271</v>
      </c>
      <c r="B2379" s="1">
        <v>1</v>
      </c>
      <c r="C2379" s="65">
        <v>43271</v>
      </c>
      <c r="D2379" s="1">
        <v>1</v>
      </c>
    </row>
    <row r="2380" spans="1:4" x14ac:dyDescent="0.25">
      <c r="A2380" s="65">
        <v>43272</v>
      </c>
      <c r="B2380" s="1">
        <v>1</v>
      </c>
      <c r="C2380" s="65">
        <v>43272</v>
      </c>
      <c r="D2380" s="1">
        <v>1</v>
      </c>
    </row>
    <row r="2381" spans="1:4" x14ac:dyDescent="0.25">
      <c r="A2381" s="65">
        <v>43273</v>
      </c>
      <c r="B2381" s="1">
        <v>1</v>
      </c>
      <c r="C2381" s="65">
        <v>43273</v>
      </c>
      <c r="D2381" s="1">
        <v>1</v>
      </c>
    </row>
    <row r="2382" spans="1:4" x14ac:dyDescent="0.25">
      <c r="A2382" s="65">
        <v>43276</v>
      </c>
      <c r="B2382" s="1">
        <v>1</v>
      </c>
      <c r="C2382" s="65">
        <v>43276</v>
      </c>
      <c r="D2382" s="1">
        <v>1</v>
      </c>
    </row>
    <row r="2383" spans="1:4" x14ac:dyDescent="0.25">
      <c r="A2383" s="65">
        <v>43277</v>
      </c>
      <c r="B2383" s="1">
        <v>1</v>
      </c>
      <c r="C2383" s="65">
        <v>43277</v>
      </c>
      <c r="D2383" s="1">
        <v>1</v>
      </c>
    </row>
    <row r="2384" spans="1:4" x14ac:dyDescent="0.25">
      <c r="A2384" s="65">
        <v>43278</v>
      </c>
      <c r="B2384" s="1">
        <v>1</v>
      </c>
      <c r="C2384" s="65">
        <v>43278</v>
      </c>
      <c r="D2384" s="1">
        <v>1</v>
      </c>
    </row>
    <row r="2385" spans="1:4" x14ac:dyDescent="0.25">
      <c r="A2385" s="65">
        <v>43279</v>
      </c>
      <c r="B2385" s="1">
        <v>1</v>
      </c>
      <c r="C2385" s="65">
        <v>43279</v>
      </c>
      <c r="D2385" s="1">
        <v>1</v>
      </c>
    </row>
    <row r="2386" spans="1:4" x14ac:dyDescent="0.25">
      <c r="A2386" s="65">
        <v>43280</v>
      </c>
      <c r="B2386" s="1">
        <v>1</v>
      </c>
      <c r="C2386" s="65">
        <v>43280</v>
      </c>
      <c r="D2386" s="1">
        <v>1</v>
      </c>
    </row>
    <row r="2387" spans="1:4" x14ac:dyDescent="0.25">
      <c r="A2387" s="65">
        <v>43283</v>
      </c>
      <c r="B2387" s="1">
        <v>1</v>
      </c>
      <c r="C2387" s="65">
        <v>43283</v>
      </c>
      <c r="D2387" s="1">
        <v>1</v>
      </c>
    </row>
    <row r="2388" spans="1:4" x14ac:dyDescent="0.25">
      <c r="A2388" s="65">
        <v>43284</v>
      </c>
      <c r="B2388" s="1">
        <v>1</v>
      </c>
      <c r="C2388" s="65">
        <v>43284</v>
      </c>
      <c r="D2388" s="1">
        <v>1</v>
      </c>
    </row>
    <row r="2389" spans="1:4" x14ac:dyDescent="0.25">
      <c r="A2389" s="65">
        <v>43285</v>
      </c>
      <c r="B2389" s="1">
        <v>1</v>
      </c>
      <c r="C2389" s="65">
        <v>43285</v>
      </c>
      <c r="D2389" s="1">
        <v>1</v>
      </c>
    </row>
    <row r="2390" spans="1:4" x14ac:dyDescent="0.25">
      <c r="A2390" s="65">
        <v>43286</v>
      </c>
      <c r="B2390" s="1">
        <v>1</v>
      </c>
      <c r="C2390" s="65">
        <v>43286</v>
      </c>
      <c r="D2390" s="1">
        <v>1</v>
      </c>
    </row>
    <row r="2391" spans="1:4" x14ac:dyDescent="0.25">
      <c r="A2391" s="65">
        <v>43287</v>
      </c>
      <c r="B2391" s="1">
        <v>1</v>
      </c>
      <c r="C2391" s="65">
        <v>43287</v>
      </c>
      <c r="D2391" s="1">
        <v>1</v>
      </c>
    </row>
    <row r="2392" spans="1:4" x14ac:dyDescent="0.25">
      <c r="A2392" s="65">
        <v>43290</v>
      </c>
      <c r="B2392" s="1">
        <v>1</v>
      </c>
      <c r="C2392" s="65">
        <v>43290</v>
      </c>
      <c r="D2392" s="1">
        <v>1</v>
      </c>
    </row>
    <row r="2393" spans="1:4" x14ac:dyDescent="0.25">
      <c r="A2393" s="65">
        <v>43291</v>
      </c>
      <c r="B2393" s="1">
        <v>1</v>
      </c>
      <c r="C2393" s="65">
        <v>43291</v>
      </c>
      <c r="D2393" s="1">
        <v>1</v>
      </c>
    </row>
    <row r="2394" spans="1:4" x14ac:dyDescent="0.25">
      <c r="A2394" s="65">
        <v>43292</v>
      </c>
      <c r="B2394" s="1">
        <v>1</v>
      </c>
      <c r="C2394" s="65">
        <v>43292</v>
      </c>
      <c r="D2394" s="1">
        <v>1</v>
      </c>
    </row>
    <row r="2395" spans="1:4" x14ac:dyDescent="0.25">
      <c r="A2395" s="65">
        <v>43293</v>
      </c>
      <c r="B2395" s="1">
        <v>1</v>
      </c>
      <c r="C2395" s="65">
        <v>43293</v>
      </c>
      <c r="D2395" s="1">
        <v>1</v>
      </c>
    </row>
    <row r="2396" spans="1:4" x14ac:dyDescent="0.25">
      <c r="A2396" s="65">
        <v>43294</v>
      </c>
      <c r="B2396" s="1">
        <v>1</v>
      </c>
      <c r="C2396" s="65">
        <v>43294</v>
      </c>
      <c r="D2396" s="1">
        <v>1</v>
      </c>
    </row>
    <row r="2397" spans="1:4" x14ac:dyDescent="0.25">
      <c r="A2397" s="65">
        <v>43297</v>
      </c>
      <c r="B2397" s="1">
        <v>1</v>
      </c>
      <c r="C2397" s="65">
        <v>43297</v>
      </c>
      <c r="D2397" s="1">
        <v>1</v>
      </c>
    </row>
    <row r="2398" spans="1:4" x14ac:dyDescent="0.25">
      <c r="A2398" s="65">
        <v>43298</v>
      </c>
      <c r="B2398" s="1">
        <v>1</v>
      </c>
      <c r="C2398" s="65">
        <v>43298</v>
      </c>
      <c r="D2398" s="1">
        <v>1</v>
      </c>
    </row>
    <row r="2399" spans="1:4" x14ac:dyDescent="0.25">
      <c r="A2399" s="65">
        <v>43299</v>
      </c>
      <c r="B2399" s="1">
        <v>1</v>
      </c>
      <c r="C2399" s="65">
        <v>43299</v>
      </c>
      <c r="D2399" s="1">
        <v>1</v>
      </c>
    </row>
    <row r="2400" spans="1:4" x14ac:dyDescent="0.25">
      <c r="A2400" s="65">
        <v>43300</v>
      </c>
      <c r="B2400" s="1">
        <v>1</v>
      </c>
      <c r="C2400" s="65">
        <v>43300</v>
      </c>
      <c r="D2400" s="1">
        <v>1</v>
      </c>
    </row>
    <row r="2401" spans="1:4" x14ac:dyDescent="0.25">
      <c r="A2401" s="65">
        <v>43301</v>
      </c>
      <c r="B2401" s="1">
        <v>1</v>
      </c>
      <c r="C2401" s="65">
        <v>43301</v>
      </c>
      <c r="D2401" s="1">
        <v>1</v>
      </c>
    </row>
    <row r="2402" spans="1:4" x14ac:dyDescent="0.25">
      <c r="A2402" s="65">
        <v>43304</v>
      </c>
      <c r="B2402" s="1">
        <v>1</v>
      </c>
      <c r="C2402" s="65">
        <v>43304</v>
      </c>
      <c r="D2402" s="1">
        <v>1</v>
      </c>
    </row>
    <row r="2403" spans="1:4" x14ac:dyDescent="0.25">
      <c r="A2403" s="65">
        <v>43305</v>
      </c>
      <c r="B2403" s="1">
        <v>1</v>
      </c>
      <c r="C2403" s="65">
        <v>43305</v>
      </c>
      <c r="D2403" s="1">
        <v>1</v>
      </c>
    </row>
    <row r="2404" spans="1:4" x14ac:dyDescent="0.25">
      <c r="A2404" s="65">
        <v>43306</v>
      </c>
      <c r="B2404" s="1">
        <v>1</v>
      </c>
      <c r="C2404" s="65">
        <v>43306</v>
      </c>
      <c r="D2404" s="1">
        <v>1</v>
      </c>
    </row>
    <row r="2405" spans="1:4" x14ac:dyDescent="0.25">
      <c r="A2405" s="65">
        <v>43307</v>
      </c>
      <c r="B2405" s="1">
        <v>1</v>
      </c>
      <c r="C2405" s="65">
        <v>43307</v>
      </c>
      <c r="D2405" s="1">
        <v>1</v>
      </c>
    </row>
    <row r="2406" spans="1:4" x14ac:dyDescent="0.25">
      <c r="A2406" s="65">
        <v>43308</v>
      </c>
      <c r="B2406" s="1">
        <v>1</v>
      </c>
      <c r="C2406" s="65">
        <v>43308</v>
      </c>
      <c r="D2406" s="1">
        <v>1</v>
      </c>
    </row>
    <row r="2407" spans="1:4" x14ac:dyDescent="0.25">
      <c r="A2407" s="65">
        <v>43311</v>
      </c>
      <c r="B2407" s="1">
        <v>1</v>
      </c>
      <c r="C2407" s="65">
        <v>43311</v>
      </c>
      <c r="D2407" s="1">
        <v>1</v>
      </c>
    </row>
    <row r="2408" spans="1:4" x14ac:dyDescent="0.25">
      <c r="A2408" s="65">
        <v>43312</v>
      </c>
      <c r="B2408" s="1">
        <v>1</v>
      </c>
      <c r="C2408" s="65">
        <v>43312</v>
      </c>
      <c r="D2408" s="1">
        <v>1</v>
      </c>
    </row>
    <row r="2409" spans="1:4" x14ac:dyDescent="0.25">
      <c r="A2409" s="65">
        <v>43313</v>
      </c>
      <c r="B2409" s="1">
        <v>1</v>
      </c>
      <c r="C2409" s="65">
        <v>43313</v>
      </c>
      <c r="D2409" s="1">
        <v>1</v>
      </c>
    </row>
    <row r="2410" spans="1:4" x14ac:dyDescent="0.25">
      <c r="A2410" s="65">
        <v>43314</v>
      </c>
      <c r="B2410" s="1">
        <v>1</v>
      </c>
      <c r="C2410" s="65">
        <v>43314</v>
      </c>
      <c r="D2410" s="1">
        <v>1</v>
      </c>
    </row>
    <row r="2411" spans="1:4" x14ac:dyDescent="0.25">
      <c r="A2411" s="65">
        <v>43315</v>
      </c>
      <c r="B2411" s="1">
        <v>1</v>
      </c>
      <c r="C2411" s="65">
        <v>43315</v>
      </c>
      <c r="D2411" s="1">
        <v>1</v>
      </c>
    </row>
    <row r="2412" spans="1:4" x14ac:dyDescent="0.25">
      <c r="A2412" s="65">
        <v>43318</v>
      </c>
      <c r="B2412" s="1">
        <v>1</v>
      </c>
      <c r="C2412" s="65">
        <v>43318</v>
      </c>
      <c r="D2412" s="1">
        <v>1</v>
      </c>
    </row>
    <row r="2413" spans="1:4" x14ac:dyDescent="0.25">
      <c r="A2413" s="65">
        <v>43319</v>
      </c>
      <c r="B2413" s="1">
        <v>1</v>
      </c>
      <c r="C2413" s="65">
        <v>43319</v>
      </c>
      <c r="D2413" s="1">
        <v>1</v>
      </c>
    </row>
    <row r="2414" spans="1:4" x14ac:dyDescent="0.25">
      <c r="A2414" s="65">
        <v>43320</v>
      </c>
      <c r="B2414" s="1">
        <v>1</v>
      </c>
      <c r="C2414" s="65">
        <v>43320</v>
      </c>
      <c r="D2414" s="1">
        <v>1</v>
      </c>
    </row>
    <row r="2415" spans="1:4" x14ac:dyDescent="0.25">
      <c r="A2415" s="65">
        <v>43321</v>
      </c>
      <c r="B2415" s="1">
        <v>1</v>
      </c>
      <c r="C2415" s="65">
        <v>43321</v>
      </c>
      <c r="D2415" s="1">
        <v>1</v>
      </c>
    </row>
    <row r="2416" spans="1:4" x14ac:dyDescent="0.25">
      <c r="A2416" s="65">
        <v>43322</v>
      </c>
      <c r="B2416" s="1">
        <v>1</v>
      </c>
      <c r="C2416" s="65">
        <v>43322</v>
      </c>
      <c r="D2416" s="1">
        <v>1</v>
      </c>
    </row>
    <row r="2417" spans="1:4" x14ac:dyDescent="0.25">
      <c r="A2417" s="65">
        <v>43325</v>
      </c>
      <c r="B2417" s="1">
        <v>1</v>
      </c>
      <c r="C2417" s="65">
        <v>43325</v>
      </c>
      <c r="D2417" s="1">
        <v>1</v>
      </c>
    </row>
    <row r="2418" spans="1:4" x14ac:dyDescent="0.25">
      <c r="A2418" s="65">
        <v>43326</v>
      </c>
      <c r="B2418" s="1">
        <v>1</v>
      </c>
      <c r="C2418" s="65">
        <v>43326</v>
      </c>
      <c r="D2418" s="1">
        <v>1</v>
      </c>
    </row>
    <row r="2419" spans="1:4" x14ac:dyDescent="0.25">
      <c r="A2419" s="65">
        <v>43327</v>
      </c>
      <c r="B2419" s="1">
        <v>1</v>
      </c>
      <c r="C2419" s="65">
        <v>43327</v>
      </c>
      <c r="D2419" s="1">
        <v>1</v>
      </c>
    </row>
    <row r="2420" spans="1:4" x14ac:dyDescent="0.25">
      <c r="A2420" s="65">
        <v>43328</v>
      </c>
      <c r="B2420" s="1">
        <v>1</v>
      </c>
      <c r="C2420" s="65">
        <v>43328</v>
      </c>
      <c r="D2420" s="1">
        <v>1</v>
      </c>
    </row>
    <row r="2421" spans="1:4" x14ac:dyDescent="0.25">
      <c r="A2421" s="65">
        <v>43329</v>
      </c>
      <c r="B2421" s="1">
        <v>1</v>
      </c>
      <c r="C2421" s="65">
        <v>43329</v>
      </c>
      <c r="D2421" s="1">
        <v>1</v>
      </c>
    </row>
    <row r="2422" spans="1:4" x14ac:dyDescent="0.25">
      <c r="A2422" s="65">
        <v>43332</v>
      </c>
      <c r="B2422" s="1">
        <v>1</v>
      </c>
      <c r="C2422" s="65">
        <v>43332</v>
      </c>
      <c r="D2422" s="1">
        <v>1</v>
      </c>
    </row>
    <row r="2423" spans="1:4" x14ac:dyDescent="0.25">
      <c r="A2423" s="65">
        <v>43333</v>
      </c>
      <c r="B2423" s="1">
        <v>1</v>
      </c>
      <c r="C2423" s="65">
        <v>43333</v>
      </c>
      <c r="D2423" s="1">
        <v>1</v>
      </c>
    </row>
    <row r="2424" spans="1:4" x14ac:dyDescent="0.25">
      <c r="A2424" s="65">
        <v>43334</v>
      </c>
      <c r="B2424" s="1">
        <v>1</v>
      </c>
      <c r="C2424" s="65">
        <v>43334</v>
      </c>
      <c r="D2424" s="1">
        <v>1</v>
      </c>
    </row>
    <row r="2425" spans="1:4" x14ac:dyDescent="0.25">
      <c r="A2425" s="65">
        <v>43335</v>
      </c>
      <c r="B2425" s="1">
        <v>1</v>
      </c>
      <c r="C2425" s="65">
        <v>43335</v>
      </c>
      <c r="D2425" s="1">
        <v>1</v>
      </c>
    </row>
    <row r="2426" spans="1:4" x14ac:dyDescent="0.25">
      <c r="A2426" s="65">
        <v>43336</v>
      </c>
      <c r="B2426" s="1">
        <v>1</v>
      </c>
      <c r="C2426" s="65">
        <v>43336</v>
      </c>
      <c r="D2426" s="1">
        <v>1</v>
      </c>
    </row>
    <row r="2427" spans="1:4" x14ac:dyDescent="0.25">
      <c r="A2427" s="65">
        <v>43339</v>
      </c>
      <c r="B2427" s="1">
        <v>1</v>
      </c>
      <c r="C2427" s="65">
        <v>43339</v>
      </c>
      <c r="D2427" s="1">
        <v>1</v>
      </c>
    </row>
    <row r="2428" spans="1:4" x14ac:dyDescent="0.25">
      <c r="A2428" s="65">
        <v>43340</v>
      </c>
      <c r="B2428" s="1">
        <v>1</v>
      </c>
      <c r="C2428" s="65">
        <v>43340</v>
      </c>
      <c r="D2428" s="1">
        <v>1</v>
      </c>
    </row>
    <row r="2429" spans="1:4" x14ac:dyDescent="0.25">
      <c r="A2429" s="65">
        <v>43341</v>
      </c>
      <c r="B2429" s="1">
        <v>1</v>
      </c>
      <c r="C2429" s="65">
        <v>43341</v>
      </c>
      <c r="D2429" s="1">
        <v>1</v>
      </c>
    </row>
    <row r="2430" spans="1:4" x14ac:dyDescent="0.25">
      <c r="A2430" s="65">
        <v>43342</v>
      </c>
      <c r="B2430" s="1">
        <v>1</v>
      </c>
      <c r="C2430" s="65">
        <v>43342</v>
      </c>
      <c r="D2430" s="1">
        <v>1</v>
      </c>
    </row>
    <row r="2431" spans="1:4" x14ac:dyDescent="0.25">
      <c r="A2431" s="65">
        <v>43343</v>
      </c>
      <c r="B2431" s="1">
        <v>1</v>
      </c>
      <c r="C2431" s="65">
        <v>43343</v>
      </c>
      <c r="D2431" s="1">
        <v>1</v>
      </c>
    </row>
    <row r="2432" spans="1:4" x14ac:dyDescent="0.25">
      <c r="A2432" s="65">
        <v>43346</v>
      </c>
      <c r="B2432" s="1">
        <v>1</v>
      </c>
      <c r="C2432" s="65">
        <v>43346</v>
      </c>
      <c r="D2432" s="1">
        <v>1</v>
      </c>
    </row>
    <row r="2433" spans="1:4" x14ac:dyDescent="0.25">
      <c r="A2433" s="65">
        <v>43347</v>
      </c>
      <c r="B2433" s="1">
        <v>1</v>
      </c>
      <c r="C2433" s="65">
        <v>43347</v>
      </c>
      <c r="D2433" s="1">
        <v>1</v>
      </c>
    </row>
    <row r="2434" spans="1:4" x14ac:dyDescent="0.25">
      <c r="A2434" s="65">
        <v>43348</v>
      </c>
      <c r="B2434" s="1">
        <v>1</v>
      </c>
      <c r="C2434" s="65">
        <v>43348</v>
      </c>
      <c r="D2434" s="1">
        <v>1</v>
      </c>
    </row>
    <row r="2435" spans="1:4" x14ac:dyDescent="0.25">
      <c r="A2435" s="65">
        <v>43349</v>
      </c>
      <c r="B2435" s="1">
        <v>1</v>
      </c>
      <c r="C2435" s="65">
        <v>43349</v>
      </c>
      <c r="D2435" s="1">
        <v>1</v>
      </c>
    </row>
    <row r="2436" spans="1:4" x14ac:dyDescent="0.25">
      <c r="A2436" s="65">
        <v>43350</v>
      </c>
      <c r="B2436" s="1">
        <v>1</v>
      </c>
      <c r="C2436" s="65">
        <v>43350</v>
      </c>
      <c r="D2436" s="1">
        <v>1</v>
      </c>
    </row>
    <row r="2437" spans="1:4" x14ac:dyDescent="0.25">
      <c r="A2437" s="65">
        <v>43353</v>
      </c>
      <c r="B2437" s="1">
        <v>1</v>
      </c>
      <c r="C2437" s="65">
        <v>43353</v>
      </c>
      <c r="D2437" s="1">
        <v>1</v>
      </c>
    </row>
    <row r="2438" spans="1:4" x14ac:dyDescent="0.25">
      <c r="A2438" s="65">
        <v>43354</v>
      </c>
      <c r="B2438" s="1">
        <v>1</v>
      </c>
      <c r="C2438" s="65">
        <v>43354</v>
      </c>
      <c r="D2438" s="1">
        <v>1</v>
      </c>
    </row>
    <row r="2439" spans="1:4" x14ac:dyDescent="0.25">
      <c r="A2439" s="65">
        <v>43355</v>
      </c>
      <c r="B2439" s="1">
        <v>1</v>
      </c>
      <c r="C2439" s="65">
        <v>43355</v>
      </c>
      <c r="D2439" s="1">
        <v>1</v>
      </c>
    </row>
    <row r="2440" spans="1:4" x14ac:dyDescent="0.25">
      <c r="A2440" s="65">
        <v>43356</v>
      </c>
      <c r="B2440" s="1">
        <v>1</v>
      </c>
      <c r="C2440" s="65">
        <v>43356</v>
      </c>
      <c r="D2440" s="1">
        <v>1</v>
      </c>
    </row>
    <row r="2441" spans="1:4" x14ac:dyDescent="0.25">
      <c r="A2441" s="65">
        <v>43357</v>
      </c>
      <c r="B2441" s="1">
        <v>1</v>
      </c>
      <c r="C2441" s="65">
        <v>43357</v>
      </c>
      <c r="D2441" s="1">
        <v>1</v>
      </c>
    </row>
    <row r="2442" spans="1:4" x14ac:dyDescent="0.25">
      <c r="A2442" s="65">
        <v>43360</v>
      </c>
      <c r="B2442" s="1">
        <v>1</v>
      </c>
      <c r="C2442" s="65">
        <v>43360</v>
      </c>
      <c r="D2442" s="1">
        <v>1</v>
      </c>
    </row>
    <row r="2443" spans="1:4" x14ac:dyDescent="0.25">
      <c r="A2443" s="65">
        <v>43361</v>
      </c>
      <c r="B2443" s="1">
        <v>1</v>
      </c>
      <c r="C2443" s="65">
        <v>43361</v>
      </c>
      <c r="D2443" s="1">
        <v>1</v>
      </c>
    </row>
    <row r="2444" spans="1:4" x14ac:dyDescent="0.25">
      <c r="A2444" s="65">
        <v>43362</v>
      </c>
      <c r="B2444" s="1">
        <v>1</v>
      </c>
      <c r="C2444" s="65">
        <v>43362</v>
      </c>
      <c r="D2444" s="1">
        <v>1</v>
      </c>
    </row>
    <row r="2445" spans="1:4" x14ac:dyDescent="0.25">
      <c r="A2445" s="65">
        <v>43363</v>
      </c>
      <c r="B2445" s="1">
        <v>1</v>
      </c>
      <c r="C2445" s="65">
        <v>43363</v>
      </c>
      <c r="D2445" s="1">
        <v>1</v>
      </c>
    </row>
    <row r="2446" spans="1:4" x14ac:dyDescent="0.25">
      <c r="A2446" s="65">
        <v>43364</v>
      </c>
      <c r="B2446" s="1">
        <v>1</v>
      </c>
      <c r="C2446" s="65">
        <v>43364</v>
      </c>
      <c r="D2446" s="1">
        <v>1</v>
      </c>
    </row>
    <row r="2447" spans="1:4" x14ac:dyDescent="0.25">
      <c r="A2447" s="65">
        <v>43367</v>
      </c>
      <c r="B2447" s="1">
        <v>1</v>
      </c>
      <c r="C2447" s="65">
        <v>43367</v>
      </c>
      <c r="D2447" s="1">
        <v>1</v>
      </c>
    </row>
    <row r="2448" spans="1:4" x14ac:dyDescent="0.25">
      <c r="A2448" s="65">
        <v>43368</v>
      </c>
      <c r="B2448" s="1">
        <v>1</v>
      </c>
      <c r="C2448" s="65">
        <v>43368</v>
      </c>
      <c r="D2448" s="1">
        <v>1</v>
      </c>
    </row>
    <row r="2449" spans="1:4" x14ac:dyDescent="0.25">
      <c r="A2449" s="65">
        <v>43369</v>
      </c>
      <c r="B2449" s="1">
        <v>1</v>
      </c>
      <c r="C2449" s="65">
        <v>43369</v>
      </c>
      <c r="D2449" s="1">
        <v>1</v>
      </c>
    </row>
    <row r="2450" spans="1:4" x14ac:dyDescent="0.25">
      <c r="A2450" s="65">
        <v>43370</v>
      </c>
      <c r="B2450" s="1">
        <v>1</v>
      </c>
      <c r="C2450" s="65">
        <v>43370</v>
      </c>
      <c r="D2450" s="1">
        <v>1</v>
      </c>
    </row>
    <row r="2451" spans="1:4" x14ac:dyDescent="0.25">
      <c r="A2451" s="65">
        <v>43371</v>
      </c>
      <c r="B2451" s="1">
        <v>1</v>
      </c>
      <c r="C2451" s="65">
        <v>43371</v>
      </c>
      <c r="D2451" s="1">
        <v>1</v>
      </c>
    </row>
    <row r="2452" spans="1:4" x14ac:dyDescent="0.25">
      <c r="A2452" s="65">
        <v>43374</v>
      </c>
      <c r="B2452" s="1">
        <v>1</v>
      </c>
      <c r="C2452" s="65">
        <v>43374</v>
      </c>
      <c r="D2452" s="1">
        <v>1</v>
      </c>
    </row>
    <row r="2453" spans="1:4" x14ac:dyDescent="0.25">
      <c r="A2453" s="65">
        <v>43375</v>
      </c>
      <c r="B2453" s="1">
        <v>1</v>
      </c>
      <c r="C2453" s="65">
        <v>43375</v>
      </c>
      <c r="D2453" s="1">
        <v>1</v>
      </c>
    </row>
    <row r="2454" spans="1:4" x14ac:dyDescent="0.25">
      <c r="A2454" s="65">
        <v>43376</v>
      </c>
      <c r="B2454" s="1">
        <v>1</v>
      </c>
      <c r="C2454" s="65">
        <v>43376</v>
      </c>
      <c r="D2454" s="1">
        <v>1</v>
      </c>
    </row>
    <row r="2455" spans="1:4" x14ac:dyDescent="0.25">
      <c r="A2455" s="65">
        <v>43377</v>
      </c>
      <c r="B2455" s="1">
        <v>1</v>
      </c>
      <c r="C2455" s="65">
        <v>43377</v>
      </c>
      <c r="D2455" s="1">
        <v>1</v>
      </c>
    </row>
    <row r="2456" spans="1:4" x14ac:dyDescent="0.25">
      <c r="A2456" s="65">
        <v>43378</v>
      </c>
      <c r="B2456" s="1">
        <v>1</v>
      </c>
      <c r="C2456" s="65">
        <v>43378</v>
      </c>
      <c r="D2456" s="1">
        <v>1</v>
      </c>
    </row>
    <row r="2457" spans="1:4" x14ac:dyDescent="0.25">
      <c r="A2457" s="65">
        <v>43381</v>
      </c>
      <c r="B2457" s="1">
        <v>1</v>
      </c>
      <c r="C2457" s="65">
        <v>43381</v>
      </c>
      <c r="D2457" s="1">
        <v>1</v>
      </c>
    </row>
    <row r="2458" spans="1:4" x14ac:dyDescent="0.25">
      <c r="A2458" s="65">
        <v>43382</v>
      </c>
      <c r="B2458" s="1">
        <v>1</v>
      </c>
      <c r="C2458" s="65">
        <v>43382</v>
      </c>
      <c r="D2458" s="1">
        <v>1</v>
      </c>
    </row>
    <row r="2459" spans="1:4" x14ac:dyDescent="0.25">
      <c r="A2459" s="65">
        <v>43383</v>
      </c>
      <c r="B2459" s="1">
        <v>1</v>
      </c>
      <c r="C2459" s="65">
        <v>43383</v>
      </c>
      <c r="D2459" s="1">
        <v>1</v>
      </c>
    </row>
    <row r="2460" spans="1:4" x14ac:dyDescent="0.25">
      <c r="A2460" s="65">
        <v>43384</v>
      </c>
      <c r="B2460" s="1">
        <v>1</v>
      </c>
      <c r="C2460" s="65">
        <v>43384</v>
      </c>
      <c r="D2460" s="1">
        <v>1</v>
      </c>
    </row>
    <row r="2461" spans="1:4" x14ac:dyDescent="0.25">
      <c r="A2461" s="65">
        <v>43385</v>
      </c>
      <c r="B2461" s="1">
        <v>1</v>
      </c>
      <c r="C2461" s="65">
        <v>43385</v>
      </c>
      <c r="D2461" s="1">
        <v>1</v>
      </c>
    </row>
    <row r="2462" spans="1:4" x14ac:dyDescent="0.25">
      <c r="A2462" s="65">
        <v>43388</v>
      </c>
      <c r="B2462" s="1">
        <v>1</v>
      </c>
      <c r="C2462" s="65">
        <v>43388</v>
      </c>
      <c r="D2462" s="1">
        <v>1</v>
      </c>
    </row>
    <row r="2463" spans="1:4" x14ac:dyDescent="0.25">
      <c r="A2463" s="65">
        <v>43389</v>
      </c>
      <c r="B2463" s="1">
        <v>1</v>
      </c>
      <c r="C2463" s="65">
        <v>43389</v>
      </c>
      <c r="D2463" s="1">
        <v>1</v>
      </c>
    </row>
    <row r="2464" spans="1:4" x14ac:dyDescent="0.25">
      <c r="A2464" s="65">
        <v>43390</v>
      </c>
      <c r="B2464" s="1">
        <v>1</v>
      </c>
      <c r="C2464" s="65">
        <v>43390</v>
      </c>
      <c r="D2464" s="1">
        <v>1</v>
      </c>
    </row>
    <row r="2465" spans="1:4" x14ac:dyDescent="0.25">
      <c r="A2465" s="65">
        <v>43391</v>
      </c>
      <c r="B2465" s="1">
        <v>1</v>
      </c>
      <c r="C2465" s="65">
        <v>43391</v>
      </c>
      <c r="D2465" s="1">
        <v>1</v>
      </c>
    </row>
    <row r="2466" spans="1:4" x14ac:dyDescent="0.25">
      <c r="A2466" s="65">
        <v>43392</v>
      </c>
      <c r="B2466" s="1">
        <v>1</v>
      </c>
      <c r="C2466" s="65">
        <v>43392</v>
      </c>
      <c r="D2466" s="1">
        <v>1</v>
      </c>
    </row>
    <row r="2467" spans="1:4" x14ac:dyDescent="0.25">
      <c r="A2467" s="65">
        <v>43395</v>
      </c>
      <c r="B2467" s="1">
        <v>1</v>
      </c>
      <c r="C2467" s="65">
        <v>43395</v>
      </c>
      <c r="D2467" s="1">
        <v>1</v>
      </c>
    </row>
    <row r="2468" spans="1:4" x14ac:dyDescent="0.25">
      <c r="A2468" s="65">
        <v>43396</v>
      </c>
      <c r="B2468" s="1">
        <v>1</v>
      </c>
      <c r="C2468" s="65">
        <v>43396</v>
      </c>
      <c r="D2468" s="1">
        <v>1</v>
      </c>
    </row>
    <row r="2469" spans="1:4" x14ac:dyDescent="0.25">
      <c r="A2469" s="65">
        <v>43397</v>
      </c>
      <c r="B2469" s="1">
        <v>1</v>
      </c>
      <c r="C2469" s="65">
        <v>43397</v>
      </c>
      <c r="D2469" s="1">
        <v>1</v>
      </c>
    </row>
    <row r="2470" spans="1:4" x14ac:dyDescent="0.25">
      <c r="A2470" s="65">
        <v>43398</v>
      </c>
      <c r="B2470" s="1">
        <v>1</v>
      </c>
      <c r="C2470" s="65">
        <v>43398</v>
      </c>
      <c r="D2470" s="1">
        <v>1</v>
      </c>
    </row>
    <row r="2471" spans="1:4" x14ac:dyDescent="0.25">
      <c r="A2471" s="65">
        <v>43399</v>
      </c>
      <c r="B2471" s="1">
        <v>1</v>
      </c>
      <c r="C2471" s="65">
        <v>43399</v>
      </c>
      <c r="D2471" s="1">
        <v>1</v>
      </c>
    </row>
    <row r="2472" spans="1:4" x14ac:dyDescent="0.25">
      <c r="A2472" s="65">
        <v>43402</v>
      </c>
      <c r="B2472" s="1">
        <v>1</v>
      </c>
      <c r="C2472" s="65">
        <v>43402</v>
      </c>
      <c r="D2472" s="1">
        <v>1</v>
      </c>
    </row>
    <row r="2473" spans="1:4" x14ac:dyDescent="0.25">
      <c r="A2473" s="65">
        <v>43403</v>
      </c>
      <c r="B2473" s="1">
        <v>1</v>
      </c>
      <c r="C2473" s="65">
        <v>43403</v>
      </c>
      <c r="D2473" s="1">
        <v>1</v>
      </c>
    </row>
    <row r="2474" spans="1:4" x14ac:dyDescent="0.25">
      <c r="A2474" s="65">
        <v>43404</v>
      </c>
      <c r="B2474" s="1">
        <v>1</v>
      </c>
      <c r="C2474" s="65">
        <v>43404</v>
      </c>
      <c r="D2474" s="1">
        <v>1</v>
      </c>
    </row>
    <row r="2475" spans="1:4" x14ac:dyDescent="0.25">
      <c r="A2475" s="65">
        <v>43405</v>
      </c>
      <c r="B2475" s="1">
        <v>1</v>
      </c>
      <c r="C2475" s="65">
        <v>43405</v>
      </c>
      <c r="D2475" s="1">
        <v>1</v>
      </c>
    </row>
    <row r="2476" spans="1:4" x14ac:dyDescent="0.25">
      <c r="A2476" s="65">
        <v>43406</v>
      </c>
      <c r="B2476" s="1">
        <v>1</v>
      </c>
      <c r="C2476" s="65">
        <v>43406</v>
      </c>
      <c r="D2476" s="1">
        <v>1</v>
      </c>
    </row>
    <row r="2477" spans="1:4" x14ac:dyDescent="0.25">
      <c r="A2477" s="65">
        <v>43409</v>
      </c>
      <c r="B2477" s="1">
        <v>1</v>
      </c>
      <c r="C2477" s="65">
        <v>43409</v>
      </c>
      <c r="D2477" s="1">
        <v>1</v>
      </c>
    </row>
    <row r="2478" spans="1:4" x14ac:dyDescent="0.25">
      <c r="A2478" s="65">
        <v>43410</v>
      </c>
      <c r="B2478" s="1">
        <v>1</v>
      </c>
      <c r="C2478" s="65">
        <v>43410</v>
      </c>
      <c r="D2478" s="1">
        <v>1</v>
      </c>
    </row>
    <row r="2479" spans="1:4" x14ac:dyDescent="0.25">
      <c r="A2479" s="65">
        <v>43411</v>
      </c>
      <c r="B2479" s="1">
        <v>1</v>
      </c>
      <c r="C2479" s="65">
        <v>43411</v>
      </c>
      <c r="D2479" s="1">
        <v>1</v>
      </c>
    </row>
    <row r="2480" spans="1:4" x14ac:dyDescent="0.25">
      <c r="A2480" s="65">
        <v>43412</v>
      </c>
      <c r="B2480" s="1">
        <v>1</v>
      </c>
      <c r="C2480" s="65">
        <v>43412</v>
      </c>
      <c r="D2480" s="1">
        <v>1</v>
      </c>
    </row>
    <row r="2481" spans="1:4" x14ac:dyDescent="0.25">
      <c r="A2481" s="65">
        <v>43413</v>
      </c>
      <c r="B2481" s="1">
        <v>1</v>
      </c>
      <c r="C2481" s="65">
        <v>43413</v>
      </c>
      <c r="D2481" s="1">
        <v>1</v>
      </c>
    </row>
    <row r="2482" spans="1:4" x14ac:dyDescent="0.25">
      <c r="A2482" s="65">
        <v>43416</v>
      </c>
      <c r="B2482" s="1">
        <v>1</v>
      </c>
      <c r="C2482" s="65">
        <v>43416</v>
      </c>
      <c r="D2482" s="1">
        <v>1</v>
      </c>
    </row>
    <row r="2483" spans="1:4" x14ac:dyDescent="0.25">
      <c r="A2483" s="65">
        <v>43417</v>
      </c>
      <c r="B2483" s="1">
        <v>1</v>
      </c>
      <c r="C2483" s="65">
        <v>43417</v>
      </c>
      <c r="D2483" s="1">
        <v>1</v>
      </c>
    </row>
    <row r="2484" spans="1:4" x14ac:dyDescent="0.25">
      <c r="A2484" s="65">
        <v>43418</v>
      </c>
      <c r="B2484" s="1">
        <v>1</v>
      </c>
      <c r="C2484" s="65">
        <v>43418</v>
      </c>
      <c r="D2484" s="1">
        <v>1</v>
      </c>
    </row>
    <row r="2485" spans="1:4" x14ac:dyDescent="0.25">
      <c r="A2485" s="65">
        <v>43419</v>
      </c>
      <c r="B2485" s="1">
        <v>1</v>
      </c>
      <c r="C2485" s="65">
        <v>43419</v>
      </c>
      <c r="D2485" s="1">
        <v>1</v>
      </c>
    </row>
    <row r="2486" spans="1:4" x14ac:dyDescent="0.25">
      <c r="A2486" s="65">
        <v>43420</v>
      </c>
      <c r="B2486" s="1">
        <v>1</v>
      </c>
      <c r="C2486" s="65">
        <v>43420</v>
      </c>
      <c r="D2486" s="1">
        <v>1</v>
      </c>
    </row>
    <row r="2487" spans="1:4" x14ac:dyDescent="0.25">
      <c r="A2487" s="65">
        <v>43423</v>
      </c>
      <c r="B2487" s="1">
        <v>1</v>
      </c>
      <c r="C2487" s="65">
        <v>43423</v>
      </c>
      <c r="D2487" s="1">
        <v>1</v>
      </c>
    </row>
    <row r="2488" spans="1:4" x14ac:dyDescent="0.25">
      <c r="A2488" s="65">
        <v>43424</v>
      </c>
      <c r="B2488" s="1">
        <v>1</v>
      </c>
      <c r="C2488" s="65">
        <v>43424</v>
      </c>
      <c r="D2488" s="1">
        <v>1</v>
      </c>
    </row>
    <row r="2489" spans="1:4" x14ac:dyDescent="0.25">
      <c r="A2489" s="65">
        <v>43425</v>
      </c>
      <c r="B2489" s="1">
        <v>1</v>
      </c>
      <c r="C2489" s="65">
        <v>43425</v>
      </c>
      <c r="D2489" s="1">
        <v>1</v>
      </c>
    </row>
    <row r="2490" spans="1:4" x14ac:dyDescent="0.25">
      <c r="A2490" s="65">
        <v>43426</v>
      </c>
      <c r="B2490" s="1">
        <v>1</v>
      </c>
      <c r="C2490" s="65">
        <v>43426</v>
      </c>
      <c r="D2490" s="1">
        <v>1</v>
      </c>
    </row>
    <row r="2491" spans="1:4" x14ac:dyDescent="0.25">
      <c r="A2491" s="65">
        <v>43427</v>
      </c>
      <c r="B2491" s="1">
        <v>1</v>
      </c>
      <c r="C2491" s="65">
        <v>43427</v>
      </c>
      <c r="D2491" s="1">
        <v>1</v>
      </c>
    </row>
    <row r="2492" spans="1:4" x14ac:dyDescent="0.25">
      <c r="A2492" s="65">
        <v>43430</v>
      </c>
      <c r="B2492" s="1">
        <v>1</v>
      </c>
      <c r="C2492" s="65">
        <v>43430</v>
      </c>
      <c r="D2492" s="1">
        <v>1</v>
      </c>
    </row>
    <row r="2493" spans="1:4" x14ac:dyDescent="0.25">
      <c r="A2493" s="65">
        <v>43431</v>
      </c>
      <c r="B2493" s="1">
        <v>1</v>
      </c>
      <c r="C2493" s="65">
        <v>43431</v>
      </c>
      <c r="D2493" s="1">
        <v>1</v>
      </c>
    </row>
    <row r="2494" spans="1:4" x14ac:dyDescent="0.25">
      <c r="A2494" s="65">
        <v>43432</v>
      </c>
      <c r="B2494" s="1">
        <v>1</v>
      </c>
      <c r="C2494" s="65">
        <v>43432</v>
      </c>
      <c r="D2494" s="1">
        <v>1</v>
      </c>
    </row>
    <row r="2495" spans="1:4" x14ac:dyDescent="0.25">
      <c r="A2495" s="65">
        <v>43433</v>
      </c>
      <c r="B2495" s="1">
        <v>1</v>
      </c>
      <c r="C2495" s="65">
        <v>43433</v>
      </c>
      <c r="D2495" s="1">
        <v>1</v>
      </c>
    </row>
    <row r="2496" spans="1:4" x14ac:dyDescent="0.25">
      <c r="A2496" s="65">
        <v>43434</v>
      </c>
      <c r="B2496" s="1">
        <v>1</v>
      </c>
      <c r="C2496" s="65">
        <v>43434</v>
      </c>
      <c r="D2496" s="1">
        <v>1</v>
      </c>
    </row>
    <row r="2497" spans="1:4" x14ac:dyDescent="0.25">
      <c r="A2497" s="65">
        <v>43437</v>
      </c>
      <c r="B2497" s="1">
        <v>1</v>
      </c>
      <c r="C2497" s="65">
        <v>43437</v>
      </c>
      <c r="D2497" s="1">
        <v>1</v>
      </c>
    </row>
    <row r="2498" spans="1:4" x14ac:dyDescent="0.25">
      <c r="A2498" s="65">
        <v>43438</v>
      </c>
      <c r="B2498" s="1">
        <v>1</v>
      </c>
      <c r="C2498" s="65">
        <v>43438</v>
      </c>
      <c r="D2498" s="1">
        <v>1</v>
      </c>
    </row>
    <row r="2499" spans="1:4" x14ac:dyDescent="0.25">
      <c r="A2499" s="65">
        <v>43439</v>
      </c>
      <c r="B2499" s="1">
        <v>1</v>
      </c>
      <c r="C2499" s="65">
        <v>43439</v>
      </c>
      <c r="D2499" s="1">
        <v>1</v>
      </c>
    </row>
    <row r="2500" spans="1:4" x14ac:dyDescent="0.25">
      <c r="A2500" s="65">
        <v>43440</v>
      </c>
      <c r="B2500" s="1">
        <v>1</v>
      </c>
      <c r="C2500" s="65">
        <v>43440</v>
      </c>
      <c r="D2500" s="1">
        <v>1</v>
      </c>
    </row>
    <row r="2501" spans="1:4" x14ac:dyDescent="0.25">
      <c r="A2501" s="65">
        <v>43441</v>
      </c>
      <c r="B2501" s="1">
        <v>1</v>
      </c>
      <c r="C2501" s="65">
        <v>43441</v>
      </c>
      <c r="D2501" s="1">
        <v>1</v>
      </c>
    </row>
    <row r="2502" spans="1:4" x14ac:dyDescent="0.25">
      <c r="A2502" s="65">
        <v>43444</v>
      </c>
      <c r="B2502" s="1">
        <v>1</v>
      </c>
      <c r="C2502" s="65">
        <v>43444</v>
      </c>
      <c r="D2502" s="1">
        <v>1</v>
      </c>
    </row>
    <row r="2503" spans="1:4" x14ac:dyDescent="0.25">
      <c r="A2503" s="65">
        <v>43445</v>
      </c>
      <c r="B2503" s="1">
        <v>1</v>
      </c>
      <c r="C2503" s="65">
        <v>43445</v>
      </c>
      <c r="D2503" s="1">
        <v>1</v>
      </c>
    </row>
    <row r="2504" spans="1:4" x14ac:dyDescent="0.25">
      <c r="A2504" s="65">
        <v>43446</v>
      </c>
      <c r="B2504" s="1">
        <v>1</v>
      </c>
      <c r="C2504" s="65">
        <v>43446</v>
      </c>
      <c r="D2504" s="1">
        <v>1</v>
      </c>
    </row>
    <row r="2505" spans="1:4" x14ac:dyDescent="0.25">
      <c r="A2505" s="65">
        <v>43447</v>
      </c>
      <c r="B2505" s="1">
        <v>1</v>
      </c>
      <c r="C2505" s="65">
        <v>43447</v>
      </c>
      <c r="D2505" s="1">
        <v>1</v>
      </c>
    </row>
    <row r="2506" spans="1:4" x14ac:dyDescent="0.25">
      <c r="A2506" s="65">
        <v>43448</v>
      </c>
      <c r="B2506" s="1">
        <v>1</v>
      </c>
      <c r="C2506" s="65">
        <v>43448</v>
      </c>
      <c r="D2506" s="1">
        <v>1</v>
      </c>
    </row>
    <row r="2507" spans="1:4" x14ac:dyDescent="0.25">
      <c r="A2507" s="65">
        <v>43451</v>
      </c>
      <c r="B2507" s="1">
        <v>1</v>
      </c>
      <c r="C2507" s="65">
        <v>43451</v>
      </c>
      <c r="D2507" s="1">
        <v>1</v>
      </c>
    </row>
    <row r="2508" spans="1:4" x14ac:dyDescent="0.25">
      <c r="A2508" s="65">
        <v>43452</v>
      </c>
      <c r="B2508" s="1">
        <v>1</v>
      </c>
      <c r="C2508" s="65">
        <v>43452</v>
      </c>
      <c r="D2508" s="1">
        <v>1</v>
      </c>
    </row>
    <row r="2509" spans="1:4" x14ac:dyDescent="0.25">
      <c r="A2509" s="65">
        <v>43453</v>
      </c>
      <c r="B2509" s="1">
        <v>1</v>
      </c>
      <c r="C2509" s="65">
        <v>43453</v>
      </c>
      <c r="D2509" s="1">
        <v>1</v>
      </c>
    </row>
    <row r="2510" spans="1:4" x14ac:dyDescent="0.25">
      <c r="A2510" s="65">
        <v>43454</v>
      </c>
      <c r="B2510" s="1">
        <v>1</v>
      </c>
      <c r="C2510" s="65">
        <v>43454</v>
      </c>
      <c r="D2510" s="1">
        <v>1</v>
      </c>
    </row>
    <row r="2511" spans="1:4" x14ac:dyDescent="0.25">
      <c r="A2511" s="65">
        <v>43455</v>
      </c>
      <c r="B2511" s="1">
        <v>1</v>
      </c>
      <c r="C2511" s="65">
        <v>43455</v>
      </c>
      <c r="D2511" s="1">
        <v>1</v>
      </c>
    </row>
    <row r="2512" spans="1:4" x14ac:dyDescent="0.25">
      <c r="A2512" s="65">
        <v>43458</v>
      </c>
      <c r="B2512" s="1">
        <v>1</v>
      </c>
      <c r="C2512" s="65">
        <v>43458</v>
      </c>
      <c r="D2512" s="1">
        <v>1</v>
      </c>
    </row>
    <row r="2513" spans="1:4" x14ac:dyDescent="0.25">
      <c r="A2513" s="65">
        <v>43461</v>
      </c>
      <c r="B2513" s="1">
        <v>1</v>
      </c>
      <c r="C2513" s="65">
        <v>43461</v>
      </c>
      <c r="D2513" s="1">
        <v>1</v>
      </c>
    </row>
    <row r="2514" spans="1:4" x14ac:dyDescent="0.25">
      <c r="A2514" s="65">
        <v>43462</v>
      </c>
      <c r="B2514" s="1">
        <v>1</v>
      </c>
      <c r="C2514" s="65">
        <v>43462</v>
      </c>
      <c r="D2514" s="1">
        <v>1</v>
      </c>
    </row>
    <row r="2515" spans="1:4" x14ac:dyDescent="0.25">
      <c r="A2515" s="65">
        <v>43465</v>
      </c>
      <c r="B2515" s="1">
        <v>1</v>
      </c>
      <c r="C2515" s="65">
        <v>43465</v>
      </c>
      <c r="D2515" s="1">
        <v>1</v>
      </c>
    </row>
    <row r="2516" spans="1:4" x14ac:dyDescent="0.25">
      <c r="A2516" s="65">
        <v>43467</v>
      </c>
      <c r="B2516" s="1">
        <v>1</v>
      </c>
      <c r="C2516" s="65">
        <v>43467</v>
      </c>
      <c r="D2516" s="1">
        <v>1</v>
      </c>
    </row>
    <row r="2517" spans="1:4" x14ac:dyDescent="0.25">
      <c r="A2517" s="65">
        <v>43468</v>
      </c>
      <c r="B2517" s="1">
        <v>1</v>
      </c>
      <c r="C2517" s="65">
        <v>43468</v>
      </c>
      <c r="D2517" s="1">
        <v>1</v>
      </c>
    </row>
    <row r="2518" spans="1:4" x14ac:dyDescent="0.25">
      <c r="A2518" s="65">
        <v>43469</v>
      </c>
      <c r="B2518" s="1">
        <v>1</v>
      </c>
      <c r="C2518" s="65">
        <v>43469</v>
      </c>
      <c r="D2518" s="1">
        <v>1</v>
      </c>
    </row>
    <row r="2519" spans="1:4" x14ac:dyDescent="0.25">
      <c r="A2519" s="65">
        <v>43472</v>
      </c>
      <c r="B2519" s="1">
        <v>1</v>
      </c>
      <c r="C2519" s="65">
        <v>43472</v>
      </c>
      <c r="D2519" s="1">
        <v>1</v>
      </c>
    </row>
    <row r="2520" spans="1:4" x14ac:dyDescent="0.25">
      <c r="A2520" s="65">
        <v>43473</v>
      </c>
      <c r="B2520" s="1">
        <v>1</v>
      </c>
      <c r="C2520" s="65">
        <v>43473</v>
      </c>
      <c r="D2520" s="1">
        <v>1</v>
      </c>
    </row>
    <row r="2521" spans="1:4" x14ac:dyDescent="0.25">
      <c r="A2521" s="65">
        <v>43474</v>
      </c>
      <c r="B2521" s="1">
        <v>1</v>
      </c>
      <c r="C2521" s="65">
        <v>43474</v>
      </c>
      <c r="D2521" s="1">
        <v>1</v>
      </c>
    </row>
    <row r="2522" spans="1:4" x14ac:dyDescent="0.25">
      <c r="A2522" s="65">
        <v>43475</v>
      </c>
      <c r="B2522" s="1">
        <v>1</v>
      </c>
      <c r="C2522" s="65">
        <v>43475</v>
      </c>
      <c r="D2522" s="1">
        <v>1</v>
      </c>
    </row>
    <row r="2523" spans="1:4" x14ac:dyDescent="0.25">
      <c r="A2523" s="65">
        <v>43476</v>
      </c>
      <c r="B2523" s="1">
        <v>1</v>
      </c>
      <c r="C2523" s="65">
        <v>43476</v>
      </c>
      <c r="D2523" s="1">
        <v>1</v>
      </c>
    </row>
    <row r="2524" spans="1:4" x14ac:dyDescent="0.25">
      <c r="A2524" s="65">
        <v>43479</v>
      </c>
      <c r="B2524" s="1">
        <v>1</v>
      </c>
      <c r="C2524" s="65">
        <v>43479</v>
      </c>
      <c r="D2524" s="1">
        <v>1</v>
      </c>
    </row>
    <row r="2525" spans="1:4" x14ac:dyDescent="0.25">
      <c r="A2525" s="65">
        <v>43480</v>
      </c>
      <c r="B2525" s="1">
        <v>1</v>
      </c>
      <c r="C2525" s="65">
        <v>43480</v>
      </c>
      <c r="D2525" s="1">
        <v>1</v>
      </c>
    </row>
    <row r="2526" spans="1:4" x14ac:dyDescent="0.25">
      <c r="A2526" s="65">
        <v>43481</v>
      </c>
      <c r="B2526" s="1">
        <v>1</v>
      </c>
      <c r="C2526" s="65">
        <v>43481</v>
      </c>
      <c r="D2526" s="1">
        <v>1</v>
      </c>
    </row>
    <row r="2527" spans="1:4" x14ac:dyDescent="0.25">
      <c r="A2527" s="65">
        <v>43482</v>
      </c>
      <c r="B2527" s="1">
        <v>1</v>
      </c>
      <c r="C2527" s="65">
        <v>43482</v>
      </c>
      <c r="D2527" s="1">
        <v>1</v>
      </c>
    </row>
    <row r="2528" spans="1:4" x14ac:dyDescent="0.25">
      <c r="A2528" s="65">
        <v>43483</v>
      </c>
      <c r="B2528" s="1">
        <v>1</v>
      </c>
      <c r="C2528" s="65">
        <v>43483</v>
      </c>
      <c r="D2528" s="1">
        <v>1</v>
      </c>
    </row>
    <row r="2529" spans="1:4" x14ac:dyDescent="0.25">
      <c r="A2529" s="65">
        <v>43486</v>
      </c>
      <c r="B2529" s="1">
        <v>1</v>
      </c>
      <c r="C2529" s="65">
        <v>43486</v>
      </c>
      <c r="D2529" s="1">
        <v>1</v>
      </c>
    </row>
    <row r="2530" spans="1:4" x14ac:dyDescent="0.25">
      <c r="A2530" s="65">
        <v>43487</v>
      </c>
      <c r="B2530" s="1">
        <v>1</v>
      </c>
      <c r="C2530" s="65">
        <v>43487</v>
      </c>
      <c r="D2530" s="1">
        <v>1</v>
      </c>
    </row>
    <row r="2531" spans="1:4" x14ac:dyDescent="0.25">
      <c r="A2531" s="65">
        <v>43488</v>
      </c>
      <c r="B2531" s="1">
        <v>1</v>
      </c>
      <c r="C2531" s="65">
        <v>43488</v>
      </c>
      <c r="D2531" s="1">
        <v>1</v>
      </c>
    </row>
    <row r="2532" spans="1:4" x14ac:dyDescent="0.25">
      <c r="A2532" s="65">
        <v>43489</v>
      </c>
      <c r="B2532" s="1">
        <v>1</v>
      </c>
      <c r="C2532" s="65">
        <v>43489</v>
      </c>
      <c r="D2532" s="1">
        <v>1</v>
      </c>
    </row>
    <row r="2533" spans="1:4" x14ac:dyDescent="0.25">
      <c r="A2533" s="65">
        <v>43490</v>
      </c>
      <c r="B2533" s="1">
        <v>1</v>
      </c>
      <c r="C2533" s="65">
        <v>43490</v>
      </c>
      <c r="D2533" s="1">
        <v>1</v>
      </c>
    </row>
    <row r="2534" spans="1:4" x14ac:dyDescent="0.25">
      <c r="A2534" s="65">
        <v>43493</v>
      </c>
      <c r="B2534" s="1">
        <v>1</v>
      </c>
      <c r="C2534" s="65">
        <v>43493</v>
      </c>
      <c r="D2534" s="1">
        <v>1</v>
      </c>
    </row>
    <row r="2535" spans="1:4" x14ac:dyDescent="0.25">
      <c r="A2535" s="65">
        <v>43494</v>
      </c>
      <c r="B2535" s="1">
        <v>1</v>
      </c>
      <c r="C2535" s="65">
        <v>43494</v>
      </c>
      <c r="D2535" s="1">
        <v>1</v>
      </c>
    </row>
    <row r="2536" spans="1:4" x14ac:dyDescent="0.25">
      <c r="A2536" s="65">
        <v>43495</v>
      </c>
      <c r="B2536" s="1">
        <v>1</v>
      </c>
      <c r="C2536" s="65">
        <v>43495</v>
      </c>
      <c r="D2536" s="1">
        <v>1</v>
      </c>
    </row>
    <row r="2537" spans="1:4" x14ac:dyDescent="0.25">
      <c r="A2537" s="65">
        <v>43496</v>
      </c>
      <c r="B2537" s="1">
        <v>1</v>
      </c>
      <c r="C2537" s="65">
        <v>43496</v>
      </c>
      <c r="D2537" s="1">
        <v>1</v>
      </c>
    </row>
    <row r="2538" spans="1:4" x14ac:dyDescent="0.25">
      <c r="A2538" s="65">
        <v>43497</v>
      </c>
      <c r="B2538" s="1">
        <v>1</v>
      </c>
      <c r="C2538" s="65">
        <v>43497</v>
      </c>
      <c r="D2538" s="1">
        <v>1</v>
      </c>
    </row>
    <row r="2539" spans="1:4" x14ac:dyDescent="0.25">
      <c r="A2539" s="65">
        <v>43500</v>
      </c>
      <c r="B2539" s="1">
        <v>1</v>
      </c>
      <c r="C2539" s="65">
        <v>43500</v>
      </c>
      <c r="D2539" s="1">
        <v>1</v>
      </c>
    </row>
    <row r="2540" spans="1:4" x14ac:dyDescent="0.25">
      <c r="A2540" s="65">
        <v>43501</v>
      </c>
      <c r="B2540" s="1">
        <v>1</v>
      </c>
      <c r="C2540" s="65">
        <v>43501</v>
      </c>
      <c r="D2540" s="1">
        <v>1</v>
      </c>
    </row>
    <row r="2541" spans="1:4" x14ac:dyDescent="0.25">
      <c r="A2541" s="65">
        <v>43502</v>
      </c>
      <c r="B2541" s="1">
        <v>1</v>
      </c>
      <c r="C2541" s="65">
        <v>43502</v>
      </c>
      <c r="D2541" s="1">
        <v>1</v>
      </c>
    </row>
    <row r="2542" spans="1:4" x14ac:dyDescent="0.25">
      <c r="A2542" s="65">
        <v>43503</v>
      </c>
      <c r="B2542" s="1">
        <v>1</v>
      </c>
      <c r="C2542" s="65">
        <v>43503</v>
      </c>
      <c r="D2542" s="1">
        <v>1</v>
      </c>
    </row>
    <row r="2543" spans="1:4" x14ac:dyDescent="0.25">
      <c r="A2543" s="65">
        <v>43504</v>
      </c>
      <c r="B2543" s="1">
        <v>1</v>
      </c>
      <c r="C2543" s="65">
        <v>43504</v>
      </c>
      <c r="D2543" s="1">
        <v>1</v>
      </c>
    </row>
    <row r="2544" spans="1:4" x14ac:dyDescent="0.25">
      <c r="A2544" s="65">
        <v>43507</v>
      </c>
      <c r="B2544" s="1">
        <v>1</v>
      </c>
      <c r="C2544" s="65">
        <v>43507</v>
      </c>
      <c r="D2544" s="1">
        <v>1</v>
      </c>
    </row>
    <row r="2545" spans="1:4" x14ac:dyDescent="0.25">
      <c r="A2545" s="65">
        <v>43508</v>
      </c>
      <c r="B2545" s="1">
        <v>1</v>
      </c>
      <c r="C2545" s="65">
        <v>43508</v>
      </c>
      <c r="D2545" s="1">
        <v>1</v>
      </c>
    </row>
    <row r="2546" spans="1:4" x14ac:dyDescent="0.25">
      <c r="A2546" s="65">
        <v>43509</v>
      </c>
      <c r="B2546" s="1">
        <v>1</v>
      </c>
      <c r="C2546" s="65">
        <v>43509</v>
      </c>
      <c r="D2546" s="1">
        <v>1</v>
      </c>
    </row>
    <row r="2547" spans="1:4" x14ac:dyDescent="0.25">
      <c r="A2547" s="65">
        <v>43510</v>
      </c>
      <c r="B2547" s="1">
        <v>1</v>
      </c>
      <c r="C2547" s="65">
        <v>43510</v>
      </c>
      <c r="D2547" s="1">
        <v>1</v>
      </c>
    </row>
    <row r="2548" spans="1:4" x14ac:dyDescent="0.25">
      <c r="A2548" s="65">
        <v>43511</v>
      </c>
      <c r="B2548" s="1">
        <v>1</v>
      </c>
      <c r="C2548" s="65">
        <v>43511</v>
      </c>
      <c r="D2548" s="1">
        <v>1</v>
      </c>
    </row>
    <row r="2549" spans="1:4" x14ac:dyDescent="0.25">
      <c r="A2549" s="65">
        <v>43514</v>
      </c>
      <c r="B2549" s="1">
        <v>1</v>
      </c>
      <c r="C2549" s="65">
        <v>43514</v>
      </c>
      <c r="D2549" s="1">
        <v>1</v>
      </c>
    </row>
    <row r="2550" spans="1:4" x14ac:dyDescent="0.25">
      <c r="A2550" s="65">
        <v>43515</v>
      </c>
      <c r="B2550" s="1">
        <v>1</v>
      </c>
      <c r="C2550" s="65">
        <v>43515</v>
      </c>
      <c r="D2550" s="1">
        <v>1</v>
      </c>
    </row>
    <row r="2551" spans="1:4" x14ac:dyDescent="0.25">
      <c r="A2551" s="65">
        <v>43516</v>
      </c>
      <c r="B2551" s="1">
        <v>1</v>
      </c>
      <c r="C2551" s="65">
        <v>43516</v>
      </c>
      <c r="D2551" s="1">
        <v>1</v>
      </c>
    </row>
    <row r="2552" spans="1:4" x14ac:dyDescent="0.25">
      <c r="A2552" s="65">
        <v>43517</v>
      </c>
      <c r="B2552" s="1">
        <v>1</v>
      </c>
      <c r="C2552" s="65">
        <v>43517</v>
      </c>
      <c r="D2552" s="1">
        <v>1</v>
      </c>
    </row>
    <row r="2553" spans="1:4" x14ac:dyDescent="0.25">
      <c r="A2553" s="65">
        <v>43518</v>
      </c>
      <c r="B2553" s="1">
        <v>1</v>
      </c>
      <c r="C2553" s="65">
        <v>43518</v>
      </c>
      <c r="D2553" s="1">
        <v>1</v>
      </c>
    </row>
    <row r="2554" spans="1:4" x14ac:dyDescent="0.25">
      <c r="A2554" s="65">
        <v>43521</v>
      </c>
      <c r="B2554" s="1">
        <v>1</v>
      </c>
      <c r="C2554" s="65">
        <v>43521</v>
      </c>
      <c r="D2554" s="1">
        <v>1</v>
      </c>
    </row>
    <row r="2555" spans="1:4" x14ac:dyDescent="0.25">
      <c r="A2555" s="65">
        <v>43522</v>
      </c>
      <c r="B2555" s="1">
        <v>1</v>
      </c>
      <c r="C2555" s="65">
        <v>43522</v>
      </c>
      <c r="D2555" s="1">
        <v>1</v>
      </c>
    </row>
    <row r="2556" spans="1:4" x14ac:dyDescent="0.25">
      <c r="A2556" s="65">
        <v>43523</v>
      </c>
      <c r="B2556" s="1">
        <v>1</v>
      </c>
      <c r="C2556" s="65">
        <v>43523</v>
      </c>
      <c r="D2556" s="1">
        <v>1</v>
      </c>
    </row>
    <row r="2557" spans="1:4" x14ac:dyDescent="0.25">
      <c r="A2557" s="65">
        <v>43524</v>
      </c>
      <c r="B2557" s="1">
        <v>1</v>
      </c>
      <c r="C2557" s="65">
        <v>43524</v>
      </c>
      <c r="D2557" s="1">
        <v>1</v>
      </c>
    </row>
    <row r="2558" spans="1:4" x14ac:dyDescent="0.25">
      <c r="A2558" s="65">
        <v>43525</v>
      </c>
      <c r="B2558" s="1">
        <v>1</v>
      </c>
      <c r="C2558" s="65">
        <v>43525</v>
      </c>
      <c r="D2558" s="1">
        <v>1</v>
      </c>
    </row>
    <row r="2559" spans="1:4" x14ac:dyDescent="0.25">
      <c r="A2559" s="65">
        <v>43528</v>
      </c>
      <c r="B2559" s="1">
        <v>1</v>
      </c>
      <c r="C2559" s="65">
        <v>43528</v>
      </c>
      <c r="D2559" s="1">
        <v>1</v>
      </c>
    </row>
    <row r="2560" spans="1:4" x14ac:dyDescent="0.25">
      <c r="A2560" s="65">
        <v>43529</v>
      </c>
      <c r="B2560" s="1">
        <v>1</v>
      </c>
      <c r="C2560" s="65">
        <v>43529</v>
      </c>
      <c r="D2560" s="1">
        <v>1</v>
      </c>
    </row>
    <row r="2561" spans="1:4" x14ac:dyDescent="0.25">
      <c r="A2561" s="65">
        <v>43530</v>
      </c>
      <c r="B2561" s="1">
        <v>1</v>
      </c>
      <c r="C2561" s="65">
        <v>43530</v>
      </c>
      <c r="D2561" s="1">
        <v>1</v>
      </c>
    </row>
    <row r="2562" spans="1:4" x14ac:dyDescent="0.25">
      <c r="A2562" s="65">
        <v>43531</v>
      </c>
      <c r="B2562" s="1">
        <v>1</v>
      </c>
      <c r="C2562" s="65">
        <v>43531</v>
      </c>
      <c r="D2562" s="1">
        <v>1</v>
      </c>
    </row>
    <row r="2563" spans="1:4" x14ac:dyDescent="0.25">
      <c r="A2563" s="65">
        <v>43532</v>
      </c>
      <c r="B2563" s="1">
        <v>1</v>
      </c>
      <c r="C2563" s="65">
        <v>43532</v>
      </c>
      <c r="D2563" s="1">
        <v>1</v>
      </c>
    </row>
    <row r="2564" spans="1:4" x14ac:dyDescent="0.25">
      <c r="A2564" s="65">
        <v>43535</v>
      </c>
      <c r="B2564" s="1">
        <v>1</v>
      </c>
      <c r="C2564" s="65">
        <v>43535</v>
      </c>
      <c r="D2564" s="1">
        <v>1</v>
      </c>
    </row>
    <row r="2565" spans="1:4" x14ac:dyDescent="0.25">
      <c r="A2565" s="65">
        <v>43536</v>
      </c>
      <c r="B2565" s="1">
        <v>1</v>
      </c>
      <c r="C2565" s="65">
        <v>43536</v>
      </c>
      <c r="D2565" s="1">
        <v>1</v>
      </c>
    </row>
    <row r="2566" spans="1:4" x14ac:dyDescent="0.25">
      <c r="A2566" s="65">
        <v>43537</v>
      </c>
      <c r="B2566" s="1">
        <v>1</v>
      </c>
      <c r="C2566" s="65">
        <v>43537</v>
      </c>
      <c r="D2566" s="1">
        <v>1</v>
      </c>
    </row>
    <row r="2567" spans="1:4" x14ac:dyDescent="0.25">
      <c r="A2567" s="65">
        <v>43538</v>
      </c>
      <c r="B2567" s="1">
        <v>1</v>
      </c>
      <c r="C2567" s="65">
        <v>43538</v>
      </c>
      <c r="D2567" s="1">
        <v>1</v>
      </c>
    </row>
    <row r="2568" spans="1:4" x14ac:dyDescent="0.25">
      <c r="A2568" s="65">
        <v>43539</v>
      </c>
      <c r="B2568" s="1">
        <v>1</v>
      </c>
      <c r="C2568" s="65">
        <v>43539</v>
      </c>
      <c r="D2568" s="1">
        <v>1</v>
      </c>
    </row>
    <row r="2569" spans="1:4" x14ac:dyDescent="0.25">
      <c r="A2569" s="65">
        <v>43542</v>
      </c>
      <c r="B2569" s="1">
        <v>1</v>
      </c>
      <c r="C2569" s="65">
        <v>43542</v>
      </c>
      <c r="D2569" s="1">
        <v>1</v>
      </c>
    </row>
    <row r="2570" spans="1:4" x14ac:dyDescent="0.25">
      <c r="A2570" s="65">
        <v>43543</v>
      </c>
      <c r="B2570" s="1">
        <v>1</v>
      </c>
      <c r="C2570" s="65">
        <v>43543</v>
      </c>
      <c r="D2570" s="1">
        <v>1</v>
      </c>
    </row>
    <row r="2571" spans="1:4" x14ac:dyDescent="0.25">
      <c r="A2571" s="65">
        <v>43544</v>
      </c>
      <c r="B2571" s="1">
        <v>1</v>
      </c>
      <c r="C2571" s="65">
        <v>43544</v>
      </c>
      <c r="D2571" s="1">
        <v>1</v>
      </c>
    </row>
    <row r="2572" spans="1:4" x14ac:dyDescent="0.25">
      <c r="A2572" s="65">
        <v>43545</v>
      </c>
      <c r="B2572" s="1">
        <v>1</v>
      </c>
      <c r="C2572" s="65">
        <v>43545</v>
      </c>
      <c r="D2572" s="1">
        <v>1</v>
      </c>
    </row>
    <row r="2573" spans="1:4" x14ac:dyDescent="0.25">
      <c r="A2573" s="65">
        <v>43546</v>
      </c>
      <c r="B2573" s="1">
        <v>1</v>
      </c>
      <c r="C2573" s="65">
        <v>43546</v>
      </c>
      <c r="D2573" s="1">
        <v>1</v>
      </c>
    </row>
    <row r="2574" spans="1:4" x14ac:dyDescent="0.25">
      <c r="A2574" s="65">
        <v>43549</v>
      </c>
      <c r="B2574" s="1">
        <v>1</v>
      </c>
      <c r="C2574" s="65">
        <v>43549</v>
      </c>
      <c r="D2574" s="1">
        <v>1</v>
      </c>
    </row>
    <row r="2575" spans="1:4" x14ac:dyDescent="0.25">
      <c r="A2575" s="65">
        <v>43550</v>
      </c>
      <c r="B2575" s="1">
        <v>1</v>
      </c>
      <c r="C2575" s="65">
        <v>43550</v>
      </c>
      <c r="D2575" s="1">
        <v>1</v>
      </c>
    </row>
    <row r="2576" spans="1:4" x14ac:dyDescent="0.25">
      <c r="A2576" s="65">
        <v>43551</v>
      </c>
      <c r="B2576" s="1">
        <v>1</v>
      </c>
      <c r="C2576" s="65">
        <v>43551</v>
      </c>
      <c r="D2576" s="1">
        <v>1</v>
      </c>
    </row>
    <row r="2577" spans="1:4" x14ac:dyDescent="0.25">
      <c r="A2577" s="65">
        <v>43552</v>
      </c>
      <c r="B2577" s="1">
        <v>1</v>
      </c>
      <c r="C2577" s="65">
        <v>43552</v>
      </c>
      <c r="D2577" s="1">
        <v>1</v>
      </c>
    </row>
    <row r="2578" spans="1:4" x14ac:dyDescent="0.25">
      <c r="A2578" s="65">
        <v>43553</v>
      </c>
      <c r="B2578" s="1">
        <v>1</v>
      </c>
      <c r="C2578" s="65">
        <v>43553</v>
      </c>
      <c r="D2578" s="1">
        <v>1</v>
      </c>
    </row>
  </sheetData>
  <mergeCells count="1">
    <mergeCell ref="A1:B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oglio10">
    <tabColor theme="5" tint="-0.499984740745262"/>
  </sheetPr>
  <dimension ref="A1:BR2578"/>
  <sheetViews>
    <sheetView zoomScale="130" zoomScaleNormal="130" workbookViewId="0">
      <selection sqref="A1:B1"/>
    </sheetView>
  </sheetViews>
  <sheetFormatPr defaultColWidth="9.125" defaultRowHeight="10.9" x14ac:dyDescent="0.25"/>
  <cols>
    <col min="1" max="1" width="10.375" style="1" bestFit="1" customWidth="1"/>
    <col min="2" max="2" width="14.75" style="1" bestFit="1" customWidth="1"/>
    <col min="3" max="3" width="11.625" style="1" bestFit="1" customWidth="1"/>
    <col min="4" max="4" width="14.75" style="1" bestFit="1" customWidth="1"/>
    <col min="5" max="5" width="11.625" style="1" bestFit="1" customWidth="1"/>
    <col min="6" max="6" width="14.75" style="1" bestFit="1" customWidth="1"/>
    <col min="7" max="7" width="11.625" style="1" bestFit="1" customWidth="1"/>
    <col min="8" max="8" width="14.75" style="1" bestFit="1" customWidth="1"/>
    <col min="9" max="9" width="11.625" style="1" bestFit="1" customWidth="1"/>
    <col min="10" max="10" width="14.75" style="1" bestFit="1" customWidth="1"/>
    <col min="11" max="11" width="11.625" style="1" bestFit="1" customWidth="1"/>
    <col min="12" max="12" width="14.75" style="1" bestFit="1" customWidth="1"/>
    <col min="13" max="13" width="10.625" style="1" bestFit="1" customWidth="1"/>
    <col min="14" max="14" width="14.75" style="1" bestFit="1" customWidth="1"/>
    <col min="15" max="15" width="10.625" style="1" bestFit="1" customWidth="1"/>
    <col min="16" max="16" width="14.75" style="1" bestFit="1" customWidth="1"/>
    <col min="17" max="17" width="10.625" style="1" bestFit="1" customWidth="1"/>
    <col min="18" max="18" width="14.75" style="1" bestFit="1" customWidth="1"/>
    <col min="19" max="19" width="10.625" style="1" bestFit="1" customWidth="1"/>
    <col min="20" max="20" width="14.75" style="1" bestFit="1" customWidth="1"/>
    <col min="21" max="21" width="10.625" style="1" bestFit="1" customWidth="1"/>
    <col min="22" max="22" width="14.75" style="1" bestFit="1" customWidth="1"/>
    <col min="23" max="23" width="10.625" style="1" bestFit="1" customWidth="1"/>
    <col min="24" max="24" width="14.75" style="1" bestFit="1" customWidth="1"/>
    <col min="25" max="25" width="10.625" style="1" bestFit="1" customWidth="1"/>
    <col min="26" max="26" width="14.75" style="1" bestFit="1" customWidth="1"/>
    <col min="27" max="27" width="10.625" style="1" bestFit="1" customWidth="1"/>
    <col min="28" max="28" width="14.75" style="1" bestFit="1" customWidth="1"/>
    <col min="29" max="29" width="10.625" style="1" bestFit="1" customWidth="1"/>
    <col min="30" max="30" width="14.75" style="1" bestFit="1" customWidth="1"/>
    <col min="31" max="31" width="10.625" style="1" bestFit="1" customWidth="1"/>
    <col min="32" max="32" width="14.75" style="1" bestFit="1" customWidth="1"/>
    <col min="33" max="33" width="10.625" style="1" bestFit="1" customWidth="1"/>
    <col min="34" max="34" width="14.75" style="1" bestFit="1" customWidth="1"/>
    <col min="35" max="35" width="10.625" style="1" bestFit="1" customWidth="1"/>
    <col min="36" max="36" width="14.75" style="1" bestFit="1" customWidth="1"/>
    <col min="37" max="16384" width="9.125" style="1"/>
  </cols>
  <sheetData>
    <row r="1" spans="1:70" x14ac:dyDescent="0.25">
      <c r="A1" s="106" t="s">
        <v>52</v>
      </c>
      <c r="B1" s="106"/>
    </row>
    <row r="2" spans="1:70" x14ac:dyDescent="0.25">
      <c r="A2" s="13" t="s">
        <v>3</v>
      </c>
      <c r="B2" s="13">
        <f>'BLOOMBERG ASSETS'!B2</f>
        <v>10</v>
      </c>
      <c r="C2" s="13" t="s">
        <v>3</v>
      </c>
      <c r="D2" s="13">
        <f>'BLOOMBERG ASSETS'!D2</f>
        <v>10</v>
      </c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  <c r="AL2" s="24"/>
      <c r="AM2" s="24"/>
      <c r="AN2" s="24"/>
      <c r="AO2" s="24"/>
      <c r="AP2" s="24"/>
      <c r="AQ2" s="24"/>
      <c r="AR2" s="24"/>
      <c r="AS2" s="24"/>
      <c r="AT2" s="24"/>
      <c r="AU2" s="24"/>
      <c r="AV2" s="24"/>
      <c r="AW2" s="24"/>
      <c r="AX2" s="24"/>
      <c r="AY2" s="24"/>
      <c r="AZ2" s="24"/>
      <c r="BA2" s="24"/>
      <c r="BB2" s="24"/>
      <c r="BC2" s="24"/>
      <c r="BD2" s="24"/>
      <c r="BE2" s="24"/>
      <c r="BF2" s="24"/>
      <c r="BG2" s="24"/>
      <c r="BH2" s="24"/>
      <c r="BI2" s="24"/>
      <c r="BJ2" s="24"/>
      <c r="BK2" s="24"/>
      <c r="BL2" s="24"/>
      <c r="BM2" s="24"/>
      <c r="BN2" s="24"/>
      <c r="BO2" s="24"/>
      <c r="BP2" s="24"/>
      <c r="BQ2" s="24"/>
      <c r="BR2" s="24"/>
    </row>
    <row r="3" spans="1:70" x14ac:dyDescent="0.25">
      <c r="A3" s="13" t="s">
        <v>1</v>
      </c>
      <c r="B3" s="16">
        <f>DATE(YEAR(B4)-$B$2,MONTH(B4),DAY(B4)-1)</f>
        <v>39900</v>
      </c>
      <c r="C3" s="13" t="s">
        <v>1</v>
      </c>
      <c r="D3" s="16">
        <f>DATE(YEAR(D4)-$B$2,MONTH(D4),DAY(D4)-1)</f>
        <v>39900</v>
      </c>
      <c r="E3" s="24"/>
      <c r="F3" s="59"/>
      <c r="G3" s="24"/>
      <c r="H3" s="59"/>
      <c r="I3" s="24"/>
      <c r="J3" s="59"/>
      <c r="K3" s="24"/>
      <c r="L3" s="59"/>
      <c r="M3" s="24"/>
      <c r="N3" s="59"/>
      <c r="O3" s="24"/>
      <c r="P3" s="59"/>
      <c r="Q3" s="24"/>
      <c r="R3" s="59"/>
      <c r="S3" s="24"/>
      <c r="T3" s="59"/>
      <c r="U3" s="24"/>
      <c r="V3" s="59"/>
      <c r="W3" s="24"/>
      <c r="X3" s="59"/>
      <c r="Y3" s="24"/>
      <c r="Z3" s="59"/>
      <c r="AA3" s="24"/>
      <c r="AB3" s="59"/>
      <c r="AC3" s="24"/>
      <c r="AD3" s="59"/>
      <c r="AE3" s="24"/>
      <c r="AF3" s="59"/>
      <c r="AG3" s="24"/>
      <c r="AH3" s="59"/>
      <c r="AI3" s="24"/>
      <c r="AJ3" s="59"/>
      <c r="AK3" s="24"/>
      <c r="AL3" s="59"/>
      <c r="AM3" s="24"/>
      <c r="AN3" s="59"/>
      <c r="AO3" s="24"/>
      <c r="AP3" s="59"/>
      <c r="AQ3" s="24"/>
      <c r="AR3" s="59"/>
      <c r="AS3" s="24"/>
      <c r="AT3" s="59"/>
      <c r="AU3" s="24"/>
      <c r="AV3" s="59"/>
      <c r="AW3" s="24"/>
      <c r="AX3" s="59"/>
      <c r="AY3" s="24"/>
      <c r="AZ3" s="59"/>
      <c r="BA3" s="24"/>
      <c r="BB3" s="59"/>
      <c r="BC3" s="24"/>
      <c r="BD3" s="59"/>
      <c r="BE3" s="24"/>
      <c r="BF3" s="59"/>
      <c r="BG3" s="24"/>
      <c r="BH3" s="59"/>
      <c r="BI3" s="24"/>
      <c r="BJ3" s="59"/>
      <c r="BK3" s="24"/>
      <c r="BL3" s="59"/>
      <c r="BM3" s="24"/>
      <c r="BN3" s="59"/>
      <c r="BO3" s="24"/>
      <c r="BP3" s="59"/>
      <c r="BQ3" s="24"/>
      <c r="BR3" s="59"/>
    </row>
    <row r="4" spans="1:70" x14ac:dyDescent="0.25">
      <c r="A4" s="13" t="s">
        <v>2</v>
      </c>
      <c r="B4" s="25">
        <f>'UNDERLYING INFO'!$B$1</f>
        <v>43553</v>
      </c>
      <c r="C4" s="13" t="s">
        <v>2</v>
      </c>
      <c r="D4" s="25">
        <f>'UNDERLYING INFO'!$B$1</f>
        <v>43553</v>
      </c>
      <c r="E4" s="24"/>
      <c r="F4" s="25"/>
      <c r="G4" s="24"/>
      <c r="H4" s="25"/>
      <c r="I4" s="24"/>
      <c r="J4" s="25"/>
      <c r="K4" s="24"/>
      <c r="L4" s="25"/>
      <c r="M4" s="24"/>
      <c r="N4" s="25"/>
      <c r="O4" s="24"/>
      <c r="P4" s="25"/>
      <c r="Q4" s="24"/>
      <c r="R4" s="25"/>
      <c r="S4" s="24"/>
      <c r="T4" s="25"/>
      <c r="U4" s="24"/>
      <c r="V4" s="25"/>
      <c r="W4" s="24"/>
      <c r="X4" s="25"/>
      <c r="Y4" s="24"/>
      <c r="Z4" s="25"/>
      <c r="AA4" s="24"/>
      <c r="AB4" s="25"/>
      <c r="AC4" s="24"/>
      <c r="AD4" s="25"/>
      <c r="AE4" s="24"/>
      <c r="AF4" s="25"/>
      <c r="AG4" s="24"/>
      <c r="AH4" s="25"/>
      <c r="AI4" s="24"/>
      <c r="AJ4" s="25"/>
      <c r="AK4" s="24"/>
      <c r="AL4" s="25"/>
      <c r="AM4" s="24"/>
      <c r="AN4" s="25"/>
      <c r="AO4" s="24"/>
      <c r="AP4" s="25"/>
      <c r="AQ4" s="24"/>
      <c r="AR4" s="25"/>
      <c r="AS4" s="24"/>
      <c r="AT4" s="25"/>
      <c r="AU4" s="24"/>
      <c r="AV4" s="25"/>
      <c r="AW4" s="24"/>
      <c r="AX4" s="25"/>
      <c r="AY4" s="24"/>
      <c r="AZ4" s="25"/>
      <c r="BA4" s="24"/>
      <c r="BB4" s="25"/>
      <c r="BC4" s="24"/>
      <c r="BD4" s="25"/>
      <c r="BE4" s="24"/>
      <c r="BF4" s="25"/>
      <c r="BG4" s="24"/>
      <c r="BH4" s="25"/>
      <c r="BI4" s="24"/>
      <c r="BJ4" s="25"/>
      <c r="BK4" s="24"/>
      <c r="BL4" s="25"/>
      <c r="BM4" s="24"/>
      <c r="BN4" s="25"/>
      <c r="BO4" s="24"/>
      <c r="BP4" s="25"/>
      <c r="BQ4" s="24"/>
      <c r="BR4" s="25"/>
    </row>
    <row r="5" spans="1:70" x14ac:dyDescent="0.25">
      <c r="A5" s="13" t="s">
        <v>46</v>
      </c>
      <c r="B5" s="26" t="str">
        <f>'UNDERLYING INFO'!B7</f>
        <v>D</v>
      </c>
      <c r="C5" s="13" t="s">
        <v>46</v>
      </c>
      <c r="D5" s="26" t="str">
        <f>'UNDERLYING INFO'!D7</f>
        <v>D</v>
      </c>
      <c r="E5" s="24"/>
      <c r="F5" s="26"/>
      <c r="G5" s="24"/>
      <c r="H5" s="26"/>
      <c r="I5" s="24"/>
      <c r="J5" s="26"/>
      <c r="K5" s="24"/>
      <c r="L5" s="26"/>
      <c r="M5" s="24"/>
      <c r="N5" s="26"/>
      <c r="O5" s="24"/>
      <c r="P5" s="26"/>
      <c r="Q5" s="24"/>
      <c r="R5" s="26"/>
      <c r="S5" s="24"/>
      <c r="T5" s="26"/>
      <c r="U5" s="24"/>
      <c r="V5" s="26"/>
      <c r="W5" s="24"/>
      <c r="X5" s="26"/>
      <c r="Y5" s="24"/>
      <c r="Z5" s="26"/>
      <c r="AA5" s="24"/>
      <c r="AB5" s="26"/>
      <c r="AC5" s="24"/>
      <c r="AD5" s="26"/>
      <c r="AE5" s="24"/>
      <c r="AF5" s="26"/>
      <c r="AG5" s="24"/>
      <c r="AH5" s="26"/>
      <c r="AI5" s="24"/>
      <c r="AJ5" s="26"/>
      <c r="AK5" s="24"/>
      <c r="AL5" s="26"/>
      <c r="AM5" s="24"/>
      <c r="AN5" s="26"/>
      <c r="AO5" s="24"/>
      <c r="AP5" s="26"/>
      <c r="AQ5" s="24"/>
      <c r="AR5" s="26"/>
      <c r="AS5" s="24"/>
      <c r="AT5" s="26"/>
      <c r="AU5" s="24"/>
      <c r="AV5" s="26"/>
      <c r="AW5" s="24"/>
      <c r="AX5" s="26"/>
      <c r="AY5" s="24"/>
      <c r="AZ5" s="26"/>
      <c r="BA5" s="24"/>
      <c r="BB5" s="26"/>
      <c r="BC5" s="24"/>
      <c r="BD5" s="26"/>
      <c r="BE5" s="24"/>
      <c r="BF5" s="26"/>
      <c r="BG5" s="24"/>
      <c r="BH5" s="26"/>
      <c r="BI5" s="24"/>
      <c r="BJ5" s="26"/>
      <c r="BK5" s="24"/>
      <c r="BL5" s="26"/>
      <c r="BM5" s="24"/>
      <c r="BN5" s="26"/>
      <c r="BO5" s="24"/>
      <c r="BP5" s="26"/>
      <c r="BQ5" s="24"/>
      <c r="BR5" s="26"/>
    </row>
    <row r="6" spans="1:70" x14ac:dyDescent="0.25">
      <c r="A6" s="13" t="s">
        <v>48</v>
      </c>
      <c r="B6" s="26" t="str">
        <f>'UNDERLYING INFO'!B6</f>
        <v>EUR</v>
      </c>
      <c r="C6" s="13" t="s">
        <v>48</v>
      </c>
      <c r="D6" s="26" t="str">
        <f>'UNDERLYING INFO'!D6</f>
        <v>EUR</v>
      </c>
      <c r="E6" s="24"/>
      <c r="F6" s="26"/>
      <c r="G6" s="24"/>
      <c r="H6" s="26"/>
      <c r="I6" s="24"/>
      <c r="J6" s="26"/>
      <c r="K6" s="24"/>
      <c r="L6" s="26"/>
      <c r="M6" s="24"/>
      <c r="N6" s="26"/>
      <c r="O6" s="24"/>
      <c r="P6" s="26"/>
      <c r="Q6" s="24"/>
      <c r="R6" s="26"/>
      <c r="S6" s="24"/>
      <c r="T6" s="26"/>
      <c r="U6" s="24"/>
      <c r="V6" s="26"/>
      <c r="W6" s="24"/>
      <c r="X6" s="26"/>
      <c r="Y6" s="24"/>
      <c r="Z6" s="26"/>
      <c r="AA6" s="24"/>
      <c r="AB6" s="26"/>
      <c r="AC6" s="24"/>
      <c r="AD6" s="26"/>
      <c r="AE6" s="24"/>
      <c r="AF6" s="26"/>
      <c r="AG6" s="24"/>
      <c r="AH6" s="26"/>
      <c r="AI6" s="24"/>
      <c r="AJ6" s="26"/>
      <c r="AK6" s="24"/>
      <c r="AL6" s="26"/>
      <c r="AM6" s="24"/>
      <c r="AN6" s="26"/>
      <c r="AO6" s="24"/>
      <c r="AP6" s="26"/>
      <c r="AQ6" s="24"/>
      <c r="AR6" s="26"/>
      <c r="AS6" s="24"/>
      <c r="AT6" s="26"/>
      <c r="AU6" s="24"/>
      <c r="AV6" s="26"/>
      <c r="AW6" s="24"/>
      <c r="AX6" s="26"/>
      <c r="AY6" s="24"/>
      <c r="AZ6" s="26"/>
      <c r="BA6" s="24"/>
      <c r="BB6" s="26"/>
      <c r="BC6" s="24"/>
      <c r="BD6" s="26"/>
      <c r="BE6" s="24"/>
      <c r="BF6" s="26"/>
      <c r="BG6" s="24"/>
      <c r="BH6" s="26"/>
      <c r="BI6" s="24"/>
      <c r="BJ6" s="26"/>
      <c r="BK6" s="24"/>
      <c r="BL6" s="26"/>
      <c r="BM6" s="24"/>
      <c r="BN6" s="26"/>
      <c r="BO6" s="24"/>
      <c r="BP6" s="26"/>
      <c r="BQ6" s="24"/>
      <c r="BR6" s="26"/>
    </row>
    <row r="7" spans="1:70" x14ac:dyDescent="0.25">
      <c r="A7" s="13" t="s">
        <v>49</v>
      </c>
      <c r="B7" s="26"/>
      <c r="C7" s="13" t="s">
        <v>49</v>
      </c>
      <c r="D7" s="26"/>
      <c r="E7" s="24"/>
      <c r="F7" s="26"/>
      <c r="G7" s="24"/>
      <c r="H7" s="26"/>
      <c r="I7" s="24"/>
      <c r="J7" s="26"/>
      <c r="K7" s="24"/>
      <c r="L7" s="26"/>
      <c r="M7" s="24"/>
      <c r="N7" s="26"/>
      <c r="O7" s="24"/>
      <c r="P7" s="26"/>
      <c r="Q7" s="24"/>
      <c r="R7" s="26"/>
      <c r="S7" s="24"/>
      <c r="T7" s="26"/>
      <c r="U7" s="24"/>
      <c r="V7" s="26"/>
      <c r="W7" s="24"/>
      <c r="X7" s="26"/>
      <c r="Y7" s="24"/>
      <c r="Z7" s="26"/>
      <c r="AA7" s="24"/>
      <c r="AB7" s="26"/>
      <c r="AC7" s="24"/>
      <c r="AD7" s="26"/>
      <c r="AE7" s="24"/>
      <c r="AF7" s="26"/>
      <c r="AG7" s="24"/>
      <c r="AH7" s="26"/>
      <c r="AI7" s="24"/>
      <c r="AJ7" s="26"/>
      <c r="AK7" s="24"/>
      <c r="AL7" s="26"/>
      <c r="AM7" s="24"/>
      <c r="AN7" s="26"/>
      <c r="AO7" s="24"/>
      <c r="AP7" s="26"/>
      <c r="AQ7" s="24"/>
      <c r="AR7" s="26"/>
      <c r="AS7" s="24"/>
      <c r="AT7" s="26"/>
      <c r="AU7" s="24"/>
      <c r="AV7" s="26"/>
      <c r="AW7" s="24"/>
      <c r="AX7" s="26"/>
      <c r="AY7" s="24"/>
      <c r="AZ7" s="26"/>
      <c r="BA7" s="24"/>
      <c r="BB7" s="26"/>
      <c r="BC7" s="24"/>
      <c r="BD7" s="26"/>
      <c r="BE7" s="24"/>
      <c r="BF7" s="26"/>
      <c r="BG7" s="24"/>
      <c r="BH7" s="26"/>
      <c r="BI7" s="24"/>
      <c r="BJ7" s="26"/>
      <c r="BK7" s="24"/>
      <c r="BL7" s="26"/>
      <c r="BM7" s="24"/>
      <c r="BN7" s="26"/>
      <c r="BO7" s="24"/>
      <c r="BP7" s="26"/>
      <c r="BQ7" s="24"/>
      <c r="BR7" s="26"/>
    </row>
    <row r="8" spans="1:70" x14ac:dyDescent="0.25">
      <c r="A8" s="13" t="str">
        <f>CONCATENATE('UNDERLYING INFO'!B4," ",'UNDERLYING INFO'!B5)</f>
        <v>SX5E Index</v>
      </c>
      <c r="B8" s="27">
        <f>AVERAGE(B11:B10000)</f>
        <v>4.0085447040498421</v>
      </c>
      <c r="C8" s="13" t="str">
        <f>CONCATENATE('UNDERLYING INFO'!D4," ",'UNDERLYING INFO'!D5)</f>
        <v>FTSEMIB Index</v>
      </c>
      <c r="D8" s="27">
        <f>AVERAGE(D11:D10000)</f>
        <v>3.6529127559055206</v>
      </c>
      <c r="E8" s="24"/>
      <c r="F8" s="27"/>
      <c r="G8" s="24"/>
      <c r="H8" s="27"/>
      <c r="I8" s="24"/>
      <c r="J8" s="27"/>
      <c r="K8" s="24"/>
      <c r="L8" s="27"/>
      <c r="M8" s="24"/>
      <c r="N8" s="27"/>
      <c r="O8" s="24"/>
      <c r="P8" s="27"/>
      <c r="Q8" s="24"/>
      <c r="R8" s="27"/>
      <c r="S8" s="24"/>
      <c r="T8" s="27"/>
      <c r="U8" s="24"/>
      <c r="V8" s="27"/>
      <c r="W8" s="24"/>
      <c r="X8" s="27"/>
      <c r="Y8" s="24"/>
      <c r="Z8" s="27"/>
      <c r="AA8" s="24"/>
      <c r="AB8" s="27"/>
      <c r="AC8" s="24"/>
      <c r="AD8" s="27"/>
      <c r="AE8" s="24"/>
      <c r="AF8" s="27"/>
      <c r="AG8" s="24"/>
      <c r="AH8" s="27"/>
      <c r="AI8" s="24"/>
      <c r="AJ8" s="27"/>
      <c r="AK8" s="24"/>
      <c r="AL8" s="27"/>
      <c r="AM8" s="24"/>
      <c r="AN8" s="27"/>
      <c r="AO8" s="24"/>
      <c r="AP8" s="27"/>
      <c r="AQ8" s="24"/>
      <c r="AR8" s="27"/>
      <c r="AS8" s="24"/>
      <c r="AT8" s="27"/>
      <c r="AU8" s="24"/>
      <c r="AV8" s="27"/>
      <c r="AW8" s="24"/>
      <c r="AX8" s="27"/>
      <c r="AY8" s="24"/>
      <c r="AZ8" s="27"/>
      <c r="BA8" s="24"/>
      <c r="BB8" s="27"/>
      <c r="BC8" s="24"/>
      <c r="BD8" s="27"/>
      <c r="BE8" s="24"/>
      <c r="BF8" s="27"/>
      <c r="BG8" s="24"/>
      <c r="BH8" s="27"/>
      <c r="BI8" s="24"/>
      <c r="BJ8" s="27"/>
      <c r="BK8" s="24"/>
      <c r="BL8" s="27"/>
      <c r="BM8" s="24"/>
      <c r="BN8" s="27"/>
      <c r="BO8" s="24"/>
      <c r="BP8" s="27"/>
      <c r="BQ8" s="24"/>
      <c r="BR8" s="27"/>
    </row>
    <row r="9" spans="1:70" x14ac:dyDescent="0.25">
      <c r="A9" s="13" t="s">
        <v>0</v>
      </c>
      <c r="B9" s="13" t="s">
        <v>43</v>
      </c>
      <c r="C9" s="13" t="s">
        <v>0</v>
      </c>
      <c r="D9" s="13" t="s">
        <v>43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</row>
    <row r="10" spans="1:70" x14ac:dyDescent="0.25">
      <c r="A10" s="59">
        <v>39902</v>
      </c>
      <c r="B10" s="60">
        <v>7.8756000000000004</v>
      </c>
      <c r="C10" s="59">
        <v>39902</v>
      </c>
      <c r="D10" s="60">
        <v>11.384399999999999</v>
      </c>
      <c r="E10" s="59"/>
      <c r="F10" s="60"/>
      <c r="G10" s="59"/>
      <c r="H10" s="60"/>
      <c r="I10" s="59"/>
      <c r="J10" s="60"/>
      <c r="K10" s="59"/>
      <c r="L10" s="60"/>
      <c r="M10" s="59"/>
      <c r="N10" s="60"/>
      <c r="O10" s="59"/>
      <c r="P10" s="60"/>
      <c r="Q10" s="59"/>
      <c r="R10" s="60"/>
      <c r="S10" s="59"/>
      <c r="T10" s="60"/>
      <c r="U10" s="59"/>
      <c r="V10" s="60"/>
      <c r="W10" s="59"/>
      <c r="X10" s="60"/>
      <c r="Y10" s="59"/>
      <c r="Z10" s="60"/>
      <c r="AA10" s="59"/>
      <c r="AB10" s="60"/>
      <c r="AC10" s="59"/>
      <c r="AD10" s="60"/>
      <c r="AE10" s="59"/>
      <c r="AF10" s="60"/>
      <c r="AG10" s="59"/>
      <c r="AH10" s="60"/>
      <c r="AI10" s="59"/>
      <c r="AJ10" s="60"/>
      <c r="AK10" s="59"/>
      <c r="AL10" s="60"/>
      <c r="AM10" s="30"/>
      <c r="AN10" s="24"/>
      <c r="AO10" s="30"/>
      <c r="AP10" s="24"/>
      <c r="AQ10" s="30"/>
      <c r="AR10" s="24"/>
      <c r="AS10" s="30"/>
      <c r="AT10" s="24"/>
      <c r="AU10" s="30"/>
      <c r="AV10" s="24"/>
      <c r="AW10" s="30"/>
      <c r="AX10" s="24"/>
      <c r="AY10" s="30"/>
      <c r="AZ10" s="24"/>
      <c r="BA10" s="30"/>
      <c r="BB10" s="24"/>
      <c r="BC10" s="30"/>
      <c r="BD10" s="24"/>
      <c r="BE10" s="30"/>
      <c r="BF10" s="24"/>
      <c r="BG10" s="30"/>
      <c r="BH10" s="24"/>
      <c r="BI10" s="30"/>
      <c r="BJ10" s="24"/>
      <c r="BK10" s="30"/>
      <c r="BL10" s="24"/>
      <c r="BM10" s="30"/>
      <c r="BN10" s="24"/>
      <c r="BO10" s="30"/>
      <c r="BP10" s="24"/>
      <c r="BQ10" s="30"/>
      <c r="BR10" s="24"/>
    </row>
    <row r="11" spans="1:70" x14ac:dyDescent="0.25">
      <c r="A11" s="2">
        <v>39903</v>
      </c>
      <c r="B11" s="3">
        <v>7.6454000000000004</v>
      </c>
      <c r="C11" s="65">
        <v>39903</v>
      </c>
      <c r="D11" s="1">
        <v>10.9498</v>
      </c>
    </row>
    <row r="12" spans="1:70" x14ac:dyDescent="0.25">
      <c r="A12" s="2">
        <v>39904</v>
      </c>
      <c r="B12" s="3">
        <v>7.5491000000000001</v>
      </c>
      <c r="C12" s="65">
        <v>39904</v>
      </c>
      <c r="D12" s="1">
        <v>10.8324</v>
      </c>
    </row>
    <row r="13" spans="1:70" x14ac:dyDescent="0.25">
      <c r="A13" s="2">
        <v>39905</v>
      </c>
      <c r="B13" s="3">
        <v>7.1440000000000001</v>
      </c>
      <c r="C13" s="65">
        <v>39905</v>
      </c>
      <c r="D13" s="1">
        <v>10.3401</v>
      </c>
    </row>
    <row r="14" spans="1:70" x14ac:dyDescent="0.25">
      <c r="A14" s="2">
        <v>39906</v>
      </c>
      <c r="B14" s="3">
        <v>7.2016999999999998</v>
      </c>
      <c r="C14" s="65">
        <v>39906</v>
      </c>
      <c r="D14" s="1">
        <v>10.2857</v>
      </c>
    </row>
    <row r="15" spans="1:70" x14ac:dyDescent="0.25">
      <c r="A15" s="2">
        <v>39909</v>
      </c>
      <c r="B15" s="3">
        <v>7.2645</v>
      </c>
      <c r="C15" s="65">
        <v>39909</v>
      </c>
      <c r="D15" s="1">
        <v>10.415100000000001</v>
      </c>
    </row>
    <row r="16" spans="1:70" x14ac:dyDescent="0.25">
      <c r="A16" s="2">
        <v>39910</v>
      </c>
      <c r="B16" s="3">
        <v>7.3121</v>
      </c>
      <c r="C16" s="65">
        <v>39910</v>
      </c>
      <c r="D16" s="1">
        <v>10.4961</v>
      </c>
    </row>
    <row r="17" spans="1:4" x14ac:dyDescent="0.25">
      <c r="A17" s="2">
        <v>39911</v>
      </c>
      <c r="B17" s="3">
        <v>7.2411000000000003</v>
      </c>
      <c r="C17" s="65">
        <v>39911</v>
      </c>
      <c r="D17" s="1">
        <v>10.261799999999999</v>
      </c>
    </row>
    <row r="18" spans="1:4" x14ac:dyDescent="0.25">
      <c r="A18" s="2">
        <v>39912</v>
      </c>
      <c r="B18" s="3">
        <v>6.9364999999999997</v>
      </c>
      <c r="C18" s="65">
        <v>39912</v>
      </c>
      <c r="D18" s="1">
        <v>9.9855999999999998</v>
      </c>
    </row>
    <row r="19" spans="1:4" x14ac:dyDescent="0.25">
      <c r="A19" s="2">
        <v>39917</v>
      </c>
      <c r="B19" s="3">
        <v>6.8429000000000002</v>
      </c>
      <c r="C19" s="65">
        <v>39917</v>
      </c>
      <c r="D19" s="1">
        <v>9.7570999999999994</v>
      </c>
    </row>
    <row r="20" spans="1:4" x14ac:dyDescent="0.25">
      <c r="A20" s="2">
        <v>39918</v>
      </c>
      <c r="B20" s="3">
        <v>6.8902999999999999</v>
      </c>
      <c r="C20" s="65">
        <v>39918</v>
      </c>
      <c r="D20" s="1">
        <v>9.7592999999999996</v>
      </c>
    </row>
    <row r="21" spans="1:4" x14ac:dyDescent="0.25">
      <c r="A21" s="2">
        <v>39919</v>
      </c>
      <c r="B21" s="3">
        <v>6.7778999999999998</v>
      </c>
      <c r="C21" s="65">
        <v>39919</v>
      </c>
      <c r="D21" s="1">
        <v>9.5754000000000001</v>
      </c>
    </row>
    <row r="22" spans="1:4" x14ac:dyDescent="0.25">
      <c r="A22" s="2">
        <v>39920</v>
      </c>
      <c r="B22" s="3">
        <v>6.6601999999999997</v>
      </c>
      <c r="C22" s="65">
        <v>39920</v>
      </c>
      <c r="D22" s="1">
        <v>9.3910999999999998</v>
      </c>
    </row>
    <row r="23" spans="1:4" x14ac:dyDescent="0.25">
      <c r="A23" s="2">
        <v>39923</v>
      </c>
      <c r="B23" s="3">
        <v>6.9053000000000004</v>
      </c>
      <c r="C23" s="65">
        <v>39923</v>
      </c>
      <c r="D23" s="1">
        <v>9.6736000000000004</v>
      </c>
    </row>
    <row r="24" spans="1:4" x14ac:dyDescent="0.25">
      <c r="A24" s="2">
        <v>39924</v>
      </c>
      <c r="B24" s="3">
        <v>6.9244000000000003</v>
      </c>
      <c r="C24" s="65">
        <v>39924</v>
      </c>
      <c r="D24" s="1">
        <v>9.6972000000000005</v>
      </c>
    </row>
    <row r="25" spans="1:4" x14ac:dyDescent="0.25">
      <c r="A25" s="2">
        <v>39925</v>
      </c>
      <c r="B25" s="3">
        <v>6.7969999999999997</v>
      </c>
      <c r="C25" s="65">
        <v>39925</v>
      </c>
      <c r="D25" s="1">
        <v>9.4839000000000002</v>
      </c>
    </row>
    <row r="26" spans="1:4" x14ac:dyDescent="0.25">
      <c r="A26" s="2">
        <v>39926</v>
      </c>
      <c r="B26" s="3">
        <v>6.9351000000000003</v>
      </c>
      <c r="C26" s="65">
        <v>39926</v>
      </c>
      <c r="D26" s="1">
        <v>9.2859999999999996</v>
      </c>
    </row>
    <row r="27" spans="1:4" x14ac:dyDescent="0.25">
      <c r="A27" s="2">
        <v>39927</v>
      </c>
      <c r="B27" s="3">
        <v>6.6765999999999996</v>
      </c>
      <c r="C27" s="65">
        <v>39927</v>
      </c>
      <c r="D27" s="1">
        <v>9.0337999999999994</v>
      </c>
    </row>
    <row r="28" spans="1:4" x14ac:dyDescent="0.25">
      <c r="A28" s="2">
        <v>39930</v>
      </c>
      <c r="B28" s="3">
        <v>6.6838999999999995</v>
      </c>
      <c r="C28" s="65">
        <v>39930</v>
      </c>
      <c r="D28" s="1">
        <v>8.9512</v>
      </c>
    </row>
    <row r="29" spans="1:4" x14ac:dyDescent="0.25">
      <c r="A29" s="2">
        <v>39931</v>
      </c>
      <c r="B29" s="3">
        <v>6.7919</v>
      </c>
      <c r="C29" s="65">
        <v>39931</v>
      </c>
      <c r="D29" s="1">
        <v>9.1088000000000005</v>
      </c>
    </row>
    <row r="30" spans="1:4" x14ac:dyDescent="0.25">
      <c r="A30" s="2">
        <v>39932</v>
      </c>
      <c r="B30" s="3">
        <v>6.6345999999999998</v>
      </c>
      <c r="C30" s="65">
        <v>39932</v>
      </c>
      <c r="D30" s="1">
        <v>8.9131999999999998</v>
      </c>
    </row>
    <row r="31" spans="1:4" x14ac:dyDescent="0.25">
      <c r="A31" s="2">
        <v>39933</v>
      </c>
      <c r="B31" s="3">
        <v>6.3114999999999997</v>
      </c>
      <c r="C31" s="65">
        <v>39933</v>
      </c>
      <c r="D31" s="1">
        <v>8.7864000000000004</v>
      </c>
    </row>
    <row r="32" spans="1:4" x14ac:dyDescent="0.25">
      <c r="A32" s="2">
        <v>39934</v>
      </c>
      <c r="B32" s="3">
        <v>6.3114999999999997</v>
      </c>
      <c r="C32" s="65">
        <v>39937</v>
      </c>
      <c r="D32" s="1">
        <v>8.5130999999999997</v>
      </c>
    </row>
    <row r="33" spans="1:4" x14ac:dyDescent="0.25">
      <c r="A33" s="2">
        <v>39937</v>
      </c>
      <c r="B33" s="3">
        <v>6.1955999999999998</v>
      </c>
      <c r="C33" s="65">
        <v>39938</v>
      </c>
      <c r="D33" s="1">
        <v>8.5594000000000001</v>
      </c>
    </row>
    <row r="34" spans="1:4" x14ac:dyDescent="0.25">
      <c r="A34" s="2">
        <v>39938</v>
      </c>
      <c r="B34" s="3">
        <v>6.2263999999999999</v>
      </c>
      <c r="C34" s="65">
        <v>39939</v>
      </c>
      <c r="D34" s="1">
        <v>8.3810000000000002</v>
      </c>
    </row>
    <row r="35" spans="1:4" x14ac:dyDescent="0.25">
      <c r="A35" s="2">
        <v>39939</v>
      </c>
      <c r="B35" s="3">
        <v>6.1337999999999999</v>
      </c>
      <c r="C35" s="65">
        <v>39940</v>
      </c>
      <c r="D35" s="1">
        <v>8.5036000000000005</v>
      </c>
    </row>
    <row r="36" spans="1:4" x14ac:dyDescent="0.25">
      <c r="A36" s="2">
        <v>39940</v>
      </c>
      <c r="B36" s="3">
        <v>6.0209000000000001</v>
      </c>
      <c r="C36" s="65">
        <v>39941</v>
      </c>
      <c r="D36" s="1">
        <v>8.2157</v>
      </c>
    </row>
    <row r="37" spans="1:4" x14ac:dyDescent="0.25">
      <c r="A37" s="2">
        <v>39941</v>
      </c>
      <c r="B37" s="3">
        <v>5.8832000000000004</v>
      </c>
      <c r="C37" s="65">
        <v>39944</v>
      </c>
      <c r="D37" s="1">
        <v>8.3411000000000008</v>
      </c>
    </row>
    <row r="38" spans="1:4" x14ac:dyDescent="0.25">
      <c r="A38" s="2">
        <v>39944</v>
      </c>
      <c r="B38" s="3">
        <v>5.9527999999999999</v>
      </c>
      <c r="C38" s="65">
        <v>39945</v>
      </c>
      <c r="D38" s="1">
        <v>8.2850000000000001</v>
      </c>
    </row>
    <row r="39" spans="1:4" x14ac:dyDescent="0.25">
      <c r="A39" s="2">
        <v>39945</v>
      </c>
      <c r="B39" s="3">
        <v>6.0176999999999996</v>
      </c>
      <c r="C39" s="65">
        <v>39946</v>
      </c>
      <c r="D39" s="1">
        <v>8.6937999999999995</v>
      </c>
    </row>
    <row r="40" spans="1:4" x14ac:dyDescent="0.25">
      <c r="A40" s="2">
        <v>39946</v>
      </c>
      <c r="B40" s="3">
        <v>6.1963999999999997</v>
      </c>
      <c r="C40" s="65">
        <v>39947</v>
      </c>
      <c r="D40" s="1">
        <v>8.7431999999999999</v>
      </c>
    </row>
    <row r="41" spans="1:4" x14ac:dyDescent="0.25">
      <c r="A41" s="2">
        <v>39947</v>
      </c>
      <c r="B41" s="3">
        <v>6.2062999999999997</v>
      </c>
      <c r="C41" s="65">
        <v>39948</v>
      </c>
      <c r="D41" s="1">
        <v>8.6192999999999991</v>
      </c>
    </row>
    <row r="42" spans="1:4" x14ac:dyDescent="0.25">
      <c r="A42" s="2">
        <v>39948</v>
      </c>
      <c r="B42" s="3">
        <v>6.1786000000000003</v>
      </c>
      <c r="C42" s="65">
        <v>39951</v>
      </c>
      <c r="D42" s="1">
        <v>7.3087</v>
      </c>
    </row>
    <row r="43" spans="1:4" x14ac:dyDescent="0.25">
      <c r="A43" s="2">
        <v>39951</v>
      </c>
      <c r="B43" s="3">
        <v>5.8883000000000001</v>
      </c>
      <c r="C43" s="65">
        <v>39952</v>
      </c>
      <c r="D43" s="1">
        <v>7.2294999999999998</v>
      </c>
    </row>
    <row r="44" spans="1:4" x14ac:dyDescent="0.25">
      <c r="A44" s="2">
        <v>39952</v>
      </c>
      <c r="B44" s="3">
        <v>5.8123000000000005</v>
      </c>
      <c r="C44" s="65">
        <v>39953</v>
      </c>
      <c r="D44" s="1">
        <v>5.4668999999999999</v>
      </c>
    </row>
    <row r="45" spans="1:4" x14ac:dyDescent="0.25">
      <c r="A45" s="2">
        <v>39953</v>
      </c>
      <c r="B45" s="3">
        <v>5.3311000000000002</v>
      </c>
      <c r="C45" s="65">
        <v>39954</v>
      </c>
      <c r="D45" s="1">
        <v>3.8593000000000002</v>
      </c>
    </row>
    <row r="46" spans="1:4" x14ac:dyDescent="0.25">
      <c r="A46" s="2">
        <v>39954</v>
      </c>
      <c r="B46" s="3">
        <v>5.2013999999999996</v>
      </c>
      <c r="C46" s="65">
        <v>39955</v>
      </c>
      <c r="D46" s="1">
        <v>3.8353000000000002</v>
      </c>
    </row>
    <row r="47" spans="1:4" x14ac:dyDescent="0.25">
      <c r="A47" s="2">
        <v>39955</v>
      </c>
      <c r="B47" s="3">
        <v>5.1760999999999999</v>
      </c>
      <c r="C47" s="65">
        <v>39958</v>
      </c>
      <c r="D47" s="1">
        <v>3.8308999999999997</v>
      </c>
    </row>
    <row r="48" spans="1:4" x14ac:dyDescent="0.25">
      <c r="A48" s="2">
        <v>39958</v>
      </c>
      <c r="B48" s="3">
        <v>5.1618000000000004</v>
      </c>
      <c r="C48" s="65">
        <v>39959</v>
      </c>
      <c r="D48" s="1">
        <v>3.7686999999999999</v>
      </c>
    </row>
    <row r="49" spans="1:4" x14ac:dyDescent="0.25">
      <c r="A49" s="2">
        <v>39959</v>
      </c>
      <c r="B49" s="3">
        <v>5.1028000000000002</v>
      </c>
      <c r="C49" s="65">
        <v>39960</v>
      </c>
      <c r="D49" s="1">
        <v>3.7659000000000002</v>
      </c>
    </row>
    <row r="50" spans="1:4" x14ac:dyDescent="0.25">
      <c r="A50" s="2">
        <v>39960</v>
      </c>
      <c r="B50" s="3">
        <v>4.8628999999999998</v>
      </c>
      <c r="C50" s="65">
        <v>39961</v>
      </c>
      <c r="D50" s="1">
        <v>3.7961</v>
      </c>
    </row>
    <row r="51" spans="1:4" x14ac:dyDescent="0.25">
      <c r="A51" s="2">
        <v>39961</v>
      </c>
      <c r="B51" s="3">
        <v>4.9150999999999998</v>
      </c>
      <c r="C51" s="65">
        <v>39962</v>
      </c>
      <c r="D51" s="1">
        <v>3.847</v>
      </c>
    </row>
    <row r="52" spans="1:4" x14ac:dyDescent="0.25">
      <c r="A52" s="2">
        <v>39962</v>
      </c>
      <c r="B52" s="3">
        <v>4.9188999999999998</v>
      </c>
      <c r="C52" s="65">
        <v>39965</v>
      </c>
      <c r="D52" s="1">
        <v>3.7292000000000001</v>
      </c>
    </row>
    <row r="53" spans="1:4" x14ac:dyDescent="0.25">
      <c r="A53" s="2">
        <v>39965</v>
      </c>
      <c r="B53" s="3">
        <v>4.7011000000000003</v>
      </c>
      <c r="C53" s="65">
        <v>39966</v>
      </c>
      <c r="D53" s="1">
        <v>3.7269999999999999</v>
      </c>
    </row>
    <row r="54" spans="1:4" x14ac:dyDescent="0.25">
      <c r="A54" s="2">
        <v>39966</v>
      </c>
      <c r="B54" s="3">
        <v>4.7359</v>
      </c>
      <c r="C54" s="65">
        <v>39967</v>
      </c>
      <c r="D54" s="1">
        <v>3.8022999999999998</v>
      </c>
    </row>
    <row r="55" spans="1:4" x14ac:dyDescent="0.25">
      <c r="A55" s="2">
        <v>39967</v>
      </c>
      <c r="B55" s="3">
        <v>4.8327</v>
      </c>
      <c r="C55" s="65">
        <v>39968</v>
      </c>
      <c r="D55" s="1">
        <v>3.8</v>
      </c>
    </row>
    <row r="56" spans="1:4" x14ac:dyDescent="0.25">
      <c r="A56" s="2">
        <v>39968</v>
      </c>
      <c r="B56" s="3">
        <v>4.8254999999999999</v>
      </c>
      <c r="C56" s="65">
        <v>39969</v>
      </c>
      <c r="D56" s="1">
        <v>3.7923999999999998</v>
      </c>
    </row>
    <row r="57" spans="1:4" x14ac:dyDescent="0.25">
      <c r="A57" s="2">
        <v>39969</v>
      </c>
      <c r="B57" s="3">
        <v>4.7945000000000002</v>
      </c>
      <c r="C57" s="65">
        <v>39972</v>
      </c>
      <c r="D57" s="1">
        <v>3.8458999999999999</v>
      </c>
    </row>
    <row r="58" spans="1:4" x14ac:dyDescent="0.25">
      <c r="A58" s="2">
        <v>39972</v>
      </c>
      <c r="B58" s="3">
        <v>4.8620999999999999</v>
      </c>
      <c r="C58" s="65">
        <v>39973</v>
      </c>
      <c r="D58" s="1">
        <v>3.8111999999999999</v>
      </c>
    </row>
    <row r="59" spans="1:4" x14ac:dyDescent="0.25">
      <c r="A59" s="2">
        <v>39973</v>
      </c>
      <c r="B59" s="3">
        <v>4.8405000000000005</v>
      </c>
      <c r="C59" s="65">
        <v>39974</v>
      </c>
      <c r="D59" s="1">
        <v>3.7919999999999998</v>
      </c>
    </row>
    <row r="60" spans="1:4" x14ac:dyDescent="0.25">
      <c r="A60" s="2">
        <v>39974</v>
      </c>
      <c r="B60" s="3">
        <v>4.7731000000000003</v>
      </c>
      <c r="C60" s="65">
        <v>39975</v>
      </c>
      <c r="D60" s="1">
        <v>3.7393000000000001</v>
      </c>
    </row>
    <row r="61" spans="1:4" x14ac:dyDescent="0.25">
      <c r="A61" s="2">
        <v>39975</v>
      </c>
      <c r="B61" s="3">
        <v>4.7325999999999997</v>
      </c>
      <c r="C61" s="65">
        <v>39976</v>
      </c>
      <c r="D61" s="1">
        <v>3.7762000000000002</v>
      </c>
    </row>
    <row r="62" spans="1:4" x14ac:dyDescent="0.25">
      <c r="A62" s="2">
        <v>39976</v>
      </c>
      <c r="B62" s="3">
        <v>4.7572999999999999</v>
      </c>
      <c r="C62" s="65">
        <v>39979</v>
      </c>
      <c r="D62" s="1">
        <v>3.8933999999999997</v>
      </c>
    </row>
    <row r="63" spans="1:4" x14ac:dyDescent="0.25">
      <c r="A63" s="2">
        <v>39979</v>
      </c>
      <c r="B63" s="3">
        <v>4.9096000000000002</v>
      </c>
      <c r="C63" s="65">
        <v>39980</v>
      </c>
      <c r="D63" s="1">
        <v>3.9293</v>
      </c>
    </row>
    <row r="64" spans="1:4" x14ac:dyDescent="0.25">
      <c r="A64" s="2">
        <v>39980</v>
      </c>
      <c r="B64" s="3">
        <v>4.9206000000000003</v>
      </c>
      <c r="C64" s="65">
        <v>39981</v>
      </c>
      <c r="D64" s="1">
        <v>4.0462999999999996</v>
      </c>
    </row>
    <row r="65" spans="1:4" x14ac:dyDescent="0.25">
      <c r="A65" s="2">
        <v>39981</v>
      </c>
      <c r="B65" s="3">
        <v>5.0077999999999996</v>
      </c>
      <c r="C65" s="65">
        <v>39982</v>
      </c>
      <c r="D65" s="1">
        <v>4.0019999999999998</v>
      </c>
    </row>
    <row r="66" spans="1:4" x14ac:dyDescent="0.25">
      <c r="A66" s="2">
        <v>39982</v>
      </c>
      <c r="B66" s="3">
        <v>4.9440999999999997</v>
      </c>
      <c r="C66" s="65">
        <v>39983</v>
      </c>
      <c r="D66" s="1">
        <v>3.9784000000000002</v>
      </c>
    </row>
    <row r="67" spans="1:4" x14ac:dyDescent="0.25">
      <c r="A67" s="2">
        <v>39983</v>
      </c>
      <c r="B67" s="3">
        <v>4.9028</v>
      </c>
      <c r="C67" s="65">
        <v>39986</v>
      </c>
      <c r="D67" s="1">
        <v>4.6083999999999996</v>
      </c>
    </row>
    <row r="68" spans="1:4" x14ac:dyDescent="0.25">
      <c r="A68" s="2">
        <v>39986</v>
      </c>
      <c r="B68" s="3">
        <v>5.0609000000000002</v>
      </c>
      <c r="C68" s="65">
        <v>39987</v>
      </c>
      <c r="D68" s="1">
        <v>4.6276999999999999</v>
      </c>
    </row>
    <row r="69" spans="1:4" x14ac:dyDescent="0.25">
      <c r="A69" s="2">
        <v>39987</v>
      </c>
      <c r="B69" s="3">
        <v>5.0734000000000004</v>
      </c>
      <c r="C69" s="65">
        <v>39988</v>
      </c>
      <c r="D69" s="1">
        <v>4.4875999999999996</v>
      </c>
    </row>
    <row r="70" spans="1:4" x14ac:dyDescent="0.25">
      <c r="A70" s="2">
        <v>39988</v>
      </c>
      <c r="B70" s="3">
        <v>4.9371</v>
      </c>
      <c r="C70" s="65">
        <v>39989</v>
      </c>
      <c r="D70" s="1">
        <v>4.5111999999999997</v>
      </c>
    </row>
    <row r="71" spans="1:4" x14ac:dyDescent="0.25">
      <c r="A71" s="2">
        <v>39989</v>
      </c>
      <c r="B71" s="3">
        <v>4.9752999999999998</v>
      </c>
      <c r="C71" s="65">
        <v>39990</v>
      </c>
      <c r="D71" s="1">
        <v>4.5373999999999999</v>
      </c>
    </row>
    <row r="72" spans="1:4" x14ac:dyDescent="0.25">
      <c r="A72" s="2">
        <v>39990</v>
      </c>
      <c r="B72" s="3">
        <v>5.0011999999999999</v>
      </c>
      <c r="C72" s="65">
        <v>39993</v>
      </c>
      <c r="D72" s="1">
        <v>4.4744999999999999</v>
      </c>
    </row>
    <row r="73" spans="1:4" x14ac:dyDescent="0.25">
      <c r="A73" s="2">
        <v>39993</v>
      </c>
      <c r="B73" s="3">
        <v>4.9031000000000002</v>
      </c>
      <c r="C73" s="65">
        <v>39994</v>
      </c>
      <c r="D73" s="1">
        <v>4.4823000000000004</v>
      </c>
    </row>
    <row r="74" spans="1:4" x14ac:dyDescent="0.25">
      <c r="A74" s="2">
        <v>39994</v>
      </c>
      <c r="B74" s="3">
        <v>4.9766000000000004</v>
      </c>
      <c r="C74" s="65">
        <v>39995</v>
      </c>
      <c r="D74" s="1">
        <v>4.3945999999999996</v>
      </c>
    </row>
    <row r="75" spans="1:4" x14ac:dyDescent="0.25">
      <c r="A75" s="2">
        <v>39995</v>
      </c>
      <c r="B75" s="3">
        <v>4.8864999999999998</v>
      </c>
      <c r="C75" s="65">
        <v>39996</v>
      </c>
      <c r="D75" s="1">
        <v>4.5141</v>
      </c>
    </row>
    <row r="76" spans="1:4" x14ac:dyDescent="0.25">
      <c r="A76" s="2">
        <v>39996</v>
      </c>
      <c r="B76" s="3">
        <v>5.0517000000000003</v>
      </c>
      <c r="C76" s="65">
        <v>39997</v>
      </c>
      <c r="D76" s="1">
        <v>4.5109000000000004</v>
      </c>
    </row>
    <row r="77" spans="1:4" x14ac:dyDescent="0.25">
      <c r="A77" s="2">
        <v>39997</v>
      </c>
      <c r="B77" s="3">
        <v>5.0370999999999997</v>
      </c>
      <c r="C77" s="65">
        <v>40000</v>
      </c>
      <c r="D77" s="1">
        <v>4.5673000000000004</v>
      </c>
    </row>
    <row r="78" spans="1:4" x14ac:dyDescent="0.25">
      <c r="A78" s="2">
        <v>40000</v>
      </c>
      <c r="B78" s="3">
        <v>5.1071999999999997</v>
      </c>
      <c r="C78" s="65">
        <v>40001</v>
      </c>
      <c r="D78" s="1">
        <v>4.6265000000000001</v>
      </c>
    </row>
    <row r="79" spans="1:4" x14ac:dyDescent="0.25">
      <c r="A79" s="2">
        <v>40001</v>
      </c>
      <c r="B79" s="3">
        <v>5.1577999999999999</v>
      </c>
      <c r="C79" s="65">
        <v>40002</v>
      </c>
      <c r="D79" s="1">
        <v>4.7228000000000003</v>
      </c>
    </row>
    <row r="80" spans="1:4" x14ac:dyDescent="0.25">
      <c r="A80" s="2">
        <v>40002</v>
      </c>
      <c r="B80" s="3">
        <v>5.2243000000000004</v>
      </c>
      <c r="C80" s="65">
        <v>40003</v>
      </c>
      <c r="D80" s="1">
        <v>4.6679000000000004</v>
      </c>
    </row>
    <row r="81" spans="1:4" x14ac:dyDescent="0.25">
      <c r="A81" s="2">
        <v>40003</v>
      </c>
      <c r="B81" s="3">
        <v>5.1750999999999996</v>
      </c>
      <c r="C81" s="65">
        <v>40004</v>
      </c>
      <c r="D81" s="1">
        <v>4.7521000000000004</v>
      </c>
    </row>
    <row r="82" spans="1:4" x14ac:dyDescent="0.25">
      <c r="A82" s="2">
        <v>40004</v>
      </c>
      <c r="B82" s="3">
        <v>5.2766999999999999</v>
      </c>
      <c r="C82" s="65">
        <v>40007</v>
      </c>
      <c r="D82" s="1">
        <v>4.6528</v>
      </c>
    </row>
    <row r="83" spans="1:4" x14ac:dyDescent="0.25">
      <c r="A83" s="2">
        <v>40007</v>
      </c>
      <c r="B83" s="3">
        <v>5.1332000000000004</v>
      </c>
      <c r="C83" s="65">
        <v>40008</v>
      </c>
      <c r="D83" s="1">
        <v>4.5941000000000001</v>
      </c>
    </row>
    <row r="84" spans="1:4" x14ac:dyDescent="0.25">
      <c r="A84" s="2">
        <v>40008</v>
      </c>
      <c r="B84" s="3">
        <v>5.0780000000000003</v>
      </c>
      <c r="C84" s="65">
        <v>40009</v>
      </c>
      <c r="D84" s="1">
        <v>4.4309000000000003</v>
      </c>
    </row>
    <row r="85" spans="1:4" x14ac:dyDescent="0.25">
      <c r="A85" s="2">
        <v>40009</v>
      </c>
      <c r="B85" s="3">
        <v>4.9116</v>
      </c>
      <c r="C85" s="65">
        <v>40010</v>
      </c>
      <c r="D85" s="1">
        <v>4.4071999999999996</v>
      </c>
    </row>
    <row r="86" spans="1:4" x14ac:dyDescent="0.25">
      <c r="A86" s="2">
        <v>40010</v>
      </c>
      <c r="B86" s="3">
        <v>4.8958000000000004</v>
      </c>
      <c r="C86" s="65">
        <v>40011</v>
      </c>
      <c r="D86" s="1">
        <v>4.3958000000000004</v>
      </c>
    </row>
    <row r="87" spans="1:4" x14ac:dyDescent="0.25">
      <c r="A87" s="2">
        <v>40011</v>
      </c>
      <c r="B87" s="3">
        <v>4.8754999999999997</v>
      </c>
      <c r="C87" s="65">
        <v>40014</v>
      </c>
      <c r="D87" s="1">
        <v>4.3430999999999997</v>
      </c>
    </row>
    <row r="88" spans="1:4" x14ac:dyDescent="0.25">
      <c r="A88" s="2">
        <v>40014</v>
      </c>
      <c r="B88" s="3">
        <v>4.8140999999999998</v>
      </c>
      <c r="C88" s="65">
        <v>40015</v>
      </c>
      <c r="D88" s="1">
        <v>4.2744</v>
      </c>
    </row>
    <row r="89" spans="1:4" x14ac:dyDescent="0.25">
      <c r="A89" s="2">
        <v>40015</v>
      </c>
      <c r="B89" s="3">
        <v>4.7771999999999997</v>
      </c>
      <c r="C89" s="65">
        <v>40016</v>
      </c>
      <c r="D89" s="1">
        <v>4.2538999999999998</v>
      </c>
    </row>
    <row r="90" spans="1:4" x14ac:dyDescent="0.25">
      <c r="A90" s="2">
        <v>40016</v>
      </c>
      <c r="B90" s="3">
        <v>4.7605000000000004</v>
      </c>
      <c r="C90" s="65">
        <v>40017</v>
      </c>
      <c r="D90" s="1">
        <v>4.1730999999999998</v>
      </c>
    </row>
    <row r="91" spans="1:4" x14ac:dyDescent="0.25">
      <c r="A91" s="2">
        <v>40017</v>
      </c>
      <c r="B91" s="3">
        <v>4.6556999999999995</v>
      </c>
      <c r="C91" s="65">
        <v>40018</v>
      </c>
      <c r="D91" s="1">
        <v>4.1898</v>
      </c>
    </row>
    <row r="92" spans="1:4" x14ac:dyDescent="0.25">
      <c r="A92" s="2">
        <v>40018</v>
      </c>
      <c r="B92" s="3">
        <v>4.6611000000000002</v>
      </c>
      <c r="C92" s="65">
        <v>40021</v>
      </c>
      <c r="D92" s="1">
        <v>4.1517999999999997</v>
      </c>
    </row>
    <row r="93" spans="1:4" x14ac:dyDescent="0.25">
      <c r="A93" s="2">
        <v>40021</v>
      </c>
      <c r="B93" s="3">
        <v>4.6276999999999999</v>
      </c>
      <c r="C93" s="65">
        <v>40022</v>
      </c>
      <c r="D93" s="1">
        <v>4.2210000000000001</v>
      </c>
    </row>
    <row r="94" spans="1:4" x14ac:dyDescent="0.25">
      <c r="A94" s="2">
        <v>40022</v>
      </c>
      <c r="B94" s="3">
        <v>4.6787000000000001</v>
      </c>
      <c r="C94" s="65">
        <v>40023</v>
      </c>
      <c r="D94" s="1">
        <v>4.1649000000000003</v>
      </c>
    </row>
    <row r="95" spans="1:4" x14ac:dyDescent="0.25">
      <c r="A95" s="2">
        <v>40023</v>
      </c>
      <c r="B95" s="3">
        <v>4.6296999999999997</v>
      </c>
      <c r="C95" s="65">
        <v>40024</v>
      </c>
      <c r="D95" s="1">
        <v>4.0575000000000001</v>
      </c>
    </row>
    <row r="96" spans="1:4" x14ac:dyDescent="0.25">
      <c r="A96" s="2">
        <v>40024</v>
      </c>
      <c r="B96" s="3">
        <v>4.5347</v>
      </c>
      <c r="C96" s="65">
        <v>40025</v>
      </c>
      <c r="D96" s="1">
        <v>4.1055000000000001</v>
      </c>
    </row>
    <row r="97" spans="1:4" x14ac:dyDescent="0.25">
      <c r="A97" s="2">
        <v>40025</v>
      </c>
      <c r="B97" s="3">
        <v>4.5632999999999999</v>
      </c>
      <c r="C97" s="65">
        <v>40028</v>
      </c>
      <c r="D97" s="1">
        <v>4.0388999999999999</v>
      </c>
    </row>
    <row r="98" spans="1:4" x14ac:dyDescent="0.25">
      <c r="A98" s="2">
        <v>40028</v>
      </c>
      <c r="B98" s="3">
        <v>4.5072999999999999</v>
      </c>
      <c r="C98" s="65">
        <v>40029</v>
      </c>
      <c r="D98" s="1">
        <v>4.0288000000000004</v>
      </c>
    </row>
    <row r="99" spans="1:4" x14ac:dyDescent="0.25">
      <c r="A99" s="2">
        <v>40029</v>
      </c>
      <c r="B99" s="3">
        <v>4.5125000000000002</v>
      </c>
      <c r="C99" s="65">
        <v>40030</v>
      </c>
      <c r="D99" s="1">
        <v>4.0297000000000001</v>
      </c>
    </row>
    <row r="100" spans="1:4" x14ac:dyDescent="0.25">
      <c r="A100" s="2">
        <v>40030</v>
      </c>
      <c r="B100" s="3">
        <v>4.5600000000000005</v>
      </c>
      <c r="C100" s="65">
        <v>40031</v>
      </c>
      <c r="D100" s="1">
        <v>3.9980000000000002</v>
      </c>
    </row>
    <row r="101" spans="1:4" x14ac:dyDescent="0.25">
      <c r="A101" s="2">
        <v>40031</v>
      </c>
      <c r="B101" s="3">
        <v>4.5277000000000003</v>
      </c>
      <c r="C101" s="65">
        <v>40032</v>
      </c>
      <c r="D101" s="1">
        <v>3.9468999999999999</v>
      </c>
    </row>
    <row r="102" spans="1:4" x14ac:dyDescent="0.25">
      <c r="A102" s="2">
        <v>40032</v>
      </c>
      <c r="B102" s="3">
        <v>4.4536999999999995</v>
      </c>
      <c r="C102" s="65">
        <v>40035</v>
      </c>
      <c r="D102" s="1">
        <v>3.915</v>
      </c>
    </row>
    <row r="103" spans="1:4" x14ac:dyDescent="0.25">
      <c r="A103" s="2">
        <v>40035</v>
      </c>
      <c r="B103" s="3">
        <v>4.4745999999999997</v>
      </c>
      <c r="C103" s="65">
        <v>40036</v>
      </c>
      <c r="D103" s="1">
        <v>3.9717000000000002</v>
      </c>
    </row>
    <row r="104" spans="1:4" x14ac:dyDescent="0.25">
      <c r="A104" s="2">
        <v>40036</v>
      </c>
      <c r="B104" s="3">
        <v>4.5465999999999998</v>
      </c>
      <c r="C104" s="65">
        <v>40037</v>
      </c>
      <c r="D104" s="1">
        <v>3.9205000000000001</v>
      </c>
    </row>
    <row r="105" spans="1:4" x14ac:dyDescent="0.25">
      <c r="A105" s="2">
        <v>40037</v>
      </c>
      <c r="B105" s="3">
        <v>4.4836</v>
      </c>
      <c r="C105" s="65">
        <v>40038</v>
      </c>
      <c r="D105" s="1">
        <v>3.87</v>
      </c>
    </row>
    <row r="106" spans="1:4" x14ac:dyDescent="0.25">
      <c r="A106" s="2">
        <v>40038</v>
      </c>
      <c r="B106" s="3">
        <v>4.4545000000000003</v>
      </c>
      <c r="C106" s="65">
        <v>40039</v>
      </c>
      <c r="D106" s="1">
        <v>3.9194</v>
      </c>
    </row>
    <row r="107" spans="1:4" x14ac:dyDescent="0.25">
      <c r="A107" s="2">
        <v>40039</v>
      </c>
      <c r="B107" s="3">
        <v>4.5151000000000003</v>
      </c>
      <c r="C107" s="65">
        <v>40042</v>
      </c>
      <c r="D107" s="1">
        <v>4.0297000000000001</v>
      </c>
    </row>
    <row r="108" spans="1:4" x14ac:dyDescent="0.25">
      <c r="A108" s="2">
        <v>40042</v>
      </c>
      <c r="B108" s="3">
        <v>4.6288999999999998</v>
      </c>
      <c r="C108" s="65">
        <v>40043</v>
      </c>
      <c r="D108" s="1">
        <v>3.9756</v>
      </c>
    </row>
    <row r="109" spans="1:4" x14ac:dyDescent="0.25">
      <c r="A109" s="2">
        <v>40043</v>
      </c>
      <c r="B109" s="3">
        <v>4.4706000000000001</v>
      </c>
      <c r="C109" s="65">
        <v>40044</v>
      </c>
      <c r="D109" s="1">
        <v>3.9973000000000001</v>
      </c>
    </row>
    <row r="110" spans="1:4" x14ac:dyDescent="0.25">
      <c r="A110" s="2">
        <v>40044</v>
      </c>
      <c r="B110" s="3">
        <v>4.4836999999999998</v>
      </c>
      <c r="C110" s="65">
        <v>40045</v>
      </c>
      <c r="D110" s="1">
        <v>3.9483000000000001</v>
      </c>
    </row>
    <row r="111" spans="1:4" x14ac:dyDescent="0.25">
      <c r="A111" s="2">
        <v>40045</v>
      </c>
      <c r="B111" s="3">
        <v>4.3849999999999998</v>
      </c>
      <c r="C111" s="65">
        <v>40046</v>
      </c>
      <c r="D111" s="1">
        <v>3.8578000000000001</v>
      </c>
    </row>
    <row r="112" spans="1:4" x14ac:dyDescent="0.25">
      <c r="A112" s="2">
        <v>40046</v>
      </c>
      <c r="B112" s="3">
        <v>4.2458999999999998</v>
      </c>
      <c r="C112" s="65">
        <v>40049</v>
      </c>
      <c r="D112" s="1">
        <v>3.7675999999999998</v>
      </c>
    </row>
    <row r="113" spans="1:4" x14ac:dyDescent="0.25">
      <c r="A113" s="2">
        <v>40049</v>
      </c>
      <c r="B113" s="3">
        <v>4.1959</v>
      </c>
      <c r="C113" s="65">
        <v>40050</v>
      </c>
      <c r="D113" s="1">
        <v>3.7477</v>
      </c>
    </row>
    <row r="114" spans="1:4" x14ac:dyDescent="0.25">
      <c r="A114" s="2">
        <v>40050</v>
      </c>
      <c r="B114" s="3">
        <v>4.1618000000000004</v>
      </c>
      <c r="C114" s="65">
        <v>40051</v>
      </c>
      <c r="D114" s="1">
        <v>3.7342</v>
      </c>
    </row>
    <row r="115" spans="1:4" x14ac:dyDescent="0.25">
      <c r="A115" s="2">
        <v>40051</v>
      </c>
      <c r="B115" s="3">
        <v>4.1801000000000004</v>
      </c>
      <c r="C115" s="65">
        <v>40052</v>
      </c>
      <c r="D115" s="1">
        <v>3.7475000000000001</v>
      </c>
    </row>
    <row r="116" spans="1:4" x14ac:dyDescent="0.25">
      <c r="A116" s="2">
        <v>40052</v>
      </c>
      <c r="B116" s="3">
        <v>4.1970000000000001</v>
      </c>
      <c r="C116" s="65">
        <v>40053</v>
      </c>
      <c r="D116" s="1">
        <v>3.7147999999999999</v>
      </c>
    </row>
    <row r="117" spans="1:4" x14ac:dyDescent="0.25">
      <c r="A117" s="2">
        <v>40053</v>
      </c>
      <c r="B117" s="3">
        <v>4.1581000000000001</v>
      </c>
      <c r="C117" s="65">
        <v>40056</v>
      </c>
      <c r="D117" s="1">
        <v>3.7566000000000002</v>
      </c>
    </row>
    <row r="118" spans="1:4" x14ac:dyDescent="0.25">
      <c r="A118" s="2">
        <v>40056</v>
      </c>
      <c r="B118" s="3">
        <v>4.2007000000000003</v>
      </c>
      <c r="C118" s="65">
        <v>40057</v>
      </c>
      <c r="D118" s="1">
        <v>3.8342999999999998</v>
      </c>
    </row>
    <row r="119" spans="1:4" x14ac:dyDescent="0.25">
      <c r="A119" s="2">
        <v>40057</v>
      </c>
      <c r="B119" s="3">
        <v>4.2488999999999999</v>
      </c>
      <c r="C119" s="65">
        <v>40058</v>
      </c>
      <c r="D119" s="1">
        <v>3.8681999999999999</v>
      </c>
    </row>
    <row r="120" spans="1:4" x14ac:dyDescent="0.25">
      <c r="A120" s="2">
        <v>40058</v>
      </c>
      <c r="B120" s="3">
        <v>4.2676999999999996</v>
      </c>
      <c r="C120" s="65">
        <v>40059</v>
      </c>
      <c r="D120" s="1">
        <v>3.8395000000000001</v>
      </c>
    </row>
    <row r="121" spans="1:4" x14ac:dyDescent="0.25">
      <c r="A121" s="2">
        <v>40059</v>
      </c>
      <c r="B121" s="3">
        <v>4.2748999999999997</v>
      </c>
      <c r="C121" s="65">
        <v>40060</v>
      </c>
      <c r="D121" s="1">
        <v>3.7913999999999999</v>
      </c>
    </row>
    <row r="122" spans="1:4" x14ac:dyDescent="0.25">
      <c r="A122" s="2">
        <v>40060</v>
      </c>
      <c r="B122" s="3">
        <v>4.2061000000000002</v>
      </c>
      <c r="C122" s="65">
        <v>40063</v>
      </c>
      <c r="D122" s="1">
        <v>3.7328000000000001</v>
      </c>
    </row>
    <row r="123" spans="1:4" x14ac:dyDescent="0.25">
      <c r="A123" s="2">
        <v>40063</v>
      </c>
      <c r="B123" s="3">
        <v>4.1448999999999998</v>
      </c>
      <c r="C123" s="65">
        <v>40064</v>
      </c>
      <c r="D123" s="1">
        <v>3.7362000000000002</v>
      </c>
    </row>
    <row r="124" spans="1:4" x14ac:dyDescent="0.25">
      <c r="A124" s="2">
        <v>40064</v>
      </c>
      <c r="B124" s="3">
        <v>4.1413000000000002</v>
      </c>
      <c r="C124" s="65">
        <v>40065</v>
      </c>
      <c r="D124" s="1">
        <v>3.6936999999999998</v>
      </c>
    </row>
    <row r="125" spans="1:4" x14ac:dyDescent="0.25">
      <c r="A125" s="2">
        <v>40065</v>
      </c>
      <c r="B125" s="3">
        <v>4.0909000000000004</v>
      </c>
      <c r="C125" s="65">
        <v>40066</v>
      </c>
      <c r="D125" s="1">
        <v>3.6859999999999999</v>
      </c>
    </row>
    <row r="126" spans="1:4" x14ac:dyDescent="0.25">
      <c r="A126" s="2">
        <v>40066</v>
      </c>
      <c r="B126" s="3">
        <v>4.0953999999999997</v>
      </c>
      <c r="C126" s="65">
        <v>40067</v>
      </c>
      <c r="D126" s="1">
        <v>3.6556999999999999</v>
      </c>
    </row>
    <row r="127" spans="1:4" x14ac:dyDescent="0.25">
      <c r="A127" s="2">
        <v>40067</v>
      </c>
      <c r="B127" s="3">
        <v>4.0753000000000004</v>
      </c>
      <c r="C127" s="65">
        <v>40070</v>
      </c>
      <c r="D127" s="1">
        <v>3.6573000000000002</v>
      </c>
    </row>
    <row r="128" spans="1:4" x14ac:dyDescent="0.25">
      <c r="A128" s="2">
        <v>40070</v>
      </c>
      <c r="B128" s="3">
        <v>4.0784000000000002</v>
      </c>
      <c r="C128" s="65">
        <v>40071</v>
      </c>
      <c r="D128" s="1">
        <v>3.6448</v>
      </c>
    </row>
    <row r="129" spans="1:4" x14ac:dyDescent="0.25">
      <c r="A129" s="2">
        <v>40071</v>
      </c>
      <c r="B129" s="3">
        <v>4.0587</v>
      </c>
      <c r="C129" s="65">
        <v>40072</v>
      </c>
      <c r="D129" s="1">
        <v>3.5893000000000002</v>
      </c>
    </row>
    <row r="130" spans="1:4" x14ac:dyDescent="0.25">
      <c r="A130" s="2">
        <v>40072</v>
      </c>
      <c r="B130" s="3">
        <v>4.0034000000000001</v>
      </c>
      <c r="C130" s="65">
        <v>40073</v>
      </c>
      <c r="D130" s="1">
        <v>3.5714000000000001</v>
      </c>
    </row>
    <row r="131" spans="1:4" x14ac:dyDescent="0.25">
      <c r="A131" s="2">
        <v>40073</v>
      </c>
      <c r="B131" s="3">
        <v>3.9851000000000001</v>
      </c>
      <c r="C131" s="65">
        <v>40074</v>
      </c>
      <c r="D131" s="1">
        <v>3.5865</v>
      </c>
    </row>
    <row r="132" spans="1:4" x14ac:dyDescent="0.25">
      <c r="A132" s="2">
        <v>40074</v>
      </c>
      <c r="B132" s="3">
        <v>3.9965000000000002</v>
      </c>
      <c r="C132" s="65">
        <v>40077</v>
      </c>
      <c r="D132" s="1">
        <v>3.6894</v>
      </c>
    </row>
    <row r="133" spans="1:4" x14ac:dyDescent="0.25">
      <c r="A133" s="2">
        <v>40077</v>
      </c>
      <c r="B133" s="3">
        <v>3.9868000000000001</v>
      </c>
      <c r="C133" s="65">
        <v>40078</v>
      </c>
      <c r="D133" s="1">
        <v>3.6863000000000001</v>
      </c>
    </row>
    <row r="134" spans="1:4" x14ac:dyDescent="0.25">
      <c r="A134" s="2">
        <v>40078</v>
      </c>
      <c r="B134" s="3">
        <v>3.9741999999999997</v>
      </c>
      <c r="C134" s="65">
        <v>40079</v>
      </c>
      <c r="D134" s="1">
        <v>3.6589999999999998</v>
      </c>
    </row>
    <row r="135" spans="1:4" x14ac:dyDescent="0.25">
      <c r="A135" s="2">
        <v>40079</v>
      </c>
      <c r="B135" s="3">
        <v>3.9664999999999999</v>
      </c>
      <c r="C135" s="65">
        <v>40080</v>
      </c>
      <c r="D135" s="1">
        <v>3.7046000000000001</v>
      </c>
    </row>
    <row r="136" spans="1:4" x14ac:dyDescent="0.25">
      <c r="A136" s="2">
        <v>40080</v>
      </c>
      <c r="B136" s="3">
        <v>4.0350000000000001</v>
      </c>
      <c r="C136" s="65">
        <v>40081</v>
      </c>
      <c r="D136" s="1">
        <v>3.6806000000000001</v>
      </c>
    </row>
    <row r="137" spans="1:4" x14ac:dyDescent="0.25">
      <c r="A137" s="2">
        <v>40081</v>
      </c>
      <c r="B137" s="3">
        <v>4.0438999999999998</v>
      </c>
      <c r="C137" s="65">
        <v>40084</v>
      </c>
      <c r="D137" s="1">
        <v>3.6240000000000001</v>
      </c>
    </row>
    <row r="138" spans="1:4" x14ac:dyDescent="0.25">
      <c r="A138" s="2">
        <v>40084</v>
      </c>
      <c r="B138" s="3">
        <v>3.9502000000000002</v>
      </c>
      <c r="C138" s="65">
        <v>40085</v>
      </c>
      <c r="D138" s="1">
        <v>3.6105999999999998</v>
      </c>
    </row>
    <row r="139" spans="1:4" x14ac:dyDescent="0.25">
      <c r="A139" s="2">
        <v>40085</v>
      </c>
      <c r="B139" s="3">
        <v>3.9592999999999998</v>
      </c>
      <c r="C139" s="65">
        <v>40086</v>
      </c>
      <c r="D139" s="1">
        <v>3.6249000000000002</v>
      </c>
    </row>
    <row r="140" spans="1:4" x14ac:dyDescent="0.25">
      <c r="A140" s="2">
        <v>40086</v>
      </c>
      <c r="B140" s="3">
        <v>3.9815</v>
      </c>
      <c r="C140" s="65">
        <v>40087</v>
      </c>
      <c r="D140" s="1">
        <v>3.6465000000000001</v>
      </c>
    </row>
    <row r="141" spans="1:4" x14ac:dyDescent="0.25">
      <c r="A141" s="2">
        <v>40087</v>
      </c>
      <c r="B141" s="3">
        <v>4.0637999999999996</v>
      </c>
      <c r="C141" s="65">
        <v>40088</v>
      </c>
      <c r="D141" s="1">
        <v>3.7109000000000001</v>
      </c>
    </row>
    <row r="142" spans="1:4" x14ac:dyDescent="0.25">
      <c r="A142" s="2">
        <v>40088</v>
      </c>
      <c r="B142" s="3">
        <v>4.1372</v>
      </c>
      <c r="C142" s="65">
        <v>40091</v>
      </c>
      <c r="D142" s="1">
        <v>3.6819999999999999</v>
      </c>
    </row>
    <row r="143" spans="1:4" x14ac:dyDescent="0.25">
      <c r="A143" s="2">
        <v>40091</v>
      </c>
      <c r="B143" s="3">
        <v>4.0925000000000002</v>
      </c>
      <c r="C143" s="65">
        <v>40092</v>
      </c>
      <c r="D143" s="1">
        <v>3.5832999999999999</v>
      </c>
    </row>
    <row r="144" spans="1:4" x14ac:dyDescent="0.25">
      <c r="A144" s="2">
        <v>40092</v>
      </c>
      <c r="B144" s="3">
        <v>3.9855</v>
      </c>
      <c r="C144" s="65">
        <v>40093</v>
      </c>
      <c r="D144" s="1">
        <v>3.5903</v>
      </c>
    </row>
    <row r="145" spans="1:4" x14ac:dyDescent="0.25">
      <c r="A145" s="2">
        <v>40093</v>
      </c>
      <c r="B145" s="3">
        <v>4.0044000000000004</v>
      </c>
      <c r="C145" s="65">
        <v>40094</v>
      </c>
      <c r="D145" s="1">
        <v>3.5524</v>
      </c>
    </row>
    <row r="146" spans="1:4" x14ac:dyDescent="0.25">
      <c r="A146" s="2">
        <v>40094</v>
      </c>
      <c r="B146" s="3">
        <v>3.9502000000000002</v>
      </c>
      <c r="C146" s="65">
        <v>40095</v>
      </c>
      <c r="D146" s="1">
        <v>3.5365000000000002</v>
      </c>
    </row>
    <row r="147" spans="1:4" x14ac:dyDescent="0.25">
      <c r="A147" s="2">
        <v>40095</v>
      </c>
      <c r="B147" s="3">
        <v>3.9577</v>
      </c>
      <c r="C147" s="65">
        <v>40098</v>
      </c>
      <c r="D147" s="1">
        <v>3.4822000000000002</v>
      </c>
    </row>
    <row r="148" spans="1:4" x14ac:dyDescent="0.25">
      <c r="A148" s="2">
        <v>40098</v>
      </c>
      <c r="B148" s="3">
        <v>3.9352999999999998</v>
      </c>
      <c r="C148" s="65">
        <v>40099</v>
      </c>
      <c r="D148" s="1">
        <v>3.5131000000000001</v>
      </c>
    </row>
    <row r="149" spans="1:4" x14ac:dyDescent="0.25">
      <c r="A149" s="2">
        <v>40099</v>
      </c>
      <c r="B149" s="3">
        <v>3.9835000000000003</v>
      </c>
      <c r="C149" s="65">
        <v>40100</v>
      </c>
      <c r="D149" s="1">
        <v>3.4525999999999999</v>
      </c>
    </row>
    <row r="150" spans="1:4" x14ac:dyDescent="0.25">
      <c r="A150" s="2">
        <v>40100</v>
      </c>
      <c r="B150" s="3">
        <v>3.8866000000000001</v>
      </c>
      <c r="C150" s="65">
        <v>40101</v>
      </c>
      <c r="D150" s="1">
        <v>3.4538000000000002</v>
      </c>
    </row>
    <row r="151" spans="1:4" x14ac:dyDescent="0.25">
      <c r="A151" s="2">
        <v>40101</v>
      </c>
      <c r="B151" s="3">
        <v>3.9020999999999999</v>
      </c>
      <c r="C151" s="65">
        <v>40102</v>
      </c>
      <c r="D151" s="1">
        <v>3.4805999999999999</v>
      </c>
    </row>
    <row r="152" spans="1:4" x14ac:dyDescent="0.25">
      <c r="A152" s="2">
        <v>40102</v>
      </c>
      <c r="B152" s="3">
        <v>3.9603999999999999</v>
      </c>
      <c r="C152" s="65">
        <v>40105</v>
      </c>
      <c r="D152" s="1">
        <v>3.4333999999999998</v>
      </c>
    </row>
    <row r="153" spans="1:4" x14ac:dyDescent="0.25">
      <c r="A153" s="2">
        <v>40105</v>
      </c>
      <c r="B153" s="3">
        <v>3.8879999999999999</v>
      </c>
      <c r="C153" s="65">
        <v>40106</v>
      </c>
      <c r="D153" s="1">
        <v>3.4613999999999998</v>
      </c>
    </row>
    <row r="154" spans="1:4" x14ac:dyDescent="0.25">
      <c r="A154" s="2">
        <v>40106</v>
      </c>
      <c r="B154" s="3">
        <v>3.9177</v>
      </c>
      <c r="C154" s="65">
        <v>40107</v>
      </c>
      <c r="D154" s="1">
        <v>3.4689000000000001</v>
      </c>
    </row>
    <row r="155" spans="1:4" x14ac:dyDescent="0.25">
      <c r="A155" s="2">
        <v>40107</v>
      </c>
      <c r="B155" s="3">
        <v>3.9020000000000001</v>
      </c>
      <c r="C155" s="65">
        <v>40108</v>
      </c>
      <c r="D155" s="1">
        <v>3.5217000000000001</v>
      </c>
    </row>
    <row r="156" spans="1:4" x14ac:dyDescent="0.25">
      <c r="A156" s="2">
        <v>40108</v>
      </c>
      <c r="B156" s="3">
        <v>3.9485999999999999</v>
      </c>
      <c r="C156" s="65">
        <v>40109</v>
      </c>
      <c r="D156" s="1">
        <v>3.5807000000000002</v>
      </c>
    </row>
    <row r="157" spans="1:4" x14ac:dyDescent="0.25">
      <c r="A157" s="2">
        <v>40109</v>
      </c>
      <c r="B157" s="3">
        <v>3.9706999999999999</v>
      </c>
      <c r="C157" s="65">
        <v>40112</v>
      </c>
      <c r="D157" s="1">
        <v>3.6459999999999999</v>
      </c>
    </row>
    <row r="158" spans="1:4" x14ac:dyDescent="0.25">
      <c r="A158" s="2">
        <v>40112</v>
      </c>
      <c r="B158" s="3">
        <v>4.0425000000000004</v>
      </c>
      <c r="C158" s="65">
        <v>40113</v>
      </c>
      <c r="D158" s="1">
        <v>3.6734999999999998</v>
      </c>
    </row>
    <row r="159" spans="1:4" x14ac:dyDescent="0.25">
      <c r="A159" s="2">
        <v>40113</v>
      </c>
      <c r="B159" s="3">
        <v>4.0419999999999998</v>
      </c>
      <c r="C159" s="65">
        <v>40114</v>
      </c>
      <c r="D159" s="1">
        <v>3.758</v>
      </c>
    </row>
    <row r="160" spans="1:4" x14ac:dyDescent="0.25">
      <c r="A160" s="2">
        <v>40114</v>
      </c>
      <c r="B160" s="3">
        <v>4.1245000000000003</v>
      </c>
      <c r="C160" s="65">
        <v>40115</v>
      </c>
      <c r="D160" s="1">
        <v>3.6825999999999999</v>
      </c>
    </row>
    <row r="161" spans="1:4" x14ac:dyDescent="0.25">
      <c r="A161" s="2">
        <v>40115</v>
      </c>
      <c r="B161" s="3">
        <v>4.0568</v>
      </c>
      <c r="C161" s="65">
        <v>40116</v>
      </c>
      <c r="D161" s="1">
        <v>3.8014999999999999</v>
      </c>
    </row>
    <row r="162" spans="1:4" x14ac:dyDescent="0.25">
      <c r="A162" s="2">
        <v>40116</v>
      </c>
      <c r="B162" s="3">
        <v>4.1769999999999996</v>
      </c>
      <c r="C162" s="65">
        <v>40119</v>
      </c>
      <c r="D162" s="1">
        <v>3.7610000000000001</v>
      </c>
    </row>
    <row r="163" spans="1:4" x14ac:dyDescent="0.25">
      <c r="A163" s="2">
        <v>40119</v>
      </c>
      <c r="B163" s="3">
        <v>4.1475999999999997</v>
      </c>
      <c r="C163" s="65">
        <v>40120</v>
      </c>
      <c r="D163" s="1">
        <v>3.8212000000000002</v>
      </c>
    </row>
    <row r="164" spans="1:4" x14ac:dyDescent="0.25">
      <c r="A164" s="2">
        <v>40120</v>
      </c>
      <c r="B164" s="3">
        <v>4.2251000000000003</v>
      </c>
      <c r="C164" s="65">
        <v>40121</v>
      </c>
      <c r="D164" s="1">
        <v>3.7462999999999997</v>
      </c>
    </row>
    <row r="165" spans="1:4" x14ac:dyDescent="0.25">
      <c r="A165" s="2">
        <v>40121</v>
      </c>
      <c r="B165" s="3">
        <v>4.1471</v>
      </c>
      <c r="C165" s="65">
        <v>40122</v>
      </c>
      <c r="D165" s="1">
        <v>3.7137000000000002</v>
      </c>
    </row>
    <row r="166" spans="1:4" x14ac:dyDescent="0.25">
      <c r="A166" s="2">
        <v>40122</v>
      </c>
      <c r="B166" s="3">
        <v>4.1022999999999996</v>
      </c>
      <c r="C166" s="65">
        <v>40123</v>
      </c>
      <c r="D166" s="1">
        <v>3.7189999999999999</v>
      </c>
    </row>
    <row r="167" spans="1:4" x14ac:dyDescent="0.25">
      <c r="A167" s="2">
        <v>40123</v>
      </c>
      <c r="B167" s="3">
        <v>4.1010999999999997</v>
      </c>
      <c r="C167" s="65">
        <v>40126</v>
      </c>
      <c r="D167" s="1">
        <v>3.6358000000000001</v>
      </c>
    </row>
    <row r="168" spans="1:4" x14ac:dyDescent="0.25">
      <c r="A168" s="2">
        <v>40126</v>
      </c>
      <c r="B168" s="3">
        <v>4.0067000000000004</v>
      </c>
      <c r="C168" s="65">
        <v>40127</v>
      </c>
      <c r="D168" s="1">
        <v>3.6440999999999999</v>
      </c>
    </row>
    <row r="169" spans="1:4" x14ac:dyDescent="0.25">
      <c r="A169" s="2">
        <v>40127</v>
      </c>
      <c r="B169" s="3">
        <v>4.0101000000000004</v>
      </c>
      <c r="C169" s="65">
        <v>40128</v>
      </c>
      <c r="D169" s="1">
        <v>3.6044</v>
      </c>
    </row>
    <row r="170" spans="1:4" x14ac:dyDescent="0.25">
      <c r="A170" s="2">
        <v>40128</v>
      </c>
      <c r="B170" s="3">
        <v>3.9759000000000002</v>
      </c>
      <c r="C170" s="65">
        <v>40129</v>
      </c>
      <c r="D170" s="1">
        <v>3.6132999999999997</v>
      </c>
    </row>
    <row r="171" spans="1:4" x14ac:dyDescent="0.25">
      <c r="A171" s="2">
        <v>40129</v>
      </c>
      <c r="B171" s="3">
        <v>3.9816000000000003</v>
      </c>
      <c r="C171" s="65">
        <v>40130</v>
      </c>
      <c r="D171" s="1">
        <v>3.6017000000000001</v>
      </c>
    </row>
    <row r="172" spans="1:4" x14ac:dyDescent="0.25">
      <c r="A172" s="2">
        <v>40130</v>
      </c>
      <c r="B172" s="3">
        <v>3.9731000000000001</v>
      </c>
      <c r="C172" s="65">
        <v>40133</v>
      </c>
      <c r="D172" s="1">
        <v>3.5503999999999998</v>
      </c>
    </row>
    <row r="173" spans="1:4" x14ac:dyDescent="0.25">
      <c r="A173" s="2">
        <v>40133</v>
      </c>
      <c r="B173" s="3">
        <v>3.9146000000000001</v>
      </c>
      <c r="C173" s="65">
        <v>40134</v>
      </c>
      <c r="D173" s="1">
        <v>3.5868000000000002</v>
      </c>
    </row>
    <row r="174" spans="1:4" x14ac:dyDescent="0.25">
      <c r="A174" s="2">
        <v>40134</v>
      </c>
      <c r="B174" s="3">
        <v>3.9405000000000001</v>
      </c>
      <c r="C174" s="65">
        <v>40135</v>
      </c>
      <c r="D174" s="1">
        <v>3.5939000000000001</v>
      </c>
    </row>
    <row r="175" spans="1:4" x14ac:dyDescent="0.25">
      <c r="A175" s="2">
        <v>40135</v>
      </c>
      <c r="B175" s="3">
        <v>3.9392</v>
      </c>
      <c r="C175" s="65">
        <v>40136</v>
      </c>
      <c r="D175" s="1">
        <v>3.6745000000000001</v>
      </c>
    </row>
    <row r="176" spans="1:4" x14ac:dyDescent="0.25">
      <c r="A176" s="2">
        <v>40136</v>
      </c>
      <c r="B176" s="3">
        <v>4.0057</v>
      </c>
      <c r="C176" s="65">
        <v>40137</v>
      </c>
      <c r="D176" s="1">
        <v>3.7252999999999998</v>
      </c>
    </row>
    <row r="177" spans="1:4" x14ac:dyDescent="0.25">
      <c r="A177" s="2">
        <v>40137</v>
      </c>
      <c r="B177" s="3">
        <v>4.0339999999999998</v>
      </c>
      <c r="C177" s="65">
        <v>40140</v>
      </c>
      <c r="D177" s="1">
        <v>3.4618000000000002</v>
      </c>
    </row>
    <row r="178" spans="1:4" x14ac:dyDescent="0.25">
      <c r="A178" s="2">
        <v>40140</v>
      </c>
      <c r="B178" s="3">
        <v>3.9125000000000001</v>
      </c>
      <c r="C178" s="65">
        <v>40141</v>
      </c>
      <c r="D178" s="1">
        <v>3.4996</v>
      </c>
    </row>
    <row r="179" spans="1:4" x14ac:dyDescent="0.25">
      <c r="A179" s="2">
        <v>40141</v>
      </c>
      <c r="B179" s="3">
        <v>3.9405999999999999</v>
      </c>
      <c r="C179" s="65">
        <v>40142</v>
      </c>
      <c r="D179" s="1">
        <v>3.4944999999999999</v>
      </c>
    </row>
    <row r="180" spans="1:4" x14ac:dyDescent="0.25">
      <c r="A180" s="2">
        <v>40142</v>
      </c>
      <c r="B180" s="3">
        <v>3.9142999999999999</v>
      </c>
      <c r="C180" s="65">
        <v>40143</v>
      </c>
      <c r="D180" s="1">
        <v>3.6250999999999998</v>
      </c>
    </row>
    <row r="181" spans="1:4" x14ac:dyDescent="0.25">
      <c r="A181" s="2">
        <v>40143</v>
      </c>
      <c r="B181" s="3">
        <v>4.0506000000000002</v>
      </c>
      <c r="C181" s="65">
        <v>40144</v>
      </c>
      <c r="D181" s="1">
        <v>3.5789</v>
      </c>
    </row>
    <row r="182" spans="1:4" x14ac:dyDescent="0.25">
      <c r="A182" s="2">
        <v>40144</v>
      </c>
      <c r="B182" s="3">
        <v>4.0052000000000003</v>
      </c>
      <c r="C182" s="65">
        <v>40147</v>
      </c>
      <c r="D182" s="1">
        <v>3.6240999999999999</v>
      </c>
    </row>
    <row r="183" spans="1:4" x14ac:dyDescent="0.25">
      <c r="A183" s="2">
        <v>40147</v>
      </c>
      <c r="B183" s="3">
        <v>4.0339</v>
      </c>
      <c r="C183" s="65">
        <v>40148</v>
      </c>
      <c r="D183" s="1">
        <v>3.5232000000000001</v>
      </c>
    </row>
    <row r="184" spans="1:4" x14ac:dyDescent="0.25">
      <c r="A184" s="2">
        <v>40148</v>
      </c>
      <c r="B184" s="3">
        <v>3.8894000000000002</v>
      </c>
      <c r="C184" s="65">
        <v>40149</v>
      </c>
      <c r="D184" s="1">
        <v>3.5206</v>
      </c>
    </row>
    <row r="185" spans="1:4" x14ac:dyDescent="0.25">
      <c r="A185" s="2">
        <v>40149</v>
      </c>
      <c r="B185" s="3">
        <v>3.8811</v>
      </c>
      <c r="C185" s="65">
        <v>40150</v>
      </c>
      <c r="D185" s="1">
        <v>3.5139</v>
      </c>
    </row>
    <row r="186" spans="1:4" x14ac:dyDescent="0.25">
      <c r="A186" s="2">
        <v>40150</v>
      </c>
      <c r="B186" s="3">
        <v>3.8834999999999997</v>
      </c>
      <c r="C186" s="65">
        <v>40151</v>
      </c>
      <c r="D186" s="1">
        <v>3.4664000000000001</v>
      </c>
    </row>
    <row r="187" spans="1:4" x14ac:dyDescent="0.25">
      <c r="A187" s="2">
        <v>40151</v>
      </c>
      <c r="B187" s="3">
        <v>3.8378999999999999</v>
      </c>
      <c r="C187" s="65">
        <v>40154</v>
      </c>
      <c r="D187" s="1">
        <v>3.4872999999999998</v>
      </c>
    </row>
    <row r="188" spans="1:4" x14ac:dyDescent="0.25">
      <c r="A188" s="2">
        <v>40154</v>
      </c>
      <c r="B188" s="3">
        <v>3.8565</v>
      </c>
      <c r="C188" s="65">
        <v>40155</v>
      </c>
      <c r="D188" s="1">
        <v>3.5470999999999999</v>
      </c>
    </row>
    <row r="189" spans="1:4" x14ac:dyDescent="0.25">
      <c r="A189" s="2">
        <v>40155</v>
      </c>
      <c r="B189" s="3">
        <v>3.9201999999999999</v>
      </c>
      <c r="C189" s="65">
        <v>40156</v>
      </c>
      <c r="D189" s="1">
        <v>3.5739000000000001</v>
      </c>
    </row>
    <row r="190" spans="1:4" x14ac:dyDescent="0.25">
      <c r="A190" s="2">
        <v>40156</v>
      </c>
      <c r="B190" s="3">
        <v>3.9634999999999998</v>
      </c>
      <c r="C190" s="65">
        <v>40157</v>
      </c>
      <c r="D190" s="1">
        <v>3.5501</v>
      </c>
    </row>
    <row r="191" spans="1:4" x14ac:dyDescent="0.25">
      <c r="A191" s="2">
        <v>40157</v>
      </c>
      <c r="B191" s="3">
        <v>3.9173</v>
      </c>
      <c r="C191" s="65">
        <v>40158</v>
      </c>
      <c r="D191" s="1">
        <v>3.5460000000000003</v>
      </c>
    </row>
    <row r="192" spans="1:4" x14ac:dyDescent="0.25">
      <c r="A192" s="2">
        <v>40158</v>
      </c>
      <c r="B192" s="3">
        <v>3.9022000000000001</v>
      </c>
      <c r="C192" s="65">
        <v>40161</v>
      </c>
      <c r="D192" s="1">
        <v>3.5083000000000002</v>
      </c>
    </row>
    <row r="193" spans="1:4" x14ac:dyDescent="0.25">
      <c r="A193" s="2">
        <v>40161</v>
      </c>
      <c r="B193" s="3">
        <v>3.8715999999999999</v>
      </c>
      <c r="C193" s="65">
        <v>40162</v>
      </c>
      <c r="D193" s="1">
        <v>3.5137</v>
      </c>
    </row>
    <row r="194" spans="1:4" x14ac:dyDescent="0.25">
      <c r="A194" s="2">
        <v>40162</v>
      </c>
      <c r="B194" s="3">
        <v>3.8668</v>
      </c>
      <c r="C194" s="65">
        <v>40163</v>
      </c>
      <c r="D194" s="1">
        <v>3.4718999999999998</v>
      </c>
    </row>
    <row r="195" spans="1:4" x14ac:dyDescent="0.25">
      <c r="A195" s="2">
        <v>40163</v>
      </c>
      <c r="B195" s="3">
        <v>3.8166000000000002</v>
      </c>
      <c r="C195" s="65">
        <v>40164</v>
      </c>
      <c r="D195" s="1">
        <v>3.5042999999999997</v>
      </c>
    </row>
    <row r="196" spans="1:4" x14ac:dyDescent="0.25">
      <c r="A196" s="2">
        <v>40164</v>
      </c>
      <c r="B196" s="3">
        <v>3.8626</v>
      </c>
      <c r="C196" s="65">
        <v>40165</v>
      </c>
      <c r="D196" s="1">
        <v>3.5364</v>
      </c>
    </row>
    <row r="197" spans="1:4" x14ac:dyDescent="0.25">
      <c r="A197" s="2">
        <v>40165</v>
      </c>
      <c r="B197" s="3">
        <v>3.8900999999999999</v>
      </c>
      <c r="C197" s="65">
        <v>40168</v>
      </c>
      <c r="D197" s="1">
        <v>3.4546000000000001</v>
      </c>
    </row>
    <row r="198" spans="1:4" x14ac:dyDescent="0.25">
      <c r="A198" s="2">
        <v>40168</v>
      </c>
      <c r="B198" s="3">
        <v>3.8111000000000002</v>
      </c>
      <c r="C198" s="65">
        <v>40169</v>
      </c>
      <c r="D198" s="1">
        <v>3.4180000000000001</v>
      </c>
    </row>
    <row r="199" spans="1:4" x14ac:dyDescent="0.25">
      <c r="A199" s="2">
        <v>40169</v>
      </c>
      <c r="B199" s="3">
        <v>3.7808000000000002</v>
      </c>
      <c r="C199" s="65">
        <v>40170</v>
      </c>
      <c r="D199" s="1">
        <v>3.3993000000000002</v>
      </c>
    </row>
    <row r="200" spans="1:4" x14ac:dyDescent="0.25">
      <c r="A200" s="2">
        <v>40170</v>
      </c>
      <c r="B200" s="3">
        <v>3.7656999999999998</v>
      </c>
      <c r="C200" s="65">
        <v>40175</v>
      </c>
      <c r="D200" s="1">
        <v>3.371</v>
      </c>
    </row>
    <row r="201" spans="1:4" x14ac:dyDescent="0.25">
      <c r="A201" s="2">
        <v>40171</v>
      </c>
      <c r="B201" s="3">
        <v>3.7663000000000002</v>
      </c>
      <c r="C201" s="65">
        <v>40176</v>
      </c>
      <c r="D201" s="1">
        <v>3.3603999999999998</v>
      </c>
    </row>
    <row r="202" spans="1:4" x14ac:dyDescent="0.25">
      <c r="A202" s="2">
        <v>40175</v>
      </c>
      <c r="B202" s="3">
        <v>3.7549999999999999</v>
      </c>
      <c r="C202" s="65">
        <v>40177</v>
      </c>
      <c r="D202" s="1">
        <v>3.3788999999999998</v>
      </c>
    </row>
    <row r="203" spans="1:4" x14ac:dyDescent="0.25">
      <c r="A203" s="2">
        <v>40176</v>
      </c>
      <c r="B203" s="3">
        <v>3.7427999999999999</v>
      </c>
      <c r="C203" s="65">
        <v>40182</v>
      </c>
      <c r="D203" s="1">
        <v>3.3363</v>
      </c>
    </row>
    <row r="204" spans="1:4" x14ac:dyDescent="0.25">
      <c r="A204" s="2">
        <v>40177</v>
      </c>
      <c r="B204" s="3">
        <v>3.7753999999999999</v>
      </c>
      <c r="C204" s="65">
        <v>40183</v>
      </c>
      <c r="D204" s="1">
        <v>3.3348</v>
      </c>
    </row>
    <row r="205" spans="1:4" x14ac:dyDescent="0.25">
      <c r="A205" s="2">
        <v>40178</v>
      </c>
      <c r="B205" s="3">
        <v>3.7770999999999999</v>
      </c>
      <c r="C205" s="65">
        <v>40184</v>
      </c>
      <c r="D205" s="1">
        <v>3.2166000000000001</v>
      </c>
    </row>
    <row r="206" spans="1:4" x14ac:dyDescent="0.25">
      <c r="A206" s="2">
        <v>40182</v>
      </c>
      <c r="B206" s="3">
        <v>3.7109000000000001</v>
      </c>
      <c r="C206" s="65">
        <v>40185</v>
      </c>
      <c r="D206" s="1">
        <v>3.2048000000000001</v>
      </c>
    </row>
    <row r="207" spans="1:4" x14ac:dyDescent="0.25">
      <c r="A207" s="2">
        <v>40183</v>
      </c>
      <c r="B207" s="3">
        <v>3.7176</v>
      </c>
      <c r="C207" s="65">
        <v>40186</v>
      </c>
      <c r="D207" s="1">
        <v>3.1909999999999998</v>
      </c>
    </row>
    <row r="208" spans="1:4" x14ac:dyDescent="0.25">
      <c r="A208" s="2">
        <v>40184</v>
      </c>
      <c r="B208" s="3">
        <v>3.7210000000000001</v>
      </c>
      <c r="C208" s="65">
        <v>40189</v>
      </c>
      <c r="D208" s="1">
        <v>3.1959</v>
      </c>
    </row>
    <row r="209" spans="1:4" x14ac:dyDescent="0.25">
      <c r="A209" s="2">
        <v>40185</v>
      </c>
      <c r="B209" s="3">
        <v>3.7237999999999998</v>
      </c>
      <c r="C209" s="65">
        <v>40190</v>
      </c>
      <c r="D209" s="1">
        <v>3.2218999999999998</v>
      </c>
    </row>
    <row r="210" spans="1:4" x14ac:dyDescent="0.25">
      <c r="A210" s="2">
        <v>40186</v>
      </c>
      <c r="B210" s="3">
        <v>3.7109000000000001</v>
      </c>
      <c r="C210" s="65">
        <v>40191</v>
      </c>
      <c r="D210" s="1">
        <v>3.2115999999999998</v>
      </c>
    </row>
    <row r="211" spans="1:4" x14ac:dyDescent="0.25">
      <c r="A211" s="2">
        <v>40189</v>
      </c>
      <c r="B211" s="3">
        <v>3.7117</v>
      </c>
      <c r="C211" s="65">
        <v>40192</v>
      </c>
      <c r="D211" s="1">
        <v>3.1917</v>
      </c>
    </row>
    <row r="212" spans="1:4" x14ac:dyDescent="0.25">
      <c r="A212" s="2">
        <v>40190</v>
      </c>
      <c r="B212" s="3">
        <v>3.7532999999999999</v>
      </c>
      <c r="C212" s="65">
        <v>40193</v>
      </c>
      <c r="D212" s="1">
        <v>3.2370999999999999</v>
      </c>
    </row>
    <row r="213" spans="1:4" x14ac:dyDescent="0.25">
      <c r="A213" s="2">
        <v>40191</v>
      </c>
      <c r="B213" s="3">
        <v>3.7513999999999998</v>
      </c>
      <c r="C213" s="65">
        <v>40196</v>
      </c>
      <c r="D213" s="1">
        <v>3.2319</v>
      </c>
    </row>
    <row r="214" spans="1:4" x14ac:dyDescent="0.25">
      <c r="A214" s="2">
        <v>40192</v>
      </c>
      <c r="B214" s="3">
        <v>3.7372000000000001</v>
      </c>
      <c r="C214" s="65">
        <v>40197</v>
      </c>
      <c r="D214" s="1">
        <v>3.2052</v>
      </c>
    </row>
    <row r="215" spans="1:4" x14ac:dyDescent="0.25">
      <c r="A215" s="2">
        <v>40193</v>
      </c>
      <c r="B215" s="3">
        <v>3.8001</v>
      </c>
      <c r="C215" s="65">
        <v>40198</v>
      </c>
      <c r="D215" s="1">
        <v>3.2856000000000001</v>
      </c>
    </row>
    <row r="216" spans="1:4" x14ac:dyDescent="0.25">
      <c r="A216" s="2">
        <v>40196</v>
      </c>
      <c r="B216" s="3">
        <v>3.7774000000000001</v>
      </c>
      <c r="C216" s="65">
        <v>40199</v>
      </c>
      <c r="D216" s="1">
        <v>3.3214000000000001</v>
      </c>
    </row>
    <row r="217" spans="1:4" x14ac:dyDescent="0.25">
      <c r="A217" s="2">
        <v>40197</v>
      </c>
      <c r="B217" s="3">
        <v>3.7433000000000001</v>
      </c>
      <c r="C217" s="65">
        <v>40200</v>
      </c>
      <c r="D217" s="1">
        <v>3.3668</v>
      </c>
    </row>
    <row r="218" spans="1:4" x14ac:dyDescent="0.25">
      <c r="A218" s="2">
        <v>40198</v>
      </c>
      <c r="B218" s="3">
        <v>3.8334999999999999</v>
      </c>
      <c r="C218" s="65">
        <v>40203</v>
      </c>
      <c r="D218" s="1">
        <v>3.3961000000000001</v>
      </c>
    </row>
    <row r="219" spans="1:4" x14ac:dyDescent="0.25">
      <c r="A219" s="2">
        <v>40199</v>
      </c>
      <c r="B219" s="3">
        <v>3.9022000000000001</v>
      </c>
      <c r="C219" s="65">
        <v>40204</v>
      </c>
      <c r="D219" s="1">
        <v>3.3909000000000002</v>
      </c>
    </row>
    <row r="220" spans="1:4" x14ac:dyDescent="0.25">
      <c r="A220" s="2">
        <v>40200</v>
      </c>
      <c r="B220" s="3">
        <v>3.9386000000000001</v>
      </c>
      <c r="C220" s="65">
        <v>40205</v>
      </c>
      <c r="D220" s="1">
        <v>3.4540999999999999</v>
      </c>
    </row>
    <row r="221" spans="1:4" x14ac:dyDescent="0.25">
      <c r="A221" s="2">
        <v>40203</v>
      </c>
      <c r="B221" s="3">
        <v>3.98</v>
      </c>
      <c r="C221" s="65">
        <v>40206</v>
      </c>
      <c r="D221" s="1">
        <v>3.5171999999999999</v>
      </c>
    </row>
    <row r="222" spans="1:4" x14ac:dyDescent="0.25">
      <c r="A222" s="2">
        <v>40204</v>
      </c>
      <c r="B222" s="3">
        <v>3.9512999999999998</v>
      </c>
      <c r="C222" s="65">
        <v>40207</v>
      </c>
      <c r="D222" s="1">
        <v>3.4701</v>
      </c>
    </row>
    <row r="223" spans="1:4" x14ac:dyDescent="0.25">
      <c r="A223" s="2">
        <v>40205</v>
      </c>
      <c r="B223" s="3">
        <v>4.0084</v>
      </c>
      <c r="C223" s="65">
        <v>40210</v>
      </c>
      <c r="D223" s="1">
        <v>3.4519000000000002</v>
      </c>
    </row>
    <row r="224" spans="1:4" x14ac:dyDescent="0.25">
      <c r="A224" s="2">
        <v>40206</v>
      </c>
      <c r="B224" s="3">
        <v>4.0818000000000003</v>
      </c>
      <c r="C224" s="65">
        <v>40211</v>
      </c>
      <c r="D224" s="1">
        <v>3.39</v>
      </c>
    </row>
    <row r="225" spans="1:4" x14ac:dyDescent="0.25">
      <c r="A225" s="2">
        <v>40207</v>
      </c>
      <c r="B225" s="3">
        <v>4.0236999999999998</v>
      </c>
      <c r="C225" s="65">
        <v>40212</v>
      </c>
      <c r="D225" s="1">
        <v>3.4274</v>
      </c>
    </row>
    <row r="226" spans="1:4" x14ac:dyDescent="0.25">
      <c r="A226" s="2">
        <v>40210</v>
      </c>
      <c r="B226" s="3">
        <v>4</v>
      </c>
      <c r="C226" s="65">
        <v>40213</v>
      </c>
      <c r="D226" s="1">
        <v>3.5497999999999998</v>
      </c>
    </row>
    <row r="227" spans="1:4" x14ac:dyDescent="0.25">
      <c r="A227" s="2">
        <v>40211</v>
      </c>
      <c r="B227" s="3">
        <v>3.9481000000000002</v>
      </c>
      <c r="C227" s="65">
        <v>40214</v>
      </c>
      <c r="D227" s="1">
        <v>3.6501999999999999</v>
      </c>
    </row>
    <row r="228" spans="1:4" x14ac:dyDescent="0.25">
      <c r="A228" s="2">
        <v>40212</v>
      </c>
      <c r="B228" s="3">
        <v>3.9838</v>
      </c>
      <c r="C228" s="65">
        <v>40217</v>
      </c>
      <c r="D228" s="1">
        <v>3.6288999999999998</v>
      </c>
    </row>
    <row r="229" spans="1:4" x14ac:dyDescent="0.25">
      <c r="A229" s="2">
        <v>40213</v>
      </c>
      <c r="B229" s="3">
        <v>4.1268000000000002</v>
      </c>
      <c r="C229" s="65">
        <v>40218</v>
      </c>
      <c r="D229" s="1">
        <v>3.6497000000000002</v>
      </c>
    </row>
    <row r="230" spans="1:4" x14ac:dyDescent="0.25">
      <c r="A230" s="2">
        <v>40214</v>
      </c>
      <c r="B230" s="3">
        <v>4.2457000000000003</v>
      </c>
      <c r="C230" s="65">
        <v>40219</v>
      </c>
      <c r="D230" s="1">
        <v>3.577</v>
      </c>
    </row>
    <row r="231" spans="1:4" x14ac:dyDescent="0.25">
      <c r="A231" s="2">
        <v>40217</v>
      </c>
      <c r="B231" s="3">
        <v>4.1684999999999999</v>
      </c>
      <c r="C231" s="65">
        <v>40220</v>
      </c>
      <c r="D231" s="1">
        <v>3.6051000000000002</v>
      </c>
    </row>
    <row r="232" spans="1:4" x14ac:dyDescent="0.25">
      <c r="A232" s="2">
        <v>40218</v>
      </c>
      <c r="B232" s="3">
        <v>4.1620999999999997</v>
      </c>
      <c r="C232" s="65">
        <v>40221</v>
      </c>
      <c r="D232" s="1">
        <v>3.5627</v>
      </c>
    </row>
    <row r="233" spans="1:4" x14ac:dyDescent="0.25">
      <c r="A233" s="2">
        <v>40219</v>
      </c>
      <c r="B233" s="3">
        <v>4.1132</v>
      </c>
      <c r="C233" s="65">
        <v>40224</v>
      </c>
      <c r="D233" s="1">
        <v>3.5480999999999998</v>
      </c>
    </row>
    <row r="234" spans="1:4" x14ac:dyDescent="0.25">
      <c r="A234" s="2">
        <v>40220</v>
      </c>
      <c r="B234" s="3">
        <v>4.1437999999999997</v>
      </c>
      <c r="C234" s="65">
        <v>40225</v>
      </c>
      <c r="D234" s="1">
        <v>3.5202999999999998</v>
      </c>
    </row>
    <row r="235" spans="1:4" x14ac:dyDescent="0.25">
      <c r="A235" s="2">
        <v>40221</v>
      </c>
      <c r="B235" s="3">
        <v>4.1527000000000003</v>
      </c>
      <c r="C235" s="65">
        <v>40226</v>
      </c>
      <c r="D235" s="1">
        <v>3.4615</v>
      </c>
    </row>
    <row r="236" spans="1:4" x14ac:dyDescent="0.25">
      <c r="A236" s="2">
        <v>40224</v>
      </c>
      <c r="B236" s="3">
        <v>4.1382000000000003</v>
      </c>
      <c r="C236" s="65">
        <v>40227</v>
      </c>
      <c r="D236" s="1">
        <v>3.4558</v>
      </c>
    </row>
    <row r="237" spans="1:4" x14ac:dyDescent="0.25">
      <c r="A237" s="2">
        <v>40225</v>
      </c>
      <c r="B237" s="3">
        <v>4.0820999999999996</v>
      </c>
      <c r="C237" s="65">
        <v>40228</v>
      </c>
      <c r="D237" s="1">
        <v>3.4422000000000001</v>
      </c>
    </row>
    <row r="238" spans="1:4" x14ac:dyDescent="0.25">
      <c r="A238" s="2">
        <v>40226</v>
      </c>
      <c r="B238" s="3">
        <v>4.0208000000000004</v>
      </c>
      <c r="C238" s="65">
        <v>40231</v>
      </c>
      <c r="D238" s="1">
        <v>3.4401999999999999</v>
      </c>
    </row>
    <row r="239" spans="1:4" x14ac:dyDescent="0.25">
      <c r="A239" s="2">
        <v>40227</v>
      </c>
      <c r="B239" s="3">
        <v>3.9975000000000001</v>
      </c>
      <c r="C239" s="65">
        <v>40232</v>
      </c>
      <c r="D239" s="1">
        <v>3.5185</v>
      </c>
    </row>
    <row r="240" spans="1:4" x14ac:dyDescent="0.25">
      <c r="A240" s="2">
        <v>40228</v>
      </c>
      <c r="B240" s="3">
        <v>3.9754</v>
      </c>
      <c r="C240" s="65">
        <v>40233</v>
      </c>
      <c r="D240" s="1">
        <v>3.4983</v>
      </c>
    </row>
    <row r="241" spans="1:4" x14ac:dyDescent="0.25">
      <c r="A241" s="2">
        <v>40231</v>
      </c>
      <c r="B241" s="3">
        <v>3.9973000000000001</v>
      </c>
      <c r="C241" s="65">
        <v>40234</v>
      </c>
      <c r="D241" s="1">
        <v>3.5827</v>
      </c>
    </row>
    <row r="242" spans="1:4" x14ac:dyDescent="0.25">
      <c r="A242" s="2">
        <v>40232</v>
      </c>
      <c r="B242" s="3">
        <v>4.0669000000000004</v>
      </c>
      <c r="C242" s="65">
        <v>40235</v>
      </c>
      <c r="D242" s="1">
        <v>3.5445000000000002</v>
      </c>
    </row>
    <row r="243" spans="1:4" x14ac:dyDescent="0.25">
      <c r="A243" s="2">
        <v>40233</v>
      </c>
      <c r="B243" s="3">
        <v>4.0603999999999996</v>
      </c>
      <c r="C243" s="65">
        <v>40238</v>
      </c>
      <c r="D243" s="1">
        <v>3.5024999999999999</v>
      </c>
    </row>
    <row r="244" spans="1:4" x14ac:dyDescent="0.25">
      <c r="A244" s="2">
        <v>40234</v>
      </c>
      <c r="B244" s="3">
        <v>4.1368</v>
      </c>
      <c r="C244" s="65">
        <v>40239</v>
      </c>
      <c r="D244" s="1">
        <v>3.4843999999999999</v>
      </c>
    </row>
    <row r="245" spans="1:4" x14ac:dyDescent="0.25">
      <c r="A245" s="2">
        <v>40235</v>
      </c>
      <c r="B245" s="3">
        <v>4.07</v>
      </c>
      <c r="C245" s="65">
        <v>40240</v>
      </c>
      <c r="D245" s="1">
        <v>3.4342000000000001</v>
      </c>
    </row>
    <row r="246" spans="1:4" x14ac:dyDescent="0.25">
      <c r="A246" s="2">
        <v>40238</v>
      </c>
      <c r="B246" s="3">
        <v>3.9641000000000002</v>
      </c>
      <c r="C246" s="65">
        <v>40241</v>
      </c>
      <c r="D246" s="1">
        <v>3.4184999999999999</v>
      </c>
    </row>
    <row r="247" spans="1:4" x14ac:dyDescent="0.25">
      <c r="A247" s="2">
        <v>40239</v>
      </c>
      <c r="B247" s="3">
        <v>3.9306000000000001</v>
      </c>
      <c r="C247" s="65">
        <v>40242</v>
      </c>
      <c r="D247" s="1">
        <v>3.3519999999999999</v>
      </c>
    </row>
    <row r="248" spans="1:4" x14ac:dyDescent="0.25">
      <c r="A248" s="2">
        <v>40240</v>
      </c>
      <c r="B248" s="3">
        <v>3.8940999999999999</v>
      </c>
      <c r="C248" s="65">
        <v>40245</v>
      </c>
      <c r="D248" s="1">
        <v>3.3340000000000001</v>
      </c>
    </row>
    <row r="249" spans="1:4" x14ac:dyDescent="0.25">
      <c r="A249" s="2">
        <v>40241</v>
      </c>
      <c r="B249" s="3">
        <v>3.903</v>
      </c>
      <c r="C249" s="65">
        <v>40246</v>
      </c>
      <c r="D249" s="1">
        <v>3.3403</v>
      </c>
    </row>
    <row r="250" spans="1:4" x14ac:dyDescent="0.25">
      <c r="A250" s="2">
        <v>40242</v>
      </c>
      <c r="B250" s="3">
        <v>3.8197999999999999</v>
      </c>
      <c r="C250" s="65">
        <v>40247</v>
      </c>
      <c r="D250" s="1">
        <v>3.2986</v>
      </c>
    </row>
    <row r="251" spans="1:4" x14ac:dyDescent="0.25">
      <c r="A251" s="2">
        <v>40245</v>
      </c>
      <c r="B251" s="3">
        <v>3.8174000000000001</v>
      </c>
      <c r="C251" s="65">
        <v>40248</v>
      </c>
      <c r="D251" s="1">
        <v>3.3129</v>
      </c>
    </row>
    <row r="252" spans="1:4" x14ac:dyDescent="0.25">
      <c r="A252" s="2">
        <v>40246</v>
      </c>
      <c r="B252" s="3">
        <v>3.8155000000000001</v>
      </c>
      <c r="C252" s="65">
        <v>40249</v>
      </c>
      <c r="D252" s="1">
        <v>3.3092999999999999</v>
      </c>
    </row>
    <row r="253" spans="1:4" x14ac:dyDescent="0.25">
      <c r="A253" s="2">
        <v>40247</v>
      </c>
      <c r="B253" s="3">
        <v>3.7759</v>
      </c>
      <c r="C253" s="65">
        <v>40252</v>
      </c>
      <c r="D253" s="1">
        <v>3.3376999999999999</v>
      </c>
    </row>
    <row r="254" spans="1:4" x14ac:dyDescent="0.25">
      <c r="A254" s="2">
        <v>40248</v>
      </c>
      <c r="B254" s="3">
        <v>3.7936999999999999</v>
      </c>
      <c r="C254" s="65">
        <v>40253</v>
      </c>
      <c r="D254" s="1">
        <v>3.3012999999999999</v>
      </c>
    </row>
    <row r="255" spans="1:4" x14ac:dyDescent="0.25">
      <c r="A255" s="2">
        <v>40249</v>
      </c>
      <c r="B255" s="3">
        <v>3.7903000000000002</v>
      </c>
      <c r="C255" s="65">
        <v>40254</v>
      </c>
      <c r="D255" s="1">
        <v>3.2606000000000002</v>
      </c>
    </row>
    <row r="256" spans="1:4" x14ac:dyDescent="0.25">
      <c r="A256" s="2">
        <v>40252</v>
      </c>
      <c r="B256" s="3">
        <v>3.827</v>
      </c>
      <c r="C256" s="65">
        <v>40255</v>
      </c>
      <c r="D256" s="1">
        <v>3.2774000000000001</v>
      </c>
    </row>
    <row r="257" spans="1:4" x14ac:dyDescent="0.25">
      <c r="A257" s="2">
        <v>40253</v>
      </c>
      <c r="B257" s="3">
        <v>3.7804000000000002</v>
      </c>
      <c r="C257" s="65">
        <v>40256</v>
      </c>
      <c r="D257" s="1">
        <v>3.2915000000000001</v>
      </c>
    </row>
    <row r="258" spans="1:4" x14ac:dyDescent="0.25">
      <c r="A258" s="2">
        <v>40254</v>
      </c>
      <c r="B258" s="3">
        <v>3.7477</v>
      </c>
      <c r="C258" s="65">
        <v>40259</v>
      </c>
      <c r="D258" s="1">
        <v>3.2968000000000002</v>
      </c>
    </row>
    <row r="259" spans="1:4" x14ac:dyDescent="0.25">
      <c r="A259" s="2">
        <v>40255</v>
      </c>
      <c r="B259" s="3">
        <v>3.7702999999999998</v>
      </c>
      <c r="C259" s="65">
        <v>40260</v>
      </c>
      <c r="D259" s="1">
        <v>3.2761</v>
      </c>
    </row>
    <row r="260" spans="1:4" x14ac:dyDescent="0.25">
      <c r="A260" s="2">
        <v>40256</v>
      </c>
      <c r="B260" s="3">
        <v>3.7907999999999999</v>
      </c>
      <c r="C260" s="65">
        <v>40261</v>
      </c>
      <c r="D260" s="1">
        <v>3.2713999999999999</v>
      </c>
    </row>
    <row r="261" spans="1:4" x14ac:dyDescent="0.25">
      <c r="A261" s="2">
        <v>40259</v>
      </c>
      <c r="B261" s="3">
        <v>3.7927999999999997</v>
      </c>
      <c r="C261" s="65">
        <v>40262</v>
      </c>
      <c r="D261" s="1">
        <v>3.2378999999999998</v>
      </c>
    </row>
    <row r="262" spans="1:4" x14ac:dyDescent="0.25">
      <c r="A262" s="2">
        <v>40260</v>
      </c>
      <c r="B262" s="3">
        <v>3.7669999999999999</v>
      </c>
      <c r="C262" s="65">
        <v>40263</v>
      </c>
      <c r="D262" s="1">
        <v>3.2338</v>
      </c>
    </row>
    <row r="263" spans="1:4" x14ac:dyDescent="0.25">
      <c r="A263" s="2">
        <v>40261</v>
      </c>
      <c r="B263" s="3">
        <v>3.7755999999999998</v>
      </c>
      <c r="C263" s="65">
        <v>40266</v>
      </c>
      <c r="D263" s="1">
        <v>3.2280000000000002</v>
      </c>
    </row>
    <row r="264" spans="1:4" x14ac:dyDescent="0.25">
      <c r="A264" s="2">
        <v>40262</v>
      </c>
      <c r="B264" s="3">
        <v>3.7189999999999999</v>
      </c>
      <c r="C264" s="65">
        <v>40267</v>
      </c>
      <c r="D264" s="1">
        <v>3.2423000000000002</v>
      </c>
    </row>
    <row r="265" spans="1:4" x14ac:dyDescent="0.25">
      <c r="A265" s="2">
        <v>40263</v>
      </c>
      <c r="B265" s="3">
        <v>3.7281</v>
      </c>
      <c r="C265" s="65">
        <v>40268</v>
      </c>
      <c r="D265" s="1">
        <v>3.2643</v>
      </c>
    </row>
    <row r="266" spans="1:4" x14ac:dyDescent="0.25">
      <c r="A266" s="2">
        <v>40266</v>
      </c>
      <c r="B266" s="3">
        <v>3.7198000000000002</v>
      </c>
      <c r="C266" s="65">
        <v>40269</v>
      </c>
      <c r="D266" s="1">
        <v>3.2139000000000002</v>
      </c>
    </row>
    <row r="267" spans="1:4" x14ac:dyDescent="0.25">
      <c r="A267" s="2">
        <v>40267</v>
      </c>
      <c r="B267" s="3">
        <v>3.7297000000000002</v>
      </c>
      <c r="C267" s="65">
        <v>40274</v>
      </c>
      <c r="D267" s="1">
        <v>3.1945999999999999</v>
      </c>
    </row>
    <row r="268" spans="1:4" x14ac:dyDescent="0.25">
      <c r="A268" s="2">
        <v>40268</v>
      </c>
      <c r="B268" s="3">
        <v>3.7404999999999999</v>
      </c>
      <c r="C268" s="65">
        <v>40275</v>
      </c>
      <c r="D268" s="1">
        <v>3.2216</v>
      </c>
    </row>
    <row r="269" spans="1:4" x14ac:dyDescent="0.25">
      <c r="A269" s="2">
        <v>40269</v>
      </c>
      <c r="B269" s="3">
        <v>3.681</v>
      </c>
      <c r="C269" s="65">
        <v>40276</v>
      </c>
      <c r="D269" s="1">
        <v>3.2683</v>
      </c>
    </row>
    <row r="270" spans="1:4" x14ac:dyDescent="0.25">
      <c r="A270" s="2">
        <v>40274</v>
      </c>
      <c r="B270" s="3">
        <v>3.6675</v>
      </c>
      <c r="C270" s="65">
        <v>40277</v>
      </c>
      <c r="D270" s="1">
        <v>3.2282000000000002</v>
      </c>
    </row>
    <row r="271" spans="1:4" x14ac:dyDescent="0.25">
      <c r="A271" s="2">
        <v>40275</v>
      </c>
      <c r="B271" s="3">
        <v>3.6858</v>
      </c>
      <c r="C271" s="65">
        <v>40280</v>
      </c>
      <c r="D271" s="1">
        <v>3.2021000000000002</v>
      </c>
    </row>
    <row r="272" spans="1:4" x14ac:dyDescent="0.25">
      <c r="A272" s="2">
        <v>40276</v>
      </c>
      <c r="B272" s="3">
        <v>3.7263000000000002</v>
      </c>
      <c r="C272" s="65">
        <v>40281</v>
      </c>
      <c r="D272" s="1">
        <v>3.2153999999999998</v>
      </c>
    </row>
    <row r="273" spans="1:4" x14ac:dyDescent="0.25">
      <c r="A273" s="2">
        <v>40277</v>
      </c>
      <c r="B273" s="3">
        <v>3.6625999999999999</v>
      </c>
      <c r="C273" s="65">
        <v>40282</v>
      </c>
      <c r="D273" s="1">
        <v>3.1764000000000001</v>
      </c>
    </row>
    <row r="274" spans="1:4" x14ac:dyDescent="0.25">
      <c r="A274" s="2">
        <v>40280</v>
      </c>
      <c r="B274" s="3">
        <v>3.6858</v>
      </c>
      <c r="C274" s="65">
        <v>40283</v>
      </c>
      <c r="D274" s="1">
        <v>3.1684999999999999</v>
      </c>
    </row>
    <row r="275" spans="1:4" x14ac:dyDescent="0.25">
      <c r="A275" s="2">
        <v>40281</v>
      </c>
      <c r="B275" s="3">
        <v>3.7031000000000001</v>
      </c>
      <c r="C275" s="65">
        <v>40284</v>
      </c>
      <c r="D275" s="1">
        <v>3.2416999999999998</v>
      </c>
    </row>
    <row r="276" spans="1:4" x14ac:dyDescent="0.25">
      <c r="A276" s="2">
        <v>40282</v>
      </c>
      <c r="B276" s="3">
        <v>3.6787000000000001</v>
      </c>
      <c r="C276" s="65">
        <v>40287</v>
      </c>
      <c r="D276" s="1">
        <v>3.2339000000000002</v>
      </c>
    </row>
    <row r="277" spans="1:4" x14ac:dyDescent="0.25">
      <c r="A277" s="2">
        <v>40283</v>
      </c>
      <c r="B277" s="3">
        <v>3.6730999999999998</v>
      </c>
      <c r="C277" s="65">
        <v>40288</v>
      </c>
      <c r="D277" s="1">
        <v>3.1663999999999999</v>
      </c>
    </row>
    <row r="278" spans="1:4" x14ac:dyDescent="0.25">
      <c r="A278" s="2">
        <v>40284</v>
      </c>
      <c r="B278" s="3">
        <v>3.7515000000000001</v>
      </c>
      <c r="C278" s="65">
        <v>40289</v>
      </c>
      <c r="D278" s="1">
        <v>3.1974999999999998</v>
      </c>
    </row>
    <row r="279" spans="1:4" x14ac:dyDescent="0.25">
      <c r="A279" s="2">
        <v>40287</v>
      </c>
      <c r="B279" s="3">
        <v>3.7635999999999998</v>
      </c>
      <c r="C279" s="65">
        <v>40290</v>
      </c>
      <c r="D279" s="1">
        <v>3.2580999999999998</v>
      </c>
    </row>
    <row r="280" spans="1:4" x14ac:dyDescent="0.25">
      <c r="A280" s="2">
        <v>40288</v>
      </c>
      <c r="B280" s="3">
        <v>3.6760000000000002</v>
      </c>
      <c r="C280" s="65">
        <v>40291</v>
      </c>
      <c r="D280" s="1">
        <v>3.2423999999999999</v>
      </c>
    </row>
    <row r="281" spans="1:4" x14ac:dyDescent="0.25">
      <c r="A281" s="2">
        <v>40289</v>
      </c>
      <c r="B281" s="3">
        <v>3.7213000000000003</v>
      </c>
      <c r="C281" s="65">
        <v>40294</v>
      </c>
      <c r="D281" s="1">
        <v>3.2342</v>
      </c>
    </row>
    <row r="282" spans="1:4" x14ac:dyDescent="0.25">
      <c r="A282" s="2">
        <v>40290</v>
      </c>
      <c r="B282" s="3">
        <v>3.7854999999999999</v>
      </c>
      <c r="C282" s="65">
        <v>40295</v>
      </c>
      <c r="D282" s="1">
        <v>3.3437999999999999</v>
      </c>
    </row>
    <row r="283" spans="1:4" x14ac:dyDescent="0.25">
      <c r="A283" s="2">
        <v>40291</v>
      </c>
      <c r="B283" s="3">
        <v>3.7332999999999998</v>
      </c>
      <c r="C283" s="65">
        <v>40296</v>
      </c>
      <c r="D283" s="1">
        <v>3.4270999999999998</v>
      </c>
    </row>
    <row r="284" spans="1:4" x14ac:dyDescent="0.25">
      <c r="A284" s="2">
        <v>40294</v>
      </c>
      <c r="B284" s="3">
        <v>3.6966999999999999</v>
      </c>
      <c r="C284" s="65">
        <v>40297</v>
      </c>
      <c r="D284" s="1">
        <v>3.3963999999999999</v>
      </c>
    </row>
    <row r="285" spans="1:4" x14ac:dyDescent="0.25">
      <c r="A285" s="2">
        <v>40295</v>
      </c>
      <c r="B285" s="3">
        <v>3.8376000000000001</v>
      </c>
      <c r="C285" s="65">
        <v>40298</v>
      </c>
      <c r="D285" s="1">
        <v>3.4173999999999998</v>
      </c>
    </row>
    <row r="286" spans="1:4" x14ac:dyDescent="0.25">
      <c r="A286" s="2">
        <v>40296</v>
      </c>
      <c r="B286" s="3">
        <v>3.9114</v>
      </c>
      <c r="C286" s="65">
        <v>40301</v>
      </c>
      <c r="D286" s="1">
        <v>3.4068999999999998</v>
      </c>
    </row>
    <row r="287" spans="1:4" x14ac:dyDescent="0.25">
      <c r="A287" s="2">
        <v>40297</v>
      </c>
      <c r="B287" s="3">
        <v>3.8597000000000001</v>
      </c>
      <c r="C287" s="65">
        <v>40302</v>
      </c>
      <c r="D287" s="1">
        <v>3.5747</v>
      </c>
    </row>
    <row r="288" spans="1:4" x14ac:dyDescent="0.25">
      <c r="A288" s="2">
        <v>40298</v>
      </c>
      <c r="B288" s="3">
        <v>3.8613</v>
      </c>
      <c r="C288" s="65">
        <v>40303</v>
      </c>
      <c r="D288" s="1">
        <v>3.6206</v>
      </c>
    </row>
    <row r="289" spans="1:4" x14ac:dyDescent="0.25">
      <c r="A289" s="2">
        <v>40301</v>
      </c>
      <c r="B289" s="3">
        <v>3.8618999999999999</v>
      </c>
      <c r="C289" s="65">
        <v>40304</v>
      </c>
      <c r="D289" s="1">
        <v>3.7819000000000003</v>
      </c>
    </row>
    <row r="290" spans="1:4" x14ac:dyDescent="0.25">
      <c r="A290" s="2">
        <v>40302</v>
      </c>
      <c r="B290" s="3">
        <v>3.9946999999999999</v>
      </c>
      <c r="C290" s="65">
        <v>40305</v>
      </c>
      <c r="D290" s="1">
        <v>3.9098999999999999</v>
      </c>
    </row>
    <row r="291" spans="1:4" x14ac:dyDescent="0.25">
      <c r="A291" s="2">
        <v>40303</v>
      </c>
      <c r="B291" s="3">
        <v>4.0937000000000001</v>
      </c>
      <c r="C291" s="65">
        <v>40308</v>
      </c>
      <c r="D291" s="1">
        <v>3.5137</v>
      </c>
    </row>
    <row r="292" spans="1:4" x14ac:dyDescent="0.25">
      <c r="A292" s="2">
        <v>40304</v>
      </c>
      <c r="B292" s="3">
        <v>4.2188999999999997</v>
      </c>
      <c r="C292" s="65">
        <v>40309</v>
      </c>
      <c r="D292" s="1">
        <v>3.5300000000000002</v>
      </c>
    </row>
    <row r="293" spans="1:4" x14ac:dyDescent="0.25">
      <c r="A293" s="2">
        <v>40305</v>
      </c>
      <c r="B293" s="3">
        <v>4.4066000000000001</v>
      </c>
      <c r="C293" s="65">
        <v>40310</v>
      </c>
      <c r="D293" s="1">
        <v>3.504</v>
      </c>
    </row>
    <row r="294" spans="1:4" x14ac:dyDescent="0.25">
      <c r="A294" s="2">
        <v>40308</v>
      </c>
      <c r="B294" s="3">
        <v>3.9933999999999998</v>
      </c>
      <c r="C294" s="65">
        <v>40311</v>
      </c>
      <c r="D294" s="1">
        <v>3.5196000000000001</v>
      </c>
    </row>
    <row r="295" spans="1:4" x14ac:dyDescent="0.25">
      <c r="A295" s="2">
        <v>40309</v>
      </c>
      <c r="B295" s="3">
        <v>4.0757000000000003</v>
      </c>
      <c r="C295" s="65">
        <v>40312</v>
      </c>
      <c r="D295" s="1">
        <v>3.7149000000000001</v>
      </c>
    </row>
    <row r="296" spans="1:4" x14ac:dyDescent="0.25">
      <c r="A296" s="2">
        <v>40310</v>
      </c>
      <c r="B296" s="3">
        <v>4.0285000000000002</v>
      </c>
      <c r="C296" s="65">
        <v>40315</v>
      </c>
      <c r="D296" s="1">
        <v>3.7063000000000001</v>
      </c>
    </row>
    <row r="297" spans="1:4" x14ac:dyDescent="0.25">
      <c r="A297" s="2">
        <v>40311</v>
      </c>
      <c r="B297" s="3">
        <v>4.0288000000000004</v>
      </c>
      <c r="C297" s="65">
        <v>40316</v>
      </c>
      <c r="D297" s="1">
        <v>3.6173999999999999</v>
      </c>
    </row>
    <row r="298" spans="1:4" x14ac:dyDescent="0.25">
      <c r="A298" s="2">
        <v>40312</v>
      </c>
      <c r="B298" s="3">
        <v>4.2279</v>
      </c>
      <c r="C298" s="65">
        <v>40317</v>
      </c>
      <c r="D298" s="1">
        <v>3.7467999999999999</v>
      </c>
    </row>
    <row r="299" spans="1:4" x14ac:dyDescent="0.25">
      <c r="A299" s="2">
        <v>40315</v>
      </c>
      <c r="B299" s="3">
        <v>4.2256</v>
      </c>
      <c r="C299" s="65">
        <v>40318</v>
      </c>
      <c r="D299" s="1">
        <v>3.8109999999999999</v>
      </c>
    </row>
    <row r="300" spans="1:4" x14ac:dyDescent="0.25">
      <c r="A300" s="2">
        <v>40316</v>
      </c>
      <c r="B300" s="3">
        <v>4.1271000000000004</v>
      </c>
      <c r="C300" s="65">
        <v>40319</v>
      </c>
      <c r="D300" s="1">
        <v>3.7614999999999998</v>
      </c>
    </row>
    <row r="301" spans="1:4" x14ac:dyDescent="0.25">
      <c r="A301" s="2">
        <v>40317</v>
      </c>
      <c r="B301" s="3">
        <v>4.2870999999999997</v>
      </c>
      <c r="C301" s="65">
        <v>40322</v>
      </c>
      <c r="D301" s="1">
        <v>4.4210000000000003</v>
      </c>
    </row>
    <row r="302" spans="1:4" x14ac:dyDescent="0.25">
      <c r="A302" s="2">
        <v>40318</v>
      </c>
      <c r="B302" s="3">
        <v>4.3868</v>
      </c>
      <c r="C302" s="65">
        <v>40323</v>
      </c>
      <c r="D302" s="1">
        <v>4.5766999999999998</v>
      </c>
    </row>
    <row r="303" spans="1:4" x14ac:dyDescent="0.25">
      <c r="A303" s="2">
        <v>40319</v>
      </c>
      <c r="B303" s="3">
        <v>4.38</v>
      </c>
      <c r="C303" s="65">
        <v>40324</v>
      </c>
      <c r="D303" s="1">
        <v>4.4802999999999997</v>
      </c>
    </row>
    <row r="304" spans="1:4" x14ac:dyDescent="0.25">
      <c r="A304" s="2">
        <v>40322</v>
      </c>
      <c r="B304" s="3">
        <v>4.4935999999999998</v>
      </c>
      <c r="C304" s="65">
        <v>40325</v>
      </c>
      <c r="D304" s="1">
        <v>4.2709999999999999</v>
      </c>
    </row>
    <row r="305" spans="1:4" x14ac:dyDescent="0.25">
      <c r="A305" s="2">
        <v>40323</v>
      </c>
      <c r="B305" s="3">
        <v>4.6195000000000004</v>
      </c>
      <c r="C305" s="65">
        <v>40326</v>
      </c>
      <c r="D305" s="1">
        <v>4.3052999999999999</v>
      </c>
    </row>
    <row r="306" spans="1:4" x14ac:dyDescent="0.25">
      <c r="A306" s="2">
        <v>40324</v>
      </c>
      <c r="B306" s="3">
        <v>4.5431999999999997</v>
      </c>
      <c r="C306" s="65">
        <v>40329</v>
      </c>
      <c r="D306" s="1">
        <v>4.3004999999999995</v>
      </c>
    </row>
    <row r="307" spans="1:4" x14ac:dyDescent="0.25">
      <c r="A307" s="2">
        <v>40325</v>
      </c>
      <c r="B307" s="3">
        <v>4.3887999999999998</v>
      </c>
      <c r="C307" s="65">
        <v>40330</v>
      </c>
      <c r="D307" s="1">
        <v>4.3594999999999997</v>
      </c>
    </row>
    <row r="308" spans="1:4" x14ac:dyDescent="0.25">
      <c r="A308" s="2">
        <v>40326</v>
      </c>
      <c r="B308" s="3">
        <v>4.4084000000000003</v>
      </c>
      <c r="C308" s="65">
        <v>40331</v>
      </c>
      <c r="D308" s="1">
        <v>4.3814000000000002</v>
      </c>
    </row>
    <row r="309" spans="1:4" x14ac:dyDescent="0.25">
      <c r="A309" s="2">
        <v>40329</v>
      </c>
      <c r="B309" s="3">
        <v>4.4147999999999996</v>
      </c>
      <c r="C309" s="65">
        <v>40332</v>
      </c>
      <c r="D309" s="1">
        <v>4.3160999999999996</v>
      </c>
    </row>
    <row r="310" spans="1:4" x14ac:dyDescent="0.25">
      <c r="A310" s="2">
        <v>40330</v>
      </c>
      <c r="B310" s="3">
        <v>4.3754999999999997</v>
      </c>
      <c r="C310" s="65">
        <v>40333</v>
      </c>
      <c r="D310" s="1">
        <v>4.4862000000000002</v>
      </c>
    </row>
    <row r="311" spans="1:4" x14ac:dyDescent="0.25">
      <c r="A311" s="2">
        <v>40331</v>
      </c>
      <c r="B311" s="3">
        <v>4.3832000000000004</v>
      </c>
      <c r="C311" s="65">
        <v>40336</v>
      </c>
      <c r="D311" s="1">
        <v>4.5111999999999997</v>
      </c>
    </row>
    <row r="312" spans="1:4" x14ac:dyDescent="0.25">
      <c r="A312" s="2">
        <v>40332</v>
      </c>
      <c r="B312" s="3">
        <v>4.3296999999999999</v>
      </c>
      <c r="C312" s="65">
        <v>40337</v>
      </c>
      <c r="D312" s="1">
        <v>4.5327000000000002</v>
      </c>
    </row>
    <row r="313" spans="1:4" x14ac:dyDescent="0.25">
      <c r="A313" s="2">
        <v>40333</v>
      </c>
      <c r="B313" s="3">
        <v>4.4663000000000004</v>
      </c>
      <c r="C313" s="65">
        <v>40338</v>
      </c>
      <c r="D313" s="1">
        <v>4.444</v>
      </c>
    </row>
    <row r="314" spans="1:4" x14ac:dyDescent="0.25">
      <c r="A314" s="2">
        <v>40336</v>
      </c>
      <c r="B314" s="3">
        <v>4.508</v>
      </c>
      <c r="C314" s="65">
        <v>40339</v>
      </c>
      <c r="D314" s="1">
        <v>4.3343999999999996</v>
      </c>
    </row>
    <row r="315" spans="1:4" x14ac:dyDescent="0.25">
      <c r="A315" s="2">
        <v>40337</v>
      </c>
      <c r="B315" s="3">
        <v>4.5423</v>
      </c>
      <c r="C315" s="65">
        <v>40340</v>
      </c>
      <c r="D315" s="1">
        <v>4.2750000000000004</v>
      </c>
    </row>
    <row r="316" spans="1:4" x14ac:dyDescent="0.25">
      <c r="A316" s="2">
        <v>40338</v>
      </c>
      <c r="B316" s="3">
        <v>4.4608999999999996</v>
      </c>
      <c r="C316" s="65">
        <v>40343</v>
      </c>
      <c r="D316" s="1">
        <v>4.1631999999999998</v>
      </c>
    </row>
    <row r="317" spans="1:4" x14ac:dyDescent="0.25">
      <c r="A317" s="2">
        <v>40339</v>
      </c>
      <c r="B317" s="3">
        <v>4.3719000000000001</v>
      </c>
      <c r="C317" s="65">
        <v>40344</v>
      </c>
      <c r="D317" s="1">
        <v>4.0834000000000001</v>
      </c>
    </row>
    <row r="318" spans="1:4" x14ac:dyDescent="0.25">
      <c r="A318" s="2">
        <v>40340</v>
      </c>
      <c r="B318" s="3">
        <v>4.3228999999999997</v>
      </c>
      <c r="C318" s="65">
        <v>40345</v>
      </c>
      <c r="D318" s="1">
        <v>4.0873999999999997</v>
      </c>
    </row>
    <row r="319" spans="1:4" x14ac:dyDescent="0.25">
      <c r="A319" s="2">
        <v>40343</v>
      </c>
      <c r="B319" s="3">
        <v>4.2519999999999998</v>
      </c>
      <c r="C319" s="65">
        <v>40346</v>
      </c>
      <c r="D319" s="1">
        <v>4.0861999999999998</v>
      </c>
    </row>
    <row r="320" spans="1:4" x14ac:dyDescent="0.25">
      <c r="A320" s="2">
        <v>40344</v>
      </c>
      <c r="B320" s="3">
        <v>4.2005999999999997</v>
      </c>
      <c r="C320" s="65">
        <v>40347</v>
      </c>
      <c r="D320" s="1">
        <v>4.0500999999999996</v>
      </c>
    </row>
    <row r="321" spans="1:4" x14ac:dyDescent="0.25">
      <c r="A321" s="2">
        <v>40345</v>
      </c>
      <c r="B321" s="3">
        <v>4.1967999999999996</v>
      </c>
      <c r="C321" s="65">
        <v>40350</v>
      </c>
      <c r="D321" s="1">
        <v>3.6265999999999998</v>
      </c>
    </row>
    <row r="322" spans="1:4" x14ac:dyDescent="0.25">
      <c r="A322" s="2">
        <v>40346</v>
      </c>
      <c r="B322" s="3">
        <v>4.1824000000000003</v>
      </c>
      <c r="C322" s="65">
        <v>40351</v>
      </c>
      <c r="D322" s="1">
        <v>3.6619999999999999</v>
      </c>
    </row>
    <row r="323" spans="1:4" x14ac:dyDescent="0.25">
      <c r="A323" s="2">
        <v>40347</v>
      </c>
      <c r="B323" s="3">
        <v>4.1688000000000001</v>
      </c>
      <c r="C323" s="65">
        <v>40352</v>
      </c>
      <c r="D323" s="1">
        <v>3.7069999999999999</v>
      </c>
    </row>
    <row r="324" spans="1:4" x14ac:dyDescent="0.25">
      <c r="A324" s="2">
        <v>40350</v>
      </c>
      <c r="B324" s="3">
        <v>4.0542999999999996</v>
      </c>
      <c r="C324" s="65">
        <v>40353</v>
      </c>
      <c r="D324" s="1">
        <v>3.7845</v>
      </c>
    </row>
    <row r="325" spans="1:4" x14ac:dyDescent="0.25">
      <c r="A325" s="2">
        <v>40351</v>
      </c>
      <c r="B325" s="3">
        <v>4.0872000000000002</v>
      </c>
      <c r="C325" s="65">
        <v>40354</v>
      </c>
      <c r="D325" s="1">
        <v>3.7808000000000002</v>
      </c>
    </row>
    <row r="326" spans="1:4" x14ac:dyDescent="0.25">
      <c r="A326" s="2">
        <v>40352</v>
      </c>
      <c r="B326" s="3">
        <v>4.1494</v>
      </c>
      <c r="C326" s="65">
        <v>40357</v>
      </c>
      <c r="D326" s="1">
        <v>3.7490999999999999</v>
      </c>
    </row>
    <row r="327" spans="1:4" x14ac:dyDescent="0.25">
      <c r="A327" s="2">
        <v>40353</v>
      </c>
      <c r="B327" s="3">
        <v>4.2443999999999997</v>
      </c>
      <c r="C327" s="65">
        <v>40358</v>
      </c>
      <c r="D327" s="1">
        <v>3.9234</v>
      </c>
    </row>
    <row r="328" spans="1:4" x14ac:dyDescent="0.25">
      <c r="A328" s="2">
        <v>40354</v>
      </c>
      <c r="B328" s="3">
        <v>4.2702999999999998</v>
      </c>
      <c r="C328" s="65">
        <v>40359</v>
      </c>
      <c r="D328" s="1">
        <v>3.9079999999999999</v>
      </c>
    </row>
    <row r="329" spans="1:4" x14ac:dyDescent="0.25">
      <c r="A329" s="2">
        <v>40357</v>
      </c>
      <c r="B329" s="3">
        <v>4.2072000000000003</v>
      </c>
      <c r="C329" s="65">
        <v>40360</v>
      </c>
      <c r="D329" s="1">
        <v>3.984</v>
      </c>
    </row>
    <row r="330" spans="1:4" x14ac:dyDescent="0.25">
      <c r="A330" s="2">
        <v>40358</v>
      </c>
      <c r="B330" s="3">
        <v>4.3921000000000001</v>
      </c>
      <c r="C330" s="65">
        <v>40361</v>
      </c>
      <c r="D330" s="1">
        <v>3.9567999999999999</v>
      </c>
    </row>
    <row r="331" spans="1:4" x14ac:dyDescent="0.25">
      <c r="A331" s="2">
        <v>40359</v>
      </c>
      <c r="B331" s="3">
        <v>4.3631000000000002</v>
      </c>
      <c r="C331" s="65">
        <v>40364</v>
      </c>
      <c r="D331" s="1">
        <v>4.0041000000000002</v>
      </c>
    </row>
    <row r="332" spans="1:4" x14ac:dyDescent="0.25">
      <c r="A332" s="2">
        <v>40360</v>
      </c>
      <c r="B332" s="3">
        <v>4.4577999999999998</v>
      </c>
      <c r="C332" s="65">
        <v>40365</v>
      </c>
      <c r="D332" s="1">
        <v>3.899</v>
      </c>
    </row>
    <row r="333" spans="1:4" x14ac:dyDescent="0.25">
      <c r="A333" s="2">
        <v>40361</v>
      </c>
      <c r="B333" s="3">
        <v>4.4512999999999998</v>
      </c>
      <c r="C333" s="65">
        <v>40366</v>
      </c>
      <c r="D333" s="1">
        <v>3.7711000000000001</v>
      </c>
    </row>
    <row r="334" spans="1:4" x14ac:dyDescent="0.25">
      <c r="A334" s="2">
        <v>40364</v>
      </c>
      <c r="B334" s="3">
        <v>4.4771000000000001</v>
      </c>
      <c r="C334" s="65">
        <v>40367</v>
      </c>
      <c r="D334" s="1">
        <v>3.7281</v>
      </c>
    </row>
    <row r="335" spans="1:4" x14ac:dyDescent="0.25">
      <c r="A335" s="2">
        <v>40365</v>
      </c>
      <c r="B335" s="3">
        <v>4.3540999999999999</v>
      </c>
      <c r="C335" s="65">
        <v>40368</v>
      </c>
      <c r="D335" s="1">
        <v>3.6852999999999998</v>
      </c>
    </row>
    <row r="336" spans="1:4" x14ac:dyDescent="0.25">
      <c r="A336" s="2">
        <v>40366</v>
      </c>
      <c r="B336" s="3">
        <v>4.2620000000000005</v>
      </c>
      <c r="C336" s="65">
        <v>40371</v>
      </c>
      <c r="D336" s="1">
        <v>3.6783000000000001</v>
      </c>
    </row>
    <row r="337" spans="1:4" x14ac:dyDescent="0.25">
      <c r="A337" s="2">
        <v>40367</v>
      </c>
      <c r="B337" s="3">
        <v>4.2054</v>
      </c>
      <c r="C337" s="65">
        <v>40372</v>
      </c>
      <c r="D337" s="1">
        <v>3.6193999999999997</v>
      </c>
    </row>
    <row r="338" spans="1:4" x14ac:dyDescent="0.25">
      <c r="A338" s="2">
        <v>40368</v>
      </c>
      <c r="B338" s="3">
        <v>4.1822999999999997</v>
      </c>
      <c r="C338" s="65">
        <v>40373</v>
      </c>
      <c r="D338" s="1">
        <v>3.6276999999999999</v>
      </c>
    </row>
    <row r="339" spans="1:4" x14ac:dyDescent="0.25">
      <c r="A339" s="2">
        <v>40371</v>
      </c>
      <c r="B339" s="3">
        <v>4.1623999999999999</v>
      </c>
      <c r="C339" s="65">
        <v>40374</v>
      </c>
      <c r="D339" s="1">
        <v>3.6851000000000003</v>
      </c>
    </row>
    <row r="340" spans="1:4" x14ac:dyDescent="0.25">
      <c r="A340" s="2">
        <v>40372</v>
      </c>
      <c r="B340" s="3">
        <v>4.0841000000000003</v>
      </c>
      <c r="C340" s="65">
        <v>40375</v>
      </c>
      <c r="D340" s="1">
        <v>3.7433999999999998</v>
      </c>
    </row>
    <row r="341" spans="1:4" x14ac:dyDescent="0.25">
      <c r="A341" s="2">
        <v>40373</v>
      </c>
      <c r="B341" s="3">
        <v>4.0819999999999999</v>
      </c>
      <c r="C341" s="65">
        <v>40378</v>
      </c>
      <c r="D341" s="1">
        <v>3.7515000000000001</v>
      </c>
    </row>
    <row r="342" spans="1:4" x14ac:dyDescent="0.25">
      <c r="A342" s="2">
        <v>40374</v>
      </c>
      <c r="B342" s="3">
        <v>4.1365999999999996</v>
      </c>
      <c r="C342" s="65">
        <v>40379</v>
      </c>
      <c r="D342" s="1">
        <v>3.7763</v>
      </c>
    </row>
    <row r="343" spans="1:4" x14ac:dyDescent="0.25">
      <c r="A343" s="2">
        <v>40375</v>
      </c>
      <c r="B343" s="3">
        <v>4.2260999999999997</v>
      </c>
      <c r="C343" s="65">
        <v>40380</v>
      </c>
      <c r="D343" s="1">
        <v>3.7477</v>
      </c>
    </row>
    <row r="344" spans="1:4" x14ac:dyDescent="0.25">
      <c r="A344" s="2">
        <v>40378</v>
      </c>
      <c r="B344" s="3">
        <v>4.2436999999999996</v>
      </c>
      <c r="C344" s="65">
        <v>40381</v>
      </c>
      <c r="D344" s="1">
        <v>3.6470000000000002</v>
      </c>
    </row>
    <row r="345" spans="1:4" x14ac:dyDescent="0.25">
      <c r="A345" s="2">
        <v>40379</v>
      </c>
      <c r="B345" s="3">
        <v>4.2554999999999996</v>
      </c>
      <c r="C345" s="65">
        <v>40382</v>
      </c>
      <c r="D345" s="1">
        <v>3.6629</v>
      </c>
    </row>
    <row r="346" spans="1:4" x14ac:dyDescent="0.25">
      <c r="A346" s="2">
        <v>40380</v>
      </c>
      <c r="B346" s="3">
        <v>4.2358000000000002</v>
      </c>
      <c r="C346" s="65">
        <v>40385</v>
      </c>
      <c r="D346" s="1">
        <v>3.6249000000000002</v>
      </c>
    </row>
    <row r="347" spans="1:4" x14ac:dyDescent="0.25">
      <c r="A347" s="2">
        <v>40381</v>
      </c>
      <c r="B347" s="3">
        <v>4.1193</v>
      </c>
      <c r="C347" s="65">
        <v>40386</v>
      </c>
      <c r="D347" s="1">
        <v>3.5670000000000002</v>
      </c>
    </row>
    <row r="348" spans="1:4" x14ac:dyDescent="0.25">
      <c r="A348" s="2">
        <v>40382</v>
      </c>
      <c r="B348" s="3">
        <v>4.1117999999999997</v>
      </c>
      <c r="C348" s="65">
        <v>40387</v>
      </c>
      <c r="D348" s="1">
        <v>3.5798999999999999</v>
      </c>
    </row>
    <row r="349" spans="1:4" x14ac:dyDescent="0.25">
      <c r="A349" s="2">
        <v>40385</v>
      </c>
      <c r="B349" s="3">
        <v>4.0758000000000001</v>
      </c>
      <c r="C349" s="65">
        <v>40388</v>
      </c>
      <c r="D349" s="1">
        <v>3.5773000000000001</v>
      </c>
    </row>
    <row r="350" spans="1:4" x14ac:dyDescent="0.25">
      <c r="A350" s="2">
        <v>40386</v>
      </c>
      <c r="B350" s="3">
        <v>4.0373000000000001</v>
      </c>
      <c r="C350" s="65">
        <v>40389</v>
      </c>
      <c r="D350" s="1">
        <v>3.5901999999999998</v>
      </c>
    </row>
    <row r="351" spans="1:4" x14ac:dyDescent="0.25">
      <c r="A351" s="2">
        <v>40387</v>
      </c>
      <c r="B351" s="3">
        <v>4.0419999999999998</v>
      </c>
      <c r="C351" s="65">
        <v>40392</v>
      </c>
      <c r="D351" s="1">
        <v>3.5024999999999999</v>
      </c>
    </row>
    <row r="352" spans="1:4" x14ac:dyDescent="0.25">
      <c r="A352" s="2">
        <v>40388</v>
      </c>
      <c r="B352" s="3">
        <v>4.0613000000000001</v>
      </c>
      <c r="C352" s="65">
        <v>40393</v>
      </c>
      <c r="D352" s="1">
        <v>3.5106000000000002</v>
      </c>
    </row>
    <row r="353" spans="1:4" x14ac:dyDescent="0.25">
      <c r="A353" s="2">
        <v>40389</v>
      </c>
      <c r="B353" s="3">
        <v>4.0773000000000001</v>
      </c>
      <c r="C353" s="65">
        <v>40394</v>
      </c>
      <c r="D353" s="1">
        <v>3.5158</v>
      </c>
    </row>
    <row r="354" spans="1:4" x14ac:dyDescent="0.25">
      <c r="A354" s="2">
        <v>40392</v>
      </c>
      <c r="B354" s="3">
        <v>3.9617</v>
      </c>
      <c r="C354" s="65">
        <v>40395</v>
      </c>
      <c r="D354" s="1">
        <v>3.5427</v>
      </c>
    </row>
    <row r="355" spans="1:4" x14ac:dyDescent="0.25">
      <c r="A355" s="2">
        <v>40393</v>
      </c>
      <c r="B355" s="3">
        <v>3.9661999999999997</v>
      </c>
      <c r="C355" s="65">
        <v>40396</v>
      </c>
      <c r="D355" s="1">
        <v>3.5794999999999999</v>
      </c>
    </row>
    <row r="356" spans="1:4" x14ac:dyDescent="0.25">
      <c r="A356" s="2">
        <v>40394</v>
      </c>
      <c r="B356" s="3">
        <v>3.9576000000000002</v>
      </c>
      <c r="C356" s="65">
        <v>40399</v>
      </c>
      <c r="D356" s="1">
        <v>3.5362999999999998</v>
      </c>
    </row>
    <row r="357" spans="1:4" x14ac:dyDescent="0.25">
      <c r="A357" s="2">
        <v>40395</v>
      </c>
      <c r="B357" s="3">
        <v>3.9656000000000002</v>
      </c>
      <c r="C357" s="65">
        <v>40400</v>
      </c>
      <c r="D357" s="1">
        <v>3.5499000000000001</v>
      </c>
    </row>
    <row r="358" spans="1:4" x14ac:dyDescent="0.25">
      <c r="A358" s="2">
        <v>40396</v>
      </c>
      <c r="B358" s="3">
        <v>4.0227000000000004</v>
      </c>
      <c r="C358" s="65">
        <v>40401</v>
      </c>
      <c r="D358" s="1">
        <v>3.6673</v>
      </c>
    </row>
    <row r="359" spans="1:4" x14ac:dyDescent="0.25">
      <c r="A359" s="2">
        <v>40399</v>
      </c>
      <c r="B359" s="3">
        <v>3.9544999999999999</v>
      </c>
      <c r="C359" s="65">
        <v>40402</v>
      </c>
      <c r="D359" s="1">
        <v>3.6745000000000001</v>
      </c>
    </row>
    <row r="360" spans="1:4" x14ac:dyDescent="0.25">
      <c r="A360" s="2">
        <v>40400</v>
      </c>
      <c r="B360" s="3">
        <v>3.9929999999999999</v>
      </c>
      <c r="C360" s="65">
        <v>40403</v>
      </c>
      <c r="D360" s="1">
        <v>3.6863000000000001</v>
      </c>
    </row>
    <row r="361" spans="1:4" x14ac:dyDescent="0.25">
      <c r="A361" s="2">
        <v>40401</v>
      </c>
      <c r="B361" s="3">
        <v>4.1051000000000002</v>
      </c>
      <c r="C361" s="65">
        <v>40406</v>
      </c>
      <c r="D361" s="1">
        <v>3.6978999999999997</v>
      </c>
    </row>
    <row r="362" spans="1:4" x14ac:dyDescent="0.25">
      <c r="A362" s="2">
        <v>40402</v>
      </c>
      <c r="B362" s="3">
        <v>4.1101000000000001</v>
      </c>
      <c r="C362" s="65">
        <v>40407</v>
      </c>
      <c r="D362" s="1">
        <v>3.6515</v>
      </c>
    </row>
    <row r="363" spans="1:4" x14ac:dyDescent="0.25">
      <c r="A363" s="2">
        <v>40403</v>
      </c>
      <c r="B363" s="3">
        <v>4.1284999999999998</v>
      </c>
      <c r="C363" s="65">
        <v>40408</v>
      </c>
      <c r="D363" s="1">
        <v>3.6749000000000001</v>
      </c>
    </row>
    <row r="364" spans="1:4" x14ac:dyDescent="0.25">
      <c r="A364" s="2">
        <v>40406</v>
      </c>
      <c r="B364" s="3">
        <v>4.1444999999999999</v>
      </c>
      <c r="C364" s="65">
        <v>40409</v>
      </c>
      <c r="D364" s="1">
        <v>3.7518000000000002</v>
      </c>
    </row>
    <row r="365" spans="1:4" x14ac:dyDescent="0.25">
      <c r="A365" s="2">
        <v>40407</v>
      </c>
      <c r="B365" s="3">
        <v>4.0848000000000004</v>
      </c>
      <c r="C365" s="65">
        <v>40410</v>
      </c>
      <c r="D365" s="1">
        <v>3.7982</v>
      </c>
    </row>
    <row r="366" spans="1:4" x14ac:dyDescent="0.25">
      <c r="A366" s="2">
        <v>40408</v>
      </c>
      <c r="B366" s="3">
        <v>4.0983000000000001</v>
      </c>
      <c r="C366" s="65">
        <v>40413</v>
      </c>
      <c r="D366" s="1">
        <v>3.7816999999999998</v>
      </c>
    </row>
    <row r="367" spans="1:4" x14ac:dyDescent="0.25">
      <c r="A367" s="2">
        <v>40409</v>
      </c>
      <c r="B367" s="3">
        <v>4.1805000000000003</v>
      </c>
      <c r="C367" s="65">
        <v>40414</v>
      </c>
      <c r="D367" s="1">
        <v>3.8422999999999998</v>
      </c>
    </row>
    <row r="368" spans="1:4" x14ac:dyDescent="0.25">
      <c r="A368" s="2">
        <v>40410</v>
      </c>
      <c r="B368" s="3">
        <v>4.2305999999999999</v>
      </c>
      <c r="C368" s="65">
        <v>40415</v>
      </c>
      <c r="D368" s="1">
        <v>3.8875999999999999</v>
      </c>
    </row>
    <row r="369" spans="1:4" x14ac:dyDescent="0.25">
      <c r="A369" s="2">
        <v>40413</v>
      </c>
      <c r="B369" s="3">
        <v>4.2038000000000002</v>
      </c>
      <c r="C369" s="65">
        <v>40416</v>
      </c>
      <c r="D369" s="1">
        <v>3.8344</v>
      </c>
    </row>
    <row r="370" spans="1:4" x14ac:dyDescent="0.25">
      <c r="A370" s="2">
        <v>40414</v>
      </c>
      <c r="B370" s="3">
        <v>4.2782999999999998</v>
      </c>
      <c r="C370" s="65">
        <v>40417</v>
      </c>
      <c r="D370" s="1">
        <v>3.8185000000000002</v>
      </c>
    </row>
    <row r="371" spans="1:4" x14ac:dyDescent="0.25">
      <c r="A371" s="2">
        <v>40415</v>
      </c>
      <c r="B371" s="3">
        <v>4.3231999999999999</v>
      </c>
      <c r="C371" s="65">
        <v>40420</v>
      </c>
      <c r="D371" s="1">
        <v>3.8412999999999999</v>
      </c>
    </row>
    <row r="372" spans="1:4" x14ac:dyDescent="0.25">
      <c r="A372" s="2">
        <v>40416</v>
      </c>
      <c r="B372" s="3">
        <v>4.2907999999999999</v>
      </c>
      <c r="C372" s="65">
        <v>40421</v>
      </c>
      <c r="D372" s="1">
        <v>3.8345000000000002</v>
      </c>
    </row>
    <row r="373" spans="1:4" x14ac:dyDescent="0.25">
      <c r="A373" s="2">
        <v>40417</v>
      </c>
      <c r="B373" s="3">
        <v>4.2526000000000002</v>
      </c>
      <c r="C373" s="65">
        <v>40422</v>
      </c>
      <c r="D373" s="1">
        <v>3.7149000000000001</v>
      </c>
    </row>
    <row r="374" spans="1:4" x14ac:dyDescent="0.25">
      <c r="A374" s="2">
        <v>40420</v>
      </c>
      <c r="B374" s="3">
        <v>4.2750000000000004</v>
      </c>
      <c r="C374" s="65">
        <v>40423</v>
      </c>
      <c r="D374" s="1">
        <v>3.7072000000000003</v>
      </c>
    </row>
    <row r="375" spans="1:4" x14ac:dyDescent="0.25">
      <c r="A375" s="2">
        <v>40421</v>
      </c>
      <c r="B375" s="3">
        <v>4.2645999999999997</v>
      </c>
      <c r="C375" s="65">
        <v>40424</v>
      </c>
      <c r="D375" s="1">
        <v>3.6663999999999999</v>
      </c>
    </row>
    <row r="376" spans="1:4" x14ac:dyDescent="0.25">
      <c r="A376" s="2">
        <v>40422</v>
      </c>
      <c r="B376" s="3">
        <v>4.1196000000000002</v>
      </c>
      <c r="C376" s="65">
        <v>40427</v>
      </c>
      <c r="D376" s="1">
        <v>3.6625999999999999</v>
      </c>
    </row>
    <row r="377" spans="1:4" x14ac:dyDescent="0.25">
      <c r="A377" s="2">
        <v>40423</v>
      </c>
      <c r="B377" s="3">
        <v>4.1196999999999999</v>
      </c>
      <c r="C377" s="65">
        <v>40428</v>
      </c>
      <c r="D377" s="1">
        <v>3.7103000000000002</v>
      </c>
    </row>
    <row r="378" spans="1:4" x14ac:dyDescent="0.25">
      <c r="A378" s="2">
        <v>40424</v>
      </c>
      <c r="B378" s="3">
        <v>4.0731000000000002</v>
      </c>
      <c r="C378" s="65">
        <v>40429</v>
      </c>
      <c r="D378" s="1">
        <v>3.677</v>
      </c>
    </row>
    <row r="379" spans="1:4" x14ac:dyDescent="0.25">
      <c r="A379" s="2">
        <v>40427</v>
      </c>
      <c r="B379" s="3">
        <v>4.0621999999999998</v>
      </c>
      <c r="C379" s="65">
        <v>40430</v>
      </c>
      <c r="D379" s="1">
        <v>3.6278999999999999</v>
      </c>
    </row>
    <row r="380" spans="1:4" x14ac:dyDescent="0.25">
      <c r="A380" s="2">
        <v>40428</v>
      </c>
      <c r="B380" s="3">
        <v>4.1016000000000004</v>
      </c>
      <c r="C380" s="65">
        <v>40431</v>
      </c>
      <c r="D380" s="1">
        <v>3.6322999999999999</v>
      </c>
    </row>
    <row r="381" spans="1:4" x14ac:dyDescent="0.25">
      <c r="A381" s="2">
        <v>40429</v>
      </c>
      <c r="B381" s="3">
        <v>4.0632999999999999</v>
      </c>
      <c r="C381" s="65">
        <v>40434</v>
      </c>
      <c r="D381" s="1">
        <v>3.6032000000000002</v>
      </c>
    </row>
    <row r="382" spans="1:4" x14ac:dyDescent="0.25">
      <c r="A382" s="2">
        <v>40430</v>
      </c>
      <c r="B382" s="3">
        <v>4.0201000000000002</v>
      </c>
      <c r="C382" s="65">
        <v>40435</v>
      </c>
      <c r="D382" s="1">
        <v>3.6028000000000002</v>
      </c>
    </row>
    <row r="383" spans="1:4" x14ac:dyDescent="0.25">
      <c r="A383" s="2">
        <v>40431</v>
      </c>
      <c r="B383" s="3">
        <v>4.0231000000000003</v>
      </c>
      <c r="C383" s="65">
        <v>40436</v>
      </c>
      <c r="D383" s="1">
        <v>3.6254</v>
      </c>
    </row>
    <row r="384" spans="1:4" x14ac:dyDescent="0.25">
      <c r="A384" s="2">
        <v>40434</v>
      </c>
      <c r="B384" s="3">
        <v>3.9877000000000002</v>
      </c>
      <c r="C384" s="65">
        <v>40437</v>
      </c>
      <c r="D384" s="1">
        <v>3.6585000000000001</v>
      </c>
    </row>
    <row r="385" spans="1:4" x14ac:dyDescent="0.25">
      <c r="A385" s="2">
        <v>40435</v>
      </c>
      <c r="B385" s="3">
        <v>3.9857</v>
      </c>
      <c r="C385" s="65">
        <v>40438</v>
      </c>
      <c r="D385" s="1">
        <v>3.6880999999999999</v>
      </c>
    </row>
    <row r="386" spans="1:4" x14ac:dyDescent="0.25">
      <c r="A386" s="2">
        <v>40436</v>
      </c>
      <c r="B386" s="3">
        <v>4.0030000000000001</v>
      </c>
      <c r="C386" s="65">
        <v>40441</v>
      </c>
      <c r="D386" s="1">
        <v>3.6574999999999998</v>
      </c>
    </row>
    <row r="387" spans="1:4" x14ac:dyDescent="0.25">
      <c r="A387" s="2">
        <v>40437</v>
      </c>
      <c r="B387" s="3">
        <v>4.0170000000000003</v>
      </c>
      <c r="C387" s="65">
        <v>40442</v>
      </c>
      <c r="D387" s="1">
        <v>3.6598000000000002</v>
      </c>
    </row>
    <row r="388" spans="1:4" x14ac:dyDescent="0.25">
      <c r="A388" s="2">
        <v>40438</v>
      </c>
      <c r="B388" s="3">
        <v>4.0567000000000002</v>
      </c>
      <c r="C388" s="65">
        <v>40443</v>
      </c>
      <c r="D388" s="1">
        <v>3.7271999999999998</v>
      </c>
    </row>
    <row r="389" spans="1:4" x14ac:dyDescent="0.25">
      <c r="A389" s="2">
        <v>40441</v>
      </c>
      <c r="B389" s="3">
        <v>3.9786999999999999</v>
      </c>
      <c r="C389" s="65">
        <v>40444</v>
      </c>
      <c r="D389" s="1">
        <v>3.7461000000000002</v>
      </c>
    </row>
    <row r="390" spans="1:4" x14ac:dyDescent="0.25">
      <c r="A390" s="2">
        <v>40442</v>
      </c>
      <c r="B390" s="3">
        <v>3.9903</v>
      </c>
      <c r="C390" s="65">
        <v>40445</v>
      </c>
      <c r="D390" s="1">
        <v>3.6833999999999998</v>
      </c>
    </row>
    <row r="391" spans="1:4" x14ac:dyDescent="0.25">
      <c r="A391" s="2">
        <v>40443</v>
      </c>
      <c r="B391" s="3">
        <v>4.0354999999999999</v>
      </c>
      <c r="C391" s="65">
        <v>40448</v>
      </c>
      <c r="D391" s="1">
        <v>3.6858</v>
      </c>
    </row>
    <row r="392" spans="1:4" x14ac:dyDescent="0.25">
      <c r="A392" s="2">
        <v>40444</v>
      </c>
      <c r="B392" s="3">
        <v>4.0564</v>
      </c>
      <c r="C392" s="65">
        <v>40449</v>
      </c>
      <c r="D392" s="1">
        <v>3.6951999999999998</v>
      </c>
    </row>
    <row r="393" spans="1:4" x14ac:dyDescent="0.25">
      <c r="A393" s="2">
        <v>40445</v>
      </c>
      <c r="B393" s="3">
        <v>3.9777</v>
      </c>
      <c r="C393" s="65">
        <v>40450</v>
      </c>
      <c r="D393" s="1">
        <v>3.7259000000000002</v>
      </c>
    </row>
    <row r="394" spans="1:4" x14ac:dyDescent="0.25">
      <c r="A394" s="2">
        <v>40448</v>
      </c>
      <c r="B394" s="3">
        <v>4.0012999999999996</v>
      </c>
      <c r="C394" s="65">
        <v>40451</v>
      </c>
      <c r="D394" s="1">
        <v>3.7018</v>
      </c>
    </row>
    <row r="395" spans="1:4" x14ac:dyDescent="0.25">
      <c r="A395" s="2">
        <v>40449</v>
      </c>
      <c r="B395" s="3">
        <v>4.0037000000000003</v>
      </c>
      <c r="C395" s="65">
        <v>40452</v>
      </c>
      <c r="D395" s="1">
        <v>3.7225000000000001</v>
      </c>
    </row>
    <row r="396" spans="1:4" x14ac:dyDescent="0.25">
      <c r="A396" s="2">
        <v>40450</v>
      </c>
      <c r="B396" s="3">
        <v>4.0355999999999996</v>
      </c>
      <c r="C396" s="65">
        <v>40455</v>
      </c>
      <c r="D396" s="1">
        <v>3.7781000000000002</v>
      </c>
    </row>
    <row r="397" spans="1:4" x14ac:dyDescent="0.25">
      <c r="A397" s="2">
        <v>40451</v>
      </c>
      <c r="B397" s="3">
        <v>4.0427</v>
      </c>
      <c r="C397" s="65">
        <v>40456</v>
      </c>
      <c r="D397" s="1">
        <v>3.7008999999999999</v>
      </c>
    </row>
    <row r="398" spans="1:4" x14ac:dyDescent="0.25">
      <c r="A398" s="2">
        <v>40452</v>
      </c>
      <c r="B398" s="3">
        <v>4.0648</v>
      </c>
      <c r="C398" s="65">
        <v>40457</v>
      </c>
      <c r="D398" s="1">
        <v>3.6903999999999999</v>
      </c>
    </row>
    <row r="399" spans="1:4" x14ac:dyDescent="0.25">
      <c r="A399" s="2">
        <v>40455</v>
      </c>
      <c r="B399" s="3">
        <v>4.1128</v>
      </c>
      <c r="C399" s="65">
        <v>40458</v>
      </c>
      <c r="D399" s="1">
        <v>3.6684000000000001</v>
      </c>
    </row>
    <row r="400" spans="1:4" x14ac:dyDescent="0.25">
      <c r="A400" s="2">
        <v>40456</v>
      </c>
      <c r="B400" s="3">
        <v>4.0270000000000001</v>
      </c>
      <c r="C400" s="65">
        <v>40459</v>
      </c>
      <c r="D400" s="1">
        <v>3.6579999999999999</v>
      </c>
    </row>
    <row r="401" spans="1:4" x14ac:dyDescent="0.25">
      <c r="A401" s="2">
        <v>40457</v>
      </c>
      <c r="B401" s="3">
        <v>3.996</v>
      </c>
      <c r="C401" s="65">
        <v>40462</v>
      </c>
      <c r="D401" s="1">
        <v>3.7461000000000002</v>
      </c>
    </row>
    <row r="402" spans="1:4" x14ac:dyDescent="0.25">
      <c r="A402" s="2">
        <v>40458</v>
      </c>
      <c r="B402" s="3">
        <v>4.1075999999999997</v>
      </c>
      <c r="C402" s="65">
        <v>40463</v>
      </c>
      <c r="D402" s="1">
        <v>3.7618999999999998</v>
      </c>
    </row>
    <row r="403" spans="1:4" x14ac:dyDescent="0.25">
      <c r="A403" s="2">
        <v>40459</v>
      </c>
      <c r="B403" s="3">
        <v>4.1097000000000001</v>
      </c>
      <c r="C403" s="65">
        <v>40464</v>
      </c>
      <c r="D403" s="1">
        <v>3.5897000000000001</v>
      </c>
    </row>
    <row r="404" spans="1:4" x14ac:dyDescent="0.25">
      <c r="A404" s="2">
        <v>40462</v>
      </c>
      <c r="B404" s="3">
        <v>4.1033999999999997</v>
      </c>
      <c r="C404" s="65">
        <v>40465</v>
      </c>
      <c r="D404" s="1">
        <v>3.5983000000000001</v>
      </c>
    </row>
    <row r="405" spans="1:4" x14ac:dyDescent="0.25">
      <c r="A405" s="2">
        <v>40463</v>
      </c>
      <c r="B405" s="3">
        <v>4.1241000000000003</v>
      </c>
      <c r="C405" s="65">
        <v>40466</v>
      </c>
      <c r="D405" s="1">
        <v>3.6038999999999999</v>
      </c>
    </row>
    <row r="406" spans="1:4" x14ac:dyDescent="0.25">
      <c r="A406" s="2">
        <v>40464</v>
      </c>
      <c r="B406" s="3">
        <v>4.03</v>
      </c>
      <c r="C406" s="65">
        <v>40469</v>
      </c>
      <c r="D406" s="1">
        <v>3.5906000000000002</v>
      </c>
    </row>
    <row r="407" spans="1:4" x14ac:dyDescent="0.25">
      <c r="A407" s="2">
        <v>40465</v>
      </c>
      <c r="B407" s="3">
        <v>4.0362999999999998</v>
      </c>
      <c r="C407" s="65">
        <v>40470</v>
      </c>
      <c r="D407" s="1">
        <v>3.5948000000000002</v>
      </c>
    </row>
    <row r="408" spans="1:4" x14ac:dyDescent="0.25">
      <c r="A408" s="2">
        <v>40466</v>
      </c>
      <c r="B408" s="3">
        <v>4.0284000000000004</v>
      </c>
      <c r="C408" s="65">
        <v>40471</v>
      </c>
      <c r="D408" s="1">
        <v>3.5625</v>
      </c>
    </row>
    <row r="409" spans="1:4" x14ac:dyDescent="0.25">
      <c r="A409" s="2">
        <v>40469</v>
      </c>
      <c r="B409" s="3">
        <v>4.0156000000000001</v>
      </c>
      <c r="C409" s="65">
        <v>40472</v>
      </c>
      <c r="D409" s="1">
        <v>3.5310999999999999</v>
      </c>
    </row>
    <row r="410" spans="1:4" x14ac:dyDescent="0.25">
      <c r="A410" s="2">
        <v>40470</v>
      </c>
      <c r="B410" s="3">
        <v>4.0346000000000002</v>
      </c>
      <c r="C410" s="65">
        <v>40473</v>
      </c>
      <c r="D410" s="1">
        <v>3.5442999999999998</v>
      </c>
    </row>
    <row r="411" spans="1:4" x14ac:dyDescent="0.25">
      <c r="A411" s="2">
        <v>40471</v>
      </c>
      <c r="B411" s="3">
        <v>4.0145</v>
      </c>
      <c r="C411" s="65">
        <v>40476</v>
      </c>
      <c r="D411" s="1">
        <v>3.5620000000000003</v>
      </c>
    </row>
    <row r="412" spans="1:4" x14ac:dyDescent="0.25">
      <c r="A412" s="2">
        <v>40472</v>
      </c>
      <c r="B412" s="3">
        <v>3.9716</v>
      </c>
      <c r="C412" s="65">
        <v>40477</v>
      </c>
      <c r="D412" s="1">
        <v>3.5739000000000001</v>
      </c>
    </row>
    <row r="413" spans="1:4" x14ac:dyDescent="0.25">
      <c r="A413" s="2">
        <v>40473</v>
      </c>
      <c r="B413" s="3">
        <v>3.9834000000000001</v>
      </c>
      <c r="C413" s="65">
        <v>40478</v>
      </c>
      <c r="D413" s="1">
        <v>3.5928</v>
      </c>
    </row>
    <row r="414" spans="1:4" x14ac:dyDescent="0.25">
      <c r="A414" s="2">
        <v>40476</v>
      </c>
      <c r="B414" s="3">
        <v>3.9866000000000001</v>
      </c>
      <c r="C414" s="65">
        <v>40479</v>
      </c>
      <c r="D414" s="1">
        <v>3.5495999999999999</v>
      </c>
    </row>
    <row r="415" spans="1:4" x14ac:dyDescent="0.25">
      <c r="A415" s="2">
        <v>40477</v>
      </c>
      <c r="B415" s="3">
        <v>4.0076999999999998</v>
      </c>
      <c r="C415" s="65">
        <v>40480</v>
      </c>
      <c r="D415" s="1">
        <v>3.5594000000000001</v>
      </c>
    </row>
    <row r="416" spans="1:4" x14ac:dyDescent="0.25">
      <c r="A416" s="2">
        <v>40478</v>
      </c>
      <c r="B416" s="3">
        <v>4.0457999999999998</v>
      </c>
      <c r="C416" s="65">
        <v>40483</v>
      </c>
      <c r="D416" s="1">
        <v>3.6040000000000001</v>
      </c>
    </row>
    <row r="417" spans="1:4" x14ac:dyDescent="0.25">
      <c r="A417" s="2">
        <v>40479</v>
      </c>
      <c r="B417" s="3">
        <v>4.0228999999999999</v>
      </c>
      <c r="C417" s="65">
        <v>40484</v>
      </c>
      <c r="D417" s="1">
        <v>3.5682</v>
      </c>
    </row>
    <row r="418" spans="1:4" x14ac:dyDescent="0.25">
      <c r="A418" s="2">
        <v>40480</v>
      </c>
      <c r="B418" s="3">
        <v>4.0236999999999998</v>
      </c>
      <c r="C418" s="65">
        <v>40485</v>
      </c>
      <c r="D418" s="1">
        <v>3.6047000000000002</v>
      </c>
    </row>
    <row r="419" spans="1:4" x14ac:dyDescent="0.25">
      <c r="A419" s="2">
        <v>40483</v>
      </c>
      <c r="B419" s="3">
        <v>4.0354000000000001</v>
      </c>
      <c r="C419" s="65">
        <v>40486</v>
      </c>
      <c r="D419" s="1">
        <v>3.5563000000000002</v>
      </c>
    </row>
    <row r="420" spans="1:4" x14ac:dyDescent="0.25">
      <c r="A420" s="2">
        <v>40484</v>
      </c>
      <c r="B420" s="3">
        <v>4.0011999999999999</v>
      </c>
      <c r="C420" s="65">
        <v>40487</v>
      </c>
      <c r="D420" s="1">
        <v>3.6024000000000003</v>
      </c>
    </row>
    <row r="421" spans="1:4" x14ac:dyDescent="0.25">
      <c r="A421" s="2">
        <v>40485</v>
      </c>
      <c r="B421" s="3">
        <v>4.0444000000000004</v>
      </c>
      <c r="C421" s="65">
        <v>40490</v>
      </c>
      <c r="D421" s="1">
        <v>3.5964999999999998</v>
      </c>
    </row>
    <row r="422" spans="1:4" x14ac:dyDescent="0.25">
      <c r="A422" s="2">
        <v>40486</v>
      </c>
      <c r="B422" s="3">
        <v>3.9689999999999999</v>
      </c>
      <c r="C422" s="65">
        <v>40491</v>
      </c>
      <c r="D422" s="1">
        <v>3.5383</v>
      </c>
    </row>
    <row r="423" spans="1:4" x14ac:dyDescent="0.25">
      <c r="A423" s="2">
        <v>40487</v>
      </c>
      <c r="B423" s="3">
        <v>3.9828999999999999</v>
      </c>
      <c r="C423" s="65">
        <v>40492</v>
      </c>
      <c r="D423" s="1">
        <v>3.6257000000000001</v>
      </c>
    </row>
    <row r="424" spans="1:4" x14ac:dyDescent="0.25">
      <c r="A424" s="2">
        <v>40490</v>
      </c>
      <c r="B424" s="3">
        <v>4.0309999999999997</v>
      </c>
      <c r="C424" s="65">
        <v>40493</v>
      </c>
      <c r="D424" s="1">
        <v>3.6608999999999998</v>
      </c>
    </row>
    <row r="425" spans="1:4" x14ac:dyDescent="0.25">
      <c r="A425" s="2">
        <v>40491</v>
      </c>
      <c r="B425" s="3">
        <v>3.9992999999999999</v>
      </c>
      <c r="C425" s="65">
        <v>40494</v>
      </c>
      <c r="D425" s="1">
        <v>3.6654999999999998</v>
      </c>
    </row>
    <row r="426" spans="1:4" x14ac:dyDescent="0.25">
      <c r="A426" s="2">
        <v>40492</v>
      </c>
      <c r="B426" s="3">
        <v>4.0651000000000002</v>
      </c>
      <c r="C426" s="65">
        <v>40497</v>
      </c>
      <c r="D426" s="1">
        <v>3.6368999999999998</v>
      </c>
    </row>
    <row r="427" spans="1:4" x14ac:dyDescent="0.25">
      <c r="A427" s="2">
        <v>40493</v>
      </c>
      <c r="B427" s="3">
        <v>4.0861999999999998</v>
      </c>
      <c r="C427" s="65">
        <v>40498</v>
      </c>
      <c r="D427" s="1">
        <v>3.7130000000000001</v>
      </c>
    </row>
    <row r="428" spans="1:4" x14ac:dyDescent="0.25">
      <c r="A428" s="2">
        <v>40494</v>
      </c>
      <c r="B428" s="3">
        <v>4.0989000000000004</v>
      </c>
      <c r="C428" s="65">
        <v>40499</v>
      </c>
      <c r="D428" s="1">
        <v>3.6993</v>
      </c>
    </row>
    <row r="429" spans="1:4" x14ac:dyDescent="0.25">
      <c r="A429" s="2">
        <v>40497</v>
      </c>
      <c r="B429" s="3">
        <v>4.0614999999999997</v>
      </c>
      <c r="C429" s="65">
        <v>40500</v>
      </c>
      <c r="D429" s="1">
        <v>3.6566000000000001</v>
      </c>
    </row>
    <row r="430" spans="1:4" x14ac:dyDescent="0.25">
      <c r="A430" s="2">
        <v>40498</v>
      </c>
      <c r="B430" s="3">
        <v>4.1588000000000003</v>
      </c>
      <c r="C430" s="65">
        <v>40501</v>
      </c>
      <c r="D430" s="1">
        <v>3.6755</v>
      </c>
    </row>
    <row r="431" spans="1:4" x14ac:dyDescent="0.25">
      <c r="A431" s="2">
        <v>40499</v>
      </c>
      <c r="B431" s="3">
        <v>4.1277999999999997</v>
      </c>
      <c r="C431" s="65">
        <v>40504</v>
      </c>
      <c r="D431" s="1">
        <v>3.7917000000000001</v>
      </c>
    </row>
    <row r="432" spans="1:4" x14ac:dyDescent="0.25">
      <c r="A432" s="2">
        <v>40500</v>
      </c>
      <c r="B432" s="3">
        <v>4.0518000000000001</v>
      </c>
      <c r="C432" s="65">
        <v>40505</v>
      </c>
      <c r="D432" s="1">
        <v>3.8717999999999999</v>
      </c>
    </row>
    <row r="433" spans="1:4" x14ac:dyDescent="0.25">
      <c r="A433" s="2">
        <v>40501</v>
      </c>
      <c r="B433" s="3">
        <v>4.0659999999999998</v>
      </c>
      <c r="C433" s="65">
        <v>40506</v>
      </c>
      <c r="D433" s="1">
        <v>3.8736999999999999</v>
      </c>
    </row>
    <row r="434" spans="1:4" x14ac:dyDescent="0.25">
      <c r="A434" s="2">
        <v>40504</v>
      </c>
      <c r="B434" s="3">
        <v>4.1155999999999997</v>
      </c>
      <c r="C434" s="65">
        <v>40507</v>
      </c>
      <c r="D434" s="1">
        <v>3.8727</v>
      </c>
    </row>
    <row r="435" spans="1:4" x14ac:dyDescent="0.25">
      <c r="A435" s="2">
        <v>40505</v>
      </c>
      <c r="B435" s="3">
        <v>4.2239000000000004</v>
      </c>
      <c r="C435" s="65">
        <v>40508</v>
      </c>
      <c r="D435" s="1">
        <v>3.8925999999999998</v>
      </c>
    </row>
    <row r="436" spans="1:4" x14ac:dyDescent="0.25">
      <c r="A436" s="2">
        <v>40506</v>
      </c>
      <c r="B436" s="3">
        <v>4.1952999999999996</v>
      </c>
      <c r="C436" s="65">
        <v>40511</v>
      </c>
      <c r="D436" s="1">
        <v>4.0090000000000003</v>
      </c>
    </row>
    <row r="437" spans="1:4" x14ac:dyDescent="0.25">
      <c r="A437" s="2">
        <v>40507</v>
      </c>
      <c r="B437" s="3">
        <v>4.1847000000000003</v>
      </c>
      <c r="C437" s="65">
        <v>40512</v>
      </c>
      <c r="D437" s="1">
        <v>4.0528000000000004</v>
      </c>
    </row>
    <row r="438" spans="1:4" x14ac:dyDescent="0.25">
      <c r="A438" s="2">
        <v>40508</v>
      </c>
      <c r="B438" s="3">
        <v>4.2275999999999998</v>
      </c>
      <c r="C438" s="65">
        <v>40513</v>
      </c>
      <c r="D438" s="1">
        <v>3.9575</v>
      </c>
    </row>
    <row r="439" spans="1:4" x14ac:dyDescent="0.25">
      <c r="A439" s="2">
        <v>40511</v>
      </c>
      <c r="B439" s="3">
        <v>4.3396999999999997</v>
      </c>
      <c r="C439" s="65">
        <v>40514</v>
      </c>
      <c r="D439" s="1">
        <v>3.8612000000000002</v>
      </c>
    </row>
    <row r="440" spans="1:4" x14ac:dyDescent="0.25">
      <c r="A440" s="2">
        <v>40512</v>
      </c>
      <c r="B440" s="3">
        <v>4.3707000000000003</v>
      </c>
      <c r="C440" s="65">
        <v>40515</v>
      </c>
      <c r="D440" s="1">
        <v>3.8483999999999998</v>
      </c>
    </row>
    <row r="441" spans="1:4" x14ac:dyDescent="0.25">
      <c r="A441" s="2">
        <v>40513</v>
      </c>
      <c r="B441" s="3">
        <v>4.1929999999999996</v>
      </c>
      <c r="C441" s="65">
        <v>40518</v>
      </c>
      <c r="D441" s="1">
        <v>3.8851</v>
      </c>
    </row>
    <row r="442" spans="1:4" x14ac:dyDescent="0.25">
      <c r="A442" s="2">
        <v>40514</v>
      </c>
      <c r="B442" s="3">
        <v>4.1032999999999999</v>
      </c>
      <c r="C442" s="65">
        <v>40519</v>
      </c>
      <c r="D442" s="1">
        <v>3.85</v>
      </c>
    </row>
    <row r="443" spans="1:4" x14ac:dyDescent="0.25">
      <c r="A443" s="2">
        <v>40515</v>
      </c>
      <c r="B443" s="3">
        <v>4.1017999999999999</v>
      </c>
      <c r="C443" s="65">
        <v>40520</v>
      </c>
      <c r="D443" s="1">
        <v>3.7968000000000002</v>
      </c>
    </row>
    <row r="444" spans="1:4" x14ac:dyDescent="0.25">
      <c r="A444" s="2">
        <v>40518</v>
      </c>
      <c r="B444" s="3">
        <v>4.1201999999999996</v>
      </c>
      <c r="C444" s="65">
        <v>40521</v>
      </c>
      <c r="D444" s="1">
        <v>3.7709999999999999</v>
      </c>
    </row>
    <row r="445" spans="1:4" x14ac:dyDescent="0.25">
      <c r="A445" s="2">
        <v>40519</v>
      </c>
      <c r="B445" s="3">
        <v>4.0720000000000001</v>
      </c>
      <c r="C445" s="65">
        <v>40522</v>
      </c>
      <c r="D445" s="1">
        <v>3.7795000000000001</v>
      </c>
    </row>
    <row r="446" spans="1:4" x14ac:dyDescent="0.25">
      <c r="A446" s="2">
        <v>40520</v>
      </c>
      <c r="B446" s="3">
        <v>4.0486000000000004</v>
      </c>
      <c r="C446" s="65">
        <v>40525</v>
      </c>
      <c r="D446" s="1">
        <v>3.7524999999999999</v>
      </c>
    </row>
    <row r="447" spans="1:4" x14ac:dyDescent="0.25">
      <c r="A447" s="2">
        <v>40521</v>
      </c>
      <c r="B447" s="3">
        <v>4.0175999999999998</v>
      </c>
      <c r="C447" s="65">
        <v>40526</v>
      </c>
      <c r="D447" s="1">
        <v>3.7391000000000001</v>
      </c>
    </row>
    <row r="448" spans="1:4" x14ac:dyDescent="0.25">
      <c r="A448" s="2">
        <v>40522</v>
      </c>
      <c r="B448" s="3">
        <v>4.0191999999999997</v>
      </c>
      <c r="C448" s="65">
        <v>40527</v>
      </c>
      <c r="D448" s="1">
        <v>3.7938000000000001</v>
      </c>
    </row>
    <row r="449" spans="1:4" x14ac:dyDescent="0.25">
      <c r="A449" s="2">
        <v>40525</v>
      </c>
      <c r="B449" s="3">
        <v>3.9969000000000001</v>
      </c>
      <c r="C449" s="65">
        <v>40528</v>
      </c>
      <c r="D449" s="1">
        <v>3.8018999999999998</v>
      </c>
    </row>
    <row r="450" spans="1:4" x14ac:dyDescent="0.25">
      <c r="A450" s="2">
        <v>40526</v>
      </c>
      <c r="B450" s="3">
        <v>3.9881000000000002</v>
      </c>
      <c r="C450" s="65">
        <v>40529</v>
      </c>
      <c r="D450" s="1">
        <v>3.8582999999999998</v>
      </c>
    </row>
    <row r="451" spans="1:4" x14ac:dyDescent="0.25">
      <c r="A451" s="2">
        <v>40527</v>
      </c>
      <c r="B451" s="3">
        <v>4.0157999999999996</v>
      </c>
      <c r="C451" s="65">
        <v>40532</v>
      </c>
      <c r="D451" s="1">
        <v>3.7534999999999998</v>
      </c>
    </row>
    <row r="452" spans="1:4" x14ac:dyDescent="0.25">
      <c r="A452" s="2">
        <v>40528</v>
      </c>
      <c r="B452" s="3">
        <v>4.0103999999999997</v>
      </c>
      <c r="C452" s="65">
        <v>40533</v>
      </c>
      <c r="D452" s="1">
        <v>3.6878000000000002</v>
      </c>
    </row>
    <row r="453" spans="1:4" x14ac:dyDescent="0.25">
      <c r="A453" s="2">
        <v>40529</v>
      </c>
      <c r="B453" s="3">
        <v>4.0445000000000002</v>
      </c>
      <c r="C453" s="65">
        <v>40534</v>
      </c>
      <c r="D453" s="1">
        <v>3.6884000000000001</v>
      </c>
    </row>
    <row r="454" spans="1:4" x14ac:dyDescent="0.25">
      <c r="A454" s="2">
        <v>40532</v>
      </c>
      <c r="B454" s="3">
        <v>4.0209999999999999</v>
      </c>
      <c r="C454" s="65">
        <v>40535</v>
      </c>
      <c r="D454" s="1">
        <v>3.6810999999999998</v>
      </c>
    </row>
    <row r="455" spans="1:4" x14ac:dyDescent="0.25">
      <c r="A455" s="2">
        <v>40533</v>
      </c>
      <c r="B455" s="3">
        <v>3.9681999999999999</v>
      </c>
      <c r="C455" s="65">
        <v>40539</v>
      </c>
      <c r="D455" s="1">
        <v>3.7279</v>
      </c>
    </row>
    <row r="456" spans="1:4" x14ac:dyDescent="0.25">
      <c r="A456" s="2">
        <v>40534</v>
      </c>
      <c r="B456" s="3">
        <v>3.9784000000000002</v>
      </c>
      <c r="C456" s="65">
        <v>40540</v>
      </c>
      <c r="D456" s="1">
        <v>3.7397999999999998</v>
      </c>
    </row>
    <row r="457" spans="1:4" x14ac:dyDescent="0.25">
      <c r="A457" s="2">
        <v>40535</v>
      </c>
      <c r="B457" s="3">
        <v>3.9855</v>
      </c>
      <c r="C457" s="65">
        <v>40541</v>
      </c>
      <c r="D457" s="1">
        <v>3.7355999999999998</v>
      </c>
    </row>
    <row r="458" spans="1:4" x14ac:dyDescent="0.25">
      <c r="A458" s="2">
        <v>40536</v>
      </c>
      <c r="B458" s="3">
        <v>3.9891000000000001</v>
      </c>
      <c r="C458" s="65">
        <v>40542</v>
      </c>
      <c r="D458" s="1">
        <v>3.7907999999999999</v>
      </c>
    </row>
    <row r="459" spans="1:4" x14ac:dyDescent="0.25">
      <c r="A459" s="2">
        <v>40539</v>
      </c>
      <c r="B459" s="3">
        <v>4.0391000000000004</v>
      </c>
      <c r="C459" s="65">
        <v>40546</v>
      </c>
      <c r="D459" s="1">
        <v>3.7364999999999999</v>
      </c>
    </row>
    <row r="460" spans="1:4" x14ac:dyDescent="0.25">
      <c r="A460" s="2">
        <v>40540</v>
      </c>
      <c r="B460" s="3">
        <v>4.0423</v>
      </c>
      <c r="C460" s="65">
        <v>40547</v>
      </c>
      <c r="D460" s="1">
        <v>3.7164000000000001</v>
      </c>
    </row>
    <row r="461" spans="1:4" x14ac:dyDescent="0.25">
      <c r="A461" s="2">
        <v>40541</v>
      </c>
      <c r="B461" s="3">
        <v>4.0182000000000002</v>
      </c>
      <c r="C461" s="65">
        <v>40548</v>
      </c>
      <c r="D461" s="1">
        <v>3.7155</v>
      </c>
    </row>
    <row r="462" spans="1:4" x14ac:dyDescent="0.25">
      <c r="A462" s="2">
        <v>40542</v>
      </c>
      <c r="B462" s="3">
        <v>4.0670999999999999</v>
      </c>
      <c r="C462" s="65">
        <v>40549</v>
      </c>
      <c r="D462" s="1">
        <v>3.7000999999999999</v>
      </c>
    </row>
    <row r="463" spans="1:4" x14ac:dyDescent="0.25">
      <c r="A463" s="2">
        <v>40543</v>
      </c>
      <c r="B463" s="3">
        <v>4.0877999999999997</v>
      </c>
      <c r="C463" s="65">
        <v>40550</v>
      </c>
      <c r="D463" s="1">
        <v>3.7172999999999998</v>
      </c>
    </row>
    <row r="464" spans="1:4" x14ac:dyDescent="0.25">
      <c r="A464" s="2">
        <v>40546</v>
      </c>
      <c r="B464" s="3">
        <v>4.0206999999999997</v>
      </c>
      <c r="C464" s="65">
        <v>40553</v>
      </c>
      <c r="D464" s="1">
        <v>3.8068999999999997</v>
      </c>
    </row>
    <row r="465" spans="1:4" x14ac:dyDescent="0.25">
      <c r="A465" s="2">
        <v>40547</v>
      </c>
      <c r="B465" s="3">
        <v>4.0140000000000002</v>
      </c>
      <c r="C465" s="65">
        <v>40554</v>
      </c>
      <c r="D465" s="1">
        <v>3.7544</v>
      </c>
    </row>
    <row r="466" spans="1:4" x14ac:dyDescent="0.25">
      <c r="A466" s="2">
        <v>40548</v>
      </c>
      <c r="B466" s="3">
        <v>4.0288000000000004</v>
      </c>
      <c r="C466" s="65">
        <v>40555</v>
      </c>
      <c r="D466" s="1">
        <v>3.6162000000000001</v>
      </c>
    </row>
    <row r="467" spans="1:4" x14ac:dyDescent="0.25">
      <c r="A467" s="2">
        <v>40549</v>
      </c>
      <c r="B467" s="3">
        <v>4.0252999999999997</v>
      </c>
      <c r="C467" s="65">
        <v>40556</v>
      </c>
      <c r="D467" s="1">
        <v>3.5836000000000001</v>
      </c>
    </row>
    <row r="468" spans="1:4" x14ac:dyDescent="0.25">
      <c r="A468" s="2">
        <v>40550</v>
      </c>
      <c r="B468" s="3">
        <v>4.0654000000000003</v>
      </c>
      <c r="C468" s="65">
        <v>40557</v>
      </c>
      <c r="D468" s="1">
        <v>3.5582000000000003</v>
      </c>
    </row>
    <row r="469" spans="1:4" x14ac:dyDescent="0.25">
      <c r="A469" s="2">
        <v>40553</v>
      </c>
      <c r="B469" s="3">
        <v>4.1360999999999999</v>
      </c>
      <c r="C469" s="65">
        <v>40560</v>
      </c>
      <c r="D469" s="1">
        <v>3.5775999999999999</v>
      </c>
    </row>
    <row r="470" spans="1:4" x14ac:dyDescent="0.25">
      <c r="A470" s="2">
        <v>40554</v>
      </c>
      <c r="B470" s="3">
        <v>4.0833000000000004</v>
      </c>
      <c r="C470" s="65">
        <v>40561</v>
      </c>
      <c r="D470" s="1">
        <v>3.5366999999999997</v>
      </c>
    </row>
    <row r="471" spans="1:4" x14ac:dyDescent="0.25">
      <c r="A471" s="2">
        <v>40555</v>
      </c>
      <c r="B471" s="3">
        <v>3.9662999999999999</v>
      </c>
      <c r="C471" s="65">
        <v>40562</v>
      </c>
      <c r="D471" s="1">
        <v>3.5169000000000001</v>
      </c>
    </row>
    <row r="472" spans="1:4" x14ac:dyDescent="0.25">
      <c r="A472" s="2">
        <v>40556</v>
      </c>
      <c r="B472" s="3">
        <v>3.9214000000000002</v>
      </c>
      <c r="C472" s="65">
        <v>40563</v>
      </c>
      <c r="D472" s="1">
        <v>3.504</v>
      </c>
    </row>
    <row r="473" spans="1:4" x14ac:dyDescent="0.25">
      <c r="A473" s="2">
        <v>40557</v>
      </c>
      <c r="B473" s="3">
        <v>3.915</v>
      </c>
      <c r="C473" s="65">
        <v>40564</v>
      </c>
      <c r="D473" s="1">
        <v>3.4561999999999999</v>
      </c>
    </row>
    <row r="474" spans="1:4" x14ac:dyDescent="0.25">
      <c r="A474" s="2">
        <v>40560</v>
      </c>
      <c r="B474" s="3">
        <v>3.9281999999999999</v>
      </c>
      <c r="C474" s="65">
        <v>40567</v>
      </c>
      <c r="D474" s="1">
        <v>3.4462999999999999</v>
      </c>
    </row>
    <row r="475" spans="1:4" x14ac:dyDescent="0.25">
      <c r="A475" s="2">
        <v>40561</v>
      </c>
      <c r="B475" s="3">
        <v>3.8815</v>
      </c>
      <c r="C475" s="65">
        <v>40568</v>
      </c>
      <c r="D475" s="1">
        <v>3.4803999999999999</v>
      </c>
    </row>
    <row r="476" spans="1:4" x14ac:dyDescent="0.25">
      <c r="A476" s="2">
        <v>40562</v>
      </c>
      <c r="B476" s="3">
        <v>3.9104999999999999</v>
      </c>
      <c r="C476" s="65">
        <v>40569</v>
      </c>
      <c r="D476" s="1">
        <v>3.4698000000000002</v>
      </c>
    </row>
    <row r="477" spans="1:4" x14ac:dyDescent="0.25">
      <c r="A477" s="2">
        <v>40563</v>
      </c>
      <c r="B477" s="3">
        <v>3.9055999999999997</v>
      </c>
      <c r="C477" s="65">
        <v>40570</v>
      </c>
      <c r="D477" s="1">
        <v>3.4224000000000001</v>
      </c>
    </row>
    <row r="478" spans="1:4" x14ac:dyDescent="0.25">
      <c r="A478" s="2">
        <v>40564</v>
      </c>
      <c r="B478" s="3">
        <v>3.8489</v>
      </c>
      <c r="C478" s="65">
        <v>40571</v>
      </c>
      <c r="D478" s="1">
        <v>3.4670000000000001</v>
      </c>
    </row>
    <row r="479" spans="1:4" x14ac:dyDescent="0.25">
      <c r="A479" s="2">
        <v>40567</v>
      </c>
      <c r="B479" s="3">
        <v>3.8378999999999999</v>
      </c>
      <c r="C479" s="65">
        <v>40574</v>
      </c>
      <c r="D479" s="1">
        <v>3.4630000000000001</v>
      </c>
    </row>
    <row r="480" spans="1:4" x14ac:dyDescent="0.25">
      <c r="A480" s="2">
        <v>40568</v>
      </c>
      <c r="B480" s="3">
        <v>3.8654999999999999</v>
      </c>
      <c r="C480" s="65">
        <v>40575</v>
      </c>
      <c r="D480" s="1">
        <v>3.3898999999999999</v>
      </c>
    </row>
    <row r="481" spans="1:4" x14ac:dyDescent="0.25">
      <c r="A481" s="2">
        <v>40569</v>
      </c>
      <c r="B481" s="3">
        <v>3.9093999999999998</v>
      </c>
      <c r="C481" s="65">
        <v>40576</v>
      </c>
      <c r="D481" s="1">
        <v>3.3708</v>
      </c>
    </row>
    <row r="482" spans="1:4" x14ac:dyDescent="0.25">
      <c r="A482" s="2">
        <v>40570</v>
      </c>
      <c r="B482" s="3">
        <v>3.8807</v>
      </c>
      <c r="C482" s="65">
        <v>40577</v>
      </c>
      <c r="D482" s="1">
        <v>3.4022999999999999</v>
      </c>
    </row>
    <row r="483" spans="1:4" x14ac:dyDescent="0.25">
      <c r="A483" s="2">
        <v>40571</v>
      </c>
      <c r="B483" s="3">
        <v>3.9275000000000002</v>
      </c>
      <c r="C483" s="65">
        <v>40578</v>
      </c>
      <c r="D483" s="1">
        <v>3.3761000000000001</v>
      </c>
    </row>
    <row r="484" spans="1:4" x14ac:dyDescent="0.25">
      <c r="A484" s="2">
        <v>40574</v>
      </c>
      <c r="B484" s="3">
        <v>3.9281000000000001</v>
      </c>
      <c r="C484" s="65">
        <v>40581</v>
      </c>
      <c r="D484" s="1">
        <v>3.3502000000000001</v>
      </c>
    </row>
    <row r="485" spans="1:4" x14ac:dyDescent="0.25">
      <c r="A485" s="2">
        <v>40575</v>
      </c>
      <c r="B485" s="3">
        <v>3.8279000000000001</v>
      </c>
      <c r="C485" s="65">
        <v>40582</v>
      </c>
      <c r="D485" s="1">
        <v>3.3588</v>
      </c>
    </row>
    <row r="486" spans="1:4" x14ac:dyDescent="0.25">
      <c r="A486" s="2">
        <v>40576</v>
      </c>
      <c r="B486" s="3">
        <v>3.8205</v>
      </c>
      <c r="C486" s="65">
        <v>40583</v>
      </c>
      <c r="D486" s="1">
        <v>3.3662999999999998</v>
      </c>
    </row>
    <row r="487" spans="1:4" x14ac:dyDescent="0.25">
      <c r="A487" s="2">
        <v>40577</v>
      </c>
      <c r="B487" s="3">
        <v>3.8424</v>
      </c>
      <c r="C487" s="65">
        <v>40584</v>
      </c>
      <c r="D487" s="1">
        <v>3.3792</v>
      </c>
    </row>
    <row r="488" spans="1:4" x14ac:dyDescent="0.25">
      <c r="A488" s="2">
        <v>40578</v>
      </c>
      <c r="B488" s="3">
        <v>3.8326000000000002</v>
      </c>
      <c r="C488" s="65">
        <v>40585</v>
      </c>
      <c r="D488" s="1">
        <v>3.3645999999999998</v>
      </c>
    </row>
    <row r="489" spans="1:4" x14ac:dyDescent="0.25">
      <c r="A489" s="2">
        <v>40581</v>
      </c>
      <c r="B489" s="3">
        <v>3.7972000000000001</v>
      </c>
      <c r="C489" s="65">
        <v>40588</v>
      </c>
      <c r="D489" s="1">
        <v>3.3731999999999998</v>
      </c>
    </row>
    <row r="490" spans="1:4" x14ac:dyDescent="0.25">
      <c r="A490" s="2">
        <v>40582</v>
      </c>
      <c r="B490" s="3">
        <v>3.7829999999999999</v>
      </c>
      <c r="C490" s="65">
        <v>40589</v>
      </c>
      <c r="D490" s="1">
        <v>3.3359000000000001</v>
      </c>
    </row>
    <row r="491" spans="1:4" x14ac:dyDescent="0.25">
      <c r="A491" s="2">
        <v>40583</v>
      </c>
      <c r="B491" s="3">
        <v>3.7978000000000001</v>
      </c>
      <c r="C491" s="65">
        <v>40590</v>
      </c>
      <c r="D491" s="1">
        <v>3.2864</v>
      </c>
    </row>
    <row r="492" spans="1:4" x14ac:dyDescent="0.25">
      <c r="A492" s="2">
        <v>40584</v>
      </c>
      <c r="B492" s="3">
        <v>3.8052999999999999</v>
      </c>
      <c r="C492" s="65">
        <v>40591</v>
      </c>
      <c r="D492" s="1">
        <v>3.2848000000000002</v>
      </c>
    </row>
    <row r="493" spans="1:4" x14ac:dyDescent="0.25">
      <c r="A493" s="2">
        <v>40585</v>
      </c>
      <c r="B493" s="3">
        <v>3.8068999999999997</v>
      </c>
      <c r="C493" s="65">
        <v>40592</v>
      </c>
      <c r="D493" s="1">
        <v>3.3018000000000001</v>
      </c>
    </row>
    <row r="494" spans="1:4" x14ac:dyDescent="0.25">
      <c r="A494" s="2">
        <v>40588</v>
      </c>
      <c r="B494" s="3">
        <v>3.8144999999999998</v>
      </c>
      <c r="C494" s="65">
        <v>40595</v>
      </c>
      <c r="D494" s="1">
        <v>3.4321000000000002</v>
      </c>
    </row>
    <row r="495" spans="1:4" x14ac:dyDescent="0.25">
      <c r="A495" s="2">
        <v>40589</v>
      </c>
      <c r="B495" s="3">
        <v>3.7993000000000001</v>
      </c>
      <c r="C495" s="65">
        <v>40596</v>
      </c>
      <c r="D495" s="1">
        <v>3.4689999999999999</v>
      </c>
    </row>
    <row r="496" spans="1:4" x14ac:dyDescent="0.25">
      <c r="A496" s="2">
        <v>40590</v>
      </c>
      <c r="B496" s="3">
        <v>3.7602000000000002</v>
      </c>
      <c r="C496" s="65">
        <v>40597</v>
      </c>
      <c r="D496" s="1">
        <v>3.4779</v>
      </c>
    </row>
    <row r="497" spans="1:4" x14ac:dyDescent="0.25">
      <c r="A497" s="2">
        <v>40591</v>
      </c>
      <c r="B497" s="3">
        <v>3.7570000000000001</v>
      </c>
      <c r="C497" s="65">
        <v>40598</v>
      </c>
      <c r="D497" s="1">
        <v>3.4748999999999999</v>
      </c>
    </row>
    <row r="498" spans="1:4" x14ac:dyDescent="0.25">
      <c r="A498" s="2">
        <v>40592</v>
      </c>
      <c r="B498" s="3">
        <v>3.7526999999999999</v>
      </c>
      <c r="C498" s="65">
        <v>40599</v>
      </c>
      <c r="D498" s="1">
        <v>3.4125999999999999</v>
      </c>
    </row>
    <row r="499" spans="1:4" x14ac:dyDescent="0.25">
      <c r="A499" s="2">
        <v>40595</v>
      </c>
      <c r="B499" s="3">
        <v>3.8220999999999998</v>
      </c>
      <c r="C499" s="65">
        <v>40602</v>
      </c>
      <c r="D499" s="1">
        <v>3.3948</v>
      </c>
    </row>
    <row r="500" spans="1:4" x14ac:dyDescent="0.25">
      <c r="A500" s="2">
        <v>40596</v>
      </c>
      <c r="B500" s="3">
        <v>3.8592</v>
      </c>
      <c r="C500" s="65">
        <v>40603</v>
      </c>
      <c r="D500" s="1">
        <v>3.4314</v>
      </c>
    </row>
    <row r="501" spans="1:4" x14ac:dyDescent="0.25">
      <c r="A501" s="2">
        <v>40597</v>
      </c>
      <c r="B501" s="3">
        <v>3.8963000000000001</v>
      </c>
      <c r="C501" s="65">
        <v>40604</v>
      </c>
      <c r="D501" s="1">
        <v>3.4295999999999998</v>
      </c>
    </row>
    <row r="502" spans="1:4" x14ac:dyDescent="0.25">
      <c r="A502" s="2">
        <v>40598</v>
      </c>
      <c r="B502" s="3">
        <v>3.9039999999999999</v>
      </c>
      <c r="C502" s="65">
        <v>40605</v>
      </c>
      <c r="D502" s="1">
        <v>3.4426999999999999</v>
      </c>
    </row>
    <row r="503" spans="1:4" x14ac:dyDescent="0.25">
      <c r="A503" s="2">
        <v>40599</v>
      </c>
      <c r="B503" s="3">
        <v>3.8570000000000002</v>
      </c>
      <c r="C503" s="65">
        <v>40606</v>
      </c>
      <c r="D503" s="1">
        <v>3.4451000000000001</v>
      </c>
    </row>
    <row r="504" spans="1:4" x14ac:dyDescent="0.25">
      <c r="A504" s="2">
        <v>40602</v>
      </c>
      <c r="B504" s="3">
        <v>3.8210999999999999</v>
      </c>
      <c r="C504" s="65">
        <v>40609</v>
      </c>
      <c r="D504" s="1">
        <v>3.444</v>
      </c>
    </row>
    <row r="505" spans="1:4" x14ac:dyDescent="0.25">
      <c r="A505" s="2">
        <v>40603</v>
      </c>
      <c r="B505" s="3">
        <v>3.7982</v>
      </c>
      <c r="C505" s="65">
        <v>40610</v>
      </c>
      <c r="D505" s="1">
        <v>3.4119999999999999</v>
      </c>
    </row>
    <row r="506" spans="1:4" x14ac:dyDescent="0.25">
      <c r="A506" s="2">
        <v>40604</v>
      </c>
      <c r="B506" s="3">
        <v>3.8296999999999999</v>
      </c>
      <c r="C506" s="65">
        <v>40611</v>
      </c>
      <c r="D506" s="1">
        <v>3.3986999999999998</v>
      </c>
    </row>
    <row r="507" spans="1:4" x14ac:dyDescent="0.25">
      <c r="A507" s="2">
        <v>40605</v>
      </c>
      <c r="B507" s="3">
        <v>3.8162000000000003</v>
      </c>
      <c r="C507" s="65">
        <v>40612</v>
      </c>
      <c r="D507" s="1">
        <v>3.4535999999999998</v>
      </c>
    </row>
    <row r="508" spans="1:4" x14ac:dyDescent="0.25">
      <c r="A508" s="2">
        <v>40606</v>
      </c>
      <c r="B508" s="3">
        <v>3.8420999999999998</v>
      </c>
      <c r="C508" s="65">
        <v>40613</v>
      </c>
      <c r="D508" s="1">
        <v>3.4885000000000002</v>
      </c>
    </row>
    <row r="509" spans="1:4" x14ac:dyDescent="0.25">
      <c r="A509" s="2">
        <v>40609</v>
      </c>
      <c r="B509" s="3">
        <v>3.8654000000000002</v>
      </c>
      <c r="C509" s="65">
        <v>40616</v>
      </c>
      <c r="D509" s="1">
        <v>3.4979</v>
      </c>
    </row>
    <row r="510" spans="1:4" x14ac:dyDescent="0.25">
      <c r="A510" s="2">
        <v>40610</v>
      </c>
      <c r="B510" s="3">
        <v>3.8471000000000002</v>
      </c>
      <c r="C510" s="65">
        <v>40617</v>
      </c>
      <c r="D510" s="1">
        <v>3.5697999999999999</v>
      </c>
    </row>
    <row r="511" spans="1:4" x14ac:dyDescent="0.25">
      <c r="A511" s="2">
        <v>40611</v>
      </c>
      <c r="B511" s="3">
        <v>3.8605999999999998</v>
      </c>
      <c r="C511" s="65">
        <v>40618</v>
      </c>
      <c r="D511" s="1">
        <v>3.6604000000000001</v>
      </c>
    </row>
    <row r="512" spans="1:4" x14ac:dyDescent="0.25">
      <c r="A512" s="2">
        <v>40612</v>
      </c>
      <c r="B512" s="3">
        <v>3.8942000000000001</v>
      </c>
      <c r="C512" s="65">
        <v>40619</v>
      </c>
      <c r="D512" s="1">
        <v>3.6078000000000001</v>
      </c>
    </row>
    <row r="513" spans="1:4" x14ac:dyDescent="0.25">
      <c r="A513" s="2">
        <v>40613</v>
      </c>
      <c r="B513" s="3">
        <v>3.9291999999999998</v>
      </c>
      <c r="C513" s="65">
        <v>40620</v>
      </c>
      <c r="D513" s="1">
        <v>3.5981000000000001</v>
      </c>
    </row>
    <row r="514" spans="1:4" x14ac:dyDescent="0.25">
      <c r="A514" s="2">
        <v>40616</v>
      </c>
      <c r="B514" s="3">
        <v>3.9729000000000001</v>
      </c>
      <c r="C514" s="65">
        <v>40623</v>
      </c>
      <c r="D514" s="1">
        <v>3.5769000000000002</v>
      </c>
    </row>
    <row r="515" spans="1:4" x14ac:dyDescent="0.25">
      <c r="A515" s="2">
        <v>40617</v>
      </c>
      <c r="B515" s="3">
        <v>4.0697999999999999</v>
      </c>
      <c r="C515" s="65">
        <v>40624</v>
      </c>
      <c r="D515" s="1">
        <v>3.5718999999999999</v>
      </c>
    </row>
    <row r="516" spans="1:4" x14ac:dyDescent="0.25">
      <c r="A516" s="2">
        <v>40618</v>
      </c>
      <c r="B516" s="3">
        <v>4.1639999999999997</v>
      </c>
      <c r="C516" s="65">
        <v>40625</v>
      </c>
      <c r="D516" s="1">
        <v>3.5486</v>
      </c>
    </row>
    <row r="517" spans="1:4" x14ac:dyDescent="0.25">
      <c r="A517" s="2">
        <v>40619</v>
      </c>
      <c r="B517" s="3">
        <v>4.0670000000000002</v>
      </c>
      <c r="C517" s="65">
        <v>40626</v>
      </c>
      <c r="D517" s="1">
        <v>3.4962</v>
      </c>
    </row>
    <row r="518" spans="1:4" x14ac:dyDescent="0.25">
      <c r="A518" s="2">
        <v>40620</v>
      </c>
      <c r="B518" s="3">
        <v>4.0575999999999999</v>
      </c>
      <c r="C518" s="65">
        <v>40627</v>
      </c>
      <c r="D518" s="1">
        <v>3.5023999999999997</v>
      </c>
    </row>
    <row r="519" spans="1:4" x14ac:dyDescent="0.25">
      <c r="A519" s="2">
        <v>40623</v>
      </c>
      <c r="B519" s="3">
        <v>3.9628999999999999</v>
      </c>
      <c r="C519" s="65">
        <v>40630</v>
      </c>
      <c r="D519" s="1">
        <v>3.4984000000000002</v>
      </c>
    </row>
    <row r="520" spans="1:4" x14ac:dyDescent="0.25">
      <c r="A520" s="2">
        <v>40624</v>
      </c>
      <c r="B520" s="3">
        <v>3.9712000000000001</v>
      </c>
      <c r="C520" s="65">
        <v>40631</v>
      </c>
      <c r="D520" s="1">
        <v>3.5352000000000001</v>
      </c>
    </row>
    <row r="521" spans="1:4" x14ac:dyDescent="0.25">
      <c r="A521" s="2">
        <v>40625</v>
      </c>
      <c r="B521" s="3">
        <v>3.9554</v>
      </c>
      <c r="C521" s="65">
        <v>40632</v>
      </c>
      <c r="D521" s="1">
        <v>3.4998</v>
      </c>
    </row>
    <row r="522" spans="1:4" x14ac:dyDescent="0.25">
      <c r="A522" s="2">
        <v>40626</v>
      </c>
      <c r="B522" s="3">
        <v>3.8961999999999999</v>
      </c>
      <c r="C522" s="65">
        <v>40633</v>
      </c>
      <c r="D522" s="1">
        <v>3.5579999999999998</v>
      </c>
    </row>
    <row r="523" spans="1:4" x14ac:dyDescent="0.25">
      <c r="A523" s="2">
        <v>40627</v>
      </c>
      <c r="B523" s="3">
        <v>3.8940999999999999</v>
      </c>
      <c r="C523" s="65">
        <v>40634</v>
      </c>
      <c r="D523" s="1">
        <v>3.5190999999999999</v>
      </c>
    </row>
    <row r="524" spans="1:4" x14ac:dyDescent="0.25">
      <c r="A524" s="2">
        <v>40630</v>
      </c>
      <c r="B524" s="3">
        <v>3.8895</v>
      </c>
      <c r="C524" s="65">
        <v>40637</v>
      </c>
      <c r="D524" s="1">
        <v>3.5127000000000002</v>
      </c>
    </row>
    <row r="525" spans="1:4" x14ac:dyDescent="0.25">
      <c r="A525" s="2">
        <v>40631</v>
      </c>
      <c r="B525" s="3">
        <v>3.8947000000000003</v>
      </c>
      <c r="C525" s="65">
        <v>40638</v>
      </c>
      <c r="D525" s="1">
        <v>3.5045000000000002</v>
      </c>
    </row>
    <row r="526" spans="1:4" x14ac:dyDescent="0.25">
      <c r="A526" s="2">
        <v>40632</v>
      </c>
      <c r="B526" s="3">
        <v>3.8608000000000002</v>
      </c>
      <c r="C526" s="65">
        <v>40639</v>
      </c>
      <c r="D526" s="1">
        <v>3.4624999999999999</v>
      </c>
    </row>
    <row r="527" spans="1:4" x14ac:dyDescent="0.25">
      <c r="A527" s="2">
        <v>40633</v>
      </c>
      <c r="B527" s="3">
        <v>3.8947000000000003</v>
      </c>
      <c r="C527" s="65">
        <v>40640</v>
      </c>
      <c r="D527" s="1">
        <v>3.4754</v>
      </c>
    </row>
    <row r="528" spans="1:4" x14ac:dyDescent="0.25">
      <c r="A528" s="2">
        <v>40634</v>
      </c>
      <c r="B528" s="3">
        <v>3.8262999999999998</v>
      </c>
      <c r="C528" s="65">
        <v>40641</v>
      </c>
      <c r="D528" s="1">
        <v>3.4527999999999999</v>
      </c>
    </row>
    <row r="529" spans="1:4" x14ac:dyDescent="0.25">
      <c r="A529" s="2">
        <v>40637</v>
      </c>
      <c r="B529" s="3">
        <v>3.8384</v>
      </c>
      <c r="C529" s="65">
        <v>40644</v>
      </c>
      <c r="D529" s="1">
        <v>3.5022000000000002</v>
      </c>
    </row>
    <row r="530" spans="1:4" x14ac:dyDescent="0.25">
      <c r="A530" s="2">
        <v>40638</v>
      </c>
      <c r="B530" s="3">
        <v>3.8448000000000002</v>
      </c>
      <c r="C530" s="65">
        <v>40645</v>
      </c>
      <c r="D530" s="1">
        <v>3.5108999999999999</v>
      </c>
    </row>
    <row r="531" spans="1:4" x14ac:dyDescent="0.25">
      <c r="A531" s="2">
        <v>40639</v>
      </c>
      <c r="B531" s="3">
        <v>3.8182</v>
      </c>
      <c r="C531" s="65">
        <v>40646</v>
      </c>
      <c r="D531" s="1">
        <v>3.4984999999999999</v>
      </c>
    </row>
    <row r="532" spans="1:4" x14ac:dyDescent="0.25">
      <c r="A532" s="2">
        <v>40640</v>
      </c>
      <c r="B532" s="3">
        <v>3.8283</v>
      </c>
      <c r="C532" s="65">
        <v>40647</v>
      </c>
      <c r="D532" s="1">
        <v>3.5407000000000002</v>
      </c>
    </row>
    <row r="533" spans="1:4" x14ac:dyDescent="0.25">
      <c r="A533" s="2">
        <v>40641</v>
      </c>
      <c r="B533" s="3">
        <v>3.8014000000000001</v>
      </c>
      <c r="C533" s="65">
        <v>40648</v>
      </c>
      <c r="D533" s="1">
        <v>3.5427</v>
      </c>
    </row>
    <row r="534" spans="1:4" x14ac:dyDescent="0.25">
      <c r="A534" s="2">
        <v>40644</v>
      </c>
      <c r="B534" s="3">
        <v>3.8143000000000002</v>
      </c>
      <c r="C534" s="65">
        <v>40651</v>
      </c>
      <c r="D534" s="1">
        <v>3.6404000000000001</v>
      </c>
    </row>
    <row r="535" spans="1:4" x14ac:dyDescent="0.25">
      <c r="A535" s="2">
        <v>40645</v>
      </c>
      <c r="B535" s="3">
        <v>3.8692000000000002</v>
      </c>
      <c r="C535" s="65">
        <v>40652</v>
      </c>
      <c r="D535" s="1">
        <v>3.6292</v>
      </c>
    </row>
    <row r="536" spans="1:4" x14ac:dyDescent="0.25">
      <c r="A536" s="2">
        <v>40646</v>
      </c>
      <c r="B536" s="3">
        <v>3.8460999999999999</v>
      </c>
      <c r="C536" s="65">
        <v>40653</v>
      </c>
      <c r="D536" s="1">
        <v>3.5865999999999998</v>
      </c>
    </row>
    <row r="537" spans="1:4" x14ac:dyDescent="0.25">
      <c r="A537" s="2">
        <v>40647</v>
      </c>
      <c r="B537" s="3">
        <v>3.9891999999999999</v>
      </c>
      <c r="C537" s="65">
        <v>40654</v>
      </c>
      <c r="D537" s="1">
        <v>3.5358999999999998</v>
      </c>
    </row>
    <row r="538" spans="1:4" x14ac:dyDescent="0.25">
      <c r="A538" s="2">
        <v>40648</v>
      </c>
      <c r="B538" s="3">
        <v>3.9874000000000001</v>
      </c>
      <c r="C538" s="65">
        <v>40659</v>
      </c>
      <c r="D538" s="1">
        <v>3.5162</v>
      </c>
    </row>
    <row r="539" spans="1:4" x14ac:dyDescent="0.25">
      <c r="A539" s="2">
        <v>40651</v>
      </c>
      <c r="B539" s="3">
        <v>4.0921000000000003</v>
      </c>
      <c r="C539" s="65">
        <v>40660</v>
      </c>
      <c r="D539" s="1">
        <v>3.4679000000000002</v>
      </c>
    </row>
    <row r="540" spans="1:4" x14ac:dyDescent="0.25">
      <c r="A540" s="2">
        <v>40652</v>
      </c>
      <c r="B540" s="3">
        <v>4.0782999999999996</v>
      </c>
      <c r="C540" s="65">
        <v>40661</v>
      </c>
      <c r="D540" s="1">
        <v>3.4459</v>
      </c>
    </row>
    <row r="541" spans="1:4" x14ac:dyDescent="0.25">
      <c r="A541" s="2">
        <v>40653</v>
      </c>
      <c r="B541" s="3">
        <v>3.9891999999999999</v>
      </c>
      <c r="C541" s="65">
        <v>40662</v>
      </c>
      <c r="D541" s="1">
        <v>3.4401000000000002</v>
      </c>
    </row>
    <row r="542" spans="1:4" x14ac:dyDescent="0.25">
      <c r="A542" s="2">
        <v>40654</v>
      </c>
      <c r="B542" s="3">
        <v>3.9741</v>
      </c>
      <c r="C542" s="65">
        <v>40665</v>
      </c>
      <c r="D542" s="1">
        <v>3.4432</v>
      </c>
    </row>
    <row r="543" spans="1:4" x14ac:dyDescent="0.25">
      <c r="A543" s="2">
        <v>40659</v>
      </c>
      <c r="B543" s="3">
        <v>3.9485000000000001</v>
      </c>
      <c r="C543" s="65">
        <v>40666</v>
      </c>
      <c r="D543" s="1">
        <v>3.4559000000000002</v>
      </c>
    </row>
    <row r="544" spans="1:4" x14ac:dyDescent="0.25">
      <c r="A544" s="2">
        <v>40660</v>
      </c>
      <c r="B544" s="3">
        <v>3.9377</v>
      </c>
      <c r="C544" s="65">
        <v>40667</v>
      </c>
      <c r="D544" s="1">
        <v>3.5190000000000001</v>
      </c>
    </row>
    <row r="545" spans="1:4" x14ac:dyDescent="0.25">
      <c r="A545" s="2">
        <v>40661</v>
      </c>
      <c r="B545" s="3">
        <v>3.9013</v>
      </c>
      <c r="C545" s="65">
        <v>40668</v>
      </c>
      <c r="D545" s="1">
        <v>3.5472000000000001</v>
      </c>
    </row>
    <row r="546" spans="1:4" x14ac:dyDescent="0.25">
      <c r="A546" s="2">
        <v>40662</v>
      </c>
      <c r="B546" s="3">
        <v>3.9316</v>
      </c>
      <c r="C546" s="65">
        <v>40669</v>
      </c>
      <c r="D546" s="1">
        <v>3.5127999999999999</v>
      </c>
    </row>
    <row r="547" spans="1:4" x14ac:dyDescent="0.25">
      <c r="A547" s="2">
        <v>40665</v>
      </c>
      <c r="B547" s="3">
        <v>4.0537999999999998</v>
      </c>
      <c r="C547" s="65">
        <v>40672</v>
      </c>
      <c r="D547" s="1">
        <v>3.5594000000000001</v>
      </c>
    </row>
    <row r="548" spans="1:4" x14ac:dyDescent="0.25">
      <c r="A548" s="2">
        <v>40666</v>
      </c>
      <c r="B548" s="3">
        <v>4.0652999999999997</v>
      </c>
      <c r="C548" s="65">
        <v>40673</v>
      </c>
      <c r="D548" s="1">
        <v>3.508</v>
      </c>
    </row>
    <row r="549" spans="1:4" x14ac:dyDescent="0.25">
      <c r="A549" s="2">
        <v>40667</v>
      </c>
      <c r="B549" s="3">
        <v>4.1318999999999999</v>
      </c>
      <c r="C549" s="65">
        <v>40674</v>
      </c>
      <c r="D549" s="1">
        <v>3.5004999999999997</v>
      </c>
    </row>
    <row r="550" spans="1:4" x14ac:dyDescent="0.25">
      <c r="A550" s="2">
        <v>40668</v>
      </c>
      <c r="B550" s="3">
        <v>4.1788999999999996</v>
      </c>
      <c r="C550" s="65">
        <v>40675</v>
      </c>
      <c r="D550" s="1">
        <v>3.5396000000000001</v>
      </c>
    </row>
    <row r="551" spans="1:4" x14ac:dyDescent="0.25">
      <c r="A551" s="2">
        <v>40669</v>
      </c>
      <c r="B551" s="3">
        <v>4.1656000000000004</v>
      </c>
      <c r="C551" s="65">
        <v>40676</v>
      </c>
      <c r="D551" s="1">
        <v>3.5434000000000001</v>
      </c>
    </row>
    <row r="552" spans="1:4" x14ac:dyDescent="0.25">
      <c r="A552" s="2">
        <v>40672</v>
      </c>
      <c r="B552" s="3">
        <v>4.2661999999999995</v>
      </c>
      <c r="C552" s="65">
        <v>40679</v>
      </c>
      <c r="D552" s="1">
        <v>3.5563000000000002</v>
      </c>
    </row>
    <row r="553" spans="1:4" x14ac:dyDescent="0.25">
      <c r="A553" s="2">
        <v>40673</v>
      </c>
      <c r="B553" s="3">
        <v>4.2168000000000001</v>
      </c>
      <c r="C553" s="65">
        <v>40680</v>
      </c>
      <c r="D553" s="1">
        <v>3.6021999999999998</v>
      </c>
    </row>
    <row r="554" spans="1:4" x14ac:dyDescent="0.25">
      <c r="A554" s="2">
        <v>40674</v>
      </c>
      <c r="B554" s="3">
        <v>4.2176</v>
      </c>
      <c r="C554" s="65">
        <v>40681</v>
      </c>
      <c r="D554" s="1">
        <v>3.5963000000000003</v>
      </c>
    </row>
    <row r="555" spans="1:4" x14ac:dyDescent="0.25">
      <c r="A555" s="2">
        <v>40675</v>
      </c>
      <c r="B555" s="3">
        <v>4.2542999999999997</v>
      </c>
      <c r="C555" s="65">
        <v>40682</v>
      </c>
      <c r="D555" s="1">
        <v>3.5770999999999997</v>
      </c>
    </row>
    <row r="556" spans="1:4" x14ac:dyDescent="0.25">
      <c r="A556" s="2">
        <v>40676</v>
      </c>
      <c r="B556" s="3">
        <v>4.2923999999999998</v>
      </c>
      <c r="C556" s="65">
        <v>40683</v>
      </c>
      <c r="D556" s="1">
        <v>3.6314000000000002</v>
      </c>
    </row>
    <row r="557" spans="1:4" x14ac:dyDescent="0.25">
      <c r="A557" s="2">
        <v>40679</v>
      </c>
      <c r="B557" s="3">
        <v>4.3190999999999997</v>
      </c>
      <c r="C557" s="65">
        <v>40686</v>
      </c>
      <c r="D557" s="1">
        <v>3.8822999999999999</v>
      </c>
    </row>
    <row r="558" spans="1:4" x14ac:dyDescent="0.25">
      <c r="A558" s="2">
        <v>40680</v>
      </c>
      <c r="B558" s="3">
        <v>4.3672000000000004</v>
      </c>
      <c r="C558" s="65">
        <v>40687</v>
      </c>
      <c r="D558" s="1">
        <v>3.8730000000000002</v>
      </c>
    </row>
    <row r="559" spans="1:4" x14ac:dyDescent="0.25">
      <c r="A559" s="2">
        <v>40681</v>
      </c>
      <c r="B559" s="3">
        <v>4.3402000000000003</v>
      </c>
      <c r="C559" s="65">
        <v>40688</v>
      </c>
      <c r="D559" s="1">
        <v>3.8294999999999999</v>
      </c>
    </row>
    <row r="560" spans="1:4" x14ac:dyDescent="0.25">
      <c r="A560" s="2">
        <v>40682</v>
      </c>
      <c r="B560" s="3">
        <v>4.3052999999999999</v>
      </c>
      <c r="C560" s="65">
        <v>40689</v>
      </c>
      <c r="D560" s="1">
        <v>3.8414000000000001</v>
      </c>
    </row>
    <row r="561" spans="1:4" x14ac:dyDescent="0.25">
      <c r="A561" s="2">
        <v>40683</v>
      </c>
      <c r="B561" s="3">
        <v>4.3985000000000003</v>
      </c>
      <c r="C561" s="65">
        <v>40690</v>
      </c>
      <c r="D561" s="1">
        <v>3.8113999999999999</v>
      </c>
    </row>
    <row r="562" spans="1:4" x14ac:dyDescent="0.25">
      <c r="A562" s="2">
        <v>40686</v>
      </c>
      <c r="B562" s="3">
        <v>4.4999000000000002</v>
      </c>
      <c r="C562" s="65">
        <v>40693</v>
      </c>
      <c r="D562" s="1">
        <v>3.8186999999999998</v>
      </c>
    </row>
    <row r="563" spans="1:4" x14ac:dyDescent="0.25">
      <c r="A563" s="2">
        <v>40687</v>
      </c>
      <c r="B563" s="3">
        <v>4.4885999999999999</v>
      </c>
      <c r="C563" s="65">
        <v>40694</v>
      </c>
      <c r="D563" s="1">
        <v>3.7610999999999999</v>
      </c>
    </row>
    <row r="564" spans="1:4" x14ac:dyDescent="0.25">
      <c r="A564" s="2">
        <v>40688</v>
      </c>
      <c r="B564" s="3">
        <v>4.4638</v>
      </c>
      <c r="C564" s="65">
        <v>40695</v>
      </c>
      <c r="D564" s="1">
        <v>3.8050000000000002</v>
      </c>
    </row>
    <row r="565" spans="1:4" x14ac:dyDescent="0.25">
      <c r="A565" s="2">
        <v>40689</v>
      </c>
      <c r="B565" s="3">
        <v>4.4968000000000004</v>
      </c>
      <c r="C565" s="65">
        <v>40696</v>
      </c>
      <c r="D565" s="1">
        <v>3.8353999999999999</v>
      </c>
    </row>
    <row r="566" spans="1:4" x14ac:dyDescent="0.25">
      <c r="A566" s="2">
        <v>40690</v>
      </c>
      <c r="B566" s="3">
        <v>4.4694000000000003</v>
      </c>
      <c r="C566" s="65">
        <v>40697</v>
      </c>
      <c r="D566" s="1">
        <v>3.8153000000000001</v>
      </c>
    </row>
    <row r="567" spans="1:4" x14ac:dyDescent="0.25">
      <c r="A567" s="2">
        <v>40693</v>
      </c>
      <c r="B567" s="3">
        <v>4.4775</v>
      </c>
      <c r="C567" s="65">
        <v>40700</v>
      </c>
      <c r="D567" s="1">
        <v>3.8353000000000002</v>
      </c>
    </row>
    <row r="568" spans="1:4" x14ac:dyDescent="0.25">
      <c r="A568" s="2">
        <v>40694</v>
      </c>
      <c r="B568" s="3">
        <v>4.4718</v>
      </c>
      <c r="C568" s="65">
        <v>40701</v>
      </c>
      <c r="D568" s="1">
        <v>3.8260999999999998</v>
      </c>
    </row>
    <row r="569" spans="1:4" x14ac:dyDescent="0.25">
      <c r="A569" s="2">
        <v>40695</v>
      </c>
      <c r="B569" s="3">
        <v>4.4852999999999996</v>
      </c>
      <c r="C569" s="65">
        <v>40702</v>
      </c>
      <c r="D569" s="1">
        <v>3.8822000000000001</v>
      </c>
    </row>
    <row r="570" spans="1:4" x14ac:dyDescent="0.25">
      <c r="A570" s="2">
        <v>40696</v>
      </c>
      <c r="B570" s="3">
        <v>4.5579999999999998</v>
      </c>
      <c r="C570" s="65">
        <v>40703</v>
      </c>
      <c r="D570" s="1">
        <v>3.8608000000000002</v>
      </c>
    </row>
    <row r="571" spans="1:4" x14ac:dyDescent="0.25">
      <c r="A571" s="2">
        <v>40697</v>
      </c>
      <c r="B571" s="3">
        <v>4.5472999999999999</v>
      </c>
      <c r="C571" s="65">
        <v>40704</v>
      </c>
      <c r="D571" s="1">
        <v>3.9130000000000003</v>
      </c>
    </row>
    <row r="572" spans="1:4" x14ac:dyDescent="0.25">
      <c r="A572" s="2">
        <v>40700</v>
      </c>
      <c r="B572" s="3">
        <v>4.5880999999999998</v>
      </c>
      <c r="C572" s="65">
        <v>40707</v>
      </c>
      <c r="D572" s="1">
        <v>3.9201000000000001</v>
      </c>
    </row>
    <row r="573" spans="1:4" x14ac:dyDescent="0.25">
      <c r="A573" s="2">
        <v>40701</v>
      </c>
      <c r="B573" s="3">
        <v>4.5728999999999997</v>
      </c>
      <c r="C573" s="65">
        <v>40708</v>
      </c>
      <c r="D573" s="1">
        <v>3.8666</v>
      </c>
    </row>
    <row r="574" spans="1:4" x14ac:dyDescent="0.25">
      <c r="A574" s="2">
        <v>40702</v>
      </c>
      <c r="B574" s="3">
        <v>4.6101999999999999</v>
      </c>
      <c r="C574" s="65">
        <v>40709</v>
      </c>
      <c r="D574" s="1">
        <v>3.9520999999999997</v>
      </c>
    </row>
    <row r="575" spans="1:4" x14ac:dyDescent="0.25">
      <c r="A575" s="2">
        <v>40703</v>
      </c>
      <c r="B575" s="3">
        <v>4.5670000000000002</v>
      </c>
      <c r="C575" s="65">
        <v>40710</v>
      </c>
      <c r="D575" s="1">
        <v>3.9653</v>
      </c>
    </row>
    <row r="576" spans="1:4" x14ac:dyDescent="0.25">
      <c r="A576" s="2">
        <v>40704</v>
      </c>
      <c r="B576" s="3">
        <v>4.6431000000000004</v>
      </c>
      <c r="C576" s="65">
        <v>40711</v>
      </c>
      <c r="D576" s="1">
        <v>3.9169999999999998</v>
      </c>
    </row>
    <row r="577" spans="1:4" x14ac:dyDescent="0.25">
      <c r="A577" s="2">
        <v>40707</v>
      </c>
      <c r="B577" s="3">
        <v>4.6449999999999996</v>
      </c>
      <c r="C577" s="65">
        <v>40714</v>
      </c>
      <c r="D577" s="1">
        <v>4.0850999999999997</v>
      </c>
    </row>
    <row r="578" spans="1:4" x14ac:dyDescent="0.25">
      <c r="A578" s="2">
        <v>40708</v>
      </c>
      <c r="B578" s="3">
        <v>4.5681000000000003</v>
      </c>
      <c r="C578" s="65">
        <v>40715</v>
      </c>
      <c r="D578" s="1">
        <v>4.0018000000000002</v>
      </c>
    </row>
    <row r="579" spans="1:4" x14ac:dyDescent="0.25">
      <c r="A579" s="2">
        <v>40709</v>
      </c>
      <c r="B579" s="3">
        <v>4.6490999999999998</v>
      </c>
      <c r="C579" s="65">
        <v>40716</v>
      </c>
      <c r="D579" s="1">
        <v>4.0194999999999999</v>
      </c>
    </row>
    <row r="580" spans="1:4" x14ac:dyDescent="0.25">
      <c r="A580" s="2">
        <v>40710</v>
      </c>
      <c r="B580" s="3">
        <v>4.6505999999999998</v>
      </c>
      <c r="C580" s="65">
        <v>40717</v>
      </c>
      <c r="D580" s="1">
        <v>4.1322000000000001</v>
      </c>
    </row>
    <row r="581" spans="1:4" x14ac:dyDescent="0.25">
      <c r="A581" s="2">
        <v>40711</v>
      </c>
      <c r="B581" s="3">
        <v>4.5842999999999998</v>
      </c>
      <c r="C581" s="65">
        <v>40718</v>
      </c>
      <c r="D581" s="1">
        <v>4.1999000000000004</v>
      </c>
    </row>
    <row r="582" spans="1:4" x14ac:dyDescent="0.25">
      <c r="A582" s="2">
        <v>40714</v>
      </c>
      <c r="B582" s="3">
        <v>4.6348000000000003</v>
      </c>
      <c r="C582" s="65">
        <v>40721</v>
      </c>
      <c r="D582" s="1">
        <v>4.1688000000000001</v>
      </c>
    </row>
    <row r="583" spans="1:4" x14ac:dyDescent="0.25">
      <c r="A583" s="2">
        <v>40715</v>
      </c>
      <c r="B583" s="3">
        <v>4.5454999999999997</v>
      </c>
      <c r="C583" s="65">
        <v>40722</v>
      </c>
      <c r="D583" s="1">
        <v>4.1350999999999996</v>
      </c>
    </row>
    <row r="584" spans="1:4" x14ac:dyDescent="0.25">
      <c r="A584" s="2">
        <v>40716</v>
      </c>
      <c r="B584" s="3">
        <v>4.5568</v>
      </c>
      <c r="C584" s="65">
        <v>40723</v>
      </c>
      <c r="D584" s="1">
        <v>4.0496999999999996</v>
      </c>
    </row>
    <row r="585" spans="1:4" x14ac:dyDescent="0.25">
      <c r="A585" s="2">
        <v>40717</v>
      </c>
      <c r="B585" s="3">
        <v>4.6638999999999999</v>
      </c>
      <c r="C585" s="65">
        <v>40724</v>
      </c>
      <c r="D585" s="1">
        <v>3.9851000000000001</v>
      </c>
    </row>
    <row r="586" spans="1:4" x14ac:dyDescent="0.25">
      <c r="A586" s="2">
        <v>40718</v>
      </c>
      <c r="B586" s="3">
        <v>4.6896000000000004</v>
      </c>
      <c r="C586" s="65">
        <v>40725</v>
      </c>
      <c r="D586" s="1">
        <v>3.9210000000000003</v>
      </c>
    </row>
    <row r="587" spans="1:4" x14ac:dyDescent="0.25">
      <c r="A587" s="2">
        <v>40721</v>
      </c>
      <c r="B587" s="3">
        <v>4.6757999999999997</v>
      </c>
      <c r="C587" s="65">
        <v>40728</v>
      </c>
      <c r="D587" s="1">
        <v>3.9287999999999998</v>
      </c>
    </row>
    <row r="588" spans="1:4" x14ac:dyDescent="0.25">
      <c r="A588" s="2">
        <v>40722</v>
      </c>
      <c r="B588" s="3">
        <v>4.6306000000000003</v>
      </c>
      <c r="C588" s="65">
        <v>40729</v>
      </c>
      <c r="D588" s="1">
        <v>3.9672999999999998</v>
      </c>
    </row>
    <row r="589" spans="1:4" x14ac:dyDescent="0.25">
      <c r="A589" s="2">
        <v>40723</v>
      </c>
      <c r="B589" s="3">
        <v>4.5446</v>
      </c>
      <c r="C589" s="65">
        <v>40730</v>
      </c>
      <c r="D589" s="1">
        <v>4.0522</v>
      </c>
    </row>
    <row r="590" spans="1:4" x14ac:dyDescent="0.25">
      <c r="A590" s="2">
        <v>40724</v>
      </c>
      <c r="B590" s="3">
        <v>4.4633000000000003</v>
      </c>
      <c r="C590" s="65">
        <v>40731</v>
      </c>
      <c r="D590" s="1">
        <v>4.0620000000000003</v>
      </c>
    </row>
    <row r="591" spans="1:4" x14ac:dyDescent="0.25">
      <c r="A591" s="2">
        <v>40725</v>
      </c>
      <c r="B591" s="3">
        <v>4.3057999999999996</v>
      </c>
      <c r="C591" s="65">
        <v>40732</v>
      </c>
      <c r="D591" s="1">
        <v>4.2081999999999997</v>
      </c>
    </row>
    <row r="592" spans="1:4" x14ac:dyDescent="0.25">
      <c r="A592" s="2">
        <v>40728</v>
      </c>
      <c r="B592" s="3">
        <v>4.3140000000000001</v>
      </c>
      <c r="C592" s="65">
        <v>40735</v>
      </c>
      <c r="D592" s="1">
        <v>4.3818000000000001</v>
      </c>
    </row>
    <row r="593" spans="1:4" x14ac:dyDescent="0.25">
      <c r="A593" s="2">
        <v>40729</v>
      </c>
      <c r="B593" s="3">
        <v>4.3437999999999999</v>
      </c>
      <c r="C593" s="65">
        <v>40736</v>
      </c>
      <c r="D593" s="1">
        <v>4.3308</v>
      </c>
    </row>
    <row r="594" spans="1:4" x14ac:dyDescent="0.25">
      <c r="A594" s="2">
        <v>40730</v>
      </c>
      <c r="B594" s="3">
        <v>4.375</v>
      </c>
      <c r="C594" s="65">
        <v>40737</v>
      </c>
      <c r="D594" s="1">
        <v>4.2957999999999998</v>
      </c>
    </row>
    <row r="595" spans="1:4" x14ac:dyDescent="0.25">
      <c r="A595" s="2">
        <v>40731</v>
      </c>
      <c r="B595" s="3">
        <v>4.3619000000000003</v>
      </c>
      <c r="C595" s="65">
        <v>40738</v>
      </c>
      <c r="D595" s="1">
        <v>4.3425000000000002</v>
      </c>
    </row>
    <row r="596" spans="1:4" x14ac:dyDescent="0.25">
      <c r="A596" s="2">
        <v>40732</v>
      </c>
      <c r="B596" s="3">
        <v>4.4759000000000002</v>
      </c>
      <c r="C596" s="65">
        <v>40739</v>
      </c>
      <c r="D596" s="1">
        <v>4.3871000000000002</v>
      </c>
    </row>
    <row r="597" spans="1:4" x14ac:dyDescent="0.25">
      <c r="A597" s="2">
        <v>40735</v>
      </c>
      <c r="B597" s="3">
        <v>4.6096000000000004</v>
      </c>
      <c r="C597" s="65">
        <v>40742</v>
      </c>
      <c r="D597" s="1">
        <v>4.5380000000000003</v>
      </c>
    </row>
    <row r="598" spans="1:4" x14ac:dyDescent="0.25">
      <c r="A598" s="2">
        <v>40736</v>
      </c>
      <c r="B598" s="3">
        <v>4.6363000000000003</v>
      </c>
      <c r="C598" s="65">
        <v>40743</v>
      </c>
      <c r="D598" s="1">
        <v>4.4523999999999999</v>
      </c>
    </row>
    <row r="599" spans="1:4" x14ac:dyDescent="0.25">
      <c r="A599" s="2">
        <v>40737</v>
      </c>
      <c r="B599" s="3">
        <v>4.5614999999999997</v>
      </c>
      <c r="C599" s="65">
        <v>40744</v>
      </c>
      <c r="D599" s="1">
        <v>4.3209</v>
      </c>
    </row>
    <row r="600" spans="1:4" x14ac:dyDescent="0.25">
      <c r="A600" s="2">
        <v>40738</v>
      </c>
      <c r="B600" s="3">
        <v>4.5949</v>
      </c>
      <c r="C600" s="65">
        <v>40745</v>
      </c>
      <c r="D600" s="1">
        <v>4.1642999999999999</v>
      </c>
    </row>
    <row r="601" spans="1:4" x14ac:dyDescent="0.25">
      <c r="A601" s="2">
        <v>40739</v>
      </c>
      <c r="B601" s="3">
        <v>4.6291000000000002</v>
      </c>
      <c r="C601" s="65">
        <v>40746</v>
      </c>
      <c r="D601" s="1">
        <v>4.1706000000000003</v>
      </c>
    </row>
    <row r="602" spans="1:4" x14ac:dyDescent="0.25">
      <c r="A602" s="2">
        <v>40742</v>
      </c>
      <c r="B602" s="3">
        <v>4.7226999999999997</v>
      </c>
      <c r="C602" s="65">
        <v>40749</v>
      </c>
      <c r="D602" s="1">
        <v>4.2765000000000004</v>
      </c>
    </row>
    <row r="603" spans="1:4" x14ac:dyDescent="0.25">
      <c r="A603" s="2">
        <v>40743</v>
      </c>
      <c r="B603" s="3">
        <v>4.6604000000000001</v>
      </c>
      <c r="C603" s="65">
        <v>40750</v>
      </c>
      <c r="D603" s="1">
        <v>4.2651000000000003</v>
      </c>
    </row>
    <row r="604" spans="1:4" x14ac:dyDescent="0.25">
      <c r="A604" s="2">
        <v>40744</v>
      </c>
      <c r="B604" s="3">
        <v>4.5557999999999996</v>
      </c>
      <c r="C604" s="65">
        <v>40751</v>
      </c>
      <c r="D604" s="1">
        <v>4.3886000000000003</v>
      </c>
    </row>
    <row r="605" spans="1:4" x14ac:dyDescent="0.25">
      <c r="A605" s="2">
        <v>40745</v>
      </c>
      <c r="B605" s="3">
        <v>4.4608999999999996</v>
      </c>
      <c r="C605" s="65">
        <v>40752</v>
      </c>
      <c r="D605" s="1">
        <v>4.3735999999999997</v>
      </c>
    </row>
    <row r="606" spans="1:4" x14ac:dyDescent="0.25">
      <c r="A606" s="2">
        <v>40746</v>
      </c>
      <c r="B606" s="3">
        <v>4.4459999999999997</v>
      </c>
      <c r="C606" s="65">
        <v>40753</v>
      </c>
      <c r="D606" s="1">
        <v>4.4031000000000002</v>
      </c>
    </row>
    <row r="607" spans="1:4" x14ac:dyDescent="0.25">
      <c r="A607" s="2">
        <v>40749</v>
      </c>
      <c r="B607" s="3">
        <v>4.4945000000000004</v>
      </c>
      <c r="C607" s="65">
        <v>40756</v>
      </c>
      <c r="D607" s="1">
        <v>4.5786999999999995</v>
      </c>
    </row>
    <row r="608" spans="1:4" x14ac:dyDescent="0.25">
      <c r="A608" s="2">
        <v>40750</v>
      </c>
      <c r="B608" s="3">
        <v>4.4995000000000003</v>
      </c>
      <c r="C608" s="65">
        <v>40757</v>
      </c>
      <c r="D608" s="1">
        <v>4.6974</v>
      </c>
    </row>
    <row r="609" spans="1:4" x14ac:dyDescent="0.25">
      <c r="A609" s="2">
        <v>40751</v>
      </c>
      <c r="B609" s="3">
        <v>4.5762</v>
      </c>
      <c r="C609" s="65">
        <v>40758</v>
      </c>
      <c r="D609" s="1">
        <v>4.7709999999999999</v>
      </c>
    </row>
    <row r="610" spans="1:4" x14ac:dyDescent="0.25">
      <c r="A610" s="2">
        <v>40752</v>
      </c>
      <c r="B610" s="3">
        <v>4.5777999999999999</v>
      </c>
      <c r="C610" s="65">
        <v>40759</v>
      </c>
      <c r="D610" s="1">
        <v>5.0308000000000002</v>
      </c>
    </row>
    <row r="611" spans="1:4" x14ac:dyDescent="0.25">
      <c r="A611" s="2">
        <v>40753</v>
      </c>
      <c r="B611" s="3">
        <v>4.6162000000000001</v>
      </c>
      <c r="C611" s="65">
        <v>40760</v>
      </c>
      <c r="D611" s="1">
        <v>5.0659999999999998</v>
      </c>
    </row>
    <row r="612" spans="1:4" x14ac:dyDescent="0.25">
      <c r="A612" s="2">
        <v>40756</v>
      </c>
      <c r="B612" s="3">
        <v>4.8315000000000001</v>
      </c>
      <c r="C612" s="65">
        <v>40763</v>
      </c>
      <c r="D612" s="1">
        <v>5.1878000000000002</v>
      </c>
    </row>
    <row r="613" spans="1:4" x14ac:dyDescent="0.25">
      <c r="A613" s="2">
        <v>40757</v>
      </c>
      <c r="B613" s="3">
        <v>4.9234999999999998</v>
      </c>
      <c r="C613" s="65">
        <v>40764</v>
      </c>
      <c r="D613" s="1">
        <v>5.1608999999999998</v>
      </c>
    </row>
    <row r="614" spans="1:4" x14ac:dyDescent="0.25">
      <c r="A614" s="2">
        <v>40758</v>
      </c>
      <c r="B614" s="3">
        <v>5.0162000000000004</v>
      </c>
      <c r="C614" s="65">
        <v>40765</v>
      </c>
      <c r="D614" s="1">
        <v>5.5285000000000002</v>
      </c>
    </row>
    <row r="615" spans="1:4" x14ac:dyDescent="0.25">
      <c r="A615" s="2">
        <v>40759</v>
      </c>
      <c r="B615" s="3">
        <v>5.1940999999999997</v>
      </c>
      <c r="C615" s="65">
        <v>40766</v>
      </c>
      <c r="D615" s="1">
        <v>5.3109999999999999</v>
      </c>
    </row>
    <row r="616" spans="1:4" x14ac:dyDescent="0.25">
      <c r="A616" s="2">
        <v>40760</v>
      </c>
      <c r="B616" s="3">
        <v>5.2752999999999997</v>
      </c>
      <c r="C616" s="65">
        <v>40767</v>
      </c>
      <c r="D616" s="1">
        <v>5.1066000000000003</v>
      </c>
    </row>
    <row r="617" spans="1:4" x14ac:dyDescent="0.25">
      <c r="A617" s="2">
        <v>40763</v>
      </c>
      <c r="B617" s="3">
        <v>5.4789000000000003</v>
      </c>
      <c r="C617" s="65">
        <v>40771</v>
      </c>
      <c r="D617" s="1">
        <v>5.1513</v>
      </c>
    </row>
    <row r="618" spans="1:4" x14ac:dyDescent="0.25">
      <c r="A618" s="2">
        <v>40764</v>
      </c>
      <c r="B618" s="3">
        <v>5.4614000000000003</v>
      </c>
      <c r="C618" s="65">
        <v>40772</v>
      </c>
      <c r="D618" s="1">
        <v>5.0867000000000004</v>
      </c>
    </row>
    <row r="619" spans="1:4" x14ac:dyDescent="0.25">
      <c r="A619" s="2">
        <v>40765</v>
      </c>
      <c r="B619" s="3">
        <v>5.8197000000000001</v>
      </c>
      <c r="C619" s="65">
        <v>40773</v>
      </c>
      <c r="D619" s="1">
        <v>5.4198000000000004</v>
      </c>
    </row>
    <row r="620" spans="1:4" x14ac:dyDescent="0.25">
      <c r="A620" s="2">
        <v>40766</v>
      </c>
      <c r="B620" s="3">
        <v>5.6577000000000002</v>
      </c>
      <c r="C620" s="65">
        <v>40774</v>
      </c>
      <c r="D620" s="1">
        <v>5.5564</v>
      </c>
    </row>
    <row r="621" spans="1:4" x14ac:dyDescent="0.25">
      <c r="A621" s="2">
        <v>40767</v>
      </c>
      <c r="B621" s="3">
        <v>5.4324000000000003</v>
      </c>
      <c r="C621" s="65">
        <v>40777</v>
      </c>
      <c r="D621" s="1">
        <v>5.4645999999999999</v>
      </c>
    </row>
    <row r="622" spans="1:4" x14ac:dyDescent="0.25">
      <c r="A622" s="2">
        <v>40770</v>
      </c>
      <c r="B622" s="3">
        <v>5.3922999999999996</v>
      </c>
      <c r="C622" s="65">
        <v>40778</v>
      </c>
      <c r="D622" s="1">
        <v>5.5220000000000002</v>
      </c>
    </row>
    <row r="623" spans="1:4" x14ac:dyDescent="0.25">
      <c r="A623" s="2">
        <v>40771</v>
      </c>
      <c r="B623" s="3">
        <v>5.3941999999999997</v>
      </c>
      <c r="C623" s="65">
        <v>40779</v>
      </c>
      <c r="D623" s="1">
        <v>5.4210000000000003</v>
      </c>
    </row>
    <row r="624" spans="1:4" x14ac:dyDescent="0.25">
      <c r="A624" s="2">
        <v>40772</v>
      </c>
      <c r="B624" s="3">
        <v>5.3769999999999998</v>
      </c>
      <c r="C624" s="65">
        <v>40780</v>
      </c>
      <c r="D624" s="1">
        <v>5.4343000000000004</v>
      </c>
    </row>
    <row r="625" spans="1:4" x14ac:dyDescent="0.25">
      <c r="A625" s="2">
        <v>40773</v>
      </c>
      <c r="B625" s="3">
        <v>5.6803999999999997</v>
      </c>
      <c r="C625" s="65">
        <v>40781</v>
      </c>
      <c r="D625" s="1">
        <v>5.4874000000000001</v>
      </c>
    </row>
    <row r="626" spans="1:4" x14ac:dyDescent="0.25">
      <c r="A626" s="2">
        <v>40774</v>
      </c>
      <c r="B626" s="3">
        <v>5.8041</v>
      </c>
      <c r="C626" s="65">
        <v>40784</v>
      </c>
      <c r="D626" s="1">
        <v>5.3638000000000003</v>
      </c>
    </row>
    <row r="627" spans="1:4" x14ac:dyDescent="0.25">
      <c r="A627" s="2">
        <v>40777</v>
      </c>
      <c r="B627" s="3">
        <v>5.7394999999999996</v>
      </c>
      <c r="C627" s="65">
        <v>40785</v>
      </c>
      <c r="D627" s="1">
        <v>5.3761000000000001</v>
      </c>
    </row>
    <row r="628" spans="1:4" x14ac:dyDescent="0.25">
      <c r="A628" s="2">
        <v>40778</v>
      </c>
      <c r="B628" s="3">
        <v>5.6962000000000002</v>
      </c>
      <c r="C628" s="65">
        <v>40786</v>
      </c>
      <c r="D628" s="1">
        <v>5.2183000000000002</v>
      </c>
    </row>
    <row r="629" spans="1:4" x14ac:dyDescent="0.25">
      <c r="A629" s="2">
        <v>40779</v>
      </c>
      <c r="B629" s="3">
        <v>5.5976999999999997</v>
      </c>
      <c r="C629" s="65">
        <v>40787</v>
      </c>
      <c r="D629" s="1">
        <v>5.1825000000000001</v>
      </c>
    </row>
    <row r="630" spans="1:4" x14ac:dyDescent="0.25">
      <c r="A630" s="2">
        <v>40780</v>
      </c>
      <c r="B630" s="3">
        <v>5.6532999999999998</v>
      </c>
      <c r="C630" s="65">
        <v>40788</v>
      </c>
      <c r="D630" s="1">
        <v>5.3924000000000003</v>
      </c>
    </row>
    <row r="631" spans="1:4" x14ac:dyDescent="0.25">
      <c r="A631" s="2">
        <v>40781</v>
      </c>
      <c r="B631" s="3">
        <v>5.7210000000000001</v>
      </c>
      <c r="C631" s="65">
        <v>40791</v>
      </c>
      <c r="D631" s="1">
        <v>5.6657999999999999</v>
      </c>
    </row>
    <row r="632" spans="1:4" x14ac:dyDescent="0.25">
      <c r="A632" s="2">
        <v>40784</v>
      </c>
      <c r="B632" s="3">
        <v>5.5961999999999996</v>
      </c>
      <c r="C632" s="65">
        <v>40792</v>
      </c>
      <c r="D632" s="1">
        <v>5.7804000000000002</v>
      </c>
    </row>
    <row r="633" spans="1:4" x14ac:dyDescent="0.25">
      <c r="A633" s="2">
        <v>40785</v>
      </c>
      <c r="B633" s="3">
        <v>5.5966000000000005</v>
      </c>
      <c r="C633" s="65">
        <v>40793</v>
      </c>
      <c r="D633" s="1">
        <v>5.5450999999999997</v>
      </c>
    </row>
    <row r="634" spans="1:4" x14ac:dyDescent="0.25">
      <c r="A634" s="2">
        <v>40786</v>
      </c>
      <c r="B634" s="3">
        <v>5.4436</v>
      </c>
      <c r="C634" s="65">
        <v>40794</v>
      </c>
      <c r="D634" s="1">
        <v>5.5068999999999999</v>
      </c>
    </row>
    <row r="635" spans="1:4" x14ac:dyDescent="0.25">
      <c r="A635" s="2">
        <v>40787</v>
      </c>
      <c r="B635" s="3">
        <v>5.4046000000000003</v>
      </c>
      <c r="C635" s="65">
        <v>40795</v>
      </c>
      <c r="D635" s="1">
        <v>5.7926000000000002</v>
      </c>
    </row>
    <row r="636" spans="1:4" x14ac:dyDescent="0.25">
      <c r="A636" s="2">
        <v>40788</v>
      </c>
      <c r="B636" s="3">
        <v>5.6115000000000004</v>
      </c>
      <c r="C636" s="65">
        <v>40798</v>
      </c>
      <c r="D636" s="1">
        <v>6.0274000000000001</v>
      </c>
    </row>
    <row r="637" spans="1:4" x14ac:dyDescent="0.25">
      <c r="A637" s="2">
        <v>40791</v>
      </c>
      <c r="B637" s="3">
        <v>5.9135999999999997</v>
      </c>
      <c r="C637" s="65">
        <v>40799</v>
      </c>
      <c r="D637" s="1">
        <v>5.8981000000000003</v>
      </c>
    </row>
    <row r="638" spans="1:4" x14ac:dyDescent="0.25">
      <c r="A638" s="2">
        <v>40792</v>
      </c>
      <c r="B638" s="3">
        <v>5.9908999999999999</v>
      </c>
      <c r="C638" s="65">
        <v>40800</v>
      </c>
      <c r="D638" s="1">
        <v>5.7435</v>
      </c>
    </row>
    <row r="639" spans="1:4" x14ac:dyDescent="0.25">
      <c r="A639" s="2">
        <v>40793</v>
      </c>
      <c r="B639" s="3">
        <v>5.7930000000000001</v>
      </c>
      <c r="C639" s="65">
        <v>40801</v>
      </c>
      <c r="D639" s="1">
        <v>5.5463000000000005</v>
      </c>
    </row>
    <row r="640" spans="1:4" x14ac:dyDescent="0.25">
      <c r="A640" s="2">
        <v>40794</v>
      </c>
      <c r="B640" s="3">
        <v>5.7602000000000002</v>
      </c>
      <c r="C640" s="65">
        <v>40802</v>
      </c>
      <c r="D640" s="1">
        <v>5.5827</v>
      </c>
    </row>
    <row r="641" spans="1:4" x14ac:dyDescent="0.25">
      <c r="A641" s="2">
        <v>40795</v>
      </c>
      <c r="B641" s="3">
        <v>6.0095000000000001</v>
      </c>
      <c r="C641" s="65">
        <v>40805</v>
      </c>
      <c r="D641" s="1">
        <v>5.6715999999999998</v>
      </c>
    </row>
    <row r="642" spans="1:4" x14ac:dyDescent="0.25">
      <c r="A642" s="2">
        <v>40798</v>
      </c>
      <c r="B642" s="3">
        <v>6.2464000000000004</v>
      </c>
      <c r="C642" s="65">
        <v>40806</v>
      </c>
      <c r="D642" s="1">
        <v>5.5651999999999999</v>
      </c>
    </row>
    <row r="643" spans="1:4" x14ac:dyDescent="0.25">
      <c r="A643" s="2">
        <v>40799</v>
      </c>
      <c r="B643" s="3">
        <v>6.1186999999999996</v>
      </c>
      <c r="C643" s="65">
        <v>40807</v>
      </c>
      <c r="D643" s="1">
        <v>5.6582999999999997</v>
      </c>
    </row>
    <row r="644" spans="1:4" x14ac:dyDescent="0.25">
      <c r="A644" s="2">
        <v>40800</v>
      </c>
      <c r="B644" s="3">
        <v>5.9815000000000005</v>
      </c>
      <c r="C644" s="65">
        <v>40808</v>
      </c>
      <c r="D644" s="1">
        <v>5.9261999999999997</v>
      </c>
    </row>
    <row r="645" spans="1:4" x14ac:dyDescent="0.25">
      <c r="A645" s="2">
        <v>40801</v>
      </c>
      <c r="B645" s="3">
        <v>5.7809999999999997</v>
      </c>
      <c r="C645" s="65">
        <v>40809</v>
      </c>
      <c r="D645" s="1">
        <v>5.8467000000000002</v>
      </c>
    </row>
    <row r="646" spans="1:4" x14ac:dyDescent="0.25">
      <c r="A646" s="2">
        <v>40802</v>
      </c>
      <c r="B646" s="3">
        <v>5.7712000000000003</v>
      </c>
      <c r="C646" s="65">
        <v>40812</v>
      </c>
      <c r="D646" s="1">
        <v>5.6585999999999999</v>
      </c>
    </row>
    <row r="647" spans="1:4" x14ac:dyDescent="0.25">
      <c r="A647" s="2">
        <v>40805</v>
      </c>
      <c r="B647" s="3">
        <v>5.8452999999999999</v>
      </c>
      <c r="C647" s="65">
        <v>40813</v>
      </c>
      <c r="D647" s="1">
        <v>5.3941999999999997</v>
      </c>
    </row>
    <row r="648" spans="1:4" x14ac:dyDescent="0.25">
      <c r="A648" s="2">
        <v>40806</v>
      </c>
      <c r="B648" s="3">
        <v>5.7243000000000004</v>
      </c>
      <c r="C648" s="65">
        <v>40814</v>
      </c>
      <c r="D648" s="1">
        <v>5.4661</v>
      </c>
    </row>
    <row r="649" spans="1:4" x14ac:dyDescent="0.25">
      <c r="A649" s="2">
        <v>40807</v>
      </c>
      <c r="B649" s="3">
        <v>5.8387000000000002</v>
      </c>
      <c r="C649" s="65">
        <v>40815</v>
      </c>
      <c r="D649" s="1">
        <v>5.3554000000000004</v>
      </c>
    </row>
    <row r="650" spans="1:4" x14ac:dyDescent="0.25">
      <c r="A650" s="2">
        <v>40808</v>
      </c>
      <c r="B650" s="3">
        <v>6.1393000000000004</v>
      </c>
      <c r="C650" s="65">
        <v>40816</v>
      </c>
      <c r="D650" s="1">
        <v>5.431</v>
      </c>
    </row>
    <row r="651" spans="1:4" x14ac:dyDescent="0.25">
      <c r="A651" s="2">
        <v>40809</v>
      </c>
      <c r="B651" s="3">
        <v>6.0475000000000003</v>
      </c>
      <c r="C651" s="65">
        <v>40819</v>
      </c>
      <c r="D651" s="1">
        <v>5.5029000000000003</v>
      </c>
    </row>
    <row r="652" spans="1:4" x14ac:dyDescent="0.25">
      <c r="A652" s="2">
        <v>40812</v>
      </c>
      <c r="B652" s="3">
        <v>5.8811</v>
      </c>
      <c r="C652" s="65">
        <v>40820</v>
      </c>
      <c r="D652" s="1">
        <v>5.6569000000000003</v>
      </c>
    </row>
    <row r="653" spans="1:4" x14ac:dyDescent="0.25">
      <c r="A653" s="2">
        <v>40813</v>
      </c>
      <c r="B653" s="3">
        <v>5.5844000000000005</v>
      </c>
      <c r="C653" s="65">
        <v>40821</v>
      </c>
      <c r="D653" s="1">
        <v>5.4424000000000001</v>
      </c>
    </row>
    <row r="654" spans="1:4" x14ac:dyDescent="0.25">
      <c r="A654" s="2">
        <v>40814</v>
      </c>
      <c r="B654" s="3">
        <v>5.6291000000000002</v>
      </c>
      <c r="C654" s="65">
        <v>40822</v>
      </c>
      <c r="D654" s="1">
        <v>5.2556000000000003</v>
      </c>
    </row>
    <row r="655" spans="1:4" x14ac:dyDescent="0.25">
      <c r="A655" s="2">
        <v>40815</v>
      </c>
      <c r="B655" s="3">
        <v>5.5380000000000003</v>
      </c>
      <c r="C655" s="65">
        <v>40823</v>
      </c>
      <c r="D655" s="1">
        <v>5.1887999999999996</v>
      </c>
    </row>
    <row r="656" spans="1:4" x14ac:dyDescent="0.25">
      <c r="A656" s="2">
        <v>40816</v>
      </c>
      <c r="B656" s="3">
        <v>5.6212999999999997</v>
      </c>
      <c r="C656" s="65">
        <v>40826</v>
      </c>
      <c r="D656" s="1">
        <v>5.0053000000000001</v>
      </c>
    </row>
    <row r="657" spans="1:4" x14ac:dyDescent="0.25">
      <c r="A657" s="2">
        <v>40819</v>
      </c>
      <c r="B657" s="3">
        <v>5.6375000000000002</v>
      </c>
      <c r="C657" s="65">
        <v>40827</v>
      </c>
      <c r="D657" s="1">
        <v>4.9992999999999999</v>
      </c>
    </row>
    <row r="658" spans="1:4" x14ac:dyDescent="0.25">
      <c r="A658" s="2">
        <v>40820</v>
      </c>
      <c r="B658" s="3">
        <v>5.7647000000000004</v>
      </c>
      <c r="C658" s="65">
        <v>40828</v>
      </c>
      <c r="D658" s="1">
        <v>4.8570000000000002</v>
      </c>
    </row>
    <row r="659" spans="1:4" x14ac:dyDescent="0.25">
      <c r="A659" s="2">
        <v>40821</v>
      </c>
      <c r="B659" s="3">
        <v>5.5309999999999997</v>
      </c>
      <c r="C659" s="65">
        <v>40829</v>
      </c>
      <c r="D659" s="1">
        <v>5.0438999999999998</v>
      </c>
    </row>
    <row r="660" spans="1:4" x14ac:dyDescent="0.25">
      <c r="A660" s="2">
        <v>40822</v>
      </c>
      <c r="B660" s="3">
        <v>5.3604000000000003</v>
      </c>
      <c r="C660" s="65">
        <v>40830</v>
      </c>
      <c r="D660" s="1">
        <v>4.9215</v>
      </c>
    </row>
    <row r="661" spans="1:4" x14ac:dyDescent="0.25">
      <c r="A661" s="2">
        <v>40823</v>
      </c>
      <c r="B661" s="3">
        <v>5.1726999999999999</v>
      </c>
      <c r="C661" s="65">
        <v>40833</v>
      </c>
      <c r="D661" s="1">
        <v>5.0374999999999996</v>
      </c>
    </row>
    <row r="662" spans="1:4" x14ac:dyDescent="0.25">
      <c r="A662" s="2">
        <v>40826</v>
      </c>
      <c r="B662" s="3">
        <v>5.0576999999999996</v>
      </c>
      <c r="C662" s="65">
        <v>40834</v>
      </c>
      <c r="D662" s="1">
        <v>5.0199999999999996</v>
      </c>
    </row>
    <row r="663" spans="1:4" x14ac:dyDescent="0.25">
      <c r="A663" s="2">
        <v>40827</v>
      </c>
      <c r="B663" s="3">
        <v>5.0682999999999998</v>
      </c>
      <c r="C663" s="65">
        <v>40835</v>
      </c>
      <c r="D663" s="1">
        <v>4.9203999999999999</v>
      </c>
    </row>
    <row r="664" spans="1:4" x14ac:dyDescent="0.25">
      <c r="A664" s="2">
        <v>40828</v>
      </c>
      <c r="B664" s="3">
        <v>4.9481999999999999</v>
      </c>
      <c r="C664" s="65">
        <v>40836</v>
      </c>
      <c r="D664" s="1">
        <v>5.1135999999999999</v>
      </c>
    </row>
    <row r="665" spans="1:4" x14ac:dyDescent="0.25">
      <c r="A665" s="2">
        <v>40829</v>
      </c>
      <c r="B665" s="3">
        <v>5.0323000000000002</v>
      </c>
      <c r="C665" s="65">
        <v>40837</v>
      </c>
      <c r="D665" s="1">
        <v>4.9744000000000002</v>
      </c>
    </row>
    <row r="666" spans="1:4" x14ac:dyDescent="0.25">
      <c r="A666" s="2">
        <v>40830</v>
      </c>
      <c r="B666" s="3">
        <v>4.9832000000000001</v>
      </c>
      <c r="C666" s="65">
        <v>40840</v>
      </c>
      <c r="D666" s="1">
        <v>4.9474999999999998</v>
      </c>
    </row>
    <row r="667" spans="1:4" x14ac:dyDescent="0.25">
      <c r="A667" s="2">
        <v>40833</v>
      </c>
      <c r="B667" s="3">
        <v>5.0683999999999996</v>
      </c>
      <c r="C667" s="65">
        <v>40841</v>
      </c>
      <c r="D667" s="1">
        <v>5.0004</v>
      </c>
    </row>
    <row r="668" spans="1:4" x14ac:dyDescent="0.25">
      <c r="A668" s="2">
        <v>40834</v>
      </c>
      <c r="B668" s="3">
        <v>5.0884</v>
      </c>
      <c r="C668" s="65">
        <v>40842</v>
      </c>
      <c r="D668" s="1">
        <v>4.9969000000000001</v>
      </c>
    </row>
    <row r="669" spans="1:4" x14ac:dyDescent="0.25">
      <c r="A669" s="2">
        <v>40835</v>
      </c>
      <c r="B669" s="3">
        <v>5.0376000000000003</v>
      </c>
      <c r="C669" s="65">
        <v>40843</v>
      </c>
      <c r="D669" s="1">
        <v>4.7366999999999999</v>
      </c>
    </row>
    <row r="670" spans="1:4" x14ac:dyDescent="0.25">
      <c r="A670" s="2">
        <v>40836</v>
      </c>
      <c r="B670" s="3">
        <v>5.1669</v>
      </c>
      <c r="C670" s="65">
        <v>40844</v>
      </c>
      <c r="D670" s="1">
        <v>4.8224</v>
      </c>
    </row>
    <row r="671" spans="1:4" x14ac:dyDescent="0.25">
      <c r="A671" s="2">
        <v>40837</v>
      </c>
      <c r="B671" s="3">
        <v>5.0214999999999996</v>
      </c>
      <c r="C671" s="65">
        <v>40847</v>
      </c>
      <c r="D671" s="1">
        <v>5.0137999999999998</v>
      </c>
    </row>
    <row r="672" spans="1:4" x14ac:dyDescent="0.25">
      <c r="A672" s="2">
        <v>40840</v>
      </c>
      <c r="B672" s="3">
        <v>4.9546999999999999</v>
      </c>
      <c r="C672" s="65">
        <v>40848</v>
      </c>
      <c r="D672" s="1">
        <v>5.3796999999999997</v>
      </c>
    </row>
    <row r="673" spans="1:4" x14ac:dyDescent="0.25">
      <c r="A673" s="2">
        <v>40841</v>
      </c>
      <c r="B673" s="3">
        <v>5.0076999999999998</v>
      </c>
      <c r="C673" s="65">
        <v>40849</v>
      </c>
      <c r="D673" s="1">
        <v>5.2582000000000004</v>
      </c>
    </row>
    <row r="674" spans="1:4" x14ac:dyDescent="0.25">
      <c r="A674" s="2">
        <v>40842</v>
      </c>
      <c r="B674" s="3">
        <v>5.0267999999999997</v>
      </c>
      <c r="C674" s="65">
        <v>40850</v>
      </c>
      <c r="D674" s="1">
        <v>5.0937999999999999</v>
      </c>
    </row>
    <row r="675" spans="1:4" x14ac:dyDescent="0.25">
      <c r="A675" s="2">
        <v>40843</v>
      </c>
      <c r="B675" s="3">
        <v>4.7389000000000001</v>
      </c>
      <c r="C675" s="65">
        <v>40851</v>
      </c>
      <c r="D675" s="1">
        <v>5.2331000000000003</v>
      </c>
    </row>
    <row r="676" spans="1:4" x14ac:dyDescent="0.25">
      <c r="A676" s="2">
        <v>40844</v>
      </c>
      <c r="B676" s="3">
        <v>4.7668999999999997</v>
      </c>
      <c r="C676" s="65">
        <v>40854</v>
      </c>
      <c r="D676" s="1">
        <v>5.1623000000000001</v>
      </c>
    </row>
    <row r="677" spans="1:4" x14ac:dyDescent="0.25">
      <c r="A677" s="2">
        <v>40847</v>
      </c>
      <c r="B677" s="3">
        <v>4.9211</v>
      </c>
      <c r="C677" s="65">
        <v>40855</v>
      </c>
      <c r="D677" s="1">
        <v>5.1242999999999999</v>
      </c>
    </row>
    <row r="678" spans="1:4" x14ac:dyDescent="0.25">
      <c r="A678" s="2">
        <v>40848</v>
      </c>
      <c r="B678" s="3">
        <v>5.1943999999999999</v>
      </c>
      <c r="C678" s="65">
        <v>40856</v>
      </c>
      <c r="D678" s="1">
        <v>5.3257000000000003</v>
      </c>
    </row>
    <row r="679" spans="1:4" x14ac:dyDescent="0.25">
      <c r="A679" s="2">
        <v>40849</v>
      </c>
      <c r="B679" s="3">
        <v>5.1247999999999996</v>
      </c>
      <c r="C679" s="65">
        <v>40857</v>
      </c>
      <c r="D679" s="1">
        <v>5.2744</v>
      </c>
    </row>
    <row r="680" spans="1:4" x14ac:dyDescent="0.25">
      <c r="A680" s="2">
        <v>40850</v>
      </c>
      <c r="B680" s="3">
        <v>5.0025000000000004</v>
      </c>
      <c r="C680" s="65">
        <v>40858</v>
      </c>
      <c r="D680" s="1">
        <v>5.0869999999999997</v>
      </c>
    </row>
    <row r="681" spans="1:4" x14ac:dyDescent="0.25">
      <c r="A681" s="2">
        <v>40851</v>
      </c>
      <c r="B681" s="3">
        <v>5.1257999999999999</v>
      </c>
      <c r="C681" s="65">
        <v>40861</v>
      </c>
      <c r="D681" s="1">
        <v>5.1905000000000001</v>
      </c>
    </row>
    <row r="682" spans="1:4" x14ac:dyDescent="0.25">
      <c r="A682" s="2">
        <v>40854</v>
      </c>
      <c r="B682" s="3">
        <v>5.1971999999999996</v>
      </c>
      <c r="C682" s="65">
        <v>40862</v>
      </c>
      <c r="D682" s="1">
        <v>5.2470999999999997</v>
      </c>
    </row>
    <row r="683" spans="1:4" x14ac:dyDescent="0.25">
      <c r="A683" s="2">
        <v>40855</v>
      </c>
      <c r="B683" s="3">
        <v>5.1356000000000002</v>
      </c>
      <c r="C683" s="65">
        <v>40863</v>
      </c>
      <c r="D683" s="1">
        <v>5.2057000000000002</v>
      </c>
    </row>
    <row r="684" spans="1:4" x14ac:dyDescent="0.25">
      <c r="A684" s="2">
        <v>40856</v>
      </c>
      <c r="B684" s="3">
        <v>5.2605000000000004</v>
      </c>
      <c r="C684" s="65">
        <v>40864</v>
      </c>
      <c r="D684" s="1">
        <v>5.2812999999999999</v>
      </c>
    </row>
    <row r="685" spans="1:4" x14ac:dyDescent="0.25">
      <c r="A685" s="2">
        <v>40857</v>
      </c>
      <c r="B685" s="3">
        <v>5.2476000000000003</v>
      </c>
      <c r="C685" s="65">
        <v>40865</v>
      </c>
      <c r="D685" s="1">
        <v>5.2694999999999999</v>
      </c>
    </row>
    <row r="686" spans="1:4" x14ac:dyDescent="0.25">
      <c r="A686" s="2">
        <v>40858</v>
      </c>
      <c r="B686" s="3">
        <v>5.0899000000000001</v>
      </c>
      <c r="C686" s="65">
        <v>40868</v>
      </c>
      <c r="D686" s="1">
        <v>5.5632000000000001</v>
      </c>
    </row>
    <row r="687" spans="1:4" x14ac:dyDescent="0.25">
      <c r="A687" s="2">
        <v>40861</v>
      </c>
      <c r="B687" s="3">
        <v>5.1710000000000003</v>
      </c>
      <c r="C687" s="65">
        <v>40869</v>
      </c>
      <c r="D687" s="1">
        <v>5.6504000000000003</v>
      </c>
    </row>
    <row r="688" spans="1:4" x14ac:dyDescent="0.25">
      <c r="A688" s="2">
        <v>40862</v>
      </c>
      <c r="B688" s="3">
        <v>5.2497999999999996</v>
      </c>
      <c r="C688" s="65">
        <v>40870</v>
      </c>
      <c r="D688" s="1">
        <v>5.8190999999999997</v>
      </c>
    </row>
    <row r="689" spans="1:4" x14ac:dyDescent="0.25">
      <c r="A689" s="2">
        <v>40863</v>
      </c>
      <c r="B689" s="3">
        <v>5.2175000000000002</v>
      </c>
      <c r="C689" s="65">
        <v>40871</v>
      </c>
      <c r="D689" s="1">
        <v>5.8170999999999999</v>
      </c>
    </row>
    <row r="690" spans="1:4" x14ac:dyDescent="0.25">
      <c r="A690" s="2">
        <v>40864</v>
      </c>
      <c r="B690" s="3">
        <v>5.2759999999999998</v>
      </c>
      <c r="C690" s="65">
        <v>40872</v>
      </c>
      <c r="D690" s="1">
        <v>5.8101000000000003</v>
      </c>
    </row>
    <row r="691" spans="1:4" x14ac:dyDescent="0.25">
      <c r="A691" s="2">
        <v>40865</v>
      </c>
      <c r="B691" s="3">
        <v>5.2904999999999998</v>
      </c>
      <c r="C691" s="65">
        <v>40875</v>
      </c>
      <c r="D691" s="1">
        <v>5.5629</v>
      </c>
    </row>
    <row r="692" spans="1:4" x14ac:dyDescent="0.25">
      <c r="A692" s="2">
        <v>40868</v>
      </c>
      <c r="B692" s="3">
        <v>5.4775999999999998</v>
      </c>
      <c r="C692" s="65">
        <v>40876</v>
      </c>
      <c r="D692" s="1">
        <v>5.5442</v>
      </c>
    </row>
    <row r="693" spans="1:4" x14ac:dyDescent="0.25">
      <c r="A693" s="2">
        <v>40869</v>
      </c>
      <c r="B693" s="3">
        <v>5.5377999999999998</v>
      </c>
      <c r="C693" s="65">
        <v>40877</v>
      </c>
      <c r="D693" s="1">
        <v>5.3113999999999999</v>
      </c>
    </row>
    <row r="694" spans="1:4" x14ac:dyDescent="0.25">
      <c r="A694" s="2">
        <v>40870</v>
      </c>
      <c r="B694" s="3">
        <v>5.6434999999999995</v>
      </c>
      <c r="C694" s="65">
        <v>40878</v>
      </c>
      <c r="D694" s="1">
        <v>5.3197000000000001</v>
      </c>
    </row>
    <row r="695" spans="1:4" x14ac:dyDescent="0.25">
      <c r="A695" s="2">
        <v>40871</v>
      </c>
      <c r="B695" s="3">
        <v>5.6612</v>
      </c>
      <c r="C695" s="65">
        <v>40879</v>
      </c>
      <c r="D695" s="1">
        <v>5.2401999999999997</v>
      </c>
    </row>
    <row r="696" spans="1:4" x14ac:dyDescent="0.25">
      <c r="A696" s="2">
        <v>40872</v>
      </c>
      <c r="B696" s="3">
        <v>5.6048</v>
      </c>
      <c r="C696" s="65">
        <v>40882</v>
      </c>
      <c r="D696" s="1">
        <v>5.0919999999999996</v>
      </c>
    </row>
    <row r="697" spans="1:4" x14ac:dyDescent="0.25">
      <c r="A697" s="2">
        <v>40875</v>
      </c>
      <c r="B697" s="3">
        <v>5.3261000000000003</v>
      </c>
      <c r="C697" s="65">
        <v>40883</v>
      </c>
      <c r="D697" s="1">
        <v>5.1170999999999998</v>
      </c>
    </row>
    <row r="698" spans="1:4" x14ac:dyDescent="0.25">
      <c r="A698" s="2">
        <v>40876</v>
      </c>
      <c r="B698" s="3">
        <v>5.2984999999999998</v>
      </c>
      <c r="C698" s="65">
        <v>40884</v>
      </c>
      <c r="D698" s="1">
        <v>5.1816000000000004</v>
      </c>
    </row>
    <row r="699" spans="1:4" x14ac:dyDescent="0.25">
      <c r="A699" s="2">
        <v>40877</v>
      </c>
      <c r="B699" s="3">
        <v>5.0796999999999999</v>
      </c>
      <c r="C699" s="65">
        <v>40885</v>
      </c>
      <c r="D699" s="1">
        <v>5.4139999999999997</v>
      </c>
    </row>
    <row r="700" spans="1:4" x14ac:dyDescent="0.25">
      <c r="A700" s="2">
        <v>40878</v>
      </c>
      <c r="B700" s="3">
        <v>5.0848000000000004</v>
      </c>
      <c r="C700" s="65">
        <v>40886</v>
      </c>
      <c r="D700" s="1">
        <v>5.2374999999999998</v>
      </c>
    </row>
    <row r="701" spans="1:4" x14ac:dyDescent="0.25">
      <c r="A701" s="2">
        <v>40879</v>
      </c>
      <c r="B701" s="3">
        <v>5.0225999999999997</v>
      </c>
      <c r="C701" s="65">
        <v>40889</v>
      </c>
      <c r="D701" s="1">
        <v>5.444</v>
      </c>
    </row>
    <row r="702" spans="1:4" x14ac:dyDescent="0.25">
      <c r="A702" s="2">
        <v>40882</v>
      </c>
      <c r="B702" s="3">
        <v>4.9656000000000002</v>
      </c>
      <c r="C702" s="65">
        <v>40890</v>
      </c>
      <c r="D702" s="1">
        <v>5.4606000000000003</v>
      </c>
    </row>
    <row r="703" spans="1:4" x14ac:dyDescent="0.25">
      <c r="A703" s="2">
        <v>40883</v>
      </c>
      <c r="B703" s="3">
        <v>4.9923000000000002</v>
      </c>
      <c r="C703" s="65">
        <v>40891</v>
      </c>
      <c r="D703" s="1">
        <v>5.62</v>
      </c>
    </row>
    <row r="704" spans="1:4" x14ac:dyDescent="0.25">
      <c r="A704" s="2">
        <v>40884</v>
      </c>
      <c r="B704" s="3">
        <v>5.0174000000000003</v>
      </c>
      <c r="C704" s="65">
        <v>40892</v>
      </c>
      <c r="D704" s="1">
        <v>5.5441000000000003</v>
      </c>
    </row>
    <row r="705" spans="1:4" x14ac:dyDescent="0.25">
      <c r="A705" s="2">
        <v>40885</v>
      </c>
      <c r="B705" s="3">
        <v>5.1418999999999997</v>
      </c>
      <c r="C705" s="65">
        <v>40893</v>
      </c>
      <c r="D705" s="1">
        <v>5.5651999999999999</v>
      </c>
    </row>
    <row r="706" spans="1:4" x14ac:dyDescent="0.25">
      <c r="A706" s="2">
        <v>40886</v>
      </c>
      <c r="B706" s="3">
        <v>5.0221999999999998</v>
      </c>
      <c r="C706" s="65">
        <v>40896</v>
      </c>
      <c r="D706" s="1">
        <v>5.5232999999999999</v>
      </c>
    </row>
    <row r="707" spans="1:4" x14ac:dyDescent="0.25">
      <c r="A707" s="2">
        <v>40889</v>
      </c>
      <c r="B707" s="3">
        <v>5.1852999999999998</v>
      </c>
      <c r="C707" s="65">
        <v>40897</v>
      </c>
      <c r="D707" s="1">
        <v>5.3693999999999997</v>
      </c>
    </row>
    <row r="708" spans="1:4" x14ac:dyDescent="0.25">
      <c r="A708" s="2">
        <v>40890</v>
      </c>
      <c r="B708" s="3">
        <v>5.2046999999999999</v>
      </c>
      <c r="C708" s="65">
        <v>40898</v>
      </c>
      <c r="D708" s="1">
        <v>5.4221000000000004</v>
      </c>
    </row>
    <row r="709" spans="1:4" x14ac:dyDescent="0.25">
      <c r="A709" s="2">
        <v>40891</v>
      </c>
      <c r="B709" s="3">
        <v>5.3346999999999998</v>
      </c>
      <c r="C709" s="65">
        <v>40899</v>
      </c>
      <c r="D709" s="1">
        <v>5.3472</v>
      </c>
    </row>
    <row r="710" spans="1:4" x14ac:dyDescent="0.25">
      <c r="A710" s="2">
        <v>40892</v>
      </c>
      <c r="B710" s="3">
        <v>5.2891000000000004</v>
      </c>
      <c r="C710" s="65">
        <v>40900</v>
      </c>
      <c r="D710" s="1">
        <v>5.3307000000000002</v>
      </c>
    </row>
    <row r="711" spans="1:4" x14ac:dyDescent="0.25">
      <c r="A711" s="2">
        <v>40893</v>
      </c>
      <c r="B711" s="3">
        <v>5.3423999999999996</v>
      </c>
      <c r="C711" s="65">
        <v>40904</v>
      </c>
      <c r="D711" s="1">
        <v>5.3842999999999996</v>
      </c>
    </row>
    <row r="712" spans="1:4" x14ac:dyDescent="0.25">
      <c r="A712" s="2">
        <v>40896</v>
      </c>
      <c r="B712" s="3">
        <v>5.3567</v>
      </c>
      <c r="C712" s="65">
        <v>40905</v>
      </c>
      <c r="D712" s="1">
        <v>5.4306000000000001</v>
      </c>
    </row>
    <row r="713" spans="1:4" x14ac:dyDescent="0.25">
      <c r="A713" s="2">
        <v>40897</v>
      </c>
      <c r="B713" s="3">
        <v>5.2160000000000002</v>
      </c>
      <c r="C713" s="65">
        <v>40906</v>
      </c>
      <c r="D713" s="1">
        <v>5.3898000000000001</v>
      </c>
    </row>
    <row r="714" spans="1:4" x14ac:dyDescent="0.25">
      <c r="A714" s="2">
        <v>40898</v>
      </c>
      <c r="B714" s="3">
        <v>5.2579000000000002</v>
      </c>
      <c r="C714" s="65">
        <v>40907</v>
      </c>
      <c r="D714" s="1">
        <v>5.3250999999999999</v>
      </c>
    </row>
    <row r="715" spans="1:4" x14ac:dyDescent="0.25">
      <c r="A715" s="2">
        <v>40899</v>
      </c>
      <c r="B715" s="3">
        <v>5.1916000000000002</v>
      </c>
      <c r="C715" s="65">
        <v>40910</v>
      </c>
      <c r="D715" s="1">
        <v>5.1993999999999998</v>
      </c>
    </row>
    <row r="716" spans="1:4" x14ac:dyDescent="0.25">
      <c r="A716" s="2">
        <v>40900</v>
      </c>
      <c r="B716" s="3">
        <v>5.1521999999999997</v>
      </c>
      <c r="C716" s="65">
        <v>40911</v>
      </c>
      <c r="D716" s="1">
        <v>5.1359000000000004</v>
      </c>
    </row>
    <row r="717" spans="1:4" x14ac:dyDescent="0.25">
      <c r="A717" s="2">
        <v>40904</v>
      </c>
      <c r="B717" s="3">
        <v>5.1524000000000001</v>
      </c>
      <c r="C717" s="65">
        <v>40912</v>
      </c>
      <c r="D717" s="1">
        <v>5.2427000000000001</v>
      </c>
    </row>
    <row r="718" spans="1:4" x14ac:dyDescent="0.25">
      <c r="A718" s="2">
        <v>40905</v>
      </c>
      <c r="B718" s="3">
        <v>5.2329999999999997</v>
      </c>
      <c r="C718" s="65">
        <v>40913</v>
      </c>
      <c r="D718" s="1">
        <v>5.4413999999999998</v>
      </c>
    </row>
    <row r="719" spans="1:4" x14ac:dyDescent="0.25">
      <c r="A719" s="2">
        <v>40906</v>
      </c>
      <c r="B719" s="3">
        <v>5.1479999999999997</v>
      </c>
      <c r="C719" s="65">
        <v>40914</v>
      </c>
      <c r="D719" s="1">
        <v>5.4866000000000001</v>
      </c>
    </row>
    <row r="720" spans="1:4" x14ac:dyDescent="0.25">
      <c r="A720" s="2">
        <v>40907</v>
      </c>
      <c r="B720" s="3">
        <v>5.0940000000000003</v>
      </c>
      <c r="C720" s="65">
        <v>40917</v>
      </c>
      <c r="D720" s="1">
        <v>5.5796000000000001</v>
      </c>
    </row>
    <row r="721" spans="1:4" x14ac:dyDescent="0.25">
      <c r="A721" s="2">
        <v>40910</v>
      </c>
      <c r="B721" s="3">
        <v>4.9786999999999999</v>
      </c>
      <c r="C721" s="65">
        <v>40918</v>
      </c>
      <c r="D721" s="1">
        <v>5.4130000000000003</v>
      </c>
    </row>
    <row r="722" spans="1:4" x14ac:dyDescent="0.25">
      <c r="A722" s="2">
        <v>40911</v>
      </c>
      <c r="B722" s="3">
        <v>4.9376999999999995</v>
      </c>
      <c r="C722" s="65">
        <v>40919</v>
      </c>
      <c r="D722" s="1">
        <v>5.3964999999999996</v>
      </c>
    </row>
    <row r="723" spans="1:4" x14ac:dyDescent="0.25">
      <c r="A723" s="2">
        <v>40912</v>
      </c>
      <c r="B723" s="3">
        <v>5.0217000000000001</v>
      </c>
      <c r="C723" s="65">
        <v>40920</v>
      </c>
      <c r="D723" s="1">
        <v>5.2862</v>
      </c>
    </row>
    <row r="724" spans="1:4" x14ac:dyDescent="0.25">
      <c r="A724" s="2">
        <v>40913</v>
      </c>
      <c r="B724" s="3">
        <v>5.0957999999999997</v>
      </c>
      <c r="C724" s="65">
        <v>40921</v>
      </c>
      <c r="D724" s="1">
        <v>5.3502000000000001</v>
      </c>
    </row>
    <row r="725" spans="1:4" x14ac:dyDescent="0.25">
      <c r="A725" s="2">
        <v>40914</v>
      </c>
      <c r="B725" s="3">
        <v>5.1337000000000002</v>
      </c>
      <c r="C725" s="65">
        <v>40924</v>
      </c>
      <c r="D725" s="1">
        <v>5.2763999999999998</v>
      </c>
    </row>
    <row r="726" spans="1:4" x14ac:dyDescent="0.25">
      <c r="A726" s="2">
        <v>40917</v>
      </c>
      <c r="B726" s="3">
        <v>5.1726999999999999</v>
      </c>
      <c r="C726" s="65">
        <v>40925</v>
      </c>
      <c r="D726" s="1">
        <v>5.2403000000000004</v>
      </c>
    </row>
    <row r="727" spans="1:4" x14ac:dyDescent="0.25">
      <c r="A727" s="2">
        <v>40918</v>
      </c>
      <c r="B727" s="3">
        <v>5.0768000000000004</v>
      </c>
      <c r="C727" s="65">
        <v>40926</v>
      </c>
      <c r="D727" s="1">
        <v>5.2586000000000004</v>
      </c>
    </row>
    <row r="728" spans="1:4" x14ac:dyDescent="0.25">
      <c r="A728" s="2">
        <v>40919</v>
      </c>
      <c r="B728" s="3">
        <v>5.0940000000000003</v>
      </c>
      <c r="C728" s="65">
        <v>40927</v>
      </c>
      <c r="D728" s="1">
        <v>5.133</v>
      </c>
    </row>
    <row r="729" spans="1:4" x14ac:dyDescent="0.25">
      <c r="A729" s="2">
        <v>40920</v>
      </c>
      <c r="B729" s="3">
        <v>5.0803000000000003</v>
      </c>
      <c r="C729" s="65">
        <v>40928</v>
      </c>
      <c r="D729" s="1">
        <v>5.1395</v>
      </c>
    </row>
    <row r="730" spans="1:4" x14ac:dyDescent="0.25">
      <c r="A730" s="2">
        <v>40921</v>
      </c>
      <c r="B730" s="3">
        <v>5.0972999999999997</v>
      </c>
      <c r="C730" s="65">
        <v>40931</v>
      </c>
      <c r="D730" s="1">
        <v>5.0505000000000004</v>
      </c>
    </row>
    <row r="731" spans="1:4" x14ac:dyDescent="0.25">
      <c r="A731" s="2">
        <v>40924</v>
      </c>
      <c r="B731" s="3">
        <v>5.0465</v>
      </c>
      <c r="C731" s="65">
        <v>40932</v>
      </c>
      <c r="D731" s="1">
        <v>5.0435999999999996</v>
      </c>
    </row>
    <row r="732" spans="1:4" x14ac:dyDescent="0.25">
      <c r="A732" s="2">
        <v>40925</v>
      </c>
      <c r="B732" s="3">
        <v>4.9725999999999999</v>
      </c>
      <c r="C732" s="65">
        <v>40933</v>
      </c>
      <c r="D732" s="1">
        <v>5.0720000000000001</v>
      </c>
    </row>
    <row r="733" spans="1:4" x14ac:dyDescent="0.25">
      <c r="A733" s="2">
        <v>40926</v>
      </c>
      <c r="B733" s="3">
        <v>4.9851000000000001</v>
      </c>
      <c r="C733" s="65">
        <v>40934</v>
      </c>
      <c r="D733" s="1">
        <v>4.9866999999999999</v>
      </c>
    </row>
    <row r="734" spans="1:4" x14ac:dyDescent="0.25">
      <c r="A734" s="2">
        <v>40927</v>
      </c>
      <c r="B734" s="3">
        <v>4.8941999999999997</v>
      </c>
      <c r="C734" s="65">
        <v>40935</v>
      </c>
      <c r="D734" s="1">
        <v>5.0381</v>
      </c>
    </row>
    <row r="735" spans="1:4" x14ac:dyDescent="0.25">
      <c r="A735" s="2">
        <v>40928</v>
      </c>
      <c r="B735" s="3">
        <v>4.9104999999999999</v>
      </c>
      <c r="C735" s="65">
        <v>40938</v>
      </c>
      <c r="D735" s="1">
        <v>5.0999999999999996</v>
      </c>
    </row>
    <row r="736" spans="1:4" x14ac:dyDescent="0.25">
      <c r="A736" s="2">
        <v>40931</v>
      </c>
      <c r="B736" s="3">
        <v>4.8814000000000002</v>
      </c>
      <c r="C736" s="65">
        <v>40939</v>
      </c>
      <c r="D736" s="1">
        <v>5.0758999999999999</v>
      </c>
    </row>
    <row r="737" spans="1:4" x14ac:dyDescent="0.25">
      <c r="A737" s="2">
        <v>40932</v>
      </c>
      <c r="B737" s="3">
        <v>4.9001999999999999</v>
      </c>
      <c r="C737" s="65">
        <v>40940</v>
      </c>
      <c r="D737" s="1">
        <v>4.9457000000000004</v>
      </c>
    </row>
    <row r="738" spans="1:4" x14ac:dyDescent="0.25">
      <c r="A738" s="2">
        <v>40933</v>
      </c>
      <c r="B738" s="3">
        <v>4.9408000000000003</v>
      </c>
      <c r="C738" s="65">
        <v>40941</v>
      </c>
      <c r="D738" s="1">
        <v>4.9420999999999999</v>
      </c>
    </row>
    <row r="739" spans="1:4" x14ac:dyDescent="0.25">
      <c r="A739" s="2">
        <v>40934</v>
      </c>
      <c r="B739" s="3">
        <v>4.8619000000000003</v>
      </c>
      <c r="C739" s="65">
        <v>40942</v>
      </c>
      <c r="D739" s="1">
        <v>4.8931000000000004</v>
      </c>
    </row>
    <row r="740" spans="1:4" x14ac:dyDescent="0.25">
      <c r="A740" s="2">
        <v>40935</v>
      </c>
      <c r="B740" s="3">
        <v>4.9093</v>
      </c>
      <c r="C740" s="65">
        <v>40945</v>
      </c>
      <c r="D740" s="1">
        <v>4.9078999999999997</v>
      </c>
    </row>
    <row r="741" spans="1:4" x14ac:dyDescent="0.25">
      <c r="A741" s="2">
        <v>40938</v>
      </c>
      <c r="B741" s="3">
        <v>4.9747000000000003</v>
      </c>
      <c r="C741" s="65">
        <v>40946</v>
      </c>
      <c r="D741" s="1">
        <v>4.8776000000000002</v>
      </c>
    </row>
    <row r="742" spans="1:4" x14ac:dyDescent="0.25">
      <c r="A742" s="2">
        <v>40939</v>
      </c>
      <c r="B742" s="3">
        <v>4.9498999999999995</v>
      </c>
      <c r="C742" s="65">
        <v>40947</v>
      </c>
      <c r="D742" s="1">
        <v>4.8257000000000003</v>
      </c>
    </row>
    <row r="743" spans="1:4" x14ac:dyDescent="0.25">
      <c r="A743" s="2">
        <v>40940</v>
      </c>
      <c r="B743" s="3">
        <v>4.8414000000000001</v>
      </c>
      <c r="C743" s="65">
        <v>40948</v>
      </c>
      <c r="D743" s="1">
        <v>4.8300999999999998</v>
      </c>
    </row>
    <row r="744" spans="1:4" x14ac:dyDescent="0.25">
      <c r="A744" s="2">
        <v>40941</v>
      </c>
      <c r="B744" s="3">
        <v>4.8270999999999997</v>
      </c>
      <c r="C744" s="65">
        <v>40949</v>
      </c>
      <c r="D744" s="1">
        <v>4.9165999999999999</v>
      </c>
    </row>
    <row r="745" spans="1:4" x14ac:dyDescent="0.25">
      <c r="A745" s="2">
        <v>40942</v>
      </c>
      <c r="B745" s="3">
        <v>4.7561</v>
      </c>
      <c r="C745" s="65">
        <v>40952</v>
      </c>
      <c r="D745" s="1">
        <v>4.9141000000000004</v>
      </c>
    </row>
    <row r="746" spans="1:4" x14ac:dyDescent="0.25">
      <c r="A746" s="2">
        <v>40945</v>
      </c>
      <c r="B746" s="3">
        <v>4.7698</v>
      </c>
      <c r="C746" s="65">
        <v>40953</v>
      </c>
      <c r="D746" s="1">
        <v>4.8911999999999995</v>
      </c>
    </row>
    <row r="747" spans="1:4" x14ac:dyDescent="0.25">
      <c r="A747" s="2">
        <v>40946</v>
      </c>
      <c r="B747" s="3">
        <v>4.758</v>
      </c>
      <c r="C747" s="65">
        <v>40954</v>
      </c>
      <c r="D747" s="1">
        <v>4.8712999999999997</v>
      </c>
    </row>
    <row r="748" spans="1:4" x14ac:dyDescent="0.25">
      <c r="A748" s="2">
        <v>40947</v>
      </c>
      <c r="B748" s="3">
        <v>4.7869000000000002</v>
      </c>
      <c r="C748" s="65">
        <v>40955</v>
      </c>
      <c r="D748" s="1">
        <v>4.9139999999999997</v>
      </c>
    </row>
    <row r="749" spans="1:4" x14ac:dyDescent="0.25">
      <c r="A749" s="2">
        <v>40948</v>
      </c>
      <c r="B749" s="3">
        <v>4.7690000000000001</v>
      </c>
      <c r="C749" s="65">
        <v>40956</v>
      </c>
      <c r="D749" s="1">
        <v>4.8612000000000002</v>
      </c>
    </row>
    <row r="750" spans="1:4" x14ac:dyDescent="0.25">
      <c r="A750" s="2">
        <v>40949</v>
      </c>
      <c r="B750" s="3">
        <v>4.8490000000000002</v>
      </c>
      <c r="C750" s="65">
        <v>40959</v>
      </c>
      <c r="D750" s="1">
        <v>4.8182999999999998</v>
      </c>
    </row>
    <row r="751" spans="1:4" x14ac:dyDescent="0.25">
      <c r="A751" s="2">
        <v>40952</v>
      </c>
      <c r="B751" s="3">
        <v>4.8280000000000003</v>
      </c>
      <c r="C751" s="65">
        <v>40960</v>
      </c>
      <c r="D751" s="1">
        <v>4.8220999999999998</v>
      </c>
    </row>
    <row r="752" spans="1:4" x14ac:dyDescent="0.25">
      <c r="A752" s="2">
        <v>40953</v>
      </c>
      <c r="B752" s="3">
        <v>4.8342999999999998</v>
      </c>
      <c r="C752" s="65">
        <v>40961</v>
      </c>
      <c r="D752" s="1">
        <v>4.8667999999999996</v>
      </c>
    </row>
    <row r="753" spans="1:4" x14ac:dyDescent="0.25">
      <c r="A753" s="2">
        <v>40954</v>
      </c>
      <c r="B753" s="3">
        <v>4.8250999999999999</v>
      </c>
      <c r="C753" s="65">
        <v>40962</v>
      </c>
      <c r="D753" s="1">
        <v>4.9398999999999997</v>
      </c>
    </row>
    <row r="754" spans="1:4" x14ac:dyDescent="0.25">
      <c r="A754" s="2">
        <v>40955</v>
      </c>
      <c r="B754" s="3">
        <v>4.8341000000000003</v>
      </c>
      <c r="C754" s="65">
        <v>40963</v>
      </c>
      <c r="D754" s="1">
        <v>4.8873999999999995</v>
      </c>
    </row>
    <row r="755" spans="1:4" x14ac:dyDescent="0.25">
      <c r="A755" s="2">
        <v>40956</v>
      </c>
      <c r="B755" s="3">
        <v>4.7750000000000004</v>
      </c>
      <c r="C755" s="65">
        <v>40966</v>
      </c>
      <c r="D755" s="1">
        <v>4.9411000000000005</v>
      </c>
    </row>
    <row r="756" spans="1:4" x14ac:dyDescent="0.25">
      <c r="A756" s="2">
        <v>40959</v>
      </c>
      <c r="B756" s="3">
        <v>4.7188999999999997</v>
      </c>
      <c r="C756" s="65">
        <v>40967</v>
      </c>
      <c r="D756" s="1">
        <v>4.93</v>
      </c>
    </row>
    <row r="757" spans="1:4" x14ac:dyDescent="0.25">
      <c r="A757" s="2">
        <v>40960</v>
      </c>
      <c r="B757" s="3">
        <v>4.7350000000000003</v>
      </c>
      <c r="C757" s="65">
        <v>40968</v>
      </c>
      <c r="D757" s="1">
        <v>4.9280999999999997</v>
      </c>
    </row>
    <row r="758" spans="1:4" x14ac:dyDescent="0.25">
      <c r="A758" s="2">
        <v>40961</v>
      </c>
      <c r="B758" s="3">
        <v>4.7774999999999999</v>
      </c>
      <c r="C758" s="65">
        <v>40969</v>
      </c>
      <c r="D758" s="1">
        <v>4.7877999999999998</v>
      </c>
    </row>
    <row r="759" spans="1:4" x14ac:dyDescent="0.25">
      <c r="A759" s="2">
        <v>40962</v>
      </c>
      <c r="B759" s="3">
        <v>4.7983000000000002</v>
      </c>
      <c r="C759" s="65">
        <v>40970</v>
      </c>
      <c r="D759" s="1">
        <v>4.7675000000000001</v>
      </c>
    </row>
    <row r="760" spans="1:4" x14ac:dyDescent="0.25">
      <c r="A760" s="2">
        <v>40963</v>
      </c>
      <c r="B760" s="3">
        <v>4.7686000000000002</v>
      </c>
      <c r="C760" s="65">
        <v>40973</v>
      </c>
      <c r="D760" s="1">
        <v>4.8002000000000002</v>
      </c>
    </row>
    <row r="761" spans="1:4" x14ac:dyDescent="0.25">
      <c r="A761" s="2">
        <v>40966</v>
      </c>
      <c r="B761" s="3">
        <v>4.7888000000000002</v>
      </c>
      <c r="C761" s="65">
        <v>40974</v>
      </c>
      <c r="D761" s="1">
        <v>4.9687000000000001</v>
      </c>
    </row>
    <row r="762" spans="1:4" x14ac:dyDescent="0.25">
      <c r="A762" s="2">
        <v>40967</v>
      </c>
      <c r="B762" s="3">
        <v>4.7760999999999996</v>
      </c>
      <c r="C762" s="65">
        <v>40975</v>
      </c>
      <c r="D762" s="1">
        <v>4.9138999999999999</v>
      </c>
    </row>
    <row r="763" spans="1:4" x14ac:dyDescent="0.25">
      <c r="A763" s="2">
        <v>40968</v>
      </c>
      <c r="B763" s="3">
        <v>4.7905999999999995</v>
      </c>
      <c r="C763" s="65">
        <v>40976</v>
      </c>
      <c r="D763" s="1">
        <v>4.8356000000000003</v>
      </c>
    </row>
    <row r="764" spans="1:4" x14ac:dyDescent="0.25">
      <c r="A764" s="2">
        <v>40969</v>
      </c>
      <c r="B764" s="3">
        <v>4.6925999999999997</v>
      </c>
      <c r="C764" s="65">
        <v>40977</v>
      </c>
      <c r="D764" s="1">
        <v>4.8898999999999999</v>
      </c>
    </row>
    <row r="765" spans="1:4" x14ac:dyDescent="0.25">
      <c r="A765" s="2">
        <v>40970</v>
      </c>
      <c r="B765" s="3">
        <v>4.6972000000000005</v>
      </c>
      <c r="C765" s="65">
        <v>40980</v>
      </c>
      <c r="D765" s="1">
        <v>4.8964999999999996</v>
      </c>
    </row>
    <row r="766" spans="1:4" x14ac:dyDescent="0.25">
      <c r="A766" s="2">
        <v>40973</v>
      </c>
      <c r="B766" s="3">
        <v>4.7274000000000003</v>
      </c>
      <c r="C766" s="65">
        <v>40981</v>
      </c>
      <c r="D766" s="1">
        <v>4.7968000000000002</v>
      </c>
    </row>
    <row r="767" spans="1:4" x14ac:dyDescent="0.25">
      <c r="A767" s="2">
        <v>40974</v>
      </c>
      <c r="B767" s="3">
        <v>4.8944999999999999</v>
      </c>
      <c r="C767" s="65">
        <v>40982</v>
      </c>
      <c r="D767" s="1">
        <v>4.7821999999999996</v>
      </c>
    </row>
    <row r="768" spans="1:4" x14ac:dyDescent="0.25">
      <c r="A768" s="2">
        <v>40975</v>
      </c>
      <c r="B768" s="3">
        <v>4.8601999999999999</v>
      </c>
      <c r="C768" s="65">
        <v>40983</v>
      </c>
      <c r="D768" s="1">
        <v>4.742</v>
      </c>
    </row>
    <row r="769" spans="1:4" x14ac:dyDescent="0.25">
      <c r="A769" s="2">
        <v>40976</v>
      </c>
      <c r="B769" s="3">
        <v>4.7568000000000001</v>
      </c>
      <c r="C769" s="65">
        <v>40984</v>
      </c>
      <c r="D769" s="1">
        <v>4.7173999999999996</v>
      </c>
    </row>
    <row r="770" spans="1:4" x14ac:dyDescent="0.25">
      <c r="A770" s="2">
        <v>40977</v>
      </c>
      <c r="B770" s="3">
        <v>4.7536000000000005</v>
      </c>
      <c r="C770" s="65">
        <v>40987</v>
      </c>
      <c r="D770" s="1">
        <v>4.7016999999999998</v>
      </c>
    </row>
    <row r="771" spans="1:4" x14ac:dyDescent="0.25">
      <c r="A771" s="2">
        <v>40980</v>
      </c>
      <c r="B771" s="3">
        <v>4.7553999999999998</v>
      </c>
      <c r="C771" s="65">
        <v>40988</v>
      </c>
      <c r="D771" s="1">
        <v>4.7515999999999998</v>
      </c>
    </row>
    <row r="772" spans="1:4" x14ac:dyDescent="0.25">
      <c r="A772" s="2">
        <v>40981</v>
      </c>
      <c r="B772" s="3">
        <v>4.6776</v>
      </c>
      <c r="C772" s="65">
        <v>40989</v>
      </c>
      <c r="D772" s="1">
        <v>4.8136999999999999</v>
      </c>
    </row>
    <row r="773" spans="1:4" x14ac:dyDescent="0.25">
      <c r="A773" s="2">
        <v>40982</v>
      </c>
      <c r="B773" s="3">
        <v>4.6448999999999998</v>
      </c>
      <c r="C773" s="65">
        <v>40990</v>
      </c>
      <c r="D773" s="1">
        <v>4.8969000000000005</v>
      </c>
    </row>
    <row r="774" spans="1:4" x14ac:dyDescent="0.25">
      <c r="A774" s="2">
        <v>40983</v>
      </c>
      <c r="B774" s="3">
        <v>4.6105999999999998</v>
      </c>
      <c r="C774" s="65">
        <v>40991</v>
      </c>
      <c r="D774" s="1">
        <v>4.8865999999999996</v>
      </c>
    </row>
    <row r="775" spans="1:4" x14ac:dyDescent="0.25">
      <c r="A775" s="2">
        <v>40984</v>
      </c>
      <c r="B775" s="3">
        <v>4.5853000000000002</v>
      </c>
      <c r="C775" s="65">
        <v>40994</v>
      </c>
      <c r="D775" s="1">
        <v>4.8472</v>
      </c>
    </row>
    <row r="776" spans="1:4" x14ac:dyDescent="0.25">
      <c r="A776" s="2">
        <v>40987</v>
      </c>
      <c r="B776" s="3">
        <v>4.5861000000000001</v>
      </c>
      <c r="C776" s="65">
        <v>40995</v>
      </c>
      <c r="D776" s="1">
        <v>4.8826000000000001</v>
      </c>
    </row>
    <row r="777" spans="1:4" x14ac:dyDescent="0.25">
      <c r="A777" s="2">
        <v>40988</v>
      </c>
      <c r="B777" s="3">
        <v>4.6426999999999996</v>
      </c>
      <c r="C777" s="65">
        <v>40996</v>
      </c>
      <c r="D777" s="1">
        <v>4.8966000000000003</v>
      </c>
    </row>
    <row r="778" spans="1:4" x14ac:dyDescent="0.25">
      <c r="A778" s="2">
        <v>40989</v>
      </c>
      <c r="B778" s="3">
        <v>4.6591000000000005</v>
      </c>
      <c r="C778" s="65">
        <v>40997</v>
      </c>
      <c r="D778" s="1">
        <v>5.0636000000000001</v>
      </c>
    </row>
    <row r="779" spans="1:4" x14ac:dyDescent="0.25">
      <c r="A779" s="2">
        <v>40990</v>
      </c>
      <c r="B779" s="3">
        <v>4.7279</v>
      </c>
      <c r="C779" s="65">
        <v>40998</v>
      </c>
      <c r="D779" s="1">
        <v>5.0411000000000001</v>
      </c>
    </row>
    <row r="780" spans="1:4" x14ac:dyDescent="0.25">
      <c r="A780" s="2">
        <v>40991</v>
      </c>
      <c r="B780" s="3">
        <v>4.7367999999999997</v>
      </c>
      <c r="C780" s="65">
        <v>41001</v>
      </c>
      <c r="D780" s="1">
        <v>5.0509000000000004</v>
      </c>
    </row>
    <row r="781" spans="1:4" x14ac:dyDescent="0.25">
      <c r="A781" s="2">
        <v>40994</v>
      </c>
      <c r="B781" s="3">
        <v>4.7099000000000002</v>
      </c>
      <c r="C781" s="65">
        <v>41002</v>
      </c>
      <c r="D781" s="1">
        <v>5.1558999999999999</v>
      </c>
    </row>
    <row r="782" spans="1:4" x14ac:dyDescent="0.25">
      <c r="A782" s="2">
        <v>40995</v>
      </c>
      <c r="B782" s="3">
        <v>4.7371999999999996</v>
      </c>
      <c r="C782" s="65">
        <v>41003</v>
      </c>
      <c r="D782" s="1">
        <v>5.2838000000000003</v>
      </c>
    </row>
    <row r="783" spans="1:4" x14ac:dyDescent="0.25">
      <c r="A783" s="2">
        <v>40996</v>
      </c>
      <c r="B783" s="3">
        <v>4.7914000000000003</v>
      </c>
      <c r="C783" s="65">
        <v>41004</v>
      </c>
      <c r="D783" s="1">
        <v>5.2942</v>
      </c>
    </row>
    <row r="784" spans="1:4" x14ac:dyDescent="0.25">
      <c r="A784" s="2">
        <v>40997</v>
      </c>
      <c r="B784" s="3">
        <v>4.8772000000000002</v>
      </c>
      <c r="C784" s="65">
        <v>41009</v>
      </c>
      <c r="D784" s="1">
        <v>5.5713999999999997</v>
      </c>
    </row>
    <row r="785" spans="1:4" x14ac:dyDescent="0.25">
      <c r="A785" s="2">
        <v>40998</v>
      </c>
      <c r="B785" s="3">
        <v>4.8289</v>
      </c>
      <c r="C785" s="65">
        <v>41010</v>
      </c>
      <c r="D785" s="1">
        <v>5.4838000000000005</v>
      </c>
    </row>
    <row r="786" spans="1:4" x14ac:dyDescent="0.25">
      <c r="A786" s="2">
        <v>41001</v>
      </c>
      <c r="B786" s="3">
        <v>4.7827999999999999</v>
      </c>
      <c r="C786" s="65">
        <v>41011</v>
      </c>
      <c r="D786" s="1">
        <v>5.4173999999999998</v>
      </c>
    </row>
    <row r="787" spans="1:4" x14ac:dyDescent="0.25">
      <c r="A787" s="2">
        <v>41002</v>
      </c>
      <c r="B787" s="3">
        <v>4.8647999999999998</v>
      </c>
      <c r="C787" s="65">
        <v>41012</v>
      </c>
      <c r="D787" s="1">
        <v>5.61</v>
      </c>
    </row>
    <row r="788" spans="1:4" x14ac:dyDescent="0.25">
      <c r="A788" s="2">
        <v>41003</v>
      </c>
      <c r="B788" s="3">
        <v>4.9876000000000005</v>
      </c>
      <c r="C788" s="65">
        <v>41015</v>
      </c>
      <c r="D788" s="1">
        <v>5.5899000000000001</v>
      </c>
    </row>
    <row r="789" spans="1:4" x14ac:dyDescent="0.25">
      <c r="A789" s="2">
        <v>41004</v>
      </c>
      <c r="B789" s="3">
        <v>5.0223000000000004</v>
      </c>
      <c r="C789" s="65">
        <v>41016</v>
      </c>
      <c r="D789" s="1">
        <v>5.3913000000000002</v>
      </c>
    </row>
    <row r="790" spans="1:4" x14ac:dyDescent="0.25">
      <c r="A790" s="2">
        <v>41009</v>
      </c>
      <c r="B790" s="3">
        <v>5.1760000000000002</v>
      </c>
      <c r="C790" s="65">
        <v>41017</v>
      </c>
      <c r="D790" s="1">
        <v>5.5251000000000001</v>
      </c>
    </row>
    <row r="791" spans="1:4" x14ac:dyDescent="0.25">
      <c r="A791" s="2">
        <v>41010</v>
      </c>
      <c r="B791" s="3">
        <v>5.1321000000000003</v>
      </c>
      <c r="C791" s="65">
        <v>41018</v>
      </c>
      <c r="D791" s="1">
        <v>5.6383999999999999</v>
      </c>
    </row>
    <row r="792" spans="1:4" x14ac:dyDescent="0.25">
      <c r="A792" s="2">
        <v>41011</v>
      </c>
      <c r="B792" s="3">
        <v>5.1083999999999996</v>
      </c>
      <c r="C792" s="65">
        <v>41019</v>
      </c>
      <c r="D792" s="1">
        <v>5.5934999999999997</v>
      </c>
    </row>
    <row r="793" spans="1:4" x14ac:dyDescent="0.25">
      <c r="A793" s="2">
        <v>41012</v>
      </c>
      <c r="B793" s="3">
        <v>5.2339000000000002</v>
      </c>
      <c r="C793" s="65">
        <v>41022</v>
      </c>
      <c r="D793" s="1">
        <v>5.9093999999999998</v>
      </c>
    </row>
    <row r="794" spans="1:4" x14ac:dyDescent="0.25">
      <c r="A794" s="2">
        <v>41015</v>
      </c>
      <c r="B794" s="3">
        <v>5.2103000000000002</v>
      </c>
      <c r="C794" s="65">
        <v>41023</v>
      </c>
      <c r="D794" s="1">
        <v>5.7664999999999997</v>
      </c>
    </row>
    <row r="795" spans="1:4" x14ac:dyDescent="0.25">
      <c r="A795" s="2">
        <v>41016</v>
      </c>
      <c r="B795" s="3">
        <v>5.0654000000000003</v>
      </c>
      <c r="C795" s="65">
        <v>41024</v>
      </c>
      <c r="D795" s="1">
        <v>5.6032000000000002</v>
      </c>
    </row>
    <row r="796" spans="1:4" x14ac:dyDescent="0.25">
      <c r="A796" s="2">
        <v>41017</v>
      </c>
      <c r="B796" s="3">
        <v>5.1506999999999996</v>
      </c>
      <c r="C796" s="65">
        <v>41025</v>
      </c>
      <c r="D796" s="1">
        <v>5.6001000000000003</v>
      </c>
    </row>
    <row r="797" spans="1:4" x14ac:dyDescent="0.25">
      <c r="A797" s="2">
        <v>41018</v>
      </c>
      <c r="B797" s="3">
        <v>5.2480000000000002</v>
      </c>
      <c r="C797" s="65">
        <v>41026</v>
      </c>
      <c r="D797" s="1">
        <v>5.4981999999999998</v>
      </c>
    </row>
    <row r="798" spans="1:4" x14ac:dyDescent="0.25">
      <c r="A798" s="2">
        <v>41019</v>
      </c>
      <c r="B798" s="3">
        <v>5.15</v>
      </c>
      <c r="C798" s="65">
        <v>41029</v>
      </c>
      <c r="D798" s="1">
        <v>5.5685000000000002</v>
      </c>
    </row>
    <row r="799" spans="1:4" x14ac:dyDescent="0.25">
      <c r="A799" s="2">
        <v>41022</v>
      </c>
      <c r="B799" s="3">
        <v>5.3024000000000004</v>
      </c>
      <c r="C799" s="65">
        <v>41031</v>
      </c>
      <c r="D799" s="1">
        <v>5.7169999999999996</v>
      </c>
    </row>
    <row r="800" spans="1:4" x14ac:dyDescent="0.25">
      <c r="A800" s="2">
        <v>41023</v>
      </c>
      <c r="B800" s="3">
        <v>5.2112999999999996</v>
      </c>
      <c r="C800" s="65">
        <v>41032</v>
      </c>
      <c r="D800" s="1">
        <v>5.7554999999999996</v>
      </c>
    </row>
    <row r="801" spans="1:4" x14ac:dyDescent="0.25">
      <c r="A801" s="2">
        <v>41024</v>
      </c>
      <c r="B801" s="3">
        <v>5.1241000000000003</v>
      </c>
      <c r="C801" s="65">
        <v>41033</v>
      </c>
      <c r="D801" s="1">
        <v>5.8380000000000001</v>
      </c>
    </row>
    <row r="802" spans="1:4" x14ac:dyDescent="0.25">
      <c r="A802" s="2">
        <v>41025</v>
      </c>
      <c r="B802" s="3">
        <v>5.1246</v>
      </c>
      <c r="C802" s="65">
        <v>41036</v>
      </c>
      <c r="D802" s="1">
        <v>5.6920999999999999</v>
      </c>
    </row>
    <row r="803" spans="1:4" x14ac:dyDescent="0.25">
      <c r="A803" s="2">
        <v>41026</v>
      </c>
      <c r="B803" s="3">
        <v>5.1032999999999999</v>
      </c>
      <c r="C803" s="65">
        <v>41037</v>
      </c>
      <c r="D803" s="1">
        <v>5.8304</v>
      </c>
    </row>
    <row r="804" spans="1:4" x14ac:dyDescent="0.25">
      <c r="A804" s="2">
        <v>41029</v>
      </c>
      <c r="B804" s="3">
        <v>5.2163000000000004</v>
      </c>
      <c r="C804" s="65">
        <v>41038</v>
      </c>
      <c r="D804" s="1">
        <v>5.9001999999999999</v>
      </c>
    </row>
    <row r="805" spans="1:4" x14ac:dyDescent="0.25">
      <c r="A805" s="2">
        <v>41030</v>
      </c>
      <c r="B805" s="3">
        <v>5.2157</v>
      </c>
      <c r="C805" s="65">
        <v>41039</v>
      </c>
      <c r="D805" s="1">
        <v>5.8019999999999996</v>
      </c>
    </row>
    <row r="806" spans="1:4" x14ac:dyDescent="0.25">
      <c r="A806" s="2">
        <v>41031</v>
      </c>
      <c r="B806" s="3">
        <v>5.2545999999999999</v>
      </c>
      <c r="C806" s="65">
        <v>41040</v>
      </c>
      <c r="D806" s="1">
        <v>5.7853000000000003</v>
      </c>
    </row>
    <row r="807" spans="1:4" x14ac:dyDescent="0.25">
      <c r="A807" s="2">
        <v>41032</v>
      </c>
      <c r="B807" s="3">
        <v>5.2618999999999998</v>
      </c>
      <c r="C807" s="65">
        <v>41043</v>
      </c>
      <c r="D807" s="1">
        <v>5.9481999999999999</v>
      </c>
    </row>
    <row r="808" spans="1:4" x14ac:dyDescent="0.25">
      <c r="A808" s="2">
        <v>41033</v>
      </c>
      <c r="B808" s="3">
        <v>5.1810999999999998</v>
      </c>
      <c r="C808" s="65">
        <v>41044</v>
      </c>
      <c r="D808" s="1">
        <v>6.1043000000000003</v>
      </c>
    </row>
    <row r="809" spans="1:4" x14ac:dyDescent="0.25">
      <c r="A809" s="2">
        <v>41036</v>
      </c>
      <c r="B809" s="3">
        <v>5.1022999999999996</v>
      </c>
      <c r="C809" s="65">
        <v>41045</v>
      </c>
      <c r="D809" s="1">
        <v>6.1170999999999998</v>
      </c>
    </row>
    <row r="810" spans="1:4" x14ac:dyDescent="0.25">
      <c r="A810" s="2">
        <v>41037</v>
      </c>
      <c r="B810" s="3">
        <v>5.2137000000000002</v>
      </c>
      <c r="C810" s="65">
        <v>41046</v>
      </c>
      <c r="D810" s="1">
        <v>6.2079000000000004</v>
      </c>
    </row>
    <row r="811" spans="1:4" x14ac:dyDescent="0.25">
      <c r="A811" s="2">
        <v>41038</v>
      </c>
      <c r="B811" s="3">
        <v>5.2404000000000002</v>
      </c>
      <c r="C811" s="65">
        <v>41047</v>
      </c>
      <c r="D811" s="1">
        <v>6.2271000000000001</v>
      </c>
    </row>
    <row r="812" spans="1:4" x14ac:dyDescent="0.25">
      <c r="A812" s="2">
        <v>41039</v>
      </c>
      <c r="B812" s="3">
        <v>5.2038000000000002</v>
      </c>
      <c r="C812" s="65">
        <v>41050</v>
      </c>
      <c r="D812" s="1">
        <v>5.8411999999999997</v>
      </c>
    </row>
    <row r="813" spans="1:4" x14ac:dyDescent="0.25">
      <c r="A813" s="2">
        <v>41040</v>
      </c>
      <c r="B813" s="3">
        <v>5.1947000000000001</v>
      </c>
      <c r="C813" s="65">
        <v>41051</v>
      </c>
      <c r="D813" s="1">
        <v>5.6177999999999999</v>
      </c>
    </row>
    <row r="814" spans="1:4" x14ac:dyDescent="0.25">
      <c r="A814" s="2">
        <v>41043</v>
      </c>
      <c r="B814" s="3">
        <v>5.3187999999999995</v>
      </c>
      <c r="C814" s="65">
        <v>41052</v>
      </c>
      <c r="D814" s="1">
        <v>5.8231999999999999</v>
      </c>
    </row>
    <row r="815" spans="1:4" x14ac:dyDescent="0.25">
      <c r="A815" s="2">
        <v>41044</v>
      </c>
      <c r="B815" s="3">
        <v>5.3756000000000004</v>
      </c>
      <c r="C815" s="65">
        <v>41053</v>
      </c>
      <c r="D815" s="1">
        <v>4.9385000000000003</v>
      </c>
    </row>
    <row r="816" spans="1:4" x14ac:dyDescent="0.25">
      <c r="A816" s="2">
        <v>41045</v>
      </c>
      <c r="B816" s="3">
        <v>5.3838999999999997</v>
      </c>
      <c r="C816" s="65">
        <v>41054</v>
      </c>
      <c r="D816" s="1">
        <v>4.9208999999999996</v>
      </c>
    </row>
    <row r="817" spans="1:4" x14ac:dyDescent="0.25">
      <c r="A817" s="2">
        <v>41046</v>
      </c>
      <c r="B817" s="3">
        <v>5.5001999999999995</v>
      </c>
      <c r="C817" s="65">
        <v>41057</v>
      </c>
      <c r="D817" s="1">
        <v>4.9577</v>
      </c>
    </row>
    <row r="818" spans="1:4" x14ac:dyDescent="0.25">
      <c r="A818" s="2">
        <v>41047</v>
      </c>
      <c r="B818" s="3">
        <v>5.5266000000000002</v>
      </c>
      <c r="C818" s="65">
        <v>41058</v>
      </c>
      <c r="D818" s="1">
        <v>4.9387999999999996</v>
      </c>
    </row>
    <row r="819" spans="1:4" x14ac:dyDescent="0.25">
      <c r="A819" s="2">
        <v>41050</v>
      </c>
      <c r="B819" s="3">
        <v>5.4806999999999997</v>
      </c>
      <c r="C819" s="65">
        <v>41059</v>
      </c>
      <c r="D819" s="1">
        <v>5.0288000000000004</v>
      </c>
    </row>
    <row r="820" spans="1:4" x14ac:dyDescent="0.25">
      <c r="A820" s="2">
        <v>41051</v>
      </c>
      <c r="B820" s="3">
        <v>5.3739999999999997</v>
      </c>
      <c r="C820" s="65">
        <v>41060</v>
      </c>
      <c r="D820" s="1">
        <v>5.0282999999999998</v>
      </c>
    </row>
    <row r="821" spans="1:4" x14ac:dyDescent="0.25">
      <c r="A821" s="2">
        <v>41052</v>
      </c>
      <c r="B821" s="3">
        <v>5.5232999999999999</v>
      </c>
      <c r="C821" s="65">
        <v>41061</v>
      </c>
      <c r="D821" s="1">
        <v>5.0811000000000002</v>
      </c>
    </row>
    <row r="822" spans="1:4" x14ac:dyDescent="0.25">
      <c r="A822" s="2">
        <v>41053</v>
      </c>
      <c r="B822" s="3">
        <v>5.4257</v>
      </c>
      <c r="C822" s="65">
        <v>41064</v>
      </c>
      <c r="D822" s="1">
        <v>5.0251999999999999</v>
      </c>
    </row>
    <row r="823" spans="1:4" x14ac:dyDescent="0.25">
      <c r="A823" s="2">
        <v>41054</v>
      </c>
      <c r="B823" s="3">
        <v>5.4122000000000003</v>
      </c>
      <c r="C823" s="65">
        <v>41065</v>
      </c>
      <c r="D823" s="1">
        <v>4.9935</v>
      </c>
    </row>
    <row r="824" spans="1:4" x14ac:dyDescent="0.25">
      <c r="A824" s="2">
        <v>41057</v>
      </c>
      <c r="B824" s="3">
        <v>5.4474</v>
      </c>
      <c r="C824" s="65">
        <v>41066</v>
      </c>
      <c r="D824" s="1">
        <v>4.8248999999999995</v>
      </c>
    </row>
    <row r="825" spans="1:4" x14ac:dyDescent="0.25">
      <c r="A825" s="2">
        <v>41058</v>
      </c>
      <c r="B825" s="3">
        <v>5.4161000000000001</v>
      </c>
      <c r="C825" s="65">
        <v>41067</v>
      </c>
      <c r="D825" s="1">
        <v>4.7827999999999999</v>
      </c>
    </row>
    <row r="826" spans="1:4" x14ac:dyDescent="0.25">
      <c r="A826" s="2">
        <v>41059</v>
      </c>
      <c r="B826" s="3">
        <v>5.4561000000000002</v>
      </c>
      <c r="C826" s="65">
        <v>41068</v>
      </c>
      <c r="D826" s="1">
        <v>4.8182999999999998</v>
      </c>
    </row>
    <row r="827" spans="1:4" x14ac:dyDescent="0.25">
      <c r="A827" s="2">
        <v>41060</v>
      </c>
      <c r="B827" s="3">
        <v>5.4489999999999998</v>
      </c>
      <c r="C827" s="65">
        <v>41071</v>
      </c>
      <c r="D827" s="1">
        <v>4.9564000000000004</v>
      </c>
    </row>
    <row r="828" spans="1:4" x14ac:dyDescent="0.25">
      <c r="A828" s="2">
        <v>41061</v>
      </c>
      <c r="B828" s="3">
        <v>5.5815000000000001</v>
      </c>
      <c r="C828" s="65">
        <v>41072</v>
      </c>
      <c r="D828" s="1">
        <v>4.9912000000000001</v>
      </c>
    </row>
    <row r="829" spans="1:4" x14ac:dyDescent="0.25">
      <c r="A829" s="2">
        <v>41064</v>
      </c>
      <c r="B829" s="3">
        <v>5.5537999999999998</v>
      </c>
      <c r="C829" s="65">
        <v>41073</v>
      </c>
      <c r="D829" s="1">
        <v>5.0240999999999998</v>
      </c>
    </row>
    <row r="830" spans="1:4" x14ac:dyDescent="0.25">
      <c r="A830" s="2">
        <v>41065</v>
      </c>
      <c r="B830" s="3">
        <v>5.4196999999999997</v>
      </c>
      <c r="C830" s="65">
        <v>41074</v>
      </c>
      <c r="D830" s="1">
        <v>4.9512</v>
      </c>
    </row>
    <row r="831" spans="1:4" x14ac:dyDescent="0.25">
      <c r="A831" s="2">
        <v>41066</v>
      </c>
      <c r="B831" s="3">
        <v>5.2919</v>
      </c>
      <c r="C831" s="65">
        <v>41075</v>
      </c>
      <c r="D831" s="1">
        <v>4.8380000000000001</v>
      </c>
    </row>
    <row r="832" spans="1:4" x14ac:dyDescent="0.25">
      <c r="A832" s="2">
        <v>41067</v>
      </c>
      <c r="B832" s="3">
        <v>5.2786999999999997</v>
      </c>
      <c r="C832" s="65">
        <v>41078</v>
      </c>
      <c r="D832" s="1">
        <v>4.6193</v>
      </c>
    </row>
    <row r="833" spans="1:4" x14ac:dyDescent="0.25">
      <c r="A833" s="2">
        <v>41068</v>
      </c>
      <c r="B833" s="3">
        <v>5.2766999999999999</v>
      </c>
      <c r="C833" s="65">
        <v>41079</v>
      </c>
      <c r="D833" s="1">
        <v>4.4695999999999998</v>
      </c>
    </row>
    <row r="834" spans="1:4" x14ac:dyDescent="0.25">
      <c r="A834" s="2">
        <v>41071</v>
      </c>
      <c r="B834" s="3">
        <v>5.2950999999999997</v>
      </c>
      <c r="C834" s="65">
        <v>41080</v>
      </c>
      <c r="D834" s="1">
        <v>4.3762999999999996</v>
      </c>
    </row>
    <row r="835" spans="1:4" x14ac:dyDescent="0.25">
      <c r="A835" s="2">
        <v>41072</v>
      </c>
      <c r="B835" s="3">
        <v>5.2811000000000003</v>
      </c>
      <c r="C835" s="65">
        <v>41081</v>
      </c>
      <c r="D835" s="1">
        <v>4.3700999999999999</v>
      </c>
    </row>
    <row r="836" spans="1:4" x14ac:dyDescent="0.25">
      <c r="A836" s="2">
        <v>41073</v>
      </c>
      <c r="B836" s="3">
        <v>5.2808000000000002</v>
      </c>
      <c r="C836" s="65">
        <v>41082</v>
      </c>
      <c r="D836" s="1">
        <v>4.3985000000000003</v>
      </c>
    </row>
    <row r="837" spans="1:4" x14ac:dyDescent="0.25">
      <c r="A837" s="2">
        <v>41074</v>
      </c>
      <c r="B837" s="3">
        <v>5.2691999999999997</v>
      </c>
      <c r="C837" s="65">
        <v>41085</v>
      </c>
      <c r="D837" s="1">
        <v>4.5826000000000002</v>
      </c>
    </row>
    <row r="838" spans="1:4" x14ac:dyDescent="0.25">
      <c r="A838" s="2">
        <v>41075</v>
      </c>
      <c r="B838" s="3">
        <v>5.1894999999999998</v>
      </c>
      <c r="C838" s="65">
        <v>41086</v>
      </c>
      <c r="D838" s="1">
        <v>4.6341000000000001</v>
      </c>
    </row>
    <row r="839" spans="1:4" x14ac:dyDescent="0.25">
      <c r="A839" s="2">
        <v>41078</v>
      </c>
      <c r="B839" s="3">
        <v>5.085</v>
      </c>
      <c r="C839" s="65">
        <v>41087</v>
      </c>
      <c r="D839" s="1">
        <v>4.5175000000000001</v>
      </c>
    </row>
    <row r="840" spans="1:4" x14ac:dyDescent="0.25">
      <c r="A840" s="2">
        <v>41079</v>
      </c>
      <c r="B840" s="3">
        <v>4.9870000000000001</v>
      </c>
      <c r="C840" s="65">
        <v>41088</v>
      </c>
      <c r="D840" s="1">
        <v>4.4877000000000002</v>
      </c>
    </row>
    <row r="841" spans="1:4" x14ac:dyDescent="0.25">
      <c r="A841" s="2">
        <v>41080</v>
      </c>
      <c r="B841" s="3">
        <v>4.9656000000000002</v>
      </c>
      <c r="C841" s="65">
        <v>41089</v>
      </c>
      <c r="D841" s="1">
        <v>4.21</v>
      </c>
    </row>
    <row r="842" spans="1:4" x14ac:dyDescent="0.25">
      <c r="A842" s="2">
        <v>41081</v>
      </c>
      <c r="B842" s="3">
        <v>4.9838000000000005</v>
      </c>
      <c r="C842" s="65">
        <v>41092</v>
      </c>
      <c r="D842" s="1">
        <v>4.1999000000000004</v>
      </c>
    </row>
    <row r="843" spans="1:4" x14ac:dyDescent="0.25">
      <c r="A843" s="2">
        <v>41082</v>
      </c>
      <c r="B843" s="3">
        <v>5.0125000000000002</v>
      </c>
      <c r="C843" s="65">
        <v>41093</v>
      </c>
      <c r="D843" s="1">
        <v>4.1460999999999997</v>
      </c>
    </row>
    <row r="844" spans="1:4" x14ac:dyDescent="0.25">
      <c r="A844" s="2">
        <v>41085</v>
      </c>
      <c r="B844" s="3">
        <v>5.1444999999999999</v>
      </c>
      <c r="C844" s="65">
        <v>41094</v>
      </c>
      <c r="D844" s="1">
        <v>4.1787999999999998</v>
      </c>
    </row>
    <row r="845" spans="1:4" x14ac:dyDescent="0.25">
      <c r="A845" s="2">
        <v>41086</v>
      </c>
      <c r="B845" s="3">
        <v>5.1512000000000002</v>
      </c>
      <c r="C845" s="65">
        <v>41095</v>
      </c>
      <c r="D845" s="1">
        <v>4.1982999999999997</v>
      </c>
    </row>
    <row r="846" spans="1:4" x14ac:dyDescent="0.25">
      <c r="A846" s="2">
        <v>41087</v>
      </c>
      <c r="B846" s="3">
        <v>5.0616000000000003</v>
      </c>
      <c r="C846" s="65">
        <v>41096</v>
      </c>
      <c r="D846" s="1">
        <v>4.3074000000000003</v>
      </c>
    </row>
    <row r="847" spans="1:4" x14ac:dyDescent="0.25">
      <c r="A847" s="2">
        <v>41088</v>
      </c>
      <c r="B847" s="3">
        <v>5.0803000000000003</v>
      </c>
      <c r="C847" s="65">
        <v>41099</v>
      </c>
      <c r="D847" s="1">
        <v>4.2821999999999996</v>
      </c>
    </row>
    <row r="848" spans="1:4" x14ac:dyDescent="0.25">
      <c r="A848" s="2">
        <v>41089</v>
      </c>
      <c r="B848" s="3">
        <v>4.8400999999999996</v>
      </c>
      <c r="C848" s="65">
        <v>41100</v>
      </c>
      <c r="D848" s="1">
        <v>4.2651000000000003</v>
      </c>
    </row>
    <row r="849" spans="1:4" x14ac:dyDescent="0.25">
      <c r="A849" s="2">
        <v>41092</v>
      </c>
      <c r="B849" s="3">
        <v>4.6307</v>
      </c>
      <c r="C849" s="65">
        <v>41101</v>
      </c>
      <c r="D849" s="1">
        <v>4.2671999999999999</v>
      </c>
    </row>
    <row r="850" spans="1:4" x14ac:dyDescent="0.25">
      <c r="A850" s="2">
        <v>41093</v>
      </c>
      <c r="B850" s="3">
        <v>4.5742000000000003</v>
      </c>
      <c r="C850" s="65">
        <v>41102</v>
      </c>
      <c r="D850" s="1">
        <v>4.3544</v>
      </c>
    </row>
    <row r="851" spans="1:4" x14ac:dyDescent="0.25">
      <c r="A851" s="2">
        <v>41094</v>
      </c>
      <c r="B851" s="3">
        <v>4.5667</v>
      </c>
      <c r="C851" s="65">
        <v>41103</v>
      </c>
      <c r="D851" s="1">
        <v>4.3128000000000002</v>
      </c>
    </row>
    <row r="852" spans="1:4" x14ac:dyDescent="0.25">
      <c r="A852" s="2">
        <v>41095</v>
      </c>
      <c r="B852" s="3">
        <v>4.6215999999999999</v>
      </c>
      <c r="C852" s="65">
        <v>41106</v>
      </c>
      <c r="D852" s="1">
        <v>4.3285999999999998</v>
      </c>
    </row>
    <row r="853" spans="1:4" x14ac:dyDescent="0.25">
      <c r="A853" s="2">
        <v>41096</v>
      </c>
      <c r="B853" s="3">
        <v>4.7237999999999998</v>
      </c>
      <c r="C853" s="65">
        <v>41107</v>
      </c>
      <c r="D853" s="1">
        <v>4.3695000000000004</v>
      </c>
    </row>
    <row r="854" spans="1:4" x14ac:dyDescent="0.25">
      <c r="A854" s="2">
        <v>41099</v>
      </c>
      <c r="B854" s="3">
        <v>4.7399000000000004</v>
      </c>
      <c r="C854" s="65">
        <v>41108</v>
      </c>
      <c r="D854" s="1">
        <v>4.351</v>
      </c>
    </row>
    <row r="855" spans="1:4" x14ac:dyDescent="0.25">
      <c r="A855" s="2">
        <v>41100</v>
      </c>
      <c r="B855" s="3">
        <v>4.7492000000000001</v>
      </c>
      <c r="C855" s="65">
        <v>41109</v>
      </c>
      <c r="D855" s="1">
        <v>4.3280000000000003</v>
      </c>
    </row>
    <row r="856" spans="1:4" x14ac:dyDescent="0.25">
      <c r="A856" s="2">
        <v>41101</v>
      </c>
      <c r="B856" s="3">
        <v>4.74</v>
      </c>
      <c r="C856" s="65">
        <v>41110</v>
      </c>
      <c r="D856" s="1">
        <v>4.5265000000000004</v>
      </c>
    </row>
    <row r="857" spans="1:4" x14ac:dyDescent="0.25">
      <c r="A857" s="2">
        <v>41102</v>
      </c>
      <c r="B857" s="3">
        <v>4.7786999999999997</v>
      </c>
      <c r="C857" s="65">
        <v>41113</v>
      </c>
      <c r="D857" s="1">
        <v>4.6551</v>
      </c>
    </row>
    <row r="858" spans="1:4" x14ac:dyDescent="0.25">
      <c r="A858" s="2">
        <v>41103</v>
      </c>
      <c r="B858" s="3">
        <v>4.7102000000000004</v>
      </c>
      <c r="C858" s="65">
        <v>41114</v>
      </c>
      <c r="D858" s="1">
        <v>4.7844999999999995</v>
      </c>
    </row>
    <row r="859" spans="1:4" x14ac:dyDescent="0.25">
      <c r="A859" s="2">
        <v>41106</v>
      </c>
      <c r="B859" s="3">
        <v>4.7251000000000003</v>
      </c>
      <c r="C859" s="65">
        <v>41115</v>
      </c>
      <c r="D859" s="1">
        <v>4.7294</v>
      </c>
    </row>
    <row r="860" spans="1:4" x14ac:dyDescent="0.25">
      <c r="A860" s="2">
        <v>41107</v>
      </c>
      <c r="B860" s="3">
        <v>4.7277000000000005</v>
      </c>
      <c r="C860" s="65">
        <v>41116</v>
      </c>
      <c r="D860" s="1">
        <v>4.4775999999999998</v>
      </c>
    </row>
    <row r="861" spans="1:4" x14ac:dyDescent="0.25">
      <c r="A861" s="2">
        <v>41108</v>
      </c>
      <c r="B861" s="3">
        <v>4.6574</v>
      </c>
      <c r="C861" s="65">
        <v>41117</v>
      </c>
      <c r="D861" s="1">
        <v>4.3502000000000001</v>
      </c>
    </row>
    <row r="862" spans="1:4" x14ac:dyDescent="0.25">
      <c r="A862" s="2">
        <v>41109</v>
      </c>
      <c r="B862" s="3">
        <v>4.6215000000000002</v>
      </c>
      <c r="C862" s="65">
        <v>41120</v>
      </c>
      <c r="D862" s="1">
        <v>4.2316000000000003</v>
      </c>
    </row>
    <row r="863" spans="1:4" x14ac:dyDescent="0.25">
      <c r="A863" s="2">
        <v>41110</v>
      </c>
      <c r="B863" s="3">
        <v>4.7560000000000002</v>
      </c>
      <c r="C863" s="65">
        <v>41121</v>
      </c>
      <c r="D863" s="1">
        <v>4.2580999999999998</v>
      </c>
    </row>
    <row r="864" spans="1:4" x14ac:dyDescent="0.25">
      <c r="A864" s="2">
        <v>41113</v>
      </c>
      <c r="B864" s="3">
        <v>4.8826000000000001</v>
      </c>
      <c r="C864" s="65">
        <v>41122</v>
      </c>
      <c r="D864" s="1">
        <v>4.2465999999999999</v>
      </c>
    </row>
    <row r="865" spans="1:4" x14ac:dyDescent="0.25">
      <c r="A865" s="2">
        <v>41114</v>
      </c>
      <c r="B865" s="3">
        <v>4.9457000000000004</v>
      </c>
      <c r="C865" s="65">
        <v>41123</v>
      </c>
      <c r="D865" s="1">
        <v>4.4531000000000001</v>
      </c>
    </row>
    <row r="866" spans="1:4" x14ac:dyDescent="0.25">
      <c r="A866" s="2">
        <v>41115</v>
      </c>
      <c r="B866" s="3">
        <v>4.9283999999999999</v>
      </c>
      <c r="C866" s="65">
        <v>41124</v>
      </c>
      <c r="D866" s="1">
        <v>4.1875999999999998</v>
      </c>
    </row>
    <row r="867" spans="1:4" x14ac:dyDescent="0.25">
      <c r="A867" s="2">
        <v>41116</v>
      </c>
      <c r="B867" s="3">
        <v>4.7270000000000003</v>
      </c>
      <c r="C867" s="65">
        <v>41127</v>
      </c>
      <c r="D867" s="1">
        <v>4.1242000000000001</v>
      </c>
    </row>
    <row r="868" spans="1:4" x14ac:dyDescent="0.25">
      <c r="A868" s="2">
        <v>41117</v>
      </c>
      <c r="B868" s="3">
        <v>4.6239999999999997</v>
      </c>
      <c r="C868" s="65">
        <v>41128</v>
      </c>
      <c r="D868" s="1">
        <v>4.0358999999999998</v>
      </c>
    </row>
    <row r="869" spans="1:4" x14ac:dyDescent="0.25">
      <c r="A869" s="2">
        <v>41120</v>
      </c>
      <c r="B869" s="3">
        <v>4.5466999999999995</v>
      </c>
      <c r="C869" s="65">
        <v>41129</v>
      </c>
      <c r="D869" s="1">
        <v>4.0332999999999997</v>
      </c>
    </row>
    <row r="870" spans="1:4" x14ac:dyDescent="0.25">
      <c r="A870" s="2">
        <v>41121</v>
      </c>
      <c r="B870" s="3">
        <v>4.9093</v>
      </c>
      <c r="C870" s="65">
        <v>41130</v>
      </c>
      <c r="D870" s="1">
        <v>4.0362999999999998</v>
      </c>
    </row>
    <row r="871" spans="1:4" x14ac:dyDescent="0.25">
      <c r="A871" s="2">
        <v>41122</v>
      </c>
      <c r="B871" s="3">
        <v>4.8932000000000002</v>
      </c>
      <c r="C871" s="65">
        <v>41131</v>
      </c>
      <c r="D871" s="1">
        <v>4.0655999999999999</v>
      </c>
    </row>
    <row r="872" spans="1:4" x14ac:dyDescent="0.25">
      <c r="A872" s="2">
        <v>41123</v>
      </c>
      <c r="B872" s="3">
        <v>5.0446</v>
      </c>
      <c r="C872" s="65">
        <v>41134</v>
      </c>
      <c r="D872" s="1">
        <v>4.07</v>
      </c>
    </row>
    <row r="873" spans="1:4" x14ac:dyDescent="0.25">
      <c r="A873" s="2">
        <v>41124</v>
      </c>
      <c r="B873" s="3">
        <v>4.8124000000000002</v>
      </c>
      <c r="C873" s="65">
        <v>41135</v>
      </c>
      <c r="D873" s="1">
        <v>4.0355999999999996</v>
      </c>
    </row>
    <row r="874" spans="1:4" x14ac:dyDescent="0.25">
      <c r="A874" s="2">
        <v>41127</v>
      </c>
      <c r="B874" s="3">
        <v>4.7587000000000002</v>
      </c>
      <c r="C874" s="65">
        <v>41137</v>
      </c>
      <c r="D874" s="1">
        <v>3.9617</v>
      </c>
    </row>
    <row r="875" spans="1:4" x14ac:dyDescent="0.25">
      <c r="A875" s="2">
        <v>41128</v>
      </c>
      <c r="B875" s="3">
        <v>4.6788999999999996</v>
      </c>
      <c r="C875" s="65">
        <v>41138</v>
      </c>
      <c r="D875" s="1">
        <v>3.9108000000000001</v>
      </c>
    </row>
    <row r="876" spans="1:4" x14ac:dyDescent="0.25">
      <c r="A876" s="2">
        <v>41129</v>
      </c>
      <c r="B876" s="3">
        <v>4.6962000000000002</v>
      </c>
      <c r="C876" s="65">
        <v>41141</v>
      </c>
      <c r="D876" s="1">
        <v>3.9550999999999998</v>
      </c>
    </row>
    <row r="877" spans="1:4" x14ac:dyDescent="0.25">
      <c r="A877" s="2">
        <v>41130</v>
      </c>
      <c r="B877" s="3">
        <v>4.6870000000000003</v>
      </c>
      <c r="C877" s="65">
        <v>41142</v>
      </c>
      <c r="D877" s="1">
        <v>3.8626</v>
      </c>
    </row>
    <row r="878" spans="1:4" x14ac:dyDescent="0.25">
      <c r="A878" s="2">
        <v>41131</v>
      </c>
      <c r="B878" s="3">
        <v>4.7137000000000002</v>
      </c>
      <c r="C878" s="65">
        <v>41143</v>
      </c>
      <c r="D878" s="1">
        <v>3.9056999999999999</v>
      </c>
    </row>
    <row r="879" spans="1:4" x14ac:dyDescent="0.25">
      <c r="A879" s="2">
        <v>41134</v>
      </c>
      <c r="B879" s="3">
        <v>4.7279</v>
      </c>
      <c r="C879" s="65">
        <v>41144</v>
      </c>
      <c r="D879" s="1">
        <v>3.9599000000000002</v>
      </c>
    </row>
    <row r="880" spans="1:4" x14ac:dyDescent="0.25">
      <c r="A880" s="2">
        <v>41135</v>
      </c>
      <c r="B880" s="3">
        <v>4.6962000000000002</v>
      </c>
      <c r="C880" s="65">
        <v>41145</v>
      </c>
      <c r="D880" s="1">
        <v>3.9792999999999998</v>
      </c>
    </row>
    <row r="881" spans="1:4" x14ac:dyDescent="0.25">
      <c r="A881" s="2">
        <v>41136</v>
      </c>
      <c r="B881" s="3">
        <v>4.6997999999999998</v>
      </c>
      <c r="C881" s="65">
        <v>41148</v>
      </c>
      <c r="D881" s="1">
        <v>3.9443000000000001</v>
      </c>
    </row>
    <row r="882" spans="1:4" x14ac:dyDescent="0.25">
      <c r="A882" s="2">
        <v>41137</v>
      </c>
      <c r="B882" s="3">
        <v>4.6497999999999999</v>
      </c>
      <c r="C882" s="65">
        <v>41149</v>
      </c>
      <c r="D882" s="1">
        <v>3.9495</v>
      </c>
    </row>
    <row r="883" spans="1:4" x14ac:dyDescent="0.25">
      <c r="A883" s="2">
        <v>41138</v>
      </c>
      <c r="B883" s="3">
        <v>4.6215999999999999</v>
      </c>
      <c r="C883" s="65">
        <v>41150</v>
      </c>
      <c r="D883" s="1">
        <v>3.9626000000000001</v>
      </c>
    </row>
    <row r="884" spans="1:4" x14ac:dyDescent="0.25">
      <c r="A884" s="2">
        <v>41141</v>
      </c>
      <c r="B884" s="3">
        <v>4.6326999999999998</v>
      </c>
      <c r="C884" s="65">
        <v>41151</v>
      </c>
      <c r="D884" s="1">
        <v>4.0063000000000004</v>
      </c>
    </row>
    <row r="885" spans="1:4" x14ac:dyDescent="0.25">
      <c r="A885" s="2">
        <v>41142</v>
      </c>
      <c r="B885" s="3">
        <v>4.5881999999999996</v>
      </c>
      <c r="C885" s="65">
        <v>41152</v>
      </c>
      <c r="D885" s="1">
        <v>3.9214000000000002</v>
      </c>
    </row>
    <row r="886" spans="1:4" x14ac:dyDescent="0.25">
      <c r="A886" s="2">
        <v>41143</v>
      </c>
      <c r="B886" s="3">
        <v>4.6584000000000003</v>
      </c>
      <c r="C886" s="65">
        <v>41155</v>
      </c>
      <c r="D886" s="1">
        <v>3.8786</v>
      </c>
    </row>
    <row r="887" spans="1:4" x14ac:dyDescent="0.25">
      <c r="A887" s="2">
        <v>41144</v>
      </c>
      <c r="B887" s="3">
        <v>4.7035999999999998</v>
      </c>
      <c r="C887" s="65">
        <v>41156</v>
      </c>
      <c r="D887" s="1">
        <v>3.8898999999999999</v>
      </c>
    </row>
    <row r="888" spans="1:4" x14ac:dyDescent="0.25">
      <c r="A888" s="2">
        <v>41145</v>
      </c>
      <c r="B888" s="3">
        <v>4.6937999999999995</v>
      </c>
      <c r="C888" s="65">
        <v>41157</v>
      </c>
      <c r="D888" s="1">
        <v>3.9142000000000001</v>
      </c>
    </row>
    <row r="889" spans="1:4" x14ac:dyDescent="0.25">
      <c r="A889" s="2">
        <v>41148</v>
      </c>
      <c r="B889" s="3">
        <v>4.6411999999999995</v>
      </c>
      <c r="C889" s="65">
        <v>41158</v>
      </c>
      <c r="D889" s="1">
        <v>3.7524999999999999</v>
      </c>
    </row>
    <row r="890" spans="1:4" x14ac:dyDescent="0.25">
      <c r="A890" s="2">
        <v>41149</v>
      </c>
      <c r="B890" s="3">
        <v>4.6787000000000001</v>
      </c>
      <c r="C890" s="65">
        <v>41159</v>
      </c>
      <c r="D890" s="1">
        <v>3.6756000000000002</v>
      </c>
    </row>
    <row r="891" spans="1:4" x14ac:dyDescent="0.25">
      <c r="A891" s="2">
        <v>41150</v>
      </c>
      <c r="B891" s="3">
        <v>4.6937999999999995</v>
      </c>
      <c r="C891" s="65">
        <v>41162</v>
      </c>
      <c r="D891" s="1">
        <v>3.6798000000000002</v>
      </c>
    </row>
    <row r="892" spans="1:4" x14ac:dyDescent="0.25">
      <c r="A892" s="2">
        <v>41151</v>
      </c>
      <c r="B892" s="3">
        <v>4.7531999999999996</v>
      </c>
      <c r="C892" s="65">
        <v>41163</v>
      </c>
      <c r="D892" s="1">
        <v>3.6492</v>
      </c>
    </row>
    <row r="893" spans="1:4" x14ac:dyDescent="0.25">
      <c r="A893" s="2">
        <v>41152</v>
      </c>
      <c r="B893" s="3">
        <v>4.6814</v>
      </c>
      <c r="C893" s="65">
        <v>41164</v>
      </c>
      <c r="D893" s="1">
        <v>3.6063000000000001</v>
      </c>
    </row>
    <row r="894" spans="1:4" x14ac:dyDescent="0.25">
      <c r="A894" s="2">
        <v>41155</v>
      </c>
      <c r="B894" s="3">
        <v>4.5768000000000004</v>
      </c>
      <c r="C894" s="65">
        <v>41165</v>
      </c>
      <c r="D894" s="1">
        <v>3.6452999999999998</v>
      </c>
    </row>
    <row r="895" spans="1:4" x14ac:dyDescent="0.25">
      <c r="A895" s="2">
        <v>41156</v>
      </c>
      <c r="B895" s="3">
        <v>4.6269</v>
      </c>
      <c r="C895" s="65">
        <v>41166</v>
      </c>
      <c r="D895" s="1">
        <v>3.5619000000000001</v>
      </c>
    </row>
    <row r="896" spans="1:4" x14ac:dyDescent="0.25">
      <c r="A896" s="2">
        <v>41157</v>
      </c>
      <c r="B896" s="3">
        <v>4.6169000000000002</v>
      </c>
      <c r="C896" s="65">
        <v>41169</v>
      </c>
      <c r="D896" s="1">
        <v>3.5952999999999999</v>
      </c>
    </row>
    <row r="897" spans="1:4" x14ac:dyDescent="0.25">
      <c r="A897" s="2">
        <v>41158</v>
      </c>
      <c r="B897" s="3">
        <v>4.4649000000000001</v>
      </c>
      <c r="C897" s="65">
        <v>41170</v>
      </c>
      <c r="D897" s="1">
        <v>3.6833999999999998</v>
      </c>
    </row>
    <row r="898" spans="1:4" x14ac:dyDescent="0.25">
      <c r="A898" s="2">
        <v>41159</v>
      </c>
      <c r="B898" s="3">
        <v>4.4382999999999999</v>
      </c>
      <c r="C898" s="65">
        <v>41171</v>
      </c>
      <c r="D898" s="1">
        <v>3.6779000000000002</v>
      </c>
    </row>
    <row r="899" spans="1:4" x14ac:dyDescent="0.25">
      <c r="A899" s="2">
        <v>41162</v>
      </c>
      <c r="B899" s="3">
        <v>4.4560000000000004</v>
      </c>
      <c r="C899" s="65">
        <v>41172</v>
      </c>
      <c r="D899" s="1">
        <v>3.7406000000000001</v>
      </c>
    </row>
    <row r="900" spans="1:4" x14ac:dyDescent="0.25">
      <c r="A900" s="2">
        <v>41163</v>
      </c>
      <c r="B900" s="3">
        <v>4.4051999999999998</v>
      </c>
      <c r="C900" s="65">
        <v>41173</v>
      </c>
      <c r="D900" s="1">
        <v>3.7029999999999998</v>
      </c>
    </row>
    <row r="901" spans="1:4" x14ac:dyDescent="0.25">
      <c r="A901" s="2">
        <v>41164</v>
      </c>
      <c r="B901" s="3">
        <v>4.3929999999999998</v>
      </c>
      <c r="C901" s="65">
        <v>41176</v>
      </c>
      <c r="D901" s="1">
        <v>3.7829000000000002</v>
      </c>
    </row>
    <row r="902" spans="1:4" x14ac:dyDescent="0.25">
      <c r="A902" s="2">
        <v>41165</v>
      </c>
      <c r="B902" s="3">
        <v>4.4302000000000001</v>
      </c>
      <c r="C902" s="65">
        <v>41177</v>
      </c>
      <c r="D902" s="1">
        <v>3.7673000000000001</v>
      </c>
    </row>
    <row r="903" spans="1:4" x14ac:dyDescent="0.25">
      <c r="A903" s="2">
        <v>41166</v>
      </c>
      <c r="B903" s="3">
        <v>4.3426</v>
      </c>
      <c r="C903" s="65">
        <v>41178</v>
      </c>
      <c r="D903" s="1">
        <v>3.8956</v>
      </c>
    </row>
    <row r="904" spans="1:4" x14ac:dyDescent="0.25">
      <c r="A904" s="2">
        <v>41169</v>
      </c>
      <c r="B904" s="3">
        <v>4.3611000000000004</v>
      </c>
      <c r="C904" s="65">
        <v>41179</v>
      </c>
      <c r="D904" s="1">
        <v>3.8849999999999998</v>
      </c>
    </row>
    <row r="905" spans="1:4" x14ac:dyDescent="0.25">
      <c r="A905" s="2">
        <v>41170</v>
      </c>
      <c r="B905" s="3">
        <v>4.4126000000000003</v>
      </c>
      <c r="C905" s="65">
        <v>41180</v>
      </c>
      <c r="D905" s="1">
        <v>3.9762</v>
      </c>
    </row>
    <row r="906" spans="1:4" x14ac:dyDescent="0.25">
      <c r="A906" s="2">
        <v>41171</v>
      </c>
      <c r="B906" s="3">
        <v>4.3880999999999997</v>
      </c>
      <c r="C906" s="65">
        <v>41183</v>
      </c>
      <c r="D906" s="1">
        <v>3.8666999999999998</v>
      </c>
    </row>
    <row r="907" spans="1:4" x14ac:dyDescent="0.25">
      <c r="A907" s="2">
        <v>41172</v>
      </c>
      <c r="B907" s="3">
        <v>4.4131999999999998</v>
      </c>
      <c r="C907" s="65">
        <v>41184</v>
      </c>
      <c r="D907" s="1">
        <v>3.8734999999999999</v>
      </c>
    </row>
    <row r="908" spans="1:4" x14ac:dyDescent="0.25">
      <c r="A908" s="2">
        <v>41173</v>
      </c>
      <c r="B908" s="3">
        <v>4.3719999999999999</v>
      </c>
      <c r="C908" s="65">
        <v>41185</v>
      </c>
      <c r="D908" s="1">
        <v>3.8637000000000001</v>
      </c>
    </row>
    <row r="909" spans="1:4" x14ac:dyDescent="0.25">
      <c r="A909" s="2">
        <v>41176</v>
      </c>
      <c r="B909" s="3">
        <v>4.4214000000000002</v>
      </c>
      <c r="C909" s="65">
        <v>41186</v>
      </c>
      <c r="D909" s="1">
        <v>3.8696999999999999</v>
      </c>
    </row>
    <row r="910" spans="1:4" x14ac:dyDescent="0.25">
      <c r="A910" s="2">
        <v>41177</v>
      </c>
      <c r="B910" s="3">
        <v>4.4032</v>
      </c>
      <c r="C910" s="65">
        <v>41187</v>
      </c>
      <c r="D910" s="1">
        <v>3.7806999999999999</v>
      </c>
    </row>
    <row r="911" spans="1:4" x14ac:dyDescent="0.25">
      <c r="A911" s="2">
        <v>41178</v>
      </c>
      <c r="B911" s="3">
        <v>4.5265000000000004</v>
      </c>
      <c r="C911" s="65">
        <v>41190</v>
      </c>
      <c r="D911" s="1">
        <v>3.8571</v>
      </c>
    </row>
    <row r="912" spans="1:4" x14ac:dyDescent="0.25">
      <c r="A912" s="2">
        <v>41179</v>
      </c>
      <c r="B912" s="3">
        <v>4.5128000000000004</v>
      </c>
      <c r="C912" s="65">
        <v>41191</v>
      </c>
      <c r="D912" s="1">
        <v>3.8712999999999997</v>
      </c>
    </row>
    <row r="913" spans="1:4" x14ac:dyDescent="0.25">
      <c r="A913" s="2">
        <v>41180</v>
      </c>
      <c r="B913" s="3">
        <v>4.6081000000000003</v>
      </c>
      <c r="C913" s="65">
        <v>41192</v>
      </c>
      <c r="D913" s="1">
        <v>3.8874</v>
      </c>
    </row>
    <row r="914" spans="1:4" x14ac:dyDescent="0.25">
      <c r="A914" s="2">
        <v>41183</v>
      </c>
      <c r="B914" s="3">
        <v>4.5247999999999999</v>
      </c>
      <c r="C914" s="65">
        <v>41193</v>
      </c>
      <c r="D914" s="1">
        <v>3.8391999999999999</v>
      </c>
    </row>
    <row r="915" spans="1:4" x14ac:dyDescent="0.25">
      <c r="A915" s="2">
        <v>41184</v>
      </c>
      <c r="B915" s="3">
        <v>4.5343</v>
      </c>
      <c r="C915" s="65">
        <v>41194</v>
      </c>
      <c r="D915" s="1">
        <v>3.8694999999999999</v>
      </c>
    </row>
    <row r="916" spans="1:4" x14ac:dyDescent="0.25">
      <c r="A916" s="2">
        <v>41185</v>
      </c>
      <c r="B916" s="3">
        <v>4.5362999999999998</v>
      </c>
      <c r="C916" s="65">
        <v>41197</v>
      </c>
      <c r="D916" s="1">
        <v>3.85</v>
      </c>
    </row>
    <row r="917" spans="1:4" x14ac:dyDescent="0.25">
      <c r="A917" s="2">
        <v>41186</v>
      </c>
      <c r="B917" s="3">
        <v>4.5486000000000004</v>
      </c>
      <c r="C917" s="65">
        <v>41198</v>
      </c>
      <c r="D917" s="1">
        <v>3.7549999999999999</v>
      </c>
    </row>
    <row r="918" spans="1:4" x14ac:dyDescent="0.25">
      <c r="A918" s="2">
        <v>41187</v>
      </c>
      <c r="B918" s="3">
        <v>4.4668999999999999</v>
      </c>
      <c r="C918" s="65">
        <v>41199</v>
      </c>
      <c r="D918" s="1">
        <v>3.6974</v>
      </c>
    </row>
    <row r="919" spans="1:4" x14ac:dyDescent="0.25">
      <c r="A919" s="2">
        <v>41190</v>
      </c>
      <c r="B919" s="3">
        <v>4.5297000000000001</v>
      </c>
      <c r="C919" s="65">
        <v>41200</v>
      </c>
      <c r="D919" s="1">
        <v>3.7084999999999999</v>
      </c>
    </row>
    <row r="920" spans="1:4" x14ac:dyDescent="0.25">
      <c r="A920" s="2">
        <v>41191</v>
      </c>
      <c r="B920" s="3">
        <v>4.5734000000000004</v>
      </c>
      <c r="C920" s="65">
        <v>41201</v>
      </c>
      <c r="D920" s="1">
        <v>3.7839999999999998</v>
      </c>
    </row>
    <row r="921" spans="1:4" x14ac:dyDescent="0.25">
      <c r="A921" s="2">
        <v>41192</v>
      </c>
      <c r="B921" s="3">
        <v>4.6025999999999998</v>
      </c>
      <c r="C921" s="65">
        <v>41204</v>
      </c>
      <c r="D921" s="1">
        <v>3.7829999999999999</v>
      </c>
    </row>
    <row r="922" spans="1:4" x14ac:dyDescent="0.25">
      <c r="A922" s="2">
        <v>41193</v>
      </c>
      <c r="B922" s="3">
        <v>4.5461</v>
      </c>
      <c r="C922" s="65">
        <v>41205</v>
      </c>
      <c r="D922" s="1">
        <v>3.8529</v>
      </c>
    </row>
    <row r="923" spans="1:4" x14ac:dyDescent="0.25">
      <c r="A923" s="2">
        <v>41194</v>
      </c>
      <c r="B923" s="3">
        <v>4.5792000000000002</v>
      </c>
      <c r="C923" s="65">
        <v>41206</v>
      </c>
      <c r="D923" s="1">
        <v>3.8216000000000001</v>
      </c>
    </row>
    <row r="924" spans="1:4" x14ac:dyDescent="0.25">
      <c r="A924" s="2">
        <v>41197</v>
      </c>
      <c r="B924" s="3">
        <v>4.5495999999999999</v>
      </c>
      <c r="C924" s="65">
        <v>41207</v>
      </c>
      <c r="D924" s="1">
        <v>3.8654000000000002</v>
      </c>
    </row>
    <row r="925" spans="1:4" x14ac:dyDescent="0.25">
      <c r="A925" s="2">
        <v>41198</v>
      </c>
      <c r="B925" s="3">
        <v>4.4375</v>
      </c>
      <c r="C925" s="65">
        <v>41208</v>
      </c>
      <c r="D925" s="1">
        <v>3.8513999999999999</v>
      </c>
    </row>
    <row r="926" spans="1:4" x14ac:dyDescent="0.25">
      <c r="A926" s="2">
        <v>41199</v>
      </c>
      <c r="B926" s="3">
        <v>4.4152000000000005</v>
      </c>
      <c r="C926" s="65">
        <v>41211</v>
      </c>
      <c r="D926" s="1">
        <v>3.9106000000000001</v>
      </c>
    </row>
    <row r="927" spans="1:4" x14ac:dyDescent="0.25">
      <c r="A927" s="2">
        <v>41200</v>
      </c>
      <c r="B927" s="3">
        <v>4.4077000000000002</v>
      </c>
      <c r="C927" s="65">
        <v>41212</v>
      </c>
      <c r="D927" s="1">
        <v>3.8670999999999998</v>
      </c>
    </row>
    <row r="928" spans="1:4" x14ac:dyDescent="0.25">
      <c r="A928" s="2">
        <v>41201</v>
      </c>
      <c r="B928" s="3">
        <v>4.4630999999999998</v>
      </c>
      <c r="C928" s="65">
        <v>41213</v>
      </c>
      <c r="D928" s="1">
        <v>3.8626</v>
      </c>
    </row>
    <row r="929" spans="1:4" x14ac:dyDescent="0.25">
      <c r="A929" s="2">
        <v>41204</v>
      </c>
      <c r="B929" s="3">
        <v>4.4827000000000004</v>
      </c>
      <c r="C929" s="65">
        <v>41214</v>
      </c>
      <c r="D929" s="1">
        <v>3.7972999999999999</v>
      </c>
    </row>
    <row r="930" spans="1:4" x14ac:dyDescent="0.25">
      <c r="A930" s="2">
        <v>41205</v>
      </c>
      <c r="B930" s="3">
        <v>4.5789</v>
      </c>
      <c r="C930" s="65">
        <v>41215</v>
      </c>
      <c r="D930" s="1">
        <v>3.8064</v>
      </c>
    </row>
    <row r="931" spans="1:4" x14ac:dyDescent="0.25">
      <c r="A931" s="2">
        <v>41206</v>
      </c>
      <c r="B931" s="3">
        <v>4.7460000000000004</v>
      </c>
      <c r="C931" s="65">
        <v>41218</v>
      </c>
      <c r="D931" s="1">
        <v>3.8614000000000002</v>
      </c>
    </row>
    <row r="932" spans="1:4" x14ac:dyDescent="0.25">
      <c r="A932" s="2">
        <v>41207</v>
      </c>
      <c r="B932" s="3">
        <v>4.7595999999999998</v>
      </c>
      <c r="C932" s="65">
        <v>41219</v>
      </c>
      <c r="D932" s="1">
        <v>3.8270999999999997</v>
      </c>
    </row>
    <row r="933" spans="1:4" x14ac:dyDescent="0.25">
      <c r="A933" s="2">
        <v>41208</v>
      </c>
      <c r="B933" s="3">
        <v>4.7355</v>
      </c>
      <c r="C933" s="65">
        <v>41220</v>
      </c>
      <c r="D933" s="1">
        <v>3.9252000000000002</v>
      </c>
    </row>
    <row r="934" spans="1:4" x14ac:dyDescent="0.25">
      <c r="A934" s="2">
        <v>41211</v>
      </c>
      <c r="B934" s="3">
        <v>4.7684999999999995</v>
      </c>
      <c r="C934" s="65">
        <v>41221</v>
      </c>
      <c r="D934" s="1">
        <v>3.9504999999999999</v>
      </c>
    </row>
    <row r="935" spans="1:4" x14ac:dyDescent="0.25">
      <c r="A935" s="2">
        <v>41212</v>
      </c>
      <c r="B935" s="3">
        <v>4.6980000000000004</v>
      </c>
      <c r="C935" s="65">
        <v>41222</v>
      </c>
      <c r="D935" s="1">
        <v>3.9539</v>
      </c>
    </row>
    <row r="936" spans="1:4" x14ac:dyDescent="0.25">
      <c r="A936" s="2">
        <v>41213</v>
      </c>
      <c r="B936" s="3">
        <v>4.7211999999999996</v>
      </c>
      <c r="C936" s="65">
        <v>41225</v>
      </c>
      <c r="D936" s="1">
        <v>3.9698000000000002</v>
      </c>
    </row>
    <row r="937" spans="1:4" x14ac:dyDescent="0.25">
      <c r="A937" s="2">
        <v>41214</v>
      </c>
      <c r="B937" s="3">
        <v>4.6649000000000003</v>
      </c>
      <c r="C937" s="65">
        <v>41226</v>
      </c>
      <c r="D937" s="1">
        <v>3.915</v>
      </c>
    </row>
    <row r="938" spans="1:4" x14ac:dyDescent="0.25">
      <c r="A938" s="2">
        <v>41215</v>
      </c>
      <c r="B938" s="3">
        <v>4.6421000000000001</v>
      </c>
      <c r="C938" s="65">
        <v>41227</v>
      </c>
      <c r="D938" s="1">
        <v>3.9356</v>
      </c>
    </row>
    <row r="939" spans="1:4" x14ac:dyDescent="0.25">
      <c r="A939" s="2">
        <v>41218</v>
      </c>
      <c r="B939" s="3">
        <v>4.6963999999999997</v>
      </c>
      <c r="C939" s="65">
        <v>41228</v>
      </c>
      <c r="D939" s="1">
        <v>3.9590000000000001</v>
      </c>
    </row>
    <row r="940" spans="1:4" x14ac:dyDescent="0.25">
      <c r="A940" s="2">
        <v>41219</v>
      </c>
      <c r="B940" s="3">
        <v>4.6626000000000003</v>
      </c>
      <c r="C940" s="65">
        <v>41229</v>
      </c>
      <c r="D940" s="1">
        <v>4.0407999999999999</v>
      </c>
    </row>
    <row r="941" spans="1:4" x14ac:dyDescent="0.25">
      <c r="A941" s="2">
        <v>41220</v>
      </c>
      <c r="B941" s="3">
        <v>4.5636999999999999</v>
      </c>
      <c r="C941" s="65">
        <v>41232</v>
      </c>
      <c r="D941" s="1">
        <v>3.8929999999999998</v>
      </c>
    </row>
    <row r="942" spans="1:4" x14ac:dyDescent="0.25">
      <c r="A942" s="2">
        <v>41221</v>
      </c>
      <c r="B942" s="3">
        <v>4.5636999999999999</v>
      </c>
      <c r="C942" s="65">
        <v>41233</v>
      </c>
      <c r="D942" s="1">
        <v>3.9028999999999998</v>
      </c>
    </row>
    <row r="943" spans="1:4" x14ac:dyDescent="0.25">
      <c r="A943" s="2">
        <v>41222</v>
      </c>
      <c r="B943" s="3">
        <v>4.5624000000000002</v>
      </c>
      <c r="C943" s="65">
        <v>41234</v>
      </c>
      <c r="D943" s="1">
        <v>3.8460000000000001</v>
      </c>
    </row>
    <row r="944" spans="1:4" x14ac:dyDescent="0.25">
      <c r="A944" s="2">
        <v>41225</v>
      </c>
      <c r="B944" s="3">
        <v>4.5739999999999998</v>
      </c>
      <c r="C944" s="65">
        <v>41235</v>
      </c>
      <c r="D944" s="1">
        <v>3.8067000000000002</v>
      </c>
    </row>
    <row r="945" spans="1:4" x14ac:dyDescent="0.25">
      <c r="A945" s="2">
        <v>41226</v>
      </c>
      <c r="B945" s="3">
        <v>4.5380000000000003</v>
      </c>
      <c r="C945" s="65">
        <v>41236</v>
      </c>
      <c r="D945" s="1">
        <v>3.7866</v>
      </c>
    </row>
    <row r="946" spans="1:4" x14ac:dyDescent="0.25">
      <c r="A946" s="2">
        <v>41227</v>
      </c>
      <c r="B946" s="3">
        <v>4.5753000000000004</v>
      </c>
      <c r="C946" s="65">
        <v>41239</v>
      </c>
      <c r="D946" s="1">
        <v>3.8155999999999999</v>
      </c>
    </row>
    <row r="947" spans="1:4" x14ac:dyDescent="0.25">
      <c r="A947" s="2">
        <v>41228</v>
      </c>
      <c r="B947" s="3">
        <v>4.5959000000000003</v>
      </c>
      <c r="C947" s="65">
        <v>41240</v>
      </c>
      <c r="D947" s="1">
        <v>3.8254999999999999</v>
      </c>
    </row>
    <row r="948" spans="1:4" x14ac:dyDescent="0.25">
      <c r="A948" s="2">
        <v>41229</v>
      </c>
      <c r="B948" s="3">
        <v>4.6611000000000002</v>
      </c>
      <c r="C948" s="65">
        <v>41241</v>
      </c>
      <c r="D948" s="1">
        <v>3.8321000000000001</v>
      </c>
    </row>
    <row r="949" spans="1:4" x14ac:dyDescent="0.25">
      <c r="A949" s="2">
        <v>41232</v>
      </c>
      <c r="B949" s="3">
        <v>4.5347</v>
      </c>
      <c r="C949" s="65">
        <v>41242</v>
      </c>
      <c r="D949" s="1">
        <v>3.7273000000000001</v>
      </c>
    </row>
    <row r="950" spans="1:4" x14ac:dyDescent="0.25">
      <c r="A950" s="2">
        <v>41233</v>
      </c>
      <c r="B950" s="3">
        <v>4.5087000000000002</v>
      </c>
      <c r="C950" s="65">
        <v>41243</v>
      </c>
      <c r="D950" s="1">
        <v>3.7461000000000002</v>
      </c>
    </row>
    <row r="951" spans="1:4" x14ac:dyDescent="0.25">
      <c r="A951" s="2">
        <v>41234</v>
      </c>
      <c r="B951" s="3">
        <v>4.4907000000000004</v>
      </c>
      <c r="C951" s="65">
        <v>41246</v>
      </c>
      <c r="D951" s="1">
        <v>3.7301000000000002</v>
      </c>
    </row>
    <row r="952" spans="1:4" x14ac:dyDescent="0.25">
      <c r="A952" s="2">
        <v>41235</v>
      </c>
      <c r="B952" s="3">
        <v>4.4634</v>
      </c>
      <c r="C952" s="65">
        <v>41247</v>
      </c>
      <c r="D952" s="1">
        <v>3.6916000000000002</v>
      </c>
    </row>
    <row r="953" spans="1:4" x14ac:dyDescent="0.25">
      <c r="A953" s="2">
        <v>41236</v>
      </c>
      <c r="B953" s="3">
        <v>4.4250999999999996</v>
      </c>
      <c r="C953" s="65">
        <v>41248</v>
      </c>
      <c r="D953" s="1">
        <v>3.7117</v>
      </c>
    </row>
    <row r="954" spans="1:4" x14ac:dyDescent="0.25">
      <c r="A954" s="2">
        <v>41239</v>
      </c>
      <c r="B954" s="3">
        <v>4.6719999999999997</v>
      </c>
      <c r="C954" s="65">
        <v>41249</v>
      </c>
      <c r="D954" s="1">
        <v>3.7397</v>
      </c>
    </row>
    <row r="955" spans="1:4" x14ac:dyDescent="0.25">
      <c r="A955" s="2">
        <v>41240</v>
      </c>
      <c r="B955" s="3">
        <v>4.6703000000000001</v>
      </c>
      <c r="C955" s="65">
        <v>41250</v>
      </c>
      <c r="D955" s="1">
        <v>3.7721</v>
      </c>
    </row>
    <row r="956" spans="1:4" x14ac:dyDescent="0.25">
      <c r="A956" s="2">
        <v>41241</v>
      </c>
      <c r="B956" s="3">
        <v>4.6641000000000004</v>
      </c>
      <c r="C956" s="65">
        <v>41253</v>
      </c>
      <c r="D956" s="1">
        <v>3.8569</v>
      </c>
    </row>
    <row r="957" spans="1:4" x14ac:dyDescent="0.25">
      <c r="A957" s="2">
        <v>41242</v>
      </c>
      <c r="B957" s="3">
        <v>4.6063999999999998</v>
      </c>
      <c r="C957" s="65">
        <v>41254</v>
      </c>
      <c r="D957" s="1">
        <v>3.7995999999999999</v>
      </c>
    </row>
    <row r="958" spans="1:4" x14ac:dyDescent="0.25">
      <c r="A958" s="2">
        <v>41243</v>
      </c>
      <c r="B958" s="3">
        <v>4.6178999999999997</v>
      </c>
      <c r="C958" s="65">
        <v>41255</v>
      </c>
      <c r="D958" s="1">
        <v>3.7563</v>
      </c>
    </row>
    <row r="959" spans="1:4" x14ac:dyDescent="0.25">
      <c r="A959" s="2">
        <v>41246</v>
      </c>
      <c r="B959" s="3">
        <v>4.6052</v>
      </c>
      <c r="C959" s="65">
        <v>41256</v>
      </c>
      <c r="D959" s="1">
        <v>3.7324000000000002</v>
      </c>
    </row>
    <row r="960" spans="1:4" x14ac:dyDescent="0.25">
      <c r="A960" s="2">
        <v>41247</v>
      </c>
      <c r="B960" s="3">
        <v>4.5900999999999996</v>
      </c>
      <c r="C960" s="65">
        <v>41257</v>
      </c>
      <c r="D960" s="1">
        <v>3.7225000000000001</v>
      </c>
    </row>
    <row r="961" spans="1:4" x14ac:dyDescent="0.25">
      <c r="A961" s="2">
        <v>41248</v>
      </c>
      <c r="B961" s="3">
        <v>4.5879000000000003</v>
      </c>
      <c r="C961" s="65">
        <v>41260</v>
      </c>
      <c r="D961" s="1">
        <v>3.7000999999999999</v>
      </c>
    </row>
    <row r="962" spans="1:4" x14ac:dyDescent="0.25">
      <c r="A962" s="2">
        <v>41249</v>
      </c>
      <c r="B962" s="3">
        <v>4.5678999999999998</v>
      </c>
      <c r="C962" s="65">
        <v>41261</v>
      </c>
      <c r="D962" s="1">
        <v>3.6656</v>
      </c>
    </row>
    <row r="963" spans="1:4" x14ac:dyDescent="0.25">
      <c r="A963" s="2">
        <v>41250</v>
      </c>
      <c r="B963" s="3">
        <v>4.5715000000000003</v>
      </c>
      <c r="C963" s="65">
        <v>41262</v>
      </c>
      <c r="D963" s="1">
        <v>3.6257999999999999</v>
      </c>
    </row>
    <row r="964" spans="1:4" x14ac:dyDescent="0.25">
      <c r="A964" s="2">
        <v>41253</v>
      </c>
      <c r="B964" s="3">
        <v>4.5808999999999997</v>
      </c>
      <c r="C964" s="65">
        <v>41263</v>
      </c>
      <c r="D964" s="1">
        <v>3.6109999999999998</v>
      </c>
    </row>
    <row r="965" spans="1:4" x14ac:dyDescent="0.25">
      <c r="A965" s="2">
        <v>41254</v>
      </c>
      <c r="B965" s="3">
        <v>4.532</v>
      </c>
      <c r="C965" s="65">
        <v>41264</v>
      </c>
      <c r="D965" s="1">
        <v>3.6254999999999997</v>
      </c>
    </row>
    <row r="966" spans="1:4" x14ac:dyDescent="0.25">
      <c r="A966" s="2">
        <v>41255</v>
      </c>
      <c r="B966" s="3">
        <v>4.5212000000000003</v>
      </c>
      <c r="C966" s="65">
        <v>41270</v>
      </c>
      <c r="D966" s="1">
        <v>3.6372999999999998</v>
      </c>
    </row>
    <row r="967" spans="1:4" x14ac:dyDescent="0.25">
      <c r="A967" s="2">
        <v>41256</v>
      </c>
      <c r="B967" s="3">
        <v>4.5258000000000003</v>
      </c>
      <c r="C967" s="65">
        <v>41271</v>
      </c>
      <c r="D967" s="1">
        <v>3.6675</v>
      </c>
    </row>
    <row r="968" spans="1:4" x14ac:dyDescent="0.25">
      <c r="A968" s="2">
        <v>41257</v>
      </c>
      <c r="B968" s="3">
        <v>4.5208000000000004</v>
      </c>
      <c r="C968" s="65">
        <v>41276</v>
      </c>
      <c r="D968" s="1">
        <v>3.1945000000000001</v>
      </c>
    </row>
    <row r="969" spans="1:4" x14ac:dyDescent="0.25">
      <c r="A969" s="2">
        <v>41260</v>
      </c>
      <c r="B969" s="3">
        <v>4.5280000000000005</v>
      </c>
      <c r="C969" s="65">
        <v>41277</v>
      </c>
      <c r="D969" s="1">
        <v>3.1913999999999998</v>
      </c>
    </row>
    <row r="970" spans="1:4" x14ac:dyDescent="0.25">
      <c r="A970" s="2">
        <v>41261</v>
      </c>
      <c r="B970" s="3">
        <v>4.5015000000000001</v>
      </c>
      <c r="C970" s="65">
        <v>41278</v>
      </c>
      <c r="D970" s="1">
        <v>3.1819999999999999</v>
      </c>
    </row>
    <row r="971" spans="1:4" x14ac:dyDescent="0.25">
      <c r="A971" s="2">
        <v>41262</v>
      </c>
      <c r="B971" s="3">
        <v>4.4824999999999999</v>
      </c>
      <c r="C971" s="65">
        <v>41281</v>
      </c>
      <c r="D971" s="1">
        <v>3.1941000000000002</v>
      </c>
    </row>
    <row r="972" spans="1:4" x14ac:dyDescent="0.25">
      <c r="A972" s="2">
        <v>41263</v>
      </c>
      <c r="B972" s="3">
        <v>4.4763999999999999</v>
      </c>
      <c r="C972" s="65">
        <v>41282</v>
      </c>
      <c r="D972" s="1">
        <v>3.1837</v>
      </c>
    </row>
    <row r="973" spans="1:4" x14ac:dyDescent="0.25">
      <c r="A973" s="2">
        <v>41264</v>
      </c>
      <c r="B973" s="3">
        <v>4.4885999999999999</v>
      </c>
      <c r="C973" s="65">
        <v>41283</v>
      </c>
      <c r="D973" s="1">
        <v>3.1147</v>
      </c>
    </row>
    <row r="974" spans="1:4" x14ac:dyDescent="0.25">
      <c r="A974" s="2">
        <v>41267</v>
      </c>
      <c r="B974" s="3">
        <v>4.5125999999999999</v>
      </c>
      <c r="C974" s="65">
        <v>41284</v>
      </c>
      <c r="D974" s="1">
        <v>3.0924</v>
      </c>
    </row>
    <row r="975" spans="1:4" x14ac:dyDescent="0.25">
      <c r="A975" s="2">
        <v>41270</v>
      </c>
      <c r="B975" s="3">
        <v>4.4881000000000002</v>
      </c>
      <c r="C975" s="65">
        <v>41285</v>
      </c>
      <c r="D975" s="1">
        <v>3.0834000000000001</v>
      </c>
    </row>
    <row r="976" spans="1:4" x14ac:dyDescent="0.25">
      <c r="A976" s="2">
        <v>41271</v>
      </c>
      <c r="B976" s="3">
        <v>4.5446</v>
      </c>
      <c r="C976" s="65">
        <v>41288</v>
      </c>
      <c r="D976" s="1">
        <v>3.1031</v>
      </c>
    </row>
    <row r="977" spans="1:4" x14ac:dyDescent="0.25">
      <c r="A977" s="2">
        <v>41274</v>
      </c>
      <c r="B977" s="3">
        <v>4.5289999999999999</v>
      </c>
      <c r="C977" s="65">
        <v>41289</v>
      </c>
      <c r="D977" s="1">
        <v>3.0895000000000001</v>
      </c>
    </row>
    <row r="978" spans="1:4" x14ac:dyDescent="0.25">
      <c r="A978" s="2">
        <v>41276</v>
      </c>
      <c r="B978" s="3">
        <v>4.3638000000000003</v>
      </c>
      <c r="C978" s="65">
        <v>41290</v>
      </c>
      <c r="D978" s="1">
        <v>3.1122999999999998</v>
      </c>
    </row>
    <row r="979" spans="1:4" x14ac:dyDescent="0.25">
      <c r="A979" s="2">
        <v>41277</v>
      </c>
      <c r="B979" s="3">
        <v>4.3792</v>
      </c>
      <c r="C979" s="65">
        <v>41291</v>
      </c>
      <c r="D979" s="1">
        <v>3.0685000000000002</v>
      </c>
    </row>
    <row r="980" spans="1:4" x14ac:dyDescent="0.25">
      <c r="A980" s="2">
        <v>41278</v>
      </c>
      <c r="B980" s="3">
        <v>4.3659999999999997</v>
      </c>
      <c r="C980" s="65">
        <v>41292</v>
      </c>
      <c r="D980" s="1">
        <v>3.0743</v>
      </c>
    </row>
    <row r="981" spans="1:4" x14ac:dyDescent="0.25">
      <c r="A981" s="2">
        <v>41281</v>
      </c>
      <c r="B981" s="3">
        <v>4.3883999999999999</v>
      </c>
      <c r="C981" s="65">
        <v>41295</v>
      </c>
      <c r="D981" s="1">
        <v>3.0607000000000002</v>
      </c>
    </row>
    <row r="982" spans="1:4" x14ac:dyDescent="0.25">
      <c r="A982" s="2">
        <v>41282</v>
      </c>
      <c r="B982" s="3">
        <v>4.3951000000000002</v>
      </c>
      <c r="C982" s="65">
        <v>41296</v>
      </c>
      <c r="D982" s="1">
        <v>3.0461999999999998</v>
      </c>
    </row>
    <row r="983" spans="1:4" x14ac:dyDescent="0.25">
      <c r="A983" s="2">
        <v>41283</v>
      </c>
      <c r="B983" s="3">
        <v>4.3708</v>
      </c>
      <c r="C983" s="65">
        <v>41297</v>
      </c>
      <c r="D983" s="1">
        <v>3.0699000000000001</v>
      </c>
    </row>
    <row r="984" spans="1:4" x14ac:dyDescent="0.25">
      <c r="A984" s="2">
        <v>41284</v>
      </c>
      <c r="B984" s="3">
        <v>4.3677999999999999</v>
      </c>
      <c r="C984" s="65">
        <v>41298</v>
      </c>
      <c r="D984" s="1">
        <v>3.0392000000000001</v>
      </c>
    </row>
    <row r="985" spans="1:4" x14ac:dyDescent="0.25">
      <c r="A985" s="2">
        <v>41285</v>
      </c>
      <c r="B985" s="3">
        <v>4.3525</v>
      </c>
      <c r="C985" s="65">
        <v>41299</v>
      </c>
      <c r="D985" s="1">
        <v>3.0442999999999998</v>
      </c>
    </row>
    <row r="986" spans="1:4" x14ac:dyDescent="0.25">
      <c r="A986" s="2">
        <v>41288</v>
      </c>
      <c r="B986" s="3">
        <v>4.3567</v>
      </c>
      <c r="C986" s="65">
        <v>41302</v>
      </c>
      <c r="D986" s="1">
        <v>3.0152999999999999</v>
      </c>
    </row>
    <row r="987" spans="1:4" x14ac:dyDescent="0.25">
      <c r="A987" s="2">
        <v>41289</v>
      </c>
      <c r="B987" s="3">
        <v>4.3997000000000002</v>
      </c>
      <c r="C987" s="65">
        <v>41303</v>
      </c>
      <c r="D987" s="1">
        <v>3.0163000000000002</v>
      </c>
    </row>
    <row r="988" spans="1:4" x14ac:dyDescent="0.25">
      <c r="A988" s="2">
        <v>41290</v>
      </c>
      <c r="B988" s="3">
        <v>4.3981000000000003</v>
      </c>
      <c r="C988" s="65">
        <v>41304</v>
      </c>
      <c r="D988" s="1">
        <v>3.1213000000000002</v>
      </c>
    </row>
    <row r="989" spans="1:4" x14ac:dyDescent="0.25">
      <c r="A989" s="2">
        <v>41291</v>
      </c>
      <c r="B989" s="3">
        <v>4.3715999999999999</v>
      </c>
      <c r="C989" s="65">
        <v>41305</v>
      </c>
      <c r="D989" s="1">
        <v>3.0945999999999998</v>
      </c>
    </row>
    <row r="990" spans="1:4" x14ac:dyDescent="0.25">
      <c r="A990" s="2">
        <v>41292</v>
      </c>
      <c r="B990" s="3">
        <v>4.3867000000000003</v>
      </c>
      <c r="C990" s="65">
        <v>41306</v>
      </c>
      <c r="D990" s="1">
        <v>3.1160000000000001</v>
      </c>
    </row>
    <row r="991" spans="1:4" x14ac:dyDescent="0.25">
      <c r="A991" s="2">
        <v>41295</v>
      </c>
      <c r="B991" s="3">
        <v>4.3593000000000002</v>
      </c>
      <c r="C991" s="65">
        <v>41309</v>
      </c>
      <c r="D991" s="1">
        <v>3.2629999999999999</v>
      </c>
    </row>
    <row r="992" spans="1:4" x14ac:dyDescent="0.25">
      <c r="A992" s="2">
        <v>41296</v>
      </c>
      <c r="B992" s="3">
        <v>4.3751999999999995</v>
      </c>
      <c r="C992" s="65">
        <v>41310</v>
      </c>
      <c r="D992" s="1">
        <v>3.2292000000000001</v>
      </c>
    </row>
    <row r="993" spans="1:4" x14ac:dyDescent="0.25">
      <c r="A993" s="2">
        <v>41297</v>
      </c>
      <c r="B993" s="3">
        <v>4.3887999999999998</v>
      </c>
      <c r="C993" s="65">
        <v>41311</v>
      </c>
      <c r="D993" s="1">
        <v>3.2504</v>
      </c>
    </row>
    <row r="994" spans="1:4" x14ac:dyDescent="0.25">
      <c r="A994" s="2">
        <v>41298</v>
      </c>
      <c r="B994" s="3">
        <v>4.3651</v>
      </c>
      <c r="C994" s="65">
        <v>41312</v>
      </c>
      <c r="D994" s="1">
        <v>3.2904999999999998</v>
      </c>
    </row>
    <row r="995" spans="1:4" x14ac:dyDescent="0.25">
      <c r="A995" s="2">
        <v>41299</v>
      </c>
      <c r="B995" s="3">
        <v>4.3314000000000004</v>
      </c>
      <c r="C995" s="65">
        <v>41313</v>
      </c>
      <c r="D995" s="1">
        <v>3.2450000000000001</v>
      </c>
    </row>
    <row r="996" spans="1:4" x14ac:dyDescent="0.25">
      <c r="A996" s="2">
        <v>41302</v>
      </c>
      <c r="B996" s="3">
        <v>4.3308999999999997</v>
      </c>
      <c r="C996" s="65">
        <v>41316</v>
      </c>
      <c r="D996" s="1">
        <v>3.2648000000000001</v>
      </c>
    </row>
    <row r="997" spans="1:4" x14ac:dyDescent="0.25">
      <c r="A997" s="2">
        <v>41303</v>
      </c>
      <c r="B997" s="3">
        <v>4.3234000000000004</v>
      </c>
      <c r="C997" s="65">
        <v>41317</v>
      </c>
      <c r="D997" s="1">
        <v>3.2423000000000002</v>
      </c>
    </row>
    <row r="998" spans="1:4" x14ac:dyDescent="0.25">
      <c r="A998" s="2">
        <v>41304</v>
      </c>
      <c r="B998" s="3">
        <v>4.3505000000000003</v>
      </c>
      <c r="C998" s="65">
        <v>41318</v>
      </c>
      <c r="D998" s="1">
        <v>3.2292000000000001</v>
      </c>
    </row>
    <row r="999" spans="1:4" x14ac:dyDescent="0.25">
      <c r="A999" s="2">
        <v>41305</v>
      </c>
      <c r="B999" s="3">
        <v>4.3974000000000002</v>
      </c>
      <c r="C999" s="65">
        <v>41319</v>
      </c>
      <c r="D999" s="1">
        <v>3.2618</v>
      </c>
    </row>
    <row r="1000" spans="1:4" x14ac:dyDescent="0.25">
      <c r="A1000" s="2">
        <v>41306</v>
      </c>
      <c r="B1000" s="3">
        <v>4.3859000000000004</v>
      </c>
      <c r="C1000" s="65">
        <v>41320</v>
      </c>
      <c r="D1000" s="1">
        <v>3.2726999999999999</v>
      </c>
    </row>
    <row r="1001" spans="1:4" x14ac:dyDescent="0.25">
      <c r="A1001" s="2">
        <v>41309</v>
      </c>
      <c r="B1001" s="3">
        <v>4.5277000000000003</v>
      </c>
      <c r="C1001" s="65">
        <v>41323</v>
      </c>
      <c r="D1001" s="1">
        <v>3.2892000000000001</v>
      </c>
    </row>
    <row r="1002" spans="1:4" x14ac:dyDescent="0.25">
      <c r="A1002" s="2">
        <v>41310</v>
      </c>
      <c r="B1002" s="3">
        <v>4.4832999999999998</v>
      </c>
      <c r="C1002" s="65">
        <v>41324</v>
      </c>
      <c r="D1002" s="1">
        <v>3.2382</v>
      </c>
    </row>
    <row r="1003" spans="1:4" x14ac:dyDescent="0.25">
      <c r="A1003" s="2">
        <v>41311</v>
      </c>
      <c r="B1003" s="3">
        <v>4.5430999999999999</v>
      </c>
      <c r="C1003" s="65">
        <v>41325</v>
      </c>
      <c r="D1003" s="1">
        <v>3.2650000000000001</v>
      </c>
    </row>
    <row r="1004" spans="1:4" x14ac:dyDescent="0.25">
      <c r="A1004" s="2">
        <v>41312</v>
      </c>
      <c r="B1004" s="3">
        <v>4.5770999999999997</v>
      </c>
      <c r="C1004" s="65">
        <v>41326</v>
      </c>
      <c r="D1004" s="1">
        <v>3.3706999999999998</v>
      </c>
    </row>
    <row r="1005" spans="1:4" x14ac:dyDescent="0.25">
      <c r="A1005" s="2">
        <v>41313</v>
      </c>
      <c r="B1005" s="3">
        <v>4.5206999999999997</v>
      </c>
      <c r="C1005" s="65">
        <v>41327</v>
      </c>
      <c r="D1005" s="1">
        <v>3.3241999999999998</v>
      </c>
    </row>
    <row r="1006" spans="1:4" x14ac:dyDescent="0.25">
      <c r="A1006" s="2">
        <v>41316</v>
      </c>
      <c r="B1006" s="3">
        <v>4.5339999999999998</v>
      </c>
      <c r="C1006" s="65">
        <v>41330</v>
      </c>
      <c r="D1006" s="1">
        <v>3.3001</v>
      </c>
    </row>
    <row r="1007" spans="1:4" x14ac:dyDescent="0.25">
      <c r="A1007" s="2">
        <v>41317</v>
      </c>
      <c r="B1007" s="3">
        <v>4.4890999999999996</v>
      </c>
      <c r="C1007" s="65">
        <v>41331</v>
      </c>
      <c r="D1007" s="1">
        <v>3.4698000000000002</v>
      </c>
    </row>
    <row r="1008" spans="1:4" x14ac:dyDescent="0.25">
      <c r="A1008" s="2">
        <v>41318</v>
      </c>
      <c r="B1008" s="3">
        <v>4.4755000000000003</v>
      </c>
      <c r="C1008" s="65">
        <v>41332</v>
      </c>
      <c r="D1008" s="1">
        <v>3.4095</v>
      </c>
    </row>
    <row r="1009" spans="1:4" x14ac:dyDescent="0.25">
      <c r="A1009" s="2">
        <v>41319</v>
      </c>
      <c r="B1009" s="3">
        <v>4.5121000000000002</v>
      </c>
      <c r="C1009" s="65">
        <v>41333</v>
      </c>
      <c r="D1009" s="1">
        <v>3.3894000000000002</v>
      </c>
    </row>
    <row r="1010" spans="1:4" x14ac:dyDescent="0.25">
      <c r="A1010" s="2">
        <v>41320</v>
      </c>
      <c r="B1010" s="3">
        <v>4.5466999999999995</v>
      </c>
      <c r="C1010" s="65">
        <v>41334</v>
      </c>
      <c r="D1010" s="1">
        <v>3.4424999999999999</v>
      </c>
    </row>
    <row r="1011" spans="1:4" x14ac:dyDescent="0.25">
      <c r="A1011" s="2">
        <v>41323</v>
      </c>
      <c r="B1011" s="3">
        <v>4.5442999999999998</v>
      </c>
      <c r="C1011" s="65">
        <v>41337</v>
      </c>
      <c r="D1011" s="1">
        <v>3.472</v>
      </c>
    </row>
    <row r="1012" spans="1:4" x14ac:dyDescent="0.25">
      <c r="A1012" s="2">
        <v>41324</v>
      </c>
      <c r="B1012" s="3">
        <v>4.4663000000000004</v>
      </c>
      <c r="C1012" s="65">
        <v>41338</v>
      </c>
      <c r="D1012" s="1">
        <v>3.3780999999999999</v>
      </c>
    </row>
    <row r="1013" spans="1:4" x14ac:dyDescent="0.25">
      <c r="A1013" s="2">
        <v>41325</v>
      </c>
      <c r="B1013" s="3">
        <v>4.5034999999999998</v>
      </c>
      <c r="C1013" s="65">
        <v>41339</v>
      </c>
      <c r="D1013" s="1">
        <v>3.3940000000000001</v>
      </c>
    </row>
    <row r="1014" spans="1:4" x14ac:dyDescent="0.25">
      <c r="A1014" s="2">
        <v>41326</v>
      </c>
      <c r="B1014" s="3">
        <v>4.6093000000000002</v>
      </c>
      <c r="C1014" s="65">
        <v>41340</v>
      </c>
      <c r="D1014" s="1">
        <v>3.3839000000000001</v>
      </c>
    </row>
    <row r="1015" spans="1:4" x14ac:dyDescent="0.25">
      <c r="A1015" s="2">
        <v>41327</v>
      </c>
      <c r="B1015" s="3">
        <v>4.5210999999999997</v>
      </c>
      <c r="C1015" s="65">
        <v>41341</v>
      </c>
      <c r="D1015" s="1">
        <v>3.3302</v>
      </c>
    </row>
    <row r="1016" spans="1:4" x14ac:dyDescent="0.25">
      <c r="A1016" s="2">
        <v>41330</v>
      </c>
      <c r="B1016" s="3">
        <v>4.484</v>
      </c>
      <c r="C1016" s="65">
        <v>41344</v>
      </c>
      <c r="D1016" s="1">
        <v>3.3534000000000002</v>
      </c>
    </row>
    <row r="1017" spans="1:4" x14ac:dyDescent="0.25">
      <c r="A1017" s="2">
        <v>41331</v>
      </c>
      <c r="B1017" s="3">
        <v>4.6258999999999997</v>
      </c>
      <c r="C1017" s="65">
        <v>41345</v>
      </c>
      <c r="D1017" s="1">
        <v>3.3675999999999999</v>
      </c>
    </row>
    <row r="1018" spans="1:4" x14ac:dyDescent="0.25">
      <c r="A1018" s="2">
        <v>41332</v>
      </c>
      <c r="B1018" s="3">
        <v>4.5526</v>
      </c>
      <c r="C1018" s="65">
        <v>41346</v>
      </c>
      <c r="D1018" s="1">
        <v>3.4272</v>
      </c>
    </row>
    <row r="1019" spans="1:4" x14ac:dyDescent="0.25">
      <c r="A1019" s="2">
        <v>41333</v>
      </c>
      <c r="B1019" s="3">
        <v>4.5151000000000003</v>
      </c>
      <c r="C1019" s="65">
        <v>41347</v>
      </c>
      <c r="D1019" s="1">
        <v>3.3452999999999999</v>
      </c>
    </row>
    <row r="1020" spans="1:4" x14ac:dyDescent="0.25">
      <c r="A1020" s="2">
        <v>41334</v>
      </c>
      <c r="B1020" s="3">
        <v>4.5441000000000003</v>
      </c>
      <c r="C1020" s="65">
        <v>41348</v>
      </c>
      <c r="D1020" s="1">
        <v>3.3597999999999999</v>
      </c>
    </row>
    <row r="1021" spans="1:4" x14ac:dyDescent="0.25">
      <c r="A1021" s="2">
        <v>41337</v>
      </c>
      <c r="B1021" s="3">
        <v>4.5388999999999999</v>
      </c>
      <c r="C1021" s="65">
        <v>41351</v>
      </c>
      <c r="D1021" s="1">
        <v>3.3980000000000001</v>
      </c>
    </row>
    <row r="1022" spans="1:4" x14ac:dyDescent="0.25">
      <c r="A1022" s="2">
        <v>41338</v>
      </c>
      <c r="B1022" s="3">
        <v>4.4318999999999997</v>
      </c>
      <c r="C1022" s="65">
        <v>41352</v>
      </c>
      <c r="D1022" s="1">
        <v>3.4529999999999998</v>
      </c>
    </row>
    <row r="1023" spans="1:4" x14ac:dyDescent="0.25">
      <c r="A1023" s="2">
        <v>41339</v>
      </c>
      <c r="B1023" s="3">
        <v>4.4371</v>
      </c>
      <c r="C1023" s="65">
        <v>41353</v>
      </c>
      <c r="D1023" s="1">
        <v>3.3784999999999998</v>
      </c>
    </row>
    <row r="1024" spans="1:4" x14ac:dyDescent="0.25">
      <c r="A1024" s="2">
        <v>41340</v>
      </c>
      <c r="B1024" s="3">
        <v>4.4189999999999996</v>
      </c>
      <c r="C1024" s="65">
        <v>41354</v>
      </c>
      <c r="D1024" s="1">
        <v>3.3955000000000002</v>
      </c>
    </row>
    <row r="1025" spans="1:4" x14ac:dyDescent="0.25">
      <c r="A1025" s="2">
        <v>41341</v>
      </c>
      <c r="B1025" s="3">
        <v>4.3575999999999997</v>
      </c>
      <c r="C1025" s="65">
        <v>41355</v>
      </c>
      <c r="D1025" s="1">
        <v>3.3723000000000001</v>
      </c>
    </row>
    <row r="1026" spans="1:4" x14ac:dyDescent="0.25">
      <c r="A1026" s="2">
        <v>41344</v>
      </c>
      <c r="B1026" s="3">
        <v>4.3737000000000004</v>
      </c>
      <c r="C1026" s="65">
        <v>41358</v>
      </c>
      <c r="D1026" s="1">
        <v>3.4588000000000001</v>
      </c>
    </row>
    <row r="1027" spans="1:4" x14ac:dyDescent="0.25">
      <c r="A1027" s="2">
        <v>41345</v>
      </c>
      <c r="B1027" s="3">
        <v>4.3848000000000003</v>
      </c>
      <c r="C1027" s="65">
        <v>41359</v>
      </c>
      <c r="D1027" s="1">
        <v>3.4919000000000002</v>
      </c>
    </row>
    <row r="1028" spans="1:4" x14ac:dyDescent="0.25">
      <c r="A1028" s="2">
        <v>41346</v>
      </c>
      <c r="B1028" s="3">
        <v>4.3963000000000001</v>
      </c>
      <c r="C1028" s="65">
        <v>41360</v>
      </c>
      <c r="D1028" s="1">
        <v>3.5242</v>
      </c>
    </row>
    <row r="1029" spans="1:4" x14ac:dyDescent="0.25">
      <c r="A1029" s="2">
        <v>41347</v>
      </c>
      <c r="B1029" s="3">
        <v>4.3323</v>
      </c>
      <c r="C1029" s="65">
        <v>41361</v>
      </c>
      <c r="D1029" s="1">
        <v>3.5276999999999998</v>
      </c>
    </row>
    <row r="1030" spans="1:4" x14ac:dyDescent="0.25">
      <c r="A1030" s="2">
        <v>41348</v>
      </c>
      <c r="B1030" s="3">
        <v>4.3624999999999998</v>
      </c>
      <c r="C1030" s="65">
        <v>41366</v>
      </c>
      <c r="D1030" s="1">
        <v>3.4786000000000001</v>
      </c>
    </row>
    <row r="1031" spans="1:4" x14ac:dyDescent="0.25">
      <c r="A1031" s="2">
        <v>41351</v>
      </c>
      <c r="B1031" s="3">
        <v>4.3429000000000002</v>
      </c>
      <c r="C1031" s="65">
        <v>41367</v>
      </c>
      <c r="D1031" s="1">
        <v>3.5598000000000001</v>
      </c>
    </row>
    <row r="1032" spans="1:4" x14ac:dyDescent="0.25">
      <c r="A1032" s="2">
        <v>41352</v>
      </c>
      <c r="B1032" s="3">
        <v>4.3974000000000002</v>
      </c>
      <c r="C1032" s="65">
        <v>41368</v>
      </c>
      <c r="D1032" s="1">
        <v>3.5707</v>
      </c>
    </row>
    <row r="1033" spans="1:4" x14ac:dyDescent="0.25">
      <c r="A1033" s="2">
        <v>41353</v>
      </c>
      <c r="B1033" s="3">
        <v>4.3373999999999997</v>
      </c>
      <c r="C1033" s="65">
        <v>41369</v>
      </c>
      <c r="D1033" s="1">
        <v>3.5480999999999998</v>
      </c>
    </row>
    <row r="1034" spans="1:4" x14ac:dyDescent="0.25">
      <c r="A1034" s="2">
        <v>41354</v>
      </c>
      <c r="B1034" s="3">
        <v>4.3777999999999997</v>
      </c>
      <c r="C1034" s="65">
        <v>41372</v>
      </c>
      <c r="D1034" s="1">
        <v>3.5497000000000001</v>
      </c>
    </row>
    <row r="1035" spans="1:4" x14ac:dyDescent="0.25">
      <c r="A1035" s="2">
        <v>41355</v>
      </c>
      <c r="B1035" s="3">
        <v>4.3815</v>
      </c>
      <c r="C1035" s="65">
        <v>41373</v>
      </c>
      <c r="D1035" s="1">
        <v>3.5053999999999998</v>
      </c>
    </row>
    <row r="1036" spans="1:4" x14ac:dyDescent="0.25">
      <c r="A1036" s="2">
        <v>41358</v>
      </c>
      <c r="B1036" s="3">
        <v>4.4349999999999996</v>
      </c>
      <c r="C1036" s="65">
        <v>41374</v>
      </c>
      <c r="D1036" s="1">
        <v>3.3970000000000002</v>
      </c>
    </row>
    <row r="1037" spans="1:4" x14ac:dyDescent="0.25">
      <c r="A1037" s="2">
        <v>41359</v>
      </c>
      <c r="B1037" s="3">
        <v>4.4486999999999997</v>
      </c>
      <c r="C1037" s="65">
        <v>41375</v>
      </c>
      <c r="D1037" s="1">
        <v>3.3774999999999999</v>
      </c>
    </row>
    <row r="1038" spans="1:4" x14ac:dyDescent="0.25">
      <c r="A1038" s="2">
        <v>41360</v>
      </c>
      <c r="B1038" s="3">
        <v>4.4974999999999996</v>
      </c>
      <c r="C1038" s="65">
        <v>41376</v>
      </c>
      <c r="D1038" s="1">
        <v>3.4289999999999998</v>
      </c>
    </row>
    <row r="1039" spans="1:4" x14ac:dyDescent="0.25">
      <c r="A1039" s="2">
        <v>41361</v>
      </c>
      <c r="B1039" s="3">
        <v>4.4777000000000005</v>
      </c>
      <c r="C1039" s="65">
        <v>41379</v>
      </c>
      <c r="D1039" s="1">
        <v>3.4622000000000002</v>
      </c>
    </row>
    <row r="1040" spans="1:4" x14ac:dyDescent="0.25">
      <c r="A1040" s="2">
        <v>41366</v>
      </c>
      <c r="B1040" s="3">
        <v>4.3756000000000004</v>
      </c>
      <c r="C1040" s="65">
        <v>41380</v>
      </c>
      <c r="D1040" s="1">
        <v>3.4834999999999998</v>
      </c>
    </row>
    <row r="1041" spans="1:4" x14ac:dyDescent="0.25">
      <c r="A1041" s="2">
        <v>41367</v>
      </c>
      <c r="B1041" s="3">
        <v>4.4432</v>
      </c>
      <c r="C1041" s="65">
        <v>41381</v>
      </c>
      <c r="D1041" s="1">
        <v>3.5084</v>
      </c>
    </row>
    <row r="1042" spans="1:4" x14ac:dyDescent="0.25">
      <c r="A1042" s="2">
        <v>41368</v>
      </c>
      <c r="B1042" s="3">
        <v>4.4729999999999999</v>
      </c>
      <c r="C1042" s="65">
        <v>41382</v>
      </c>
      <c r="D1042" s="1">
        <v>3.4864999999999999</v>
      </c>
    </row>
    <row r="1043" spans="1:4" x14ac:dyDescent="0.25">
      <c r="A1043" s="2">
        <v>41369</v>
      </c>
      <c r="B1043" s="3">
        <v>4.5355999999999996</v>
      </c>
      <c r="C1043" s="65">
        <v>41383</v>
      </c>
      <c r="D1043" s="1">
        <v>3.4245000000000001</v>
      </c>
    </row>
    <row r="1044" spans="1:4" x14ac:dyDescent="0.25">
      <c r="A1044" s="2">
        <v>41372</v>
      </c>
      <c r="B1044" s="3">
        <v>4.5297000000000001</v>
      </c>
      <c r="C1044" s="65">
        <v>41386</v>
      </c>
      <c r="D1044" s="1">
        <v>3.2799</v>
      </c>
    </row>
    <row r="1045" spans="1:4" x14ac:dyDescent="0.25">
      <c r="A1045" s="2">
        <v>41373</v>
      </c>
      <c r="B1045" s="3">
        <v>4.5194000000000001</v>
      </c>
      <c r="C1045" s="65">
        <v>41387</v>
      </c>
      <c r="D1045" s="1">
        <v>3.1865999999999999</v>
      </c>
    </row>
    <row r="1046" spans="1:4" x14ac:dyDescent="0.25">
      <c r="A1046" s="2">
        <v>41374</v>
      </c>
      <c r="B1046" s="3">
        <v>4.4065000000000003</v>
      </c>
      <c r="C1046" s="65">
        <v>41388</v>
      </c>
      <c r="D1046" s="1">
        <v>3.1726000000000001</v>
      </c>
    </row>
    <row r="1047" spans="1:4" x14ac:dyDescent="0.25">
      <c r="A1047" s="2">
        <v>41375</v>
      </c>
      <c r="B1047" s="3">
        <v>4.3856000000000002</v>
      </c>
      <c r="C1047" s="65">
        <v>41389</v>
      </c>
      <c r="D1047" s="1">
        <v>3.1562000000000001</v>
      </c>
    </row>
    <row r="1048" spans="1:4" x14ac:dyDescent="0.25">
      <c r="A1048" s="2">
        <v>41376</v>
      </c>
      <c r="B1048" s="3">
        <v>4.4080000000000004</v>
      </c>
      <c r="C1048" s="65">
        <v>41390</v>
      </c>
      <c r="D1048" s="1">
        <v>3.1722999999999999</v>
      </c>
    </row>
    <row r="1049" spans="1:4" x14ac:dyDescent="0.25">
      <c r="A1049" s="2">
        <v>41379</v>
      </c>
      <c r="B1049" s="3">
        <v>4.4226999999999999</v>
      </c>
      <c r="C1049" s="65">
        <v>41393</v>
      </c>
      <c r="D1049" s="1">
        <v>3.1040000000000001</v>
      </c>
    </row>
    <row r="1050" spans="1:4" x14ac:dyDescent="0.25">
      <c r="A1050" s="2">
        <v>41380</v>
      </c>
      <c r="B1050" s="3">
        <v>4.4489000000000001</v>
      </c>
      <c r="C1050" s="65">
        <v>41394</v>
      </c>
      <c r="D1050" s="1">
        <v>3.1339999999999999</v>
      </c>
    </row>
    <row r="1051" spans="1:4" x14ac:dyDescent="0.25">
      <c r="A1051" s="2">
        <v>41381</v>
      </c>
      <c r="B1051" s="3">
        <v>4.5461</v>
      </c>
      <c r="C1051" s="65">
        <v>41396</v>
      </c>
      <c r="D1051" s="1">
        <v>3.1375000000000002</v>
      </c>
    </row>
    <row r="1052" spans="1:4" x14ac:dyDescent="0.25">
      <c r="A1052" s="2">
        <v>41382</v>
      </c>
      <c r="B1052" s="3">
        <v>4.5425000000000004</v>
      </c>
      <c r="C1052" s="65">
        <v>41397</v>
      </c>
      <c r="D1052" s="1">
        <v>3.1052</v>
      </c>
    </row>
    <row r="1053" spans="1:4" x14ac:dyDescent="0.25">
      <c r="A1053" s="2">
        <v>41383</v>
      </c>
      <c r="B1053" s="3">
        <v>4.5077999999999996</v>
      </c>
      <c r="C1053" s="65">
        <v>41400</v>
      </c>
      <c r="D1053" s="1">
        <v>3.1162000000000001</v>
      </c>
    </row>
    <row r="1054" spans="1:4" x14ac:dyDescent="0.25">
      <c r="A1054" s="2">
        <v>41386</v>
      </c>
      <c r="B1054" s="3">
        <v>4.4931000000000001</v>
      </c>
      <c r="C1054" s="65">
        <v>41401</v>
      </c>
      <c r="D1054" s="1">
        <v>3.0691000000000002</v>
      </c>
    </row>
    <row r="1055" spans="1:4" x14ac:dyDescent="0.25">
      <c r="A1055" s="2">
        <v>41387</v>
      </c>
      <c r="B1055" s="3">
        <v>4.3593999999999999</v>
      </c>
      <c r="C1055" s="65">
        <v>41402</v>
      </c>
      <c r="D1055" s="1">
        <v>3.0453000000000001</v>
      </c>
    </row>
    <row r="1056" spans="1:4" x14ac:dyDescent="0.25">
      <c r="A1056" s="2">
        <v>41388</v>
      </c>
      <c r="B1056" s="3">
        <v>4.2961999999999998</v>
      </c>
      <c r="C1056" s="65">
        <v>41403</v>
      </c>
      <c r="D1056" s="1">
        <v>3.0747</v>
      </c>
    </row>
    <row r="1057" spans="1:4" x14ac:dyDescent="0.25">
      <c r="A1057" s="2">
        <v>41389</v>
      </c>
      <c r="B1057" s="3">
        <v>4.2923999999999998</v>
      </c>
      <c r="C1057" s="65">
        <v>41404</v>
      </c>
      <c r="D1057" s="1">
        <v>3.0403000000000002</v>
      </c>
    </row>
    <row r="1058" spans="1:4" x14ac:dyDescent="0.25">
      <c r="A1058" s="2">
        <v>41390</v>
      </c>
      <c r="B1058" s="3">
        <v>4.3624999999999998</v>
      </c>
      <c r="C1058" s="65">
        <v>41407</v>
      </c>
      <c r="D1058" s="1">
        <v>3.0602999999999998</v>
      </c>
    </row>
    <row r="1059" spans="1:4" x14ac:dyDescent="0.25">
      <c r="A1059" s="2">
        <v>41393</v>
      </c>
      <c r="B1059" s="3">
        <v>4.3262</v>
      </c>
      <c r="C1059" s="65">
        <v>41408</v>
      </c>
      <c r="D1059" s="1">
        <v>3.0602</v>
      </c>
    </row>
    <row r="1060" spans="1:4" x14ac:dyDescent="0.25">
      <c r="A1060" s="2">
        <v>41394</v>
      </c>
      <c r="B1060" s="3">
        <v>4.3347999999999995</v>
      </c>
      <c r="C1060" s="65">
        <v>41409</v>
      </c>
      <c r="D1060" s="1">
        <v>3.0291000000000001</v>
      </c>
    </row>
    <row r="1061" spans="1:4" x14ac:dyDescent="0.25">
      <c r="A1061" s="2">
        <v>41395</v>
      </c>
      <c r="B1061" s="3">
        <v>4.3352000000000004</v>
      </c>
      <c r="C1061" s="65">
        <v>41410</v>
      </c>
      <c r="D1061" s="1">
        <v>3.0203000000000002</v>
      </c>
    </row>
    <row r="1062" spans="1:4" x14ac:dyDescent="0.25">
      <c r="A1062" s="2">
        <v>41396</v>
      </c>
      <c r="B1062" s="3">
        <v>4.3364000000000003</v>
      </c>
      <c r="C1062" s="65">
        <v>41411</v>
      </c>
      <c r="D1062" s="1">
        <v>3.0099</v>
      </c>
    </row>
    <row r="1063" spans="1:4" x14ac:dyDescent="0.25">
      <c r="A1063" s="2">
        <v>41397</v>
      </c>
      <c r="B1063" s="3">
        <v>4.2506000000000004</v>
      </c>
      <c r="C1063" s="65">
        <v>41414</v>
      </c>
      <c r="D1063" s="1">
        <v>3.3037000000000001</v>
      </c>
    </row>
    <row r="1064" spans="1:4" x14ac:dyDescent="0.25">
      <c r="A1064" s="2">
        <v>41400</v>
      </c>
      <c r="B1064" s="3">
        <v>4.2830000000000004</v>
      </c>
      <c r="C1064" s="65">
        <v>41415</v>
      </c>
      <c r="D1064" s="1">
        <v>3.3119999999999998</v>
      </c>
    </row>
    <row r="1065" spans="1:4" x14ac:dyDescent="0.25">
      <c r="A1065" s="2">
        <v>41401</v>
      </c>
      <c r="B1065" s="3">
        <v>4.2586000000000004</v>
      </c>
      <c r="C1065" s="65">
        <v>41416</v>
      </c>
      <c r="D1065" s="1">
        <v>3.2896999999999998</v>
      </c>
    </row>
    <row r="1066" spans="1:4" x14ac:dyDescent="0.25">
      <c r="A1066" s="2">
        <v>41402</v>
      </c>
      <c r="B1066" s="3">
        <v>4.2373000000000003</v>
      </c>
      <c r="C1066" s="65">
        <v>41417</v>
      </c>
      <c r="D1066" s="1">
        <v>3.3542999999999998</v>
      </c>
    </row>
    <row r="1067" spans="1:4" x14ac:dyDescent="0.25">
      <c r="A1067" s="2">
        <v>41403</v>
      </c>
      <c r="B1067" s="3">
        <v>4.2671000000000001</v>
      </c>
      <c r="C1067" s="65">
        <v>41418</v>
      </c>
      <c r="D1067" s="1">
        <v>3.3763999999999998</v>
      </c>
    </row>
    <row r="1068" spans="1:4" x14ac:dyDescent="0.25">
      <c r="A1068" s="2">
        <v>41404</v>
      </c>
      <c r="B1068" s="3">
        <v>4.2309000000000001</v>
      </c>
      <c r="C1068" s="65">
        <v>41421</v>
      </c>
      <c r="D1068" s="1">
        <v>3.3247999999999998</v>
      </c>
    </row>
    <row r="1069" spans="1:4" x14ac:dyDescent="0.25">
      <c r="A1069" s="2">
        <v>41407</v>
      </c>
      <c r="B1069" s="3">
        <v>4.2428999999999997</v>
      </c>
      <c r="C1069" s="65">
        <v>41422</v>
      </c>
      <c r="D1069" s="1">
        <v>3.2564000000000002</v>
      </c>
    </row>
    <row r="1070" spans="1:4" x14ac:dyDescent="0.25">
      <c r="A1070" s="2">
        <v>41408</v>
      </c>
      <c r="B1070" s="3">
        <v>4.2176</v>
      </c>
      <c r="C1070" s="65">
        <v>41423</v>
      </c>
      <c r="D1070" s="1">
        <v>3.3098000000000001</v>
      </c>
    </row>
    <row r="1071" spans="1:4" x14ac:dyDescent="0.25">
      <c r="A1071" s="2">
        <v>41409</v>
      </c>
      <c r="B1071" s="3">
        <v>4.2004999999999999</v>
      </c>
      <c r="C1071" s="65">
        <v>41424</v>
      </c>
      <c r="D1071" s="1">
        <v>3.2881</v>
      </c>
    </row>
    <row r="1072" spans="1:4" x14ac:dyDescent="0.25">
      <c r="A1072" s="2">
        <v>41410</v>
      </c>
      <c r="B1072" s="3">
        <v>4.2091000000000003</v>
      </c>
      <c r="C1072" s="65">
        <v>41425</v>
      </c>
      <c r="D1072" s="1">
        <v>3.3142</v>
      </c>
    </row>
    <row r="1073" spans="1:4" x14ac:dyDescent="0.25">
      <c r="A1073" s="2">
        <v>41411</v>
      </c>
      <c r="B1073" s="3">
        <v>4.1921999999999997</v>
      </c>
      <c r="C1073" s="65">
        <v>41428</v>
      </c>
      <c r="D1073" s="1">
        <v>3.3445</v>
      </c>
    </row>
    <row r="1074" spans="1:4" x14ac:dyDescent="0.25">
      <c r="A1074" s="2">
        <v>41414</v>
      </c>
      <c r="B1074" s="3">
        <v>4.2142999999999997</v>
      </c>
      <c r="C1074" s="65">
        <v>41429</v>
      </c>
      <c r="D1074" s="1">
        <v>3.3294000000000001</v>
      </c>
    </row>
    <row r="1075" spans="1:4" x14ac:dyDescent="0.25">
      <c r="A1075" s="2">
        <v>41415</v>
      </c>
      <c r="B1075" s="3">
        <v>4.2371999999999996</v>
      </c>
      <c r="C1075" s="65">
        <v>41430</v>
      </c>
      <c r="D1075" s="1">
        <v>3.3616000000000001</v>
      </c>
    </row>
    <row r="1076" spans="1:4" x14ac:dyDescent="0.25">
      <c r="A1076" s="2">
        <v>41416</v>
      </c>
      <c r="B1076" s="3">
        <v>4.2172999999999998</v>
      </c>
      <c r="C1076" s="65">
        <v>41431</v>
      </c>
      <c r="D1076" s="1">
        <v>3.4523999999999999</v>
      </c>
    </row>
    <row r="1077" spans="1:4" x14ac:dyDescent="0.25">
      <c r="A1077" s="2">
        <v>41417</v>
      </c>
      <c r="B1077" s="3">
        <v>4.1116999999999999</v>
      </c>
      <c r="C1077" s="65">
        <v>41432</v>
      </c>
      <c r="D1077" s="1">
        <v>3.4180999999999999</v>
      </c>
    </row>
    <row r="1078" spans="1:4" x14ac:dyDescent="0.25">
      <c r="A1078" s="2">
        <v>41418</v>
      </c>
      <c r="B1078" s="3">
        <v>4.1109</v>
      </c>
      <c r="C1078" s="65">
        <v>41435</v>
      </c>
      <c r="D1078" s="1">
        <v>3.4459</v>
      </c>
    </row>
    <row r="1079" spans="1:4" x14ac:dyDescent="0.25">
      <c r="A1079" s="2">
        <v>41421</v>
      </c>
      <c r="B1079" s="3">
        <v>4.0656999999999996</v>
      </c>
      <c r="C1079" s="65">
        <v>41436</v>
      </c>
      <c r="D1079" s="1">
        <v>3.5028999999999999</v>
      </c>
    </row>
    <row r="1080" spans="1:4" x14ac:dyDescent="0.25">
      <c r="A1080" s="2">
        <v>41422</v>
      </c>
      <c r="B1080" s="3">
        <v>4.0071000000000003</v>
      </c>
      <c r="C1080" s="65">
        <v>41437</v>
      </c>
      <c r="D1080" s="1">
        <v>3.5602999999999998</v>
      </c>
    </row>
    <row r="1081" spans="1:4" x14ac:dyDescent="0.25">
      <c r="A1081" s="2">
        <v>41423</v>
      </c>
      <c r="B1081" s="3">
        <v>4.0989000000000004</v>
      </c>
      <c r="C1081" s="65">
        <v>41438</v>
      </c>
      <c r="D1081" s="1">
        <v>3.5399000000000003</v>
      </c>
    </row>
    <row r="1082" spans="1:4" x14ac:dyDescent="0.25">
      <c r="A1082" s="2">
        <v>41424</v>
      </c>
      <c r="B1082" s="3">
        <v>4.0807000000000002</v>
      </c>
      <c r="C1082" s="65">
        <v>41439</v>
      </c>
      <c r="D1082" s="1">
        <v>3.5319000000000003</v>
      </c>
    </row>
    <row r="1083" spans="1:4" x14ac:dyDescent="0.25">
      <c r="A1083" s="2">
        <v>41425</v>
      </c>
      <c r="B1083" s="3">
        <v>4.1284999999999998</v>
      </c>
      <c r="C1083" s="65">
        <v>41442</v>
      </c>
      <c r="D1083" s="1">
        <v>3.5228999999999999</v>
      </c>
    </row>
    <row r="1084" spans="1:4" x14ac:dyDescent="0.25">
      <c r="A1084" s="2">
        <v>41428</v>
      </c>
      <c r="B1084" s="3">
        <v>4.1614000000000004</v>
      </c>
      <c r="C1084" s="65">
        <v>41443</v>
      </c>
      <c r="D1084" s="1">
        <v>3.5144000000000002</v>
      </c>
    </row>
    <row r="1085" spans="1:4" x14ac:dyDescent="0.25">
      <c r="A1085" s="2">
        <v>41429</v>
      </c>
      <c r="B1085" s="3">
        <v>4.1494</v>
      </c>
      <c r="C1085" s="65">
        <v>41444</v>
      </c>
      <c r="D1085" s="1">
        <v>3.5478000000000001</v>
      </c>
    </row>
    <row r="1086" spans="1:4" x14ac:dyDescent="0.25">
      <c r="A1086" s="2">
        <v>41430</v>
      </c>
      <c r="B1086" s="3">
        <v>4.2260999999999997</v>
      </c>
      <c r="C1086" s="65">
        <v>41445</v>
      </c>
      <c r="D1086" s="1">
        <v>3.661</v>
      </c>
    </row>
    <row r="1087" spans="1:4" x14ac:dyDescent="0.25">
      <c r="A1087" s="2">
        <v>41431</v>
      </c>
      <c r="B1087" s="3">
        <v>4.2062999999999997</v>
      </c>
      <c r="C1087" s="65">
        <v>41446</v>
      </c>
      <c r="D1087" s="1">
        <v>3.7317</v>
      </c>
    </row>
    <row r="1088" spans="1:4" x14ac:dyDescent="0.25">
      <c r="A1088" s="2">
        <v>41432</v>
      </c>
      <c r="B1088" s="3">
        <v>4.1323999999999996</v>
      </c>
      <c r="C1088" s="65">
        <v>41449</v>
      </c>
      <c r="D1088" s="1">
        <v>3.7589999999999999</v>
      </c>
    </row>
    <row r="1089" spans="1:4" x14ac:dyDescent="0.25">
      <c r="A1089" s="2">
        <v>41435</v>
      </c>
      <c r="B1089" s="3">
        <v>4.1395</v>
      </c>
      <c r="C1089" s="65">
        <v>41450</v>
      </c>
      <c r="D1089" s="1">
        <v>3.7728999999999999</v>
      </c>
    </row>
    <row r="1090" spans="1:4" x14ac:dyDescent="0.25">
      <c r="A1090" s="2">
        <v>41436</v>
      </c>
      <c r="B1090" s="3">
        <v>4.1954000000000002</v>
      </c>
      <c r="C1090" s="65">
        <v>41451</v>
      </c>
      <c r="D1090" s="1">
        <v>3.6977000000000002</v>
      </c>
    </row>
    <row r="1091" spans="1:4" x14ac:dyDescent="0.25">
      <c r="A1091" s="2">
        <v>41437</v>
      </c>
      <c r="B1091" s="3">
        <v>4.2215999999999996</v>
      </c>
      <c r="C1091" s="65">
        <v>41452</v>
      </c>
      <c r="D1091" s="1">
        <v>3.6814999999999998</v>
      </c>
    </row>
    <row r="1092" spans="1:4" x14ac:dyDescent="0.25">
      <c r="A1092" s="2">
        <v>41438</v>
      </c>
      <c r="B1092" s="3">
        <v>4.2293000000000003</v>
      </c>
      <c r="C1092" s="65">
        <v>41453</v>
      </c>
      <c r="D1092" s="1">
        <v>3.7277</v>
      </c>
    </row>
    <row r="1093" spans="1:4" x14ac:dyDescent="0.25">
      <c r="A1093" s="2">
        <v>41439</v>
      </c>
      <c r="B1093" s="3">
        <v>4.2203999999999997</v>
      </c>
      <c r="C1093" s="65">
        <v>41456</v>
      </c>
      <c r="D1093" s="1">
        <v>3.6745999999999999</v>
      </c>
    </row>
    <row r="1094" spans="1:4" x14ac:dyDescent="0.25">
      <c r="A1094" s="2">
        <v>41442</v>
      </c>
      <c r="B1094" s="3">
        <v>4.1650999999999998</v>
      </c>
      <c r="C1094" s="65">
        <v>41457</v>
      </c>
      <c r="D1094" s="1">
        <v>3.6970000000000001</v>
      </c>
    </row>
    <row r="1095" spans="1:4" x14ac:dyDescent="0.25">
      <c r="A1095" s="2">
        <v>41443</v>
      </c>
      <c r="B1095" s="3">
        <v>4.1677999999999997</v>
      </c>
      <c r="C1095" s="65">
        <v>41458</v>
      </c>
      <c r="D1095" s="1">
        <v>3.7170999999999998</v>
      </c>
    </row>
    <row r="1096" spans="1:4" x14ac:dyDescent="0.25">
      <c r="A1096" s="2">
        <v>41444</v>
      </c>
      <c r="B1096" s="3">
        <v>4.1942000000000004</v>
      </c>
      <c r="C1096" s="65">
        <v>41459</v>
      </c>
      <c r="D1096" s="1">
        <v>3.5777999999999999</v>
      </c>
    </row>
    <row r="1097" spans="1:4" x14ac:dyDescent="0.25">
      <c r="A1097" s="2">
        <v>41445</v>
      </c>
      <c r="B1097" s="3">
        <v>4.3250999999999999</v>
      </c>
      <c r="C1097" s="65">
        <v>41460</v>
      </c>
      <c r="D1097" s="1">
        <v>3.641</v>
      </c>
    </row>
    <row r="1098" spans="1:4" x14ac:dyDescent="0.25">
      <c r="A1098" s="2">
        <v>41446</v>
      </c>
      <c r="B1098" s="3">
        <v>4.3878000000000004</v>
      </c>
      <c r="C1098" s="65">
        <v>41463</v>
      </c>
      <c r="D1098" s="1">
        <v>3.5796999999999999</v>
      </c>
    </row>
    <row r="1099" spans="1:4" x14ac:dyDescent="0.25">
      <c r="A1099" s="2">
        <v>41449</v>
      </c>
      <c r="B1099" s="3">
        <v>4.4592000000000001</v>
      </c>
      <c r="C1099" s="65">
        <v>41464</v>
      </c>
      <c r="D1099" s="1">
        <v>3.5817999999999999</v>
      </c>
    </row>
    <row r="1100" spans="1:4" x14ac:dyDescent="0.25">
      <c r="A1100" s="2">
        <v>41450</v>
      </c>
      <c r="B1100" s="3">
        <v>4.4039000000000001</v>
      </c>
      <c r="C1100" s="65">
        <v>41465</v>
      </c>
      <c r="D1100" s="1">
        <v>3.6076000000000001</v>
      </c>
    </row>
    <row r="1101" spans="1:4" x14ac:dyDescent="0.25">
      <c r="A1101" s="2">
        <v>41451</v>
      </c>
      <c r="B1101" s="3">
        <v>4.3033000000000001</v>
      </c>
      <c r="C1101" s="65">
        <v>41466</v>
      </c>
      <c r="D1101" s="1">
        <v>3.6076000000000001</v>
      </c>
    </row>
    <row r="1102" spans="1:4" x14ac:dyDescent="0.25">
      <c r="A1102" s="2">
        <v>41452</v>
      </c>
      <c r="B1102" s="3">
        <v>4.2752999999999997</v>
      </c>
      <c r="C1102" s="65">
        <v>41467</v>
      </c>
      <c r="D1102" s="1">
        <v>3.6653000000000002</v>
      </c>
    </row>
    <row r="1103" spans="1:4" x14ac:dyDescent="0.25">
      <c r="A1103" s="2">
        <v>41453</v>
      </c>
      <c r="B1103" s="3">
        <v>4.3037000000000001</v>
      </c>
      <c r="C1103" s="65">
        <v>41470</v>
      </c>
      <c r="D1103" s="1">
        <v>3.6261000000000001</v>
      </c>
    </row>
    <row r="1104" spans="1:4" x14ac:dyDescent="0.25">
      <c r="A1104" s="2">
        <v>41456</v>
      </c>
      <c r="B1104" s="3">
        <v>4.2708000000000004</v>
      </c>
      <c r="C1104" s="65">
        <v>41471</v>
      </c>
      <c r="D1104" s="1">
        <v>3.6419000000000001</v>
      </c>
    </row>
    <row r="1105" spans="1:4" x14ac:dyDescent="0.25">
      <c r="A1105" s="2">
        <v>41457</v>
      </c>
      <c r="B1105" s="3">
        <v>4.3026999999999997</v>
      </c>
      <c r="C1105" s="65">
        <v>41472</v>
      </c>
      <c r="D1105" s="1">
        <v>3.6036000000000001</v>
      </c>
    </row>
    <row r="1106" spans="1:4" x14ac:dyDescent="0.25">
      <c r="A1106" s="2">
        <v>41458</v>
      </c>
      <c r="B1106" s="3">
        <v>4.3472999999999997</v>
      </c>
      <c r="C1106" s="65">
        <v>41473</v>
      </c>
      <c r="D1106" s="1">
        <v>3.5230999999999999</v>
      </c>
    </row>
    <row r="1107" spans="1:4" x14ac:dyDescent="0.25">
      <c r="A1107" s="2">
        <v>41459</v>
      </c>
      <c r="B1107" s="3">
        <v>4.2228000000000003</v>
      </c>
      <c r="C1107" s="65">
        <v>41474</v>
      </c>
      <c r="D1107" s="1">
        <v>3.5076000000000001</v>
      </c>
    </row>
    <row r="1108" spans="1:4" x14ac:dyDescent="0.25">
      <c r="A1108" s="2">
        <v>41460</v>
      </c>
      <c r="B1108" s="3">
        <v>4.3049999999999997</v>
      </c>
      <c r="C1108" s="65">
        <v>41477</v>
      </c>
      <c r="D1108" s="1">
        <v>3.484</v>
      </c>
    </row>
    <row r="1109" spans="1:4" x14ac:dyDescent="0.25">
      <c r="A1109" s="2">
        <v>41463</v>
      </c>
      <c r="B1109" s="3">
        <v>4.2159000000000004</v>
      </c>
      <c r="C1109" s="65">
        <v>41478</v>
      </c>
      <c r="D1109" s="1">
        <v>3.4828999999999999</v>
      </c>
    </row>
    <row r="1110" spans="1:4" x14ac:dyDescent="0.25">
      <c r="A1110" s="2">
        <v>41464</v>
      </c>
      <c r="B1110" s="3">
        <v>4.2000999999999999</v>
      </c>
      <c r="C1110" s="65">
        <v>41479</v>
      </c>
      <c r="D1110" s="1">
        <v>3.4397000000000002</v>
      </c>
    </row>
    <row r="1111" spans="1:4" x14ac:dyDescent="0.25">
      <c r="A1111" s="2">
        <v>41465</v>
      </c>
      <c r="B1111" s="3">
        <v>4.2070999999999996</v>
      </c>
      <c r="C1111" s="65">
        <v>41480</v>
      </c>
      <c r="D1111" s="1">
        <v>3.4419</v>
      </c>
    </row>
    <row r="1112" spans="1:4" x14ac:dyDescent="0.25">
      <c r="A1112" s="2">
        <v>41466</v>
      </c>
      <c r="B1112" s="3">
        <v>4.1731999999999996</v>
      </c>
      <c r="C1112" s="65">
        <v>41481</v>
      </c>
      <c r="D1112" s="1">
        <v>3.4441000000000002</v>
      </c>
    </row>
    <row r="1113" spans="1:4" x14ac:dyDescent="0.25">
      <c r="A1113" s="2">
        <v>41467</v>
      </c>
      <c r="B1113" s="3">
        <v>4.1832000000000003</v>
      </c>
      <c r="C1113" s="65">
        <v>41484</v>
      </c>
      <c r="D1113" s="1">
        <v>3.4750000000000001</v>
      </c>
    </row>
    <row r="1114" spans="1:4" x14ac:dyDescent="0.25">
      <c r="A1114" s="2">
        <v>41470</v>
      </c>
      <c r="B1114" s="3">
        <v>4.1635</v>
      </c>
      <c r="C1114" s="65">
        <v>41485</v>
      </c>
      <c r="D1114" s="1">
        <v>3.4188999999999998</v>
      </c>
    </row>
    <row r="1115" spans="1:4" x14ac:dyDescent="0.25">
      <c r="A1115" s="2">
        <v>41471</v>
      </c>
      <c r="B1115" s="3">
        <v>4.1963999999999997</v>
      </c>
      <c r="C1115" s="65">
        <v>41486</v>
      </c>
      <c r="D1115" s="1">
        <v>3.4314</v>
      </c>
    </row>
    <row r="1116" spans="1:4" x14ac:dyDescent="0.25">
      <c r="A1116" s="2">
        <v>41472</v>
      </c>
      <c r="B1116" s="3">
        <v>4.1710000000000003</v>
      </c>
      <c r="C1116" s="65">
        <v>41487</v>
      </c>
      <c r="D1116" s="1">
        <v>3.3627000000000002</v>
      </c>
    </row>
    <row r="1117" spans="1:4" x14ac:dyDescent="0.25">
      <c r="A1117" s="2">
        <v>41473</v>
      </c>
      <c r="B1117" s="3">
        <v>4.1154999999999999</v>
      </c>
      <c r="C1117" s="65">
        <v>41488</v>
      </c>
      <c r="D1117" s="1">
        <v>3.3706999999999998</v>
      </c>
    </row>
    <row r="1118" spans="1:4" x14ac:dyDescent="0.25">
      <c r="A1118" s="2">
        <v>41474</v>
      </c>
      <c r="B1118" s="3">
        <v>4.1182999999999996</v>
      </c>
      <c r="C1118" s="65">
        <v>41491</v>
      </c>
      <c r="D1118" s="1">
        <v>3.3750999999999998</v>
      </c>
    </row>
    <row r="1119" spans="1:4" x14ac:dyDescent="0.25">
      <c r="A1119" s="2">
        <v>41477</v>
      </c>
      <c r="B1119" s="3">
        <v>4.1044</v>
      </c>
      <c r="C1119" s="65">
        <v>41492</v>
      </c>
      <c r="D1119" s="1">
        <v>3.3900999999999999</v>
      </c>
    </row>
    <row r="1120" spans="1:4" x14ac:dyDescent="0.25">
      <c r="A1120" s="2">
        <v>41478</v>
      </c>
      <c r="B1120" s="3">
        <v>4.1081000000000003</v>
      </c>
      <c r="C1120" s="65">
        <v>41493</v>
      </c>
      <c r="D1120" s="1">
        <v>3.3589000000000002</v>
      </c>
    </row>
    <row r="1121" spans="1:4" x14ac:dyDescent="0.25">
      <c r="A1121" s="2">
        <v>41479</v>
      </c>
      <c r="B1121" s="3">
        <v>4.0643000000000002</v>
      </c>
      <c r="C1121" s="65">
        <v>41494</v>
      </c>
      <c r="D1121" s="1">
        <v>3.2984999999999998</v>
      </c>
    </row>
    <row r="1122" spans="1:4" x14ac:dyDescent="0.25">
      <c r="A1122" s="2">
        <v>41480</v>
      </c>
      <c r="B1122" s="3">
        <v>4.0819999999999999</v>
      </c>
      <c r="C1122" s="65">
        <v>41495</v>
      </c>
      <c r="D1122" s="1">
        <v>3.2907999999999999</v>
      </c>
    </row>
    <row r="1123" spans="1:4" x14ac:dyDescent="0.25">
      <c r="A1123" s="2">
        <v>41481</v>
      </c>
      <c r="B1123" s="3">
        <v>4.0796000000000001</v>
      </c>
      <c r="C1123" s="65">
        <v>41498</v>
      </c>
      <c r="D1123" s="1">
        <v>3.2763</v>
      </c>
    </row>
    <row r="1124" spans="1:4" x14ac:dyDescent="0.25">
      <c r="A1124" s="2">
        <v>41484</v>
      </c>
      <c r="B1124" s="3">
        <v>4.0799000000000003</v>
      </c>
      <c r="C1124" s="65">
        <v>41499</v>
      </c>
      <c r="D1124" s="1">
        <v>3.2542</v>
      </c>
    </row>
    <row r="1125" spans="1:4" x14ac:dyDescent="0.25">
      <c r="A1125" s="2">
        <v>41485</v>
      </c>
      <c r="B1125" s="3">
        <v>4.0541</v>
      </c>
      <c r="C1125" s="65">
        <v>41500</v>
      </c>
      <c r="D1125" s="1">
        <v>3.2385999999999999</v>
      </c>
    </row>
    <row r="1126" spans="1:4" x14ac:dyDescent="0.25">
      <c r="A1126" s="2">
        <v>41486</v>
      </c>
      <c r="B1126" s="3">
        <v>4.0410000000000004</v>
      </c>
      <c r="C1126" s="65">
        <v>41502</v>
      </c>
      <c r="D1126" s="1">
        <v>3.1993999999999998</v>
      </c>
    </row>
    <row r="1127" spans="1:4" x14ac:dyDescent="0.25">
      <c r="A1127" s="2">
        <v>41487</v>
      </c>
      <c r="B1127" s="3">
        <v>3.9826999999999999</v>
      </c>
      <c r="C1127" s="65">
        <v>41505</v>
      </c>
      <c r="D1127" s="1">
        <v>3.2800000000000002</v>
      </c>
    </row>
    <row r="1128" spans="1:4" x14ac:dyDescent="0.25">
      <c r="A1128" s="2">
        <v>41488</v>
      </c>
      <c r="B1128" s="3">
        <v>3.9794</v>
      </c>
      <c r="C1128" s="65">
        <v>41506</v>
      </c>
      <c r="D1128" s="1">
        <v>3.327</v>
      </c>
    </row>
    <row r="1129" spans="1:4" x14ac:dyDescent="0.25">
      <c r="A1129" s="2">
        <v>41491</v>
      </c>
      <c r="B1129" s="3">
        <v>3.9821</v>
      </c>
      <c r="C1129" s="65">
        <v>41507</v>
      </c>
      <c r="D1129" s="1">
        <v>3.351</v>
      </c>
    </row>
    <row r="1130" spans="1:4" x14ac:dyDescent="0.25">
      <c r="A1130" s="2">
        <v>41492</v>
      </c>
      <c r="B1130" s="3">
        <v>4.0082000000000004</v>
      </c>
      <c r="C1130" s="65">
        <v>41508</v>
      </c>
      <c r="D1130" s="1">
        <v>3.2673999999999999</v>
      </c>
    </row>
    <row r="1131" spans="1:4" x14ac:dyDescent="0.25">
      <c r="A1131" s="2">
        <v>41493</v>
      </c>
      <c r="B1131" s="3">
        <v>4.0053999999999998</v>
      </c>
      <c r="C1131" s="65">
        <v>41509</v>
      </c>
      <c r="D1131" s="1">
        <v>3.2612999999999999</v>
      </c>
    </row>
    <row r="1132" spans="1:4" x14ac:dyDescent="0.25">
      <c r="A1132" s="2">
        <v>41494</v>
      </c>
      <c r="B1132" s="3">
        <v>3.9735</v>
      </c>
      <c r="C1132" s="65">
        <v>41512</v>
      </c>
      <c r="D1132" s="1">
        <v>3.3313000000000001</v>
      </c>
    </row>
    <row r="1133" spans="1:4" x14ac:dyDescent="0.25">
      <c r="A1133" s="2">
        <v>41495</v>
      </c>
      <c r="B1133" s="3">
        <v>3.9611999999999998</v>
      </c>
      <c r="C1133" s="65">
        <v>41513</v>
      </c>
      <c r="D1133" s="1">
        <v>3.4112</v>
      </c>
    </row>
    <row r="1134" spans="1:4" x14ac:dyDescent="0.25">
      <c r="A1134" s="2">
        <v>41498</v>
      </c>
      <c r="B1134" s="3">
        <v>3.9590000000000001</v>
      </c>
      <c r="C1134" s="65">
        <v>41514</v>
      </c>
      <c r="D1134" s="1">
        <v>3.3780000000000001</v>
      </c>
    </row>
    <row r="1135" spans="1:4" x14ac:dyDescent="0.25">
      <c r="A1135" s="2">
        <v>41499</v>
      </c>
      <c r="B1135" s="3">
        <v>3.9388999999999998</v>
      </c>
      <c r="C1135" s="65">
        <v>41515</v>
      </c>
      <c r="D1135" s="1">
        <v>3.3456000000000001</v>
      </c>
    </row>
    <row r="1136" spans="1:4" x14ac:dyDescent="0.25">
      <c r="A1136" s="2">
        <v>41500</v>
      </c>
      <c r="B1136" s="3">
        <v>3.9243999999999999</v>
      </c>
      <c r="C1136" s="65">
        <v>41516</v>
      </c>
      <c r="D1136" s="1">
        <v>3.3902999999999999</v>
      </c>
    </row>
    <row r="1137" spans="1:4" x14ac:dyDescent="0.25">
      <c r="A1137" s="2">
        <v>41501</v>
      </c>
      <c r="B1137" s="3">
        <v>3.9468999999999999</v>
      </c>
      <c r="C1137" s="65">
        <v>41519</v>
      </c>
      <c r="D1137" s="1">
        <v>3.3292000000000002</v>
      </c>
    </row>
    <row r="1138" spans="1:4" x14ac:dyDescent="0.25">
      <c r="A1138" s="2">
        <v>41502</v>
      </c>
      <c r="B1138" s="3">
        <v>3.9214000000000002</v>
      </c>
      <c r="C1138" s="65">
        <v>41520</v>
      </c>
      <c r="D1138" s="1">
        <v>3.3384999999999998</v>
      </c>
    </row>
    <row r="1139" spans="1:4" x14ac:dyDescent="0.25">
      <c r="A1139" s="2">
        <v>41505</v>
      </c>
      <c r="B1139" s="3">
        <v>3.9643999999999999</v>
      </c>
      <c r="C1139" s="65">
        <v>41521</v>
      </c>
      <c r="D1139" s="1">
        <v>3.3841999999999999</v>
      </c>
    </row>
    <row r="1140" spans="1:4" x14ac:dyDescent="0.25">
      <c r="A1140" s="2">
        <v>41506</v>
      </c>
      <c r="B1140" s="3">
        <v>4.0145999999999997</v>
      </c>
      <c r="C1140" s="65">
        <v>41522</v>
      </c>
      <c r="D1140" s="1">
        <v>3.3580000000000001</v>
      </c>
    </row>
    <row r="1141" spans="1:4" x14ac:dyDescent="0.25">
      <c r="A1141" s="2">
        <v>41507</v>
      </c>
      <c r="B1141" s="3">
        <v>4.0339999999999998</v>
      </c>
      <c r="C1141" s="65">
        <v>41523</v>
      </c>
      <c r="D1141" s="1">
        <v>3.3178000000000001</v>
      </c>
    </row>
    <row r="1142" spans="1:4" x14ac:dyDescent="0.25">
      <c r="A1142" s="2">
        <v>41508</v>
      </c>
      <c r="B1142" s="3">
        <v>3.9798999999999998</v>
      </c>
      <c r="C1142" s="65">
        <v>41526</v>
      </c>
      <c r="D1142" s="1">
        <v>3.2797000000000001</v>
      </c>
    </row>
    <row r="1143" spans="1:4" x14ac:dyDescent="0.25">
      <c r="A1143" s="2">
        <v>41509</v>
      </c>
      <c r="B1143" s="3">
        <v>3.9605999999999999</v>
      </c>
      <c r="C1143" s="65">
        <v>41527</v>
      </c>
      <c r="D1143" s="1">
        <v>3.2631000000000001</v>
      </c>
    </row>
    <row r="1144" spans="1:4" x14ac:dyDescent="0.25">
      <c r="A1144" s="2">
        <v>41512</v>
      </c>
      <c r="B1144" s="3">
        <v>3.9670000000000001</v>
      </c>
      <c r="C1144" s="65">
        <v>41528</v>
      </c>
      <c r="D1144" s="1">
        <v>3.2204000000000002</v>
      </c>
    </row>
    <row r="1145" spans="1:4" x14ac:dyDescent="0.25">
      <c r="A1145" s="2">
        <v>41513</v>
      </c>
      <c r="B1145" s="3">
        <v>4.0712000000000002</v>
      </c>
      <c r="C1145" s="65">
        <v>41529</v>
      </c>
      <c r="D1145" s="1">
        <v>3.2277</v>
      </c>
    </row>
    <row r="1146" spans="1:4" x14ac:dyDescent="0.25">
      <c r="A1146" s="2">
        <v>41514</v>
      </c>
      <c r="B1146" s="3">
        <v>4.0811000000000002</v>
      </c>
      <c r="C1146" s="65">
        <v>41530</v>
      </c>
      <c r="D1146" s="1">
        <v>3.2229999999999999</v>
      </c>
    </row>
    <row r="1147" spans="1:4" x14ac:dyDescent="0.25">
      <c r="A1147" s="2">
        <v>41515</v>
      </c>
      <c r="B1147" s="3">
        <v>4.0578000000000003</v>
      </c>
      <c r="C1147" s="65">
        <v>41533</v>
      </c>
      <c r="D1147" s="1">
        <v>3.1879</v>
      </c>
    </row>
    <row r="1148" spans="1:4" x14ac:dyDescent="0.25">
      <c r="A1148" s="2">
        <v>41516</v>
      </c>
      <c r="B1148" s="3">
        <v>4.1128999999999998</v>
      </c>
      <c r="C1148" s="65">
        <v>41534</v>
      </c>
      <c r="D1148" s="1">
        <v>3.1842999999999999</v>
      </c>
    </row>
    <row r="1149" spans="1:4" x14ac:dyDescent="0.25">
      <c r="A1149" s="2">
        <v>41519</v>
      </c>
      <c r="B1149" s="3">
        <v>4.0347</v>
      </c>
      <c r="C1149" s="65">
        <v>41535</v>
      </c>
      <c r="D1149" s="1">
        <v>3.1747999999999998</v>
      </c>
    </row>
    <row r="1150" spans="1:4" x14ac:dyDescent="0.25">
      <c r="A1150" s="2">
        <v>41520</v>
      </c>
      <c r="B1150" s="3">
        <v>4.0651000000000002</v>
      </c>
      <c r="C1150" s="65">
        <v>41536</v>
      </c>
      <c r="D1150" s="1">
        <v>3.1301000000000001</v>
      </c>
    </row>
    <row r="1151" spans="1:4" x14ac:dyDescent="0.25">
      <c r="A1151" s="2">
        <v>41521</v>
      </c>
      <c r="B1151" s="3">
        <v>4.0579000000000001</v>
      </c>
      <c r="C1151" s="65">
        <v>41537</v>
      </c>
      <c r="D1151" s="1">
        <v>3.1456</v>
      </c>
    </row>
    <row r="1152" spans="1:4" x14ac:dyDescent="0.25">
      <c r="A1152" s="2">
        <v>41522</v>
      </c>
      <c r="B1152" s="3">
        <v>4.0346000000000002</v>
      </c>
      <c r="C1152" s="65">
        <v>41540</v>
      </c>
      <c r="D1152" s="1">
        <v>3.1874000000000002</v>
      </c>
    </row>
    <row r="1153" spans="1:4" x14ac:dyDescent="0.25">
      <c r="A1153" s="2">
        <v>41523</v>
      </c>
      <c r="B1153" s="3">
        <v>3.9925000000000002</v>
      </c>
      <c r="C1153" s="65">
        <v>41541</v>
      </c>
      <c r="D1153" s="1">
        <v>3.1606000000000001</v>
      </c>
    </row>
    <row r="1154" spans="1:4" x14ac:dyDescent="0.25">
      <c r="A1154" s="2">
        <v>41526</v>
      </c>
      <c r="B1154" s="3">
        <v>3.9998</v>
      </c>
      <c r="C1154" s="65">
        <v>41542</v>
      </c>
      <c r="D1154" s="1">
        <v>3.1562999999999999</v>
      </c>
    </row>
    <row r="1155" spans="1:4" x14ac:dyDescent="0.25">
      <c r="A1155" s="2">
        <v>41527</v>
      </c>
      <c r="B1155" s="3">
        <v>3.9253999999999998</v>
      </c>
      <c r="C1155" s="65">
        <v>41543</v>
      </c>
      <c r="D1155" s="1">
        <v>3.1945999999999999</v>
      </c>
    </row>
    <row r="1156" spans="1:4" x14ac:dyDescent="0.25">
      <c r="A1156" s="2">
        <v>41528</v>
      </c>
      <c r="B1156" s="3">
        <v>3.9088000000000003</v>
      </c>
      <c r="C1156" s="65">
        <v>41544</v>
      </c>
      <c r="D1156" s="1">
        <v>3.2355999999999998</v>
      </c>
    </row>
    <row r="1157" spans="1:4" x14ac:dyDescent="0.25">
      <c r="A1157" s="2">
        <v>41529</v>
      </c>
      <c r="B1157" s="3">
        <v>3.9106999999999998</v>
      </c>
      <c r="C1157" s="65">
        <v>41547</v>
      </c>
      <c r="D1157" s="1">
        <v>3.1653000000000002</v>
      </c>
    </row>
    <row r="1158" spans="1:4" x14ac:dyDescent="0.25">
      <c r="A1158" s="2">
        <v>41530</v>
      </c>
      <c r="B1158" s="3">
        <v>3.9037999999999999</v>
      </c>
      <c r="C1158" s="65">
        <v>41548</v>
      </c>
      <c r="D1158" s="1">
        <v>3.0697999999999999</v>
      </c>
    </row>
    <row r="1159" spans="1:4" x14ac:dyDescent="0.25">
      <c r="A1159" s="2">
        <v>41533</v>
      </c>
      <c r="B1159" s="3">
        <v>3.8666999999999998</v>
      </c>
      <c r="C1159" s="65">
        <v>41549</v>
      </c>
      <c r="D1159" s="1">
        <v>3.0491999999999999</v>
      </c>
    </row>
    <row r="1160" spans="1:4" x14ac:dyDescent="0.25">
      <c r="A1160" s="2">
        <v>41534</v>
      </c>
      <c r="B1160" s="3">
        <v>3.8717000000000001</v>
      </c>
      <c r="C1160" s="65">
        <v>41550</v>
      </c>
      <c r="D1160" s="1">
        <v>3.0628000000000002</v>
      </c>
    </row>
    <row r="1161" spans="1:4" x14ac:dyDescent="0.25">
      <c r="A1161" s="2">
        <v>41535</v>
      </c>
      <c r="B1161" s="3">
        <v>3.8477000000000001</v>
      </c>
      <c r="C1161" s="65">
        <v>41551</v>
      </c>
      <c r="D1161" s="1">
        <v>3.0150000000000001</v>
      </c>
    </row>
    <row r="1162" spans="1:4" x14ac:dyDescent="0.25">
      <c r="A1162" s="2">
        <v>41536</v>
      </c>
      <c r="B1162" s="3">
        <v>3.8120000000000003</v>
      </c>
      <c r="C1162" s="65">
        <v>41554</v>
      </c>
      <c r="D1162" s="1">
        <v>2.9950999999999999</v>
      </c>
    </row>
    <row r="1163" spans="1:4" x14ac:dyDescent="0.25">
      <c r="A1163" s="2">
        <v>41537</v>
      </c>
      <c r="B1163" s="3">
        <v>3.8237000000000001</v>
      </c>
      <c r="C1163" s="65">
        <v>41555</v>
      </c>
      <c r="D1163" s="1">
        <v>3.0036999999999998</v>
      </c>
    </row>
    <row r="1164" spans="1:4" x14ac:dyDescent="0.25">
      <c r="A1164" s="2">
        <v>41540</v>
      </c>
      <c r="B1164" s="3">
        <v>3.8679000000000001</v>
      </c>
      <c r="C1164" s="65">
        <v>41556</v>
      </c>
      <c r="D1164" s="1">
        <v>2.9748000000000001</v>
      </c>
    </row>
    <row r="1165" spans="1:4" x14ac:dyDescent="0.25">
      <c r="A1165" s="2">
        <v>41541</v>
      </c>
      <c r="B1165" s="3">
        <v>3.8483999999999998</v>
      </c>
      <c r="C1165" s="65">
        <v>41557</v>
      </c>
      <c r="D1165" s="1">
        <v>2.9297</v>
      </c>
    </row>
    <row r="1166" spans="1:4" x14ac:dyDescent="0.25">
      <c r="A1166" s="2">
        <v>41542</v>
      </c>
      <c r="B1166" s="3">
        <v>3.8426</v>
      </c>
      <c r="C1166" s="65">
        <v>41558</v>
      </c>
      <c r="D1166" s="1">
        <v>2.9226000000000001</v>
      </c>
    </row>
    <row r="1167" spans="1:4" x14ac:dyDescent="0.25">
      <c r="A1167" s="2">
        <v>41543</v>
      </c>
      <c r="B1167" s="3">
        <v>3.8483999999999998</v>
      </c>
      <c r="C1167" s="65">
        <v>41561</v>
      </c>
      <c r="D1167" s="1">
        <v>2.9172000000000002</v>
      </c>
    </row>
    <row r="1168" spans="1:4" x14ac:dyDescent="0.25">
      <c r="A1168" s="2">
        <v>41544</v>
      </c>
      <c r="B1168" s="3">
        <v>3.8532000000000002</v>
      </c>
      <c r="C1168" s="65">
        <v>41562</v>
      </c>
      <c r="D1168" s="1">
        <v>2.9047000000000001</v>
      </c>
    </row>
    <row r="1169" spans="1:4" x14ac:dyDescent="0.25">
      <c r="A1169" s="2">
        <v>41547</v>
      </c>
      <c r="B1169" s="3">
        <v>3.8879999999999999</v>
      </c>
      <c r="C1169" s="65">
        <v>41563</v>
      </c>
      <c r="D1169" s="1">
        <v>2.8631000000000002</v>
      </c>
    </row>
    <row r="1170" spans="1:4" x14ac:dyDescent="0.25">
      <c r="A1170" s="2">
        <v>41548</v>
      </c>
      <c r="B1170" s="3">
        <v>3.8351999999999999</v>
      </c>
      <c r="C1170" s="65">
        <v>41564</v>
      </c>
      <c r="D1170" s="1">
        <v>2.8746</v>
      </c>
    </row>
    <row r="1171" spans="1:4" x14ac:dyDescent="0.25">
      <c r="A1171" s="2">
        <v>41549</v>
      </c>
      <c r="B1171" s="3">
        <v>3.8544999999999998</v>
      </c>
      <c r="C1171" s="65">
        <v>41565</v>
      </c>
      <c r="D1171" s="1">
        <v>2.8637000000000001</v>
      </c>
    </row>
    <row r="1172" spans="1:4" x14ac:dyDescent="0.25">
      <c r="A1172" s="2">
        <v>41550</v>
      </c>
      <c r="B1172" s="3">
        <v>3.8759999999999999</v>
      </c>
      <c r="C1172" s="65">
        <v>41568</v>
      </c>
      <c r="D1172" s="1">
        <v>2.8649</v>
      </c>
    </row>
    <row r="1173" spans="1:4" x14ac:dyDescent="0.25">
      <c r="A1173" s="2">
        <v>41551</v>
      </c>
      <c r="B1173" s="3">
        <v>3.8414000000000001</v>
      </c>
      <c r="C1173" s="65">
        <v>41569</v>
      </c>
      <c r="D1173" s="1">
        <v>2.8487999999999998</v>
      </c>
    </row>
    <row r="1174" spans="1:4" x14ac:dyDescent="0.25">
      <c r="A1174" s="2">
        <v>41554</v>
      </c>
      <c r="B1174" s="3">
        <v>3.8483000000000001</v>
      </c>
      <c r="C1174" s="65">
        <v>41570</v>
      </c>
      <c r="D1174" s="1">
        <v>2.9182999999999999</v>
      </c>
    </row>
    <row r="1175" spans="1:4" x14ac:dyDescent="0.25">
      <c r="A1175" s="2">
        <v>41555</v>
      </c>
      <c r="B1175" s="3">
        <v>3.8744000000000001</v>
      </c>
      <c r="C1175" s="65">
        <v>41571</v>
      </c>
      <c r="D1175" s="1">
        <v>2.8814000000000002</v>
      </c>
    </row>
    <row r="1176" spans="1:4" x14ac:dyDescent="0.25">
      <c r="A1176" s="2">
        <v>41556</v>
      </c>
      <c r="B1176" s="3">
        <v>3.8725000000000001</v>
      </c>
      <c r="C1176" s="65">
        <v>41572</v>
      </c>
      <c r="D1176" s="1">
        <v>2.9238</v>
      </c>
    </row>
    <row r="1177" spans="1:4" x14ac:dyDescent="0.25">
      <c r="A1177" s="2">
        <v>41557</v>
      </c>
      <c r="B1177" s="3">
        <v>3.7881999999999998</v>
      </c>
      <c r="C1177" s="65">
        <v>41575</v>
      </c>
      <c r="D1177" s="1">
        <v>2.9308999999999998</v>
      </c>
    </row>
    <row r="1178" spans="1:4" x14ac:dyDescent="0.25">
      <c r="A1178" s="2">
        <v>41558</v>
      </c>
      <c r="B1178" s="3">
        <v>3.782</v>
      </c>
      <c r="C1178" s="65">
        <v>41576</v>
      </c>
      <c r="D1178" s="1">
        <v>2.8616000000000001</v>
      </c>
    </row>
    <row r="1179" spans="1:4" x14ac:dyDescent="0.25">
      <c r="A1179" s="2">
        <v>41561</v>
      </c>
      <c r="B1179" s="3">
        <v>3.7776999999999998</v>
      </c>
      <c r="C1179" s="65">
        <v>41577</v>
      </c>
      <c r="D1179" s="1">
        <v>2.8750999999999998</v>
      </c>
    </row>
    <row r="1180" spans="1:4" x14ac:dyDescent="0.25">
      <c r="A1180" s="2">
        <v>41562</v>
      </c>
      <c r="B1180" s="3">
        <v>3.7439</v>
      </c>
      <c r="C1180" s="65">
        <v>41578</v>
      </c>
      <c r="D1180" s="1">
        <v>2.8477000000000001</v>
      </c>
    </row>
    <row r="1181" spans="1:4" x14ac:dyDescent="0.25">
      <c r="A1181" s="2">
        <v>41563</v>
      </c>
      <c r="B1181" s="3">
        <v>3.7321999999999997</v>
      </c>
      <c r="C1181" s="65">
        <v>41579</v>
      </c>
      <c r="D1181" s="1">
        <v>2.8754999999999997</v>
      </c>
    </row>
    <row r="1182" spans="1:4" x14ac:dyDescent="0.25">
      <c r="A1182" s="2">
        <v>41564</v>
      </c>
      <c r="B1182" s="3">
        <v>3.7383999999999999</v>
      </c>
      <c r="C1182" s="65">
        <v>41582</v>
      </c>
      <c r="D1182" s="1">
        <v>2.8536999999999999</v>
      </c>
    </row>
    <row r="1183" spans="1:4" x14ac:dyDescent="0.25">
      <c r="A1183" s="2">
        <v>41565</v>
      </c>
      <c r="B1183" s="3">
        <v>3.7101999999999999</v>
      </c>
      <c r="C1183" s="65">
        <v>41583</v>
      </c>
      <c r="D1183" s="1">
        <v>2.8864000000000001</v>
      </c>
    </row>
    <row r="1184" spans="1:4" x14ac:dyDescent="0.25">
      <c r="A1184" s="2">
        <v>41568</v>
      </c>
      <c r="B1184" s="3">
        <v>3.7159</v>
      </c>
      <c r="C1184" s="65">
        <v>41584</v>
      </c>
      <c r="D1184" s="1">
        <v>2.8608000000000002</v>
      </c>
    </row>
    <row r="1185" spans="1:4" x14ac:dyDescent="0.25">
      <c r="A1185" s="2">
        <v>41569</v>
      </c>
      <c r="B1185" s="3">
        <v>3.6949999999999998</v>
      </c>
      <c r="C1185" s="65">
        <v>41585</v>
      </c>
      <c r="D1185" s="1">
        <v>2.9196999999999997</v>
      </c>
    </row>
    <row r="1186" spans="1:4" x14ac:dyDescent="0.25">
      <c r="A1186" s="2">
        <v>41570</v>
      </c>
      <c r="B1186" s="3">
        <v>3.73</v>
      </c>
      <c r="C1186" s="65">
        <v>41586</v>
      </c>
      <c r="D1186" s="1">
        <v>2.9045999999999998</v>
      </c>
    </row>
    <row r="1187" spans="1:4" x14ac:dyDescent="0.25">
      <c r="A1187" s="2">
        <v>41571</v>
      </c>
      <c r="B1187" s="3">
        <v>3.7033</v>
      </c>
      <c r="C1187" s="65">
        <v>41589</v>
      </c>
      <c r="D1187" s="1">
        <v>2.8824000000000001</v>
      </c>
    </row>
    <row r="1188" spans="1:4" x14ac:dyDescent="0.25">
      <c r="A1188" s="2">
        <v>41572</v>
      </c>
      <c r="B1188" s="3">
        <v>3.7086999999999999</v>
      </c>
      <c r="C1188" s="65">
        <v>41590</v>
      </c>
      <c r="D1188" s="1">
        <v>2.8980000000000001</v>
      </c>
    </row>
    <row r="1189" spans="1:4" x14ac:dyDescent="0.25">
      <c r="A1189" s="2">
        <v>41575</v>
      </c>
      <c r="B1189" s="3">
        <v>3.7240000000000002</v>
      </c>
      <c r="C1189" s="65">
        <v>41591</v>
      </c>
      <c r="D1189" s="1">
        <v>2.9401000000000002</v>
      </c>
    </row>
    <row r="1190" spans="1:4" x14ac:dyDescent="0.25">
      <c r="A1190" s="2">
        <v>41576</v>
      </c>
      <c r="B1190" s="3">
        <v>3.6890999999999998</v>
      </c>
      <c r="C1190" s="65">
        <v>41592</v>
      </c>
      <c r="D1190" s="1">
        <v>2.9356999999999998</v>
      </c>
    </row>
    <row r="1191" spans="1:4" x14ac:dyDescent="0.25">
      <c r="A1191" s="2">
        <v>41577</v>
      </c>
      <c r="B1191" s="3">
        <v>3.7012</v>
      </c>
      <c r="C1191" s="65">
        <v>41593</v>
      </c>
      <c r="D1191" s="1">
        <v>2.9473000000000003</v>
      </c>
    </row>
    <row r="1192" spans="1:4" x14ac:dyDescent="0.25">
      <c r="A1192" s="2">
        <v>41578</v>
      </c>
      <c r="B1192" s="3">
        <v>3.6682999999999999</v>
      </c>
      <c r="C1192" s="65">
        <v>41596</v>
      </c>
      <c r="D1192" s="1">
        <v>2.8816999999999999</v>
      </c>
    </row>
    <row r="1193" spans="1:4" x14ac:dyDescent="0.25">
      <c r="A1193" s="2">
        <v>41579</v>
      </c>
      <c r="B1193" s="3">
        <v>3.56</v>
      </c>
      <c r="C1193" s="65">
        <v>41597</v>
      </c>
      <c r="D1193" s="1">
        <v>2.9337</v>
      </c>
    </row>
    <row r="1194" spans="1:4" x14ac:dyDescent="0.25">
      <c r="A1194" s="2">
        <v>41582</v>
      </c>
      <c r="B1194" s="3">
        <v>3.5518999999999998</v>
      </c>
      <c r="C1194" s="65">
        <v>41598</v>
      </c>
      <c r="D1194" s="1">
        <v>2.9397000000000002</v>
      </c>
    </row>
    <row r="1195" spans="1:4" x14ac:dyDescent="0.25">
      <c r="A1195" s="2">
        <v>41583</v>
      </c>
      <c r="B1195" s="3">
        <v>3.5813999999999999</v>
      </c>
      <c r="C1195" s="65">
        <v>41599</v>
      </c>
      <c r="D1195" s="1">
        <v>2.9220000000000002</v>
      </c>
    </row>
    <row r="1196" spans="1:4" x14ac:dyDescent="0.25">
      <c r="A1196" s="2">
        <v>41584</v>
      </c>
      <c r="B1196" s="3">
        <v>3.6337000000000002</v>
      </c>
      <c r="C1196" s="65">
        <v>41600</v>
      </c>
      <c r="D1196" s="1">
        <v>2.9249999999999998</v>
      </c>
    </row>
    <row r="1197" spans="1:4" x14ac:dyDescent="0.25">
      <c r="A1197" s="2">
        <v>41585</v>
      </c>
      <c r="B1197" s="3">
        <v>3.6497000000000002</v>
      </c>
      <c r="C1197" s="65">
        <v>41603</v>
      </c>
      <c r="D1197" s="1">
        <v>2.9215</v>
      </c>
    </row>
    <row r="1198" spans="1:4" x14ac:dyDescent="0.25">
      <c r="A1198" s="2">
        <v>41586</v>
      </c>
      <c r="B1198" s="3">
        <v>3.6593999999999998</v>
      </c>
      <c r="C1198" s="65">
        <v>41604</v>
      </c>
      <c r="D1198" s="1">
        <v>2.923</v>
      </c>
    </row>
    <row r="1199" spans="1:4" x14ac:dyDescent="0.25">
      <c r="A1199" s="2">
        <v>41589</v>
      </c>
      <c r="B1199" s="3">
        <v>3.6379000000000001</v>
      </c>
      <c r="C1199" s="65">
        <v>41605</v>
      </c>
      <c r="D1199" s="1">
        <v>2.8997999999999999</v>
      </c>
    </row>
    <row r="1200" spans="1:4" x14ac:dyDescent="0.25">
      <c r="A1200" s="2">
        <v>41590</v>
      </c>
      <c r="B1200" s="3">
        <v>3.6597</v>
      </c>
      <c r="C1200" s="65">
        <v>41606</v>
      </c>
      <c r="D1200" s="1">
        <v>2.8733</v>
      </c>
    </row>
    <row r="1201" spans="1:4" x14ac:dyDescent="0.25">
      <c r="A1201" s="2">
        <v>41591</v>
      </c>
      <c r="B1201" s="3">
        <v>3.6560999999999999</v>
      </c>
      <c r="C1201" s="65">
        <v>41607</v>
      </c>
      <c r="D1201" s="1">
        <v>2.8851</v>
      </c>
    </row>
    <row r="1202" spans="1:4" x14ac:dyDescent="0.25">
      <c r="A1202" s="2">
        <v>41592</v>
      </c>
      <c r="B1202" s="3">
        <v>3.6170999999999998</v>
      </c>
      <c r="C1202" s="65">
        <v>41610</v>
      </c>
      <c r="D1202" s="1">
        <v>2.9431000000000003</v>
      </c>
    </row>
    <row r="1203" spans="1:4" x14ac:dyDescent="0.25">
      <c r="A1203" s="2">
        <v>41593</v>
      </c>
      <c r="B1203" s="3">
        <v>3.6835</v>
      </c>
      <c r="C1203" s="65">
        <v>41611</v>
      </c>
      <c r="D1203" s="1">
        <v>3.0017</v>
      </c>
    </row>
    <row r="1204" spans="1:4" x14ac:dyDescent="0.25">
      <c r="A1204" s="2">
        <v>41596</v>
      </c>
      <c r="B1204" s="3">
        <v>3.6515</v>
      </c>
      <c r="C1204" s="65">
        <v>41612</v>
      </c>
      <c r="D1204" s="1">
        <v>3.0105</v>
      </c>
    </row>
    <row r="1205" spans="1:4" x14ac:dyDescent="0.25">
      <c r="A1205" s="2">
        <v>41597</v>
      </c>
      <c r="B1205" s="3">
        <v>3.69</v>
      </c>
      <c r="C1205" s="65">
        <v>41613</v>
      </c>
      <c r="D1205" s="1">
        <v>3.0640000000000001</v>
      </c>
    </row>
    <row r="1206" spans="1:4" x14ac:dyDescent="0.25">
      <c r="A1206" s="2">
        <v>41598</v>
      </c>
      <c r="B1206" s="3">
        <v>3.6922999999999999</v>
      </c>
      <c r="C1206" s="65">
        <v>41614</v>
      </c>
      <c r="D1206" s="1">
        <v>3.0417999999999998</v>
      </c>
    </row>
    <row r="1207" spans="1:4" x14ac:dyDescent="0.25">
      <c r="A1207" s="2">
        <v>41599</v>
      </c>
      <c r="B1207" s="3">
        <v>3.6959</v>
      </c>
      <c r="C1207" s="65">
        <v>41617</v>
      </c>
      <c r="D1207" s="1">
        <v>3.0139</v>
      </c>
    </row>
    <row r="1208" spans="1:4" x14ac:dyDescent="0.25">
      <c r="A1208" s="2">
        <v>41600</v>
      </c>
      <c r="B1208" s="3">
        <v>3.6818</v>
      </c>
      <c r="C1208" s="65">
        <v>41618</v>
      </c>
      <c r="D1208" s="1">
        <v>3.0219</v>
      </c>
    </row>
    <row r="1209" spans="1:4" x14ac:dyDescent="0.25">
      <c r="A1209" s="2">
        <v>41603</v>
      </c>
      <c r="B1209" s="3">
        <v>3.6616999999999997</v>
      </c>
      <c r="C1209" s="65">
        <v>41619</v>
      </c>
      <c r="D1209" s="1">
        <v>3.0661</v>
      </c>
    </row>
    <row r="1210" spans="1:4" x14ac:dyDescent="0.25">
      <c r="A1210" s="2">
        <v>41604</v>
      </c>
      <c r="B1210" s="3">
        <v>3.4868000000000001</v>
      </c>
      <c r="C1210" s="65">
        <v>41620</v>
      </c>
      <c r="D1210" s="1">
        <v>3.0952000000000002</v>
      </c>
    </row>
    <row r="1211" spans="1:4" x14ac:dyDescent="0.25">
      <c r="A1211" s="2">
        <v>41605</v>
      </c>
      <c r="B1211" s="3">
        <v>3.4641000000000002</v>
      </c>
      <c r="C1211" s="65">
        <v>41621</v>
      </c>
      <c r="D1211" s="1">
        <v>3.0951</v>
      </c>
    </row>
    <row r="1212" spans="1:4" x14ac:dyDescent="0.25">
      <c r="A1212" s="2">
        <v>41606</v>
      </c>
      <c r="B1212" s="3">
        <v>3.4546000000000001</v>
      </c>
      <c r="C1212" s="65">
        <v>41624</v>
      </c>
      <c r="D1212" s="1">
        <v>3.0243000000000002</v>
      </c>
    </row>
    <row r="1213" spans="1:4" x14ac:dyDescent="0.25">
      <c r="A1213" s="2">
        <v>41607</v>
      </c>
      <c r="B1213" s="3">
        <v>3.4611000000000001</v>
      </c>
      <c r="C1213" s="65">
        <v>41625</v>
      </c>
      <c r="D1213" s="1">
        <v>3.0745</v>
      </c>
    </row>
    <row r="1214" spans="1:4" x14ac:dyDescent="0.25">
      <c r="A1214" s="2">
        <v>41610</v>
      </c>
      <c r="B1214" s="3">
        <v>3.4717000000000002</v>
      </c>
      <c r="C1214" s="65">
        <v>41626</v>
      </c>
      <c r="D1214" s="1">
        <v>3.0394999999999999</v>
      </c>
    </row>
    <row r="1215" spans="1:4" x14ac:dyDescent="0.25">
      <c r="A1215" s="2">
        <v>41611</v>
      </c>
      <c r="B1215" s="3">
        <v>3.5446</v>
      </c>
      <c r="C1215" s="65">
        <v>41627</v>
      </c>
      <c r="D1215" s="1">
        <v>2.9864000000000002</v>
      </c>
    </row>
    <row r="1216" spans="1:4" x14ac:dyDescent="0.25">
      <c r="A1216" s="2">
        <v>41612</v>
      </c>
      <c r="B1216" s="3">
        <v>3.5708000000000002</v>
      </c>
      <c r="C1216" s="65">
        <v>41628</v>
      </c>
      <c r="D1216" s="1">
        <v>2.9683999999999999</v>
      </c>
    </row>
    <row r="1217" spans="1:4" x14ac:dyDescent="0.25">
      <c r="A1217" s="2">
        <v>41613</v>
      </c>
      <c r="B1217" s="3">
        <v>3.6175000000000002</v>
      </c>
      <c r="C1217" s="65">
        <v>41631</v>
      </c>
      <c r="D1217" s="1">
        <v>2.9855</v>
      </c>
    </row>
    <row r="1218" spans="1:4" x14ac:dyDescent="0.25">
      <c r="A1218" s="2">
        <v>41614</v>
      </c>
      <c r="B1218" s="3">
        <v>3.6166999999999998</v>
      </c>
      <c r="C1218" s="65">
        <v>41635</v>
      </c>
      <c r="D1218" s="1">
        <v>2.9445999999999999</v>
      </c>
    </row>
    <row r="1219" spans="1:4" x14ac:dyDescent="0.25">
      <c r="A1219" s="2">
        <v>41617</v>
      </c>
      <c r="B1219" s="3">
        <v>3.6061000000000001</v>
      </c>
      <c r="C1219" s="65">
        <v>41638</v>
      </c>
      <c r="D1219" s="1">
        <v>2.9428999999999998</v>
      </c>
    </row>
    <row r="1220" spans="1:4" x14ac:dyDescent="0.25">
      <c r="A1220" s="2">
        <v>41618</v>
      </c>
      <c r="B1220" s="3">
        <v>3.64</v>
      </c>
      <c r="C1220" s="65">
        <v>41641</v>
      </c>
      <c r="D1220" s="1">
        <v>2.9487999999999999</v>
      </c>
    </row>
    <row r="1221" spans="1:4" x14ac:dyDescent="0.25">
      <c r="A1221" s="2">
        <v>41619</v>
      </c>
      <c r="B1221" s="3">
        <v>3.6566999999999998</v>
      </c>
      <c r="C1221" s="65">
        <v>41642</v>
      </c>
      <c r="D1221" s="1">
        <v>2.9205999999999999</v>
      </c>
    </row>
    <row r="1222" spans="1:4" x14ac:dyDescent="0.25">
      <c r="A1222" s="2">
        <v>41620</v>
      </c>
      <c r="B1222" s="3">
        <v>3.6806999999999999</v>
      </c>
      <c r="C1222" s="65">
        <v>41645</v>
      </c>
      <c r="D1222" s="1">
        <v>2.8940999999999999</v>
      </c>
    </row>
    <row r="1223" spans="1:4" x14ac:dyDescent="0.25">
      <c r="A1223" s="2">
        <v>41621</v>
      </c>
      <c r="B1223" s="3">
        <v>3.6884999999999999</v>
      </c>
      <c r="C1223" s="65">
        <v>41646</v>
      </c>
      <c r="D1223" s="1">
        <v>2.8592</v>
      </c>
    </row>
    <row r="1224" spans="1:4" x14ac:dyDescent="0.25">
      <c r="A1224" s="2">
        <v>41624</v>
      </c>
      <c r="B1224" s="3">
        <v>3.6181000000000001</v>
      </c>
      <c r="C1224" s="65">
        <v>41647</v>
      </c>
      <c r="D1224" s="1">
        <v>2.8639999999999999</v>
      </c>
    </row>
    <row r="1225" spans="1:4" x14ac:dyDescent="0.25">
      <c r="A1225" s="2">
        <v>41625</v>
      </c>
      <c r="B1225" s="3">
        <v>3.6635999999999997</v>
      </c>
      <c r="C1225" s="65">
        <v>41648</v>
      </c>
      <c r="D1225" s="1">
        <v>2.8542000000000001</v>
      </c>
    </row>
    <row r="1226" spans="1:4" x14ac:dyDescent="0.25">
      <c r="A1226" s="2">
        <v>41626</v>
      </c>
      <c r="B1226" s="3">
        <v>3.6226000000000003</v>
      </c>
      <c r="C1226" s="65">
        <v>41649</v>
      </c>
      <c r="D1226" s="1">
        <v>2.8445999999999998</v>
      </c>
    </row>
    <row r="1227" spans="1:4" x14ac:dyDescent="0.25">
      <c r="A1227" s="2">
        <v>41627</v>
      </c>
      <c r="B1227" s="3">
        <v>3.5556999999999999</v>
      </c>
      <c r="C1227" s="65">
        <v>41652</v>
      </c>
      <c r="D1227" s="1">
        <v>2.8260000000000001</v>
      </c>
    </row>
    <row r="1228" spans="1:4" x14ac:dyDescent="0.25">
      <c r="A1228" s="2">
        <v>41628</v>
      </c>
      <c r="B1228" s="3">
        <v>3.5343</v>
      </c>
      <c r="C1228" s="65">
        <v>41653</v>
      </c>
      <c r="D1228" s="1">
        <v>2.8212999999999999</v>
      </c>
    </row>
    <row r="1229" spans="1:4" x14ac:dyDescent="0.25">
      <c r="A1229" s="2">
        <v>41631</v>
      </c>
      <c r="B1229" s="3">
        <v>3.5215999999999998</v>
      </c>
      <c r="C1229" s="65">
        <v>41654</v>
      </c>
      <c r="D1229" s="1">
        <v>2.7768999999999999</v>
      </c>
    </row>
    <row r="1230" spans="1:4" x14ac:dyDescent="0.25">
      <c r="A1230" s="2">
        <v>41632</v>
      </c>
      <c r="B1230" s="3">
        <v>3.5192999999999999</v>
      </c>
      <c r="C1230" s="65">
        <v>41655</v>
      </c>
      <c r="D1230" s="1">
        <v>2.8007</v>
      </c>
    </row>
    <row r="1231" spans="1:4" x14ac:dyDescent="0.25">
      <c r="A1231" s="2">
        <v>41635</v>
      </c>
      <c r="B1231" s="3">
        <v>3.4758</v>
      </c>
      <c r="C1231" s="65">
        <v>41656</v>
      </c>
      <c r="D1231" s="1">
        <v>2.7875000000000001</v>
      </c>
    </row>
    <row r="1232" spans="1:4" x14ac:dyDescent="0.25">
      <c r="A1232" s="2">
        <v>41638</v>
      </c>
      <c r="B1232" s="3">
        <v>3.4874999999999998</v>
      </c>
      <c r="C1232" s="65">
        <v>41659</v>
      </c>
      <c r="D1232" s="1">
        <v>2.7869999999999999</v>
      </c>
    </row>
    <row r="1233" spans="1:4" x14ac:dyDescent="0.25">
      <c r="A1233" s="2">
        <v>41639</v>
      </c>
      <c r="B1233" s="3">
        <v>3.4784000000000002</v>
      </c>
      <c r="C1233" s="65">
        <v>41660</v>
      </c>
      <c r="D1233" s="1">
        <v>2.7838000000000003</v>
      </c>
    </row>
    <row r="1234" spans="1:4" x14ac:dyDescent="0.25">
      <c r="A1234" s="2">
        <v>41641</v>
      </c>
      <c r="B1234" s="3">
        <v>3.5342000000000002</v>
      </c>
      <c r="C1234" s="65">
        <v>41661</v>
      </c>
      <c r="D1234" s="1">
        <v>2.7890999999999999</v>
      </c>
    </row>
    <row r="1235" spans="1:4" x14ac:dyDescent="0.25">
      <c r="A1235" s="2">
        <v>41642</v>
      </c>
      <c r="B1235" s="3">
        <v>3.5175000000000001</v>
      </c>
      <c r="C1235" s="65">
        <v>41662</v>
      </c>
      <c r="D1235" s="1">
        <v>2.8092999999999999</v>
      </c>
    </row>
    <row r="1236" spans="1:4" x14ac:dyDescent="0.25">
      <c r="A1236" s="2">
        <v>41645</v>
      </c>
      <c r="B1236" s="3">
        <v>3.4931000000000001</v>
      </c>
      <c r="C1236" s="65">
        <v>41663</v>
      </c>
      <c r="D1236" s="1">
        <v>2.8754</v>
      </c>
    </row>
    <row r="1237" spans="1:4" x14ac:dyDescent="0.25">
      <c r="A1237" s="2">
        <v>41646</v>
      </c>
      <c r="B1237" s="3">
        <v>3.4460999999999999</v>
      </c>
      <c r="C1237" s="65">
        <v>41666</v>
      </c>
      <c r="D1237" s="1">
        <v>2.8881999999999999</v>
      </c>
    </row>
    <row r="1238" spans="1:4" x14ac:dyDescent="0.25">
      <c r="A1238" s="2">
        <v>41647</v>
      </c>
      <c r="B1238" s="3">
        <v>3.4464999999999999</v>
      </c>
      <c r="C1238" s="65">
        <v>41667</v>
      </c>
      <c r="D1238" s="1">
        <v>2.8622000000000001</v>
      </c>
    </row>
    <row r="1239" spans="1:4" x14ac:dyDescent="0.25">
      <c r="A1239" s="2">
        <v>41648</v>
      </c>
      <c r="B1239" s="3">
        <v>3.4691999999999998</v>
      </c>
      <c r="C1239" s="65">
        <v>41668</v>
      </c>
      <c r="D1239" s="1">
        <v>2.8786</v>
      </c>
    </row>
    <row r="1240" spans="1:4" x14ac:dyDescent="0.25">
      <c r="A1240" s="2">
        <v>41649</v>
      </c>
      <c r="B1240" s="3">
        <v>3.4537</v>
      </c>
      <c r="C1240" s="65">
        <v>41669</v>
      </c>
      <c r="D1240" s="1">
        <v>2.8675999999999999</v>
      </c>
    </row>
    <row r="1241" spans="1:4" x14ac:dyDescent="0.25">
      <c r="A1241" s="2">
        <v>41652</v>
      </c>
      <c r="B1241" s="3">
        <v>3.4405999999999999</v>
      </c>
      <c r="C1241" s="65">
        <v>41670</v>
      </c>
      <c r="D1241" s="1">
        <v>2.8666</v>
      </c>
    </row>
    <row r="1242" spans="1:4" x14ac:dyDescent="0.25">
      <c r="A1242" s="2">
        <v>41653</v>
      </c>
      <c r="B1242" s="3">
        <v>3.4321999999999999</v>
      </c>
      <c r="C1242" s="65">
        <v>41673</v>
      </c>
      <c r="D1242" s="1">
        <v>2.9441000000000002</v>
      </c>
    </row>
    <row r="1243" spans="1:4" x14ac:dyDescent="0.25">
      <c r="A1243" s="2">
        <v>41654</v>
      </c>
      <c r="B1243" s="3">
        <v>3.3788999999999998</v>
      </c>
      <c r="C1243" s="65">
        <v>41674</v>
      </c>
      <c r="D1243" s="1">
        <v>2.9266999999999999</v>
      </c>
    </row>
    <row r="1244" spans="1:4" x14ac:dyDescent="0.25">
      <c r="A1244" s="2">
        <v>41655</v>
      </c>
      <c r="B1244" s="3">
        <v>3.3988</v>
      </c>
      <c r="C1244" s="65">
        <v>41675</v>
      </c>
      <c r="D1244" s="1">
        <v>2.919</v>
      </c>
    </row>
    <row r="1245" spans="1:4" x14ac:dyDescent="0.25">
      <c r="A1245" s="2">
        <v>41656</v>
      </c>
      <c r="B1245" s="3">
        <v>3.3946000000000001</v>
      </c>
      <c r="C1245" s="65">
        <v>41676</v>
      </c>
      <c r="D1245" s="1">
        <v>2.8540000000000001</v>
      </c>
    </row>
    <row r="1246" spans="1:4" x14ac:dyDescent="0.25">
      <c r="A1246" s="2">
        <v>41659</v>
      </c>
      <c r="B1246" s="3">
        <v>3.3956</v>
      </c>
      <c r="C1246" s="65">
        <v>41677</v>
      </c>
      <c r="D1246" s="1">
        <v>2.8268</v>
      </c>
    </row>
    <row r="1247" spans="1:4" x14ac:dyDescent="0.25">
      <c r="A1247" s="2">
        <v>41660</v>
      </c>
      <c r="B1247" s="3">
        <v>3.3957000000000002</v>
      </c>
      <c r="C1247" s="65">
        <v>41680</v>
      </c>
      <c r="D1247" s="1">
        <v>2.8281000000000001</v>
      </c>
    </row>
    <row r="1248" spans="1:4" x14ac:dyDescent="0.25">
      <c r="A1248" s="2">
        <v>41661</v>
      </c>
      <c r="B1248" s="3">
        <v>3.3976000000000002</v>
      </c>
      <c r="C1248" s="65">
        <v>41681</v>
      </c>
      <c r="D1248" s="1">
        <v>2.7989999999999999</v>
      </c>
    </row>
    <row r="1249" spans="1:4" x14ac:dyDescent="0.25">
      <c r="A1249" s="2">
        <v>41662</v>
      </c>
      <c r="B1249" s="3">
        <v>3.4348999999999998</v>
      </c>
      <c r="C1249" s="65">
        <v>41682</v>
      </c>
      <c r="D1249" s="1">
        <v>2.7631999999999999</v>
      </c>
    </row>
    <row r="1250" spans="1:4" x14ac:dyDescent="0.25">
      <c r="A1250" s="2">
        <v>41663</v>
      </c>
      <c r="B1250" s="3">
        <v>3.5356999999999998</v>
      </c>
      <c r="C1250" s="65">
        <v>41683</v>
      </c>
      <c r="D1250" s="1">
        <v>2.7679999999999998</v>
      </c>
    </row>
    <row r="1251" spans="1:4" x14ac:dyDescent="0.25">
      <c r="A1251" s="2">
        <v>41666</v>
      </c>
      <c r="B1251" s="3">
        <v>3.5516999999999999</v>
      </c>
      <c r="C1251" s="65">
        <v>41684</v>
      </c>
      <c r="D1251" s="1">
        <v>2.7237999999999998</v>
      </c>
    </row>
    <row r="1252" spans="1:4" x14ac:dyDescent="0.25">
      <c r="A1252" s="2">
        <v>41667</v>
      </c>
      <c r="B1252" s="3">
        <v>3.5236000000000001</v>
      </c>
      <c r="C1252" s="65">
        <v>41687</v>
      </c>
      <c r="D1252" s="1">
        <v>2.7206999999999999</v>
      </c>
    </row>
    <row r="1253" spans="1:4" x14ac:dyDescent="0.25">
      <c r="A1253" s="2">
        <v>41668</v>
      </c>
      <c r="B1253" s="3">
        <v>3.5554000000000001</v>
      </c>
      <c r="C1253" s="65">
        <v>41688</v>
      </c>
      <c r="D1253" s="1">
        <v>2.7181999999999999</v>
      </c>
    </row>
    <row r="1254" spans="1:4" x14ac:dyDescent="0.25">
      <c r="A1254" s="2">
        <v>41669</v>
      </c>
      <c r="B1254" s="3">
        <v>3.5367999999999999</v>
      </c>
      <c r="C1254" s="65">
        <v>41689</v>
      </c>
      <c r="D1254" s="1">
        <v>2.7236000000000002</v>
      </c>
    </row>
    <row r="1255" spans="1:4" x14ac:dyDescent="0.25">
      <c r="A1255" s="2">
        <v>41670</v>
      </c>
      <c r="B1255" s="3">
        <v>3.5524</v>
      </c>
      <c r="C1255" s="65">
        <v>41690</v>
      </c>
      <c r="D1255" s="1">
        <v>2.7217000000000002</v>
      </c>
    </row>
    <row r="1256" spans="1:4" x14ac:dyDescent="0.25">
      <c r="A1256" s="2">
        <v>41673</v>
      </c>
      <c r="B1256" s="3">
        <v>3.6124000000000001</v>
      </c>
      <c r="C1256" s="65">
        <v>41691</v>
      </c>
      <c r="D1256" s="1">
        <v>2.7298</v>
      </c>
    </row>
    <row r="1257" spans="1:4" x14ac:dyDescent="0.25">
      <c r="A1257" s="2">
        <v>41674</v>
      </c>
      <c r="B1257" s="3">
        <v>3.6141000000000001</v>
      </c>
      <c r="C1257" s="65">
        <v>41694</v>
      </c>
      <c r="D1257" s="1">
        <v>2.7183999999999999</v>
      </c>
    </row>
    <row r="1258" spans="1:4" x14ac:dyDescent="0.25">
      <c r="A1258" s="2">
        <v>41675</v>
      </c>
      <c r="B1258" s="3">
        <v>3.6164000000000001</v>
      </c>
      <c r="C1258" s="65">
        <v>41695</v>
      </c>
      <c r="D1258" s="1">
        <v>2.7189000000000001</v>
      </c>
    </row>
    <row r="1259" spans="1:4" x14ac:dyDescent="0.25">
      <c r="A1259" s="2">
        <v>41676</v>
      </c>
      <c r="B1259" s="3">
        <v>3.5583999999999998</v>
      </c>
      <c r="C1259" s="65">
        <v>41696</v>
      </c>
      <c r="D1259" s="1">
        <v>2.7288999999999999</v>
      </c>
    </row>
    <row r="1260" spans="1:4" x14ac:dyDescent="0.25">
      <c r="A1260" s="2">
        <v>41677</v>
      </c>
      <c r="B1260" s="3">
        <v>3.5259</v>
      </c>
      <c r="C1260" s="65">
        <v>41697</v>
      </c>
      <c r="D1260" s="1">
        <v>2.7393000000000001</v>
      </c>
    </row>
    <row r="1261" spans="1:4" x14ac:dyDescent="0.25">
      <c r="A1261" s="2">
        <v>41680</v>
      </c>
      <c r="B1261" s="3">
        <v>3.5329000000000002</v>
      </c>
      <c r="C1261" s="65">
        <v>41698</v>
      </c>
      <c r="D1261" s="1">
        <v>2.7229999999999999</v>
      </c>
    </row>
    <row r="1262" spans="1:4" x14ac:dyDescent="0.25">
      <c r="A1262" s="2">
        <v>41681</v>
      </c>
      <c r="B1262" s="3">
        <v>3.4817</v>
      </c>
      <c r="C1262" s="65">
        <v>41701</v>
      </c>
      <c r="D1262" s="1">
        <v>2.8170999999999999</v>
      </c>
    </row>
    <row r="1263" spans="1:4" x14ac:dyDescent="0.25">
      <c r="A1263" s="2">
        <v>41682</v>
      </c>
      <c r="B1263" s="3">
        <v>3.4617</v>
      </c>
      <c r="C1263" s="65">
        <v>41702</v>
      </c>
      <c r="D1263" s="1">
        <v>2.7187000000000001</v>
      </c>
    </row>
    <row r="1264" spans="1:4" x14ac:dyDescent="0.25">
      <c r="A1264" s="2">
        <v>41683</v>
      </c>
      <c r="B1264" s="3">
        <v>3.4582999999999999</v>
      </c>
      <c r="C1264" s="65">
        <v>41703</v>
      </c>
      <c r="D1264" s="1">
        <v>2.6818</v>
      </c>
    </row>
    <row r="1265" spans="1:4" x14ac:dyDescent="0.25">
      <c r="A1265" s="2">
        <v>41684</v>
      </c>
      <c r="B1265" s="3">
        <v>3.4348000000000001</v>
      </c>
      <c r="C1265" s="65">
        <v>41704</v>
      </c>
      <c r="D1265" s="1">
        <v>2.6713</v>
      </c>
    </row>
    <row r="1266" spans="1:4" x14ac:dyDescent="0.25">
      <c r="A1266" s="2">
        <v>41687</v>
      </c>
      <c r="B1266" s="3">
        <v>3.4350000000000001</v>
      </c>
      <c r="C1266" s="65">
        <v>41705</v>
      </c>
      <c r="D1266" s="1">
        <v>2.6977000000000002</v>
      </c>
    </row>
    <row r="1267" spans="1:4" x14ac:dyDescent="0.25">
      <c r="A1267" s="2">
        <v>41688</v>
      </c>
      <c r="B1267" s="3">
        <v>3.4365999999999999</v>
      </c>
      <c r="C1267" s="65">
        <v>41708</v>
      </c>
      <c r="D1267" s="1">
        <v>2.6821999999999999</v>
      </c>
    </row>
    <row r="1268" spans="1:4" x14ac:dyDescent="0.25">
      <c r="A1268" s="2">
        <v>41689</v>
      </c>
      <c r="B1268" s="3">
        <v>3.4329000000000001</v>
      </c>
      <c r="C1268" s="65">
        <v>41709</v>
      </c>
      <c r="D1268" s="1">
        <v>2.6718999999999999</v>
      </c>
    </row>
    <row r="1269" spans="1:4" x14ac:dyDescent="0.25">
      <c r="A1269" s="2">
        <v>41690</v>
      </c>
      <c r="B1269" s="3">
        <v>3.4321000000000002</v>
      </c>
      <c r="C1269" s="65">
        <v>41710</v>
      </c>
      <c r="D1269" s="1">
        <v>2.6785999999999999</v>
      </c>
    </row>
    <row r="1270" spans="1:4" x14ac:dyDescent="0.25">
      <c r="A1270" s="2">
        <v>41691</v>
      </c>
      <c r="B1270" s="3">
        <v>3.4209999999999998</v>
      </c>
      <c r="C1270" s="65">
        <v>41711</v>
      </c>
      <c r="D1270" s="1">
        <v>2.7033</v>
      </c>
    </row>
    <row r="1271" spans="1:4" x14ac:dyDescent="0.25">
      <c r="A1271" s="2">
        <v>41694</v>
      </c>
      <c r="B1271" s="3">
        <v>3.3932000000000002</v>
      </c>
      <c r="C1271" s="65">
        <v>41712</v>
      </c>
      <c r="D1271" s="1">
        <v>2.7358000000000002</v>
      </c>
    </row>
    <row r="1272" spans="1:4" x14ac:dyDescent="0.25">
      <c r="A1272" s="2">
        <v>41695</v>
      </c>
      <c r="B1272" s="3">
        <v>3.3931</v>
      </c>
      <c r="C1272" s="65">
        <v>41715</v>
      </c>
      <c r="D1272" s="1">
        <v>2.6686999999999999</v>
      </c>
    </row>
    <row r="1273" spans="1:4" x14ac:dyDescent="0.25">
      <c r="A1273" s="2">
        <v>41696</v>
      </c>
      <c r="B1273" s="3">
        <v>3.4031000000000002</v>
      </c>
      <c r="C1273" s="65">
        <v>41716</v>
      </c>
      <c r="D1273" s="1">
        <v>2.6459000000000001</v>
      </c>
    </row>
    <row r="1274" spans="1:4" x14ac:dyDescent="0.25">
      <c r="A1274" s="2">
        <v>41697</v>
      </c>
      <c r="B1274" s="3">
        <v>3.4173999999999998</v>
      </c>
      <c r="C1274" s="65">
        <v>41717</v>
      </c>
      <c r="D1274" s="1">
        <v>2.6536</v>
      </c>
    </row>
    <row r="1275" spans="1:4" x14ac:dyDescent="0.25">
      <c r="A1275" s="2">
        <v>41698</v>
      </c>
      <c r="B1275" s="3">
        <v>3.4018999999999999</v>
      </c>
      <c r="C1275" s="65">
        <v>41718</v>
      </c>
      <c r="D1275" s="1">
        <v>2.6387999999999998</v>
      </c>
    </row>
    <row r="1276" spans="1:4" x14ac:dyDescent="0.25">
      <c r="A1276" s="2">
        <v>41701</v>
      </c>
      <c r="B1276" s="3">
        <v>3.508</v>
      </c>
      <c r="C1276" s="65">
        <v>41719</v>
      </c>
      <c r="D1276" s="1">
        <v>2.6541999999999999</v>
      </c>
    </row>
    <row r="1277" spans="1:4" x14ac:dyDescent="0.25">
      <c r="A1277" s="2">
        <v>41702</v>
      </c>
      <c r="B1277" s="3">
        <v>3.4159000000000002</v>
      </c>
      <c r="C1277" s="65">
        <v>41722</v>
      </c>
      <c r="D1277" s="1">
        <v>2.7385000000000002</v>
      </c>
    </row>
    <row r="1278" spans="1:4" x14ac:dyDescent="0.25">
      <c r="A1278" s="2">
        <v>41703</v>
      </c>
      <c r="B1278" s="3">
        <v>3.4163000000000001</v>
      </c>
      <c r="C1278" s="65">
        <v>41723</v>
      </c>
      <c r="D1278" s="1">
        <v>2.7126000000000001</v>
      </c>
    </row>
    <row r="1279" spans="1:4" x14ac:dyDescent="0.25">
      <c r="A1279" s="2">
        <v>41704</v>
      </c>
      <c r="B1279" s="3">
        <v>3.407</v>
      </c>
      <c r="C1279" s="65">
        <v>41724</v>
      </c>
      <c r="D1279" s="1">
        <v>2.6760000000000002</v>
      </c>
    </row>
    <row r="1280" spans="1:4" x14ac:dyDescent="0.25">
      <c r="A1280" s="2">
        <v>41705</v>
      </c>
      <c r="B1280" s="3">
        <v>3.4611999999999998</v>
      </c>
      <c r="C1280" s="65">
        <v>41725</v>
      </c>
      <c r="D1280" s="1">
        <v>2.6677</v>
      </c>
    </row>
    <row r="1281" spans="1:4" x14ac:dyDescent="0.25">
      <c r="A1281" s="2">
        <v>41708</v>
      </c>
      <c r="B1281" s="3">
        <v>3.464</v>
      </c>
      <c r="C1281" s="65">
        <v>41726</v>
      </c>
      <c r="D1281" s="1">
        <v>2.6273999999999997</v>
      </c>
    </row>
    <row r="1282" spans="1:4" x14ac:dyDescent="0.25">
      <c r="A1282" s="2">
        <v>41709</v>
      </c>
      <c r="B1282" s="3">
        <v>3.4643000000000002</v>
      </c>
      <c r="C1282" s="65">
        <v>41729</v>
      </c>
      <c r="D1282" s="1">
        <v>2.6040000000000001</v>
      </c>
    </row>
    <row r="1283" spans="1:4" x14ac:dyDescent="0.25">
      <c r="A1283" s="2">
        <v>41710</v>
      </c>
      <c r="B1283" s="3">
        <v>3.4948999999999999</v>
      </c>
      <c r="C1283" s="65">
        <v>41730</v>
      </c>
      <c r="D1283" s="1">
        <v>2.5773999999999999</v>
      </c>
    </row>
    <row r="1284" spans="1:4" x14ac:dyDescent="0.25">
      <c r="A1284" s="2">
        <v>41711</v>
      </c>
      <c r="B1284" s="3">
        <v>3.5480999999999998</v>
      </c>
      <c r="C1284" s="65">
        <v>41731</v>
      </c>
      <c r="D1284" s="1">
        <v>2.6040000000000001</v>
      </c>
    </row>
    <row r="1285" spans="1:4" x14ac:dyDescent="0.25">
      <c r="A1285" s="2">
        <v>41712</v>
      </c>
      <c r="B1285" s="3">
        <v>3.5657000000000001</v>
      </c>
      <c r="C1285" s="65">
        <v>41732</v>
      </c>
      <c r="D1285" s="1">
        <v>2.5684</v>
      </c>
    </row>
    <row r="1286" spans="1:4" x14ac:dyDescent="0.25">
      <c r="A1286" s="2">
        <v>41715</v>
      </c>
      <c r="B1286" s="3">
        <v>3.5135999999999998</v>
      </c>
      <c r="C1286" s="65">
        <v>41733</v>
      </c>
      <c r="D1286" s="1">
        <v>2.5472000000000001</v>
      </c>
    </row>
    <row r="1287" spans="1:4" x14ac:dyDescent="0.25">
      <c r="A1287" s="2">
        <v>41716</v>
      </c>
      <c r="B1287" s="3">
        <v>3.4855</v>
      </c>
      <c r="C1287" s="65">
        <v>41736</v>
      </c>
      <c r="D1287" s="1">
        <v>2.5689000000000002</v>
      </c>
    </row>
    <row r="1288" spans="1:4" x14ac:dyDescent="0.25">
      <c r="A1288" s="2">
        <v>41717</v>
      </c>
      <c r="B1288" s="3">
        <v>3.4824999999999999</v>
      </c>
      <c r="C1288" s="65">
        <v>41737</v>
      </c>
      <c r="D1288" s="1">
        <v>2.6070000000000002</v>
      </c>
    </row>
    <row r="1289" spans="1:4" x14ac:dyDescent="0.25">
      <c r="A1289" s="2">
        <v>41718</v>
      </c>
      <c r="B1289" s="3">
        <v>3.4683999999999999</v>
      </c>
      <c r="C1289" s="65">
        <v>41738</v>
      </c>
      <c r="D1289" s="1">
        <v>2.601</v>
      </c>
    </row>
    <row r="1290" spans="1:4" x14ac:dyDescent="0.25">
      <c r="A1290" s="2">
        <v>41719</v>
      </c>
      <c r="B1290" s="3">
        <v>3.4599000000000002</v>
      </c>
      <c r="C1290" s="65">
        <v>41739</v>
      </c>
      <c r="D1290" s="1">
        <v>2.6358999999999999</v>
      </c>
    </row>
    <row r="1291" spans="1:4" x14ac:dyDescent="0.25">
      <c r="A1291" s="2">
        <v>41722</v>
      </c>
      <c r="B1291" s="3">
        <v>3.5145999999999997</v>
      </c>
      <c r="C1291" s="65">
        <v>41740</v>
      </c>
      <c r="D1291" s="1">
        <v>2.6646000000000001</v>
      </c>
    </row>
    <row r="1292" spans="1:4" x14ac:dyDescent="0.25">
      <c r="A1292" s="2">
        <v>41723</v>
      </c>
      <c r="B1292" s="3">
        <v>3.4649999999999999</v>
      </c>
      <c r="C1292" s="65">
        <v>41743</v>
      </c>
      <c r="D1292" s="1">
        <v>2.6415999999999999</v>
      </c>
    </row>
    <row r="1293" spans="1:4" x14ac:dyDescent="0.25">
      <c r="A1293" s="2">
        <v>41724</v>
      </c>
      <c r="B1293" s="3">
        <v>3.4279000000000002</v>
      </c>
      <c r="C1293" s="65">
        <v>41744</v>
      </c>
      <c r="D1293" s="1">
        <v>2.7046000000000001</v>
      </c>
    </row>
    <row r="1294" spans="1:4" x14ac:dyDescent="0.25">
      <c r="A1294" s="2">
        <v>41725</v>
      </c>
      <c r="B1294" s="3">
        <v>3.4239999999999999</v>
      </c>
      <c r="C1294" s="65">
        <v>41745</v>
      </c>
      <c r="D1294" s="1">
        <v>2.6146000000000003</v>
      </c>
    </row>
    <row r="1295" spans="1:4" x14ac:dyDescent="0.25">
      <c r="A1295" s="2">
        <v>41726</v>
      </c>
      <c r="B1295" s="3">
        <v>3.3822000000000001</v>
      </c>
      <c r="C1295" s="65">
        <v>41746</v>
      </c>
      <c r="D1295" s="1">
        <v>2.6051000000000002</v>
      </c>
    </row>
    <row r="1296" spans="1:4" x14ac:dyDescent="0.25">
      <c r="A1296" s="2">
        <v>41729</v>
      </c>
      <c r="B1296" s="3">
        <v>3.4077000000000002</v>
      </c>
      <c r="C1296" s="65">
        <v>41751</v>
      </c>
      <c r="D1296" s="1">
        <v>2.6355</v>
      </c>
    </row>
    <row r="1297" spans="1:4" x14ac:dyDescent="0.25">
      <c r="A1297" s="2">
        <v>41730</v>
      </c>
      <c r="B1297" s="3">
        <v>3.3811999999999998</v>
      </c>
      <c r="C1297" s="65">
        <v>41752</v>
      </c>
      <c r="D1297" s="1">
        <v>2.6669999999999998</v>
      </c>
    </row>
    <row r="1298" spans="1:4" x14ac:dyDescent="0.25">
      <c r="A1298" s="2">
        <v>41731</v>
      </c>
      <c r="B1298" s="3">
        <v>3.38</v>
      </c>
      <c r="C1298" s="65">
        <v>41753</v>
      </c>
      <c r="D1298" s="1">
        <v>2.5742000000000003</v>
      </c>
    </row>
    <row r="1299" spans="1:4" x14ac:dyDescent="0.25">
      <c r="A1299" s="2">
        <v>41732</v>
      </c>
      <c r="B1299" s="3">
        <v>3.3597000000000001</v>
      </c>
      <c r="C1299" s="65">
        <v>41754</v>
      </c>
      <c r="D1299" s="1">
        <v>2.6042000000000001</v>
      </c>
    </row>
    <row r="1300" spans="1:4" x14ac:dyDescent="0.25">
      <c r="A1300" s="2">
        <v>41733</v>
      </c>
      <c r="B1300" s="3">
        <v>3.3351999999999999</v>
      </c>
      <c r="C1300" s="65">
        <v>41757</v>
      </c>
      <c r="D1300" s="1">
        <v>2.5954999999999999</v>
      </c>
    </row>
    <row r="1301" spans="1:4" x14ac:dyDescent="0.25">
      <c r="A1301" s="2">
        <v>41736</v>
      </c>
      <c r="B1301" s="3">
        <v>3.3816000000000002</v>
      </c>
      <c r="C1301" s="65">
        <v>41758</v>
      </c>
      <c r="D1301" s="1">
        <v>2.5407999999999999</v>
      </c>
    </row>
    <row r="1302" spans="1:4" x14ac:dyDescent="0.25">
      <c r="A1302" s="2">
        <v>41737</v>
      </c>
      <c r="B1302" s="3">
        <v>3.3904000000000001</v>
      </c>
      <c r="C1302" s="65">
        <v>41759</v>
      </c>
      <c r="D1302" s="1">
        <v>2.5634000000000001</v>
      </c>
    </row>
    <row r="1303" spans="1:4" x14ac:dyDescent="0.25">
      <c r="A1303" s="2">
        <v>41738</v>
      </c>
      <c r="B1303" s="3">
        <v>3.3849999999999998</v>
      </c>
      <c r="C1303" s="65">
        <v>41761</v>
      </c>
      <c r="D1303" s="1">
        <v>2.5634999999999999</v>
      </c>
    </row>
    <row r="1304" spans="1:4" x14ac:dyDescent="0.25">
      <c r="A1304" s="2">
        <v>41739</v>
      </c>
      <c r="B1304" s="3">
        <v>3.4196</v>
      </c>
      <c r="C1304" s="65">
        <v>41764</v>
      </c>
      <c r="D1304" s="1">
        <v>2.5804</v>
      </c>
    </row>
    <row r="1305" spans="1:4" x14ac:dyDescent="0.25">
      <c r="A1305" s="2">
        <v>41740</v>
      </c>
      <c r="B1305" s="3">
        <v>3.4595000000000002</v>
      </c>
      <c r="C1305" s="65">
        <v>41765</v>
      </c>
      <c r="D1305" s="1">
        <v>2.5945999999999998</v>
      </c>
    </row>
    <row r="1306" spans="1:4" x14ac:dyDescent="0.25">
      <c r="A1306" s="2">
        <v>41743</v>
      </c>
      <c r="B1306" s="3">
        <v>3.4436999999999998</v>
      </c>
      <c r="C1306" s="65">
        <v>41766</v>
      </c>
      <c r="D1306" s="1">
        <v>2.6288999999999998</v>
      </c>
    </row>
    <row r="1307" spans="1:4" x14ac:dyDescent="0.25">
      <c r="A1307" s="2">
        <v>41744</v>
      </c>
      <c r="B1307" s="3">
        <v>3.4883000000000002</v>
      </c>
      <c r="C1307" s="65">
        <v>41767</v>
      </c>
      <c r="D1307" s="1">
        <v>2.5697000000000001</v>
      </c>
    </row>
    <row r="1308" spans="1:4" x14ac:dyDescent="0.25">
      <c r="A1308" s="2">
        <v>41745</v>
      </c>
      <c r="B1308" s="3">
        <v>3.4352</v>
      </c>
      <c r="C1308" s="65">
        <v>41768</v>
      </c>
      <c r="D1308" s="1">
        <v>2.6105</v>
      </c>
    </row>
    <row r="1309" spans="1:4" x14ac:dyDescent="0.25">
      <c r="A1309" s="2">
        <v>41746</v>
      </c>
      <c r="B1309" s="3">
        <v>3.3925000000000001</v>
      </c>
      <c r="C1309" s="65">
        <v>41771</v>
      </c>
      <c r="D1309" s="1">
        <v>2.5979000000000001</v>
      </c>
    </row>
    <row r="1310" spans="1:4" x14ac:dyDescent="0.25">
      <c r="A1310" s="2">
        <v>41751</v>
      </c>
      <c r="B1310" s="3">
        <v>3.3460000000000001</v>
      </c>
      <c r="C1310" s="65">
        <v>41772</v>
      </c>
      <c r="D1310" s="1">
        <v>2.6269999999999998</v>
      </c>
    </row>
    <row r="1311" spans="1:4" x14ac:dyDescent="0.25">
      <c r="A1311" s="65">
        <v>41752</v>
      </c>
      <c r="B1311" s="3">
        <v>3.371</v>
      </c>
      <c r="C1311" s="65">
        <v>41773</v>
      </c>
      <c r="D1311" s="1">
        <v>2.6358000000000001</v>
      </c>
    </row>
    <row r="1312" spans="1:4" x14ac:dyDescent="0.25">
      <c r="A1312" s="65">
        <v>41753</v>
      </c>
      <c r="B1312" s="1">
        <v>3.3576000000000001</v>
      </c>
      <c r="C1312" s="65">
        <v>41774</v>
      </c>
      <c r="D1312" s="1">
        <v>2.7345999999999999</v>
      </c>
    </row>
    <row r="1313" spans="1:4" x14ac:dyDescent="0.25">
      <c r="A1313" s="65">
        <v>41754</v>
      </c>
      <c r="B1313" s="1">
        <v>3.4043999999999999</v>
      </c>
      <c r="C1313" s="65">
        <v>41775</v>
      </c>
      <c r="D1313" s="1">
        <v>2.7042999999999999</v>
      </c>
    </row>
    <row r="1314" spans="1:4" x14ac:dyDescent="0.25">
      <c r="A1314" s="65">
        <v>41757</v>
      </c>
      <c r="B1314" s="1">
        <v>3.3845999999999998</v>
      </c>
      <c r="C1314" s="65">
        <v>41778</v>
      </c>
      <c r="D1314" s="1">
        <v>3.0449999999999999</v>
      </c>
    </row>
    <row r="1315" spans="1:4" x14ac:dyDescent="0.25">
      <c r="A1315" s="65">
        <v>41758</v>
      </c>
      <c r="B1315" s="1">
        <v>3.3418000000000001</v>
      </c>
      <c r="C1315" s="65">
        <v>41779</v>
      </c>
      <c r="D1315" s="1">
        <v>2.9759000000000002</v>
      </c>
    </row>
    <row r="1316" spans="1:4" x14ac:dyDescent="0.25">
      <c r="A1316" s="65">
        <v>41759</v>
      </c>
      <c r="B1316" s="1">
        <v>3.3609</v>
      </c>
      <c r="C1316" s="65">
        <v>41780</v>
      </c>
      <c r="D1316" s="1">
        <v>2.9445000000000001</v>
      </c>
    </row>
    <row r="1317" spans="1:4" x14ac:dyDescent="0.25">
      <c r="A1317" s="65">
        <v>41760</v>
      </c>
      <c r="B1317" s="1">
        <v>3.3605999999999998</v>
      </c>
      <c r="C1317" s="65">
        <v>41781</v>
      </c>
      <c r="D1317" s="1">
        <v>2.9117999999999999</v>
      </c>
    </row>
    <row r="1318" spans="1:4" x14ac:dyDescent="0.25">
      <c r="A1318" s="65">
        <v>41761</v>
      </c>
      <c r="B1318" s="1">
        <v>3.3445</v>
      </c>
      <c r="C1318" s="65">
        <v>41782</v>
      </c>
      <c r="D1318" s="1">
        <v>2.8593999999999999</v>
      </c>
    </row>
    <row r="1319" spans="1:4" x14ac:dyDescent="0.25">
      <c r="A1319" s="65">
        <v>41764</v>
      </c>
      <c r="B1319" s="1">
        <v>3.3915000000000002</v>
      </c>
      <c r="C1319" s="65">
        <v>41785</v>
      </c>
      <c r="D1319" s="1">
        <v>2.7599</v>
      </c>
    </row>
    <row r="1320" spans="1:4" x14ac:dyDescent="0.25">
      <c r="A1320" s="65">
        <v>41765</v>
      </c>
      <c r="B1320" s="1">
        <v>3.4146999999999998</v>
      </c>
      <c r="C1320" s="65">
        <v>41786</v>
      </c>
      <c r="D1320" s="1">
        <v>2.7715999999999998</v>
      </c>
    </row>
    <row r="1321" spans="1:4" x14ac:dyDescent="0.25">
      <c r="A1321" s="65">
        <v>41766</v>
      </c>
      <c r="B1321" s="1">
        <v>3.4864999999999999</v>
      </c>
      <c r="C1321" s="65">
        <v>41787</v>
      </c>
      <c r="D1321" s="1">
        <v>2.7481999999999998</v>
      </c>
    </row>
    <row r="1322" spans="1:4" x14ac:dyDescent="0.25">
      <c r="A1322" s="65">
        <v>41767</v>
      </c>
      <c r="B1322" s="1">
        <v>3.4561999999999999</v>
      </c>
      <c r="C1322" s="65">
        <v>41788</v>
      </c>
      <c r="D1322" s="1">
        <v>2.7576999999999998</v>
      </c>
    </row>
    <row r="1323" spans="1:4" x14ac:dyDescent="0.25">
      <c r="A1323" s="65">
        <v>41768</v>
      </c>
      <c r="B1323" s="1">
        <v>3.4781</v>
      </c>
      <c r="C1323" s="65">
        <v>41789</v>
      </c>
      <c r="D1323" s="1">
        <v>2.7425999999999999</v>
      </c>
    </row>
    <row r="1324" spans="1:4" x14ac:dyDescent="0.25">
      <c r="A1324" s="65">
        <v>41771</v>
      </c>
      <c r="B1324" s="1">
        <v>3.4483999999999999</v>
      </c>
      <c r="C1324" s="65">
        <v>41792</v>
      </c>
      <c r="D1324" s="1">
        <v>2.7217000000000002</v>
      </c>
    </row>
    <row r="1325" spans="1:4" x14ac:dyDescent="0.25">
      <c r="A1325" s="65">
        <v>41772</v>
      </c>
      <c r="B1325" s="1">
        <v>3.4432999999999998</v>
      </c>
      <c r="C1325" s="65">
        <v>41793</v>
      </c>
      <c r="D1325" s="1">
        <v>2.7391999999999999</v>
      </c>
    </row>
    <row r="1326" spans="1:4" x14ac:dyDescent="0.25">
      <c r="A1326" s="65">
        <v>41773</v>
      </c>
      <c r="B1326" s="1">
        <v>3.4483000000000001</v>
      </c>
      <c r="C1326" s="65">
        <v>41794</v>
      </c>
      <c r="D1326" s="1">
        <v>2.7435</v>
      </c>
    </row>
    <row r="1327" spans="1:4" x14ac:dyDescent="0.25">
      <c r="A1327" s="65">
        <v>41774</v>
      </c>
      <c r="B1327" s="1">
        <v>3.4998</v>
      </c>
      <c r="C1327" s="65">
        <v>41795</v>
      </c>
      <c r="D1327" s="1">
        <v>2.7025000000000001</v>
      </c>
    </row>
    <row r="1328" spans="1:4" x14ac:dyDescent="0.25">
      <c r="A1328" s="65">
        <v>41775</v>
      </c>
      <c r="B1328" s="1">
        <v>3.4607999999999999</v>
      </c>
      <c r="C1328" s="65">
        <v>41796</v>
      </c>
      <c r="D1328" s="1">
        <v>2.6614</v>
      </c>
    </row>
    <row r="1329" spans="1:4" x14ac:dyDescent="0.25">
      <c r="A1329" s="65">
        <v>41778</v>
      </c>
      <c r="B1329" s="1">
        <v>3.4849999999999999</v>
      </c>
      <c r="C1329" s="65">
        <v>41799</v>
      </c>
      <c r="D1329" s="1">
        <v>2.6398000000000001</v>
      </c>
    </row>
    <row r="1330" spans="1:4" x14ac:dyDescent="0.25">
      <c r="A1330" s="65">
        <v>41779</v>
      </c>
      <c r="B1330" s="1">
        <v>3.4916</v>
      </c>
      <c r="C1330" s="65">
        <v>41800</v>
      </c>
      <c r="D1330" s="1">
        <v>2.6362000000000001</v>
      </c>
    </row>
    <row r="1331" spans="1:4" x14ac:dyDescent="0.25">
      <c r="A1331" s="65">
        <v>41780</v>
      </c>
      <c r="B1331" s="1">
        <v>3.4662000000000002</v>
      </c>
      <c r="C1331" s="65">
        <v>41801</v>
      </c>
      <c r="D1331" s="1">
        <v>2.6692999999999998</v>
      </c>
    </row>
    <row r="1332" spans="1:4" x14ac:dyDescent="0.25">
      <c r="A1332" s="65">
        <v>41781</v>
      </c>
      <c r="B1332" s="1">
        <v>3.4735</v>
      </c>
      <c r="C1332" s="65">
        <v>41802</v>
      </c>
      <c r="D1332" s="1">
        <v>2.6766000000000001</v>
      </c>
    </row>
    <row r="1333" spans="1:4" x14ac:dyDescent="0.25">
      <c r="A1333" s="65">
        <v>41782</v>
      </c>
      <c r="B1333" s="1">
        <v>3.4565000000000001</v>
      </c>
      <c r="C1333" s="65">
        <v>41803</v>
      </c>
      <c r="D1333" s="1">
        <v>2.6762999999999999</v>
      </c>
    </row>
    <row r="1334" spans="1:4" x14ac:dyDescent="0.25">
      <c r="A1334" s="65">
        <v>41785</v>
      </c>
      <c r="B1334" s="1">
        <v>3.4169</v>
      </c>
      <c r="C1334" s="65">
        <v>41806</v>
      </c>
      <c r="D1334" s="1">
        <v>2.6993999999999998</v>
      </c>
    </row>
    <row r="1335" spans="1:4" x14ac:dyDescent="0.25">
      <c r="A1335" s="65">
        <v>41786</v>
      </c>
      <c r="B1335" s="1">
        <v>3.4346999999999999</v>
      </c>
      <c r="C1335" s="65">
        <v>41807</v>
      </c>
      <c r="D1335" s="1">
        <v>2.6968999999999999</v>
      </c>
    </row>
    <row r="1336" spans="1:4" x14ac:dyDescent="0.25">
      <c r="A1336" s="65">
        <v>41787</v>
      </c>
      <c r="B1336" s="1">
        <v>3.4373</v>
      </c>
      <c r="C1336" s="65">
        <v>41808</v>
      </c>
      <c r="D1336" s="1">
        <v>2.6926999999999999</v>
      </c>
    </row>
    <row r="1337" spans="1:4" x14ac:dyDescent="0.25">
      <c r="A1337" s="65">
        <v>41788</v>
      </c>
      <c r="B1337" s="1">
        <v>3.4432999999999998</v>
      </c>
      <c r="C1337" s="65">
        <v>41809</v>
      </c>
      <c r="D1337" s="1">
        <v>2.5964</v>
      </c>
    </row>
    <row r="1338" spans="1:4" x14ac:dyDescent="0.25">
      <c r="A1338" s="65">
        <v>41789</v>
      </c>
      <c r="B1338" s="1">
        <v>3.4434</v>
      </c>
      <c r="C1338" s="65">
        <v>41810</v>
      </c>
      <c r="D1338" s="1">
        <v>2.6234000000000002</v>
      </c>
    </row>
    <row r="1339" spans="1:4" x14ac:dyDescent="0.25">
      <c r="A1339" s="65">
        <v>41792</v>
      </c>
      <c r="B1339" s="1">
        <v>3.4712000000000001</v>
      </c>
      <c r="C1339" s="65">
        <v>41813</v>
      </c>
      <c r="D1339" s="1">
        <v>2.5907999999999998</v>
      </c>
    </row>
    <row r="1340" spans="1:4" x14ac:dyDescent="0.25">
      <c r="A1340" s="65">
        <v>41793</v>
      </c>
      <c r="B1340" s="1">
        <v>3.4784000000000002</v>
      </c>
      <c r="C1340" s="65">
        <v>41814</v>
      </c>
      <c r="D1340" s="1">
        <v>2.5972</v>
      </c>
    </row>
    <row r="1341" spans="1:4" x14ac:dyDescent="0.25">
      <c r="A1341" s="65">
        <v>41794</v>
      </c>
      <c r="B1341" s="1">
        <v>3.4817</v>
      </c>
      <c r="C1341" s="65">
        <v>41815</v>
      </c>
      <c r="D1341" s="1">
        <v>2.6181000000000001</v>
      </c>
    </row>
    <row r="1342" spans="1:4" x14ac:dyDescent="0.25">
      <c r="A1342" s="65">
        <v>41795</v>
      </c>
      <c r="B1342" s="1">
        <v>3.4506999999999999</v>
      </c>
      <c r="C1342" s="65">
        <v>41816</v>
      </c>
      <c r="D1342" s="1">
        <v>2.6269999999999998</v>
      </c>
    </row>
    <row r="1343" spans="1:4" x14ac:dyDescent="0.25">
      <c r="A1343" s="65">
        <v>41796</v>
      </c>
      <c r="B1343" s="1">
        <v>3.4617</v>
      </c>
      <c r="C1343" s="65">
        <v>41817</v>
      </c>
      <c r="D1343" s="1">
        <v>2.6349999999999998</v>
      </c>
    </row>
    <row r="1344" spans="1:4" x14ac:dyDescent="0.25">
      <c r="A1344" s="65">
        <v>41799</v>
      </c>
      <c r="B1344" s="1">
        <v>3.4502000000000002</v>
      </c>
      <c r="C1344" s="65">
        <v>41820</v>
      </c>
      <c r="D1344" s="1">
        <v>2.6395999999999997</v>
      </c>
    </row>
    <row r="1345" spans="1:4" x14ac:dyDescent="0.25">
      <c r="A1345" s="65">
        <v>41800</v>
      </c>
      <c r="B1345" s="1">
        <v>3.4413</v>
      </c>
      <c r="C1345" s="65">
        <v>41821</v>
      </c>
      <c r="D1345" s="1">
        <v>2.6052</v>
      </c>
    </row>
    <row r="1346" spans="1:4" x14ac:dyDescent="0.25">
      <c r="A1346" s="65">
        <v>41801</v>
      </c>
      <c r="B1346" s="1">
        <v>3.4672000000000001</v>
      </c>
      <c r="C1346" s="65">
        <v>41822</v>
      </c>
      <c r="D1346" s="1">
        <v>2.5516999999999999</v>
      </c>
    </row>
    <row r="1347" spans="1:4" x14ac:dyDescent="0.25">
      <c r="A1347" s="65">
        <v>41802</v>
      </c>
      <c r="B1347" s="1">
        <v>3.4723000000000002</v>
      </c>
      <c r="C1347" s="65">
        <v>41823</v>
      </c>
      <c r="D1347" s="1">
        <v>2.5276000000000001</v>
      </c>
    </row>
    <row r="1348" spans="1:4" x14ac:dyDescent="0.25">
      <c r="A1348" s="65">
        <v>41803</v>
      </c>
      <c r="B1348" s="1">
        <v>3.4737999999999998</v>
      </c>
      <c r="C1348" s="65">
        <v>41824</v>
      </c>
      <c r="D1348" s="1">
        <v>2.5657999999999999</v>
      </c>
    </row>
    <row r="1349" spans="1:4" x14ac:dyDescent="0.25">
      <c r="A1349" s="65">
        <v>41806</v>
      </c>
      <c r="B1349" s="1">
        <v>3.4965999999999999</v>
      </c>
      <c r="C1349" s="65">
        <v>41827</v>
      </c>
      <c r="D1349" s="1">
        <v>2.6002999999999998</v>
      </c>
    </row>
    <row r="1350" spans="1:4" x14ac:dyDescent="0.25">
      <c r="A1350" s="65">
        <v>41807</v>
      </c>
      <c r="B1350" s="1">
        <v>3.4817999999999998</v>
      </c>
      <c r="C1350" s="65">
        <v>41828</v>
      </c>
      <c r="D1350" s="1">
        <v>2.6722000000000001</v>
      </c>
    </row>
    <row r="1351" spans="1:4" x14ac:dyDescent="0.25">
      <c r="A1351" s="65">
        <v>41808</v>
      </c>
      <c r="B1351" s="1">
        <v>3.4777</v>
      </c>
      <c r="C1351" s="65">
        <v>41829</v>
      </c>
      <c r="D1351" s="1">
        <v>2.6486000000000001</v>
      </c>
    </row>
    <row r="1352" spans="1:4" x14ac:dyDescent="0.25">
      <c r="A1352" s="65">
        <v>41809</v>
      </c>
      <c r="B1352" s="1">
        <v>3.4584000000000001</v>
      </c>
      <c r="C1352" s="65">
        <v>41830</v>
      </c>
      <c r="D1352" s="1">
        <v>2.6999</v>
      </c>
    </row>
    <row r="1353" spans="1:4" x14ac:dyDescent="0.25">
      <c r="A1353" s="65">
        <v>41810</v>
      </c>
      <c r="B1353" s="1">
        <v>3.4714999999999998</v>
      </c>
      <c r="C1353" s="65">
        <v>41831</v>
      </c>
      <c r="D1353" s="1">
        <v>2.6833</v>
      </c>
    </row>
    <row r="1354" spans="1:4" x14ac:dyDescent="0.25">
      <c r="A1354" s="65">
        <v>41813</v>
      </c>
      <c r="B1354" s="1">
        <v>3.4942000000000002</v>
      </c>
      <c r="C1354" s="65">
        <v>41834</v>
      </c>
      <c r="D1354" s="1">
        <v>2.6726000000000001</v>
      </c>
    </row>
    <row r="1355" spans="1:4" x14ac:dyDescent="0.25">
      <c r="A1355" s="65">
        <v>41814</v>
      </c>
      <c r="B1355" s="1">
        <v>3.4918</v>
      </c>
      <c r="C1355" s="65">
        <v>41835</v>
      </c>
      <c r="D1355" s="1">
        <v>2.7084999999999999</v>
      </c>
    </row>
    <row r="1356" spans="1:4" x14ac:dyDescent="0.25">
      <c r="A1356" s="65">
        <v>41815</v>
      </c>
      <c r="B1356" s="1">
        <v>3.5893999999999999</v>
      </c>
      <c r="C1356" s="65">
        <v>41836</v>
      </c>
      <c r="D1356" s="1">
        <v>2.6254</v>
      </c>
    </row>
    <row r="1357" spans="1:4" x14ac:dyDescent="0.25">
      <c r="A1357" s="65">
        <v>41816</v>
      </c>
      <c r="B1357" s="1">
        <v>3.6105999999999998</v>
      </c>
      <c r="C1357" s="65">
        <v>41837</v>
      </c>
      <c r="D1357" s="1">
        <v>2.6848000000000001</v>
      </c>
    </row>
    <row r="1358" spans="1:4" x14ac:dyDescent="0.25">
      <c r="A1358" s="65">
        <v>41817</v>
      </c>
      <c r="B1358" s="1">
        <v>3.6166</v>
      </c>
      <c r="C1358" s="65">
        <v>41838</v>
      </c>
      <c r="D1358" s="1">
        <v>2.6675</v>
      </c>
    </row>
    <row r="1359" spans="1:4" x14ac:dyDescent="0.25">
      <c r="A1359" s="65">
        <v>41820</v>
      </c>
      <c r="B1359" s="1">
        <v>3.6162000000000001</v>
      </c>
      <c r="C1359" s="65">
        <v>41841</v>
      </c>
      <c r="D1359" s="1">
        <v>2.7075</v>
      </c>
    </row>
    <row r="1360" spans="1:4" x14ac:dyDescent="0.25">
      <c r="A1360" s="65">
        <v>41821</v>
      </c>
      <c r="B1360" s="1">
        <v>3.5198</v>
      </c>
      <c r="C1360" s="65">
        <v>41842</v>
      </c>
      <c r="D1360" s="1">
        <v>2.6501000000000001</v>
      </c>
    </row>
    <row r="1361" spans="1:4" x14ac:dyDescent="0.25">
      <c r="A1361" s="65">
        <v>41822</v>
      </c>
      <c r="B1361" s="1">
        <v>3.5268000000000002</v>
      </c>
      <c r="C1361" s="65">
        <v>41843</v>
      </c>
      <c r="D1361" s="1">
        <v>2.6555</v>
      </c>
    </row>
    <row r="1362" spans="1:4" x14ac:dyDescent="0.25">
      <c r="A1362" s="65">
        <v>41823</v>
      </c>
      <c r="B1362" s="1">
        <v>3.4824999999999999</v>
      </c>
      <c r="C1362" s="65">
        <v>41844</v>
      </c>
      <c r="D1362" s="1">
        <v>2.6024000000000003</v>
      </c>
    </row>
    <row r="1363" spans="1:4" x14ac:dyDescent="0.25">
      <c r="A1363" s="65">
        <v>41824</v>
      </c>
      <c r="B1363" s="1">
        <v>3.5030000000000001</v>
      </c>
      <c r="C1363" s="65">
        <v>41845</v>
      </c>
      <c r="D1363" s="1">
        <v>2.6261999999999999</v>
      </c>
    </row>
    <row r="1364" spans="1:4" x14ac:dyDescent="0.25">
      <c r="A1364" s="65">
        <v>41827</v>
      </c>
      <c r="B1364" s="1">
        <v>3.5459000000000001</v>
      </c>
      <c r="C1364" s="65">
        <v>41848</v>
      </c>
      <c r="D1364" s="1">
        <v>2.6417999999999999</v>
      </c>
    </row>
    <row r="1365" spans="1:4" x14ac:dyDescent="0.25">
      <c r="A1365" s="65">
        <v>41828</v>
      </c>
      <c r="B1365" s="1">
        <v>3.5977000000000001</v>
      </c>
      <c r="C1365" s="65">
        <v>41849</v>
      </c>
      <c r="D1365" s="1">
        <v>2.6234999999999999</v>
      </c>
    </row>
    <row r="1366" spans="1:4" x14ac:dyDescent="0.25">
      <c r="A1366" s="65">
        <v>41829</v>
      </c>
      <c r="B1366" s="1">
        <v>3.5766999999999998</v>
      </c>
      <c r="C1366" s="65">
        <v>41850</v>
      </c>
      <c r="D1366" s="1">
        <v>2.6482999999999999</v>
      </c>
    </row>
    <row r="1367" spans="1:4" x14ac:dyDescent="0.25">
      <c r="A1367" s="65">
        <v>41830</v>
      </c>
      <c r="B1367" s="1">
        <v>3.6303000000000001</v>
      </c>
      <c r="C1367" s="65">
        <v>41851</v>
      </c>
      <c r="D1367" s="1">
        <v>2.6890999999999998</v>
      </c>
    </row>
    <row r="1368" spans="1:4" x14ac:dyDescent="0.25">
      <c r="A1368" s="65">
        <v>41831</v>
      </c>
      <c r="B1368" s="1">
        <v>3.6229</v>
      </c>
      <c r="C1368" s="65">
        <v>41852</v>
      </c>
      <c r="D1368" s="1">
        <v>2.7166000000000001</v>
      </c>
    </row>
    <row r="1369" spans="1:4" x14ac:dyDescent="0.25">
      <c r="A1369" s="65">
        <v>41834</v>
      </c>
      <c r="B1369" s="1">
        <v>3.5901000000000001</v>
      </c>
      <c r="C1369" s="65">
        <v>41855</v>
      </c>
      <c r="D1369" s="1">
        <v>2.7141000000000002</v>
      </c>
    </row>
    <row r="1370" spans="1:4" x14ac:dyDescent="0.25">
      <c r="A1370" s="65">
        <v>41835</v>
      </c>
      <c r="B1370" s="1">
        <v>3.6278999999999999</v>
      </c>
      <c r="C1370" s="65">
        <v>41856</v>
      </c>
      <c r="D1370" s="1">
        <v>2.7585999999999999</v>
      </c>
    </row>
    <row r="1371" spans="1:4" x14ac:dyDescent="0.25">
      <c r="A1371" s="65">
        <v>41836</v>
      </c>
      <c r="B1371" s="1">
        <v>3.5720999999999998</v>
      </c>
      <c r="C1371" s="65">
        <v>41857</v>
      </c>
      <c r="D1371" s="1">
        <v>2.9102000000000001</v>
      </c>
    </row>
    <row r="1372" spans="1:4" x14ac:dyDescent="0.25">
      <c r="A1372" s="65">
        <v>41837</v>
      </c>
      <c r="B1372" s="1">
        <v>3.6231999999999998</v>
      </c>
      <c r="C1372" s="65">
        <v>41858</v>
      </c>
      <c r="D1372" s="1">
        <v>2.9679000000000002</v>
      </c>
    </row>
    <row r="1373" spans="1:4" x14ac:dyDescent="0.25">
      <c r="A1373" s="65">
        <v>41838</v>
      </c>
      <c r="B1373" s="1">
        <v>3.6158999999999999</v>
      </c>
      <c r="C1373" s="65">
        <v>41859</v>
      </c>
      <c r="D1373" s="1">
        <v>2.9582000000000002</v>
      </c>
    </row>
    <row r="1374" spans="1:4" x14ac:dyDescent="0.25">
      <c r="A1374" s="65">
        <v>41841</v>
      </c>
      <c r="B1374" s="1">
        <v>3.6471999999999998</v>
      </c>
      <c r="C1374" s="65">
        <v>41862</v>
      </c>
      <c r="D1374" s="1">
        <v>2.9175</v>
      </c>
    </row>
    <row r="1375" spans="1:4" x14ac:dyDescent="0.25">
      <c r="A1375" s="65">
        <v>41842</v>
      </c>
      <c r="B1375" s="1">
        <v>3.5874999999999999</v>
      </c>
      <c r="C1375" s="65">
        <v>41863</v>
      </c>
      <c r="D1375" s="1">
        <v>2.9241999999999999</v>
      </c>
    </row>
    <row r="1376" spans="1:4" x14ac:dyDescent="0.25">
      <c r="A1376" s="65">
        <v>41843</v>
      </c>
      <c r="B1376" s="1">
        <v>3.5831</v>
      </c>
      <c r="C1376" s="65">
        <v>41864</v>
      </c>
      <c r="D1376" s="1">
        <v>2.9060999999999999</v>
      </c>
    </row>
    <row r="1377" spans="1:4" x14ac:dyDescent="0.25">
      <c r="A1377" s="65">
        <v>41844</v>
      </c>
      <c r="B1377" s="1">
        <v>3.5531000000000001</v>
      </c>
      <c r="C1377" s="65">
        <v>41865</v>
      </c>
      <c r="D1377" s="1">
        <v>2.9144999999999999</v>
      </c>
    </row>
    <row r="1378" spans="1:4" x14ac:dyDescent="0.25">
      <c r="A1378" s="65">
        <v>41845</v>
      </c>
      <c r="B1378" s="1">
        <v>3.6036000000000001</v>
      </c>
      <c r="C1378" s="65">
        <v>41869</v>
      </c>
      <c r="D1378" s="1">
        <v>2.8909000000000002</v>
      </c>
    </row>
    <row r="1379" spans="1:4" x14ac:dyDescent="0.25">
      <c r="A1379" s="65">
        <v>41848</v>
      </c>
      <c r="B1379" s="1">
        <v>3.6074999999999999</v>
      </c>
      <c r="C1379" s="65">
        <v>41870</v>
      </c>
      <c r="D1379" s="1">
        <v>2.8902999999999999</v>
      </c>
    </row>
    <row r="1380" spans="1:4" x14ac:dyDescent="0.25">
      <c r="A1380" s="65">
        <v>41849</v>
      </c>
      <c r="B1380" s="1">
        <v>3.5859999999999999</v>
      </c>
      <c r="C1380" s="65">
        <v>41871</v>
      </c>
      <c r="D1380" s="1">
        <v>2.8959000000000001</v>
      </c>
    </row>
    <row r="1381" spans="1:4" x14ac:dyDescent="0.25">
      <c r="A1381" s="65">
        <v>41850</v>
      </c>
      <c r="B1381" s="1">
        <v>3.6101000000000001</v>
      </c>
      <c r="C1381" s="65">
        <v>41872</v>
      </c>
      <c r="D1381" s="1">
        <v>2.8374000000000001</v>
      </c>
    </row>
    <row r="1382" spans="1:4" x14ac:dyDescent="0.25">
      <c r="A1382" s="65">
        <v>41851</v>
      </c>
      <c r="B1382" s="1">
        <v>3.6724000000000001</v>
      </c>
      <c r="C1382" s="65">
        <v>41873</v>
      </c>
      <c r="D1382" s="1">
        <v>2.8506</v>
      </c>
    </row>
    <row r="1383" spans="1:4" x14ac:dyDescent="0.25">
      <c r="A1383" s="65">
        <v>41852</v>
      </c>
      <c r="B1383" s="1">
        <v>3.7237</v>
      </c>
      <c r="C1383" s="65">
        <v>41876</v>
      </c>
      <c r="D1383" s="1">
        <v>2.7866</v>
      </c>
    </row>
    <row r="1384" spans="1:4" x14ac:dyDescent="0.25">
      <c r="A1384" s="65">
        <v>41855</v>
      </c>
      <c r="B1384" s="1">
        <v>3.7263000000000002</v>
      </c>
      <c r="C1384" s="65">
        <v>41877</v>
      </c>
      <c r="D1384" s="1">
        <v>2.7500999999999998</v>
      </c>
    </row>
    <row r="1385" spans="1:4" x14ac:dyDescent="0.25">
      <c r="A1385" s="65">
        <v>41856</v>
      </c>
      <c r="B1385" s="1">
        <v>3.7241999999999997</v>
      </c>
      <c r="C1385" s="65">
        <v>41878</v>
      </c>
      <c r="D1385" s="1">
        <v>2.7345000000000002</v>
      </c>
    </row>
    <row r="1386" spans="1:4" x14ac:dyDescent="0.25">
      <c r="A1386" s="65">
        <v>41857</v>
      </c>
      <c r="B1386" s="1">
        <v>3.7521</v>
      </c>
      <c r="C1386" s="65">
        <v>41879</v>
      </c>
      <c r="D1386" s="1">
        <v>2.7913000000000001</v>
      </c>
    </row>
    <row r="1387" spans="1:4" x14ac:dyDescent="0.25">
      <c r="A1387" s="65">
        <v>41858</v>
      </c>
      <c r="B1387" s="1">
        <v>3.7988</v>
      </c>
      <c r="C1387" s="65">
        <v>41880</v>
      </c>
      <c r="D1387" s="1">
        <v>2.7763</v>
      </c>
    </row>
    <row r="1388" spans="1:4" x14ac:dyDescent="0.25">
      <c r="A1388" s="65">
        <v>41859</v>
      </c>
      <c r="B1388" s="1">
        <v>3.8064999999999998</v>
      </c>
      <c r="C1388" s="65">
        <v>41883</v>
      </c>
      <c r="D1388" s="1">
        <v>2.7906</v>
      </c>
    </row>
    <row r="1389" spans="1:4" x14ac:dyDescent="0.25">
      <c r="A1389" s="65">
        <v>41862</v>
      </c>
      <c r="B1389" s="1">
        <v>3.7556000000000003</v>
      </c>
      <c r="C1389" s="65">
        <v>41884</v>
      </c>
      <c r="D1389" s="1">
        <v>2.7768999999999999</v>
      </c>
    </row>
    <row r="1390" spans="1:4" x14ac:dyDescent="0.25">
      <c r="A1390" s="65">
        <v>41863</v>
      </c>
      <c r="B1390" s="1">
        <v>3.7850999999999999</v>
      </c>
      <c r="C1390" s="65">
        <v>41885</v>
      </c>
      <c r="D1390" s="1">
        <v>2.7255000000000003</v>
      </c>
    </row>
    <row r="1391" spans="1:4" x14ac:dyDescent="0.25">
      <c r="A1391" s="65">
        <v>41864</v>
      </c>
      <c r="B1391" s="1">
        <v>3.7450000000000001</v>
      </c>
      <c r="C1391" s="65">
        <v>41886</v>
      </c>
      <c r="D1391" s="1">
        <v>2.6508000000000003</v>
      </c>
    </row>
    <row r="1392" spans="1:4" x14ac:dyDescent="0.25">
      <c r="A1392" s="65">
        <v>41865</v>
      </c>
      <c r="B1392" s="1">
        <v>3.7425999999999999</v>
      </c>
      <c r="C1392" s="65">
        <v>41887</v>
      </c>
      <c r="D1392" s="1">
        <v>2.6537999999999999</v>
      </c>
    </row>
    <row r="1393" spans="1:4" x14ac:dyDescent="0.25">
      <c r="A1393" s="65">
        <v>41866</v>
      </c>
      <c r="B1393" s="1">
        <v>3.7730000000000001</v>
      </c>
      <c r="C1393" s="65">
        <v>41890</v>
      </c>
      <c r="D1393" s="1">
        <v>2.6663000000000001</v>
      </c>
    </row>
    <row r="1394" spans="1:4" x14ac:dyDescent="0.25">
      <c r="A1394" s="65">
        <v>41869</v>
      </c>
      <c r="B1394" s="1">
        <v>3.7240000000000002</v>
      </c>
      <c r="C1394" s="65">
        <v>41891</v>
      </c>
      <c r="D1394" s="1">
        <v>2.6844999999999999</v>
      </c>
    </row>
    <row r="1395" spans="1:4" x14ac:dyDescent="0.25">
      <c r="A1395" s="65">
        <v>41870</v>
      </c>
      <c r="B1395" s="1">
        <v>3.7027000000000001</v>
      </c>
      <c r="C1395" s="65">
        <v>41892</v>
      </c>
      <c r="D1395" s="1">
        <v>2.6856999999999998</v>
      </c>
    </row>
    <row r="1396" spans="1:4" x14ac:dyDescent="0.25">
      <c r="A1396" s="65">
        <v>41871</v>
      </c>
      <c r="B1396" s="1">
        <v>3.7118000000000002</v>
      </c>
      <c r="C1396" s="65">
        <v>41893</v>
      </c>
      <c r="D1396" s="1">
        <v>2.6919</v>
      </c>
    </row>
    <row r="1397" spans="1:4" x14ac:dyDescent="0.25">
      <c r="A1397" s="65">
        <v>41872</v>
      </c>
      <c r="B1397" s="1">
        <v>3.6630000000000003</v>
      </c>
      <c r="C1397" s="65">
        <v>41894</v>
      </c>
      <c r="D1397" s="1">
        <v>2.6945999999999999</v>
      </c>
    </row>
    <row r="1398" spans="1:4" x14ac:dyDescent="0.25">
      <c r="A1398" s="65">
        <v>41873</v>
      </c>
      <c r="B1398" s="1">
        <v>3.6938</v>
      </c>
      <c r="C1398" s="65">
        <v>41897</v>
      </c>
      <c r="D1398" s="1">
        <v>2.7229000000000001</v>
      </c>
    </row>
    <row r="1399" spans="1:4" x14ac:dyDescent="0.25">
      <c r="A1399" s="65">
        <v>41876</v>
      </c>
      <c r="B1399" s="1">
        <v>3.6156999999999999</v>
      </c>
      <c r="C1399" s="65">
        <v>41898</v>
      </c>
      <c r="D1399" s="1">
        <v>2.7311999999999999</v>
      </c>
    </row>
    <row r="1400" spans="1:4" x14ac:dyDescent="0.25">
      <c r="A1400" s="65">
        <v>41877</v>
      </c>
      <c r="B1400" s="1">
        <v>3.5794000000000001</v>
      </c>
      <c r="C1400" s="65">
        <v>41899</v>
      </c>
      <c r="D1400" s="1">
        <v>2.6894</v>
      </c>
    </row>
    <row r="1401" spans="1:4" x14ac:dyDescent="0.25">
      <c r="A1401" s="65">
        <v>41878</v>
      </c>
      <c r="B1401" s="1">
        <v>3.5829</v>
      </c>
      <c r="C1401" s="65">
        <v>41900</v>
      </c>
      <c r="D1401" s="1">
        <v>2.6871999999999998</v>
      </c>
    </row>
    <row r="1402" spans="1:4" x14ac:dyDescent="0.25">
      <c r="A1402" s="65">
        <v>41879</v>
      </c>
      <c r="B1402" s="1">
        <v>3.6169000000000002</v>
      </c>
      <c r="C1402" s="65">
        <v>41901</v>
      </c>
      <c r="D1402" s="1">
        <v>2.7073</v>
      </c>
    </row>
    <row r="1403" spans="1:4" x14ac:dyDescent="0.25">
      <c r="A1403" s="65">
        <v>41880</v>
      </c>
      <c r="B1403" s="1">
        <v>3.6074999999999999</v>
      </c>
      <c r="C1403" s="65">
        <v>41904</v>
      </c>
      <c r="D1403" s="1">
        <v>2.7570999999999999</v>
      </c>
    </row>
    <row r="1404" spans="1:4" x14ac:dyDescent="0.25">
      <c r="A1404" s="65">
        <v>41883</v>
      </c>
      <c r="B1404" s="1">
        <v>3.6048</v>
      </c>
      <c r="C1404" s="65">
        <v>41905</v>
      </c>
      <c r="D1404" s="1">
        <v>2.8007999999999997</v>
      </c>
    </row>
    <row r="1405" spans="1:4" x14ac:dyDescent="0.25">
      <c r="A1405" s="65">
        <v>41884</v>
      </c>
      <c r="B1405" s="1">
        <v>3.5989</v>
      </c>
      <c r="C1405" s="65">
        <v>41906</v>
      </c>
      <c r="D1405" s="1">
        <v>2.7547000000000001</v>
      </c>
    </row>
    <row r="1406" spans="1:4" x14ac:dyDescent="0.25">
      <c r="A1406" s="65">
        <v>41885</v>
      </c>
      <c r="B1406" s="1">
        <v>3.5556999999999999</v>
      </c>
      <c r="C1406" s="65">
        <v>41907</v>
      </c>
      <c r="D1406" s="1">
        <v>2.7925</v>
      </c>
    </row>
    <row r="1407" spans="1:4" x14ac:dyDescent="0.25">
      <c r="A1407" s="65">
        <v>41886</v>
      </c>
      <c r="B1407" s="1">
        <v>3.4923999999999999</v>
      </c>
      <c r="C1407" s="65">
        <v>41908</v>
      </c>
      <c r="D1407" s="1">
        <v>2.7408999999999999</v>
      </c>
    </row>
    <row r="1408" spans="1:4" x14ac:dyDescent="0.25">
      <c r="A1408" s="65">
        <v>41887</v>
      </c>
      <c r="B1408" s="1">
        <v>3.4944999999999999</v>
      </c>
      <c r="C1408" s="65">
        <v>41911</v>
      </c>
      <c r="D1408" s="1">
        <v>2.7768999999999999</v>
      </c>
    </row>
    <row r="1409" spans="1:4" x14ac:dyDescent="0.25">
      <c r="A1409" s="65">
        <v>41890</v>
      </c>
      <c r="B1409" s="1">
        <v>3.5028000000000001</v>
      </c>
      <c r="C1409" s="65">
        <v>41912</v>
      </c>
      <c r="D1409" s="1">
        <v>2.7282000000000002</v>
      </c>
    </row>
    <row r="1410" spans="1:4" x14ac:dyDescent="0.25">
      <c r="A1410" s="65">
        <v>41891</v>
      </c>
      <c r="B1410" s="1">
        <v>3.5266000000000002</v>
      </c>
      <c r="C1410" s="65">
        <v>41913</v>
      </c>
      <c r="D1410" s="1">
        <v>2.7526999999999999</v>
      </c>
    </row>
    <row r="1411" spans="1:4" x14ac:dyDescent="0.25">
      <c r="A1411" s="65">
        <v>41892</v>
      </c>
      <c r="B1411" s="1">
        <v>3.528</v>
      </c>
      <c r="C1411" s="65">
        <v>41914</v>
      </c>
      <c r="D1411" s="1">
        <v>2.8650000000000002</v>
      </c>
    </row>
    <row r="1412" spans="1:4" x14ac:dyDescent="0.25">
      <c r="A1412" s="65">
        <v>41893</v>
      </c>
      <c r="B1412" s="1">
        <v>3.5350000000000001</v>
      </c>
      <c r="C1412" s="65">
        <v>41915</v>
      </c>
      <c r="D1412" s="1">
        <v>2.8216000000000001</v>
      </c>
    </row>
    <row r="1413" spans="1:4" x14ac:dyDescent="0.25">
      <c r="A1413" s="65">
        <v>41894</v>
      </c>
      <c r="B1413" s="1">
        <v>3.5379</v>
      </c>
      <c r="C1413" s="65">
        <v>41918</v>
      </c>
      <c r="D1413" s="1">
        <v>2.8329</v>
      </c>
    </row>
    <row r="1414" spans="1:4" x14ac:dyDescent="0.25">
      <c r="A1414" s="65">
        <v>41897</v>
      </c>
      <c r="B1414" s="1">
        <v>3.5415999999999999</v>
      </c>
      <c r="C1414" s="65">
        <v>41919</v>
      </c>
      <c r="D1414" s="1">
        <v>2.8828</v>
      </c>
    </row>
    <row r="1415" spans="1:4" x14ac:dyDescent="0.25">
      <c r="A1415" s="65">
        <v>41898</v>
      </c>
      <c r="B1415" s="1">
        <v>3.5526</v>
      </c>
      <c r="C1415" s="65">
        <v>41920</v>
      </c>
      <c r="D1415" s="1">
        <v>2.9013</v>
      </c>
    </row>
    <row r="1416" spans="1:4" x14ac:dyDescent="0.25">
      <c r="A1416" s="65">
        <v>41899</v>
      </c>
      <c r="B1416" s="1">
        <v>3.5352999999999999</v>
      </c>
      <c r="C1416" s="65">
        <v>41921</v>
      </c>
      <c r="D1416" s="1">
        <v>2.9407000000000001</v>
      </c>
    </row>
    <row r="1417" spans="1:4" x14ac:dyDescent="0.25">
      <c r="A1417" s="65">
        <v>41900</v>
      </c>
      <c r="B1417" s="1">
        <v>3.4986999999999999</v>
      </c>
      <c r="C1417" s="65">
        <v>41922</v>
      </c>
      <c r="D1417" s="1">
        <v>2.9685000000000001</v>
      </c>
    </row>
    <row r="1418" spans="1:4" x14ac:dyDescent="0.25">
      <c r="A1418" s="65">
        <v>41901</v>
      </c>
      <c r="B1418" s="1">
        <v>3.4965999999999999</v>
      </c>
      <c r="C1418" s="65">
        <v>41925</v>
      </c>
      <c r="D1418" s="1">
        <v>2.9781</v>
      </c>
    </row>
    <row r="1419" spans="1:4" x14ac:dyDescent="0.25">
      <c r="A1419" s="65">
        <v>41904</v>
      </c>
      <c r="B1419" s="1">
        <v>3.5451000000000001</v>
      </c>
      <c r="C1419" s="65">
        <v>41926</v>
      </c>
      <c r="D1419" s="1">
        <v>2.9755000000000003</v>
      </c>
    </row>
    <row r="1420" spans="1:4" x14ac:dyDescent="0.25">
      <c r="A1420" s="65">
        <v>41905</v>
      </c>
      <c r="B1420" s="1">
        <v>3.6044999999999998</v>
      </c>
      <c r="C1420" s="65">
        <v>41927</v>
      </c>
      <c r="D1420" s="1">
        <v>3.1137999999999999</v>
      </c>
    </row>
    <row r="1421" spans="1:4" x14ac:dyDescent="0.25">
      <c r="A1421" s="65">
        <v>41906</v>
      </c>
      <c r="B1421" s="1">
        <v>3.5621999999999998</v>
      </c>
      <c r="C1421" s="65">
        <v>41928</v>
      </c>
      <c r="D1421" s="1">
        <v>3.1520000000000001</v>
      </c>
    </row>
    <row r="1422" spans="1:4" x14ac:dyDescent="0.25">
      <c r="A1422" s="65">
        <v>41907</v>
      </c>
      <c r="B1422" s="1">
        <v>3.6086</v>
      </c>
      <c r="C1422" s="65">
        <v>41929</v>
      </c>
      <c r="D1422" s="1">
        <v>3.0478999999999998</v>
      </c>
    </row>
    <row r="1423" spans="1:4" x14ac:dyDescent="0.25">
      <c r="A1423" s="65">
        <v>41908</v>
      </c>
      <c r="B1423" s="1">
        <v>3.5891999999999999</v>
      </c>
      <c r="C1423" s="65">
        <v>41932</v>
      </c>
      <c r="D1423" s="1">
        <v>3.0743</v>
      </c>
    </row>
    <row r="1424" spans="1:4" x14ac:dyDescent="0.25">
      <c r="A1424" s="65">
        <v>41911</v>
      </c>
      <c r="B1424" s="1">
        <v>3.6204000000000001</v>
      </c>
      <c r="C1424" s="65">
        <v>41933</v>
      </c>
      <c r="D1424" s="1">
        <v>2.9908000000000001</v>
      </c>
    </row>
    <row r="1425" spans="1:4" x14ac:dyDescent="0.25">
      <c r="A1425" s="65">
        <v>41912</v>
      </c>
      <c r="B1425" s="1">
        <v>3.5766999999999998</v>
      </c>
      <c r="C1425" s="65">
        <v>41934</v>
      </c>
      <c r="D1425" s="1">
        <v>2.9584000000000001</v>
      </c>
    </row>
    <row r="1426" spans="1:4" x14ac:dyDescent="0.25">
      <c r="A1426" s="65">
        <v>41913</v>
      </c>
      <c r="B1426" s="1">
        <v>3.6112000000000002</v>
      </c>
      <c r="C1426" s="65">
        <v>41935</v>
      </c>
      <c r="D1426" s="1">
        <v>2.9327999999999999</v>
      </c>
    </row>
    <row r="1427" spans="1:4" x14ac:dyDescent="0.25">
      <c r="A1427" s="65">
        <v>41914</v>
      </c>
      <c r="B1427" s="1">
        <v>3.7143000000000002</v>
      </c>
      <c r="C1427" s="65">
        <v>41936</v>
      </c>
      <c r="D1427" s="1">
        <v>2.9236</v>
      </c>
    </row>
    <row r="1428" spans="1:4" x14ac:dyDescent="0.25">
      <c r="A1428" s="65">
        <v>41915</v>
      </c>
      <c r="B1428" s="1">
        <v>3.6823000000000001</v>
      </c>
      <c r="C1428" s="65">
        <v>41939</v>
      </c>
      <c r="D1428" s="1">
        <v>2.9954000000000001</v>
      </c>
    </row>
    <row r="1429" spans="1:4" x14ac:dyDescent="0.25">
      <c r="A1429" s="65">
        <v>41918</v>
      </c>
      <c r="B1429" s="1">
        <v>3.6760999999999999</v>
      </c>
      <c r="C1429" s="65">
        <v>41940</v>
      </c>
      <c r="D1429" s="1">
        <v>2.9264999999999999</v>
      </c>
    </row>
    <row r="1430" spans="1:4" x14ac:dyDescent="0.25">
      <c r="A1430" s="65">
        <v>41919</v>
      </c>
      <c r="B1430" s="1">
        <v>3.7435999999999998</v>
      </c>
      <c r="C1430" s="65">
        <v>41941</v>
      </c>
      <c r="D1430" s="1">
        <v>2.9752999999999998</v>
      </c>
    </row>
    <row r="1431" spans="1:4" x14ac:dyDescent="0.25">
      <c r="A1431" s="65">
        <v>41920</v>
      </c>
      <c r="B1431" s="1">
        <v>3.7789000000000001</v>
      </c>
      <c r="C1431" s="65">
        <v>41942</v>
      </c>
      <c r="D1431" s="1">
        <v>2.9695</v>
      </c>
    </row>
    <row r="1432" spans="1:4" x14ac:dyDescent="0.25">
      <c r="A1432" s="65">
        <v>41921</v>
      </c>
      <c r="B1432" s="1">
        <v>3.7923</v>
      </c>
      <c r="C1432" s="65">
        <v>41943</v>
      </c>
      <c r="D1432" s="1">
        <v>2.8810000000000002</v>
      </c>
    </row>
    <row r="1433" spans="1:4" x14ac:dyDescent="0.25">
      <c r="A1433" s="65">
        <v>41922</v>
      </c>
      <c r="B1433" s="1">
        <v>3.8569</v>
      </c>
      <c r="C1433" s="65">
        <v>41946</v>
      </c>
      <c r="D1433" s="1">
        <v>2.9426999999999999</v>
      </c>
    </row>
    <row r="1434" spans="1:4" x14ac:dyDescent="0.25">
      <c r="A1434" s="65">
        <v>41925</v>
      </c>
      <c r="B1434" s="1">
        <v>3.8203</v>
      </c>
      <c r="C1434" s="65">
        <v>41947</v>
      </c>
      <c r="D1434" s="1">
        <v>3.0103</v>
      </c>
    </row>
    <row r="1435" spans="1:4" x14ac:dyDescent="0.25">
      <c r="A1435" s="65">
        <v>41926</v>
      </c>
      <c r="B1435" s="1">
        <v>3.8169</v>
      </c>
      <c r="C1435" s="65">
        <v>41948</v>
      </c>
      <c r="D1435" s="1">
        <v>2.9337999999999997</v>
      </c>
    </row>
    <row r="1436" spans="1:4" x14ac:dyDescent="0.25">
      <c r="A1436" s="65">
        <v>41927</v>
      </c>
      <c r="B1436" s="1">
        <v>3.96</v>
      </c>
      <c r="C1436" s="65">
        <v>41949</v>
      </c>
      <c r="D1436" s="1">
        <v>2.9554999999999998</v>
      </c>
    </row>
    <row r="1437" spans="1:4" x14ac:dyDescent="0.25">
      <c r="A1437" s="65">
        <v>41928</v>
      </c>
      <c r="B1437" s="1">
        <v>3.9845999999999999</v>
      </c>
      <c r="C1437" s="65">
        <v>41950</v>
      </c>
      <c r="D1437" s="1">
        <v>2.9849000000000001</v>
      </c>
    </row>
    <row r="1438" spans="1:4" x14ac:dyDescent="0.25">
      <c r="A1438" s="65">
        <v>41929</v>
      </c>
      <c r="B1438" s="1">
        <v>3.8668</v>
      </c>
      <c r="C1438" s="65">
        <v>41953</v>
      </c>
      <c r="D1438" s="1">
        <v>2.9596</v>
      </c>
    </row>
    <row r="1439" spans="1:4" x14ac:dyDescent="0.25">
      <c r="A1439" s="65">
        <v>41932</v>
      </c>
      <c r="B1439" s="1">
        <v>3.9116</v>
      </c>
      <c r="C1439" s="65">
        <v>41954</v>
      </c>
      <c r="D1439" s="1">
        <v>2.9600999999999997</v>
      </c>
    </row>
    <row r="1440" spans="1:4" x14ac:dyDescent="0.25">
      <c r="A1440" s="65">
        <v>41933</v>
      </c>
      <c r="B1440" s="1">
        <v>3.8277000000000001</v>
      </c>
      <c r="C1440" s="65">
        <v>41955</v>
      </c>
      <c r="D1440" s="1">
        <v>3.0476999999999999</v>
      </c>
    </row>
    <row r="1441" spans="1:4" x14ac:dyDescent="0.25">
      <c r="A1441" s="65">
        <v>41934</v>
      </c>
      <c r="B1441" s="1">
        <v>3.806</v>
      </c>
      <c r="C1441" s="65">
        <v>41956</v>
      </c>
      <c r="D1441" s="1">
        <v>3.0346000000000002</v>
      </c>
    </row>
    <row r="1442" spans="1:4" x14ac:dyDescent="0.25">
      <c r="A1442" s="65">
        <v>41935</v>
      </c>
      <c r="B1442" s="1">
        <v>3.7612999999999999</v>
      </c>
      <c r="C1442" s="65">
        <v>41957</v>
      </c>
      <c r="D1442" s="1">
        <v>3.0053999999999998</v>
      </c>
    </row>
    <row r="1443" spans="1:4" x14ac:dyDescent="0.25">
      <c r="A1443" s="65">
        <v>41936</v>
      </c>
      <c r="B1443" s="1">
        <v>3.7786</v>
      </c>
      <c r="C1443" s="65">
        <v>41960</v>
      </c>
      <c r="D1443" s="1">
        <v>2.9661</v>
      </c>
    </row>
    <row r="1444" spans="1:4" x14ac:dyDescent="0.25">
      <c r="A1444" s="65">
        <v>41939</v>
      </c>
      <c r="B1444" s="1">
        <v>3.8182999999999998</v>
      </c>
      <c r="C1444" s="65">
        <v>41961</v>
      </c>
      <c r="D1444" s="1">
        <v>2.9451999999999998</v>
      </c>
    </row>
    <row r="1445" spans="1:4" x14ac:dyDescent="0.25">
      <c r="A1445" s="65">
        <v>41940</v>
      </c>
      <c r="B1445" s="1">
        <v>3.7713999999999999</v>
      </c>
      <c r="C1445" s="65">
        <v>41962</v>
      </c>
      <c r="D1445" s="1">
        <v>2.9411</v>
      </c>
    </row>
    <row r="1446" spans="1:4" x14ac:dyDescent="0.25">
      <c r="A1446" s="65">
        <v>41941</v>
      </c>
      <c r="B1446" s="1">
        <v>3.7885</v>
      </c>
      <c r="C1446" s="65">
        <v>41963</v>
      </c>
      <c r="D1446" s="1">
        <v>2.9672000000000001</v>
      </c>
    </row>
    <row r="1447" spans="1:4" x14ac:dyDescent="0.25">
      <c r="A1447" s="65">
        <v>41942</v>
      </c>
      <c r="B1447" s="1">
        <v>3.7717000000000001</v>
      </c>
      <c r="C1447" s="65">
        <v>41964</v>
      </c>
      <c r="D1447" s="1">
        <v>2.8563999999999998</v>
      </c>
    </row>
    <row r="1448" spans="1:4" x14ac:dyDescent="0.25">
      <c r="A1448" s="65">
        <v>41943</v>
      </c>
      <c r="B1448" s="1">
        <v>3.6779000000000002</v>
      </c>
      <c r="C1448" s="65">
        <v>41967</v>
      </c>
      <c r="D1448" s="1">
        <v>2.9015</v>
      </c>
    </row>
    <row r="1449" spans="1:4" x14ac:dyDescent="0.25">
      <c r="A1449" s="65">
        <v>41946</v>
      </c>
      <c r="B1449" s="1">
        <v>3.7195</v>
      </c>
      <c r="C1449" s="65">
        <v>41968</v>
      </c>
      <c r="D1449" s="1">
        <v>2.8893</v>
      </c>
    </row>
    <row r="1450" spans="1:4" x14ac:dyDescent="0.25">
      <c r="A1450" s="65">
        <v>41947</v>
      </c>
      <c r="B1450" s="1">
        <v>3.7751000000000001</v>
      </c>
      <c r="C1450" s="65">
        <v>41969</v>
      </c>
      <c r="D1450" s="1">
        <v>2.8996</v>
      </c>
    </row>
    <row r="1451" spans="1:4" x14ac:dyDescent="0.25">
      <c r="A1451" s="65">
        <v>41948</v>
      </c>
      <c r="B1451" s="1">
        <v>3.7052</v>
      </c>
      <c r="C1451" s="65">
        <v>41970</v>
      </c>
      <c r="D1451" s="1">
        <v>2.8763000000000001</v>
      </c>
    </row>
    <row r="1452" spans="1:4" x14ac:dyDescent="0.25">
      <c r="A1452" s="65">
        <v>41949</v>
      </c>
      <c r="B1452" s="1">
        <v>3.6939000000000002</v>
      </c>
      <c r="C1452" s="65">
        <v>41971</v>
      </c>
      <c r="D1452" s="1">
        <v>2.8885999999999998</v>
      </c>
    </row>
    <row r="1453" spans="1:4" x14ac:dyDescent="0.25">
      <c r="A1453" s="65">
        <v>41950</v>
      </c>
      <c r="B1453" s="1">
        <v>3.7385999999999999</v>
      </c>
      <c r="C1453" s="65">
        <v>41974</v>
      </c>
      <c r="D1453" s="1">
        <v>2.8553999999999999</v>
      </c>
    </row>
    <row r="1454" spans="1:4" x14ac:dyDescent="0.25">
      <c r="A1454" s="65">
        <v>41953</v>
      </c>
      <c r="B1454" s="1">
        <v>3.7027999999999999</v>
      </c>
      <c r="C1454" s="65">
        <v>41975</v>
      </c>
      <c r="D1454" s="1">
        <v>2.8418000000000001</v>
      </c>
    </row>
    <row r="1455" spans="1:4" x14ac:dyDescent="0.25">
      <c r="A1455" s="65">
        <v>41954</v>
      </c>
      <c r="B1455" s="1">
        <v>3.7035</v>
      </c>
      <c r="C1455" s="65">
        <v>41976</v>
      </c>
      <c r="D1455" s="1">
        <v>2.8136000000000001</v>
      </c>
    </row>
    <row r="1456" spans="1:4" x14ac:dyDescent="0.25">
      <c r="A1456" s="65">
        <v>41955</v>
      </c>
      <c r="B1456" s="1">
        <v>3.7890999999999999</v>
      </c>
      <c r="C1456" s="65">
        <v>41977</v>
      </c>
      <c r="D1456" s="1">
        <v>2.8938999999999999</v>
      </c>
    </row>
    <row r="1457" spans="1:4" x14ac:dyDescent="0.25">
      <c r="A1457" s="65">
        <v>41956</v>
      </c>
      <c r="B1457" s="1">
        <v>3.7772999999999999</v>
      </c>
      <c r="C1457" s="65">
        <v>41978</v>
      </c>
      <c r="D1457" s="1">
        <v>2.7984</v>
      </c>
    </row>
    <row r="1458" spans="1:4" x14ac:dyDescent="0.25">
      <c r="A1458" s="65">
        <v>41957</v>
      </c>
      <c r="B1458" s="1">
        <v>3.7732999999999999</v>
      </c>
      <c r="C1458" s="65">
        <v>41981</v>
      </c>
      <c r="D1458" s="1">
        <v>2.8174999999999999</v>
      </c>
    </row>
    <row r="1459" spans="1:4" x14ac:dyDescent="0.25">
      <c r="A1459" s="65">
        <v>41960</v>
      </c>
      <c r="B1459" s="1">
        <v>3.7429999999999999</v>
      </c>
      <c r="C1459" s="65">
        <v>41982</v>
      </c>
      <c r="D1459" s="1">
        <v>2.899</v>
      </c>
    </row>
    <row r="1460" spans="1:4" x14ac:dyDescent="0.25">
      <c r="A1460" s="65">
        <v>41961</v>
      </c>
      <c r="B1460" s="1">
        <v>3.7002999999999999</v>
      </c>
      <c r="C1460" s="65">
        <v>41983</v>
      </c>
      <c r="D1460" s="1">
        <v>2.9249999999999998</v>
      </c>
    </row>
    <row r="1461" spans="1:4" x14ac:dyDescent="0.25">
      <c r="A1461" s="65">
        <v>41962</v>
      </c>
      <c r="B1461" s="1">
        <v>3.6941999999999999</v>
      </c>
      <c r="C1461" s="65">
        <v>41984</v>
      </c>
      <c r="D1461" s="1">
        <v>2.9275000000000002</v>
      </c>
    </row>
    <row r="1462" spans="1:4" x14ac:dyDescent="0.25">
      <c r="A1462" s="65">
        <v>41963</v>
      </c>
      <c r="B1462" s="1">
        <v>3.7191000000000001</v>
      </c>
      <c r="C1462" s="65">
        <v>41985</v>
      </c>
      <c r="D1462" s="1">
        <v>3.0219999999999998</v>
      </c>
    </row>
    <row r="1463" spans="1:4" x14ac:dyDescent="0.25">
      <c r="A1463" s="65">
        <v>41964</v>
      </c>
      <c r="B1463" s="1">
        <v>3.6120000000000001</v>
      </c>
      <c r="C1463" s="65">
        <v>41988</v>
      </c>
      <c r="D1463" s="1">
        <v>3.1113</v>
      </c>
    </row>
    <row r="1464" spans="1:4" x14ac:dyDescent="0.25">
      <c r="A1464" s="65">
        <v>41967</v>
      </c>
      <c r="B1464" s="1">
        <v>3.5922999999999998</v>
      </c>
      <c r="C1464" s="65">
        <v>41989</v>
      </c>
      <c r="D1464" s="1">
        <v>3.0127999999999999</v>
      </c>
    </row>
    <row r="1465" spans="1:4" x14ac:dyDescent="0.25">
      <c r="A1465" s="65">
        <v>41968</v>
      </c>
      <c r="B1465" s="1">
        <v>3.5762999999999998</v>
      </c>
      <c r="C1465" s="65">
        <v>41990</v>
      </c>
      <c r="D1465" s="1">
        <v>3.0291999999999999</v>
      </c>
    </row>
    <row r="1466" spans="1:4" x14ac:dyDescent="0.25">
      <c r="A1466" s="65">
        <v>41969</v>
      </c>
      <c r="B1466" s="1">
        <v>3.5762999999999998</v>
      </c>
      <c r="C1466" s="65">
        <v>41991</v>
      </c>
      <c r="D1466" s="1">
        <v>2.9510000000000001</v>
      </c>
    </row>
    <row r="1467" spans="1:4" x14ac:dyDescent="0.25">
      <c r="A1467" s="65">
        <v>41970</v>
      </c>
      <c r="B1467" s="1">
        <v>3.5556000000000001</v>
      </c>
      <c r="C1467" s="65">
        <v>41992</v>
      </c>
      <c r="D1467" s="1">
        <v>2.9630000000000001</v>
      </c>
    </row>
    <row r="1468" spans="1:4" x14ac:dyDescent="0.25">
      <c r="A1468" s="65">
        <v>41971</v>
      </c>
      <c r="B1468" s="1">
        <v>3.5489999999999999</v>
      </c>
      <c r="C1468" s="65">
        <v>41995</v>
      </c>
      <c r="D1468" s="1">
        <v>3.0137999999999998</v>
      </c>
    </row>
    <row r="1469" spans="1:4" x14ac:dyDescent="0.25">
      <c r="A1469" s="65">
        <v>41974</v>
      </c>
      <c r="B1469" s="1">
        <v>3.5688</v>
      </c>
      <c r="C1469" s="65">
        <v>41996</v>
      </c>
      <c r="D1469" s="1">
        <v>2.9704999999999999</v>
      </c>
    </row>
    <row r="1470" spans="1:4" x14ac:dyDescent="0.25">
      <c r="A1470" s="65">
        <v>41975</v>
      </c>
      <c r="B1470" s="1">
        <v>3.5636999999999999</v>
      </c>
      <c r="C1470" s="65">
        <v>42002</v>
      </c>
      <c r="D1470" s="1">
        <v>3.0049999999999999</v>
      </c>
    </row>
    <row r="1471" spans="1:4" x14ac:dyDescent="0.25">
      <c r="A1471" s="65">
        <v>41976</v>
      </c>
      <c r="B1471" s="1">
        <v>3.5533999999999999</v>
      </c>
      <c r="C1471" s="65">
        <v>42003</v>
      </c>
      <c r="D1471" s="1">
        <v>3.0236000000000001</v>
      </c>
    </row>
    <row r="1472" spans="1:4" x14ac:dyDescent="0.25">
      <c r="A1472" s="65">
        <v>41977</v>
      </c>
      <c r="B1472" s="1">
        <v>3.6162999999999998</v>
      </c>
      <c r="C1472" s="65">
        <v>42006</v>
      </c>
      <c r="D1472" s="1">
        <v>3.0049000000000001</v>
      </c>
    </row>
    <row r="1473" spans="1:4" x14ac:dyDescent="0.25">
      <c r="A1473" s="65">
        <v>41978</v>
      </c>
      <c r="B1473" s="1">
        <v>3.5118999999999998</v>
      </c>
      <c r="C1473" s="65">
        <v>42009</v>
      </c>
      <c r="D1473" s="1">
        <v>3.1604999999999999</v>
      </c>
    </row>
    <row r="1474" spans="1:4" x14ac:dyDescent="0.25">
      <c r="A1474" s="65">
        <v>41981</v>
      </c>
      <c r="B1474" s="1">
        <v>3.5436999999999999</v>
      </c>
      <c r="C1474" s="65">
        <v>42010</v>
      </c>
      <c r="D1474" s="1">
        <v>3.1684000000000001</v>
      </c>
    </row>
    <row r="1475" spans="1:4" x14ac:dyDescent="0.25">
      <c r="A1475" s="65">
        <v>41982</v>
      </c>
      <c r="B1475" s="1">
        <v>3.6391999999999998</v>
      </c>
      <c r="C1475" s="65">
        <v>42011</v>
      </c>
      <c r="D1475" s="1">
        <v>3.1718999999999999</v>
      </c>
    </row>
    <row r="1476" spans="1:4" x14ac:dyDescent="0.25">
      <c r="A1476" s="65">
        <v>41983</v>
      </c>
      <c r="B1476" s="1">
        <v>3.6528</v>
      </c>
      <c r="C1476" s="65">
        <v>42012</v>
      </c>
      <c r="D1476" s="1">
        <v>3.0590999999999999</v>
      </c>
    </row>
    <row r="1477" spans="1:4" x14ac:dyDescent="0.25">
      <c r="A1477" s="65">
        <v>41984</v>
      </c>
      <c r="B1477" s="1">
        <v>3.6433999999999997</v>
      </c>
      <c r="C1477" s="65">
        <v>42013</v>
      </c>
      <c r="D1477" s="1">
        <v>3.1625000000000001</v>
      </c>
    </row>
    <row r="1478" spans="1:4" x14ac:dyDescent="0.25">
      <c r="A1478" s="65">
        <v>41985</v>
      </c>
      <c r="B1478" s="1">
        <v>3.7523999999999997</v>
      </c>
      <c r="C1478" s="65">
        <v>42016</v>
      </c>
      <c r="D1478" s="1">
        <v>3.1328999999999998</v>
      </c>
    </row>
    <row r="1479" spans="1:4" x14ac:dyDescent="0.25">
      <c r="A1479" s="65">
        <v>41988</v>
      </c>
      <c r="B1479" s="1">
        <v>3.8612000000000002</v>
      </c>
      <c r="C1479" s="65">
        <v>42017</v>
      </c>
      <c r="D1479" s="1">
        <v>3.0726</v>
      </c>
    </row>
    <row r="1480" spans="1:4" x14ac:dyDescent="0.25">
      <c r="A1480" s="65">
        <v>41989</v>
      </c>
      <c r="B1480" s="1">
        <v>3.7762000000000002</v>
      </c>
      <c r="C1480" s="65">
        <v>42018</v>
      </c>
      <c r="D1480" s="1">
        <v>3.1223999999999998</v>
      </c>
    </row>
    <row r="1481" spans="1:4" x14ac:dyDescent="0.25">
      <c r="A1481" s="65">
        <v>41990</v>
      </c>
      <c r="B1481" s="1">
        <v>3.7789999999999999</v>
      </c>
      <c r="C1481" s="65">
        <v>42019</v>
      </c>
      <c r="D1481" s="1">
        <v>3.0505</v>
      </c>
    </row>
    <row r="1482" spans="1:4" x14ac:dyDescent="0.25">
      <c r="A1482" s="65">
        <v>41991</v>
      </c>
      <c r="B1482" s="1">
        <v>3.6570999999999998</v>
      </c>
      <c r="C1482" s="65">
        <v>42020</v>
      </c>
      <c r="D1482" s="1">
        <v>2.9855999999999998</v>
      </c>
    </row>
    <row r="1483" spans="1:4" x14ac:dyDescent="0.25">
      <c r="A1483" s="65">
        <v>41992</v>
      </c>
      <c r="B1483" s="1">
        <v>3.6715999999999998</v>
      </c>
      <c r="C1483" s="65">
        <v>42023</v>
      </c>
      <c r="D1483" s="1">
        <v>2.9698000000000002</v>
      </c>
    </row>
    <row r="1484" spans="1:4" x14ac:dyDescent="0.25">
      <c r="A1484" s="65">
        <v>41995</v>
      </c>
      <c r="B1484" s="1">
        <v>3.6926000000000001</v>
      </c>
      <c r="C1484" s="65">
        <v>42024</v>
      </c>
      <c r="D1484" s="1">
        <v>2.9428999999999998</v>
      </c>
    </row>
    <row r="1485" spans="1:4" x14ac:dyDescent="0.25">
      <c r="A1485" s="65">
        <v>41996</v>
      </c>
      <c r="B1485" s="1">
        <v>3.6490999999999998</v>
      </c>
      <c r="C1485" s="65">
        <v>42025</v>
      </c>
      <c r="D1485" s="1">
        <v>2.8954</v>
      </c>
    </row>
    <row r="1486" spans="1:4" x14ac:dyDescent="0.25">
      <c r="A1486" s="65">
        <v>41997</v>
      </c>
      <c r="B1486" s="1">
        <v>3.6581000000000001</v>
      </c>
      <c r="C1486" s="65">
        <v>42026</v>
      </c>
      <c r="D1486" s="1">
        <v>2.8262999999999998</v>
      </c>
    </row>
    <row r="1487" spans="1:4" x14ac:dyDescent="0.25">
      <c r="A1487" s="65">
        <v>42002</v>
      </c>
      <c r="B1487" s="1">
        <v>3.6574999999999998</v>
      </c>
      <c r="C1487" s="65">
        <v>42027</v>
      </c>
      <c r="D1487" s="1">
        <v>2.8193999999999999</v>
      </c>
    </row>
    <row r="1488" spans="1:4" x14ac:dyDescent="0.25">
      <c r="A1488" s="65">
        <v>42003</v>
      </c>
      <c r="B1488" s="1">
        <v>3.7149000000000001</v>
      </c>
      <c r="C1488" s="65">
        <v>42030</v>
      </c>
      <c r="D1488" s="1">
        <v>2.7871999999999999</v>
      </c>
    </row>
    <row r="1489" spans="1:4" x14ac:dyDescent="0.25">
      <c r="A1489" s="65">
        <v>42004</v>
      </c>
      <c r="B1489" s="1">
        <v>3.7025000000000001</v>
      </c>
      <c r="C1489" s="65">
        <v>42031</v>
      </c>
      <c r="D1489" s="1">
        <v>2.8022</v>
      </c>
    </row>
    <row r="1490" spans="1:4" x14ac:dyDescent="0.25">
      <c r="A1490" s="65">
        <v>42006</v>
      </c>
      <c r="B1490" s="1">
        <v>3.7107999999999999</v>
      </c>
      <c r="C1490" s="65">
        <v>42032</v>
      </c>
      <c r="D1490" s="1">
        <v>2.8250999999999999</v>
      </c>
    </row>
    <row r="1491" spans="1:4" x14ac:dyDescent="0.25">
      <c r="A1491" s="65">
        <v>42009</v>
      </c>
      <c r="B1491" s="1">
        <v>3.8534999999999999</v>
      </c>
      <c r="C1491" s="65">
        <v>42033</v>
      </c>
      <c r="D1491" s="1">
        <v>2.8092999999999999</v>
      </c>
    </row>
    <row r="1492" spans="1:4" x14ac:dyDescent="0.25">
      <c r="A1492" s="65">
        <v>42010</v>
      </c>
      <c r="B1492" s="1">
        <v>3.8731</v>
      </c>
      <c r="C1492" s="65">
        <v>42034</v>
      </c>
      <c r="D1492" s="1">
        <v>2.8216000000000001</v>
      </c>
    </row>
    <row r="1493" spans="1:4" x14ac:dyDescent="0.25">
      <c r="A1493" s="65">
        <v>42011</v>
      </c>
      <c r="B1493" s="1">
        <v>3.8489</v>
      </c>
      <c r="C1493" s="65">
        <v>42037</v>
      </c>
      <c r="D1493" s="1">
        <v>2.8241000000000001</v>
      </c>
    </row>
    <row r="1494" spans="1:4" x14ac:dyDescent="0.25">
      <c r="A1494" s="65">
        <v>42012</v>
      </c>
      <c r="B1494" s="1">
        <v>3.7159</v>
      </c>
      <c r="C1494" s="65">
        <v>42038</v>
      </c>
      <c r="D1494" s="1">
        <v>2.7534000000000001</v>
      </c>
    </row>
    <row r="1495" spans="1:4" x14ac:dyDescent="0.25">
      <c r="A1495" s="65">
        <v>42013</v>
      </c>
      <c r="B1495" s="1">
        <v>3.8285</v>
      </c>
      <c r="C1495" s="65">
        <v>42039</v>
      </c>
      <c r="D1495" s="1">
        <v>2.7625999999999999</v>
      </c>
    </row>
    <row r="1496" spans="1:4" x14ac:dyDescent="0.25">
      <c r="A1496" s="65">
        <v>42016</v>
      </c>
      <c r="B1496" s="1">
        <v>3.7772999999999999</v>
      </c>
      <c r="C1496" s="65">
        <v>42040</v>
      </c>
      <c r="D1496" s="1">
        <v>2.7789000000000001</v>
      </c>
    </row>
    <row r="1497" spans="1:4" x14ac:dyDescent="0.25">
      <c r="A1497" s="65">
        <v>42017</v>
      </c>
      <c r="B1497" s="1">
        <v>3.7174</v>
      </c>
      <c r="C1497" s="65">
        <v>42041</v>
      </c>
      <c r="D1497" s="1">
        <v>2.7866999999999997</v>
      </c>
    </row>
    <row r="1498" spans="1:4" x14ac:dyDescent="0.25">
      <c r="A1498" s="65">
        <v>42018</v>
      </c>
      <c r="B1498" s="1">
        <v>3.7667000000000002</v>
      </c>
      <c r="C1498" s="65">
        <v>42044</v>
      </c>
      <c r="D1498" s="1">
        <v>2.8406000000000002</v>
      </c>
    </row>
    <row r="1499" spans="1:4" x14ac:dyDescent="0.25">
      <c r="A1499" s="65">
        <v>42019</v>
      </c>
      <c r="B1499" s="1">
        <v>3.6859000000000002</v>
      </c>
      <c r="C1499" s="65">
        <v>42045</v>
      </c>
      <c r="D1499" s="1">
        <v>2.7913999999999999</v>
      </c>
    </row>
    <row r="1500" spans="1:4" x14ac:dyDescent="0.25">
      <c r="A1500" s="65">
        <v>42020</v>
      </c>
      <c r="B1500" s="1">
        <v>3.6343000000000001</v>
      </c>
      <c r="C1500" s="65">
        <v>42046</v>
      </c>
      <c r="D1500" s="1">
        <v>2.8130999999999999</v>
      </c>
    </row>
    <row r="1501" spans="1:4" x14ac:dyDescent="0.25">
      <c r="A1501" s="65">
        <v>42023</v>
      </c>
      <c r="B1501" s="1">
        <v>3.6132</v>
      </c>
      <c r="C1501" s="65">
        <v>42047</v>
      </c>
      <c r="D1501" s="1">
        <v>2.7545000000000002</v>
      </c>
    </row>
    <row r="1502" spans="1:4" x14ac:dyDescent="0.25">
      <c r="A1502" s="65">
        <v>42024</v>
      </c>
      <c r="B1502" s="1">
        <v>3.5865</v>
      </c>
      <c r="C1502" s="65">
        <v>42048</v>
      </c>
      <c r="D1502" s="1">
        <v>2.7284000000000002</v>
      </c>
    </row>
    <row r="1503" spans="1:4" x14ac:dyDescent="0.25">
      <c r="A1503" s="65">
        <v>42025</v>
      </c>
      <c r="B1503" s="1">
        <v>3.5592999999999999</v>
      </c>
      <c r="C1503" s="65">
        <v>42051</v>
      </c>
      <c r="D1503" s="1">
        <v>2.7332999999999998</v>
      </c>
    </row>
    <row r="1504" spans="1:4" x14ac:dyDescent="0.25">
      <c r="A1504" s="65">
        <v>42026</v>
      </c>
      <c r="B1504" s="1">
        <v>3.5026000000000002</v>
      </c>
      <c r="C1504" s="65">
        <v>42052</v>
      </c>
      <c r="D1504" s="1">
        <v>2.7204000000000002</v>
      </c>
    </row>
    <row r="1505" spans="1:4" x14ac:dyDescent="0.25">
      <c r="A1505" s="65">
        <v>42027</v>
      </c>
      <c r="B1505" s="1">
        <v>3.4405000000000001</v>
      </c>
      <c r="C1505" s="65">
        <v>42053</v>
      </c>
      <c r="D1505" s="1">
        <v>2.6682000000000001</v>
      </c>
    </row>
    <row r="1506" spans="1:4" x14ac:dyDescent="0.25">
      <c r="A1506" s="65">
        <v>42030</v>
      </c>
      <c r="B1506" s="1">
        <v>3.4085999999999999</v>
      </c>
      <c r="C1506" s="65">
        <v>42054</v>
      </c>
      <c r="D1506" s="1">
        <v>2.6522000000000001</v>
      </c>
    </row>
    <row r="1507" spans="1:4" x14ac:dyDescent="0.25">
      <c r="A1507" s="65">
        <v>42031</v>
      </c>
      <c r="B1507" s="1">
        <v>3.4506999999999999</v>
      </c>
      <c r="C1507" s="65">
        <v>42055</v>
      </c>
      <c r="D1507" s="1">
        <v>2.6457999999999999</v>
      </c>
    </row>
    <row r="1508" spans="1:4" x14ac:dyDescent="0.25">
      <c r="A1508" s="65">
        <v>42032</v>
      </c>
      <c r="B1508" s="1">
        <v>3.4758</v>
      </c>
      <c r="C1508" s="65">
        <v>42058</v>
      </c>
      <c r="D1508" s="1">
        <v>2.6311</v>
      </c>
    </row>
    <row r="1509" spans="1:4" x14ac:dyDescent="0.25">
      <c r="A1509" s="65">
        <v>42033</v>
      </c>
      <c r="B1509" s="1">
        <v>3.4626000000000001</v>
      </c>
      <c r="C1509" s="65">
        <v>42059</v>
      </c>
      <c r="D1509" s="1">
        <v>2.6090999999999998</v>
      </c>
    </row>
    <row r="1510" spans="1:4" x14ac:dyDescent="0.25">
      <c r="A1510" s="65">
        <v>42034</v>
      </c>
      <c r="B1510" s="1">
        <v>3.4836</v>
      </c>
      <c r="C1510" s="65">
        <v>42060</v>
      </c>
      <c r="D1510" s="1">
        <v>2.6343999999999999</v>
      </c>
    </row>
    <row r="1511" spans="1:4" x14ac:dyDescent="0.25">
      <c r="A1511" s="65">
        <v>42037</v>
      </c>
      <c r="B1511" s="1">
        <v>3.4643000000000002</v>
      </c>
      <c r="C1511" s="65">
        <v>42061</v>
      </c>
      <c r="D1511" s="1">
        <v>2.6073</v>
      </c>
    </row>
    <row r="1512" spans="1:4" x14ac:dyDescent="0.25">
      <c r="A1512" s="65">
        <v>42038</v>
      </c>
      <c r="B1512" s="1">
        <v>3.4196</v>
      </c>
      <c r="C1512" s="65">
        <v>42062</v>
      </c>
      <c r="D1512" s="1">
        <v>2.5871</v>
      </c>
    </row>
    <row r="1513" spans="1:4" x14ac:dyDescent="0.25">
      <c r="A1513" s="65">
        <v>42039</v>
      </c>
      <c r="B1513" s="1">
        <v>3.4182999999999999</v>
      </c>
      <c r="C1513" s="65">
        <v>42065</v>
      </c>
      <c r="D1513" s="1">
        <v>2.5918000000000001</v>
      </c>
    </row>
    <row r="1514" spans="1:4" x14ac:dyDescent="0.25">
      <c r="A1514" s="65">
        <v>42040</v>
      </c>
      <c r="B1514" s="1">
        <v>3.4260000000000002</v>
      </c>
      <c r="C1514" s="65">
        <v>42066</v>
      </c>
      <c r="D1514" s="1">
        <v>2.6311999999999998</v>
      </c>
    </row>
    <row r="1515" spans="1:4" x14ac:dyDescent="0.25">
      <c r="A1515" s="65">
        <v>42041</v>
      </c>
      <c r="B1515" s="1">
        <v>3.4369000000000001</v>
      </c>
      <c r="C1515" s="65">
        <v>42067</v>
      </c>
      <c r="D1515" s="1">
        <v>2.6141000000000001</v>
      </c>
    </row>
    <row r="1516" spans="1:4" x14ac:dyDescent="0.25">
      <c r="A1516" s="65">
        <v>42044</v>
      </c>
      <c r="B1516" s="1">
        <v>3.4887000000000001</v>
      </c>
      <c r="C1516" s="65">
        <v>42068</v>
      </c>
      <c r="D1516" s="1">
        <v>2.5827</v>
      </c>
    </row>
    <row r="1517" spans="1:4" x14ac:dyDescent="0.25">
      <c r="A1517" s="65">
        <v>42045</v>
      </c>
      <c r="B1517" s="1">
        <v>3.4521999999999999</v>
      </c>
      <c r="C1517" s="65">
        <v>42069</v>
      </c>
      <c r="D1517" s="1">
        <v>2.5785999999999998</v>
      </c>
    </row>
    <row r="1518" spans="1:4" x14ac:dyDescent="0.25">
      <c r="A1518" s="65">
        <v>42046</v>
      </c>
      <c r="B1518" s="1">
        <v>3.4613999999999998</v>
      </c>
      <c r="C1518" s="65">
        <v>42072</v>
      </c>
      <c r="D1518" s="1">
        <v>2.5638999999999998</v>
      </c>
    </row>
    <row r="1519" spans="1:4" x14ac:dyDescent="0.25">
      <c r="A1519" s="65">
        <v>42047</v>
      </c>
      <c r="B1519" s="1">
        <v>3.4173999999999998</v>
      </c>
      <c r="C1519" s="65">
        <v>42073</v>
      </c>
      <c r="D1519" s="1">
        <v>2.589</v>
      </c>
    </row>
    <row r="1520" spans="1:4" x14ac:dyDescent="0.25">
      <c r="A1520" s="65">
        <v>42048</v>
      </c>
      <c r="B1520" s="1">
        <v>3.3875999999999999</v>
      </c>
      <c r="C1520" s="65">
        <v>42074</v>
      </c>
      <c r="D1520" s="1">
        <v>2.5337000000000001</v>
      </c>
    </row>
    <row r="1521" spans="1:4" x14ac:dyDescent="0.25">
      <c r="A1521" s="65">
        <v>42051</v>
      </c>
      <c r="B1521" s="1">
        <v>3.4016999999999999</v>
      </c>
      <c r="C1521" s="65">
        <v>42075</v>
      </c>
      <c r="D1521" s="1">
        <v>2.5364</v>
      </c>
    </row>
    <row r="1522" spans="1:4" x14ac:dyDescent="0.25">
      <c r="A1522" s="65">
        <v>42052</v>
      </c>
      <c r="B1522" s="1">
        <v>3.3967000000000001</v>
      </c>
      <c r="C1522" s="65">
        <v>42076</v>
      </c>
      <c r="D1522" s="1">
        <v>2.5470999999999999</v>
      </c>
    </row>
    <row r="1523" spans="1:4" x14ac:dyDescent="0.25">
      <c r="A1523" s="65">
        <v>42053</v>
      </c>
      <c r="B1523" s="1">
        <v>3.3698000000000001</v>
      </c>
      <c r="C1523" s="65">
        <v>42079</v>
      </c>
      <c r="D1523" s="1">
        <v>2.5228999999999999</v>
      </c>
    </row>
    <row r="1524" spans="1:4" x14ac:dyDescent="0.25">
      <c r="A1524" s="65">
        <v>42054</v>
      </c>
      <c r="B1524" s="1">
        <v>3.3483000000000001</v>
      </c>
      <c r="C1524" s="65">
        <v>42080</v>
      </c>
      <c r="D1524" s="1">
        <v>2.5460000000000003</v>
      </c>
    </row>
    <row r="1525" spans="1:4" x14ac:dyDescent="0.25">
      <c r="A1525" s="65">
        <v>42055</v>
      </c>
      <c r="B1525" s="1">
        <v>3.3460000000000001</v>
      </c>
      <c r="C1525" s="65">
        <v>42081</v>
      </c>
      <c r="D1525" s="1">
        <v>2.5638000000000001</v>
      </c>
    </row>
    <row r="1526" spans="1:4" x14ac:dyDescent="0.25">
      <c r="A1526" s="65">
        <v>42058</v>
      </c>
      <c r="B1526" s="1">
        <v>3.3182999999999998</v>
      </c>
      <c r="C1526" s="65">
        <v>42082</v>
      </c>
      <c r="D1526" s="1">
        <v>2.5367999999999999</v>
      </c>
    </row>
    <row r="1527" spans="1:4" x14ac:dyDescent="0.25">
      <c r="A1527" s="65">
        <v>42059</v>
      </c>
      <c r="B1527" s="1">
        <v>3.2926000000000002</v>
      </c>
      <c r="C1527" s="65">
        <v>42083</v>
      </c>
      <c r="D1527" s="1">
        <v>2.4962</v>
      </c>
    </row>
    <row r="1528" spans="1:4" x14ac:dyDescent="0.25">
      <c r="A1528" s="65">
        <v>42060</v>
      </c>
      <c r="B1528" s="1">
        <v>3.2974999999999999</v>
      </c>
      <c r="C1528" s="65">
        <v>42086</v>
      </c>
      <c r="D1528" s="1">
        <v>2.5068000000000001</v>
      </c>
    </row>
    <row r="1529" spans="1:4" x14ac:dyDescent="0.25">
      <c r="A1529" s="65">
        <v>42061</v>
      </c>
      <c r="B1529" s="1">
        <v>3.2669999999999999</v>
      </c>
      <c r="C1529" s="65">
        <v>42087</v>
      </c>
      <c r="D1529" s="1">
        <v>2.4771000000000001</v>
      </c>
    </row>
    <row r="1530" spans="1:4" x14ac:dyDescent="0.25">
      <c r="A1530" s="65">
        <v>42062</v>
      </c>
      <c r="B1530" s="1">
        <v>3.2450999999999999</v>
      </c>
      <c r="C1530" s="65">
        <v>42088</v>
      </c>
      <c r="D1530" s="1">
        <v>2.4973000000000001</v>
      </c>
    </row>
    <row r="1531" spans="1:4" x14ac:dyDescent="0.25">
      <c r="A1531" s="65">
        <v>42065</v>
      </c>
      <c r="B1531" s="1">
        <v>3.2523</v>
      </c>
      <c r="C1531" s="65">
        <v>42089</v>
      </c>
      <c r="D1531" s="1">
        <v>2.524</v>
      </c>
    </row>
    <row r="1532" spans="1:4" x14ac:dyDescent="0.25">
      <c r="A1532" s="65">
        <v>42066</v>
      </c>
      <c r="B1532" s="1">
        <v>3.2907000000000002</v>
      </c>
      <c r="C1532" s="65">
        <v>42090</v>
      </c>
      <c r="D1532" s="1">
        <v>2.5146999999999999</v>
      </c>
    </row>
    <row r="1533" spans="1:4" x14ac:dyDescent="0.25">
      <c r="A1533" s="65">
        <v>42067</v>
      </c>
      <c r="B1533" s="1">
        <v>3.2591999999999999</v>
      </c>
      <c r="C1533" s="65">
        <v>42093</v>
      </c>
      <c r="D1533" s="1">
        <v>2.4849000000000001</v>
      </c>
    </row>
    <row r="1534" spans="1:4" x14ac:dyDescent="0.25">
      <c r="A1534" s="65">
        <v>42068</v>
      </c>
      <c r="B1534" s="1">
        <v>3.2279</v>
      </c>
      <c r="C1534" s="65">
        <v>42094</v>
      </c>
      <c r="D1534" s="1">
        <v>2.496</v>
      </c>
    </row>
    <row r="1535" spans="1:4" x14ac:dyDescent="0.25">
      <c r="A1535" s="65">
        <v>42069</v>
      </c>
      <c r="B1535" s="1">
        <v>3.2284000000000002</v>
      </c>
      <c r="C1535" s="65">
        <v>42095</v>
      </c>
      <c r="D1535" s="1">
        <v>2.4744000000000002</v>
      </c>
    </row>
    <row r="1536" spans="1:4" x14ac:dyDescent="0.25">
      <c r="A1536" s="65">
        <v>42072</v>
      </c>
      <c r="B1536" s="1">
        <v>3.2349999999999999</v>
      </c>
      <c r="C1536" s="65">
        <v>42096</v>
      </c>
      <c r="D1536" s="1">
        <v>2.4798</v>
      </c>
    </row>
    <row r="1537" spans="1:4" x14ac:dyDescent="0.25">
      <c r="A1537" s="65">
        <v>42073</v>
      </c>
      <c r="B1537" s="1">
        <v>3.274</v>
      </c>
      <c r="C1537" s="65">
        <v>42101</v>
      </c>
      <c r="D1537" s="1">
        <v>2.4380999999999999</v>
      </c>
    </row>
    <row r="1538" spans="1:4" x14ac:dyDescent="0.25">
      <c r="A1538" s="65">
        <v>42074</v>
      </c>
      <c r="B1538" s="1">
        <v>3.2002000000000002</v>
      </c>
      <c r="C1538" s="65">
        <v>42102</v>
      </c>
      <c r="D1538" s="1">
        <v>2.4264999999999999</v>
      </c>
    </row>
    <row r="1539" spans="1:4" x14ac:dyDescent="0.25">
      <c r="A1539" s="65">
        <v>42075</v>
      </c>
      <c r="B1539" s="1">
        <v>3.2073999999999998</v>
      </c>
      <c r="C1539" s="65">
        <v>42103</v>
      </c>
      <c r="D1539" s="1">
        <v>2.4036</v>
      </c>
    </row>
    <row r="1540" spans="1:4" x14ac:dyDescent="0.25">
      <c r="A1540" s="65">
        <v>42076</v>
      </c>
      <c r="B1540" s="1">
        <v>3.1943000000000001</v>
      </c>
      <c r="C1540" s="65">
        <v>42104</v>
      </c>
      <c r="D1540" s="1">
        <v>2.3961999999999999</v>
      </c>
    </row>
    <row r="1541" spans="1:4" x14ac:dyDescent="0.25">
      <c r="A1541" s="65">
        <v>42079</v>
      </c>
      <c r="B1541" s="1">
        <v>3.1507999999999998</v>
      </c>
      <c r="C1541" s="65">
        <v>42107</v>
      </c>
      <c r="D1541" s="1">
        <v>2.383</v>
      </c>
    </row>
    <row r="1542" spans="1:4" x14ac:dyDescent="0.25">
      <c r="A1542" s="65">
        <v>42080</v>
      </c>
      <c r="B1542" s="1">
        <v>3.1804999999999999</v>
      </c>
      <c r="C1542" s="65">
        <v>42108</v>
      </c>
      <c r="D1542" s="1">
        <v>2.4087000000000001</v>
      </c>
    </row>
    <row r="1543" spans="1:4" x14ac:dyDescent="0.25">
      <c r="A1543" s="65">
        <v>42081</v>
      </c>
      <c r="B1543" s="1">
        <v>3.1836000000000002</v>
      </c>
      <c r="C1543" s="65">
        <v>42109</v>
      </c>
      <c r="D1543" s="1">
        <v>2.3809</v>
      </c>
    </row>
    <row r="1544" spans="1:4" x14ac:dyDescent="0.25">
      <c r="A1544" s="65">
        <v>42082</v>
      </c>
      <c r="B1544" s="1">
        <v>3.1817000000000002</v>
      </c>
      <c r="C1544" s="65">
        <v>42110</v>
      </c>
      <c r="D1544" s="1">
        <v>2.4232</v>
      </c>
    </row>
    <row r="1545" spans="1:4" x14ac:dyDescent="0.25">
      <c r="A1545" s="65">
        <v>42083</v>
      </c>
      <c r="B1545" s="1">
        <v>3.1345000000000001</v>
      </c>
      <c r="C1545" s="65">
        <v>42111</v>
      </c>
      <c r="D1545" s="1">
        <v>2.4828000000000001</v>
      </c>
    </row>
    <row r="1546" spans="1:4" x14ac:dyDescent="0.25">
      <c r="A1546" s="65">
        <v>42086</v>
      </c>
      <c r="B1546" s="1">
        <v>3.1873</v>
      </c>
      <c r="C1546" s="65">
        <v>42114</v>
      </c>
      <c r="D1546" s="1">
        <v>2.4496000000000002</v>
      </c>
    </row>
    <row r="1547" spans="1:4" x14ac:dyDescent="0.25">
      <c r="A1547" s="65">
        <v>42087</v>
      </c>
      <c r="B1547" s="1">
        <v>3.1833</v>
      </c>
      <c r="C1547" s="65">
        <v>42115</v>
      </c>
      <c r="D1547" s="1">
        <v>2.4594</v>
      </c>
    </row>
    <row r="1548" spans="1:4" x14ac:dyDescent="0.25">
      <c r="A1548" s="65">
        <v>42088</v>
      </c>
      <c r="B1548" s="1">
        <v>3.2242000000000002</v>
      </c>
      <c r="C1548" s="65">
        <v>42116</v>
      </c>
      <c r="D1548" s="1">
        <v>2.4515000000000002</v>
      </c>
    </row>
    <row r="1549" spans="1:4" x14ac:dyDescent="0.25">
      <c r="A1549" s="65">
        <v>42089</v>
      </c>
      <c r="B1549" s="1">
        <v>3.2366999999999999</v>
      </c>
      <c r="C1549" s="65">
        <v>42117</v>
      </c>
      <c r="D1549" s="1">
        <v>2.4637000000000002</v>
      </c>
    </row>
    <row r="1550" spans="1:4" x14ac:dyDescent="0.25">
      <c r="A1550" s="65">
        <v>42090</v>
      </c>
      <c r="B1550" s="1">
        <v>3.2284999999999999</v>
      </c>
      <c r="C1550" s="65">
        <v>42118</v>
      </c>
      <c r="D1550" s="1">
        <v>2.4398</v>
      </c>
    </row>
    <row r="1551" spans="1:4" x14ac:dyDescent="0.25">
      <c r="A1551" s="65">
        <v>42093</v>
      </c>
      <c r="B1551" s="1">
        <v>3.1789999999999998</v>
      </c>
      <c r="C1551" s="65">
        <v>42121</v>
      </c>
      <c r="D1551" s="1">
        <v>2.4009</v>
      </c>
    </row>
    <row r="1552" spans="1:4" x14ac:dyDescent="0.25">
      <c r="A1552" s="65">
        <v>42094</v>
      </c>
      <c r="B1552" s="1">
        <v>3.2050999999999998</v>
      </c>
      <c r="C1552" s="65">
        <v>42122</v>
      </c>
      <c r="D1552" s="1">
        <v>2.4289000000000001</v>
      </c>
    </row>
    <row r="1553" spans="1:4" x14ac:dyDescent="0.25">
      <c r="A1553" s="65">
        <v>42095</v>
      </c>
      <c r="B1553" s="1">
        <v>3.19</v>
      </c>
      <c r="C1553" s="65">
        <v>42123</v>
      </c>
      <c r="D1553" s="1">
        <v>2.4855999999999998</v>
      </c>
    </row>
    <row r="1554" spans="1:4" x14ac:dyDescent="0.25">
      <c r="A1554" s="65">
        <v>42096</v>
      </c>
      <c r="B1554" s="1">
        <v>3.1981000000000002</v>
      </c>
      <c r="C1554" s="65">
        <v>42124</v>
      </c>
      <c r="D1554" s="1">
        <v>2.4802</v>
      </c>
    </row>
    <row r="1555" spans="1:4" x14ac:dyDescent="0.25">
      <c r="A1555" s="65">
        <v>42101</v>
      </c>
      <c r="B1555" s="1">
        <v>3.1528</v>
      </c>
      <c r="C1555" s="65">
        <v>42128</v>
      </c>
      <c r="D1555" s="1">
        <v>2.4618000000000002</v>
      </c>
    </row>
    <row r="1556" spans="1:4" x14ac:dyDescent="0.25">
      <c r="A1556" s="65">
        <v>42102</v>
      </c>
      <c r="B1556" s="1">
        <v>3.1747000000000001</v>
      </c>
      <c r="C1556" s="65">
        <v>42129</v>
      </c>
      <c r="D1556" s="1">
        <v>2.5316999999999998</v>
      </c>
    </row>
    <row r="1557" spans="1:4" x14ac:dyDescent="0.25">
      <c r="A1557" s="65">
        <v>42103</v>
      </c>
      <c r="B1557" s="1">
        <v>3.1419000000000001</v>
      </c>
      <c r="C1557" s="65">
        <v>42130</v>
      </c>
      <c r="D1557" s="1">
        <v>2.5224000000000002</v>
      </c>
    </row>
    <row r="1558" spans="1:4" x14ac:dyDescent="0.25">
      <c r="A1558" s="65">
        <v>42104</v>
      </c>
      <c r="B1558" s="1">
        <v>3.1131000000000002</v>
      </c>
      <c r="C1558" s="65">
        <v>42131</v>
      </c>
      <c r="D1558" s="1">
        <v>2.5023</v>
      </c>
    </row>
    <row r="1559" spans="1:4" x14ac:dyDescent="0.25">
      <c r="A1559" s="65">
        <v>42107</v>
      </c>
      <c r="B1559" s="1">
        <v>3.1032999999999999</v>
      </c>
      <c r="C1559" s="65">
        <v>42132</v>
      </c>
      <c r="D1559" s="1">
        <v>2.4518</v>
      </c>
    </row>
    <row r="1560" spans="1:4" x14ac:dyDescent="0.25">
      <c r="A1560" s="65">
        <v>42108</v>
      </c>
      <c r="B1560" s="1">
        <v>3.1408</v>
      </c>
      <c r="C1560" s="65">
        <v>42135</v>
      </c>
      <c r="D1560" s="1">
        <v>2.4508000000000001</v>
      </c>
    </row>
    <row r="1561" spans="1:4" x14ac:dyDescent="0.25">
      <c r="A1561" s="65">
        <v>42109</v>
      </c>
      <c r="B1561" s="1">
        <v>3.1250999999999998</v>
      </c>
      <c r="C1561" s="65">
        <v>42136</v>
      </c>
      <c r="D1561" s="1">
        <v>2.4737999999999998</v>
      </c>
    </row>
    <row r="1562" spans="1:4" x14ac:dyDescent="0.25">
      <c r="A1562" s="65">
        <v>42110</v>
      </c>
      <c r="B1562" s="1">
        <v>3.1682000000000001</v>
      </c>
      <c r="C1562" s="65">
        <v>42137</v>
      </c>
      <c r="D1562" s="1">
        <v>2.4624999999999999</v>
      </c>
    </row>
    <row r="1563" spans="1:4" x14ac:dyDescent="0.25">
      <c r="A1563" s="65">
        <v>42111</v>
      </c>
      <c r="B1563" s="1">
        <v>3.2351999999999999</v>
      </c>
      <c r="C1563" s="65">
        <v>42138</v>
      </c>
      <c r="D1563" s="1">
        <v>2.4272</v>
      </c>
    </row>
    <row r="1564" spans="1:4" x14ac:dyDescent="0.25">
      <c r="A1564" s="65">
        <v>42114</v>
      </c>
      <c r="B1564" s="1">
        <v>3.1968999999999999</v>
      </c>
      <c r="C1564" s="65">
        <v>42139</v>
      </c>
      <c r="D1564" s="1">
        <v>2.4350000000000001</v>
      </c>
    </row>
    <row r="1565" spans="1:4" x14ac:dyDescent="0.25">
      <c r="A1565" s="65">
        <v>42115</v>
      </c>
      <c r="B1565" s="1">
        <v>3.1962999999999999</v>
      </c>
      <c r="C1565" s="65">
        <v>42142</v>
      </c>
      <c r="D1565" s="1">
        <v>2.8416000000000001</v>
      </c>
    </row>
    <row r="1566" spans="1:4" x14ac:dyDescent="0.25">
      <c r="A1566" s="65">
        <v>42116</v>
      </c>
      <c r="B1566" s="1">
        <v>3.1920000000000002</v>
      </c>
      <c r="C1566" s="65">
        <v>42143</v>
      </c>
      <c r="D1566" s="1">
        <v>2.7244999999999999</v>
      </c>
    </row>
    <row r="1567" spans="1:4" x14ac:dyDescent="0.25">
      <c r="A1567" s="65">
        <v>42117</v>
      </c>
      <c r="B1567" s="1">
        <v>3.2161</v>
      </c>
      <c r="C1567" s="65">
        <v>42144</v>
      </c>
      <c r="D1567" s="1">
        <v>2.7161</v>
      </c>
    </row>
    <row r="1568" spans="1:4" x14ac:dyDescent="0.25">
      <c r="A1568" s="65">
        <v>42118</v>
      </c>
      <c r="B1568" s="1">
        <v>3.2067999999999999</v>
      </c>
      <c r="C1568" s="65">
        <v>42145</v>
      </c>
      <c r="D1568" s="1">
        <v>2.7198000000000002</v>
      </c>
    </row>
    <row r="1569" spans="1:4" x14ac:dyDescent="0.25">
      <c r="A1569" s="65">
        <v>42121</v>
      </c>
      <c r="B1569" s="1">
        <v>3.1579000000000002</v>
      </c>
      <c r="C1569" s="65">
        <v>42146</v>
      </c>
      <c r="D1569" s="1">
        <v>2.7149999999999999</v>
      </c>
    </row>
    <row r="1570" spans="1:4" x14ac:dyDescent="0.25">
      <c r="A1570" s="65">
        <v>42122</v>
      </c>
      <c r="B1570" s="1">
        <v>3.2054999999999998</v>
      </c>
      <c r="C1570" s="65">
        <v>42149</v>
      </c>
      <c r="D1570" s="1">
        <v>2.7730999999999999</v>
      </c>
    </row>
    <row r="1571" spans="1:4" x14ac:dyDescent="0.25">
      <c r="A1571" s="65">
        <v>42123</v>
      </c>
      <c r="B1571" s="1">
        <v>3.2927</v>
      </c>
      <c r="C1571" s="65">
        <v>42150</v>
      </c>
      <c r="D1571" s="1">
        <v>2.7681</v>
      </c>
    </row>
    <row r="1572" spans="1:4" x14ac:dyDescent="0.25">
      <c r="A1572" s="65">
        <v>42124</v>
      </c>
      <c r="B1572" s="1">
        <v>3.294</v>
      </c>
      <c r="C1572" s="65">
        <v>42151</v>
      </c>
      <c r="D1572" s="1">
        <v>2.7061000000000002</v>
      </c>
    </row>
    <row r="1573" spans="1:4" x14ac:dyDescent="0.25">
      <c r="A1573" s="65">
        <v>42125</v>
      </c>
      <c r="B1573" s="1">
        <v>3.294</v>
      </c>
      <c r="C1573" s="65">
        <v>42152</v>
      </c>
      <c r="D1573" s="1">
        <v>2.7195</v>
      </c>
    </row>
    <row r="1574" spans="1:4" x14ac:dyDescent="0.25">
      <c r="A1574" s="65">
        <v>42128</v>
      </c>
      <c r="B1574" s="1">
        <v>3.2949000000000002</v>
      </c>
      <c r="C1574" s="65">
        <v>42153</v>
      </c>
      <c r="D1574" s="1">
        <v>2.7481999999999998</v>
      </c>
    </row>
    <row r="1575" spans="1:4" x14ac:dyDescent="0.25">
      <c r="A1575" s="65">
        <v>42129</v>
      </c>
      <c r="B1575" s="1">
        <v>3.3773</v>
      </c>
      <c r="C1575" s="65">
        <v>42156</v>
      </c>
      <c r="D1575" s="1">
        <v>2.7553000000000001</v>
      </c>
    </row>
    <row r="1576" spans="1:4" x14ac:dyDescent="0.25">
      <c r="A1576" s="65">
        <v>42130</v>
      </c>
      <c r="B1576" s="1">
        <v>3.3768000000000002</v>
      </c>
      <c r="C1576" s="65">
        <v>42157</v>
      </c>
      <c r="D1576" s="1">
        <v>2.7387999999999999</v>
      </c>
    </row>
    <row r="1577" spans="1:4" x14ac:dyDescent="0.25">
      <c r="A1577" s="65">
        <v>42131</v>
      </c>
      <c r="B1577" s="1">
        <v>3.4111000000000002</v>
      </c>
      <c r="C1577" s="65">
        <v>42158</v>
      </c>
      <c r="D1577" s="1">
        <v>2.7351000000000001</v>
      </c>
    </row>
    <row r="1578" spans="1:4" x14ac:dyDescent="0.25">
      <c r="A1578" s="65">
        <v>42132</v>
      </c>
      <c r="B1578" s="1">
        <v>3.3153000000000001</v>
      </c>
      <c r="C1578" s="65">
        <v>42159</v>
      </c>
      <c r="D1578" s="1">
        <v>2.7669999999999999</v>
      </c>
    </row>
    <row r="1579" spans="1:4" x14ac:dyDescent="0.25">
      <c r="A1579" s="65">
        <v>42135</v>
      </c>
      <c r="B1579" s="1">
        <v>3.3536000000000001</v>
      </c>
      <c r="C1579" s="65">
        <v>42160</v>
      </c>
      <c r="D1579" s="1">
        <v>2.8262</v>
      </c>
    </row>
    <row r="1580" spans="1:4" x14ac:dyDescent="0.25">
      <c r="A1580" s="65">
        <v>42136</v>
      </c>
      <c r="B1580" s="1">
        <v>3.4026000000000001</v>
      </c>
      <c r="C1580" s="65">
        <v>42163</v>
      </c>
      <c r="D1580" s="1">
        <v>2.8517999999999999</v>
      </c>
    </row>
    <row r="1581" spans="1:4" x14ac:dyDescent="0.25">
      <c r="A1581" s="65">
        <v>42137</v>
      </c>
      <c r="B1581" s="1">
        <v>3.4419</v>
      </c>
      <c r="C1581" s="65">
        <v>42164</v>
      </c>
      <c r="D1581" s="1">
        <v>2.8662999999999998</v>
      </c>
    </row>
    <row r="1582" spans="1:4" x14ac:dyDescent="0.25">
      <c r="A1582" s="65">
        <v>42138</v>
      </c>
      <c r="B1582" s="1">
        <v>3.3887</v>
      </c>
      <c r="C1582" s="65">
        <v>42165</v>
      </c>
      <c r="D1582" s="1">
        <v>2.7963</v>
      </c>
    </row>
    <row r="1583" spans="1:4" x14ac:dyDescent="0.25">
      <c r="A1583" s="65">
        <v>42139</v>
      </c>
      <c r="B1583" s="1">
        <v>3.4163999999999999</v>
      </c>
      <c r="C1583" s="65">
        <v>42166</v>
      </c>
      <c r="D1583" s="1">
        <v>2.7866</v>
      </c>
    </row>
    <row r="1584" spans="1:4" x14ac:dyDescent="0.25">
      <c r="A1584" s="65">
        <v>42142</v>
      </c>
      <c r="B1584" s="1">
        <v>3.4319999999999999</v>
      </c>
      <c r="C1584" s="65">
        <v>42167</v>
      </c>
      <c r="D1584" s="1">
        <v>2.8224999999999998</v>
      </c>
    </row>
    <row r="1585" spans="1:4" x14ac:dyDescent="0.25">
      <c r="A1585" s="65">
        <v>42143</v>
      </c>
      <c r="B1585" s="1">
        <v>3.3567</v>
      </c>
      <c r="C1585" s="65">
        <v>42170</v>
      </c>
      <c r="D1585" s="1">
        <v>2.8951000000000002</v>
      </c>
    </row>
    <row r="1586" spans="1:4" x14ac:dyDescent="0.25">
      <c r="A1586" s="65">
        <v>42144</v>
      </c>
      <c r="B1586" s="1">
        <v>3.3449</v>
      </c>
      <c r="C1586" s="65">
        <v>42171</v>
      </c>
      <c r="D1586" s="1">
        <v>2.8879999999999999</v>
      </c>
    </row>
    <row r="1587" spans="1:4" x14ac:dyDescent="0.25">
      <c r="A1587" s="65">
        <v>42145</v>
      </c>
      <c r="B1587" s="1">
        <v>3.3441999999999998</v>
      </c>
      <c r="C1587" s="65">
        <v>42172</v>
      </c>
      <c r="D1587" s="1">
        <v>2.9085000000000001</v>
      </c>
    </row>
    <row r="1588" spans="1:4" x14ac:dyDescent="0.25">
      <c r="A1588" s="65">
        <v>42146</v>
      </c>
      <c r="B1588" s="1">
        <v>3.3548</v>
      </c>
      <c r="C1588" s="65">
        <v>42173</v>
      </c>
      <c r="D1588" s="1">
        <v>2.8780999999999999</v>
      </c>
    </row>
    <row r="1589" spans="1:4" x14ac:dyDescent="0.25">
      <c r="A1589" s="65">
        <v>42149</v>
      </c>
      <c r="B1589" s="1">
        <v>3.3765999999999998</v>
      </c>
      <c r="C1589" s="65">
        <v>42174</v>
      </c>
      <c r="D1589" s="1">
        <v>2.8477999999999999</v>
      </c>
    </row>
    <row r="1590" spans="1:4" x14ac:dyDescent="0.25">
      <c r="A1590" s="65">
        <v>42150</v>
      </c>
      <c r="B1590" s="1">
        <v>3.4173</v>
      </c>
      <c r="C1590" s="65">
        <v>42177</v>
      </c>
      <c r="D1590" s="1">
        <v>2.7848000000000002</v>
      </c>
    </row>
    <row r="1591" spans="1:4" x14ac:dyDescent="0.25">
      <c r="A1591" s="65">
        <v>42151</v>
      </c>
      <c r="B1591" s="1">
        <v>3.3582999999999998</v>
      </c>
      <c r="C1591" s="65">
        <v>42178</v>
      </c>
      <c r="D1591" s="1">
        <v>2.7711000000000001</v>
      </c>
    </row>
    <row r="1592" spans="1:4" x14ac:dyDescent="0.25">
      <c r="A1592" s="65">
        <v>42152</v>
      </c>
      <c r="B1592" s="1">
        <v>3.3952999999999998</v>
      </c>
      <c r="C1592" s="65">
        <v>42179</v>
      </c>
      <c r="D1592" s="1">
        <v>2.7856999999999998</v>
      </c>
    </row>
    <row r="1593" spans="1:4" x14ac:dyDescent="0.25">
      <c r="A1593" s="65">
        <v>42153</v>
      </c>
      <c r="B1593" s="1">
        <v>3.4712999999999998</v>
      </c>
      <c r="C1593" s="65">
        <v>42180</v>
      </c>
      <c r="D1593" s="1">
        <v>2.7622</v>
      </c>
    </row>
    <row r="1594" spans="1:4" x14ac:dyDescent="0.25">
      <c r="A1594" s="65">
        <v>42156</v>
      </c>
      <c r="B1594" s="1">
        <v>3.4784999999999999</v>
      </c>
      <c r="C1594" s="65">
        <v>42181</v>
      </c>
      <c r="D1594" s="1">
        <v>2.7439</v>
      </c>
    </row>
    <row r="1595" spans="1:4" x14ac:dyDescent="0.25">
      <c r="A1595" s="65">
        <v>42157</v>
      </c>
      <c r="B1595" s="1">
        <v>3.4912999999999998</v>
      </c>
      <c r="C1595" s="65">
        <v>42184</v>
      </c>
      <c r="D1595" s="1">
        <v>2.8935</v>
      </c>
    </row>
    <row r="1596" spans="1:4" x14ac:dyDescent="0.25">
      <c r="A1596" s="65">
        <v>42158</v>
      </c>
      <c r="B1596" s="1">
        <v>3.4699999999999998</v>
      </c>
      <c r="C1596" s="65">
        <v>42185</v>
      </c>
      <c r="D1596" s="1">
        <v>2.9140999999999999</v>
      </c>
    </row>
    <row r="1597" spans="1:4" x14ac:dyDescent="0.25">
      <c r="A1597" s="65">
        <v>42159</v>
      </c>
      <c r="B1597" s="1">
        <v>3.4796</v>
      </c>
      <c r="C1597" s="65">
        <v>42186</v>
      </c>
      <c r="D1597" s="1">
        <v>2.8528000000000002</v>
      </c>
    </row>
    <row r="1598" spans="1:4" x14ac:dyDescent="0.25">
      <c r="A1598" s="65">
        <v>42160</v>
      </c>
      <c r="B1598" s="1">
        <v>3.5255999999999998</v>
      </c>
      <c r="C1598" s="65">
        <v>42187</v>
      </c>
      <c r="D1598" s="1">
        <v>2.8940000000000001</v>
      </c>
    </row>
    <row r="1599" spans="1:4" x14ac:dyDescent="0.25">
      <c r="A1599" s="65">
        <v>42163</v>
      </c>
      <c r="B1599" s="1">
        <v>3.5135000000000001</v>
      </c>
      <c r="C1599" s="65">
        <v>42188</v>
      </c>
      <c r="D1599" s="1">
        <v>2.9079999999999999</v>
      </c>
    </row>
    <row r="1600" spans="1:4" x14ac:dyDescent="0.25">
      <c r="A1600" s="65">
        <v>42164</v>
      </c>
      <c r="B1600" s="1">
        <v>3.5251999999999999</v>
      </c>
      <c r="C1600" s="65">
        <v>42191</v>
      </c>
      <c r="D1600" s="1">
        <v>3.0301</v>
      </c>
    </row>
    <row r="1601" spans="1:4" x14ac:dyDescent="0.25">
      <c r="A1601" s="65">
        <v>42165</v>
      </c>
      <c r="B1601" s="1">
        <v>3.4556</v>
      </c>
      <c r="C1601" s="65">
        <v>42192</v>
      </c>
      <c r="D1601" s="1">
        <v>3.1230000000000002</v>
      </c>
    </row>
    <row r="1602" spans="1:4" x14ac:dyDescent="0.25">
      <c r="A1602" s="65">
        <v>42166</v>
      </c>
      <c r="B1602" s="1">
        <v>3.4308000000000001</v>
      </c>
      <c r="C1602" s="65">
        <v>42193</v>
      </c>
      <c r="D1602" s="1">
        <v>3.0426000000000002</v>
      </c>
    </row>
    <row r="1603" spans="1:4" x14ac:dyDescent="0.25">
      <c r="A1603" s="65">
        <v>42167</v>
      </c>
      <c r="B1603" s="1">
        <v>3.4788999999999999</v>
      </c>
      <c r="C1603" s="65">
        <v>42194</v>
      </c>
      <c r="D1603" s="1">
        <v>2.9393000000000002</v>
      </c>
    </row>
    <row r="1604" spans="1:4" x14ac:dyDescent="0.25">
      <c r="A1604" s="65">
        <v>42170</v>
      </c>
      <c r="B1604" s="1">
        <v>3.5444</v>
      </c>
      <c r="C1604" s="65">
        <v>42195</v>
      </c>
      <c r="D1604" s="1">
        <v>2.8534999999999999</v>
      </c>
    </row>
    <row r="1605" spans="1:4" x14ac:dyDescent="0.25">
      <c r="A1605" s="65">
        <v>42171</v>
      </c>
      <c r="B1605" s="1">
        <v>3.528</v>
      </c>
      <c r="C1605" s="65">
        <v>42198</v>
      </c>
      <c r="D1605" s="1">
        <v>2.8252999999999999</v>
      </c>
    </row>
    <row r="1606" spans="1:4" x14ac:dyDescent="0.25">
      <c r="A1606" s="65">
        <v>42172</v>
      </c>
      <c r="B1606" s="1">
        <v>3.5735000000000001</v>
      </c>
      <c r="C1606" s="65">
        <v>42199</v>
      </c>
      <c r="D1606" s="1">
        <v>2.8338000000000001</v>
      </c>
    </row>
    <row r="1607" spans="1:4" x14ac:dyDescent="0.25">
      <c r="A1607" s="65">
        <v>42173</v>
      </c>
      <c r="B1607" s="1">
        <v>3.5074999999999998</v>
      </c>
      <c r="C1607" s="65">
        <v>42200</v>
      </c>
      <c r="D1607" s="1">
        <v>2.798</v>
      </c>
    </row>
    <row r="1608" spans="1:4" x14ac:dyDescent="0.25">
      <c r="A1608" s="65">
        <v>42174</v>
      </c>
      <c r="B1608" s="1">
        <v>3.5021</v>
      </c>
      <c r="C1608" s="65">
        <v>42201</v>
      </c>
      <c r="D1608" s="1">
        <v>2.7521</v>
      </c>
    </row>
    <row r="1609" spans="1:4" x14ac:dyDescent="0.25">
      <c r="A1609" s="65">
        <v>42177</v>
      </c>
      <c r="B1609" s="1">
        <v>3.3723999999999998</v>
      </c>
      <c r="C1609" s="65">
        <v>42202</v>
      </c>
      <c r="D1609" s="1">
        <v>2.7541000000000002</v>
      </c>
    </row>
    <row r="1610" spans="1:4" x14ac:dyDescent="0.25">
      <c r="A1610" s="65">
        <v>42178</v>
      </c>
      <c r="B1610" s="1">
        <v>3.3445999999999998</v>
      </c>
      <c r="C1610" s="65">
        <v>42205</v>
      </c>
      <c r="D1610" s="1">
        <v>2.7237</v>
      </c>
    </row>
    <row r="1611" spans="1:4" x14ac:dyDescent="0.25">
      <c r="A1611" s="65">
        <v>42179</v>
      </c>
      <c r="B1611" s="1">
        <v>3.3584999999999998</v>
      </c>
      <c r="C1611" s="65">
        <v>42206</v>
      </c>
      <c r="D1611" s="1">
        <v>2.7602000000000002</v>
      </c>
    </row>
    <row r="1612" spans="1:4" x14ac:dyDescent="0.25">
      <c r="A1612" s="65">
        <v>42180</v>
      </c>
      <c r="B1612" s="1">
        <v>3.4129999999999998</v>
      </c>
      <c r="C1612" s="65">
        <v>42207</v>
      </c>
      <c r="D1612" s="1">
        <v>2.7639</v>
      </c>
    </row>
    <row r="1613" spans="1:4" x14ac:dyDescent="0.25">
      <c r="A1613" s="65">
        <v>42181</v>
      </c>
      <c r="B1613" s="1">
        <v>3.4032</v>
      </c>
      <c r="C1613" s="65">
        <v>42208</v>
      </c>
      <c r="D1613" s="1">
        <v>2.7694999999999999</v>
      </c>
    </row>
    <row r="1614" spans="1:4" x14ac:dyDescent="0.25">
      <c r="A1614" s="65">
        <v>42184</v>
      </c>
      <c r="B1614" s="1">
        <v>3.5526999999999997</v>
      </c>
      <c r="C1614" s="65">
        <v>42209</v>
      </c>
      <c r="D1614" s="1">
        <v>2.7843</v>
      </c>
    </row>
    <row r="1615" spans="1:4" x14ac:dyDescent="0.25">
      <c r="A1615" s="65">
        <v>42185</v>
      </c>
      <c r="B1615" s="1">
        <v>3.5990000000000002</v>
      </c>
      <c r="C1615" s="65">
        <v>42212</v>
      </c>
      <c r="D1615" s="1">
        <v>2.8696000000000002</v>
      </c>
    </row>
    <row r="1616" spans="1:4" x14ac:dyDescent="0.25">
      <c r="A1616" s="65">
        <v>42186</v>
      </c>
      <c r="B1616" s="1">
        <v>3.5249000000000001</v>
      </c>
      <c r="C1616" s="65">
        <v>42213</v>
      </c>
      <c r="D1616" s="1">
        <v>2.8058000000000001</v>
      </c>
    </row>
    <row r="1617" spans="1:4" x14ac:dyDescent="0.25">
      <c r="A1617" s="65">
        <v>42187</v>
      </c>
      <c r="B1617" s="1">
        <v>3.5585</v>
      </c>
      <c r="C1617" s="65">
        <v>42214</v>
      </c>
      <c r="D1617" s="1">
        <v>2.8153000000000001</v>
      </c>
    </row>
    <row r="1618" spans="1:4" x14ac:dyDescent="0.25">
      <c r="A1618" s="65">
        <v>42188</v>
      </c>
      <c r="B1618" s="1">
        <v>3.5808</v>
      </c>
      <c r="C1618" s="65">
        <v>42215</v>
      </c>
      <c r="D1618" s="1">
        <v>2.7976000000000001</v>
      </c>
    </row>
    <row r="1619" spans="1:4" x14ac:dyDescent="0.25">
      <c r="A1619" s="65">
        <v>42191</v>
      </c>
      <c r="B1619" s="1">
        <v>3.6621999999999999</v>
      </c>
      <c r="C1619" s="65">
        <v>42216</v>
      </c>
      <c r="D1619" s="1">
        <v>2.7806999999999999</v>
      </c>
    </row>
    <row r="1620" spans="1:4" x14ac:dyDescent="0.25">
      <c r="A1620" s="65">
        <v>42192</v>
      </c>
      <c r="B1620" s="1">
        <v>3.7412000000000001</v>
      </c>
      <c r="C1620" s="65">
        <v>42219</v>
      </c>
      <c r="D1620" s="1">
        <v>2.76</v>
      </c>
    </row>
    <row r="1621" spans="1:4" x14ac:dyDescent="0.25">
      <c r="A1621" s="65">
        <v>42193</v>
      </c>
      <c r="B1621" s="1">
        <v>3.7037</v>
      </c>
      <c r="C1621" s="65">
        <v>42220</v>
      </c>
      <c r="D1621" s="1">
        <v>2.7884000000000002</v>
      </c>
    </row>
    <row r="1622" spans="1:4" x14ac:dyDescent="0.25">
      <c r="A1622" s="65">
        <v>42194</v>
      </c>
      <c r="B1622" s="1">
        <v>3.6034999999999999</v>
      </c>
      <c r="C1622" s="65">
        <v>42221</v>
      </c>
      <c r="D1622" s="1">
        <v>2.7372999999999998</v>
      </c>
    </row>
    <row r="1623" spans="1:4" x14ac:dyDescent="0.25">
      <c r="A1623" s="65">
        <v>42195</v>
      </c>
      <c r="B1623" s="1">
        <v>3.4923999999999999</v>
      </c>
      <c r="C1623" s="65">
        <v>42222</v>
      </c>
      <c r="D1623" s="1">
        <v>2.7488000000000001</v>
      </c>
    </row>
    <row r="1624" spans="1:4" x14ac:dyDescent="0.25">
      <c r="A1624" s="65">
        <v>42198</v>
      </c>
      <c r="B1624" s="1">
        <v>3.4325000000000001</v>
      </c>
      <c r="C1624" s="65">
        <v>42223</v>
      </c>
      <c r="D1624" s="1">
        <v>2.7610999999999999</v>
      </c>
    </row>
    <row r="1625" spans="1:4" x14ac:dyDescent="0.25">
      <c r="A1625" s="65">
        <v>42199</v>
      </c>
      <c r="B1625" s="1">
        <v>3.4165000000000001</v>
      </c>
      <c r="C1625" s="65">
        <v>42226</v>
      </c>
      <c r="D1625" s="1">
        <v>2.7309999999999999</v>
      </c>
    </row>
    <row r="1626" spans="1:4" x14ac:dyDescent="0.25">
      <c r="A1626" s="65">
        <v>42200</v>
      </c>
      <c r="B1626" s="1">
        <v>3.4007999999999998</v>
      </c>
      <c r="C1626" s="65">
        <v>42227</v>
      </c>
      <c r="D1626" s="1">
        <v>2.7618999999999998</v>
      </c>
    </row>
    <row r="1627" spans="1:4" x14ac:dyDescent="0.25">
      <c r="A1627" s="65">
        <v>42201</v>
      </c>
      <c r="B1627" s="1">
        <v>3.3521999999999998</v>
      </c>
      <c r="C1627" s="65">
        <v>42228</v>
      </c>
      <c r="D1627" s="1">
        <v>2.8460999999999999</v>
      </c>
    </row>
    <row r="1628" spans="1:4" x14ac:dyDescent="0.25">
      <c r="A1628" s="65">
        <v>42202</v>
      </c>
      <c r="B1628" s="1">
        <v>3.3578000000000001</v>
      </c>
      <c r="C1628" s="65">
        <v>42229</v>
      </c>
      <c r="D1628" s="1">
        <v>2.8024</v>
      </c>
    </row>
    <row r="1629" spans="1:4" x14ac:dyDescent="0.25">
      <c r="A1629" s="65">
        <v>42205</v>
      </c>
      <c r="B1629" s="1">
        <v>3.343</v>
      </c>
      <c r="C1629" s="65">
        <v>42230</v>
      </c>
      <c r="D1629" s="1">
        <v>2.8153999999999999</v>
      </c>
    </row>
    <row r="1630" spans="1:4" x14ac:dyDescent="0.25">
      <c r="A1630" s="65">
        <v>42206</v>
      </c>
      <c r="B1630" s="1">
        <v>3.3784000000000001</v>
      </c>
      <c r="C1630" s="65">
        <v>42233</v>
      </c>
      <c r="D1630" s="1">
        <v>2.7961999999999998</v>
      </c>
    </row>
    <row r="1631" spans="1:4" x14ac:dyDescent="0.25">
      <c r="A1631" s="65">
        <v>42207</v>
      </c>
      <c r="B1631" s="1">
        <v>3.3898999999999999</v>
      </c>
      <c r="C1631" s="65">
        <v>42234</v>
      </c>
      <c r="D1631" s="1">
        <v>2.7984</v>
      </c>
    </row>
    <row r="1632" spans="1:4" x14ac:dyDescent="0.25">
      <c r="A1632" s="65">
        <v>42208</v>
      </c>
      <c r="B1632" s="1">
        <v>3.3906999999999998</v>
      </c>
      <c r="C1632" s="65">
        <v>42235</v>
      </c>
      <c r="D1632" s="1">
        <v>2.8487999999999998</v>
      </c>
    </row>
    <row r="1633" spans="1:4" x14ac:dyDescent="0.25">
      <c r="A1633" s="65">
        <v>42209</v>
      </c>
      <c r="B1633" s="1">
        <v>3.4234</v>
      </c>
      <c r="C1633" s="65">
        <v>42236</v>
      </c>
      <c r="D1633" s="1">
        <v>2.9247999999999998</v>
      </c>
    </row>
    <row r="1634" spans="1:4" x14ac:dyDescent="0.25">
      <c r="A1634" s="65">
        <v>42212</v>
      </c>
      <c r="B1634" s="1">
        <v>3.508</v>
      </c>
      <c r="C1634" s="65">
        <v>42237</v>
      </c>
      <c r="D1634" s="1">
        <v>3.0099</v>
      </c>
    </row>
    <row r="1635" spans="1:4" x14ac:dyDescent="0.25">
      <c r="A1635" s="65">
        <v>42213</v>
      </c>
      <c r="B1635" s="1">
        <v>3.4676</v>
      </c>
      <c r="C1635" s="65">
        <v>42240</v>
      </c>
      <c r="D1635" s="1">
        <v>3.2006000000000001</v>
      </c>
    </row>
    <row r="1636" spans="1:4" x14ac:dyDescent="0.25">
      <c r="A1636" s="65">
        <v>42214</v>
      </c>
      <c r="B1636" s="1">
        <v>3.4468000000000001</v>
      </c>
      <c r="C1636" s="65">
        <v>42241</v>
      </c>
      <c r="D1636" s="1">
        <v>3.0232999999999999</v>
      </c>
    </row>
    <row r="1637" spans="1:4" x14ac:dyDescent="0.25">
      <c r="A1637" s="65">
        <v>42215</v>
      </c>
      <c r="B1637" s="1">
        <v>3.4388000000000001</v>
      </c>
      <c r="C1637" s="65">
        <v>42242</v>
      </c>
      <c r="D1637" s="1">
        <v>3.048</v>
      </c>
    </row>
    <row r="1638" spans="1:4" x14ac:dyDescent="0.25">
      <c r="A1638" s="65">
        <v>42216</v>
      </c>
      <c r="B1638" s="1">
        <v>3.4226999999999999</v>
      </c>
      <c r="C1638" s="65">
        <v>42243</v>
      </c>
      <c r="D1638" s="1">
        <v>2.9481999999999999</v>
      </c>
    </row>
    <row r="1639" spans="1:4" x14ac:dyDescent="0.25">
      <c r="A1639" s="65">
        <v>42219</v>
      </c>
      <c r="B1639" s="1">
        <v>3.3269000000000002</v>
      </c>
      <c r="C1639" s="65">
        <v>42244</v>
      </c>
      <c r="D1639" s="1">
        <v>2.976</v>
      </c>
    </row>
    <row r="1640" spans="1:4" x14ac:dyDescent="0.25">
      <c r="A1640" s="65">
        <v>42220</v>
      </c>
      <c r="B1640" s="1">
        <v>3.3416999999999999</v>
      </c>
      <c r="C1640" s="65">
        <v>42247</v>
      </c>
      <c r="D1640" s="1">
        <v>2.9830000000000001</v>
      </c>
    </row>
    <row r="1641" spans="1:4" x14ac:dyDescent="0.25">
      <c r="A1641" s="65">
        <v>42221</v>
      </c>
      <c r="B1641" s="1">
        <v>3.2894999999999999</v>
      </c>
      <c r="C1641" s="65">
        <v>42248</v>
      </c>
      <c r="D1641" s="1">
        <v>3.0512000000000001</v>
      </c>
    </row>
    <row r="1642" spans="1:4" x14ac:dyDescent="0.25">
      <c r="A1642" s="65">
        <v>42222</v>
      </c>
      <c r="B1642" s="1">
        <v>3.298</v>
      </c>
      <c r="C1642" s="65">
        <v>42249</v>
      </c>
      <c r="D1642" s="1">
        <v>3.0285000000000002</v>
      </c>
    </row>
    <row r="1643" spans="1:4" x14ac:dyDescent="0.25">
      <c r="A1643" s="65">
        <v>42223</v>
      </c>
      <c r="B1643" s="1">
        <v>3.3658999999999999</v>
      </c>
      <c r="C1643" s="65">
        <v>42250</v>
      </c>
      <c r="D1643" s="1">
        <v>2.9512999999999998</v>
      </c>
    </row>
    <row r="1644" spans="1:4" x14ac:dyDescent="0.25">
      <c r="A1644" s="65">
        <v>42226</v>
      </c>
      <c r="B1644" s="1">
        <v>3.3319000000000001</v>
      </c>
      <c r="C1644" s="65">
        <v>42251</v>
      </c>
      <c r="D1644" s="1">
        <v>3.0482</v>
      </c>
    </row>
    <row r="1645" spans="1:4" x14ac:dyDescent="0.25">
      <c r="A1645" s="65">
        <v>42227</v>
      </c>
      <c r="B1645" s="1">
        <v>3.3963000000000001</v>
      </c>
      <c r="C1645" s="65">
        <v>42254</v>
      </c>
      <c r="D1645" s="1">
        <v>3.0270999999999999</v>
      </c>
    </row>
    <row r="1646" spans="1:4" x14ac:dyDescent="0.25">
      <c r="A1646" s="65">
        <v>42228</v>
      </c>
      <c r="B1646" s="1">
        <v>3.5141</v>
      </c>
      <c r="C1646" s="65">
        <v>42255</v>
      </c>
      <c r="D1646" s="1">
        <v>2.9830999999999999</v>
      </c>
    </row>
    <row r="1647" spans="1:4" x14ac:dyDescent="0.25">
      <c r="A1647" s="65">
        <v>42229</v>
      </c>
      <c r="B1647" s="1">
        <v>3.4824000000000002</v>
      </c>
      <c r="C1647" s="65">
        <v>42256</v>
      </c>
      <c r="D1647" s="1">
        <v>2.9581</v>
      </c>
    </row>
    <row r="1648" spans="1:4" x14ac:dyDescent="0.25">
      <c r="A1648" s="65">
        <v>42230</v>
      </c>
      <c r="B1648" s="1">
        <v>3.5074999999999998</v>
      </c>
      <c r="C1648" s="65">
        <v>42257</v>
      </c>
      <c r="D1648" s="1">
        <v>2.9885000000000002</v>
      </c>
    </row>
    <row r="1649" spans="1:4" x14ac:dyDescent="0.25">
      <c r="A1649" s="65">
        <v>42233</v>
      </c>
      <c r="B1649" s="1">
        <v>3.5005999999999999</v>
      </c>
      <c r="C1649" s="65">
        <v>42258</v>
      </c>
      <c r="D1649" s="1">
        <v>3.0076000000000001</v>
      </c>
    </row>
    <row r="1650" spans="1:4" x14ac:dyDescent="0.25">
      <c r="A1650" s="65">
        <v>42234</v>
      </c>
      <c r="B1650" s="1">
        <v>3.5030999999999999</v>
      </c>
      <c r="C1650" s="65">
        <v>42261</v>
      </c>
      <c r="D1650" s="1">
        <v>3.0367000000000002</v>
      </c>
    </row>
    <row r="1651" spans="1:4" x14ac:dyDescent="0.25">
      <c r="A1651" s="65">
        <v>42235</v>
      </c>
      <c r="B1651" s="1">
        <v>3.57</v>
      </c>
      <c r="C1651" s="65">
        <v>42262</v>
      </c>
      <c r="D1651" s="1">
        <v>2.9882</v>
      </c>
    </row>
    <row r="1652" spans="1:4" x14ac:dyDescent="0.25">
      <c r="A1652" s="65">
        <v>42236</v>
      </c>
      <c r="B1652" s="1">
        <v>3.6513</v>
      </c>
      <c r="C1652" s="65">
        <v>42263</v>
      </c>
      <c r="D1652" s="1">
        <v>2.9670999999999998</v>
      </c>
    </row>
    <row r="1653" spans="1:4" x14ac:dyDescent="0.25">
      <c r="A1653" s="65">
        <v>42237</v>
      </c>
      <c r="B1653" s="1">
        <v>3.7707999999999999</v>
      </c>
      <c r="C1653" s="65">
        <v>42264</v>
      </c>
      <c r="D1653" s="1">
        <v>2.9617</v>
      </c>
    </row>
    <row r="1654" spans="1:4" x14ac:dyDescent="0.25">
      <c r="A1654" s="65">
        <v>42240</v>
      </c>
      <c r="B1654" s="1">
        <v>3.9840999999999998</v>
      </c>
      <c r="C1654" s="65">
        <v>42265</v>
      </c>
      <c r="D1654" s="1">
        <v>3.0421999999999998</v>
      </c>
    </row>
    <row r="1655" spans="1:4" x14ac:dyDescent="0.25">
      <c r="A1655" s="65">
        <v>42241</v>
      </c>
      <c r="B1655" s="1">
        <v>3.8050000000000002</v>
      </c>
      <c r="C1655" s="65">
        <v>42268</v>
      </c>
      <c r="D1655" s="1">
        <v>2.8867000000000003</v>
      </c>
    </row>
    <row r="1656" spans="1:4" x14ac:dyDescent="0.25">
      <c r="A1656" s="65">
        <v>42242</v>
      </c>
      <c r="B1656" s="1">
        <v>3.8618000000000001</v>
      </c>
      <c r="C1656" s="65">
        <v>42269</v>
      </c>
      <c r="D1656" s="1">
        <v>2.9861</v>
      </c>
    </row>
    <row r="1657" spans="1:4" x14ac:dyDescent="0.25">
      <c r="A1657" s="65">
        <v>42243</v>
      </c>
      <c r="B1657" s="1">
        <v>3.7321999999999997</v>
      </c>
      <c r="C1657" s="65">
        <v>42270</v>
      </c>
      <c r="D1657" s="1">
        <v>2.9807999999999999</v>
      </c>
    </row>
    <row r="1658" spans="1:4" x14ac:dyDescent="0.25">
      <c r="A1658" s="65">
        <v>42244</v>
      </c>
      <c r="B1658" s="1">
        <v>3.7256</v>
      </c>
      <c r="C1658" s="65">
        <v>42271</v>
      </c>
      <c r="D1658" s="1">
        <v>3.0512999999999999</v>
      </c>
    </row>
    <row r="1659" spans="1:4" x14ac:dyDescent="0.25">
      <c r="A1659" s="65">
        <v>42247</v>
      </c>
      <c r="B1659" s="1">
        <v>3.7450000000000001</v>
      </c>
      <c r="C1659" s="65">
        <v>42272</v>
      </c>
      <c r="D1659" s="1">
        <v>2.9431000000000003</v>
      </c>
    </row>
    <row r="1660" spans="1:4" x14ac:dyDescent="0.25">
      <c r="A1660" s="65">
        <v>42248</v>
      </c>
      <c r="B1660" s="1">
        <v>3.84</v>
      </c>
      <c r="C1660" s="65">
        <v>42275</v>
      </c>
      <c r="D1660" s="1">
        <v>3.0251999999999999</v>
      </c>
    </row>
    <row r="1661" spans="1:4" x14ac:dyDescent="0.25">
      <c r="A1661" s="65">
        <v>42249</v>
      </c>
      <c r="B1661" s="1">
        <v>3.8277999999999999</v>
      </c>
      <c r="C1661" s="65">
        <v>42276</v>
      </c>
      <c r="D1661" s="1">
        <v>3.03</v>
      </c>
    </row>
    <row r="1662" spans="1:4" x14ac:dyDescent="0.25">
      <c r="A1662" s="65">
        <v>42250</v>
      </c>
      <c r="B1662" s="1">
        <v>3.7443999999999997</v>
      </c>
      <c r="C1662" s="65">
        <v>42277</v>
      </c>
      <c r="D1662" s="1">
        <v>2.9492000000000003</v>
      </c>
    </row>
    <row r="1663" spans="1:4" x14ac:dyDescent="0.25">
      <c r="A1663" s="65">
        <v>42251</v>
      </c>
      <c r="B1663" s="1">
        <v>3.8502000000000001</v>
      </c>
      <c r="C1663" s="65">
        <v>42278</v>
      </c>
      <c r="D1663" s="1">
        <v>2.9704000000000002</v>
      </c>
    </row>
    <row r="1664" spans="1:4" x14ac:dyDescent="0.25">
      <c r="A1664" s="65">
        <v>42254</v>
      </c>
      <c r="B1664" s="1">
        <v>3.8289</v>
      </c>
      <c r="C1664" s="65">
        <v>42279</v>
      </c>
      <c r="D1664" s="1">
        <v>2.9352999999999998</v>
      </c>
    </row>
    <row r="1665" spans="1:4" x14ac:dyDescent="0.25">
      <c r="A1665" s="65">
        <v>42255</v>
      </c>
      <c r="B1665" s="1">
        <v>3.7864</v>
      </c>
      <c r="C1665" s="65">
        <v>42282</v>
      </c>
      <c r="D1665" s="1">
        <v>2.8571999999999997</v>
      </c>
    </row>
    <row r="1666" spans="1:4" x14ac:dyDescent="0.25">
      <c r="A1666" s="65">
        <v>42256</v>
      </c>
      <c r="B1666" s="1">
        <v>3.7446000000000002</v>
      </c>
      <c r="C1666" s="65">
        <v>42283</v>
      </c>
      <c r="D1666" s="1">
        <v>2.8311000000000002</v>
      </c>
    </row>
    <row r="1667" spans="1:4" x14ac:dyDescent="0.25">
      <c r="A1667" s="65">
        <v>42257</v>
      </c>
      <c r="B1667" s="1">
        <v>3.8012999999999999</v>
      </c>
      <c r="C1667" s="65">
        <v>42284</v>
      </c>
      <c r="D1667" s="1">
        <v>2.8536000000000001</v>
      </c>
    </row>
    <row r="1668" spans="1:4" x14ac:dyDescent="0.25">
      <c r="A1668" s="65">
        <v>42258</v>
      </c>
      <c r="B1668" s="1">
        <v>3.8409</v>
      </c>
      <c r="C1668" s="65">
        <v>42285</v>
      </c>
      <c r="D1668" s="1">
        <v>2.8342999999999998</v>
      </c>
    </row>
    <row r="1669" spans="1:4" x14ac:dyDescent="0.25">
      <c r="A1669" s="65">
        <v>42261</v>
      </c>
      <c r="B1669" s="1">
        <v>3.8557999999999999</v>
      </c>
      <c r="C1669" s="65">
        <v>42286</v>
      </c>
      <c r="D1669" s="1">
        <v>2.8214000000000001</v>
      </c>
    </row>
    <row r="1670" spans="1:4" x14ac:dyDescent="0.25">
      <c r="A1670" s="65">
        <v>42262</v>
      </c>
      <c r="B1670" s="1">
        <v>3.8174000000000001</v>
      </c>
      <c r="C1670" s="65">
        <v>42289</v>
      </c>
      <c r="D1670" s="1">
        <v>2.8426999999999998</v>
      </c>
    </row>
    <row r="1671" spans="1:4" x14ac:dyDescent="0.25">
      <c r="A1671" s="65">
        <v>42263</v>
      </c>
      <c r="B1671" s="1">
        <v>3.7879</v>
      </c>
      <c r="C1671" s="65">
        <v>42290</v>
      </c>
      <c r="D1671" s="1">
        <v>2.8481999999999998</v>
      </c>
    </row>
    <row r="1672" spans="1:4" x14ac:dyDescent="0.25">
      <c r="A1672" s="65">
        <v>42264</v>
      </c>
      <c r="B1672" s="1">
        <v>3.7833000000000001</v>
      </c>
      <c r="C1672" s="65">
        <v>42291</v>
      </c>
      <c r="D1672" s="1">
        <v>2.8757000000000001</v>
      </c>
    </row>
    <row r="1673" spans="1:4" x14ac:dyDescent="0.25">
      <c r="A1673" s="65">
        <v>42265</v>
      </c>
      <c r="B1673" s="1">
        <v>3.9013</v>
      </c>
      <c r="C1673" s="65">
        <v>42292</v>
      </c>
      <c r="D1673" s="1">
        <v>2.8247</v>
      </c>
    </row>
    <row r="1674" spans="1:4" x14ac:dyDescent="0.25">
      <c r="A1674" s="65">
        <v>42268</v>
      </c>
      <c r="B1674" s="1">
        <v>3.7362000000000002</v>
      </c>
      <c r="C1674" s="65">
        <v>42293</v>
      </c>
      <c r="D1674" s="1">
        <v>2.8094999999999999</v>
      </c>
    </row>
    <row r="1675" spans="1:4" x14ac:dyDescent="0.25">
      <c r="A1675" s="65">
        <v>42269</v>
      </c>
      <c r="B1675" s="1">
        <v>3.8681999999999999</v>
      </c>
      <c r="C1675" s="65">
        <v>42296</v>
      </c>
      <c r="D1675" s="1">
        <v>2.8044000000000002</v>
      </c>
    </row>
    <row r="1676" spans="1:4" x14ac:dyDescent="0.25">
      <c r="A1676" s="65">
        <v>42270</v>
      </c>
      <c r="B1676" s="1">
        <v>3.8632999999999997</v>
      </c>
      <c r="C1676" s="65">
        <v>42297</v>
      </c>
      <c r="D1676" s="1">
        <v>2.8231999999999999</v>
      </c>
    </row>
    <row r="1677" spans="1:4" x14ac:dyDescent="0.25">
      <c r="A1677" s="65">
        <v>42271</v>
      </c>
      <c r="B1677" s="1">
        <v>3.9409000000000001</v>
      </c>
      <c r="C1677" s="65">
        <v>42298</v>
      </c>
      <c r="D1677" s="1">
        <v>2.8355999999999999</v>
      </c>
    </row>
    <row r="1678" spans="1:4" x14ac:dyDescent="0.25">
      <c r="A1678" s="65">
        <v>42272</v>
      </c>
      <c r="B1678" s="1">
        <v>3.8220999999999998</v>
      </c>
      <c r="C1678" s="65">
        <v>42299</v>
      </c>
      <c r="D1678" s="1">
        <v>2.7799</v>
      </c>
    </row>
    <row r="1679" spans="1:4" x14ac:dyDescent="0.25">
      <c r="A1679" s="65">
        <v>42275</v>
      </c>
      <c r="B1679" s="1">
        <v>3.9148000000000001</v>
      </c>
      <c r="C1679" s="65">
        <v>42300</v>
      </c>
      <c r="D1679" s="1">
        <v>2.7652000000000001</v>
      </c>
    </row>
    <row r="1680" spans="1:4" x14ac:dyDescent="0.25">
      <c r="A1680" s="65">
        <v>42276</v>
      </c>
      <c r="B1680" s="1">
        <v>3.9272</v>
      </c>
      <c r="C1680" s="65">
        <v>42303</v>
      </c>
      <c r="D1680" s="1">
        <v>2.7782999999999998</v>
      </c>
    </row>
    <row r="1681" spans="1:4" x14ac:dyDescent="0.25">
      <c r="A1681" s="65">
        <v>42277</v>
      </c>
      <c r="B1681" s="1">
        <v>3.8374999999999999</v>
      </c>
      <c r="C1681" s="65">
        <v>42304</v>
      </c>
      <c r="D1681" s="1">
        <v>2.8106</v>
      </c>
    </row>
    <row r="1682" spans="1:4" x14ac:dyDescent="0.25">
      <c r="A1682" s="65">
        <v>42278</v>
      </c>
      <c r="B1682" s="1">
        <v>3.8771</v>
      </c>
      <c r="C1682" s="65">
        <v>42305</v>
      </c>
      <c r="D1682" s="1">
        <v>2.7713999999999999</v>
      </c>
    </row>
    <row r="1683" spans="1:4" x14ac:dyDescent="0.25">
      <c r="A1683" s="65">
        <v>42279</v>
      </c>
      <c r="B1683" s="1">
        <v>3.8529999999999998</v>
      </c>
      <c r="C1683" s="65">
        <v>42306</v>
      </c>
      <c r="D1683" s="1">
        <v>2.8014999999999999</v>
      </c>
    </row>
    <row r="1684" spans="1:4" x14ac:dyDescent="0.25">
      <c r="A1684" s="65">
        <v>42282</v>
      </c>
      <c r="B1684" s="1">
        <v>3.7296</v>
      </c>
      <c r="C1684" s="65">
        <v>42307</v>
      </c>
      <c r="D1684" s="1">
        <v>2.8014999999999999</v>
      </c>
    </row>
    <row r="1685" spans="1:4" x14ac:dyDescent="0.25">
      <c r="A1685" s="65">
        <v>42283</v>
      </c>
      <c r="B1685" s="1">
        <v>3.6951999999999998</v>
      </c>
      <c r="C1685" s="65">
        <v>42310</v>
      </c>
      <c r="D1685" s="1">
        <v>2.7919</v>
      </c>
    </row>
    <row r="1686" spans="1:4" x14ac:dyDescent="0.25">
      <c r="A1686" s="65">
        <v>42284</v>
      </c>
      <c r="B1686" s="1">
        <v>3.6879999999999997</v>
      </c>
      <c r="C1686" s="65">
        <v>42311</v>
      </c>
      <c r="D1686" s="1">
        <v>2.7946999999999997</v>
      </c>
    </row>
    <row r="1687" spans="1:4" x14ac:dyDescent="0.25">
      <c r="A1687" s="65">
        <v>42285</v>
      </c>
      <c r="B1687" s="1">
        <v>3.6896</v>
      </c>
      <c r="C1687" s="65">
        <v>42312</v>
      </c>
      <c r="D1687" s="1">
        <v>2.8130999999999999</v>
      </c>
    </row>
    <row r="1688" spans="1:4" x14ac:dyDescent="0.25">
      <c r="A1688" s="65">
        <v>42286</v>
      </c>
      <c r="B1688" s="1">
        <v>3.6608999999999998</v>
      </c>
      <c r="C1688" s="65">
        <v>42313</v>
      </c>
      <c r="D1688" s="1">
        <v>2.8243999999999998</v>
      </c>
    </row>
    <row r="1689" spans="1:4" x14ac:dyDescent="0.25">
      <c r="A1689" s="65">
        <v>42289</v>
      </c>
      <c r="B1689" s="1">
        <v>3.6642000000000001</v>
      </c>
      <c r="C1689" s="65">
        <v>42314</v>
      </c>
      <c r="D1689" s="1">
        <v>2.786</v>
      </c>
    </row>
    <row r="1690" spans="1:4" x14ac:dyDescent="0.25">
      <c r="A1690" s="65">
        <v>42290</v>
      </c>
      <c r="B1690" s="1">
        <v>3.6938</v>
      </c>
      <c r="C1690" s="65">
        <v>42317</v>
      </c>
      <c r="D1690" s="1">
        <v>2.8391999999999999</v>
      </c>
    </row>
    <row r="1691" spans="1:4" x14ac:dyDescent="0.25">
      <c r="A1691" s="65">
        <v>42291</v>
      </c>
      <c r="B1691" s="1">
        <v>3.7282000000000002</v>
      </c>
      <c r="C1691" s="65">
        <v>42318</v>
      </c>
      <c r="D1691" s="1">
        <v>2.7965999999999998</v>
      </c>
    </row>
    <row r="1692" spans="1:4" x14ac:dyDescent="0.25">
      <c r="A1692" s="65">
        <v>42292</v>
      </c>
      <c r="B1692" s="1">
        <v>3.6738</v>
      </c>
      <c r="C1692" s="65">
        <v>42319</v>
      </c>
      <c r="D1692" s="1">
        <v>2.8040000000000003</v>
      </c>
    </row>
    <row r="1693" spans="1:4" x14ac:dyDescent="0.25">
      <c r="A1693" s="65">
        <v>42293</v>
      </c>
      <c r="B1693" s="1">
        <v>3.6444999999999999</v>
      </c>
      <c r="C1693" s="65">
        <v>42320</v>
      </c>
      <c r="D1693" s="1">
        <v>2.8714</v>
      </c>
    </row>
    <row r="1694" spans="1:4" x14ac:dyDescent="0.25">
      <c r="A1694" s="65">
        <v>42296</v>
      </c>
      <c r="B1694" s="1">
        <v>3.6364999999999998</v>
      </c>
      <c r="C1694" s="65">
        <v>42321</v>
      </c>
      <c r="D1694" s="1">
        <v>2.8736000000000002</v>
      </c>
    </row>
    <row r="1695" spans="1:4" x14ac:dyDescent="0.25">
      <c r="A1695" s="65">
        <v>42297</v>
      </c>
      <c r="B1695" s="1">
        <v>3.5863</v>
      </c>
      <c r="C1695" s="65">
        <v>42324</v>
      </c>
      <c r="D1695" s="1">
        <v>2.8778000000000001</v>
      </c>
    </row>
    <row r="1696" spans="1:4" x14ac:dyDescent="0.25">
      <c r="A1696" s="65">
        <v>42298</v>
      </c>
      <c r="B1696" s="1">
        <v>3.5682999999999998</v>
      </c>
      <c r="C1696" s="65">
        <v>42325</v>
      </c>
      <c r="D1696" s="1">
        <v>2.8134999999999999</v>
      </c>
    </row>
    <row r="1697" spans="1:4" x14ac:dyDescent="0.25">
      <c r="A1697" s="65">
        <v>42299</v>
      </c>
      <c r="B1697" s="1">
        <v>3.4822000000000002</v>
      </c>
      <c r="C1697" s="65">
        <v>42326</v>
      </c>
      <c r="D1697" s="1">
        <v>2.8412999999999999</v>
      </c>
    </row>
    <row r="1698" spans="1:4" x14ac:dyDescent="0.25">
      <c r="A1698" s="65">
        <v>42300</v>
      </c>
      <c r="B1698" s="1">
        <v>3.4083000000000001</v>
      </c>
      <c r="C1698" s="65">
        <v>42327</v>
      </c>
      <c r="D1698" s="1">
        <v>2.8284000000000002</v>
      </c>
    </row>
    <row r="1699" spans="1:4" x14ac:dyDescent="0.25">
      <c r="A1699" s="65">
        <v>42303</v>
      </c>
      <c r="B1699" s="1">
        <v>3.4195000000000002</v>
      </c>
      <c r="C1699" s="65">
        <v>42328</v>
      </c>
      <c r="D1699" s="1">
        <v>2.835</v>
      </c>
    </row>
    <row r="1700" spans="1:4" x14ac:dyDescent="0.25">
      <c r="A1700" s="65">
        <v>42304</v>
      </c>
      <c r="B1700" s="1">
        <v>3.4535</v>
      </c>
      <c r="C1700" s="65">
        <v>42331</v>
      </c>
      <c r="D1700" s="1">
        <v>2.8443000000000001</v>
      </c>
    </row>
    <row r="1701" spans="1:4" x14ac:dyDescent="0.25">
      <c r="A1701" s="65">
        <v>42305</v>
      </c>
      <c r="B1701" s="1">
        <v>3.4129999999999998</v>
      </c>
      <c r="C1701" s="65">
        <v>42332</v>
      </c>
      <c r="D1701" s="1">
        <v>2.8891999999999998</v>
      </c>
    </row>
    <row r="1702" spans="1:4" x14ac:dyDescent="0.25">
      <c r="A1702" s="65">
        <v>42306</v>
      </c>
      <c r="B1702" s="1">
        <v>3.4218999999999999</v>
      </c>
      <c r="C1702" s="65">
        <v>42333</v>
      </c>
      <c r="D1702" s="1">
        <v>2.8361000000000001</v>
      </c>
    </row>
    <row r="1703" spans="1:4" x14ac:dyDescent="0.25">
      <c r="A1703" s="65">
        <v>42307</v>
      </c>
      <c r="B1703" s="1">
        <v>3.4169999999999998</v>
      </c>
      <c r="C1703" s="65">
        <v>42334</v>
      </c>
      <c r="D1703" s="1">
        <v>2.8068999999999997</v>
      </c>
    </row>
    <row r="1704" spans="1:4" x14ac:dyDescent="0.25">
      <c r="A1704" s="65">
        <v>42310</v>
      </c>
      <c r="B1704" s="1">
        <v>3.4009</v>
      </c>
      <c r="C1704" s="65">
        <v>42335</v>
      </c>
      <c r="D1704" s="1">
        <v>2.8089</v>
      </c>
    </row>
    <row r="1705" spans="1:4" x14ac:dyDescent="0.25">
      <c r="A1705" s="65">
        <v>42311</v>
      </c>
      <c r="B1705" s="1">
        <v>3.3948999999999998</v>
      </c>
      <c r="C1705" s="65">
        <v>42338</v>
      </c>
      <c r="D1705" s="1">
        <v>2.7913000000000001</v>
      </c>
    </row>
    <row r="1706" spans="1:4" x14ac:dyDescent="0.25">
      <c r="A1706" s="65">
        <v>42312</v>
      </c>
      <c r="B1706" s="1">
        <v>3.3984000000000001</v>
      </c>
      <c r="C1706" s="65">
        <v>42339</v>
      </c>
      <c r="D1706" s="1">
        <v>2.8082000000000003</v>
      </c>
    </row>
    <row r="1707" spans="1:4" x14ac:dyDescent="0.25">
      <c r="A1707" s="65">
        <v>42313</v>
      </c>
      <c r="B1707" s="1">
        <v>3.3902000000000001</v>
      </c>
      <c r="C1707" s="65">
        <v>42340</v>
      </c>
      <c r="D1707" s="1">
        <v>2.8117999999999999</v>
      </c>
    </row>
    <row r="1708" spans="1:4" x14ac:dyDescent="0.25">
      <c r="A1708" s="65">
        <v>42314</v>
      </c>
      <c r="B1708" s="1">
        <v>3.3698999999999999</v>
      </c>
      <c r="C1708" s="65">
        <v>42341</v>
      </c>
      <c r="D1708" s="1">
        <v>2.8829000000000002</v>
      </c>
    </row>
    <row r="1709" spans="1:4" x14ac:dyDescent="0.25">
      <c r="A1709" s="65">
        <v>42317</v>
      </c>
      <c r="B1709" s="1">
        <v>3.4190999999999998</v>
      </c>
      <c r="C1709" s="65">
        <v>42342</v>
      </c>
      <c r="D1709" s="1">
        <v>2.8795999999999999</v>
      </c>
    </row>
    <row r="1710" spans="1:4" x14ac:dyDescent="0.25">
      <c r="A1710" s="65">
        <v>42318</v>
      </c>
      <c r="B1710" s="1">
        <v>3.4125000000000001</v>
      </c>
      <c r="C1710" s="65">
        <v>42345</v>
      </c>
      <c r="D1710" s="1">
        <v>2.8774999999999999</v>
      </c>
    </row>
    <row r="1711" spans="1:4" x14ac:dyDescent="0.25">
      <c r="A1711" s="65">
        <v>42319</v>
      </c>
      <c r="B1711" s="1">
        <v>3.3792</v>
      </c>
      <c r="C1711" s="65">
        <v>42346</v>
      </c>
      <c r="D1711" s="1">
        <v>2.9441999999999999</v>
      </c>
    </row>
    <row r="1712" spans="1:4" x14ac:dyDescent="0.25">
      <c r="A1712" s="65">
        <v>42320</v>
      </c>
      <c r="B1712" s="1">
        <v>3.4607000000000001</v>
      </c>
      <c r="C1712" s="65">
        <v>42347</v>
      </c>
      <c r="D1712" s="1">
        <v>2.9493</v>
      </c>
    </row>
    <row r="1713" spans="1:4" x14ac:dyDescent="0.25">
      <c r="A1713" s="65">
        <v>42321</v>
      </c>
      <c r="B1713" s="1">
        <v>3.4885999999999999</v>
      </c>
      <c r="C1713" s="65">
        <v>42348</v>
      </c>
      <c r="D1713" s="1">
        <v>2.9618000000000002</v>
      </c>
    </row>
    <row r="1714" spans="1:4" x14ac:dyDescent="0.25">
      <c r="A1714" s="65">
        <v>42324</v>
      </c>
      <c r="B1714" s="1">
        <v>3.4868999999999999</v>
      </c>
      <c r="C1714" s="65">
        <v>42349</v>
      </c>
      <c r="D1714" s="1">
        <v>3.0173999999999999</v>
      </c>
    </row>
    <row r="1715" spans="1:4" x14ac:dyDescent="0.25">
      <c r="A1715" s="65">
        <v>42325</v>
      </c>
      <c r="B1715" s="1">
        <v>3.3963000000000001</v>
      </c>
      <c r="C1715" s="65">
        <v>42352</v>
      </c>
      <c r="D1715" s="1">
        <v>3.0945999999999998</v>
      </c>
    </row>
    <row r="1716" spans="1:4" x14ac:dyDescent="0.25">
      <c r="A1716" s="65">
        <v>42326</v>
      </c>
      <c r="B1716" s="1">
        <v>3.4186999999999999</v>
      </c>
      <c r="C1716" s="65">
        <v>42353</v>
      </c>
      <c r="D1716" s="1">
        <v>2.9830999999999999</v>
      </c>
    </row>
    <row r="1717" spans="1:4" x14ac:dyDescent="0.25">
      <c r="A1717" s="65">
        <v>42327</v>
      </c>
      <c r="B1717" s="1">
        <v>3.4018000000000002</v>
      </c>
      <c r="C1717" s="65">
        <v>42354</v>
      </c>
      <c r="D1717" s="1">
        <v>2.9919000000000002</v>
      </c>
    </row>
    <row r="1718" spans="1:4" x14ac:dyDescent="0.25">
      <c r="A1718" s="65">
        <v>42328</v>
      </c>
      <c r="B1718" s="1">
        <v>3.3982999999999999</v>
      </c>
      <c r="C1718" s="65">
        <v>42355</v>
      </c>
      <c r="D1718" s="1">
        <v>2.9483999999999999</v>
      </c>
    </row>
    <row r="1719" spans="1:4" x14ac:dyDescent="0.25">
      <c r="A1719" s="65">
        <v>42331</v>
      </c>
      <c r="B1719" s="1">
        <v>3.4054000000000002</v>
      </c>
      <c r="C1719" s="65">
        <v>42356</v>
      </c>
      <c r="D1719" s="1">
        <v>2.9874999999999998</v>
      </c>
    </row>
    <row r="1720" spans="1:4" x14ac:dyDescent="0.25">
      <c r="A1720" s="65">
        <v>42332</v>
      </c>
      <c r="B1720" s="1">
        <v>3.4422999999999999</v>
      </c>
      <c r="C1720" s="65">
        <v>42359</v>
      </c>
      <c r="D1720" s="1">
        <v>2.9948999999999999</v>
      </c>
    </row>
    <row r="1721" spans="1:4" x14ac:dyDescent="0.25">
      <c r="A1721" s="65">
        <v>42333</v>
      </c>
      <c r="B1721" s="1">
        <v>3.3902000000000001</v>
      </c>
      <c r="C1721" s="65">
        <v>42360</v>
      </c>
      <c r="D1721" s="1">
        <v>3.0005000000000002</v>
      </c>
    </row>
    <row r="1722" spans="1:4" x14ac:dyDescent="0.25">
      <c r="A1722" s="65">
        <v>42334</v>
      </c>
      <c r="B1722" s="1">
        <v>3.3547000000000002</v>
      </c>
      <c r="C1722" s="65">
        <v>42361</v>
      </c>
      <c r="D1722" s="1">
        <v>2.9451000000000001</v>
      </c>
    </row>
    <row r="1723" spans="1:4" x14ac:dyDescent="0.25">
      <c r="A1723" s="65">
        <v>42335</v>
      </c>
      <c r="B1723" s="1">
        <v>3.3639999999999999</v>
      </c>
      <c r="C1723" s="65">
        <v>42366</v>
      </c>
      <c r="D1723" s="1">
        <v>2.9571000000000001</v>
      </c>
    </row>
    <row r="1724" spans="1:4" x14ac:dyDescent="0.25">
      <c r="A1724" s="65">
        <v>42338</v>
      </c>
      <c r="B1724" s="1">
        <v>3.3472</v>
      </c>
      <c r="C1724" s="65">
        <v>42367</v>
      </c>
      <c r="D1724" s="1">
        <v>2.9172000000000002</v>
      </c>
    </row>
    <row r="1725" spans="1:4" x14ac:dyDescent="0.25">
      <c r="A1725" s="65">
        <v>42339</v>
      </c>
      <c r="B1725" s="1">
        <v>3.3742000000000001</v>
      </c>
      <c r="C1725" s="65">
        <v>42368</v>
      </c>
      <c r="D1725" s="1">
        <v>2.9502999999999999</v>
      </c>
    </row>
    <row r="1726" spans="1:4" x14ac:dyDescent="0.25">
      <c r="A1726" s="65">
        <v>42340</v>
      </c>
      <c r="B1726" s="1">
        <v>3.3849</v>
      </c>
      <c r="C1726" s="65">
        <v>42373</v>
      </c>
      <c r="D1726" s="1">
        <v>3.0508000000000002</v>
      </c>
    </row>
    <row r="1727" spans="1:4" x14ac:dyDescent="0.25">
      <c r="A1727" s="65">
        <v>42341</v>
      </c>
      <c r="B1727" s="1">
        <v>3.5118</v>
      </c>
      <c r="C1727" s="65">
        <v>42374</v>
      </c>
      <c r="D1727" s="1">
        <v>3.0145</v>
      </c>
    </row>
    <row r="1728" spans="1:4" x14ac:dyDescent="0.25">
      <c r="A1728" s="65">
        <v>42342</v>
      </c>
      <c r="B1728" s="1">
        <v>3.5251000000000001</v>
      </c>
      <c r="C1728" s="65">
        <v>42375</v>
      </c>
      <c r="D1728" s="1">
        <v>3.0973000000000002</v>
      </c>
    </row>
    <row r="1729" spans="1:4" x14ac:dyDescent="0.25">
      <c r="A1729" s="65">
        <v>42345</v>
      </c>
      <c r="B1729" s="1">
        <v>3.4942000000000002</v>
      </c>
      <c r="C1729" s="65">
        <v>42376</v>
      </c>
      <c r="D1729" s="1">
        <v>3.1110000000000002</v>
      </c>
    </row>
    <row r="1730" spans="1:4" x14ac:dyDescent="0.25">
      <c r="A1730" s="65">
        <v>42346</v>
      </c>
      <c r="B1730" s="1">
        <v>3.5606999999999998</v>
      </c>
      <c r="C1730" s="65">
        <v>42377</v>
      </c>
      <c r="D1730" s="1">
        <v>3.1612</v>
      </c>
    </row>
    <row r="1731" spans="1:4" x14ac:dyDescent="0.25">
      <c r="A1731" s="65">
        <v>42347</v>
      </c>
      <c r="B1731" s="1">
        <v>3.5827</v>
      </c>
      <c r="C1731" s="65">
        <v>42380</v>
      </c>
      <c r="D1731" s="1">
        <v>3.1793</v>
      </c>
    </row>
    <row r="1732" spans="1:4" x14ac:dyDescent="0.25">
      <c r="A1732" s="65">
        <v>42348</v>
      </c>
      <c r="B1732" s="1">
        <v>3.5906000000000002</v>
      </c>
      <c r="C1732" s="65">
        <v>42381</v>
      </c>
      <c r="D1732" s="1">
        <v>3.1452</v>
      </c>
    </row>
    <row r="1733" spans="1:4" x14ac:dyDescent="0.25">
      <c r="A1733" s="65">
        <v>42349</v>
      </c>
      <c r="B1733" s="1">
        <v>3.6654</v>
      </c>
      <c r="C1733" s="65">
        <v>42382</v>
      </c>
      <c r="D1733" s="1">
        <v>3.1187</v>
      </c>
    </row>
    <row r="1734" spans="1:4" x14ac:dyDescent="0.25">
      <c r="A1734" s="65">
        <v>42352</v>
      </c>
      <c r="B1734" s="1">
        <v>3.7401</v>
      </c>
      <c r="C1734" s="65">
        <v>42383</v>
      </c>
      <c r="D1734" s="1">
        <v>3.1717</v>
      </c>
    </row>
    <row r="1735" spans="1:4" x14ac:dyDescent="0.25">
      <c r="A1735" s="65">
        <v>42353</v>
      </c>
      <c r="B1735" s="1">
        <v>3.6221000000000001</v>
      </c>
      <c r="C1735" s="65">
        <v>42384</v>
      </c>
      <c r="D1735" s="1">
        <v>3.2721</v>
      </c>
    </row>
    <row r="1736" spans="1:4" x14ac:dyDescent="0.25">
      <c r="A1736" s="65">
        <v>42354</v>
      </c>
      <c r="B1736" s="1">
        <v>3.6162000000000001</v>
      </c>
      <c r="C1736" s="65">
        <v>42387</v>
      </c>
      <c r="D1736" s="1">
        <v>3.3612000000000002</v>
      </c>
    </row>
    <row r="1737" spans="1:4" x14ac:dyDescent="0.25">
      <c r="A1737" s="65">
        <v>42355</v>
      </c>
      <c r="B1737" s="1">
        <v>3.5510000000000002</v>
      </c>
      <c r="C1737" s="65">
        <v>42388</v>
      </c>
      <c r="D1737" s="1">
        <v>3.3266999999999998</v>
      </c>
    </row>
    <row r="1738" spans="1:4" x14ac:dyDescent="0.25">
      <c r="A1738" s="65">
        <v>42356</v>
      </c>
      <c r="B1738" s="1">
        <v>3.6008</v>
      </c>
      <c r="C1738" s="65">
        <v>42389</v>
      </c>
      <c r="D1738" s="1">
        <v>3.4956999999999998</v>
      </c>
    </row>
    <row r="1739" spans="1:4" x14ac:dyDescent="0.25">
      <c r="A1739" s="65">
        <v>42359</v>
      </c>
      <c r="B1739" s="1">
        <v>3.6522999999999999</v>
      </c>
      <c r="C1739" s="65">
        <v>42390</v>
      </c>
      <c r="D1739" s="1">
        <v>3.3547000000000002</v>
      </c>
    </row>
    <row r="1740" spans="1:4" x14ac:dyDescent="0.25">
      <c r="A1740" s="65">
        <v>42360</v>
      </c>
      <c r="B1740" s="1">
        <v>3.6508000000000003</v>
      </c>
      <c r="C1740" s="65">
        <v>42391</v>
      </c>
      <c r="D1740" s="1">
        <v>3.3008999999999999</v>
      </c>
    </row>
    <row r="1741" spans="1:4" x14ac:dyDescent="0.25">
      <c r="A1741" s="65">
        <v>42361</v>
      </c>
      <c r="B1741" s="1">
        <v>3.5705</v>
      </c>
      <c r="C1741" s="65">
        <v>42394</v>
      </c>
      <c r="D1741" s="1">
        <v>3.3694000000000002</v>
      </c>
    </row>
    <row r="1742" spans="1:4" x14ac:dyDescent="0.25">
      <c r="A1742" s="65">
        <v>42362</v>
      </c>
      <c r="B1742" s="1">
        <v>3.5728999999999997</v>
      </c>
      <c r="C1742" s="65">
        <v>42395</v>
      </c>
      <c r="D1742" s="1">
        <v>3.3191000000000002</v>
      </c>
    </row>
    <row r="1743" spans="1:4" x14ac:dyDescent="0.25">
      <c r="A1743" s="65">
        <v>42366</v>
      </c>
      <c r="B1743" s="1">
        <v>3.6036000000000001</v>
      </c>
      <c r="C1743" s="65">
        <v>42396</v>
      </c>
      <c r="D1743" s="1">
        <v>3.3325</v>
      </c>
    </row>
    <row r="1744" spans="1:4" x14ac:dyDescent="0.25">
      <c r="A1744" s="65">
        <v>42367</v>
      </c>
      <c r="B1744" s="1">
        <v>3.5407000000000002</v>
      </c>
      <c r="C1744" s="65">
        <v>42397</v>
      </c>
      <c r="D1744" s="1">
        <v>3.4529999999999998</v>
      </c>
    </row>
    <row r="1745" spans="1:4" x14ac:dyDescent="0.25">
      <c r="A1745" s="65">
        <v>42368</v>
      </c>
      <c r="B1745" s="1">
        <v>3.5691000000000002</v>
      </c>
      <c r="C1745" s="65">
        <v>42398</v>
      </c>
      <c r="D1745" s="1">
        <v>3.3664999999999998</v>
      </c>
    </row>
    <row r="1746" spans="1:4" x14ac:dyDescent="0.25">
      <c r="A1746" s="65">
        <v>42369</v>
      </c>
      <c r="B1746" s="1">
        <v>3.5914000000000001</v>
      </c>
      <c r="C1746" s="65">
        <v>42401</v>
      </c>
      <c r="D1746" s="1">
        <v>3.3976999999999999</v>
      </c>
    </row>
    <row r="1747" spans="1:4" x14ac:dyDescent="0.25">
      <c r="A1747" s="65">
        <v>42373</v>
      </c>
      <c r="B1747" s="1">
        <v>3.7080000000000002</v>
      </c>
      <c r="C1747" s="65">
        <v>42402</v>
      </c>
      <c r="D1747" s="1">
        <v>3.5045999999999999</v>
      </c>
    </row>
    <row r="1748" spans="1:4" x14ac:dyDescent="0.25">
      <c r="A1748" s="65">
        <v>42374</v>
      </c>
      <c r="B1748" s="1">
        <v>3.6926000000000001</v>
      </c>
      <c r="C1748" s="65">
        <v>42403</v>
      </c>
      <c r="D1748" s="1">
        <v>3.6073</v>
      </c>
    </row>
    <row r="1749" spans="1:4" x14ac:dyDescent="0.25">
      <c r="A1749" s="65">
        <v>42375</v>
      </c>
      <c r="B1749" s="1">
        <v>3.7381000000000002</v>
      </c>
      <c r="C1749" s="65">
        <v>42404</v>
      </c>
      <c r="D1749" s="1">
        <v>3.5634999999999999</v>
      </c>
    </row>
    <row r="1750" spans="1:4" x14ac:dyDescent="0.25">
      <c r="A1750" s="65">
        <v>42376</v>
      </c>
      <c r="B1750" s="1">
        <v>3.8043</v>
      </c>
      <c r="C1750" s="65">
        <v>42405</v>
      </c>
      <c r="D1750" s="1">
        <v>3.6410999999999998</v>
      </c>
    </row>
    <row r="1751" spans="1:4" x14ac:dyDescent="0.25">
      <c r="A1751" s="65">
        <v>42377</v>
      </c>
      <c r="B1751" s="1">
        <v>3.8685</v>
      </c>
      <c r="C1751" s="65">
        <v>42408</v>
      </c>
      <c r="D1751" s="1">
        <v>3.8203</v>
      </c>
    </row>
    <row r="1752" spans="1:4" x14ac:dyDescent="0.25">
      <c r="A1752" s="65">
        <v>42380</v>
      </c>
      <c r="B1752" s="1">
        <v>3.8761000000000001</v>
      </c>
      <c r="C1752" s="65">
        <v>42409</v>
      </c>
      <c r="D1752" s="1">
        <v>3.9470999999999998</v>
      </c>
    </row>
    <row r="1753" spans="1:4" x14ac:dyDescent="0.25">
      <c r="A1753" s="65">
        <v>42381</v>
      </c>
      <c r="B1753" s="1">
        <v>3.8197999999999999</v>
      </c>
      <c r="C1753" s="65">
        <v>42410</v>
      </c>
      <c r="D1753" s="1">
        <v>3.7579000000000002</v>
      </c>
    </row>
    <row r="1754" spans="1:4" x14ac:dyDescent="0.25">
      <c r="A1754" s="65">
        <v>42382</v>
      </c>
      <c r="B1754" s="1">
        <v>3.8094999999999999</v>
      </c>
      <c r="C1754" s="65">
        <v>42411</v>
      </c>
      <c r="D1754" s="1">
        <v>3.9821999999999997</v>
      </c>
    </row>
    <row r="1755" spans="1:4" x14ac:dyDescent="0.25">
      <c r="A1755" s="65">
        <v>42383</v>
      </c>
      <c r="B1755" s="1">
        <v>3.8712</v>
      </c>
      <c r="C1755" s="65">
        <v>42412</v>
      </c>
      <c r="D1755" s="1">
        <v>3.8033000000000001</v>
      </c>
    </row>
    <row r="1756" spans="1:4" x14ac:dyDescent="0.25">
      <c r="A1756" s="65">
        <v>42384</v>
      </c>
      <c r="B1756" s="1">
        <v>3.9649999999999999</v>
      </c>
      <c r="C1756" s="65">
        <v>42415</v>
      </c>
      <c r="D1756" s="1">
        <v>3.6856999999999998</v>
      </c>
    </row>
    <row r="1757" spans="1:4" x14ac:dyDescent="0.25">
      <c r="A1757" s="65">
        <v>42387</v>
      </c>
      <c r="B1757" s="1">
        <v>3.9881000000000002</v>
      </c>
      <c r="C1757" s="65">
        <v>42416</v>
      </c>
      <c r="D1757" s="1">
        <v>3.7039</v>
      </c>
    </row>
    <row r="1758" spans="1:4" x14ac:dyDescent="0.25">
      <c r="A1758" s="65">
        <v>42388</v>
      </c>
      <c r="B1758" s="1">
        <v>3.9276999999999997</v>
      </c>
      <c r="C1758" s="65">
        <v>42417</v>
      </c>
      <c r="D1758" s="1">
        <v>3.6143999999999998</v>
      </c>
    </row>
    <row r="1759" spans="1:4" x14ac:dyDescent="0.25">
      <c r="A1759" s="65">
        <v>42389</v>
      </c>
      <c r="B1759" s="1">
        <v>4.0610999999999997</v>
      </c>
      <c r="C1759" s="65">
        <v>42418</v>
      </c>
      <c r="D1759" s="1">
        <v>3.6705000000000001</v>
      </c>
    </row>
    <row r="1760" spans="1:4" x14ac:dyDescent="0.25">
      <c r="A1760" s="65">
        <v>42390</v>
      </c>
      <c r="B1760" s="1">
        <v>3.9765000000000001</v>
      </c>
      <c r="C1760" s="65">
        <v>42419</v>
      </c>
      <c r="D1760" s="1">
        <v>3.7145000000000001</v>
      </c>
    </row>
    <row r="1761" spans="1:4" x14ac:dyDescent="0.25">
      <c r="A1761" s="65">
        <v>42391</v>
      </c>
      <c r="B1761" s="1">
        <v>3.8721999999999999</v>
      </c>
      <c r="C1761" s="65">
        <v>42422</v>
      </c>
      <c r="D1761" s="1">
        <v>3.5882000000000001</v>
      </c>
    </row>
    <row r="1762" spans="1:4" x14ac:dyDescent="0.25">
      <c r="A1762" s="65">
        <v>42394</v>
      </c>
      <c r="B1762" s="1">
        <v>3.8999000000000001</v>
      </c>
      <c r="C1762" s="65">
        <v>42423</v>
      </c>
      <c r="D1762" s="1">
        <v>3.6595</v>
      </c>
    </row>
    <row r="1763" spans="1:4" x14ac:dyDescent="0.25">
      <c r="A1763" s="65">
        <v>42395</v>
      </c>
      <c r="B1763" s="1">
        <v>3.8599000000000001</v>
      </c>
      <c r="C1763" s="65">
        <v>42424</v>
      </c>
      <c r="D1763" s="1">
        <v>3.7568000000000001</v>
      </c>
    </row>
    <row r="1764" spans="1:4" x14ac:dyDescent="0.25">
      <c r="A1764" s="65">
        <v>42396</v>
      </c>
      <c r="B1764" s="1">
        <v>3.8542000000000001</v>
      </c>
      <c r="C1764" s="65">
        <v>42425</v>
      </c>
      <c r="D1764" s="1">
        <v>3.6513999999999998</v>
      </c>
    </row>
    <row r="1765" spans="1:4" x14ac:dyDescent="0.25">
      <c r="A1765" s="65">
        <v>42397</v>
      </c>
      <c r="B1765" s="1">
        <v>3.9371</v>
      </c>
      <c r="C1765" s="65">
        <v>42426</v>
      </c>
      <c r="D1765" s="1">
        <v>3.5722</v>
      </c>
    </row>
    <row r="1766" spans="1:4" x14ac:dyDescent="0.25">
      <c r="A1766" s="65">
        <v>42398</v>
      </c>
      <c r="B1766" s="1">
        <v>3.8521999999999998</v>
      </c>
      <c r="C1766" s="65">
        <v>42429</v>
      </c>
      <c r="D1766" s="1">
        <v>3.5438999999999998</v>
      </c>
    </row>
    <row r="1767" spans="1:4" x14ac:dyDescent="0.25">
      <c r="A1767" s="65">
        <v>42401</v>
      </c>
      <c r="B1767" s="1">
        <v>3.8719999999999999</v>
      </c>
      <c r="C1767" s="65">
        <v>42430</v>
      </c>
      <c r="D1767" s="1">
        <v>3.4674</v>
      </c>
    </row>
    <row r="1768" spans="1:4" x14ac:dyDescent="0.25">
      <c r="A1768" s="65">
        <v>42402</v>
      </c>
      <c r="B1768" s="1">
        <v>3.9643999999999999</v>
      </c>
      <c r="C1768" s="65">
        <v>42431</v>
      </c>
      <c r="D1768" s="1">
        <v>3.4304000000000001</v>
      </c>
    </row>
    <row r="1769" spans="1:4" x14ac:dyDescent="0.25">
      <c r="A1769" s="65">
        <v>42403</v>
      </c>
      <c r="B1769" s="1">
        <v>4.04</v>
      </c>
      <c r="C1769" s="65">
        <v>42432</v>
      </c>
      <c r="D1769" s="1">
        <v>3.4037999999999999</v>
      </c>
    </row>
    <row r="1770" spans="1:4" x14ac:dyDescent="0.25">
      <c r="A1770" s="65">
        <v>42404</v>
      </c>
      <c r="B1770" s="1">
        <v>4.0293000000000001</v>
      </c>
      <c r="C1770" s="65">
        <v>42433</v>
      </c>
      <c r="D1770" s="1">
        <v>3.4167999999999998</v>
      </c>
    </row>
    <row r="1771" spans="1:4" x14ac:dyDescent="0.25">
      <c r="A1771" s="65">
        <v>42405</v>
      </c>
      <c r="B1771" s="1">
        <v>4.0655999999999999</v>
      </c>
      <c r="C1771" s="65">
        <v>42436</v>
      </c>
      <c r="D1771" s="1">
        <v>3.4582999999999999</v>
      </c>
    </row>
    <row r="1772" spans="1:4" x14ac:dyDescent="0.25">
      <c r="A1772" s="65">
        <v>42408</v>
      </c>
      <c r="B1772" s="1">
        <v>4.2031000000000001</v>
      </c>
      <c r="C1772" s="65">
        <v>42437</v>
      </c>
      <c r="D1772" s="1">
        <v>3.4662999999999999</v>
      </c>
    </row>
    <row r="1773" spans="1:4" x14ac:dyDescent="0.25">
      <c r="A1773" s="65">
        <v>42409</v>
      </c>
      <c r="B1773" s="1">
        <v>4.2778999999999998</v>
      </c>
      <c r="C1773" s="65">
        <v>42438</v>
      </c>
      <c r="D1773" s="1">
        <v>3.4298999999999999</v>
      </c>
    </row>
    <row r="1774" spans="1:4" x14ac:dyDescent="0.25">
      <c r="A1774" s="65">
        <v>42410</v>
      </c>
      <c r="B1774" s="1">
        <v>4.1973000000000003</v>
      </c>
      <c r="C1774" s="65">
        <v>42439</v>
      </c>
      <c r="D1774" s="1">
        <v>3.4470999999999998</v>
      </c>
    </row>
    <row r="1775" spans="1:4" x14ac:dyDescent="0.25">
      <c r="A1775" s="65">
        <v>42411</v>
      </c>
      <c r="B1775" s="1">
        <v>4.3674999999999997</v>
      </c>
      <c r="C1775" s="65">
        <v>42440</v>
      </c>
      <c r="D1775" s="1">
        <v>3.2892000000000001</v>
      </c>
    </row>
    <row r="1776" spans="1:4" x14ac:dyDescent="0.25">
      <c r="A1776" s="65">
        <v>42412</v>
      </c>
      <c r="B1776" s="1">
        <v>4.2473000000000001</v>
      </c>
      <c r="C1776" s="65">
        <v>42443</v>
      </c>
      <c r="D1776" s="1">
        <v>3.2903000000000002</v>
      </c>
    </row>
    <row r="1777" spans="1:4" x14ac:dyDescent="0.25">
      <c r="A1777" s="65">
        <v>42415</v>
      </c>
      <c r="B1777" s="1">
        <v>4.1308999999999996</v>
      </c>
      <c r="C1777" s="65">
        <v>42444</v>
      </c>
      <c r="D1777" s="1">
        <v>3.3281999999999998</v>
      </c>
    </row>
    <row r="1778" spans="1:4" x14ac:dyDescent="0.25">
      <c r="A1778" s="65">
        <v>42416</v>
      </c>
      <c r="B1778" s="1">
        <v>4.1493000000000002</v>
      </c>
      <c r="C1778" s="65">
        <v>42445</v>
      </c>
      <c r="D1778" s="1">
        <v>3.3342000000000001</v>
      </c>
    </row>
    <row r="1779" spans="1:4" x14ac:dyDescent="0.25">
      <c r="A1779" s="65">
        <v>42417</v>
      </c>
      <c r="B1779" s="1">
        <v>4.0397999999999996</v>
      </c>
      <c r="C1779" s="65">
        <v>42446</v>
      </c>
      <c r="D1779" s="1">
        <v>3.3563000000000001</v>
      </c>
    </row>
    <row r="1780" spans="1:4" x14ac:dyDescent="0.25">
      <c r="A1780" s="65">
        <v>42418</v>
      </c>
      <c r="B1780" s="1">
        <v>4.0355999999999996</v>
      </c>
      <c r="C1780" s="65">
        <v>42447</v>
      </c>
      <c r="D1780" s="1">
        <v>3.3557000000000001</v>
      </c>
    </row>
    <row r="1781" spans="1:4" x14ac:dyDescent="0.25">
      <c r="A1781" s="65">
        <v>42419</v>
      </c>
      <c r="B1781" s="1">
        <v>4.0693999999999999</v>
      </c>
      <c r="C1781" s="65">
        <v>42450</v>
      </c>
      <c r="D1781" s="1">
        <v>3.3496999999999999</v>
      </c>
    </row>
    <row r="1782" spans="1:4" x14ac:dyDescent="0.25">
      <c r="A1782" s="65">
        <v>42422</v>
      </c>
      <c r="B1782" s="1">
        <v>3.9821999999999997</v>
      </c>
      <c r="C1782" s="65">
        <v>42451</v>
      </c>
      <c r="D1782" s="1">
        <v>3.3492999999999999</v>
      </c>
    </row>
    <row r="1783" spans="1:4" x14ac:dyDescent="0.25">
      <c r="A1783" s="65">
        <v>42423</v>
      </c>
      <c r="B1783" s="1">
        <v>4.0464000000000002</v>
      </c>
      <c r="C1783" s="65">
        <v>42452</v>
      </c>
      <c r="D1783" s="1">
        <v>3.3921000000000001</v>
      </c>
    </row>
    <row r="1784" spans="1:4" x14ac:dyDescent="0.25">
      <c r="A1784" s="65">
        <v>42424</v>
      </c>
      <c r="B1784" s="1">
        <v>4.1426999999999996</v>
      </c>
      <c r="C1784" s="65">
        <v>42453</v>
      </c>
      <c r="D1784" s="1">
        <v>3.4476</v>
      </c>
    </row>
    <row r="1785" spans="1:4" x14ac:dyDescent="0.25">
      <c r="A1785" s="65">
        <v>42425</v>
      </c>
      <c r="B1785" s="1">
        <v>4.0603999999999996</v>
      </c>
      <c r="C1785" s="65">
        <v>42458</v>
      </c>
      <c r="D1785" s="1">
        <v>3.4464000000000001</v>
      </c>
    </row>
    <row r="1786" spans="1:4" x14ac:dyDescent="0.25">
      <c r="A1786" s="65">
        <v>42426</v>
      </c>
      <c r="B1786" s="1">
        <v>3.9887000000000001</v>
      </c>
      <c r="C1786" s="65">
        <v>42459</v>
      </c>
      <c r="D1786" s="1">
        <v>3.4083000000000001</v>
      </c>
    </row>
    <row r="1787" spans="1:4" x14ac:dyDescent="0.25">
      <c r="A1787" s="65">
        <v>42429</v>
      </c>
      <c r="B1787" s="1">
        <v>3.9661999999999997</v>
      </c>
      <c r="C1787" s="65">
        <v>42460</v>
      </c>
      <c r="D1787" s="1">
        <v>3.4569000000000001</v>
      </c>
    </row>
    <row r="1788" spans="1:4" x14ac:dyDescent="0.25">
      <c r="A1788" s="65">
        <v>42430</v>
      </c>
      <c r="B1788" s="1">
        <v>3.8992</v>
      </c>
      <c r="C1788" s="65">
        <v>42461</v>
      </c>
      <c r="D1788" s="1">
        <v>3.5404999999999998</v>
      </c>
    </row>
    <row r="1789" spans="1:4" x14ac:dyDescent="0.25">
      <c r="A1789" s="65">
        <v>42431</v>
      </c>
      <c r="B1789" s="1">
        <v>3.8660000000000001</v>
      </c>
      <c r="C1789" s="65">
        <v>42464</v>
      </c>
      <c r="D1789" s="1">
        <v>3.5681000000000003</v>
      </c>
    </row>
    <row r="1790" spans="1:4" x14ac:dyDescent="0.25">
      <c r="A1790" s="65">
        <v>42432</v>
      </c>
      <c r="B1790" s="1">
        <v>3.8778999999999999</v>
      </c>
      <c r="C1790" s="65">
        <v>42465</v>
      </c>
      <c r="D1790" s="1">
        <v>3.6785999999999999</v>
      </c>
    </row>
    <row r="1791" spans="1:4" x14ac:dyDescent="0.25">
      <c r="A1791" s="65">
        <v>42433</v>
      </c>
      <c r="B1791" s="1">
        <v>3.8466</v>
      </c>
      <c r="C1791" s="65">
        <v>42466</v>
      </c>
      <c r="D1791" s="1">
        <v>3.6505999999999998</v>
      </c>
    </row>
    <row r="1792" spans="1:4" x14ac:dyDescent="0.25">
      <c r="A1792" s="65">
        <v>42436</v>
      </c>
      <c r="B1792" s="1">
        <v>3.8673000000000002</v>
      </c>
      <c r="C1792" s="65">
        <v>42467</v>
      </c>
      <c r="D1792" s="1">
        <v>3.7423000000000002</v>
      </c>
    </row>
    <row r="1793" spans="1:4" x14ac:dyDescent="0.25">
      <c r="A1793" s="65">
        <v>42437</v>
      </c>
      <c r="B1793" s="1">
        <v>3.8919000000000001</v>
      </c>
      <c r="C1793" s="65">
        <v>42468</v>
      </c>
      <c r="D1793" s="1">
        <v>3.5956000000000001</v>
      </c>
    </row>
    <row r="1794" spans="1:4" x14ac:dyDescent="0.25">
      <c r="A1794" s="65">
        <v>42438</v>
      </c>
      <c r="B1794" s="1">
        <v>3.8736000000000002</v>
      </c>
      <c r="C1794" s="65">
        <v>42471</v>
      </c>
      <c r="D1794" s="1">
        <v>3.5512999999999999</v>
      </c>
    </row>
    <row r="1795" spans="1:4" x14ac:dyDescent="0.25">
      <c r="A1795" s="65">
        <v>42439</v>
      </c>
      <c r="B1795" s="1">
        <v>3.9327999999999999</v>
      </c>
      <c r="C1795" s="65">
        <v>42472</v>
      </c>
      <c r="D1795" s="1">
        <v>3.6078999999999999</v>
      </c>
    </row>
    <row r="1796" spans="1:4" x14ac:dyDescent="0.25">
      <c r="A1796" s="65">
        <v>42440</v>
      </c>
      <c r="B1796" s="1">
        <v>3.8010000000000002</v>
      </c>
      <c r="C1796" s="65">
        <v>42473</v>
      </c>
      <c r="D1796" s="1">
        <v>3.4647000000000001</v>
      </c>
    </row>
    <row r="1797" spans="1:4" x14ac:dyDescent="0.25">
      <c r="A1797" s="65">
        <v>42443</v>
      </c>
      <c r="B1797" s="1">
        <v>3.7786999999999997</v>
      </c>
      <c r="C1797" s="65">
        <v>42474</v>
      </c>
      <c r="D1797" s="1">
        <v>3.4338000000000002</v>
      </c>
    </row>
    <row r="1798" spans="1:4" x14ac:dyDescent="0.25">
      <c r="A1798" s="65">
        <v>42444</v>
      </c>
      <c r="B1798" s="1">
        <v>3.8092000000000001</v>
      </c>
      <c r="C1798" s="65">
        <v>42475</v>
      </c>
      <c r="D1798" s="1">
        <v>3.4472999999999998</v>
      </c>
    </row>
    <row r="1799" spans="1:4" x14ac:dyDescent="0.25">
      <c r="A1799" s="65">
        <v>42445</v>
      </c>
      <c r="B1799" s="1">
        <v>3.8155999999999999</v>
      </c>
      <c r="C1799" s="65">
        <v>42478</v>
      </c>
      <c r="D1799" s="1">
        <v>3.4722</v>
      </c>
    </row>
    <row r="1800" spans="1:4" x14ac:dyDescent="0.25">
      <c r="A1800" s="65">
        <v>42446</v>
      </c>
      <c r="B1800" s="1">
        <v>3.8393999999999999</v>
      </c>
      <c r="C1800" s="65">
        <v>42479</v>
      </c>
      <c r="D1800" s="1">
        <v>3.4552999999999998</v>
      </c>
    </row>
    <row r="1801" spans="1:4" x14ac:dyDescent="0.25">
      <c r="A1801" s="65">
        <v>42447</v>
      </c>
      <c r="B1801" s="1">
        <v>3.8184</v>
      </c>
      <c r="C1801" s="65">
        <v>42480</v>
      </c>
      <c r="D1801" s="1">
        <v>3.4163000000000001</v>
      </c>
    </row>
    <row r="1802" spans="1:4" x14ac:dyDescent="0.25">
      <c r="A1802" s="65">
        <v>42450</v>
      </c>
      <c r="B1802" s="1">
        <v>3.8331</v>
      </c>
      <c r="C1802" s="65">
        <v>42481</v>
      </c>
      <c r="D1802" s="1">
        <v>3.4026999999999998</v>
      </c>
    </row>
    <row r="1803" spans="1:4" x14ac:dyDescent="0.25">
      <c r="A1803" s="65">
        <v>42451</v>
      </c>
      <c r="B1803" s="1">
        <v>3.83</v>
      </c>
      <c r="C1803" s="65">
        <v>42482</v>
      </c>
      <c r="D1803" s="1">
        <v>3.4111000000000002</v>
      </c>
    </row>
    <row r="1804" spans="1:4" x14ac:dyDescent="0.25">
      <c r="A1804" s="65">
        <v>42452</v>
      </c>
      <c r="B1804" s="1">
        <v>3.8412999999999999</v>
      </c>
      <c r="C1804" s="65">
        <v>42485</v>
      </c>
      <c r="D1804" s="1">
        <v>3.4379</v>
      </c>
    </row>
    <row r="1805" spans="1:4" x14ac:dyDescent="0.25">
      <c r="A1805" s="65">
        <v>42453</v>
      </c>
      <c r="B1805" s="1">
        <v>3.9129</v>
      </c>
      <c r="C1805" s="65">
        <v>42486</v>
      </c>
      <c r="D1805" s="1">
        <v>3.3887</v>
      </c>
    </row>
    <row r="1806" spans="1:4" x14ac:dyDescent="0.25">
      <c r="A1806" s="65">
        <v>42458</v>
      </c>
      <c r="B1806" s="1">
        <v>3.8893</v>
      </c>
      <c r="C1806" s="65">
        <v>42487</v>
      </c>
      <c r="D1806" s="1">
        <v>3.3580999999999999</v>
      </c>
    </row>
    <row r="1807" spans="1:4" x14ac:dyDescent="0.25">
      <c r="A1807" s="65">
        <v>42459</v>
      </c>
      <c r="B1807" s="1">
        <v>3.8391999999999999</v>
      </c>
      <c r="C1807" s="65">
        <v>42488</v>
      </c>
      <c r="D1807" s="1">
        <v>3.3180999999999998</v>
      </c>
    </row>
    <row r="1808" spans="1:4" x14ac:dyDescent="0.25">
      <c r="A1808" s="65">
        <v>42460</v>
      </c>
      <c r="B1808" s="1">
        <v>3.8891999999999998</v>
      </c>
      <c r="C1808" s="65">
        <v>42489</v>
      </c>
      <c r="D1808" s="1">
        <v>3.3852000000000002</v>
      </c>
    </row>
    <row r="1809" spans="1:4" x14ac:dyDescent="0.25">
      <c r="A1809" s="65">
        <v>42461</v>
      </c>
      <c r="B1809" s="1">
        <v>3.9572000000000003</v>
      </c>
      <c r="C1809" s="65">
        <v>42492</v>
      </c>
      <c r="D1809" s="1">
        <v>3.4182999999999999</v>
      </c>
    </row>
    <row r="1810" spans="1:4" x14ac:dyDescent="0.25">
      <c r="A1810" s="65">
        <v>42464</v>
      </c>
      <c r="B1810" s="1">
        <v>3.9451999999999998</v>
      </c>
      <c r="C1810" s="65">
        <v>42493</v>
      </c>
      <c r="D1810" s="1">
        <v>3.5045999999999999</v>
      </c>
    </row>
    <row r="1811" spans="1:4" x14ac:dyDescent="0.25">
      <c r="A1811" s="65">
        <v>42465</v>
      </c>
      <c r="B1811" s="1">
        <v>4.0430999999999999</v>
      </c>
      <c r="C1811" s="65">
        <v>42494</v>
      </c>
      <c r="D1811" s="1">
        <v>3.5106999999999999</v>
      </c>
    </row>
    <row r="1812" spans="1:4" x14ac:dyDescent="0.25">
      <c r="A1812" s="65">
        <v>42466</v>
      </c>
      <c r="B1812" s="1">
        <v>4.0167000000000002</v>
      </c>
      <c r="C1812" s="65">
        <v>42495</v>
      </c>
      <c r="D1812" s="1">
        <v>3.5129999999999999</v>
      </c>
    </row>
    <row r="1813" spans="1:4" x14ac:dyDescent="0.25">
      <c r="A1813" s="65">
        <v>42467</v>
      </c>
      <c r="B1813" s="1">
        <v>4.1117999999999997</v>
      </c>
      <c r="C1813" s="65">
        <v>42496</v>
      </c>
      <c r="D1813" s="1">
        <v>3.5289999999999999</v>
      </c>
    </row>
    <row r="1814" spans="1:4" x14ac:dyDescent="0.25">
      <c r="A1814" s="65">
        <v>42468</v>
      </c>
      <c r="B1814" s="1">
        <v>4.0547000000000004</v>
      </c>
      <c r="C1814" s="65">
        <v>42499</v>
      </c>
      <c r="D1814" s="1">
        <v>3.5602999999999998</v>
      </c>
    </row>
    <row r="1815" spans="1:4" x14ac:dyDescent="0.25">
      <c r="A1815" s="65">
        <v>42471</v>
      </c>
      <c r="B1815" s="1">
        <v>4.0377000000000001</v>
      </c>
      <c r="C1815" s="65">
        <v>42500</v>
      </c>
      <c r="D1815" s="1">
        <v>3.5108999999999999</v>
      </c>
    </row>
    <row r="1816" spans="1:4" x14ac:dyDescent="0.25">
      <c r="A1816" s="65">
        <v>42472</v>
      </c>
      <c r="B1816" s="1">
        <v>4.0132000000000003</v>
      </c>
      <c r="C1816" s="65">
        <v>42501</v>
      </c>
      <c r="D1816" s="1">
        <v>3.5577999999999999</v>
      </c>
    </row>
    <row r="1817" spans="1:4" x14ac:dyDescent="0.25">
      <c r="A1817" s="65">
        <v>42473</v>
      </c>
      <c r="B1817" s="1">
        <v>3.8849999999999998</v>
      </c>
      <c r="C1817" s="65">
        <v>42502</v>
      </c>
      <c r="D1817" s="1">
        <v>3.5672000000000001</v>
      </c>
    </row>
    <row r="1818" spans="1:4" x14ac:dyDescent="0.25">
      <c r="A1818" s="65">
        <v>42474</v>
      </c>
      <c r="B1818" s="1">
        <v>3.8574999999999999</v>
      </c>
      <c r="C1818" s="65">
        <v>42503</v>
      </c>
      <c r="D1818" s="1">
        <v>3.5514999999999999</v>
      </c>
    </row>
    <row r="1819" spans="1:4" x14ac:dyDescent="0.25">
      <c r="A1819" s="65">
        <v>42475</v>
      </c>
      <c r="B1819" s="1">
        <v>3.8792999999999997</v>
      </c>
      <c r="C1819" s="65">
        <v>42506</v>
      </c>
      <c r="D1819" s="1">
        <v>3.55</v>
      </c>
    </row>
    <row r="1820" spans="1:4" x14ac:dyDescent="0.25">
      <c r="A1820" s="65">
        <v>42478</v>
      </c>
      <c r="B1820" s="1">
        <v>3.8670999999999998</v>
      </c>
      <c r="C1820" s="65">
        <v>42507</v>
      </c>
      <c r="D1820" s="1">
        <v>3.5983000000000001</v>
      </c>
    </row>
    <row r="1821" spans="1:4" x14ac:dyDescent="0.25">
      <c r="A1821" s="65">
        <v>42479</v>
      </c>
      <c r="B1821" s="1">
        <v>3.8096000000000001</v>
      </c>
      <c r="C1821" s="65">
        <v>42508</v>
      </c>
      <c r="D1821" s="1">
        <v>3.4750000000000001</v>
      </c>
    </row>
    <row r="1822" spans="1:4" x14ac:dyDescent="0.25">
      <c r="A1822" s="65">
        <v>42480</v>
      </c>
      <c r="B1822" s="1">
        <v>3.7738</v>
      </c>
      <c r="C1822" s="65">
        <v>42509</v>
      </c>
      <c r="D1822" s="1">
        <v>3.5011999999999999</v>
      </c>
    </row>
    <row r="1823" spans="1:4" x14ac:dyDescent="0.25">
      <c r="A1823" s="65">
        <v>42481</v>
      </c>
      <c r="B1823" s="1">
        <v>3.7061999999999999</v>
      </c>
      <c r="C1823" s="65">
        <v>42510</v>
      </c>
      <c r="D1823" s="1">
        <v>3.4487999999999999</v>
      </c>
    </row>
    <row r="1824" spans="1:4" x14ac:dyDescent="0.25">
      <c r="A1824" s="65">
        <v>42482</v>
      </c>
      <c r="B1824" s="1">
        <v>3.7187000000000001</v>
      </c>
      <c r="C1824" s="65">
        <v>42513</v>
      </c>
      <c r="D1824" s="1">
        <v>3.8914999999999997</v>
      </c>
    </row>
    <row r="1825" spans="1:4" x14ac:dyDescent="0.25">
      <c r="A1825" s="65">
        <v>42485</v>
      </c>
      <c r="B1825" s="1">
        <v>3.7467000000000001</v>
      </c>
      <c r="C1825" s="65">
        <v>42514</v>
      </c>
      <c r="D1825" s="1">
        <v>3.7656999999999998</v>
      </c>
    </row>
    <row r="1826" spans="1:4" x14ac:dyDescent="0.25">
      <c r="A1826" s="65">
        <v>42486</v>
      </c>
      <c r="B1826" s="1">
        <v>3.8007999999999997</v>
      </c>
      <c r="C1826" s="65">
        <v>42515</v>
      </c>
      <c r="D1826" s="1">
        <v>3.7042000000000002</v>
      </c>
    </row>
    <row r="1827" spans="1:4" x14ac:dyDescent="0.25">
      <c r="A1827" s="65">
        <v>42487</v>
      </c>
      <c r="B1827" s="1">
        <v>3.8216999999999999</v>
      </c>
      <c r="C1827" s="65">
        <v>42516</v>
      </c>
      <c r="D1827" s="1">
        <v>3.7010000000000001</v>
      </c>
    </row>
    <row r="1828" spans="1:4" x14ac:dyDescent="0.25">
      <c r="A1828" s="65">
        <v>42488</v>
      </c>
      <c r="B1828" s="1">
        <v>3.7643</v>
      </c>
      <c r="C1828" s="65">
        <v>42517</v>
      </c>
      <c r="D1828" s="1">
        <v>3.7073</v>
      </c>
    </row>
    <row r="1829" spans="1:4" x14ac:dyDescent="0.25">
      <c r="A1829" s="65">
        <v>42489</v>
      </c>
      <c r="B1829" s="1">
        <v>3.89</v>
      </c>
      <c r="C1829" s="65">
        <v>42520</v>
      </c>
      <c r="D1829" s="1">
        <v>3.6859000000000002</v>
      </c>
    </row>
    <row r="1830" spans="1:4" x14ac:dyDescent="0.25">
      <c r="A1830" s="65">
        <v>42492</v>
      </c>
      <c r="B1830" s="1">
        <v>3.9022999999999999</v>
      </c>
      <c r="C1830" s="65">
        <v>42521</v>
      </c>
      <c r="D1830" s="1">
        <v>3.7404000000000002</v>
      </c>
    </row>
    <row r="1831" spans="1:4" x14ac:dyDescent="0.25">
      <c r="A1831" s="65">
        <v>42493</v>
      </c>
      <c r="B1831" s="1">
        <v>3.9855999999999998</v>
      </c>
      <c r="C1831" s="65">
        <v>42522</v>
      </c>
      <c r="D1831" s="1">
        <v>3.7854000000000001</v>
      </c>
    </row>
    <row r="1832" spans="1:4" x14ac:dyDescent="0.25">
      <c r="A1832" s="65">
        <v>42494</v>
      </c>
      <c r="B1832" s="1">
        <v>4.0336999999999996</v>
      </c>
      <c r="C1832" s="65">
        <v>42523</v>
      </c>
      <c r="D1832" s="1">
        <v>3.7946999999999997</v>
      </c>
    </row>
    <row r="1833" spans="1:4" x14ac:dyDescent="0.25">
      <c r="A1833" s="65">
        <v>42495</v>
      </c>
      <c r="B1833" s="1">
        <v>4.0476999999999999</v>
      </c>
      <c r="C1833" s="65">
        <v>42524</v>
      </c>
      <c r="D1833" s="1">
        <v>3.8536999999999999</v>
      </c>
    </row>
    <row r="1834" spans="1:4" x14ac:dyDescent="0.25">
      <c r="A1834" s="65">
        <v>42496</v>
      </c>
      <c r="B1834" s="1">
        <v>4.0686999999999998</v>
      </c>
      <c r="C1834" s="65">
        <v>42527</v>
      </c>
      <c r="D1834" s="1">
        <v>3.8252999999999999</v>
      </c>
    </row>
    <row r="1835" spans="1:4" x14ac:dyDescent="0.25">
      <c r="A1835" s="65">
        <v>42499</v>
      </c>
      <c r="B1835" s="1">
        <v>4.0426000000000002</v>
      </c>
      <c r="C1835" s="65">
        <v>42528</v>
      </c>
      <c r="D1835" s="1">
        <v>3.7507000000000001</v>
      </c>
    </row>
    <row r="1836" spans="1:4" x14ac:dyDescent="0.25">
      <c r="A1836" s="65">
        <v>42500</v>
      </c>
      <c r="B1836" s="1">
        <v>4.016</v>
      </c>
      <c r="C1836" s="65">
        <v>42529</v>
      </c>
      <c r="D1836" s="1">
        <v>3.7645</v>
      </c>
    </row>
    <row r="1837" spans="1:4" x14ac:dyDescent="0.25">
      <c r="A1837" s="65">
        <v>42501</v>
      </c>
      <c r="B1837" s="1">
        <v>4.0462999999999996</v>
      </c>
      <c r="C1837" s="65">
        <v>42530</v>
      </c>
      <c r="D1837" s="1">
        <v>3.7953999999999999</v>
      </c>
    </row>
    <row r="1838" spans="1:4" x14ac:dyDescent="0.25">
      <c r="A1838" s="65">
        <v>42502</v>
      </c>
      <c r="B1838" s="1">
        <v>4.0755999999999997</v>
      </c>
      <c r="C1838" s="65">
        <v>42531</v>
      </c>
      <c r="D1838" s="1">
        <v>3.9380999999999999</v>
      </c>
    </row>
    <row r="1839" spans="1:4" x14ac:dyDescent="0.25">
      <c r="A1839" s="65">
        <v>42503</v>
      </c>
      <c r="B1839" s="1">
        <v>4.0538999999999996</v>
      </c>
      <c r="C1839" s="65">
        <v>42534</v>
      </c>
      <c r="D1839" s="1">
        <v>4.0561999999999996</v>
      </c>
    </row>
    <row r="1840" spans="1:4" x14ac:dyDescent="0.25">
      <c r="A1840" s="65">
        <v>42506</v>
      </c>
      <c r="B1840" s="1">
        <v>4.0632999999999999</v>
      </c>
      <c r="C1840" s="65">
        <v>42535</v>
      </c>
      <c r="D1840" s="1">
        <v>4.1435000000000004</v>
      </c>
    </row>
    <row r="1841" spans="1:4" x14ac:dyDescent="0.25">
      <c r="A1841" s="65">
        <v>42507</v>
      </c>
      <c r="B1841" s="1">
        <v>4.0827</v>
      </c>
      <c r="C1841" s="65">
        <v>42536</v>
      </c>
      <c r="D1841" s="1">
        <v>4.0827</v>
      </c>
    </row>
    <row r="1842" spans="1:4" x14ac:dyDescent="0.25">
      <c r="A1842" s="65">
        <v>42508</v>
      </c>
      <c r="B1842" s="1">
        <v>4.0574000000000003</v>
      </c>
      <c r="C1842" s="65">
        <v>42537</v>
      </c>
      <c r="D1842" s="1">
        <v>4.1231</v>
      </c>
    </row>
    <row r="1843" spans="1:4" x14ac:dyDescent="0.25">
      <c r="A1843" s="65">
        <v>42509</v>
      </c>
      <c r="B1843" s="1">
        <v>4.1090999999999998</v>
      </c>
      <c r="C1843" s="65">
        <v>42538</v>
      </c>
      <c r="D1843" s="1">
        <v>3.9839000000000002</v>
      </c>
    </row>
    <row r="1844" spans="1:4" x14ac:dyDescent="0.25">
      <c r="A1844" s="65">
        <v>42510</v>
      </c>
      <c r="B1844" s="1">
        <v>4.0495999999999999</v>
      </c>
      <c r="C1844" s="65">
        <v>42541</v>
      </c>
      <c r="D1844" s="1">
        <v>3.9899</v>
      </c>
    </row>
    <row r="1845" spans="1:4" x14ac:dyDescent="0.25">
      <c r="A1845" s="65">
        <v>42513</v>
      </c>
      <c r="B1845" s="1">
        <v>4.1334999999999997</v>
      </c>
      <c r="C1845" s="65">
        <v>42542</v>
      </c>
      <c r="D1845" s="1">
        <v>3.9721000000000002</v>
      </c>
    </row>
    <row r="1846" spans="1:4" x14ac:dyDescent="0.25">
      <c r="A1846" s="65">
        <v>42514</v>
      </c>
      <c r="B1846" s="1">
        <v>4.0274999999999999</v>
      </c>
      <c r="C1846" s="65">
        <v>42543</v>
      </c>
      <c r="D1846" s="1">
        <v>3.9967999999999999</v>
      </c>
    </row>
    <row r="1847" spans="1:4" x14ac:dyDescent="0.25">
      <c r="A1847" s="65">
        <v>42515</v>
      </c>
      <c r="B1847" s="1">
        <v>3.9403999999999999</v>
      </c>
      <c r="C1847" s="65">
        <v>42544</v>
      </c>
      <c r="D1847" s="1">
        <v>3.8538000000000001</v>
      </c>
    </row>
    <row r="1848" spans="1:4" x14ac:dyDescent="0.25">
      <c r="A1848" s="65">
        <v>42516</v>
      </c>
      <c r="B1848" s="1">
        <v>3.9359000000000002</v>
      </c>
      <c r="C1848" s="65">
        <v>42545</v>
      </c>
      <c r="D1848" s="1">
        <v>4.4033999999999995</v>
      </c>
    </row>
    <row r="1849" spans="1:4" x14ac:dyDescent="0.25">
      <c r="A1849" s="65">
        <v>42517</v>
      </c>
      <c r="B1849" s="1">
        <v>3.9266000000000001</v>
      </c>
      <c r="C1849" s="65">
        <v>42548</v>
      </c>
      <c r="D1849" s="1">
        <v>4.5842000000000001</v>
      </c>
    </row>
    <row r="1850" spans="1:4" x14ac:dyDescent="0.25">
      <c r="A1850" s="65">
        <v>42520</v>
      </c>
      <c r="B1850" s="1">
        <v>3.9119999999999999</v>
      </c>
      <c r="C1850" s="65">
        <v>42549</v>
      </c>
      <c r="D1850" s="1">
        <v>4.4396000000000004</v>
      </c>
    </row>
    <row r="1851" spans="1:4" x14ac:dyDescent="0.25">
      <c r="A1851" s="65">
        <v>42521</v>
      </c>
      <c r="B1851" s="1">
        <v>3.9458000000000002</v>
      </c>
      <c r="C1851" s="65">
        <v>42550</v>
      </c>
      <c r="D1851" s="1">
        <v>4.3434999999999997</v>
      </c>
    </row>
    <row r="1852" spans="1:4" x14ac:dyDescent="0.25">
      <c r="A1852" s="65">
        <v>42522</v>
      </c>
      <c r="B1852" s="1">
        <v>3.9779</v>
      </c>
      <c r="C1852" s="65">
        <v>42551</v>
      </c>
      <c r="D1852" s="1">
        <v>4.2762000000000002</v>
      </c>
    </row>
    <row r="1853" spans="1:4" x14ac:dyDescent="0.25">
      <c r="A1853" s="65">
        <v>42523</v>
      </c>
      <c r="B1853" s="1">
        <v>4.0297999999999998</v>
      </c>
      <c r="C1853" s="65">
        <v>42552</v>
      </c>
      <c r="D1853" s="1">
        <v>4.2504999999999997</v>
      </c>
    </row>
    <row r="1854" spans="1:4" x14ac:dyDescent="0.25">
      <c r="A1854" s="65">
        <v>42524</v>
      </c>
      <c r="B1854" s="1">
        <v>4.0785999999999998</v>
      </c>
      <c r="C1854" s="65">
        <v>42555</v>
      </c>
      <c r="D1854" s="1">
        <v>4.3257000000000003</v>
      </c>
    </row>
    <row r="1855" spans="1:4" x14ac:dyDescent="0.25">
      <c r="A1855" s="65">
        <v>42527</v>
      </c>
      <c r="B1855" s="1">
        <v>4.0727000000000002</v>
      </c>
      <c r="C1855" s="65">
        <v>42556</v>
      </c>
      <c r="D1855" s="1">
        <v>4.3894000000000002</v>
      </c>
    </row>
    <row r="1856" spans="1:4" x14ac:dyDescent="0.25">
      <c r="A1856" s="65">
        <v>42528</v>
      </c>
      <c r="B1856" s="1">
        <v>4.0206999999999997</v>
      </c>
      <c r="C1856" s="65">
        <v>42557</v>
      </c>
      <c r="D1856" s="1">
        <v>4.4908000000000001</v>
      </c>
    </row>
    <row r="1857" spans="1:4" x14ac:dyDescent="0.25">
      <c r="A1857" s="65">
        <v>42529</v>
      </c>
      <c r="B1857" s="1">
        <v>4.0486000000000004</v>
      </c>
      <c r="C1857" s="65">
        <v>42558</v>
      </c>
      <c r="D1857" s="1">
        <v>4.4871999999999996</v>
      </c>
    </row>
    <row r="1858" spans="1:4" x14ac:dyDescent="0.25">
      <c r="A1858" s="65">
        <v>42530</v>
      </c>
      <c r="B1858" s="1">
        <v>4.0902000000000003</v>
      </c>
      <c r="C1858" s="65">
        <v>42559</v>
      </c>
      <c r="D1858" s="1">
        <v>4.3112000000000004</v>
      </c>
    </row>
    <row r="1859" spans="1:4" x14ac:dyDescent="0.25">
      <c r="A1859" s="65">
        <v>42531</v>
      </c>
      <c r="B1859" s="1">
        <v>4.1997</v>
      </c>
      <c r="C1859" s="65">
        <v>42562</v>
      </c>
      <c r="D1859" s="1">
        <v>4.2596999999999996</v>
      </c>
    </row>
    <row r="1860" spans="1:4" x14ac:dyDescent="0.25">
      <c r="A1860" s="65">
        <v>42534</v>
      </c>
      <c r="B1860" s="1">
        <v>4.2844999999999995</v>
      </c>
      <c r="C1860" s="65">
        <v>42563</v>
      </c>
      <c r="D1860" s="1">
        <v>4.1424000000000003</v>
      </c>
    </row>
    <row r="1861" spans="1:4" x14ac:dyDescent="0.25">
      <c r="A1861" s="65">
        <v>42535</v>
      </c>
      <c r="B1861" s="1">
        <v>4.3708</v>
      </c>
      <c r="C1861" s="65">
        <v>42564</v>
      </c>
      <c r="D1861" s="1">
        <v>4.1908000000000003</v>
      </c>
    </row>
    <row r="1862" spans="1:4" x14ac:dyDescent="0.25">
      <c r="A1862" s="65">
        <v>42536</v>
      </c>
      <c r="B1862" s="1">
        <v>4.3196000000000003</v>
      </c>
      <c r="C1862" s="65">
        <v>42565</v>
      </c>
      <c r="D1862" s="1">
        <v>4.1234999999999999</v>
      </c>
    </row>
    <row r="1863" spans="1:4" x14ac:dyDescent="0.25">
      <c r="A1863" s="65">
        <v>42537</v>
      </c>
      <c r="B1863" s="1">
        <v>4.3365</v>
      </c>
      <c r="C1863" s="65">
        <v>42566</v>
      </c>
      <c r="D1863" s="1">
        <v>4.1360999999999999</v>
      </c>
    </row>
    <row r="1864" spans="1:4" x14ac:dyDescent="0.25">
      <c r="A1864" s="65">
        <v>42538</v>
      </c>
      <c r="B1864" s="1">
        <v>4.3289</v>
      </c>
      <c r="C1864" s="65">
        <v>42569</v>
      </c>
      <c r="D1864" s="1">
        <v>4.1326000000000001</v>
      </c>
    </row>
    <row r="1865" spans="1:4" x14ac:dyDescent="0.25">
      <c r="A1865" s="65">
        <v>42541</v>
      </c>
      <c r="B1865" s="1">
        <v>4.1989999999999998</v>
      </c>
      <c r="C1865" s="65">
        <v>42570</v>
      </c>
      <c r="D1865" s="1">
        <v>4.1547000000000001</v>
      </c>
    </row>
    <row r="1866" spans="1:4" x14ac:dyDescent="0.25">
      <c r="A1866" s="65">
        <v>42542</v>
      </c>
      <c r="B1866" s="1">
        <v>4.1643999999999997</v>
      </c>
      <c r="C1866" s="65">
        <v>42571</v>
      </c>
      <c r="D1866" s="1">
        <v>4.1322999999999999</v>
      </c>
    </row>
    <row r="1867" spans="1:4" x14ac:dyDescent="0.25">
      <c r="A1867" s="65">
        <v>42543</v>
      </c>
      <c r="B1867" s="1">
        <v>4.149</v>
      </c>
      <c r="C1867" s="65">
        <v>42572</v>
      </c>
      <c r="D1867" s="1">
        <v>4.1220999999999997</v>
      </c>
    </row>
    <row r="1868" spans="1:4" x14ac:dyDescent="0.25">
      <c r="A1868" s="65">
        <v>42544</v>
      </c>
      <c r="B1868" s="1">
        <v>4.0247999999999999</v>
      </c>
      <c r="C1868" s="65">
        <v>42573</v>
      </c>
      <c r="D1868" s="1">
        <v>4.1287000000000003</v>
      </c>
    </row>
    <row r="1869" spans="1:4" x14ac:dyDescent="0.25">
      <c r="A1869" s="65">
        <v>42545</v>
      </c>
      <c r="B1869" s="1">
        <v>4.4043000000000001</v>
      </c>
      <c r="C1869" s="65">
        <v>42576</v>
      </c>
      <c r="D1869" s="1">
        <v>4.1501000000000001</v>
      </c>
    </row>
    <row r="1870" spans="1:4" x14ac:dyDescent="0.25">
      <c r="A1870" s="65">
        <v>42548</v>
      </c>
      <c r="B1870" s="1">
        <v>4.4667000000000003</v>
      </c>
      <c r="C1870" s="65">
        <v>42577</v>
      </c>
      <c r="D1870" s="1">
        <v>4.1489000000000003</v>
      </c>
    </row>
    <row r="1871" spans="1:4" x14ac:dyDescent="0.25">
      <c r="A1871" s="65">
        <v>42549</v>
      </c>
      <c r="B1871" s="1">
        <v>4.3674999999999997</v>
      </c>
      <c r="C1871" s="65">
        <v>42578</v>
      </c>
      <c r="D1871" s="1">
        <v>4.1079999999999997</v>
      </c>
    </row>
    <row r="1872" spans="1:4" x14ac:dyDescent="0.25">
      <c r="A1872" s="65">
        <v>42550</v>
      </c>
      <c r="B1872" s="1">
        <v>4.2542</v>
      </c>
      <c r="C1872" s="65">
        <v>42579</v>
      </c>
      <c r="D1872" s="1">
        <v>4.1927000000000003</v>
      </c>
    </row>
    <row r="1873" spans="1:4" x14ac:dyDescent="0.25">
      <c r="A1873" s="65">
        <v>42551</v>
      </c>
      <c r="B1873" s="1">
        <v>4.2058</v>
      </c>
      <c r="C1873" s="65">
        <v>42580</v>
      </c>
      <c r="D1873" s="1">
        <v>4.1120000000000001</v>
      </c>
    </row>
    <row r="1874" spans="1:4" x14ac:dyDescent="0.25">
      <c r="A1874" s="65">
        <v>42552</v>
      </c>
      <c r="B1874" s="1">
        <v>4.1791</v>
      </c>
      <c r="C1874" s="65">
        <v>42583</v>
      </c>
      <c r="D1874" s="1">
        <v>4.1844999999999999</v>
      </c>
    </row>
    <row r="1875" spans="1:4" x14ac:dyDescent="0.25">
      <c r="A1875" s="65">
        <v>42555</v>
      </c>
      <c r="B1875" s="1">
        <v>4.1757</v>
      </c>
      <c r="C1875" s="65">
        <v>42584</v>
      </c>
      <c r="D1875" s="1">
        <v>4.3032000000000004</v>
      </c>
    </row>
    <row r="1876" spans="1:4" x14ac:dyDescent="0.25">
      <c r="A1876" s="65">
        <v>42556</v>
      </c>
      <c r="B1876" s="1">
        <v>4.2480000000000002</v>
      </c>
      <c r="C1876" s="65">
        <v>42585</v>
      </c>
      <c r="D1876" s="1">
        <v>4.2948000000000004</v>
      </c>
    </row>
    <row r="1877" spans="1:4" x14ac:dyDescent="0.25">
      <c r="A1877" s="65">
        <v>42557</v>
      </c>
      <c r="B1877" s="1">
        <v>4.3272000000000004</v>
      </c>
      <c r="C1877" s="65">
        <v>42586</v>
      </c>
      <c r="D1877" s="1">
        <v>4.2666000000000004</v>
      </c>
    </row>
    <row r="1878" spans="1:4" x14ac:dyDescent="0.25">
      <c r="A1878" s="65">
        <v>42558</v>
      </c>
      <c r="B1878" s="1">
        <v>4.2980999999999998</v>
      </c>
      <c r="C1878" s="65">
        <v>42587</v>
      </c>
      <c r="D1878" s="1">
        <v>4.1665000000000001</v>
      </c>
    </row>
    <row r="1879" spans="1:4" x14ac:dyDescent="0.25">
      <c r="A1879" s="65">
        <v>42559</v>
      </c>
      <c r="B1879" s="1">
        <v>4.2103999999999999</v>
      </c>
      <c r="C1879" s="65">
        <v>42590</v>
      </c>
      <c r="D1879" s="1">
        <v>4.1372999999999998</v>
      </c>
    </row>
    <row r="1880" spans="1:4" x14ac:dyDescent="0.25">
      <c r="A1880" s="65">
        <v>42562</v>
      </c>
      <c r="B1880" s="1">
        <v>4.1414</v>
      </c>
      <c r="C1880" s="65">
        <v>42591</v>
      </c>
      <c r="D1880" s="1">
        <v>4.1243999999999996</v>
      </c>
    </row>
    <row r="1881" spans="1:4" x14ac:dyDescent="0.25">
      <c r="A1881" s="65">
        <v>42563</v>
      </c>
      <c r="B1881" s="1">
        <v>4.0734000000000004</v>
      </c>
      <c r="C1881" s="65">
        <v>42592</v>
      </c>
      <c r="D1881" s="1">
        <v>4.1254999999999997</v>
      </c>
    </row>
    <row r="1882" spans="1:4" x14ac:dyDescent="0.25">
      <c r="A1882" s="65">
        <v>42564</v>
      </c>
      <c r="B1882" s="1">
        <v>4.0835999999999997</v>
      </c>
      <c r="C1882" s="65">
        <v>42593</v>
      </c>
      <c r="D1882" s="1">
        <v>4.0822000000000003</v>
      </c>
    </row>
    <row r="1883" spans="1:4" x14ac:dyDescent="0.25">
      <c r="A1883" s="65">
        <v>42565</v>
      </c>
      <c r="B1883" s="1">
        <v>4.0327000000000002</v>
      </c>
      <c r="C1883" s="65">
        <v>42594</v>
      </c>
      <c r="D1883" s="1">
        <v>4.0754999999999999</v>
      </c>
    </row>
    <row r="1884" spans="1:4" x14ac:dyDescent="0.25">
      <c r="A1884" s="65">
        <v>42566</v>
      </c>
      <c r="B1884" s="1">
        <v>4.0387000000000004</v>
      </c>
      <c r="C1884" s="65">
        <v>42598</v>
      </c>
      <c r="D1884" s="1">
        <v>4.1252000000000004</v>
      </c>
    </row>
    <row r="1885" spans="1:4" x14ac:dyDescent="0.25">
      <c r="A1885" s="65">
        <v>42569</v>
      </c>
      <c r="B1885" s="1">
        <v>4.0517000000000003</v>
      </c>
      <c r="C1885" s="65">
        <v>42599</v>
      </c>
      <c r="D1885" s="1">
        <v>4.1912000000000003</v>
      </c>
    </row>
    <row r="1886" spans="1:4" x14ac:dyDescent="0.25">
      <c r="A1886" s="65">
        <v>42570</v>
      </c>
      <c r="B1886" s="1">
        <v>4.0766999999999998</v>
      </c>
      <c r="C1886" s="65">
        <v>42600</v>
      </c>
      <c r="D1886" s="1">
        <v>4.1547000000000001</v>
      </c>
    </row>
    <row r="1887" spans="1:4" x14ac:dyDescent="0.25">
      <c r="A1887" s="65">
        <v>42571</v>
      </c>
      <c r="B1887" s="1">
        <v>4.0274000000000001</v>
      </c>
      <c r="C1887" s="65">
        <v>42601</v>
      </c>
      <c r="D1887" s="1">
        <v>4.2473000000000001</v>
      </c>
    </row>
    <row r="1888" spans="1:4" x14ac:dyDescent="0.25">
      <c r="A1888" s="65">
        <v>42572</v>
      </c>
      <c r="B1888" s="1">
        <v>4.0252999999999997</v>
      </c>
      <c r="C1888" s="65">
        <v>42604</v>
      </c>
      <c r="D1888" s="1">
        <v>4.2320000000000002</v>
      </c>
    </row>
    <row r="1889" spans="1:4" x14ac:dyDescent="0.25">
      <c r="A1889" s="65">
        <v>42573</v>
      </c>
      <c r="B1889" s="1">
        <v>4.0202999999999998</v>
      </c>
      <c r="C1889" s="65">
        <v>42605</v>
      </c>
      <c r="D1889" s="1">
        <v>4.1288</v>
      </c>
    </row>
    <row r="1890" spans="1:4" x14ac:dyDescent="0.25">
      <c r="A1890" s="65">
        <v>42576</v>
      </c>
      <c r="B1890" s="1">
        <v>4.0189000000000004</v>
      </c>
      <c r="C1890" s="65">
        <v>42606</v>
      </c>
      <c r="D1890" s="1">
        <v>4.1010999999999997</v>
      </c>
    </row>
    <row r="1891" spans="1:4" x14ac:dyDescent="0.25">
      <c r="A1891" s="65">
        <v>42577</v>
      </c>
      <c r="B1891" s="1">
        <v>4.0113000000000003</v>
      </c>
      <c r="C1891" s="65">
        <v>42607</v>
      </c>
      <c r="D1891" s="1">
        <v>4.1455000000000002</v>
      </c>
    </row>
    <row r="1892" spans="1:4" x14ac:dyDescent="0.25">
      <c r="A1892" s="65">
        <v>42578</v>
      </c>
      <c r="B1892" s="1">
        <v>3.9874000000000001</v>
      </c>
      <c r="C1892" s="65">
        <v>42608</v>
      </c>
      <c r="D1892" s="1">
        <v>4.1127000000000002</v>
      </c>
    </row>
    <row r="1893" spans="1:4" x14ac:dyDescent="0.25">
      <c r="A1893" s="65">
        <v>42579</v>
      </c>
      <c r="B1893" s="1">
        <v>4.0323000000000002</v>
      </c>
      <c r="C1893" s="65">
        <v>42611</v>
      </c>
      <c r="D1893" s="1">
        <v>4.1593</v>
      </c>
    </row>
    <row r="1894" spans="1:4" x14ac:dyDescent="0.25">
      <c r="A1894" s="65">
        <v>42580</v>
      </c>
      <c r="B1894" s="1">
        <v>3.9990000000000001</v>
      </c>
      <c r="C1894" s="65">
        <v>42612</v>
      </c>
      <c r="D1894" s="1">
        <v>4.1010999999999997</v>
      </c>
    </row>
    <row r="1895" spans="1:4" x14ac:dyDescent="0.25">
      <c r="A1895" s="65">
        <v>42583</v>
      </c>
      <c r="B1895" s="1">
        <v>4.0305999999999997</v>
      </c>
      <c r="C1895" s="65">
        <v>42613</v>
      </c>
      <c r="D1895" s="1">
        <v>4.0885999999999996</v>
      </c>
    </row>
    <row r="1896" spans="1:4" x14ac:dyDescent="0.25">
      <c r="A1896" s="65">
        <v>42584</v>
      </c>
      <c r="B1896" s="1">
        <v>4.1143000000000001</v>
      </c>
      <c r="C1896" s="65">
        <v>42614</v>
      </c>
      <c r="D1896" s="1">
        <v>4.0933999999999999</v>
      </c>
    </row>
    <row r="1897" spans="1:4" x14ac:dyDescent="0.25">
      <c r="A1897" s="65">
        <v>42585</v>
      </c>
      <c r="B1897" s="1">
        <v>4.1085000000000003</v>
      </c>
      <c r="C1897" s="65">
        <v>42615</v>
      </c>
      <c r="D1897" s="1">
        <v>4.0312999999999999</v>
      </c>
    </row>
    <row r="1898" spans="1:4" x14ac:dyDescent="0.25">
      <c r="A1898" s="65">
        <v>42586</v>
      </c>
      <c r="B1898" s="1">
        <v>4.0801999999999996</v>
      </c>
      <c r="C1898" s="65">
        <v>42618</v>
      </c>
      <c r="D1898" s="1">
        <v>4.0297999999999998</v>
      </c>
    </row>
    <row r="1899" spans="1:4" x14ac:dyDescent="0.25">
      <c r="A1899" s="65">
        <v>42587</v>
      </c>
      <c r="B1899" s="1">
        <v>4.0233999999999996</v>
      </c>
      <c r="C1899" s="65">
        <v>42619</v>
      </c>
      <c r="D1899" s="1">
        <v>4.0624000000000002</v>
      </c>
    </row>
    <row r="1900" spans="1:4" x14ac:dyDescent="0.25">
      <c r="A1900" s="65">
        <v>42590</v>
      </c>
      <c r="B1900" s="1">
        <v>4.0110000000000001</v>
      </c>
      <c r="C1900" s="65">
        <v>42620</v>
      </c>
      <c r="D1900" s="1">
        <v>4.0058999999999996</v>
      </c>
    </row>
    <row r="1901" spans="1:4" x14ac:dyDescent="0.25">
      <c r="A1901" s="65">
        <v>42591</v>
      </c>
      <c r="B1901" s="1">
        <v>3.9497</v>
      </c>
      <c r="C1901" s="65">
        <v>42621</v>
      </c>
      <c r="D1901" s="1">
        <v>3.9868000000000001</v>
      </c>
    </row>
    <row r="1902" spans="1:4" x14ac:dyDescent="0.25">
      <c r="A1902" s="65">
        <v>42592</v>
      </c>
      <c r="B1902" s="1">
        <v>3.9637000000000002</v>
      </c>
      <c r="C1902" s="65">
        <v>42622</v>
      </c>
      <c r="D1902" s="1">
        <v>4.0377999999999998</v>
      </c>
    </row>
    <row r="1903" spans="1:4" x14ac:dyDescent="0.25">
      <c r="A1903" s="65">
        <v>42593</v>
      </c>
      <c r="B1903" s="1">
        <v>3.9239999999999999</v>
      </c>
      <c r="C1903" s="65">
        <v>42625</v>
      </c>
      <c r="D1903" s="1">
        <v>4.1135999999999999</v>
      </c>
    </row>
    <row r="1904" spans="1:4" x14ac:dyDescent="0.25">
      <c r="A1904" s="65">
        <v>42594</v>
      </c>
      <c r="B1904" s="1">
        <v>3.9293</v>
      </c>
      <c r="C1904" s="65">
        <v>42626</v>
      </c>
      <c r="D1904" s="1">
        <v>4.1863000000000001</v>
      </c>
    </row>
    <row r="1905" spans="1:4" x14ac:dyDescent="0.25">
      <c r="A1905" s="65">
        <v>42597</v>
      </c>
      <c r="B1905" s="1">
        <v>3.9271000000000003</v>
      </c>
      <c r="C1905" s="65">
        <v>42627</v>
      </c>
      <c r="D1905" s="1">
        <v>4.1882999999999999</v>
      </c>
    </row>
    <row r="1906" spans="1:4" x14ac:dyDescent="0.25">
      <c r="A1906" s="65">
        <v>42598</v>
      </c>
      <c r="B1906" s="1">
        <v>3.9666999999999999</v>
      </c>
      <c r="C1906" s="65">
        <v>42628</v>
      </c>
      <c r="D1906" s="1">
        <v>4.1742999999999997</v>
      </c>
    </row>
    <row r="1907" spans="1:4" x14ac:dyDescent="0.25">
      <c r="A1907" s="65">
        <v>42599</v>
      </c>
      <c r="B1907" s="1">
        <v>4.0141999999999998</v>
      </c>
      <c r="C1907" s="65">
        <v>42629</v>
      </c>
      <c r="D1907" s="1">
        <v>4.2782</v>
      </c>
    </row>
    <row r="1908" spans="1:4" x14ac:dyDescent="0.25">
      <c r="A1908" s="65">
        <v>42600</v>
      </c>
      <c r="B1908" s="1">
        <v>3.9943999999999997</v>
      </c>
      <c r="C1908" s="65">
        <v>42632</v>
      </c>
      <c r="D1908" s="1">
        <v>4.2146999999999997</v>
      </c>
    </row>
    <row r="1909" spans="1:4" x14ac:dyDescent="0.25">
      <c r="A1909" s="65">
        <v>42601</v>
      </c>
      <c r="B1909" s="1">
        <v>4.0308999999999999</v>
      </c>
      <c r="C1909" s="65">
        <v>42633</v>
      </c>
      <c r="D1909" s="1">
        <v>4.2521000000000004</v>
      </c>
    </row>
    <row r="1910" spans="1:4" x14ac:dyDescent="0.25">
      <c r="A1910" s="65">
        <v>42604</v>
      </c>
      <c r="B1910" s="1">
        <v>4.0415000000000001</v>
      </c>
      <c r="C1910" s="65">
        <v>42634</v>
      </c>
      <c r="D1910" s="1">
        <v>4.2149999999999999</v>
      </c>
    </row>
    <row r="1911" spans="1:4" x14ac:dyDescent="0.25">
      <c r="A1911" s="65">
        <v>42605</v>
      </c>
      <c r="B1911" s="1">
        <v>3.9965000000000002</v>
      </c>
      <c r="C1911" s="65">
        <v>42635</v>
      </c>
      <c r="D1911" s="1">
        <v>4.1420000000000003</v>
      </c>
    </row>
    <row r="1912" spans="1:4" x14ac:dyDescent="0.25">
      <c r="A1912" s="65">
        <v>42606</v>
      </c>
      <c r="B1912" s="1">
        <v>3.9767000000000001</v>
      </c>
      <c r="C1912" s="65">
        <v>42636</v>
      </c>
      <c r="D1912" s="1">
        <v>4.1886000000000001</v>
      </c>
    </row>
    <row r="1913" spans="1:4" x14ac:dyDescent="0.25">
      <c r="A1913" s="65">
        <v>42607</v>
      </c>
      <c r="B1913" s="1">
        <v>4.0045999999999999</v>
      </c>
      <c r="C1913" s="65">
        <v>42639</v>
      </c>
      <c r="D1913" s="1">
        <v>4.2559000000000005</v>
      </c>
    </row>
    <row r="1914" spans="1:4" x14ac:dyDescent="0.25">
      <c r="A1914" s="65">
        <v>42608</v>
      </c>
      <c r="B1914" s="1">
        <v>3.9744000000000002</v>
      </c>
      <c r="C1914" s="65">
        <v>42640</v>
      </c>
      <c r="D1914" s="1">
        <v>4.2712000000000003</v>
      </c>
    </row>
    <row r="1915" spans="1:4" x14ac:dyDescent="0.25">
      <c r="A1915" s="65">
        <v>42611</v>
      </c>
      <c r="B1915" s="1">
        <v>3.9901</v>
      </c>
      <c r="C1915" s="65">
        <v>42641</v>
      </c>
      <c r="D1915" s="1">
        <v>4.2449000000000003</v>
      </c>
    </row>
    <row r="1916" spans="1:4" x14ac:dyDescent="0.25">
      <c r="A1916" s="65">
        <v>42612</v>
      </c>
      <c r="B1916" s="1">
        <v>3.9477000000000002</v>
      </c>
      <c r="C1916" s="65">
        <v>42642</v>
      </c>
      <c r="D1916" s="1">
        <v>4.2145999999999999</v>
      </c>
    </row>
    <row r="1917" spans="1:4" x14ac:dyDescent="0.25">
      <c r="A1917" s="65">
        <v>42613</v>
      </c>
      <c r="B1917" s="1">
        <v>3.9576000000000002</v>
      </c>
      <c r="C1917" s="65">
        <v>42643</v>
      </c>
      <c r="D1917" s="1">
        <v>4.1985999999999999</v>
      </c>
    </row>
    <row r="1918" spans="1:4" x14ac:dyDescent="0.25">
      <c r="A1918" s="65">
        <v>42614</v>
      </c>
      <c r="B1918" s="1">
        <v>3.9649999999999999</v>
      </c>
      <c r="C1918" s="65">
        <v>42646</v>
      </c>
      <c r="D1918" s="1">
        <v>4.2313999999999998</v>
      </c>
    </row>
    <row r="1919" spans="1:4" x14ac:dyDescent="0.25">
      <c r="A1919" s="65">
        <v>42615</v>
      </c>
      <c r="B1919" s="1">
        <v>3.8849</v>
      </c>
      <c r="C1919" s="65">
        <v>42647</v>
      </c>
      <c r="D1919" s="1">
        <v>4.2225999999999999</v>
      </c>
    </row>
    <row r="1920" spans="1:4" x14ac:dyDescent="0.25">
      <c r="A1920" s="65">
        <v>42618</v>
      </c>
      <c r="B1920" s="1">
        <v>3.8875000000000002</v>
      </c>
      <c r="C1920" s="65">
        <v>42648</v>
      </c>
      <c r="D1920" s="1">
        <v>4.1794000000000002</v>
      </c>
    </row>
    <row r="1921" spans="1:4" x14ac:dyDescent="0.25">
      <c r="A1921" s="65">
        <v>42619</v>
      </c>
      <c r="B1921" s="1">
        <v>3.8970000000000002</v>
      </c>
      <c r="C1921" s="65">
        <v>42649</v>
      </c>
      <c r="D1921" s="1">
        <v>4.1938000000000004</v>
      </c>
    </row>
    <row r="1922" spans="1:4" x14ac:dyDescent="0.25">
      <c r="A1922" s="65">
        <v>42620</v>
      </c>
      <c r="B1922" s="1">
        <v>3.8698999999999999</v>
      </c>
      <c r="C1922" s="65">
        <v>42650</v>
      </c>
      <c r="D1922" s="1">
        <v>4.2159000000000004</v>
      </c>
    </row>
    <row r="1923" spans="1:4" x14ac:dyDescent="0.25">
      <c r="A1923" s="65">
        <v>42621</v>
      </c>
      <c r="B1923" s="1">
        <v>3.8801000000000001</v>
      </c>
      <c r="C1923" s="65">
        <v>42653</v>
      </c>
      <c r="D1923" s="1">
        <v>4.1582999999999997</v>
      </c>
    </row>
    <row r="1924" spans="1:4" x14ac:dyDescent="0.25">
      <c r="A1924" s="65">
        <v>42622</v>
      </c>
      <c r="B1924" s="1">
        <v>3.9186000000000001</v>
      </c>
      <c r="C1924" s="65">
        <v>42654</v>
      </c>
      <c r="D1924" s="1">
        <v>4.1982999999999997</v>
      </c>
    </row>
    <row r="1925" spans="1:4" x14ac:dyDescent="0.25">
      <c r="A1925" s="65">
        <v>42625</v>
      </c>
      <c r="B1925" s="1">
        <v>3.9710999999999999</v>
      </c>
      <c r="C1925" s="65">
        <v>42655</v>
      </c>
      <c r="D1925" s="1">
        <v>4.1992000000000003</v>
      </c>
    </row>
    <row r="1926" spans="1:4" x14ac:dyDescent="0.25">
      <c r="A1926" s="65">
        <v>42626</v>
      </c>
      <c r="B1926" s="1">
        <v>4.0260999999999996</v>
      </c>
      <c r="C1926" s="65">
        <v>42656</v>
      </c>
      <c r="D1926" s="1">
        <v>4.2511000000000001</v>
      </c>
    </row>
    <row r="1927" spans="1:4" x14ac:dyDescent="0.25">
      <c r="A1927" s="65">
        <v>42627</v>
      </c>
      <c r="B1927" s="1">
        <v>4.0372000000000003</v>
      </c>
      <c r="C1927" s="65">
        <v>42657</v>
      </c>
      <c r="D1927" s="1">
        <v>4.1685999999999996</v>
      </c>
    </row>
    <row r="1928" spans="1:4" x14ac:dyDescent="0.25">
      <c r="A1928" s="65">
        <v>42628</v>
      </c>
      <c r="B1928" s="1">
        <v>4.0251000000000001</v>
      </c>
      <c r="C1928" s="65">
        <v>42660</v>
      </c>
      <c r="D1928" s="1">
        <v>4.1588000000000003</v>
      </c>
    </row>
    <row r="1929" spans="1:4" x14ac:dyDescent="0.25">
      <c r="A1929" s="65">
        <v>42629</v>
      </c>
      <c r="B1929" s="1">
        <v>4.0780000000000003</v>
      </c>
      <c r="C1929" s="65">
        <v>42661</v>
      </c>
      <c r="D1929" s="1">
        <v>4.0782999999999996</v>
      </c>
    </row>
    <row r="1930" spans="1:4" x14ac:dyDescent="0.25">
      <c r="A1930" s="65">
        <v>42632</v>
      </c>
      <c r="B1930" s="1">
        <v>3.9981999999999998</v>
      </c>
      <c r="C1930" s="65">
        <v>42662</v>
      </c>
      <c r="D1930" s="1">
        <v>4.0597000000000003</v>
      </c>
    </row>
    <row r="1931" spans="1:4" x14ac:dyDescent="0.25">
      <c r="A1931" s="65">
        <v>42633</v>
      </c>
      <c r="B1931" s="1">
        <v>4.0029000000000003</v>
      </c>
      <c r="C1931" s="65">
        <v>42663</v>
      </c>
      <c r="D1931" s="1">
        <v>4.0368000000000004</v>
      </c>
    </row>
    <row r="1932" spans="1:4" x14ac:dyDescent="0.25">
      <c r="A1932" s="65">
        <v>42634</v>
      </c>
      <c r="B1932" s="1">
        <v>3.9796</v>
      </c>
      <c r="C1932" s="65">
        <v>42664</v>
      </c>
      <c r="D1932" s="1">
        <v>4.0308000000000002</v>
      </c>
    </row>
    <row r="1933" spans="1:4" x14ac:dyDescent="0.25">
      <c r="A1933" s="65">
        <v>42635</v>
      </c>
      <c r="B1933" s="1">
        <v>3.8890000000000002</v>
      </c>
      <c r="C1933" s="65">
        <v>42667</v>
      </c>
      <c r="D1933" s="1">
        <v>3.9984000000000002</v>
      </c>
    </row>
    <row r="1934" spans="1:4" x14ac:dyDescent="0.25">
      <c r="A1934" s="65">
        <v>42636</v>
      </c>
      <c r="B1934" s="1">
        <v>3.9138000000000002</v>
      </c>
      <c r="C1934" s="65">
        <v>42668</v>
      </c>
      <c r="D1934" s="1">
        <v>4.016</v>
      </c>
    </row>
    <row r="1935" spans="1:4" x14ac:dyDescent="0.25">
      <c r="A1935" s="65">
        <v>42639</v>
      </c>
      <c r="B1935" s="1">
        <v>3.9881000000000002</v>
      </c>
      <c r="C1935" s="65">
        <v>42669</v>
      </c>
      <c r="D1935" s="1">
        <v>4.0042</v>
      </c>
    </row>
    <row r="1936" spans="1:4" x14ac:dyDescent="0.25">
      <c r="A1936" s="65">
        <v>42640</v>
      </c>
      <c r="B1936" s="1">
        <v>3.9948000000000001</v>
      </c>
      <c r="C1936" s="65">
        <v>42670</v>
      </c>
      <c r="D1936" s="1">
        <v>3.9706999999999999</v>
      </c>
    </row>
    <row r="1937" spans="1:4" x14ac:dyDescent="0.25">
      <c r="A1937" s="65">
        <v>42641</v>
      </c>
      <c r="B1937" s="1">
        <v>3.9678</v>
      </c>
      <c r="C1937" s="65">
        <v>42671</v>
      </c>
      <c r="D1937" s="1">
        <v>3.9942000000000002</v>
      </c>
    </row>
    <row r="1938" spans="1:4" x14ac:dyDescent="0.25">
      <c r="A1938" s="65">
        <v>42642</v>
      </c>
      <c r="B1938" s="1">
        <v>3.9670999999999998</v>
      </c>
      <c r="C1938" s="65">
        <v>42674</v>
      </c>
      <c r="D1938" s="1">
        <v>4.0406000000000004</v>
      </c>
    </row>
    <row r="1939" spans="1:4" x14ac:dyDescent="0.25">
      <c r="A1939" s="65">
        <v>42643</v>
      </c>
      <c r="B1939" s="1">
        <v>3.9529999999999998</v>
      </c>
      <c r="C1939" s="65">
        <v>42675</v>
      </c>
      <c r="D1939" s="1">
        <v>4.0948000000000002</v>
      </c>
    </row>
    <row r="1940" spans="1:4" x14ac:dyDescent="0.25">
      <c r="A1940" s="65">
        <v>42646</v>
      </c>
      <c r="B1940" s="1">
        <v>3.9580000000000002</v>
      </c>
      <c r="C1940" s="65">
        <v>42676</v>
      </c>
      <c r="D1940" s="1">
        <v>4.2001999999999997</v>
      </c>
    </row>
    <row r="1941" spans="1:4" x14ac:dyDescent="0.25">
      <c r="A1941" s="65">
        <v>42647</v>
      </c>
      <c r="B1941" s="1">
        <v>3.9175</v>
      </c>
      <c r="C1941" s="65">
        <v>42677</v>
      </c>
      <c r="D1941" s="1">
        <v>4.2141000000000002</v>
      </c>
    </row>
    <row r="1942" spans="1:4" x14ac:dyDescent="0.25">
      <c r="A1942" s="65">
        <v>42648</v>
      </c>
      <c r="B1942" s="1">
        <v>3.9215999999999998</v>
      </c>
      <c r="C1942" s="65">
        <v>42678</v>
      </c>
      <c r="D1942" s="1">
        <v>4.2403000000000004</v>
      </c>
    </row>
    <row r="1943" spans="1:4" x14ac:dyDescent="0.25">
      <c r="A1943" s="65">
        <v>42649</v>
      </c>
      <c r="B1943" s="1">
        <v>3.9276999999999997</v>
      </c>
      <c r="C1943" s="65">
        <v>42681</v>
      </c>
      <c r="D1943" s="1">
        <v>4.1342999999999996</v>
      </c>
    </row>
    <row r="1944" spans="1:4" x14ac:dyDescent="0.25">
      <c r="A1944" s="65">
        <v>42650</v>
      </c>
      <c r="B1944" s="1">
        <v>3.9552</v>
      </c>
      <c r="C1944" s="65">
        <v>42682</v>
      </c>
      <c r="D1944" s="1">
        <v>4.1144999999999996</v>
      </c>
    </row>
    <row r="1945" spans="1:4" x14ac:dyDescent="0.25">
      <c r="A1945" s="65">
        <v>42653</v>
      </c>
      <c r="B1945" s="1">
        <v>3.9093999999999998</v>
      </c>
      <c r="C1945" s="65">
        <v>42683</v>
      </c>
      <c r="D1945" s="1">
        <v>4.1188000000000002</v>
      </c>
    </row>
    <row r="1946" spans="1:4" x14ac:dyDescent="0.25">
      <c r="A1946" s="65">
        <v>42654</v>
      </c>
      <c r="B1946" s="1">
        <v>3.9289000000000001</v>
      </c>
      <c r="C1946" s="65">
        <v>42684</v>
      </c>
      <c r="D1946" s="1">
        <v>4.1173999999999999</v>
      </c>
    </row>
    <row r="1947" spans="1:4" x14ac:dyDescent="0.25">
      <c r="A1947" s="65">
        <v>42655</v>
      </c>
      <c r="B1947" s="1">
        <v>3.9454000000000002</v>
      </c>
      <c r="C1947" s="65">
        <v>42685</v>
      </c>
      <c r="D1947" s="1">
        <v>4.1154999999999999</v>
      </c>
    </row>
    <row r="1948" spans="1:4" x14ac:dyDescent="0.25">
      <c r="A1948" s="65">
        <v>42656</v>
      </c>
      <c r="B1948" s="1">
        <v>3.9891999999999999</v>
      </c>
      <c r="C1948" s="65">
        <v>42688</v>
      </c>
      <c r="D1948" s="1">
        <v>4.1466000000000003</v>
      </c>
    </row>
    <row r="1949" spans="1:4" x14ac:dyDescent="0.25">
      <c r="A1949" s="65">
        <v>42657</v>
      </c>
      <c r="B1949" s="1">
        <v>3.9230999999999998</v>
      </c>
      <c r="C1949" s="65">
        <v>42689</v>
      </c>
      <c r="D1949" s="1">
        <v>4.1475999999999997</v>
      </c>
    </row>
    <row r="1950" spans="1:4" x14ac:dyDescent="0.25">
      <c r="A1950" s="65">
        <v>42660</v>
      </c>
      <c r="B1950" s="1">
        <v>3.9445000000000001</v>
      </c>
      <c r="C1950" s="65">
        <v>42690</v>
      </c>
      <c r="D1950" s="1">
        <v>4.1783000000000001</v>
      </c>
    </row>
    <row r="1951" spans="1:4" x14ac:dyDescent="0.25">
      <c r="A1951" s="65">
        <v>42661</v>
      </c>
      <c r="B1951" s="1">
        <v>3.8914999999999997</v>
      </c>
      <c r="C1951" s="65">
        <v>42691</v>
      </c>
      <c r="D1951" s="1">
        <v>4.1794000000000002</v>
      </c>
    </row>
    <row r="1952" spans="1:4" x14ac:dyDescent="0.25">
      <c r="A1952" s="65">
        <v>42662</v>
      </c>
      <c r="B1952" s="1">
        <v>3.8801000000000001</v>
      </c>
      <c r="C1952" s="65">
        <v>42692</v>
      </c>
      <c r="D1952" s="1">
        <v>4.2373000000000003</v>
      </c>
    </row>
    <row r="1953" spans="1:4" x14ac:dyDescent="0.25">
      <c r="A1953" s="65">
        <v>42663</v>
      </c>
      <c r="B1953" s="1">
        <v>3.8540000000000001</v>
      </c>
      <c r="C1953" s="65">
        <v>42695</v>
      </c>
      <c r="D1953" s="1">
        <v>4.2820999999999998</v>
      </c>
    </row>
    <row r="1954" spans="1:4" x14ac:dyDescent="0.25">
      <c r="A1954" s="65">
        <v>42664</v>
      </c>
      <c r="B1954" s="1">
        <v>3.8527</v>
      </c>
      <c r="C1954" s="65">
        <v>42696</v>
      </c>
      <c r="D1954" s="1">
        <v>4.2244000000000002</v>
      </c>
    </row>
    <row r="1955" spans="1:4" x14ac:dyDescent="0.25">
      <c r="A1955" s="65">
        <v>42667</v>
      </c>
      <c r="B1955" s="1">
        <v>3.8325</v>
      </c>
      <c r="C1955" s="65">
        <v>42697</v>
      </c>
      <c r="D1955" s="1">
        <v>4.2211999999999996</v>
      </c>
    </row>
    <row r="1956" spans="1:4" x14ac:dyDescent="0.25">
      <c r="A1956" s="65">
        <v>42668</v>
      </c>
      <c r="B1956" s="1">
        <v>3.8405</v>
      </c>
      <c r="C1956" s="65">
        <v>42698</v>
      </c>
      <c r="D1956" s="1">
        <v>4.2293000000000003</v>
      </c>
    </row>
    <row r="1957" spans="1:4" x14ac:dyDescent="0.25">
      <c r="A1957" s="65">
        <v>42669</v>
      </c>
      <c r="B1957" s="1">
        <v>3.8485</v>
      </c>
      <c r="C1957" s="65">
        <v>42699</v>
      </c>
      <c r="D1957" s="1">
        <v>4.2256</v>
      </c>
    </row>
    <row r="1958" spans="1:4" x14ac:dyDescent="0.25">
      <c r="A1958" s="65">
        <v>42670</v>
      </c>
      <c r="B1958" s="1">
        <v>3.8447</v>
      </c>
      <c r="C1958" s="65">
        <v>42702</v>
      </c>
      <c r="D1958" s="1">
        <v>4.3033000000000001</v>
      </c>
    </row>
    <row r="1959" spans="1:4" x14ac:dyDescent="0.25">
      <c r="A1959" s="65">
        <v>42671</v>
      </c>
      <c r="B1959" s="1">
        <v>3.8521000000000001</v>
      </c>
      <c r="C1959" s="65">
        <v>42703</v>
      </c>
      <c r="D1959" s="1">
        <v>4.2137000000000002</v>
      </c>
    </row>
    <row r="1960" spans="1:4" x14ac:dyDescent="0.25">
      <c r="A1960" s="65">
        <v>42674</v>
      </c>
      <c r="B1960" s="1">
        <v>3.8906000000000001</v>
      </c>
      <c r="C1960" s="65">
        <v>42704</v>
      </c>
      <c r="D1960" s="1">
        <v>4.1219000000000001</v>
      </c>
    </row>
    <row r="1961" spans="1:4" x14ac:dyDescent="0.25">
      <c r="A1961" s="65">
        <v>42675</v>
      </c>
      <c r="B1961" s="1">
        <v>3.9318999999999997</v>
      </c>
      <c r="C1961" s="65">
        <v>42705</v>
      </c>
      <c r="D1961" s="1">
        <v>4.0815000000000001</v>
      </c>
    </row>
    <row r="1962" spans="1:4" x14ac:dyDescent="0.25">
      <c r="A1962" s="65">
        <v>42676</v>
      </c>
      <c r="B1962" s="1">
        <v>3.9885999999999999</v>
      </c>
      <c r="C1962" s="65">
        <v>42706</v>
      </c>
      <c r="D1962" s="1">
        <v>4.0842000000000001</v>
      </c>
    </row>
    <row r="1963" spans="1:4" x14ac:dyDescent="0.25">
      <c r="A1963" s="65">
        <v>42677</v>
      </c>
      <c r="B1963" s="1">
        <v>3.9914000000000001</v>
      </c>
      <c r="C1963" s="65">
        <v>42709</v>
      </c>
      <c r="D1963" s="1">
        <v>4.093</v>
      </c>
    </row>
    <row r="1964" spans="1:4" x14ac:dyDescent="0.25">
      <c r="A1964" s="65">
        <v>42678</v>
      </c>
      <c r="B1964" s="1">
        <v>4.0170000000000003</v>
      </c>
      <c r="C1964" s="65">
        <v>42710</v>
      </c>
      <c r="D1964" s="1">
        <v>3.9298999999999999</v>
      </c>
    </row>
    <row r="1965" spans="1:4" x14ac:dyDescent="0.25">
      <c r="A1965" s="65">
        <v>42681</v>
      </c>
      <c r="B1965" s="1">
        <v>3.9439000000000002</v>
      </c>
      <c r="C1965" s="65">
        <v>42711</v>
      </c>
      <c r="D1965" s="1">
        <v>3.8491</v>
      </c>
    </row>
    <row r="1966" spans="1:4" x14ac:dyDescent="0.25">
      <c r="A1966" s="65">
        <v>42682</v>
      </c>
      <c r="B1966" s="1">
        <v>3.9271000000000003</v>
      </c>
      <c r="C1966" s="65">
        <v>42712</v>
      </c>
      <c r="D1966" s="1">
        <v>3.7869999999999999</v>
      </c>
    </row>
    <row r="1967" spans="1:4" x14ac:dyDescent="0.25">
      <c r="A1967" s="65">
        <v>42683</v>
      </c>
      <c r="B1967" s="1">
        <v>3.8849</v>
      </c>
      <c r="C1967" s="65">
        <v>42713</v>
      </c>
      <c r="D1967" s="1">
        <v>3.8149999999999999</v>
      </c>
    </row>
    <row r="1968" spans="1:4" x14ac:dyDescent="0.25">
      <c r="A1968" s="65">
        <v>42684</v>
      </c>
      <c r="B1968" s="1">
        <v>3.8973</v>
      </c>
      <c r="C1968" s="65">
        <v>42716</v>
      </c>
      <c r="D1968" s="1">
        <v>3.7989000000000002</v>
      </c>
    </row>
    <row r="1969" spans="1:4" x14ac:dyDescent="0.25">
      <c r="A1969" s="65">
        <v>42685</v>
      </c>
      <c r="B1969" s="1">
        <v>3.9186000000000001</v>
      </c>
      <c r="C1969" s="65">
        <v>42717</v>
      </c>
      <c r="D1969" s="1">
        <v>3.7065999999999999</v>
      </c>
    </row>
    <row r="1970" spans="1:4" x14ac:dyDescent="0.25">
      <c r="A1970" s="65">
        <v>42688</v>
      </c>
      <c r="B1970" s="1">
        <v>3.9060000000000001</v>
      </c>
      <c r="C1970" s="65">
        <v>42718</v>
      </c>
      <c r="D1970" s="1">
        <v>3.7507000000000001</v>
      </c>
    </row>
    <row r="1971" spans="1:4" x14ac:dyDescent="0.25">
      <c r="A1971" s="65">
        <v>42689</v>
      </c>
      <c r="B1971" s="1">
        <v>3.8921999999999999</v>
      </c>
      <c r="C1971" s="65">
        <v>42719</v>
      </c>
      <c r="D1971" s="1">
        <v>3.6739999999999999</v>
      </c>
    </row>
    <row r="1972" spans="1:4" x14ac:dyDescent="0.25">
      <c r="A1972" s="65">
        <v>42690</v>
      </c>
      <c r="B1972" s="1">
        <v>3.9222000000000001</v>
      </c>
      <c r="C1972" s="65">
        <v>42720</v>
      </c>
      <c r="D1972" s="1">
        <v>3.6701000000000001</v>
      </c>
    </row>
    <row r="1973" spans="1:4" x14ac:dyDescent="0.25">
      <c r="A1973" s="65">
        <v>42691</v>
      </c>
      <c r="B1973" s="1">
        <v>3.9024000000000001</v>
      </c>
      <c r="C1973" s="65">
        <v>42723</v>
      </c>
      <c r="D1973" s="1">
        <v>3.6821999999999999</v>
      </c>
    </row>
    <row r="1974" spans="1:4" x14ac:dyDescent="0.25">
      <c r="A1974" s="65">
        <v>42692</v>
      </c>
      <c r="B1974" s="1">
        <v>3.9294000000000002</v>
      </c>
      <c r="C1974" s="65">
        <v>42724</v>
      </c>
      <c r="D1974" s="1">
        <v>3.6288999999999998</v>
      </c>
    </row>
    <row r="1975" spans="1:4" x14ac:dyDescent="0.25">
      <c r="A1975" s="65">
        <v>42695</v>
      </c>
      <c r="B1975" s="1">
        <v>3.9137</v>
      </c>
      <c r="C1975" s="65">
        <v>42725</v>
      </c>
      <c r="D1975" s="1">
        <v>3.6349</v>
      </c>
    </row>
    <row r="1976" spans="1:4" x14ac:dyDescent="0.25">
      <c r="A1976" s="65">
        <v>42696</v>
      </c>
      <c r="B1976" s="1">
        <v>3.8990999999999998</v>
      </c>
      <c r="C1976" s="65">
        <v>42726</v>
      </c>
      <c r="D1976" s="1">
        <v>3.6528</v>
      </c>
    </row>
    <row r="1977" spans="1:4" x14ac:dyDescent="0.25">
      <c r="A1977" s="65">
        <v>42697</v>
      </c>
      <c r="B1977" s="1">
        <v>3.9148000000000001</v>
      </c>
      <c r="C1977" s="65">
        <v>42727</v>
      </c>
      <c r="D1977" s="1">
        <v>3.6105999999999998</v>
      </c>
    </row>
    <row r="1978" spans="1:4" x14ac:dyDescent="0.25">
      <c r="A1978" s="65">
        <v>42698</v>
      </c>
      <c r="B1978" s="1">
        <v>3.9039000000000001</v>
      </c>
      <c r="C1978" s="65">
        <v>42731</v>
      </c>
      <c r="D1978" s="1">
        <v>3.6021000000000001</v>
      </c>
    </row>
    <row r="1979" spans="1:4" x14ac:dyDescent="0.25">
      <c r="A1979" s="65">
        <v>42699</v>
      </c>
      <c r="B1979" s="1">
        <v>3.8938999999999999</v>
      </c>
      <c r="C1979" s="65">
        <v>42732</v>
      </c>
      <c r="D1979" s="1">
        <v>3.6303999999999998</v>
      </c>
    </row>
    <row r="1980" spans="1:4" x14ac:dyDescent="0.25">
      <c r="A1980" s="65">
        <v>42702</v>
      </c>
      <c r="B1980" s="1">
        <v>3.9346999999999999</v>
      </c>
      <c r="C1980" s="65">
        <v>42733</v>
      </c>
      <c r="D1980" s="1">
        <v>3.6371000000000002</v>
      </c>
    </row>
    <row r="1981" spans="1:4" x14ac:dyDescent="0.25">
      <c r="A1981" s="65">
        <v>42703</v>
      </c>
      <c r="B1981" s="1">
        <v>3.9073000000000002</v>
      </c>
      <c r="C1981" s="65">
        <v>42734</v>
      </c>
      <c r="D1981" s="1">
        <v>3.6313</v>
      </c>
    </row>
    <row r="1982" spans="1:4" x14ac:dyDescent="0.25">
      <c r="A1982" s="65">
        <v>42704</v>
      </c>
      <c r="B1982" s="1">
        <v>3.8904999999999998</v>
      </c>
      <c r="C1982" s="65">
        <v>42737</v>
      </c>
      <c r="D1982" s="1">
        <v>3.5427</v>
      </c>
    </row>
    <row r="1983" spans="1:4" x14ac:dyDescent="0.25">
      <c r="A1983" s="65">
        <v>42705</v>
      </c>
      <c r="B1983" s="1">
        <v>3.9169</v>
      </c>
      <c r="C1983" s="65">
        <v>42738</v>
      </c>
      <c r="D1983" s="1">
        <v>3.5413999999999999</v>
      </c>
    </row>
    <row r="1984" spans="1:4" x14ac:dyDescent="0.25">
      <c r="A1984" s="65">
        <v>42706</v>
      </c>
      <c r="B1984" s="1">
        <v>3.9375</v>
      </c>
      <c r="C1984" s="65">
        <v>42739</v>
      </c>
      <c r="D1984" s="1">
        <v>3.5318000000000001</v>
      </c>
    </row>
    <row r="1985" spans="1:4" x14ac:dyDescent="0.25">
      <c r="A1985" s="65">
        <v>42709</v>
      </c>
      <c r="B1985" s="1">
        <v>3.8890000000000002</v>
      </c>
      <c r="C1985" s="65">
        <v>42740</v>
      </c>
      <c r="D1985" s="1">
        <v>3.5289000000000001</v>
      </c>
    </row>
    <row r="1986" spans="1:4" x14ac:dyDescent="0.25">
      <c r="A1986" s="65">
        <v>42710</v>
      </c>
      <c r="B1986" s="1">
        <v>3.8288000000000002</v>
      </c>
      <c r="C1986" s="65">
        <v>42741</v>
      </c>
      <c r="D1986" s="1">
        <v>3.5209000000000001</v>
      </c>
    </row>
    <row r="1987" spans="1:4" x14ac:dyDescent="0.25">
      <c r="A1987" s="65">
        <v>42711</v>
      </c>
      <c r="B1987" s="1">
        <v>3.7782</v>
      </c>
      <c r="C1987" s="65">
        <v>42744</v>
      </c>
      <c r="D1987" s="1">
        <v>3.5766999999999998</v>
      </c>
    </row>
    <row r="1988" spans="1:4" x14ac:dyDescent="0.25">
      <c r="A1988" s="65">
        <v>42712</v>
      </c>
      <c r="B1988" s="1">
        <v>3.7265999999999999</v>
      </c>
      <c r="C1988" s="65">
        <v>42745</v>
      </c>
      <c r="D1988" s="1">
        <v>3.5648999999999997</v>
      </c>
    </row>
    <row r="1989" spans="1:4" x14ac:dyDescent="0.25">
      <c r="A1989" s="65">
        <v>42713</v>
      </c>
      <c r="B1989" s="1">
        <v>3.7128999999999999</v>
      </c>
      <c r="C1989" s="65">
        <v>42746</v>
      </c>
      <c r="D1989" s="1">
        <v>3.5533999999999999</v>
      </c>
    </row>
    <row r="1990" spans="1:4" x14ac:dyDescent="0.25">
      <c r="A1990" s="65">
        <v>42716</v>
      </c>
      <c r="B1990" s="1">
        <v>3.7111000000000001</v>
      </c>
      <c r="C1990" s="65">
        <v>42747</v>
      </c>
      <c r="D1990" s="1">
        <v>3.6147</v>
      </c>
    </row>
    <row r="1991" spans="1:4" x14ac:dyDescent="0.25">
      <c r="A1991" s="65">
        <v>42717</v>
      </c>
      <c r="B1991" s="1">
        <v>3.6680000000000001</v>
      </c>
      <c r="C1991" s="65">
        <v>42748</v>
      </c>
      <c r="D1991" s="1">
        <v>3.5484</v>
      </c>
    </row>
    <row r="1992" spans="1:4" x14ac:dyDescent="0.25">
      <c r="A1992" s="65">
        <v>42718</v>
      </c>
      <c r="B1992" s="1">
        <v>3.6964999999999999</v>
      </c>
      <c r="C1992" s="65">
        <v>42751</v>
      </c>
      <c r="D1992" s="1">
        <v>3.5975999999999999</v>
      </c>
    </row>
    <row r="1993" spans="1:4" x14ac:dyDescent="0.25">
      <c r="A1993" s="65">
        <v>42719</v>
      </c>
      <c r="B1993" s="1">
        <v>3.6532999999999998</v>
      </c>
      <c r="C1993" s="65">
        <v>42752</v>
      </c>
      <c r="D1993" s="1">
        <v>3.5884999999999998</v>
      </c>
    </row>
    <row r="1994" spans="1:4" x14ac:dyDescent="0.25">
      <c r="A1994" s="65">
        <v>42720</v>
      </c>
      <c r="B1994" s="1">
        <v>3.6425999999999998</v>
      </c>
      <c r="C1994" s="65">
        <v>42753</v>
      </c>
      <c r="D1994" s="1">
        <v>3.577</v>
      </c>
    </row>
    <row r="1995" spans="1:4" x14ac:dyDescent="0.25">
      <c r="A1995" s="65">
        <v>42723</v>
      </c>
      <c r="B1995" s="1">
        <v>3.64</v>
      </c>
      <c r="C1995" s="65">
        <v>42754</v>
      </c>
      <c r="D1995" s="1">
        <v>3.5526999999999997</v>
      </c>
    </row>
    <row r="1996" spans="1:4" x14ac:dyDescent="0.25">
      <c r="A1996" s="65">
        <v>42724</v>
      </c>
      <c r="B1996" s="1">
        <v>3.6160999999999999</v>
      </c>
      <c r="C1996" s="65">
        <v>42755</v>
      </c>
      <c r="D1996" s="1">
        <v>3.5548000000000002</v>
      </c>
    </row>
    <row r="1997" spans="1:4" x14ac:dyDescent="0.25">
      <c r="A1997" s="65">
        <v>42725</v>
      </c>
      <c r="B1997" s="1">
        <v>3.6257000000000001</v>
      </c>
      <c r="C1997" s="65">
        <v>42758</v>
      </c>
      <c r="D1997" s="1">
        <v>3.8250999999999999</v>
      </c>
    </row>
    <row r="1998" spans="1:4" x14ac:dyDescent="0.25">
      <c r="A1998" s="65">
        <v>42726</v>
      </c>
      <c r="B1998" s="1">
        <v>3.6269999999999998</v>
      </c>
      <c r="C1998" s="65">
        <v>42759</v>
      </c>
      <c r="D1998" s="1">
        <v>3.7915999999999999</v>
      </c>
    </row>
    <row r="1999" spans="1:4" x14ac:dyDescent="0.25">
      <c r="A1999" s="65">
        <v>42727</v>
      </c>
      <c r="B1999" s="1">
        <v>3.6221000000000001</v>
      </c>
      <c r="C1999" s="65">
        <v>42760</v>
      </c>
      <c r="D1999" s="1">
        <v>3.7755999999999998</v>
      </c>
    </row>
    <row r="2000" spans="1:4" x14ac:dyDescent="0.25">
      <c r="A2000" s="65">
        <v>42731</v>
      </c>
      <c r="B2000" s="1">
        <v>3.6170999999999998</v>
      </c>
      <c r="C2000" s="65">
        <v>42761</v>
      </c>
      <c r="D2000" s="1">
        <v>3.8033000000000001</v>
      </c>
    </row>
    <row r="2001" spans="1:4" x14ac:dyDescent="0.25">
      <c r="A2001" s="65">
        <v>42732</v>
      </c>
      <c r="B2001" s="1">
        <v>3.6168</v>
      </c>
      <c r="C2001" s="65">
        <v>42762</v>
      </c>
      <c r="D2001" s="1">
        <v>3.8250000000000002</v>
      </c>
    </row>
    <row r="2002" spans="1:4" x14ac:dyDescent="0.25">
      <c r="A2002" s="65">
        <v>42733</v>
      </c>
      <c r="B2002" s="1">
        <v>3.6245000000000003</v>
      </c>
      <c r="C2002" s="65">
        <v>42765</v>
      </c>
      <c r="D2002" s="1">
        <v>3.9412000000000003</v>
      </c>
    </row>
    <row r="2003" spans="1:4" x14ac:dyDescent="0.25">
      <c r="A2003" s="65">
        <v>42734</v>
      </c>
      <c r="B2003" s="1">
        <v>3.6038999999999999</v>
      </c>
      <c r="C2003" s="65">
        <v>42766</v>
      </c>
      <c r="D2003" s="1">
        <v>3.9769000000000001</v>
      </c>
    </row>
    <row r="2004" spans="1:4" x14ac:dyDescent="0.25">
      <c r="A2004" s="65">
        <v>42737</v>
      </c>
      <c r="B2004" s="1">
        <v>3.5840999999999998</v>
      </c>
      <c r="C2004" s="65">
        <v>42767</v>
      </c>
      <c r="D2004" s="1">
        <v>3.9451000000000001</v>
      </c>
    </row>
    <row r="2005" spans="1:4" x14ac:dyDescent="0.25">
      <c r="A2005" s="65">
        <v>42738</v>
      </c>
      <c r="B2005" s="1">
        <v>3.5771999999999999</v>
      </c>
      <c r="C2005" s="65">
        <v>42768</v>
      </c>
      <c r="D2005" s="1">
        <v>3.9140999999999999</v>
      </c>
    </row>
    <row r="2006" spans="1:4" x14ac:dyDescent="0.25">
      <c r="A2006" s="65">
        <v>42739</v>
      </c>
      <c r="B2006" s="1">
        <v>3.5745</v>
      </c>
      <c r="C2006" s="65">
        <v>42769</v>
      </c>
      <c r="D2006" s="1">
        <v>3.8675999999999999</v>
      </c>
    </row>
    <row r="2007" spans="1:4" x14ac:dyDescent="0.25">
      <c r="A2007" s="65">
        <v>42740</v>
      </c>
      <c r="B2007" s="1">
        <v>3.5785</v>
      </c>
      <c r="C2007" s="65">
        <v>42772</v>
      </c>
      <c r="D2007" s="1">
        <v>3.9550000000000001</v>
      </c>
    </row>
    <row r="2008" spans="1:4" x14ac:dyDescent="0.25">
      <c r="A2008" s="65">
        <v>42741</v>
      </c>
      <c r="B2008" s="1">
        <v>3.5733999999999999</v>
      </c>
      <c r="C2008" s="65">
        <v>42773</v>
      </c>
      <c r="D2008" s="1">
        <v>3.9615999999999998</v>
      </c>
    </row>
    <row r="2009" spans="1:4" x14ac:dyDescent="0.25">
      <c r="A2009" s="65">
        <v>42744</v>
      </c>
      <c r="B2009" s="1">
        <v>3.5865999999999998</v>
      </c>
      <c r="C2009" s="65">
        <v>42774</v>
      </c>
      <c r="D2009" s="1">
        <v>3.9386000000000001</v>
      </c>
    </row>
    <row r="2010" spans="1:4" x14ac:dyDescent="0.25">
      <c r="A2010" s="65">
        <v>42745</v>
      </c>
      <c r="B2010" s="1">
        <v>3.5895999999999999</v>
      </c>
      <c r="C2010" s="65">
        <v>42775</v>
      </c>
      <c r="D2010" s="1">
        <v>3.9020999999999999</v>
      </c>
    </row>
    <row r="2011" spans="1:4" x14ac:dyDescent="0.25">
      <c r="A2011" s="65">
        <v>42746</v>
      </c>
      <c r="B2011" s="1">
        <v>3.5876999999999999</v>
      </c>
      <c r="C2011" s="65">
        <v>42776</v>
      </c>
      <c r="D2011" s="1">
        <v>3.7263000000000002</v>
      </c>
    </row>
    <row r="2012" spans="1:4" x14ac:dyDescent="0.25">
      <c r="A2012" s="65">
        <v>42747</v>
      </c>
      <c r="B2012" s="1">
        <v>3.6109</v>
      </c>
      <c r="C2012" s="65">
        <v>42779</v>
      </c>
      <c r="D2012" s="1">
        <v>3.6867999999999999</v>
      </c>
    </row>
    <row r="2013" spans="1:4" x14ac:dyDescent="0.25">
      <c r="A2013" s="65">
        <v>42748</v>
      </c>
      <c r="B2013" s="1">
        <v>3.57</v>
      </c>
      <c r="C2013" s="65">
        <v>42780</v>
      </c>
      <c r="D2013" s="1">
        <v>3.6631</v>
      </c>
    </row>
    <row r="2014" spans="1:4" x14ac:dyDescent="0.25">
      <c r="A2014" s="65">
        <v>42751</v>
      </c>
      <c r="B2014" s="1">
        <v>3.6023000000000001</v>
      </c>
      <c r="C2014" s="65">
        <v>42781</v>
      </c>
      <c r="D2014" s="1">
        <v>3.6884000000000001</v>
      </c>
    </row>
    <row r="2015" spans="1:4" x14ac:dyDescent="0.25">
      <c r="A2015" s="65">
        <v>42752</v>
      </c>
      <c r="B2015" s="1">
        <v>3.6127000000000002</v>
      </c>
      <c r="C2015" s="65">
        <v>42782</v>
      </c>
      <c r="D2015" s="1">
        <v>3.6823000000000001</v>
      </c>
    </row>
    <row r="2016" spans="1:4" x14ac:dyDescent="0.25">
      <c r="A2016" s="65">
        <v>42753</v>
      </c>
      <c r="B2016" s="1">
        <v>3.6029</v>
      </c>
      <c r="C2016" s="65">
        <v>42783</v>
      </c>
      <c r="D2016" s="1">
        <v>3.698</v>
      </c>
    </row>
    <row r="2017" spans="1:4" x14ac:dyDescent="0.25">
      <c r="A2017" s="65">
        <v>42754</v>
      </c>
      <c r="B2017" s="1">
        <v>3.6069</v>
      </c>
      <c r="C2017" s="65">
        <v>42786</v>
      </c>
      <c r="D2017" s="1">
        <v>3.7035</v>
      </c>
    </row>
    <row r="2018" spans="1:4" x14ac:dyDescent="0.25">
      <c r="A2018" s="65">
        <v>42755</v>
      </c>
      <c r="B2018" s="1">
        <v>3.597</v>
      </c>
      <c r="C2018" s="65">
        <v>42787</v>
      </c>
      <c r="D2018" s="1">
        <v>3.6907999999999999</v>
      </c>
    </row>
    <row r="2019" spans="1:4" x14ac:dyDescent="0.25">
      <c r="A2019" s="65">
        <v>42758</v>
      </c>
      <c r="B2019" s="1">
        <v>3.6577000000000002</v>
      </c>
      <c r="C2019" s="65">
        <v>42788</v>
      </c>
      <c r="D2019" s="1">
        <v>3.7218</v>
      </c>
    </row>
    <row r="2020" spans="1:4" x14ac:dyDescent="0.25">
      <c r="A2020" s="65">
        <v>42759</v>
      </c>
      <c r="B2020" s="1">
        <v>3.6482000000000001</v>
      </c>
      <c r="C2020" s="65">
        <v>42789</v>
      </c>
      <c r="D2020" s="1">
        <v>3.7347999999999999</v>
      </c>
    </row>
    <row r="2021" spans="1:4" x14ac:dyDescent="0.25">
      <c r="A2021" s="65">
        <v>42760</v>
      </c>
      <c r="B2021" s="1">
        <v>3.5992999999999999</v>
      </c>
      <c r="C2021" s="65">
        <v>42790</v>
      </c>
      <c r="D2021" s="1">
        <v>3.7795000000000001</v>
      </c>
    </row>
    <row r="2022" spans="1:4" x14ac:dyDescent="0.25">
      <c r="A2022" s="65">
        <v>42761</v>
      </c>
      <c r="B2022" s="1">
        <v>3.6069</v>
      </c>
      <c r="C2022" s="65">
        <v>42793</v>
      </c>
      <c r="D2022" s="1">
        <v>3.7161</v>
      </c>
    </row>
    <row r="2023" spans="1:4" x14ac:dyDescent="0.25">
      <c r="A2023" s="65">
        <v>42762</v>
      </c>
      <c r="B2023" s="1">
        <v>3.6240999999999999</v>
      </c>
      <c r="C2023" s="65">
        <v>42794</v>
      </c>
      <c r="D2023" s="1">
        <v>3.7162999999999999</v>
      </c>
    </row>
    <row r="2024" spans="1:4" x14ac:dyDescent="0.25">
      <c r="A2024" s="65">
        <v>42765</v>
      </c>
      <c r="B2024" s="1">
        <v>3.6726000000000001</v>
      </c>
      <c r="C2024" s="65">
        <v>42795</v>
      </c>
      <c r="D2024" s="1">
        <v>3.6711</v>
      </c>
    </row>
    <row r="2025" spans="1:4" x14ac:dyDescent="0.25">
      <c r="A2025" s="65">
        <v>42766</v>
      </c>
      <c r="B2025" s="1">
        <v>3.7090000000000001</v>
      </c>
      <c r="C2025" s="65">
        <v>42796</v>
      </c>
      <c r="D2025" s="1">
        <v>3.6566999999999998</v>
      </c>
    </row>
    <row r="2026" spans="1:4" x14ac:dyDescent="0.25">
      <c r="A2026" s="65">
        <v>42767</v>
      </c>
      <c r="B2026" s="1">
        <v>3.6303999999999998</v>
      </c>
      <c r="C2026" s="65">
        <v>42797</v>
      </c>
      <c r="D2026" s="1">
        <v>3.6151</v>
      </c>
    </row>
    <row r="2027" spans="1:4" x14ac:dyDescent="0.25">
      <c r="A2027" s="65">
        <v>42768</v>
      </c>
      <c r="B2027" s="1">
        <v>3.6402000000000001</v>
      </c>
      <c r="C2027" s="65">
        <v>42800</v>
      </c>
      <c r="D2027" s="1">
        <v>3.6550000000000002</v>
      </c>
    </row>
    <row r="2028" spans="1:4" x14ac:dyDescent="0.25">
      <c r="A2028" s="65">
        <v>42769</v>
      </c>
      <c r="B2028" s="1">
        <v>3.6185</v>
      </c>
      <c r="C2028" s="65">
        <v>42801</v>
      </c>
      <c r="D2028" s="1">
        <v>3.6539999999999999</v>
      </c>
    </row>
    <row r="2029" spans="1:4" x14ac:dyDescent="0.25">
      <c r="A2029" s="65">
        <v>42772</v>
      </c>
      <c r="B2029" s="1">
        <v>3.6574</v>
      </c>
      <c r="C2029" s="65">
        <v>42802</v>
      </c>
      <c r="D2029" s="1">
        <v>3.6489000000000003</v>
      </c>
    </row>
    <row r="2030" spans="1:4" x14ac:dyDescent="0.25">
      <c r="A2030" s="65">
        <v>42773</v>
      </c>
      <c r="B2030" s="1">
        <v>3.6602999999999999</v>
      </c>
      <c r="C2030" s="65">
        <v>42803</v>
      </c>
      <c r="D2030" s="1">
        <v>3.6322999999999999</v>
      </c>
    </row>
    <row r="2031" spans="1:4" x14ac:dyDescent="0.25">
      <c r="A2031" s="65">
        <v>42774</v>
      </c>
      <c r="B2031" s="1">
        <v>3.6577000000000002</v>
      </c>
      <c r="C2031" s="65">
        <v>42804</v>
      </c>
      <c r="D2031" s="1">
        <v>3.6162000000000001</v>
      </c>
    </row>
    <row r="2032" spans="1:4" x14ac:dyDescent="0.25">
      <c r="A2032" s="65">
        <v>42775</v>
      </c>
      <c r="B2032" s="1">
        <v>3.6146000000000003</v>
      </c>
      <c r="C2032" s="65">
        <v>42807</v>
      </c>
      <c r="D2032" s="1">
        <v>3.6073</v>
      </c>
    </row>
    <row r="2033" spans="1:4" x14ac:dyDescent="0.25">
      <c r="A2033" s="65">
        <v>42776</v>
      </c>
      <c r="B2033" s="1">
        <v>3.5975999999999999</v>
      </c>
      <c r="C2033" s="65">
        <v>42808</v>
      </c>
      <c r="D2033" s="1">
        <v>3.6385999999999998</v>
      </c>
    </row>
    <row r="2034" spans="1:4" x14ac:dyDescent="0.25">
      <c r="A2034" s="65">
        <v>42779</v>
      </c>
      <c r="B2034" s="1">
        <v>3.5602</v>
      </c>
      <c r="C2034" s="65">
        <v>42809</v>
      </c>
      <c r="D2034" s="1">
        <v>3.5951</v>
      </c>
    </row>
    <row r="2035" spans="1:4" x14ac:dyDescent="0.25">
      <c r="A2035" s="65">
        <v>42780</v>
      </c>
      <c r="B2035" s="1">
        <v>3.5563000000000002</v>
      </c>
      <c r="C2035" s="65">
        <v>42810</v>
      </c>
      <c r="D2035" s="1">
        <v>3.5350000000000001</v>
      </c>
    </row>
    <row r="2036" spans="1:4" x14ac:dyDescent="0.25">
      <c r="A2036" s="65">
        <v>42781</v>
      </c>
      <c r="B2036" s="1">
        <v>3.5404</v>
      </c>
      <c r="C2036" s="65">
        <v>42811</v>
      </c>
      <c r="D2036" s="1">
        <v>3.5413000000000001</v>
      </c>
    </row>
    <row r="2037" spans="1:4" x14ac:dyDescent="0.25">
      <c r="A2037" s="65">
        <v>42782</v>
      </c>
      <c r="B2037" s="1">
        <v>3.5539000000000001</v>
      </c>
      <c r="C2037" s="65">
        <v>42814</v>
      </c>
      <c r="D2037" s="1">
        <v>3.5709</v>
      </c>
    </row>
    <row r="2038" spans="1:4" x14ac:dyDescent="0.25">
      <c r="A2038" s="65">
        <v>42783</v>
      </c>
      <c r="B2038" s="1">
        <v>3.5563000000000002</v>
      </c>
      <c r="C2038" s="65">
        <v>42815</v>
      </c>
      <c r="D2038" s="1">
        <v>3.5798000000000001</v>
      </c>
    </row>
    <row r="2039" spans="1:4" x14ac:dyDescent="0.25">
      <c r="A2039" s="65">
        <v>42786</v>
      </c>
      <c r="B2039" s="1">
        <v>3.5525000000000002</v>
      </c>
      <c r="C2039" s="65">
        <v>42816</v>
      </c>
      <c r="D2039" s="1">
        <v>3.5735999999999999</v>
      </c>
    </row>
    <row r="2040" spans="1:4" x14ac:dyDescent="0.25">
      <c r="A2040" s="65">
        <v>42787</v>
      </c>
      <c r="B2040" s="1">
        <v>3.5238</v>
      </c>
      <c r="C2040" s="65">
        <v>42817</v>
      </c>
      <c r="D2040" s="1">
        <v>3.5356999999999998</v>
      </c>
    </row>
    <row r="2041" spans="1:4" x14ac:dyDescent="0.25">
      <c r="A2041" s="65">
        <v>42788</v>
      </c>
      <c r="B2041" s="1">
        <v>3.5239000000000003</v>
      </c>
      <c r="C2041" s="65">
        <v>42818</v>
      </c>
      <c r="D2041" s="1">
        <v>3.5320999999999998</v>
      </c>
    </row>
    <row r="2042" spans="1:4" x14ac:dyDescent="0.25">
      <c r="A2042" s="65">
        <v>42789</v>
      </c>
      <c r="B2042" s="1">
        <v>3.5295000000000001</v>
      </c>
      <c r="C2042" s="65">
        <v>42821</v>
      </c>
      <c r="D2042" s="1">
        <v>3.5432999999999999</v>
      </c>
    </row>
    <row r="2043" spans="1:4" x14ac:dyDescent="0.25">
      <c r="A2043" s="65">
        <v>42790</v>
      </c>
      <c r="B2043" s="1">
        <v>3.5613999999999999</v>
      </c>
      <c r="C2043" s="65">
        <v>42822</v>
      </c>
      <c r="D2043" s="1">
        <v>3.5072999999999999</v>
      </c>
    </row>
    <row r="2044" spans="1:4" x14ac:dyDescent="0.25">
      <c r="A2044" s="65">
        <v>42793</v>
      </c>
      <c r="B2044" s="1">
        <v>3.5558000000000001</v>
      </c>
      <c r="C2044" s="65">
        <v>42823</v>
      </c>
      <c r="D2044" s="1">
        <v>3.5165999999999999</v>
      </c>
    </row>
    <row r="2045" spans="1:4" x14ac:dyDescent="0.25">
      <c r="A2045" s="65">
        <v>42794</v>
      </c>
      <c r="B2045" s="1">
        <v>3.5448</v>
      </c>
      <c r="C2045" s="65">
        <v>42824</v>
      </c>
      <c r="D2045" s="1">
        <v>3.5009000000000001</v>
      </c>
    </row>
    <row r="2046" spans="1:4" x14ac:dyDescent="0.25">
      <c r="A2046" s="65">
        <v>42795</v>
      </c>
      <c r="B2046" s="1">
        <v>3.4710000000000001</v>
      </c>
      <c r="C2046" s="65">
        <v>42825</v>
      </c>
      <c r="D2046" s="1">
        <v>3.4794999999999998</v>
      </c>
    </row>
    <row r="2047" spans="1:4" x14ac:dyDescent="0.25">
      <c r="A2047" s="65">
        <v>42796</v>
      </c>
      <c r="B2047" s="1">
        <v>3.4765999999999999</v>
      </c>
      <c r="C2047" s="65">
        <v>42828</v>
      </c>
      <c r="D2047" s="1">
        <v>3.5225</v>
      </c>
    </row>
    <row r="2048" spans="1:4" x14ac:dyDescent="0.25">
      <c r="A2048" s="65">
        <v>42797</v>
      </c>
      <c r="B2048" s="1">
        <v>3.4575</v>
      </c>
      <c r="C2048" s="65">
        <v>42829</v>
      </c>
      <c r="D2048" s="1">
        <v>3.52</v>
      </c>
    </row>
    <row r="2049" spans="1:4" x14ac:dyDescent="0.25">
      <c r="A2049" s="65">
        <v>42800</v>
      </c>
      <c r="B2049" s="1">
        <v>3.4737999999999998</v>
      </c>
      <c r="C2049" s="65">
        <v>42830</v>
      </c>
      <c r="D2049" s="1">
        <v>3.5207000000000002</v>
      </c>
    </row>
    <row r="2050" spans="1:4" x14ac:dyDescent="0.25">
      <c r="A2050" s="65">
        <v>42801</v>
      </c>
      <c r="B2050" s="1">
        <v>3.4762</v>
      </c>
      <c r="C2050" s="65">
        <v>42831</v>
      </c>
      <c r="D2050" s="1">
        <v>3.5131000000000001</v>
      </c>
    </row>
    <row r="2051" spans="1:4" x14ac:dyDescent="0.25">
      <c r="A2051" s="65">
        <v>42802</v>
      </c>
      <c r="B2051" s="1">
        <v>3.4716</v>
      </c>
      <c r="C2051" s="65">
        <v>42832</v>
      </c>
      <c r="D2051" s="1">
        <v>3.5125999999999999</v>
      </c>
    </row>
    <row r="2052" spans="1:4" x14ac:dyDescent="0.25">
      <c r="A2052" s="65">
        <v>42803</v>
      </c>
      <c r="B2052" s="1">
        <v>3.4516999999999998</v>
      </c>
      <c r="C2052" s="65">
        <v>42835</v>
      </c>
      <c r="D2052" s="1">
        <v>3.5295999999999998</v>
      </c>
    </row>
    <row r="2053" spans="1:4" x14ac:dyDescent="0.25">
      <c r="A2053" s="65">
        <v>42804</v>
      </c>
      <c r="B2053" s="1">
        <v>3.4453</v>
      </c>
      <c r="C2053" s="65">
        <v>42836</v>
      </c>
      <c r="D2053" s="1">
        <v>3.5460000000000003</v>
      </c>
    </row>
    <row r="2054" spans="1:4" x14ac:dyDescent="0.25">
      <c r="A2054" s="65">
        <v>42807</v>
      </c>
      <c r="B2054" s="1">
        <v>3.4460999999999999</v>
      </c>
      <c r="C2054" s="65">
        <v>42837</v>
      </c>
      <c r="D2054" s="1">
        <v>3.5644</v>
      </c>
    </row>
    <row r="2055" spans="1:4" x14ac:dyDescent="0.25">
      <c r="A2055" s="65">
        <v>42808</v>
      </c>
      <c r="B2055" s="1">
        <v>3.4622999999999999</v>
      </c>
      <c r="C2055" s="65">
        <v>42838</v>
      </c>
      <c r="D2055" s="1">
        <v>3.6061000000000001</v>
      </c>
    </row>
    <row r="2056" spans="1:4" x14ac:dyDescent="0.25">
      <c r="A2056" s="65">
        <v>42809</v>
      </c>
      <c r="B2056" s="1">
        <v>3.4523000000000001</v>
      </c>
      <c r="C2056" s="65">
        <v>42843</v>
      </c>
      <c r="D2056" s="1">
        <v>3.6675</v>
      </c>
    </row>
    <row r="2057" spans="1:4" x14ac:dyDescent="0.25">
      <c r="A2057" s="65">
        <v>42810</v>
      </c>
      <c r="B2057" s="1">
        <v>3.4215</v>
      </c>
      <c r="C2057" s="65">
        <v>42844</v>
      </c>
      <c r="D2057" s="1">
        <v>3.5968</v>
      </c>
    </row>
    <row r="2058" spans="1:4" x14ac:dyDescent="0.25">
      <c r="A2058" s="65">
        <v>42811</v>
      </c>
      <c r="B2058" s="1">
        <v>3.4131999999999998</v>
      </c>
      <c r="C2058" s="65">
        <v>42845</v>
      </c>
      <c r="D2058" s="1">
        <v>3.5922999999999998</v>
      </c>
    </row>
    <row r="2059" spans="1:4" x14ac:dyDescent="0.25">
      <c r="A2059" s="65">
        <v>42814</v>
      </c>
      <c r="B2059" s="1">
        <v>3.4218999999999999</v>
      </c>
      <c r="C2059" s="65">
        <v>42846</v>
      </c>
      <c r="D2059" s="1">
        <v>3.6118999999999999</v>
      </c>
    </row>
    <row r="2060" spans="1:4" x14ac:dyDescent="0.25">
      <c r="A2060" s="65">
        <v>42815</v>
      </c>
      <c r="B2060" s="1">
        <v>3.4178999999999999</v>
      </c>
      <c r="C2060" s="65">
        <v>42849</v>
      </c>
      <c r="D2060" s="1">
        <v>3.0632999999999999</v>
      </c>
    </row>
    <row r="2061" spans="1:4" x14ac:dyDescent="0.25">
      <c r="A2061" s="65">
        <v>42816</v>
      </c>
      <c r="B2061" s="1">
        <v>3.4268000000000001</v>
      </c>
      <c r="C2061" s="65">
        <v>42850</v>
      </c>
      <c r="D2061" s="1">
        <v>3.0455000000000001</v>
      </c>
    </row>
    <row r="2062" spans="1:4" x14ac:dyDescent="0.25">
      <c r="A2062" s="65">
        <v>42817</v>
      </c>
      <c r="B2062" s="1">
        <v>3.3956</v>
      </c>
      <c r="C2062" s="65">
        <v>42851</v>
      </c>
      <c r="D2062" s="1">
        <v>3.0409000000000002</v>
      </c>
    </row>
    <row r="2063" spans="1:4" x14ac:dyDescent="0.25">
      <c r="A2063" s="65">
        <v>42818</v>
      </c>
      <c r="B2063" s="1">
        <v>3.4035000000000002</v>
      </c>
      <c r="C2063" s="65">
        <v>42852</v>
      </c>
      <c r="D2063" s="1">
        <v>3.0762</v>
      </c>
    </row>
    <row r="2064" spans="1:4" x14ac:dyDescent="0.25">
      <c r="A2064" s="65">
        <v>42821</v>
      </c>
      <c r="B2064" s="1">
        <v>3.4115000000000002</v>
      </c>
      <c r="C2064" s="65">
        <v>42853</v>
      </c>
      <c r="D2064" s="1">
        <v>3.0745</v>
      </c>
    </row>
    <row r="2065" spans="1:4" x14ac:dyDescent="0.25">
      <c r="A2065" s="65">
        <v>42822</v>
      </c>
      <c r="B2065" s="1">
        <v>3.3839999999999999</v>
      </c>
      <c r="C2065" s="65">
        <v>42857</v>
      </c>
      <c r="D2065" s="1">
        <v>3.0560999999999998</v>
      </c>
    </row>
    <row r="2066" spans="1:4" x14ac:dyDescent="0.25">
      <c r="A2066" s="65">
        <v>42823</v>
      </c>
      <c r="B2066" s="1">
        <v>3.3740999999999999</v>
      </c>
      <c r="C2066" s="65">
        <v>42858</v>
      </c>
      <c r="D2066" s="1">
        <v>3.0522</v>
      </c>
    </row>
    <row r="2067" spans="1:4" x14ac:dyDescent="0.25">
      <c r="A2067" s="65">
        <v>42824</v>
      </c>
      <c r="B2067" s="1">
        <v>3.3679999999999999</v>
      </c>
      <c r="C2067" s="65">
        <v>42859</v>
      </c>
      <c r="D2067" s="1">
        <v>2.9929999999999999</v>
      </c>
    </row>
    <row r="2068" spans="1:4" x14ac:dyDescent="0.25">
      <c r="A2068" s="65">
        <v>42825</v>
      </c>
      <c r="B2068" s="1">
        <v>3.3492999999999999</v>
      </c>
      <c r="C2068" s="65">
        <v>42860</v>
      </c>
      <c r="D2068" s="1">
        <v>2.9493</v>
      </c>
    </row>
    <row r="2069" spans="1:4" x14ac:dyDescent="0.25">
      <c r="A2069" s="65">
        <v>42828</v>
      </c>
      <c r="B2069" s="1">
        <v>3.3769</v>
      </c>
      <c r="C2069" s="65">
        <v>42863</v>
      </c>
      <c r="D2069" s="1">
        <v>2.9569999999999999</v>
      </c>
    </row>
    <row r="2070" spans="1:4" x14ac:dyDescent="0.25">
      <c r="A2070" s="65">
        <v>42829</v>
      </c>
      <c r="B2070" s="1">
        <v>3.3683999999999998</v>
      </c>
      <c r="C2070" s="65">
        <v>42864</v>
      </c>
      <c r="D2070" s="1">
        <v>2.9489000000000001</v>
      </c>
    </row>
    <row r="2071" spans="1:4" x14ac:dyDescent="0.25">
      <c r="A2071" s="65">
        <v>42830</v>
      </c>
      <c r="B2071" s="1">
        <v>3.3772000000000002</v>
      </c>
      <c r="C2071" s="65">
        <v>42865</v>
      </c>
      <c r="D2071" s="1">
        <v>2.9398999999999997</v>
      </c>
    </row>
    <row r="2072" spans="1:4" x14ac:dyDescent="0.25">
      <c r="A2072" s="65">
        <v>42831</v>
      </c>
      <c r="B2072" s="1">
        <v>3.3608000000000002</v>
      </c>
      <c r="C2072" s="65">
        <v>42866</v>
      </c>
      <c r="D2072" s="1">
        <v>2.9495</v>
      </c>
    </row>
    <row r="2073" spans="1:4" x14ac:dyDescent="0.25">
      <c r="A2073" s="65">
        <v>42832</v>
      </c>
      <c r="B2073" s="1">
        <v>3.3548</v>
      </c>
      <c r="C2073" s="65">
        <v>42867</v>
      </c>
      <c r="D2073" s="1">
        <v>2.9367999999999999</v>
      </c>
    </row>
    <row r="2074" spans="1:4" x14ac:dyDescent="0.25">
      <c r="A2074" s="65">
        <v>42835</v>
      </c>
      <c r="B2074" s="1">
        <v>3.3696000000000002</v>
      </c>
      <c r="C2074" s="65">
        <v>42870</v>
      </c>
      <c r="D2074" s="1">
        <v>2.9192999999999998</v>
      </c>
    </row>
    <row r="2075" spans="1:4" x14ac:dyDescent="0.25">
      <c r="A2075" s="65">
        <v>42836</v>
      </c>
      <c r="B2075" s="1">
        <v>3.3797000000000001</v>
      </c>
      <c r="C2075" s="65">
        <v>42871</v>
      </c>
      <c r="D2075" s="1">
        <v>2.9081000000000001</v>
      </c>
    </row>
    <row r="2076" spans="1:4" x14ac:dyDescent="0.25">
      <c r="A2076" s="65">
        <v>42837</v>
      </c>
      <c r="B2076" s="1">
        <v>3.3811999999999998</v>
      </c>
      <c r="C2076" s="65">
        <v>42872</v>
      </c>
      <c r="D2076" s="1">
        <v>2.9769999999999999</v>
      </c>
    </row>
    <row r="2077" spans="1:4" x14ac:dyDescent="0.25">
      <c r="A2077" s="65">
        <v>42838</v>
      </c>
      <c r="B2077" s="1">
        <v>3.4011</v>
      </c>
      <c r="C2077" s="65">
        <v>42873</v>
      </c>
      <c r="D2077" s="1">
        <v>2.9748999999999999</v>
      </c>
    </row>
    <row r="2078" spans="1:4" x14ac:dyDescent="0.25">
      <c r="A2078" s="65">
        <v>42843</v>
      </c>
      <c r="B2078" s="1">
        <v>3.4416000000000002</v>
      </c>
      <c r="C2078" s="65">
        <v>42874</v>
      </c>
      <c r="D2078" s="1">
        <v>2.9379</v>
      </c>
    </row>
    <row r="2079" spans="1:4" x14ac:dyDescent="0.25">
      <c r="A2079" s="65">
        <v>42844</v>
      </c>
      <c r="B2079" s="1">
        <v>3.4350000000000001</v>
      </c>
      <c r="C2079" s="65">
        <v>42877</v>
      </c>
      <c r="D2079" s="1">
        <v>3.1429</v>
      </c>
    </row>
    <row r="2080" spans="1:4" x14ac:dyDescent="0.25">
      <c r="A2080" s="65">
        <v>42845</v>
      </c>
      <c r="B2080" s="1">
        <v>3.4159999999999999</v>
      </c>
      <c r="C2080" s="65">
        <v>42878</v>
      </c>
      <c r="D2080" s="1">
        <v>3.1286</v>
      </c>
    </row>
    <row r="2081" spans="1:4" x14ac:dyDescent="0.25">
      <c r="A2081" s="65">
        <v>42846</v>
      </c>
      <c r="B2081" s="1">
        <v>3.4157999999999999</v>
      </c>
      <c r="C2081" s="65">
        <v>42879</v>
      </c>
      <c r="D2081" s="1">
        <v>3.1354000000000002</v>
      </c>
    </row>
    <row r="2082" spans="1:4" x14ac:dyDescent="0.25">
      <c r="A2082" s="65">
        <v>42849</v>
      </c>
      <c r="B2082" s="1">
        <v>3.2848999999999999</v>
      </c>
      <c r="C2082" s="65">
        <v>42880</v>
      </c>
      <c r="D2082" s="1">
        <v>3.1467999999999998</v>
      </c>
    </row>
    <row r="2083" spans="1:4" x14ac:dyDescent="0.25">
      <c r="A2083" s="65">
        <v>42850</v>
      </c>
      <c r="B2083" s="1">
        <v>3.2841</v>
      </c>
      <c r="C2083" s="65">
        <v>42881</v>
      </c>
      <c r="D2083" s="1">
        <v>3.1589</v>
      </c>
    </row>
    <row r="2084" spans="1:4" x14ac:dyDescent="0.25">
      <c r="A2084" s="65">
        <v>42851</v>
      </c>
      <c r="B2084" s="1">
        <v>3.2881999999999998</v>
      </c>
      <c r="C2084" s="65">
        <v>42884</v>
      </c>
      <c r="D2084" s="1">
        <v>3.2237</v>
      </c>
    </row>
    <row r="2085" spans="1:4" x14ac:dyDescent="0.25">
      <c r="A2085" s="65">
        <v>42852</v>
      </c>
      <c r="B2085" s="1">
        <v>3.3096000000000001</v>
      </c>
      <c r="C2085" s="65">
        <v>42885</v>
      </c>
      <c r="D2085" s="1">
        <v>3.2189999999999999</v>
      </c>
    </row>
    <row r="2086" spans="1:4" x14ac:dyDescent="0.25">
      <c r="A2086" s="65">
        <v>42853</v>
      </c>
      <c r="B2086" s="1">
        <v>3.3174000000000001</v>
      </c>
      <c r="C2086" s="65">
        <v>42886</v>
      </c>
      <c r="D2086" s="1">
        <v>3.2319</v>
      </c>
    </row>
    <row r="2087" spans="1:4" x14ac:dyDescent="0.25">
      <c r="A2087" s="65">
        <v>42856</v>
      </c>
      <c r="B2087" s="1">
        <v>3.3243</v>
      </c>
      <c r="C2087" s="65">
        <v>42887</v>
      </c>
      <c r="D2087" s="1">
        <v>3.2002999999999999</v>
      </c>
    </row>
    <row r="2088" spans="1:4" x14ac:dyDescent="0.25">
      <c r="A2088" s="65">
        <v>42857</v>
      </c>
      <c r="B2088" s="1">
        <v>3.2898999999999998</v>
      </c>
      <c r="C2088" s="65">
        <v>42888</v>
      </c>
      <c r="D2088" s="1">
        <v>3.2015000000000002</v>
      </c>
    </row>
    <row r="2089" spans="1:4" x14ac:dyDescent="0.25">
      <c r="A2089" s="65">
        <v>42858</v>
      </c>
      <c r="B2089" s="1">
        <v>3.2824999999999998</v>
      </c>
      <c r="C2089" s="65">
        <v>42891</v>
      </c>
      <c r="D2089" s="1">
        <v>3.2334999999999998</v>
      </c>
    </row>
    <row r="2090" spans="1:4" x14ac:dyDescent="0.25">
      <c r="A2090" s="65">
        <v>42859</v>
      </c>
      <c r="B2090" s="1">
        <v>3.2528999999999999</v>
      </c>
      <c r="C2090" s="65">
        <v>42892</v>
      </c>
      <c r="D2090" s="1">
        <v>3.1741000000000001</v>
      </c>
    </row>
    <row r="2091" spans="1:4" x14ac:dyDescent="0.25">
      <c r="A2091" s="65">
        <v>42860</v>
      </c>
      <c r="B2091" s="1">
        <v>3.2328999999999999</v>
      </c>
      <c r="C2091" s="65">
        <v>42893</v>
      </c>
      <c r="D2091" s="1">
        <v>3.1772</v>
      </c>
    </row>
    <row r="2092" spans="1:4" x14ac:dyDescent="0.25">
      <c r="A2092" s="65">
        <v>42863</v>
      </c>
      <c r="B2092" s="1">
        <v>3.2965999999999998</v>
      </c>
      <c r="C2092" s="65">
        <v>42894</v>
      </c>
      <c r="D2092" s="1">
        <v>3.1315</v>
      </c>
    </row>
    <row r="2093" spans="1:4" x14ac:dyDescent="0.25">
      <c r="A2093" s="65">
        <v>42864</v>
      </c>
      <c r="B2093" s="1">
        <v>3.2903000000000002</v>
      </c>
      <c r="C2093" s="65">
        <v>42895</v>
      </c>
      <c r="D2093" s="1">
        <v>3.1196999999999999</v>
      </c>
    </row>
    <row r="2094" spans="1:4" x14ac:dyDescent="0.25">
      <c r="A2094" s="65">
        <v>42865</v>
      </c>
      <c r="B2094" s="1">
        <v>3.2949000000000002</v>
      </c>
      <c r="C2094" s="65">
        <v>42898</v>
      </c>
      <c r="D2094" s="1">
        <v>3.1513</v>
      </c>
    </row>
    <row r="2095" spans="1:4" x14ac:dyDescent="0.25">
      <c r="A2095" s="65">
        <v>42866</v>
      </c>
      <c r="B2095" s="1">
        <v>3.3096000000000001</v>
      </c>
      <c r="C2095" s="65">
        <v>42899</v>
      </c>
      <c r="D2095" s="1">
        <v>3.1246999999999998</v>
      </c>
    </row>
    <row r="2096" spans="1:4" x14ac:dyDescent="0.25">
      <c r="A2096" s="65">
        <v>42867</v>
      </c>
      <c r="B2096" s="1">
        <v>3.3039999999999998</v>
      </c>
      <c r="C2096" s="65">
        <v>42900</v>
      </c>
      <c r="D2096" s="1">
        <v>3.1438000000000001</v>
      </c>
    </row>
    <row r="2097" spans="1:4" x14ac:dyDescent="0.25">
      <c r="A2097" s="65">
        <v>42870</v>
      </c>
      <c r="B2097" s="1">
        <v>3.3058999999999998</v>
      </c>
      <c r="C2097" s="65">
        <v>42901</v>
      </c>
      <c r="D2097" s="1">
        <v>3.1608000000000001</v>
      </c>
    </row>
    <row r="2098" spans="1:4" x14ac:dyDescent="0.25">
      <c r="A2098" s="65">
        <v>42871</v>
      </c>
      <c r="B2098" s="1">
        <v>3.3073999999999999</v>
      </c>
      <c r="C2098" s="65">
        <v>42902</v>
      </c>
      <c r="D2098" s="1">
        <v>3.1467000000000001</v>
      </c>
    </row>
    <row r="2099" spans="1:4" x14ac:dyDescent="0.25">
      <c r="A2099" s="65">
        <v>42872</v>
      </c>
      <c r="B2099" s="1">
        <v>3.3635000000000002</v>
      </c>
      <c r="C2099" s="65">
        <v>42905</v>
      </c>
      <c r="D2099" s="1">
        <v>3.1299000000000001</v>
      </c>
    </row>
    <row r="2100" spans="1:4" x14ac:dyDescent="0.25">
      <c r="A2100" s="65">
        <v>42873</v>
      </c>
      <c r="B2100" s="1">
        <v>3.3849</v>
      </c>
      <c r="C2100" s="65">
        <v>42906</v>
      </c>
      <c r="D2100" s="1">
        <v>3.1606000000000001</v>
      </c>
    </row>
    <row r="2101" spans="1:4" x14ac:dyDescent="0.25">
      <c r="A2101" s="65">
        <v>42874</v>
      </c>
      <c r="B2101" s="1">
        <v>3.3776000000000002</v>
      </c>
      <c r="C2101" s="65">
        <v>42907</v>
      </c>
      <c r="D2101" s="1">
        <v>3.1214</v>
      </c>
    </row>
    <row r="2102" spans="1:4" x14ac:dyDescent="0.25">
      <c r="A2102" s="65">
        <v>42877</v>
      </c>
      <c r="B2102" s="1">
        <v>3.41</v>
      </c>
      <c r="C2102" s="65">
        <v>42908</v>
      </c>
      <c r="D2102" s="1">
        <v>3.1425000000000001</v>
      </c>
    </row>
    <row r="2103" spans="1:4" x14ac:dyDescent="0.25">
      <c r="A2103" s="65">
        <v>42878</v>
      </c>
      <c r="B2103" s="1">
        <v>3.3925000000000001</v>
      </c>
      <c r="C2103" s="65">
        <v>42909</v>
      </c>
      <c r="D2103" s="1">
        <v>3.157</v>
      </c>
    </row>
    <row r="2104" spans="1:4" x14ac:dyDescent="0.25">
      <c r="A2104" s="65">
        <v>42879</v>
      </c>
      <c r="B2104" s="1">
        <v>3.4028</v>
      </c>
      <c r="C2104" s="65">
        <v>42912</v>
      </c>
      <c r="D2104" s="1">
        <v>3.1318999999999999</v>
      </c>
    </row>
    <row r="2105" spans="1:4" x14ac:dyDescent="0.25">
      <c r="A2105" s="65">
        <v>42880</v>
      </c>
      <c r="B2105" s="1">
        <v>3.4047999999999998</v>
      </c>
      <c r="C2105" s="65">
        <v>42913</v>
      </c>
      <c r="D2105" s="1">
        <v>3.1637</v>
      </c>
    </row>
    <row r="2106" spans="1:4" x14ac:dyDescent="0.25">
      <c r="A2106" s="65">
        <v>42881</v>
      </c>
      <c r="B2106" s="1">
        <v>3.4100999999999999</v>
      </c>
      <c r="C2106" s="65">
        <v>42914</v>
      </c>
      <c r="D2106" s="1">
        <v>3.1250999999999998</v>
      </c>
    </row>
    <row r="2107" spans="1:4" x14ac:dyDescent="0.25">
      <c r="A2107" s="65">
        <v>42884</v>
      </c>
      <c r="B2107" s="1">
        <v>3.4100999999999999</v>
      </c>
      <c r="C2107" s="65">
        <v>42915</v>
      </c>
      <c r="D2107" s="1">
        <v>3.1768999999999998</v>
      </c>
    </row>
    <row r="2108" spans="1:4" x14ac:dyDescent="0.25">
      <c r="A2108" s="65">
        <v>42885</v>
      </c>
      <c r="B2108" s="1">
        <v>3.4451999999999998</v>
      </c>
      <c r="C2108" s="65">
        <v>42916</v>
      </c>
      <c r="D2108" s="1">
        <v>3.1955</v>
      </c>
    </row>
    <row r="2109" spans="1:4" x14ac:dyDescent="0.25">
      <c r="A2109" s="65">
        <v>42886</v>
      </c>
      <c r="B2109" s="1">
        <v>3.4582999999999999</v>
      </c>
      <c r="C2109" s="65">
        <v>42919</v>
      </c>
      <c r="D2109" s="1">
        <v>3.1301999999999999</v>
      </c>
    </row>
    <row r="2110" spans="1:4" x14ac:dyDescent="0.25">
      <c r="A2110" s="65">
        <v>42887</v>
      </c>
      <c r="B2110" s="1">
        <v>3.4527999999999999</v>
      </c>
      <c r="C2110" s="65">
        <v>42920</v>
      </c>
      <c r="D2110" s="1">
        <v>3.1276000000000002</v>
      </c>
    </row>
    <row r="2111" spans="1:4" x14ac:dyDescent="0.25">
      <c r="A2111" s="65">
        <v>42888</v>
      </c>
      <c r="B2111" s="1">
        <v>3.4289999999999998</v>
      </c>
      <c r="C2111" s="65">
        <v>42921</v>
      </c>
      <c r="D2111" s="1">
        <v>3.1413000000000002</v>
      </c>
    </row>
    <row r="2112" spans="1:4" x14ac:dyDescent="0.25">
      <c r="A2112" s="65">
        <v>42891</v>
      </c>
      <c r="B2112" s="1">
        <v>3.4418000000000002</v>
      </c>
      <c r="C2112" s="65">
        <v>42922</v>
      </c>
      <c r="D2112" s="1">
        <v>3.1175999999999999</v>
      </c>
    </row>
    <row r="2113" spans="1:4" x14ac:dyDescent="0.25">
      <c r="A2113" s="65">
        <v>42892</v>
      </c>
      <c r="B2113" s="1">
        <v>3.4662999999999999</v>
      </c>
      <c r="C2113" s="65">
        <v>42923</v>
      </c>
      <c r="D2113" s="1">
        <v>3.1278000000000001</v>
      </c>
    </row>
    <row r="2114" spans="1:4" x14ac:dyDescent="0.25">
      <c r="A2114" s="65">
        <v>42893</v>
      </c>
      <c r="B2114" s="1">
        <v>3.4714999999999998</v>
      </c>
      <c r="C2114" s="65">
        <v>42926</v>
      </c>
      <c r="D2114" s="1">
        <v>3.1019000000000001</v>
      </c>
    </row>
    <row r="2115" spans="1:4" x14ac:dyDescent="0.25">
      <c r="A2115" s="65">
        <v>42894</v>
      </c>
      <c r="B2115" s="1">
        <v>3.4569000000000001</v>
      </c>
      <c r="C2115" s="65">
        <v>42927</v>
      </c>
      <c r="D2115" s="1">
        <v>3.1135000000000002</v>
      </c>
    </row>
    <row r="2116" spans="1:4" x14ac:dyDescent="0.25">
      <c r="A2116" s="65">
        <v>42895</v>
      </c>
      <c r="B2116" s="1">
        <v>3.4355000000000002</v>
      </c>
      <c r="C2116" s="65">
        <v>42928</v>
      </c>
      <c r="D2116" s="1">
        <v>3.0661999999999998</v>
      </c>
    </row>
    <row r="2117" spans="1:4" x14ac:dyDescent="0.25">
      <c r="A2117" s="65">
        <v>42898</v>
      </c>
      <c r="B2117" s="1">
        <v>3.4767999999999999</v>
      </c>
      <c r="C2117" s="65">
        <v>42929</v>
      </c>
      <c r="D2117" s="1">
        <v>3.0535000000000001</v>
      </c>
    </row>
    <row r="2118" spans="1:4" x14ac:dyDescent="0.25">
      <c r="A2118" s="65">
        <v>42899</v>
      </c>
      <c r="B2118" s="1">
        <v>3.4632000000000001</v>
      </c>
      <c r="C2118" s="65">
        <v>42930</v>
      </c>
      <c r="D2118" s="1">
        <v>3.0577000000000001</v>
      </c>
    </row>
    <row r="2119" spans="1:4" x14ac:dyDescent="0.25">
      <c r="A2119" s="65">
        <v>42900</v>
      </c>
      <c r="B2119" s="1">
        <v>3.4365999999999999</v>
      </c>
      <c r="C2119" s="65">
        <v>42933</v>
      </c>
      <c r="D2119" s="1">
        <v>3.0587</v>
      </c>
    </row>
    <row r="2120" spans="1:4" x14ac:dyDescent="0.25">
      <c r="A2120" s="65">
        <v>42901</v>
      </c>
      <c r="B2120" s="1">
        <v>3.4577</v>
      </c>
      <c r="C2120" s="65">
        <v>42934</v>
      </c>
      <c r="D2120" s="1">
        <v>3.0769000000000002</v>
      </c>
    </row>
    <row r="2121" spans="1:4" x14ac:dyDescent="0.25">
      <c r="A2121" s="65">
        <v>42902</v>
      </c>
      <c r="B2121" s="1">
        <v>3.4397000000000002</v>
      </c>
      <c r="C2121" s="65">
        <v>42935</v>
      </c>
      <c r="D2121" s="1">
        <v>3.0596000000000001</v>
      </c>
    </row>
    <row r="2122" spans="1:4" x14ac:dyDescent="0.25">
      <c r="A2122" s="65">
        <v>42905</v>
      </c>
      <c r="B2122" s="1">
        <v>3.3837999999999999</v>
      </c>
      <c r="C2122" s="65">
        <v>42936</v>
      </c>
      <c r="D2122" s="1">
        <v>3.0653000000000001</v>
      </c>
    </row>
    <row r="2123" spans="1:4" x14ac:dyDescent="0.25">
      <c r="A2123" s="65">
        <v>42906</v>
      </c>
      <c r="B2123" s="1">
        <v>3.4018000000000002</v>
      </c>
      <c r="C2123" s="65">
        <v>42937</v>
      </c>
      <c r="D2123" s="1">
        <v>3.0994999999999999</v>
      </c>
    </row>
    <row r="2124" spans="1:4" x14ac:dyDescent="0.25">
      <c r="A2124" s="65">
        <v>42907</v>
      </c>
      <c r="B2124" s="1">
        <v>3.4077999999999999</v>
      </c>
      <c r="C2124" s="65">
        <v>42940</v>
      </c>
      <c r="D2124" s="1">
        <v>3.0813999999999999</v>
      </c>
    </row>
    <row r="2125" spans="1:4" x14ac:dyDescent="0.25">
      <c r="A2125" s="65">
        <v>42908</v>
      </c>
      <c r="B2125" s="1">
        <v>3.4064000000000001</v>
      </c>
      <c r="C2125" s="65">
        <v>42941</v>
      </c>
      <c r="D2125" s="1">
        <v>3.0626000000000002</v>
      </c>
    </row>
    <row r="2126" spans="1:4" x14ac:dyDescent="0.25">
      <c r="A2126" s="65">
        <v>42909</v>
      </c>
      <c r="B2126" s="1">
        <v>3.4180999999999999</v>
      </c>
      <c r="C2126" s="65">
        <v>42942</v>
      </c>
      <c r="D2126" s="1">
        <v>3.0455999999999999</v>
      </c>
    </row>
    <row r="2127" spans="1:4" x14ac:dyDescent="0.25">
      <c r="A2127" s="65">
        <v>42912</v>
      </c>
      <c r="B2127" s="1">
        <v>3.4007000000000001</v>
      </c>
      <c r="C2127" s="65">
        <v>42943</v>
      </c>
      <c r="D2127" s="1">
        <v>3.0375000000000001</v>
      </c>
    </row>
    <row r="2128" spans="1:4" x14ac:dyDescent="0.25">
      <c r="A2128" s="65">
        <v>42913</v>
      </c>
      <c r="B2128" s="1">
        <v>3.4232</v>
      </c>
      <c r="C2128" s="65">
        <v>42944</v>
      </c>
      <c r="D2128" s="1">
        <v>3.0665</v>
      </c>
    </row>
    <row r="2129" spans="1:4" x14ac:dyDescent="0.25">
      <c r="A2129" s="65">
        <v>42914</v>
      </c>
      <c r="B2129" s="1">
        <v>3.4258000000000002</v>
      </c>
      <c r="C2129" s="65">
        <v>42947</v>
      </c>
      <c r="D2129" s="1">
        <v>3.0583999999999998</v>
      </c>
    </row>
    <row r="2130" spans="1:4" x14ac:dyDescent="0.25">
      <c r="A2130" s="65">
        <v>42915</v>
      </c>
      <c r="B2130" s="1">
        <v>3.4893000000000001</v>
      </c>
      <c r="C2130" s="65">
        <v>42948</v>
      </c>
      <c r="D2130" s="1">
        <v>3.0406</v>
      </c>
    </row>
    <row r="2131" spans="1:4" x14ac:dyDescent="0.25">
      <c r="A2131" s="65">
        <v>42916</v>
      </c>
      <c r="B2131" s="1">
        <v>3.5190999999999999</v>
      </c>
      <c r="C2131" s="65">
        <v>42949</v>
      </c>
      <c r="D2131" s="1">
        <v>3.0461</v>
      </c>
    </row>
    <row r="2132" spans="1:4" x14ac:dyDescent="0.25">
      <c r="A2132" s="65">
        <v>42919</v>
      </c>
      <c r="B2132" s="1">
        <v>3.4218000000000002</v>
      </c>
      <c r="C2132" s="65">
        <v>42950</v>
      </c>
      <c r="D2132" s="1">
        <v>3.0154000000000001</v>
      </c>
    </row>
    <row r="2133" spans="1:4" x14ac:dyDescent="0.25">
      <c r="A2133" s="65">
        <v>42920</v>
      </c>
      <c r="B2133" s="1">
        <v>3.4350000000000001</v>
      </c>
      <c r="C2133" s="65">
        <v>42951</v>
      </c>
      <c r="D2133" s="1">
        <v>2.9958999999999998</v>
      </c>
    </row>
    <row r="2134" spans="1:4" x14ac:dyDescent="0.25">
      <c r="A2134" s="65">
        <v>42921</v>
      </c>
      <c r="B2134" s="1">
        <v>3.4729999999999999</v>
      </c>
      <c r="C2134" s="65">
        <v>42954</v>
      </c>
      <c r="D2134" s="1">
        <v>2.9828999999999999</v>
      </c>
    </row>
    <row r="2135" spans="1:4" x14ac:dyDescent="0.25">
      <c r="A2135" s="65">
        <v>42922</v>
      </c>
      <c r="B2135" s="1">
        <v>3.4897</v>
      </c>
      <c r="C2135" s="65">
        <v>42955</v>
      </c>
      <c r="D2135" s="1">
        <v>2.9805999999999999</v>
      </c>
    </row>
    <row r="2136" spans="1:4" x14ac:dyDescent="0.25">
      <c r="A2136" s="65">
        <v>42923</v>
      </c>
      <c r="B2136" s="1">
        <v>3.4878999999999998</v>
      </c>
      <c r="C2136" s="65">
        <v>42956</v>
      </c>
      <c r="D2136" s="1">
        <v>3.0078</v>
      </c>
    </row>
    <row r="2137" spans="1:4" x14ac:dyDescent="0.25">
      <c r="A2137" s="65">
        <v>42926</v>
      </c>
      <c r="B2137" s="1">
        <v>3.4736000000000002</v>
      </c>
      <c r="C2137" s="65">
        <v>42957</v>
      </c>
      <c r="D2137" s="1">
        <v>3.0310000000000001</v>
      </c>
    </row>
    <row r="2138" spans="1:4" x14ac:dyDescent="0.25">
      <c r="A2138" s="65">
        <v>42927</v>
      </c>
      <c r="B2138" s="1">
        <v>3.4872000000000001</v>
      </c>
      <c r="C2138" s="65">
        <v>42958</v>
      </c>
      <c r="D2138" s="1">
        <v>3.0775000000000001</v>
      </c>
    </row>
    <row r="2139" spans="1:4" x14ac:dyDescent="0.25">
      <c r="A2139" s="65">
        <v>42928</v>
      </c>
      <c r="B2139" s="1">
        <v>3.4369000000000001</v>
      </c>
      <c r="C2139" s="65">
        <v>42961</v>
      </c>
      <c r="D2139" s="1">
        <v>3.0253000000000001</v>
      </c>
    </row>
    <row r="2140" spans="1:4" x14ac:dyDescent="0.25">
      <c r="A2140" s="65">
        <v>42929</v>
      </c>
      <c r="B2140" s="1">
        <v>3.4245999999999999</v>
      </c>
      <c r="C2140" s="65">
        <v>42963</v>
      </c>
      <c r="D2140" s="1">
        <v>2.9891999999999999</v>
      </c>
    </row>
    <row r="2141" spans="1:4" x14ac:dyDescent="0.25">
      <c r="A2141" s="65">
        <v>42930</v>
      </c>
      <c r="B2141" s="1">
        <v>3.4264000000000001</v>
      </c>
      <c r="C2141" s="65">
        <v>42964</v>
      </c>
      <c r="D2141" s="1">
        <v>3.0160999999999998</v>
      </c>
    </row>
    <row r="2142" spans="1:4" x14ac:dyDescent="0.25">
      <c r="A2142" s="65">
        <v>42933</v>
      </c>
      <c r="B2142" s="1">
        <v>3.4358</v>
      </c>
      <c r="C2142" s="65">
        <v>42965</v>
      </c>
      <c r="D2142" s="1">
        <v>3.0124</v>
      </c>
    </row>
    <row r="2143" spans="1:4" x14ac:dyDescent="0.25">
      <c r="A2143" s="65">
        <v>42934</v>
      </c>
      <c r="B2143" s="1">
        <v>3.403</v>
      </c>
      <c r="C2143" s="65">
        <v>42968</v>
      </c>
      <c r="D2143" s="1">
        <v>3.0211000000000001</v>
      </c>
    </row>
    <row r="2144" spans="1:4" x14ac:dyDescent="0.25">
      <c r="A2144" s="65">
        <v>42935</v>
      </c>
      <c r="B2144" s="1">
        <v>3.3820000000000001</v>
      </c>
      <c r="C2144" s="65">
        <v>42969</v>
      </c>
      <c r="D2144" s="1">
        <v>3.0243000000000002</v>
      </c>
    </row>
    <row r="2145" spans="1:4" x14ac:dyDescent="0.25">
      <c r="A2145" s="65">
        <v>42936</v>
      </c>
      <c r="B2145" s="1">
        <v>3.3826999999999998</v>
      </c>
      <c r="C2145" s="65">
        <v>42970</v>
      </c>
      <c r="D2145" s="1">
        <v>3.0396000000000001</v>
      </c>
    </row>
    <row r="2146" spans="1:4" x14ac:dyDescent="0.25">
      <c r="A2146" s="65">
        <v>42937</v>
      </c>
      <c r="B2146" s="1">
        <v>3.4295</v>
      </c>
      <c r="C2146" s="65">
        <v>42971</v>
      </c>
      <c r="D2146" s="1">
        <v>3.0242</v>
      </c>
    </row>
    <row r="2147" spans="1:4" x14ac:dyDescent="0.25">
      <c r="A2147" s="65">
        <v>42940</v>
      </c>
      <c r="B2147" s="1">
        <v>3.4281000000000001</v>
      </c>
      <c r="C2147" s="65">
        <v>42972</v>
      </c>
      <c r="D2147" s="1">
        <v>3.0219</v>
      </c>
    </row>
    <row r="2148" spans="1:4" x14ac:dyDescent="0.25">
      <c r="A2148" s="65">
        <v>42941</v>
      </c>
      <c r="B2148" s="1">
        <v>3.4079999999999999</v>
      </c>
      <c r="C2148" s="65">
        <v>42975</v>
      </c>
      <c r="D2148" s="1">
        <v>3.0247000000000002</v>
      </c>
    </row>
    <row r="2149" spans="1:4" x14ac:dyDescent="0.25">
      <c r="A2149" s="65">
        <v>42942</v>
      </c>
      <c r="B2149" s="1">
        <v>3.3908</v>
      </c>
      <c r="C2149" s="65">
        <v>42976</v>
      </c>
      <c r="D2149" s="1">
        <v>3.0695999999999999</v>
      </c>
    </row>
    <row r="2150" spans="1:4" x14ac:dyDescent="0.25">
      <c r="A2150" s="65">
        <v>42943</v>
      </c>
      <c r="B2150" s="1">
        <v>3.3889</v>
      </c>
      <c r="C2150" s="65">
        <v>42977</v>
      </c>
      <c r="D2150" s="1">
        <v>3.0560999999999998</v>
      </c>
    </row>
    <row r="2151" spans="1:4" x14ac:dyDescent="0.25">
      <c r="A2151" s="65">
        <v>42944</v>
      </c>
      <c r="B2151" s="1">
        <v>3.4137</v>
      </c>
      <c r="C2151" s="65">
        <v>42978</v>
      </c>
      <c r="D2151" s="1">
        <v>3.0326</v>
      </c>
    </row>
    <row r="2152" spans="1:4" x14ac:dyDescent="0.25">
      <c r="A2152" s="65">
        <v>42947</v>
      </c>
      <c r="B2152" s="1">
        <v>3.4319000000000002</v>
      </c>
      <c r="C2152" s="65">
        <v>42979</v>
      </c>
      <c r="D2152" s="1">
        <v>3.0064000000000002</v>
      </c>
    </row>
    <row r="2153" spans="1:4" x14ac:dyDescent="0.25">
      <c r="A2153" s="65">
        <v>42948</v>
      </c>
      <c r="B2153" s="1">
        <v>3.4041999999999999</v>
      </c>
      <c r="C2153" s="65">
        <v>42982</v>
      </c>
      <c r="D2153" s="1">
        <v>3.0158</v>
      </c>
    </row>
    <row r="2154" spans="1:4" x14ac:dyDescent="0.25">
      <c r="A2154" s="65">
        <v>42949</v>
      </c>
      <c r="B2154" s="1">
        <v>3.4260000000000002</v>
      </c>
      <c r="C2154" s="65">
        <v>42983</v>
      </c>
      <c r="D2154" s="1">
        <v>3.0232000000000001</v>
      </c>
    </row>
    <row r="2155" spans="1:4" x14ac:dyDescent="0.25">
      <c r="A2155" s="65">
        <v>42950</v>
      </c>
      <c r="B2155" s="1">
        <v>3.4215999999999998</v>
      </c>
      <c r="C2155" s="65">
        <v>42984</v>
      </c>
      <c r="D2155" s="1">
        <v>3.0125000000000002</v>
      </c>
    </row>
    <row r="2156" spans="1:4" x14ac:dyDescent="0.25">
      <c r="A2156" s="65">
        <v>42951</v>
      </c>
      <c r="B2156" s="1">
        <v>3.3816000000000002</v>
      </c>
      <c r="C2156" s="65">
        <v>42985</v>
      </c>
      <c r="D2156" s="1">
        <v>3.0253000000000001</v>
      </c>
    </row>
    <row r="2157" spans="1:4" x14ac:dyDescent="0.25">
      <c r="A2157" s="65">
        <v>42954</v>
      </c>
      <c r="B2157" s="1">
        <v>3.3832</v>
      </c>
      <c r="C2157" s="65">
        <v>42986</v>
      </c>
      <c r="D2157" s="1">
        <v>3.0177</v>
      </c>
    </row>
    <row r="2158" spans="1:4" x14ac:dyDescent="0.25">
      <c r="A2158" s="65">
        <v>42955</v>
      </c>
      <c r="B2158" s="1">
        <v>3.3736999999999999</v>
      </c>
      <c r="C2158" s="65">
        <v>42989</v>
      </c>
      <c r="D2158" s="1">
        <v>2.9689999999999999</v>
      </c>
    </row>
    <row r="2159" spans="1:4" x14ac:dyDescent="0.25">
      <c r="A2159" s="65">
        <v>42956</v>
      </c>
      <c r="B2159" s="1">
        <v>3.4196</v>
      </c>
      <c r="C2159" s="65">
        <v>42990</v>
      </c>
      <c r="D2159" s="1">
        <v>2.9557000000000002</v>
      </c>
    </row>
    <row r="2160" spans="1:4" x14ac:dyDescent="0.25">
      <c r="A2160" s="65">
        <v>42957</v>
      </c>
      <c r="B2160" s="1">
        <v>3.4544000000000001</v>
      </c>
      <c r="C2160" s="65">
        <v>42991</v>
      </c>
      <c r="D2160" s="1">
        <v>2.9558</v>
      </c>
    </row>
    <row r="2161" spans="1:4" x14ac:dyDescent="0.25">
      <c r="A2161" s="65">
        <v>42958</v>
      </c>
      <c r="B2161" s="1">
        <v>3.4819</v>
      </c>
      <c r="C2161" s="65">
        <v>42992</v>
      </c>
      <c r="D2161" s="1">
        <v>2.9493999999999998</v>
      </c>
    </row>
    <row r="2162" spans="1:4" x14ac:dyDescent="0.25">
      <c r="A2162" s="65">
        <v>42961</v>
      </c>
      <c r="B2162" s="1">
        <v>3.4371999999999998</v>
      </c>
      <c r="C2162" s="65">
        <v>42993</v>
      </c>
      <c r="D2162" s="1">
        <v>2.9563000000000001</v>
      </c>
    </row>
    <row r="2163" spans="1:4" x14ac:dyDescent="0.25">
      <c r="A2163" s="65">
        <v>42962</v>
      </c>
      <c r="B2163" s="1">
        <v>3.4260000000000002</v>
      </c>
      <c r="C2163" s="65">
        <v>42996</v>
      </c>
      <c r="D2163" s="1">
        <v>2.9701</v>
      </c>
    </row>
    <row r="2164" spans="1:4" x14ac:dyDescent="0.25">
      <c r="A2164" s="65">
        <v>42963</v>
      </c>
      <c r="B2164" s="1">
        <v>3.4037999999999999</v>
      </c>
      <c r="C2164" s="65">
        <v>42997</v>
      </c>
      <c r="D2164" s="1">
        <v>2.9621</v>
      </c>
    </row>
    <row r="2165" spans="1:4" x14ac:dyDescent="0.25">
      <c r="A2165" s="65">
        <v>42964</v>
      </c>
      <c r="B2165" s="1">
        <v>3.4214000000000002</v>
      </c>
      <c r="C2165" s="65">
        <v>42998</v>
      </c>
      <c r="D2165" s="1">
        <v>2.9714</v>
      </c>
    </row>
    <row r="2166" spans="1:4" x14ac:dyDescent="0.25">
      <c r="A2166" s="65">
        <v>42965</v>
      </c>
      <c r="B2166" s="1">
        <v>3.4373</v>
      </c>
      <c r="C2166" s="65">
        <v>42999</v>
      </c>
      <c r="D2166" s="1">
        <v>2.9534000000000002</v>
      </c>
    </row>
    <row r="2167" spans="1:4" x14ac:dyDescent="0.25">
      <c r="A2167" s="65">
        <v>42968</v>
      </c>
      <c r="B2167" s="1">
        <v>3.4599000000000002</v>
      </c>
      <c r="C2167" s="65">
        <v>43000</v>
      </c>
      <c r="D2167" s="1">
        <v>2.9481999999999999</v>
      </c>
    </row>
    <row r="2168" spans="1:4" x14ac:dyDescent="0.25">
      <c r="A2168" s="65">
        <v>42969</v>
      </c>
      <c r="B2168" s="1">
        <v>3.4278</v>
      </c>
      <c r="C2168" s="65">
        <v>43003</v>
      </c>
      <c r="D2168" s="1">
        <v>2.9668000000000001</v>
      </c>
    </row>
    <row r="2169" spans="1:4" x14ac:dyDescent="0.25">
      <c r="A2169" s="65">
        <v>42970</v>
      </c>
      <c r="B2169" s="1">
        <v>3.4447000000000001</v>
      </c>
      <c r="C2169" s="65">
        <v>43004</v>
      </c>
      <c r="D2169" s="1">
        <v>2.9614000000000003</v>
      </c>
    </row>
    <row r="2170" spans="1:4" x14ac:dyDescent="0.25">
      <c r="A2170" s="65">
        <v>42971</v>
      </c>
      <c r="B2170" s="1">
        <v>3.4386000000000001</v>
      </c>
      <c r="C2170" s="65">
        <v>43005</v>
      </c>
      <c r="D2170" s="1">
        <v>2.9363000000000001</v>
      </c>
    </row>
    <row r="2171" spans="1:4" x14ac:dyDescent="0.25">
      <c r="A2171" s="65">
        <v>42972</v>
      </c>
      <c r="B2171" s="1">
        <v>3.4447999999999999</v>
      </c>
      <c r="C2171" s="65">
        <v>43006</v>
      </c>
      <c r="D2171" s="1">
        <v>2.9407999999999999</v>
      </c>
    </row>
    <row r="2172" spans="1:4" x14ac:dyDescent="0.25">
      <c r="A2172" s="65">
        <v>42975</v>
      </c>
      <c r="B2172" s="1">
        <v>3.4624000000000001</v>
      </c>
      <c r="C2172" s="65">
        <v>43007</v>
      </c>
      <c r="D2172" s="1">
        <v>2.9268000000000001</v>
      </c>
    </row>
    <row r="2173" spans="1:4" x14ac:dyDescent="0.25">
      <c r="A2173" s="65">
        <v>42976</v>
      </c>
      <c r="B2173" s="1">
        <v>3.4958999999999998</v>
      </c>
      <c r="C2173" s="65">
        <v>43010</v>
      </c>
      <c r="D2173" s="1">
        <v>2.9119999999999999</v>
      </c>
    </row>
    <row r="2174" spans="1:4" x14ac:dyDescent="0.25">
      <c r="A2174" s="65">
        <v>42977</v>
      </c>
      <c r="B2174" s="1">
        <v>3.48</v>
      </c>
      <c r="C2174" s="65">
        <v>43011</v>
      </c>
      <c r="D2174" s="1">
        <v>2.9154</v>
      </c>
    </row>
    <row r="2175" spans="1:4" x14ac:dyDescent="0.25">
      <c r="A2175" s="65">
        <v>42978</v>
      </c>
      <c r="B2175" s="1">
        <v>3.4619</v>
      </c>
      <c r="C2175" s="65">
        <v>43012</v>
      </c>
      <c r="D2175" s="1">
        <v>2.9580000000000002</v>
      </c>
    </row>
    <row r="2176" spans="1:4" x14ac:dyDescent="0.25">
      <c r="A2176" s="65">
        <v>42979</v>
      </c>
      <c r="B2176" s="1">
        <v>3.4165999999999999</v>
      </c>
      <c r="C2176" s="65">
        <v>43013</v>
      </c>
      <c r="D2176" s="1">
        <v>2.9436</v>
      </c>
    </row>
    <row r="2177" spans="1:4" x14ac:dyDescent="0.25">
      <c r="A2177" s="65">
        <v>42982</v>
      </c>
      <c r="B2177" s="1">
        <v>3.4304000000000001</v>
      </c>
      <c r="C2177" s="65">
        <v>43014</v>
      </c>
      <c r="D2177" s="1">
        <v>2.9664999999999999</v>
      </c>
    </row>
    <row r="2178" spans="1:4" x14ac:dyDescent="0.25">
      <c r="A2178" s="65">
        <v>42983</v>
      </c>
      <c r="B2178" s="1">
        <v>3.4396</v>
      </c>
      <c r="C2178" s="65">
        <v>43017</v>
      </c>
      <c r="D2178" s="1">
        <v>2.9553000000000003</v>
      </c>
    </row>
    <row r="2179" spans="1:4" x14ac:dyDescent="0.25">
      <c r="A2179" s="65">
        <v>42984</v>
      </c>
      <c r="B2179" s="1">
        <v>3.4266000000000001</v>
      </c>
      <c r="C2179" s="65">
        <v>43018</v>
      </c>
      <c r="D2179" s="1">
        <v>2.9740000000000002</v>
      </c>
    </row>
    <row r="2180" spans="1:4" x14ac:dyDescent="0.25">
      <c r="A2180" s="65">
        <v>42985</v>
      </c>
      <c r="B2180" s="1">
        <v>3.4129999999999998</v>
      </c>
      <c r="C2180" s="65">
        <v>43019</v>
      </c>
      <c r="D2180" s="1">
        <v>2.9455</v>
      </c>
    </row>
    <row r="2181" spans="1:4" x14ac:dyDescent="0.25">
      <c r="A2181" s="65">
        <v>42986</v>
      </c>
      <c r="B2181" s="1">
        <v>3.4129999999999998</v>
      </c>
      <c r="C2181" s="65">
        <v>43020</v>
      </c>
      <c r="D2181" s="1">
        <v>2.9657</v>
      </c>
    </row>
    <row r="2182" spans="1:4" x14ac:dyDescent="0.25">
      <c r="A2182" s="65">
        <v>42989</v>
      </c>
      <c r="B2182" s="1">
        <v>3.3666</v>
      </c>
      <c r="C2182" s="65">
        <v>43021</v>
      </c>
      <c r="D2182" s="1">
        <v>2.9637000000000002</v>
      </c>
    </row>
    <row r="2183" spans="1:4" x14ac:dyDescent="0.25">
      <c r="A2183" s="65">
        <v>42990</v>
      </c>
      <c r="B2183" s="1">
        <v>3.3498999999999999</v>
      </c>
      <c r="C2183" s="65">
        <v>43024</v>
      </c>
      <c r="D2183" s="1">
        <v>2.9617</v>
      </c>
    </row>
    <row r="2184" spans="1:4" x14ac:dyDescent="0.25">
      <c r="A2184" s="65">
        <v>42991</v>
      </c>
      <c r="B2184" s="1">
        <v>3.3399000000000001</v>
      </c>
      <c r="C2184" s="65">
        <v>43025</v>
      </c>
      <c r="D2184" s="1">
        <v>2.9737</v>
      </c>
    </row>
    <row r="2185" spans="1:4" x14ac:dyDescent="0.25">
      <c r="A2185" s="65">
        <v>42992</v>
      </c>
      <c r="B2185" s="1">
        <v>3.3367</v>
      </c>
      <c r="C2185" s="65">
        <v>43026</v>
      </c>
      <c r="D2185" s="1">
        <v>2.9714999999999998</v>
      </c>
    </row>
    <row r="2186" spans="1:4" x14ac:dyDescent="0.25">
      <c r="A2186" s="65">
        <v>42993</v>
      </c>
      <c r="B2186" s="1">
        <v>3.3471000000000002</v>
      </c>
      <c r="C2186" s="65">
        <v>43027</v>
      </c>
      <c r="D2186" s="1">
        <v>3.0011999999999999</v>
      </c>
    </row>
    <row r="2187" spans="1:4" x14ac:dyDescent="0.25">
      <c r="A2187" s="65">
        <v>42996</v>
      </c>
      <c r="B2187" s="1">
        <v>3.3327999999999998</v>
      </c>
      <c r="C2187" s="65">
        <v>43028</v>
      </c>
      <c r="D2187" s="1">
        <v>2.9725000000000001</v>
      </c>
    </row>
    <row r="2188" spans="1:4" x14ac:dyDescent="0.25">
      <c r="A2188" s="65">
        <v>42997</v>
      </c>
      <c r="B2188" s="1">
        <v>3.3285999999999998</v>
      </c>
      <c r="C2188" s="65">
        <v>43031</v>
      </c>
      <c r="D2188" s="1">
        <v>2.9681999999999999</v>
      </c>
    </row>
    <row r="2189" spans="1:4" x14ac:dyDescent="0.25">
      <c r="A2189" s="65">
        <v>42998</v>
      </c>
      <c r="B2189" s="1">
        <v>3.3338999999999999</v>
      </c>
      <c r="C2189" s="65">
        <v>43032</v>
      </c>
      <c r="D2189" s="1">
        <v>2.9354</v>
      </c>
    </row>
    <row r="2190" spans="1:4" x14ac:dyDescent="0.25">
      <c r="A2190" s="65">
        <v>42999</v>
      </c>
      <c r="B2190" s="1">
        <v>3.3207</v>
      </c>
      <c r="C2190" s="65">
        <v>43033</v>
      </c>
      <c r="D2190" s="1">
        <v>2.9592999999999998</v>
      </c>
    </row>
    <row r="2191" spans="1:4" x14ac:dyDescent="0.25">
      <c r="A2191" s="65">
        <v>43000</v>
      </c>
      <c r="B2191" s="1">
        <v>3.319</v>
      </c>
      <c r="C2191" s="65">
        <v>43034</v>
      </c>
      <c r="D2191" s="1">
        <v>2.9125000000000001</v>
      </c>
    </row>
    <row r="2192" spans="1:4" x14ac:dyDescent="0.25">
      <c r="A2192" s="65">
        <v>43003</v>
      </c>
      <c r="B2192" s="1">
        <v>3.3233999999999999</v>
      </c>
      <c r="C2192" s="65">
        <v>43035</v>
      </c>
      <c r="D2192" s="1">
        <v>2.9308000000000001</v>
      </c>
    </row>
    <row r="2193" spans="1:4" x14ac:dyDescent="0.25">
      <c r="A2193" s="65">
        <v>43004</v>
      </c>
      <c r="B2193" s="1">
        <v>3.3247999999999998</v>
      </c>
      <c r="C2193" s="65">
        <v>43038</v>
      </c>
      <c r="D2193" s="1">
        <v>2.9195000000000002</v>
      </c>
    </row>
    <row r="2194" spans="1:4" x14ac:dyDescent="0.25">
      <c r="A2194" s="65">
        <v>43005</v>
      </c>
      <c r="B2194" s="1">
        <v>3.3071999999999999</v>
      </c>
      <c r="C2194" s="65">
        <v>43039</v>
      </c>
      <c r="D2194" s="1">
        <v>2.9142000000000001</v>
      </c>
    </row>
    <row r="2195" spans="1:4" x14ac:dyDescent="0.25">
      <c r="A2195" s="65">
        <v>43006</v>
      </c>
      <c r="B2195" s="1">
        <v>3.2993000000000001</v>
      </c>
      <c r="C2195" s="65">
        <v>43040</v>
      </c>
      <c r="D2195" s="1">
        <v>2.8891</v>
      </c>
    </row>
    <row r="2196" spans="1:4" x14ac:dyDescent="0.25">
      <c r="A2196" s="65">
        <v>43007</v>
      </c>
      <c r="B2196" s="1">
        <v>3.2707000000000002</v>
      </c>
      <c r="C2196" s="65">
        <v>43041</v>
      </c>
      <c r="D2196" s="1">
        <v>2.8822999999999999</v>
      </c>
    </row>
    <row r="2197" spans="1:4" x14ac:dyDescent="0.25">
      <c r="A2197" s="65">
        <v>43010</v>
      </c>
      <c r="B2197" s="1">
        <v>3.2635999999999998</v>
      </c>
      <c r="C2197" s="65">
        <v>43042</v>
      </c>
      <c r="D2197" s="1">
        <v>2.8862999999999999</v>
      </c>
    </row>
    <row r="2198" spans="1:4" x14ac:dyDescent="0.25">
      <c r="A2198" s="65">
        <v>43011</v>
      </c>
      <c r="B2198" s="1">
        <v>3.2608000000000001</v>
      </c>
      <c r="C2198" s="65">
        <v>43045</v>
      </c>
      <c r="D2198" s="1">
        <v>2.8877000000000002</v>
      </c>
    </row>
    <row r="2199" spans="1:4" x14ac:dyDescent="0.25">
      <c r="A2199" s="65">
        <v>43012</v>
      </c>
      <c r="B2199" s="1">
        <v>3.2706</v>
      </c>
      <c r="C2199" s="65">
        <v>43046</v>
      </c>
      <c r="D2199" s="1">
        <v>2.8928000000000003</v>
      </c>
    </row>
    <row r="2200" spans="1:4" x14ac:dyDescent="0.25">
      <c r="A2200" s="65">
        <v>43013</v>
      </c>
      <c r="B2200" s="1">
        <v>3.2538</v>
      </c>
      <c r="C2200" s="65">
        <v>43047</v>
      </c>
      <c r="D2200" s="1">
        <v>2.9093999999999998</v>
      </c>
    </row>
    <row r="2201" spans="1:4" x14ac:dyDescent="0.25">
      <c r="A2201" s="65">
        <v>43014</v>
      </c>
      <c r="B2201" s="1">
        <v>3.2875000000000001</v>
      </c>
      <c r="C2201" s="65">
        <v>43048</v>
      </c>
      <c r="D2201" s="1">
        <v>2.9339</v>
      </c>
    </row>
    <row r="2202" spans="1:4" x14ac:dyDescent="0.25">
      <c r="A2202" s="65">
        <v>43017</v>
      </c>
      <c r="B2202" s="1">
        <v>3.2808999999999999</v>
      </c>
      <c r="C2202" s="65">
        <v>43049</v>
      </c>
      <c r="D2202" s="1">
        <v>2.9443000000000001</v>
      </c>
    </row>
    <row r="2203" spans="1:4" x14ac:dyDescent="0.25">
      <c r="A2203" s="65">
        <v>43018</v>
      </c>
      <c r="B2203" s="1">
        <v>3.2915999999999999</v>
      </c>
      <c r="C2203" s="65">
        <v>43052</v>
      </c>
      <c r="D2203" s="1">
        <v>2.9605000000000001</v>
      </c>
    </row>
    <row r="2204" spans="1:4" x14ac:dyDescent="0.25">
      <c r="A2204" s="65">
        <v>43019</v>
      </c>
      <c r="B2204" s="1">
        <v>3.2730999999999999</v>
      </c>
      <c r="C2204" s="65">
        <v>43053</v>
      </c>
      <c r="D2204" s="1">
        <v>2.9792000000000001</v>
      </c>
    </row>
    <row r="2205" spans="1:4" x14ac:dyDescent="0.25">
      <c r="A2205" s="65">
        <v>43020</v>
      </c>
      <c r="B2205" s="1">
        <v>3.2747999999999999</v>
      </c>
      <c r="C2205" s="65">
        <v>43054</v>
      </c>
      <c r="D2205" s="1">
        <v>2.9977</v>
      </c>
    </row>
    <row r="2206" spans="1:4" x14ac:dyDescent="0.25">
      <c r="A2206" s="65">
        <v>43021</v>
      </c>
      <c r="B2206" s="1">
        <v>3.2757000000000001</v>
      </c>
      <c r="C2206" s="65">
        <v>43055</v>
      </c>
      <c r="D2206" s="1">
        <v>2.9912999999999998</v>
      </c>
    </row>
    <row r="2207" spans="1:4" x14ac:dyDescent="0.25">
      <c r="A2207" s="65">
        <v>43024</v>
      </c>
      <c r="B2207" s="1">
        <v>3.2742</v>
      </c>
      <c r="C2207" s="65">
        <v>43056</v>
      </c>
      <c r="D2207" s="1">
        <v>3.0066999999999999</v>
      </c>
    </row>
    <row r="2208" spans="1:4" x14ac:dyDescent="0.25">
      <c r="A2208" s="65">
        <v>43025</v>
      </c>
      <c r="B2208" s="1">
        <v>3.2728000000000002</v>
      </c>
      <c r="C2208" s="65">
        <v>43059</v>
      </c>
      <c r="D2208" s="1">
        <v>3.0348999999999999</v>
      </c>
    </row>
    <row r="2209" spans="1:4" x14ac:dyDescent="0.25">
      <c r="A2209" s="65">
        <v>43026</v>
      </c>
      <c r="B2209" s="1">
        <v>3.2593000000000001</v>
      </c>
      <c r="C2209" s="65">
        <v>43060</v>
      </c>
      <c r="D2209" s="1">
        <v>3.0162</v>
      </c>
    </row>
    <row r="2210" spans="1:4" x14ac:dyDescent="0.25">
      <c r="A2210" s="65">
        <v>43027</v>
      </c>
      <c r="B2210" s="1">
        <v>3.2751999999999999</v>
      </c>
      <c r="C2210" s="65">
        <v>43061</v>
      </c>
      <c r="D2210" s="1">
        <v>3.0177</v>
      </c>
    </row>
    <row r="2211" spans="1:4" x14ac:dyDescent="0.25">
      <c r="A2211" s="65">
        <v>43028</v>
      </c>
      <c r="B2211" s="1">
        <v>3.2724000000000002</v>
      </c>
      <c r="C2211" s="65">
        <v>43062</v>
      </c>
      <c r="D2211" s="1">
        <v>3.0066000000000002</v>
      </c>
    </row>
    <row r="2212" spans="1:4" x14ac:dyDescent="0.25">
      <c r="A2212" s="65">
        <v>43031</v>
      </c>
      <c r="B2212" s="1">
        <v>3.2690000000000001</v>
      </c>
      <c r="C2212" s="65">
        <v>43063</v>
      </c>
      <c r="D2212" s="1">
        <v>3.0041000000000002</v>
      </c>
    </row>
    <row r="2213" spans="1:4" x14ac:dyDescent="0.25">
      <c r="A2213" s="65">
        <v>43032</v>
      </c>
      <c r="B2213" s="1">
        <v>3.2673999999999999</v>
      </c>
      <c r="C2213" s="65">
        <v>43066</v>
      </c>
      <c r="D2213" s="1">
        <v>3.0366</v>
      </c>
    </row>
    <row r="2214" spans="1:4" x14ac:dyDescent="0.25">
      <c r="A2214" s="65">
        <v>43033</v>
      </c>
      <c r="B2214" s="1">
        <v>3.2848999999999999</v>
      </c>
      <c r="C2214" s="65">
        <v>43067</v>
      </c>
      <c r="D2214" s="1">
        <v>3.0209000000000001</v>
      </c>
    </row>
    <row r="2215" spans="1:4" x14ac:dyDescent="0.25">
      <c r="A2215" s="65">
        <v>43034</v>
      </c>
      <c r="B2215" s="1">
        <v>3.2435999999999998</v>
      </c>
      <c r="C2215" s="65">
        <v>43068</v>
      </c>
      <c r="D2215" s="1">
        <v>3.0163000000000002</v>
      </c>
    </row>
    <row r="2216" spans="1:4" x14ac:dyDescent="0.25">
      <c r="A2216" s="65">
        <v>43035</v>
      </c>
      <c r="B2216" s="1">
        <v>3.2302</v>
      </c>
      <c r="C2216" s="65">
        <v>43069</v>
      </c>
      <c r="D2216" s="1">
        <v>3.0106000000000002</v>
      </c>
    </row>
    <row r="2217" spans="1:4" x14ac:dyDescent="0.25">
      <c r="A2217" s="65">
        <v>43038</v>
      </c>
      <c r="B2217" s="1">
        <v>3.2214</v>
      </c>
      <c r="C2217" s="65">
        <v>43070</v>
      </c>
      <c r="D2217" s="1">
        <v>3.0463</v>
      </c>
    </row>
    <row r="2218" spans="1:4" x14ac:dyDescent="0.25">
      <c r="A2218" s="65">
        <v>43039</v>
      </c>
      <c r="B2218" s="1">
        <v>3.2130999999999998</v>
      </c>
      <c r="C2218" s="65">
        <v>43073</v>
      </c>
      <c r="D2218" s="1">
        <v>3.0114000000000001</v>
      </c>
    </row>
    <row r="2219" spans="1:4" x14ac:dyDescent="0.25">
      <c r="A2219" s="65">
        <v>43040</v>
      </c>
      <c r="B2219" s="1">
        <v>3.1926999999999999</v>
      </c>
      <c r="C2219" s="65">
        <v>43074</v>
      </c>
      <c r="D2219" s="1">
        <v>3.0041000000000002</v>
      </c>
    </row>
    <row r="2220" spans="1:4" x14ac:dyDescent="0.25">
      <c r="A2220" s="65">
        <v>43041</v>
      </c>
      <c r="B2220" s="1">
        <v>3.2025999999999999</v>
      </c>
      <c r="C2220" s="65">
        <v>43075</v>
      </c>
      <c r="D2220" s="1">
        <v>3.0188000000000001</v>
      </c>
    </row>
    <row r="2221" spans="1:4" x14ac:dyDescent="0.25">
      <c r="A2221" s="65">
        <v>43042</v>
      </c>
      <c r="B2221" s="1">
        <v>3.2016</v>
      </c>
      <c r="C2221" s="65">
        <v>43076</v>
      </c>
      <c r="D2221" s="1">
        <v>2.9983</v>
      </c>
    </row>
    <row r="2222" spans="1:4" x14ac:dyDescent="0.25">
      <c r="A2222" s="65">
        <v>43045</v>
      </c>
      <c r="B2222" s="1">
        <v>3.2082000000000002</v>
      </c>
      <c r="C2222" s="65">
        <v>43077</v>
      </c>
      <c r="D2222" s="1">
        <v>2.9569999999999999</v>
      </c>
    </row>
    <row r="2223" spans="1:4" x14ac:dyDescent="0.25">
      <c r="A2223" s="65">
        <v>43046</v>
      </c>
      <c r="B2223" s="1">
        <v>3.2302</v>
      </c>
      <c r="C2223" s="65">
        <v>43080</v>
      </c>
      <c r="D2223" s="1">
        <v>2.9678</v>
      </c>
    </row>
    <row r="2224" spans="1:4" x14ac:dyDescent="0.25">
      <c r="A2224" s="65">
        <v>43047</v>
      </c>
      <c r="B2224" s="1">
        <v>3.2334999999999998</v>
      </c>
      <c r="C2224" s="65">
        <v>43081</v>
      </c>
      <c r="D2224" s="1">
        <v>2.9630000000000001</v>
      </c>
    </row>
    <row r="2225" spans="1:4" x14ac:dyDescent="0.25">
      <c r="A2225" s="65">
        <v>43048</v>
      </c>
      <c r="B2225" s="1">
        <v>3.2715999999999998</v>
      </c>
      <c r="C2225" s="65">
        <v>43082</v>
      </c>
      <c r="D2225" s="1">
        <v>3.0063</v>
      </c>
    </row>
    <row r="2226" spans="1:4" x14ac:dyDescent="0.25">
      <c r="A2226" s="65">
        <v>43049</v>
      </c>
      <c r="B2226" s="1">
        <v>3.2886000000000002</v>
      </c>
      <c r="C2226" s="65">
        <v>43083</v>
      </c>
      <c r="D2226" s="1">
        <v>3.0345</v>
      </c>
    </row>
    <row r="2227" spans="1:4" x14ac:dyDescent="0.25">
      <c r="A2227" s="65">
        <v>43052</v>
      </c>
      <c r="B2227" s="1">
        <v>3.3063000000000002</v>
      </c>
      <c r="C2227" s="65">
        <v>43084</v>
      </c>
      <c r="D2227" s="1">
        <v>3.0478999999999998</v>
      </c>
    </row>
    <row r="2228" spans="1:4" x14ac:dyDescent="0.25">
      <c r="A2228" s="65">
        <v>43053</v>
      </c>
      <c r="B2228" s="1">
        <v>3.3231999999999999</v>
      </c>
      <c r="C2228" s="65">
        <v>43087</v>
      </c>
      <c r="D2228" s="1">
        <v>2.9802</v>
      </c>
    </row>
    <row r="2229" spans="1:4" x14ac:dyDescent="0.25">
      <c r="A2229" s="65">
        <v>43054</v>
      </c>
      <c r="B2229" s="1">
        <v>3.3332000000000002</v>
      </c>
      <c r="C2229" s="65">
        <v>43088</v>
      </c>
      <c r="D2229" s="1">
        <v>2.9956</v>
      </c>
    </row>
    <row r="2230" spans="1:4" x14ac:dyDescent="0.25">
      <c r="A2230" s="65">
        <v>43055</v>
      </c>
      <c r="B2230" s="1">
        <v>3.3153999999999999</v>
      </c>
      <c r="C2230" s="65">
        <v>43089</v>
      </c>
      <c r="D2230" s="1">
        <v>3.0179999999999998</v>
      </c>
    </row>
    <row r="2231" spans="1:4" x14ac:dyDescent="0.25">
      <c r="A2231" s="65">
        <v>43056</v>
      </c>
      <c r="B2231" s="1">
        <v>3.3315999999999999</v>
      </c>
      <c r="C2231" s="65">
        <v>43090</v>
      </c>
      <c r="D2231" s="1">
        <v>3.0003000000000002</v>
      </c>
    </row>
    <row r="2232" spans="1:4" x14ac:dyDescent="0.25">
      <c r="A2232" s="65">
        <v>43059</v>
      </c>
      <c r="B2232" s="1">
        <v>3.3185000000000002</v>
      </c>
      <c r="C2232" s="65">
        <v>43091</v>
      </c>
      <c r="D2232" s="1">
        <v>3.0045000000000002</v>
      </c>
    </row>
    <row r="2233" spans="1:4" x14ac:dyDescent="0.25">
      <c r="A2233" s="65">
        <v>43060</v>
      </c>
      <c r="B2233" s="1">
        <v>3.3018999999999998</v>
      </c>
      <c r="C2233" s="65">
        <v>43096</v>
      </c>
      <c r="D2233" s="1">
        <v>3.0055999999999998</v>
      </c>
    </row>
    <row r="2234" spans="1:4" x14ac:dyDescent="0.25">
      <c r="A2234" s="65">
        <v>43061</v>
      </c>
      <c r="B2234" s="1">
        <v>3.3174000000000001</v>
      </c>
      <c r="C2234" s="65">
        <v>43097</v>
      </c>
      <c r="D2234" s="1">
        <v>3.0165000000000002</v>
      </c>
    </row>
    <row r="2235" spans="1:4" x14ac:dyDescent="0.25">
      <c r="A2235" s="65">
        <v>43062</v>
      </c>
      <c r="B2235" s="1">
        <v>3.3086000000000002</v>
      </c>
      <c r="C2235" s="65">
        <v>43098</v>
      </c>
      <c r="D2235" s="1">
        <v>3.0533999999999999</v>
      </c>
    </row>
    <row r="2236" spans="1:4" x14ac:dyDescent="0.25">
      <c r="A2236" s="65">
        <v>43063</v>
      </c>
      <c r="B2236" s="1">
        <v>3.3001</v>
      </c>
      <c r="C2236" s="65">
        <v>43102</v>
      </c>
      <c r="D2236" s="1">
        <v>3.0546000000000002</v>
      </c>
    </row>
    <row r="2237" spans="1:4" x14ac:dyDescent="0.25">
      <c r="A2237" s="65">
        <v>43066</v>
      </c>
      <c r="B2237" s="1">
        <v>3.3161</v>
      </c>
      <c r="C2237" s="65">
        <v>43103</v>
      </c>
      <c r="D2237" s="1">
        <v>3.0463</v>
      </c>
    </row>
    <row r="2238" spans="1:4" x14ac:dyDescent="0.25">
      <c r="A2238" s="65">
        <v>43067</v>
      </c>
      <c r="B2238" s="1">
        <v>3.2980999999999998</v>
      </c>
      <c r="C2238" s="65">
        <v>43104</v>
      </c>
      <c r="D2238" s="1">
        <v>2.9641000000000002</v>
      </c>
    </row>
    <row r="2239" spans="1:4" x14ac:dyDescent="0.25">
      <c r="A2239" s="65">
        <v>43068</v>
      </c>
      <c r="B2239" s="1">
        <v>3.2922000000000002</v>
      </c>
      <c r="C2239" s="65">
        <v>43105</v>
      </c>
      <c r="D2239" s="1">
        <v>2.9314999999999998</v>
      </c>
    </row>
    <row r="2240" spans="1:4" x14ac:dyDescent="0.25">
      <c r="A2240" s="65">
        <v>43069</v>
      </c>
      <c r="B2240" s="1">
        <v>3.3106</v>
      </c>
      <c r="C2240" s="65">
        <v>43108</v>
      </c>
      <c r="D2240" s="1">
        <v>2.9207999999999998</v>
      </c>
    </row>
    <row r="2241" spans="1:4" x14ac:dyDescent="0.25">
      <c r="A2241" s="65">
        <v>43070</v>
      </c>
      <c r="B2241" s="1">
        <v>3.3281999999999998</v>
      </c>
      <c r="C2241" s="65">
        <v>43109</v>
      </c>
      <c r="D2241" s="1">
        <v>2.9005999999999998</v>
      </c>
    </row>
    <row r="2242" spans="1:4" x14ac:dyDescent="0.25">
      <c r="A2242" s="65">
        <v>43073</v>
      </c>
      <c r="B2242" s="1">
        <v>3.2829000000000002</v>
      </c>
      <c r="C2242" s="65">
        <v>43110</v>
      </c>
      <c r="D2242" s="1">
        <v>2.8815</v>
      </c>
    </row>
    <row r="2243" spans="1:4" x14ac:dyDescent="0.25">
      <c r="A2243" s="65">
        <v>43074</v>
      </c>
      <c r="B2243" s="1">
        <v>3.2944</v>
      </c>
      <c r="C2243" s="65">
        <v>43111</v>
      </c>
      <c r="D2243" s="1">
        <v>2.8632</v>
      </c>
    </row>
    <row r="2244" spans="1:4" x14ac:dyDescent="0.25">
      <c r="A2244" s="65">
        <v>43075</v>
      </c>
      <c r="B2244" s="1">
        <v>3.3027000000000002</v>
      </c>
      <c r="C2244" s="65">
        <v>43112</v>
      </c>
      <c r="D2244" s="1">
        <v>2.8479999999999999</v>
      </c>
    </row>
    <row r="2245" spans="1:4" x14ac:dyDescent="0.25">
      <c r="A2245" s="65">
        <v>43076</v>
      </c>
      <c r="B2245" s="1">
        <v>3.2919999999999998</v>
      </c>
      <c r="C2245" s="65">
        <v>43115</v>
      </c>
      <c r="D2245" s="1">
        <v>2.8342000000000001</v>
      </c>
    </row>
    <row r="2246" spans="1:4" x14ac:dyDescent="0.25">
      <c r="A2246" s="65">
        <v>43077</v>
      </c>
      <c r="B2246" s="1">
        <v>3.2751999999999999</v>
      </c>
      <c r="C2246" s="65">
        <v>43116</v>
      </c>
      <c r="D2246" s="1">
        <v>2.84</v>
      </c>
    </row>
    <row r="2247" spans="1:4" x14ac:dyDescent="0.25">
      <c r="A2247" s="65">
        <v>43080</v>
      </c>
      <c r="B2247" s="1">
        <v>3.2837000000000001</v>
      </c>
      <c r="C2247" s="65">
        <v>43117</v>
      </c>
      <c r="D2247" s="1">
        <v>2.8376999999999999</v>
      </c>
    </row>
    <row r="2248" spans="1:4" x14ac:dyDescent="0.25">
      <c r="A2248" s="65">
        <v>43081</v>
      </c>
      <c r="B2248" s="1">
        <v>3.2416999999999998</v>
      </c>
      <c r="C2248" s="65">
        <v>43118</v>
      </c>
      <c r="D2248" s="1">
        <v>2.8237000000000001</v>
      </c>
    </row>
    <row r="2249" spans="1:4" x14ac:dyDescent="0.25">
      <c r="A2249" s="65">
        <v>43082</v>
      </c>
      <c r="B2249" s="1">
        <v>3.2585000000000002</v>
      </c>
      <c r="C2249" s="65">
        <v>43119</v>
      </c>
      <c r="D2249" s="1">
        <v>2.8096999999999999</v>
      </c>
    </row>
    <row r="2250" spans="1:4" x14ac:dyDescent="0.25">
      <c r="A2250" s="65">
        <v>43083</v>
      </c>
      <c r="B2250" s="1">
        <v>3.2818999999999998</v>
      </c>
      <c r="C2250" s="65">
        <v>43122</v>
      </c>
      <c r="D2250" s="1">
        <v>2.8005</v>
      </c>
    </row>
    <row r="2251" spans="1:4" x14ac:dyDescent="0.25">
      <c r="A2251" s="65">
        <v>43084</v>
      </c>
      <c r="B2251" s="1">
        <v>3.2778999999999998</v>
      </c>
      <c r="C2251" s="65">
        <v>43123</v>
      </c>
      <c r="D2251" s="1">
        <v>2.8068</v>
      </c>
    </row>
    <row r="2252" spans="1:4" x14ac:dyDescent="0.25">
      <c r="A2252" s="65">
        <v>43087</v>
      </c>
      <c r="B2252" s="1">
        <v>3.2389000000000001</v>
      </c>
      <c r="C2252" s="65">
        <v>43124</v>
      </c>
      <c r="D2252" s="1">
        <v>2.8322000000000003</v>
      </c>
    </row>
    <row r="2253" spans="1:4" x14ac:dyDescent="0.25">
      <c r="A2253" s="65">
        <v>43088</v>
      </c>
      <c r="B2253" s="1">
        <v>3.2646000000000002</v>
      </c>
      <c r="C2253" s="65">
        <v>43125</v>
      </c>
      <c r="D2253" s="1">
        <v>2.8205999999999998</v>
      </c>
    </row>
    <row r="2254" spans="1:4" x14ac:dyDescent="0.25">
      <c r="A2254" s="65">
        <v>43089</v>
      </c>
      <c r="B2254" s="1">
        <v>3.2917000000000001</v>
      </c>
      <c r="C2254" s="65">
        <v>43126</v>
      </c>
      <c r="D2254" s="1">
        <v>2.8044000000000002</v>
      </c>
    </row>
    <row r="2255" spans="1:4" x14ac:dyDescent="0.25">
      <c r="A2255" s="65">
        <v>43090</v>
      </c>
      <c r="B2255" s="1">
        <v>3.2749999999999999</v>
      </c>
      <c r="C2255" s="65">
        <v>43129</v>
      </c>
      <c r="D2255" s="1">
        <v>2.8109000000000002</v>
      </c>
    </row>
    <row r="2256" spans="1:4" x14ac:dyDescent="0.25">
      <c r="A2256" s="65">
        <v>43091</v>
      </c>
      <c r="B2256" s="1">
        <v>3.2911000000000001</v>
      </c>
      <c r="C2256" s="65">
        <v>43130</v>
      </c>
      <c r="D2256" s="1">
        <v>2.8492999999999999</v>
      </c>
    </row>
    <row r="2257" spans="1:4" x14ac:dyDescent="0.25">
      <c r="A2257" s="65">
        <v>43096</v>
      </c>
      <c r="B2257" s="1">
        <v>3.294</v>
      </c>
      <c r="C2257" s="65">
        <v>43131</v>
      </c>
      <c r="D2257" s="1">
        <v>2.8462000000000001</v>
      </c>
    </row>
    <row r="2258" spans="1:4" x14ac:dyDescent="0.25">
      <c r="A2258" s="65">
        <v>43097</v>
      </c>
      <c r="B2258" s="1">
        <v>3.3182</v>
      </c>
      <c r="C2258" s="65">
        <v>43132</v>
      </c>
      <c r="D2258" s="1">
        <v>2.8420000000000001</v>
      </c>
    </row>
    <row r="2259" spans="1:4" x14ac:dyDescent="0.25">
      <c r="A2259" s="65">
        <v>43098</v>
      </c>
      <c r="B2259" s="1">
        <v>3.3374999999999999</v>
      </c>
      <c r="C2259" s="65">
        <v>43133</v>
      </c>
      <c r="D2259" s="1">
        <v>2.8834999999999997</v>
      </c>
    </row>
    <row r="2260" spans="1:4" x14ac:dyDescent="0.25">
      <c r="A2260" s="65">
        <v>43102</v>
      </c>
      <c r="B2260" s="1">
        <v>3.3506</v>
      </c>
      <c r="C2260" s="65">
        <v>43136</v>
      </c>
      <c r="D2260" s="1">
        <v>2.9316</v>
      </c>
    </row>
    <row r="2261" spans="1:4" x14ac:dyDescent="0.25">
      <c r="A2261" s="65">
        <v>43103</v>
      </c>
      <c r="B2261" s="1">
        <v>3.3319000000000001</v>
      </c>
      <c r="C2261" s="65">
        <v>43137</v>
      </c>
      <c r="D2261" s="1">
        <v>2.9939</v>
      </c>
    </row>
    <row r="2262" spans="1:4" x14ac:dyDescent="0.25">
      <c r="A2262" s="65">
        <v>43104</v>
      </c>
      <c r="B2262" s="1">
        <v>3.2768000000000002</v>
      </c>
      <c r="C2262" s="65">
        <v>43138</v>
      </c>
      <c r="D2262" s="1">
        <v>2.9106000000000001</v>
      </c>
    </row>
    <row r="2263" spans="1:4" x14ac:dyDescent="0.25">
      <c r="A2263" s="65">
        <v>43105</v>
      </c>
      <c r="B2263" s="1">
        <v>3.2416</v>
      </c>
      <c r="C2263" s="65">
        <v>43139</v>
      </c>
      <c r="D2263" s="1">
        <v>2.9779999999999998</v>
      </c>
    </row>
    <row r="2264" spans="1:4" x14ac:dyDescent="0.25">
      <c r="A2264" s="65">
        <v>43108</v>
      </c>
      <c r="B2264" s="1">
        <v>3.2336999999999998</v>
      </c>
      <c r="C2264" s="65">
        <v>43140</v>
      </c>
      <c r="D2264" s="1">
        <v>3.0182000000000002</v>
      </c>
    </row>
    <row r="2265" spans="1:4" x14ac:dyDescent="0.25">
      <c r="A2265" s="65">
        <v>43109</v>
      </c>
      <c r="B2265" s="1">
        <v>3.2279</v>
      </c>
      <c r="C2265" s="65">
        <v>43143</v>
      </c>
      <c r="D2265" s="1">
        <v>2.9952999999999999</v>
      </c>
    </row>
    <row r="2266" spans="1:4" x14ac:dyDescent="0.25">
      <c r="A2266" s="65">
        <v>43110</v>
      </c>
      <c r="B2266" s="1">
        <v>3.2395999999999998</v>
      </c>
      <c r="C2266" s="65">
        <v>43144</v>
      </c>
      <c r="D2266" s="1">
        <v>3.0364</v>
      </c>
    </row>
    <row r="2267" spans="1:4" x14ac:dyDescent="0.25">
      <c r="A2267" s="65">
        <v>43111</v>
      </c>
      <c r="B2267" s="1">
        <v>3.2511000000000001</v>
      </c>
      <c r="C2267" s="65">
        <v>43145</v>
      </c>
      <c r="D2267" s="1">
        <v>2.9823</v>
      </c>
    </row>
    <row r="2268" spans="1:4" x14ac:dyDescent="0.25">
      <c r="A2268" s="65">
        <v>43112</v>
      </c>
      <c r="B2268" s="1">
        <v>3.2355</v>
      </c>
      <c r="C2268" s="65">
        <v>43146</v>
      </c>
      <c r="D2268" s="1">
        <v>2.9741</v>
      </c>
    </row>
    <row r="2269" spans="1:4" x14ac:dyDescent="0.25">
      <c r="A2269" s="65">
        <v>43115</v>
      </c>
      <c r="B2269" s="1">
        <v>3.2362000000000002</v>
      </c>
      <c r="C2269" s="65">
        <v>43147</v>
      </c>
      <c r="D2269" s="1">
        <v>2.9346999999999999</v>
      </c>
    </row>
    <row r="2270" spans="1:4" x14ac:dyDescent="0.25">
      <c r="A2270" s="65">
        <v>43116</v>
      </c>
      <c r="B2270" s="1">
        <v>3.2271000000000001</v>
      </c>
      <c r="C2270" s="65">
        <v>43150</v>
      </c>
      <c r="D2270" s="1">
        <v>2.9645000000000001</v>
      </c>
    </row>
    <row r="2271" spans="1:4" x14ac:dyDescent="0.25">
      <c r="A2271" s="65">
        <v>43117</v>
      </c>
      <c r="B2271" s="1">
        <v>3.2353000000000001</v>
      </c>
      <c r="C2271" s="65">
        <v>43151</v>
      </c>
      <c r="D2271" s="1">
        <v>2.9508000000000001</v>
      </c>
    </row>
    <row r="2272" spans="1:4" x14ac:dyDescent="0.25">
      <c r="A2272" s="65">
        <v>43118</v>
      </c>
      <c r="B2272" s="1">
        <v>3.2280000000000002</v>
      </c>
      <c r="C2272" s="65">
        <v>43152</v>
      </c>
      <c r="D2272" s="1">
        <v>2.9535</v>
      </c>
    </row>
    <row r="2273" spans="1:4" x14ac:dyDescent="0.25">
      <c r="A2273" s="65">
        <v>43119</v>
      </c>
      <c r="B2273" s="1">
        <v>3.2031000000000001</v>
      </c>
      <c r="C2273" s="65">
        <v>43153</v>
      </c>
      <c r="D2273" s="1">
        <v>2.9784000000000002</v>
      </c>
    </row>
    <row r="2274" spans="1:4" x14ac:dyDescent="0.25">
      <c r="A2274" s="65">
        <v>43122</v>
      </c>
      <c r="B2274" s="1">
        <v>3.1936</v>
      </c>
      <c r="C2274" s="65">
        <v>43154</v>
      </c>
      <c r="D2274" s="1">
        <v>2.9510000000000001</v>
      </c>
    </row>
    <row r="2275" spans="1:4" x14ac:dyDescent="0.25">
      <c r="A2275" s="65">
        <v>43123</v>
      </c>
      <c r="B2275" s="1">
        <v>3.1875</v>
      </c>
      <c r="C2275" s="65">
        <v>43157</v>
      </c>
      <c r="D2275" s="1">
        <v>2.9464999999999999</v>
      </c>
    </row>
    <row r="2276" spans="1:4" x14ac:dyDescent="0.25">
      <c r="A2276" s="65">
        <v>43124</v>
      </c>
      <c r="B2276" s="1">
        <v>3.2130000000000001</v>
      </c>
      <c r="C2276" s="65">
        <v>43158</v>
      </c>
      <c r="D2276" s="1">
        <v>2.9441999999999999</v>
      </c>
    </row>
    <row r="2277" spans="1:4" x14ac:dyDescent="0.25">
      <c r="A2277" s="65">
        <v>43125</v>
      </c>
      <c r="B2277" s="1">
        <v>3.2244999999999999</v>
      </c>
      <c r="C2277" s="65">
        <v>43159</v>
      </c>
      <c r="D2277" s="1">
        <v>2.9594</v>
      </c>
    </row>
    <row r="2278" spans="1:4" x14ac:dyDescent="0.25">
      <c r="A2278" s="65">
        <v>43126</v>
      </c>
      <c r="B2278" s="1">
        <v>3.2092999999999998</v>
      </c>
      <c r="C2278" s="65">
        <v>43160</v>
      </c>
      <c r="D2278" s="1">
        <v>2.9803999999999999</v>
      </c>
    </row>
    <row r="2279" spans="1:4" x14ac:dyDescent="0.25">
      <c r="A2279" s="65">
        <v>43129</v>
      </c>
      <c r="B2279" s="1">
        <v>3.2130999999999998</v>
      </c>
      <c r="C2279" s="65">
        <v>43161</v>
      </c>
      <c r="D2279" s="1">
        <v>3.0533000000000001</v>
      </c>
    </row>
    <row r="2280" spans="1:4" x14ac:dyDescent="0.25">
      <c r="A2280" s="65">
        <v>43130</v>
      </c>
      <c r="B2280" s="1">
        <v>3.2492999999999999</v>
      </c>
      <c r="C2280" s="65">
        <v>43164</v>
      </c>
      <c r="D2280" s="1">
        <v>3.0661999999999998</v>
      </c>
    </row>
    <row r="2281" spans="1:4" x14ac:dyDescent="0.25">
      <c r="A2281" s="65">
        <v>43131</v>
      </c>
      <c r="B2281" s="1">
        <v>3.2143000000000002</v>
      </c>
      <c r="C2281" s="65">
        <v>43165</v>
      </c>
      <c r="D2281" s="1">
        <v>3.0133999999999999</v>
      </c>
    </row>
    <row r="2282" spans="1:4" x14ac:dyDescent="0.25">
      <c r="A2282" s="65">
        <v>43132</v>
      </c>
      <c r="B2282" s="1">
        <v>3.2363</v>
      </c>
      <c r="C2282" s="65">
        <v>43166</v>
      </c>
      <c r="D2282" s="1">
        <v>2.9771000000000001</v>
      </c>
    </row>
    <row r="2283" spans="1:4" x14ac:dyDescent="0.25">
      <c r="A2283" s="65">
        <v>43133</v>
      </c>
      <c r="B2283" s="1">
        <v>3.286</v>
      </c>
      <c r="C2283" s="65">
        <v>43167</v>
      </c>
      <c r="D2283" s="1">
        <v>2.9432999999999998</v>
      </c>
    </row>
    <row r="2284" spans="1:4" x14ac:dyDescent="0.25">
      <c r="A2284" s="65">
        <v>43136</v>
      </c>
      <c r="B2284" s="1">
        <v>3.3279999999999998</v>
      </c>
      <c r="C2284" s="65">
        <v>43168</v>
      </c>
      <c r="D2284" s="1">
        <v>2.9413999999999998</v>
      </c>
    </row>
    <row r="2285" spans="1:4" x14ac:dyDescent="0.25">
      <c r="A2285" s="65">
        <v>43137</v>
      </c>
      <c r="B2285" s="1">
        <v>3.4102000000000001</v>
      </c>
      <c r="C2285" s="65">
        <v>43171</v>
      </c>
      <c r="D2285" s="1">
        <v>2.9388999999999998</v>
      </c>
    </row>
    <row r="2286" spans="1:4" x14ac:dyDescent="0.25">
      <c r="A2286" s="65">
        <v>43138</v>
      </c>
      <c r="B2286" s="1">
        <v>3.3513999999999999</v>
      </c>
      <c r="C2286" s="65">
        <v>43172</v>
      </c>
      <c r="D2286" s="1">
        <v>2.9485000000000001</v>
      </c>
    </row>
    <row r="2287" spans="1:4" x14ac:dyDescent="0.25">
      <c r="A2287" s="65">
        <v>43139</v>
      </c>
      <c r="B2287" s="1">
        <v>3.4279999999999999</v>
      </c>
      <c r="C2287" s="65">
        <v>43173</v>
      </c>
      <c r="D2287" s="1">
        <v>2.9798999999999998</v>
      </c>
    </row>
    <row r="2288" spans="1:4" x14ac:dyDescent="0.25">
      <c r="A2288" s="65">
        <v>43140</v>
      </c>
      <c r="B2288" s="1">
        <v>3.4809000000000001</v>
      </c>
      <c r="C2288" s="65">
        <v>43174</v>
      </c>
      <c r="D2288" s="1">
        <v>2.9455999999999998</v>
      </c>
    </row>
    <row r="2289" spans="1:4" x14ac:dyDescent="0.25">
      <c r="A2289" s="65">
        <v>43143</v>
      </c>
      <c r="B2289" s="1">
        <v>3.4371999999999998</v>
      </c>
      <c r="C2289" s="65">
        <v>43175</v>
      </c>
      <c r="D2289" s="1">
        <v>2.927</v>
      </c>
    </row>
    <row r="2290" spans="1:4" x14ac:dyDescent="0.25">
      <c r="A2290" s="65">
        <v>43144</v>
      </c>
      <c r="B2290" s="1">
        <v>3.4653</v>
      </c>
      <c r="C2290" s="65">
        <v>43178</v>
      </c>
      <c r="D2290" s="1">
        <v>2.9569000000000001</v>
      </c>
    </row>
    <row r="2291" spans="1:4" x14ac:dyDescent="0.25">
      <c r="A2291" s="65">
        <v>43145</v>
      </c>
      <c r="B2291" s="1">
        <v>3.4356</v>
      </c>
      <c r="C2291" s="65">
        <v>43179</v>
      </c>
      <c r="D2291" s="1">
        <v>2.9355000000000002</v>
      </c>
    </row>
    <row r="2292" spans="1:4" x14ac:dyDescent="0.25">
      <c r="A2292" s="65">
        <v>43146</v>
      </c>
      <c r="B2292" s="1">
        <v>3.4180999999999999</v>
      </c>
      <c r="C2292" s="65">
        <v>43180</v>
      </c>
      <c r="D2292" s="1">
        <v>2.9327000000000001</v>
      </c>
    </row>
    <row r="2293" spans="1:4" x14ac:dyDescent="0.25">
      <c r="A2293" s="65">
        <v>43147</v>
      </c>
      <c r="B2293" s="1">
        <v>3.3811</v>
      </c>
      <c r="C2293" s="65">
        <v>43181</v>
      </c>
      <c r="D2293" s="1">
        <v>2.988</v>
      </c>
    </row>
    <row r="2294" spans="1:4" x14ac:dyDescent="0.25">
      <c r="A2294" s="65">
        <v>43150</v>
      </c>
      <c r="B2294" s="1">
        <v>3.3999000000000001</v>
      </c>
      <c r="C2294" s="65">
        <v>43182</v>
      </c>
      <c r="D2294" s="1">
        <v>3.0026000000000002</v>
      </c>
    </row>
    <row r="2295" spans="1:4" x14ac:dyDescent="0.25">
      <c r="A2295" s="65">
        <v>43151</v>
      </c>
      <c r="B2295" s="1">
        <v>3.3729</v>
      </c>
      <c r="C2295" s="65">
        <v>43185</v>
      </c>
      <c r="D2295" s="1">
        <v>3.0404</v>
      </c>
    </row>
    <row r="2296" spans="1:4" x14ac:dyDescent="0.25">
      <c r="A2296" s="65">
        <v>43152</v>
      </c>
      <c r="B2296" s="1">
        <v>3.3776999999999999</v>
      </c>
      <c r="C2296" s="65">
        <v>43186</v>
      </c>
      <c r="D2296" s="1">
        <v>3.0133000000000001</v>
      </c>
    </row>
    <row r="2297" spans="1:4" x14ac:dyDescent="0.25">
      <c r="A2297" s="65">
        <v>43153</v>
      </c>
      <c r="B2297" s="1">
        <v>3.3759000000000001</v>
      </c>
      <c r="C2297" s="65">
        <v>43187</v>
      </c>
      <c r="D2297" s="1">
        <v>2.9969000000000001</v>
      </c>
    </row>
    <row r="2298" spans="1:4" x14ac:dyDescent="0.25">
      <c r="A2298" s="65">
        <v>43154</v>
      </c>
      <c r="B2298" s="1">
        <v>3.3666999999999998</v>
      </c>
      <c r="C2298" s="65">
        <v>43188</v>
      </c>
      <c r="D2298" s="1">
        <v>2.9862000000000002</v>
      </c>
    </row>
    <row r="2299" spans="1:4" x14ac:dyDescent="0.25">
      <c r="A2299" s="65">
        <v>43157</v>
      </c>
      <c r="B2299" s="1">
        <v>3.3454999999999999</v>
      </c>
      <c r="C2299" s="65">
        <v>43193</v>
      </c>
      <c r="D2299" s="1">
        <v>2.9731000000000001</v>
      </c>
    </row>
    <row r="2300" spans="1:4" x14ac:dyDescent="0.25">
      <c r="A2300" s="65">
        <v>43158</v>
      </c>
      <c r="B2300" s="1">
        <v>3.3504999999999998</v>
      </c>
      <c r="C2300" s="65">
        <v>43194</v>
      </c>
      <c r="D2300" s="1">
        <v>2.9820000000000002</v>
      </c>
    </row>
    <row r="2301" spans="1:4" x14ac:dyDescent="0.25">
      <c r="A2301" s="65">
        <v>43159</v>
      </c>
      <c r="B2301" s="1">
        <v>3.3691</v>
      </c>
      <c r="C2301" s="65">
        <v>43195</v>
      </c>
      <c r="D2301" s="1">
        <v>2.9135999999999997</v>
      </c>
    </row>
    <row r="2302" spans="1:4" x14ac:dyDescent="0.25">
      <c r="A2302" s="65">
        <v>43160</v>
      </c>
      <c r="B2302" s="1">
        <v>3.4085000000000001</v>
      </c>
      <c r="C2302" s="65">
        <v>43196</v>
      </c>
      <c r="D2302" s="1">
        <v>2.9186999999999999</v>
      </c>
    </row>
    <row r="2303" spans="1:4" x14ac:dyDescent="0.25">
      <c r="A2303" s="65">
        <v>43161</v>
      </c>
      <c r="B2303" s="1">
        <v>3.4847999999999999</v>
      </c>
      <c r="C2303" s="65">
        <v>43199</v>
      </c>
      <c r="D2303" s="1">
        <v>2.903</v>
      </c>
    </row>
    <row r="2304" spans="1:4" x14ac:dyDescent="0.25">
      <c r="A2304" s="65">
        <v>43164</v>
      </c>
      <c r="B2304" s="1">
        <v>3.4531000000000001</v>
      </c>
      <c r="C2304" s="65">
        <v>43200</v>
      </c>
      <c r="D2304" s="1">
        <v>2.8879999999999999</v>
      </c>
    </row>
    <row r="2305" spans="1:4" x14ac:dyDescent="0.25">
      <c r="A2305" s="65">
        <v>43165</v>
      </c>
      <c r="B2305" s="1">
        <v>3.4504999999999999</v>
      </c>
      <c r="C2305" s="65">
        <v>43201</v>
      </c>
      <c r="D2305" s="1">
        <v>2.9081000000000001</v>
      </c>
    </row>
    <row r="2306" spans="1:4" x14ac:dyDescent="0.25">
      <c r="A2306" s="65">
        <v>43166</v>
      </c>
      <c r="B2306" s="1">
        <v>3.4304999999999999</v>
      </c>
      <c r="C2306" s="65">
        <v>43202</v>
      </c>
      <c r="D2306" s="1">
        <v>2.8717000000000001</v>
      </c>
    </row>
    <row r="2307" spans="1:4" x14ac:dyDescent="0.25">
      <c r="A2307" s="65">
        <v>43167</v>
      </c>
      <c r="B2307" s="1">
        <v>3.3954</v>
      </c>
      <c r="C2307" s="65">
        <v>43203</v>
      </c>
      <c r="D2307" s="1">
        <v>2.8685999999999998</v>
      </c>
    </row>
    <row r="2308" spans="1:4" x14ac:dyDescent="0.25">
      <c r="A2308" s="65">
        <v>43168</v>
      </c>
      <c r="B2308" s="1">
        <v>3.3881999999999999</v>
      </c>
      <c r="C2308" s="65">
        <v>43206</v>
      </c>
      <c r="D2308" s="1">
        <v>2.8687</v>
      </c>
    </row>
    <row r="2309" spans="1:4" x14ac:dyDescent="0.25">
      <c r="A2309" s="65">
        <v>43171</v>
      </c>
      <c r="B2309" s="1">
        <v>3.3793000000000002</v>
      </c>
      <c r="C2309" s="65">
        <v>43207</v>
      </c>
      <c r="D2309" s="1">
        <v>2.8298999999999999</v>
      </c>
    </row>
    <row r="2310" spans="1:4" x14ac:dyDescent="0.25">
      <c r="A2310" s="65">
        <v>43172</v>
      </c>
      <c r="B2310" s="1">
        <v>3.4112999999999998</v>
      </c>
      <c r="C2310" s="65">
        <v>43208</v>
      </c>
      <c r="D2310" s="1">
        <v>2.8167</v>
      </c>
    </row>
    <row r="2311" spans="1:4" x14ac:dyDescent="0.25">
      <c r="A2311" s="65">
        <v>43173</v>
      </c>
      <c r="B2311" s="1">
        <v>3.4177</v>
      </c>
      <c r="C2311" s="65">
        <v>43209</v>
      </c>
      <c r="D2311" s="1">
        <v>2.8129</v>
      </c>
    </row>
    <row r="2312" spans="1:4" x14ac:dyDescent="0.25">
      <c r="A2312" s="65">
        <v>43174</v>
      </c>
      <c r="B2312" s="1">
        <v>3.3944999999999999</v>
      </c>
      <c r="C2312" s="65">
        <v>43210</v>
      </c>
      <c r="D2312" s="1">
        <v>2.8085</v>
      </c>
    </row>
    <row r="2313" spans="1:4" x14ac:dyDescent="0.25">
      <c r="A2313" s="65">
        <v>43175</v>
      </c>
      <c r="B2313" s="1">
        <v>3.3715999999999999</v>
      </c>
      <c r="C2313" s="65">
        <v>43213</v>
      </c>
      <c r="D2313" s="1">
        <v>2.9979</v>
      </c>
    </row>
    <row r="2314" spans="1:4" x14ac:dyDescent="0.25">
      <c r="A2314" s="65">
        <v>43178</v>
      </c>
      <c r="B2314" s="1">
        <v>3.4005999999999998</v>
      </c>
      <c r="C2314" s="65">
        <v>43214</v>
      </c>
      <c r="D2314" s="1">
        <v>2.9912999999999998</v>
      </c>
    </row>
    <row r="2315" spans="1:4" x14ac:dyDescent="0.25">
      <c r="A2315" s="65">
        <v>43179</v>
      </c>
      <c r="B2315" s="1">
        <v>3.3834</v>
      </c>
      <c r="C2315" s="65">
        <v>43215</v>
      </c>
      <c r="D2315" s="1">
        <v>3.0207000000000002</v>
      </c>
    </row>
    <row r="2316" spans="1:4" x14ac:dyDescent="0.25">
      <c r="A2316" s="65">
        <v>43180</v>
      </c>
      <c r="B2316" s="1">
        <v>3.3942999999999999</v>
      </c>
      <c r="C2316" s="65">
        <v>43216</v>
      </c>
      <c r="D2316" s="1">
        <v>2.9908000000000001</v>
      </c>
    </row>
    <row r="2317" spans="1:4" x14ac:dyDescent="0.25">
      <c r="A2317" s="65">
        <v>43181</v>
      </c>
      <c r="B2317" s="1">
        <v>3.4479000000000002</v>
      </c>
      <c r="C2317" s="65">
        <v>43217</v>
      </c>
      <c r="D2317" s="1">
        <v>3.0047999999999999</v>
      </c>
    </row>
    <row r="2318" spans="1:4" x14ac:dyDescent="0.25">
      <c r="A2318" s="65">
        <v>43182</v>
      </c>
      <c r="B2318" s="1">
        <v>3.5003000000000002</v>
      </c>
      <c r="C2318" s="65">
        <v>43220</v>
      </c>
      <c r="D2318" s="1">
        <v>2.9983</v>
      </c>
    </row>
    <row r="2319" spans="1:4" x14ac:dyDescent="0.25">
      <c r="A2319" s="65">
        <v>43185</v>
      </c>
      <c r="B2319" s="1">
        <v>3.5209999999999999</v>
      </c>
      <c r="C2319" s="65">
        <v>43222</v>
      </c>
      <c r="D2319" s="1">
        <v>2.9628999999999999</v>
      </c>
    </row>
    <row r="2320" spans="1:4" x14ac:dyDescent="0.25">
      <c r="A2320" s="65">
        <v>43186</v>
      </c>
      <c r="B2320" s="1">
        <v>3.4817</v>
      </c>
      <c r="C2320" s="65">
        <v>43223</v>
      </c>
      <c r="D2320" s="1">
        <v>2.9877000000000002</v>
      </c>
    </row>
    <row r="2321" spans="1:4" x14ac:dyDescent="0.25">
      <c r="A2321" s="65">
        <v>43187</v>
      </c>
      <c r="B2321" s="1">
        <v>3.4668000000000001</v>
      </c>
      <c r="C2321" s="65">
        <v>43224</v>
      </c>
      <c r="D2321" s="1">
        <v>2.9544999999999999</v>
      </c>
    </row>
    <row r="2322" spans="1:4" x14ac:dyDescent="0.25">
      <c r="A2322" s="65">
        <v>43188</v>
      </c>
      <c r="B2322" s="1">
        <v>3.4356</v>
      </c>
      <c r="C2322" s="65">
        <v>43227</v>
      </c>
      <c r="D2322" s="1">
        <v>2.9293</v>
      </c>
    </row>
    <row r="2323" spans="1:4" x14ac:dyDescent="0.25">
      <c r="A2323" s="65">
        <v>43193</v>
      </c>
      <c r="B2323" s="1">
        <v>3.4504999999999999</v>
      </c>
      <c r="C2323" s="65">
        <v>43228</v>
      </c>
      <c r="D2323" s="1">
        <v>2.9779999999999998</v>
      </c>
    </row>
    <row r="2324" spans="1:4" x14ac:dyDescent="0.25">
      <c r="A2324" s="65">
        <v>43194</v>
      </c>
      <c r="B2324" s="1">
        <v>3.4573</v>
      </c>
      <c r="C2324" s="65">
        <v>43229</v>
      </c>
      <c r="D2324" s="1">
        <v>2.9628000000000001</v>
      </c>
    </row>
    <row r="2325" spans="1:4" x14ac:dyDescent="0.25">
      <c r="A2325" s="65">
        <v>43195</v>
      </c>
      <c r="B2325" s="1">
        <v>3.367</v>
      </c>
      <c r="C2325" s="65">
        <v>43230</v>
      </c>
      <c r="D2325" s="1">
        <v>2.9915000000000003</v>
      </c>
    </row>
    <row r="2326" spans="1:4" x14ac:dyDescent="0.25">
      <c r="A2326" s="65">
        <v>43196</v>
      </c>
      <c r="B2326" s="1">
        <v>3.4228000000000001</v>
      </c>
      <c r="C2326" s="65">
        <v>43231</v>
      </c>
      <c r="D2326" s="1">
        <v>2.9759000000000002</v>
      </c>
    </row>
    <row r="2327" spans="1:4" x14ac:dyDescent="0.25">
      <c r="A2327" s="65">
        <v>43199</v>
      </c>
      <c r="B2327" s="1">
        <v>3.4159999999999999</v>
      </c>
      <c r="C2327" s="65">
        <v>43234</v>
      </c>
      <c r="D2327" s="1">
        <v>2.9683000000000002</v>
      </c>
    </row>
    <row r="2328" spans="1:4" x14ac:dyDescent="0.25">
      <c r="A2328" s="65">
        <v>43200</v>
      </c>
      <c r="B2328" s="1">
        <v>3.3921999999999999</v>
      </c>
      <c r="C2328" s="65">
        <v>43235</v>
      </c>
      <c r="D2328" s="1">
        <v>2.9915000000000003</v>
      </c>
    </row>
    <row r="2329" spans="1:4" x14ac:dyDescent="0.25">
      <c r="A2329" s="65">
        <v>43201</v>
      </c>
      <c r="B2329" s="1">
        <v>3.4112</v>
      </c>
      <c r="C2329" s="65">
        <v>43236</v>
      </c>
      <c r="D2329" s="1">
        <v>3.0625</v>
      </c>
    </row>
    <row r="2330" spans="1:4" x14ac:dyDescent="0.25">
      <c r="A2330" s="65">
        <v>43202</v>
      </c>
      <c r="B2330" s="1">
        <v>3.3871000000000002</v>
      </c>
      <c r="C2330" s="65">
        <v>43237</v>
      </c>
      <c r="D2330" s="1">
        <v>3.0537999999999998</v>
      </c>
    </row>
    <row r="2331" spans="1:4" x14ac:dyDescent="0.25">
      <c r="A2331" s="65">
        <v>43203</v>
      </c>
      <c r="B2331" s="1">
        <v>3.3862000000000001</v>
      </c>
      <c r="C2331" s="65">
        <v>43238</v>
      </c>
      <c r="D2331" s="1">
        <v>3.0996999999999999</v>
      </c>
    </row>
    <row r="2332" spans="1:4" x14ac:dyDescent="0.25">
      <c r="A2332" s="65">
        <v>43206</v>
      </c>
      <c r="B2332" s="1">
        <v>3.3967000000000001</v>
      </c>
      <c r="C2332" s="65">
        <v>43241</v>
      </c>
      <c r="D2332" s="1">
        <v>3.6025999999999998</v>
      </c>
    </row>
    <row r="2333" spans="1:4" x14ac:dyDescent="0.25">
      <c r="A2333" s="65">
        <v>43207</v>
      </c>
      <c r="B2333" s="1">
        <v>3.3696999999999999</v>
      </c>
      <c r="C2333" s="65">
        <v>43242</v>
      </c>
      <c r="D2333" s="1">
        <v>3.2831999999999999</v>
      </c>
    </row>
    <row r="2334" spans="1:4" x14ac:dyDescent="0.25">
      <c r="A2334" s="65">
        <v>43208</v>
      </c>
      <c r="B2334" s="1">
        <v>3.3572000000000002</v>
      </c>
      <c r="C2334" s="65">
        <v>43243</v>
      </c>
      <c r="D2334" s="1">
        <v>3.3269000000000002</v>
      </c>
    </row>
    <row r="2335" spans="1:4" x14ac:dyDescent="0.25">
      <c r="A2335" s="65">
        <v>43209</v>
      </c>
      <c r="B2335" s="1">
        <v>3.3613</v>
      </c>
      <c r="C2335" s="65">
        <v>43244</v>
      </c>
      <c r="D2335" s="1">
        <v>3.3506999999999998</v>
      </c>
    </row>
    <row r="2336" spans="1:4" x14ac:dyDescent="0.25">
      <c r="A2336" s="65">
        <v>43210</v>
      </c>
      <c r="B2336" s="1">
        <v>3.3561000000000001</v>
      </c>
      <c r="C2336" s="65">
        <v>43245</v>
      </c>
      <c r="D2336" s="1">
        <v>3.4032</v>
      </c>
    </row>
    <row r="2337" spans="1:4" x14ac:dyDescent="0.25">
      <c r="A2337" s="65">
        <v>43213</v>
      </c>
      <c r="B2337" s="1">
        <v>3.3380999999999998</v>
      </c>
      <c r="C2337" s="65">
        <v>43248</v>
      </c>
      <c r="D2337" s="1">
        <v>3.4754</v>
      </c>
    </row>
    <row r="2338" spans="1:4" x14ac:dyDescent="0.25">
      <c r="A2338" s="65">
        <v>43214</v>
      </c>
      <c r="B2338" s="1">
        <v>3.3468999999999998</v>
      </c>
      <c r="C2338" s="65">
        <v>43249</v>
      </c>
      <c r="D2338" s="1">
        <v>3.5701000000000001</v>
      </c>
    </row>
    <row r="2339" spans="1:4" x14ac:dyDescent="0.25">
      <c r="A2339" s="65">
        <v>43215</v>
      </c>
      <c r="B2339" s="1">
        <v>3.3792</v>
      </c>
      <c r="C2339" s="65">
        <v>43250</v>
      </c>
      <c r="D2339" s="1">
        <v>3.4969000000000001</v>
      </c>
    </row>
    <row r="2340" spans="1:4" x14ac:dyDescent="0.25">
      <c r="A2340" s="65">
        <v>43216</v>
      </c>
      <c r="B2340" s="1">
        <v>3.36</v>
      </c>
      <c r="C2340" s="65">
        <v>43251</v>
      </c>
      <c r="D2340" s="1">
        <v>3.4990999999999999</v>
      </c>
    </row>
    <row r="2341" spans="1:4" x14ac:dyDescent="0.25">
      <c r="A2341" s="65">
        <v>43217</v>
      </c>
      <c r="B2341" s="1">
        <v>3.3570000000000002</v>
      </c>
      <c r="C2341" s="65">
        <v>43252</v>
      </c>
      <c r="D2341" s="1">
        <v>3.4476</v>
      </c>
    </row>
    <row r="2342" spans="1:4" x14ac:dyDescent="0.25">
      <c r="A2342" s="65">
        <v>43220</v>
      </c>
      <c r="B2342" s="1">
        <v>3.3401000000000001</v>
      </c>
      <c r="C2342" s="65">
        <v>43255</v>
      </c>
      <c r="D2342" s="1">
        <v>3.4632000000000001</v>
      </c>
    </row>
    <row r="2343" spans="1:4" x14ac:dyDescent="0.25">
      <c r="A2343" s="65">
        <v>43221</v>
      </c>
      <c r="B2343" s="1">
        <v>3.3403999999999998</v>
      </c>
      <c r="C2343" s="65">
        <v>43256</v>
      </c>
      <c r="D2343" s="1">
        <v>3.5045999999999999</v>
      </c>
    </row>
    <row r="2344" spans="1:4" x14ac:dyDescent="0.25">
      <c r="A2344" s="65">
        <v>43222</v>
      </c>
      <c r="B2344" s="1">
        <v>3.3275999999999999</v>
      </c>
      <c r="C2344" s="65">
        <v>43257</v>
      </c>
      <c r="D2344" s="1">
        <v>3.4954000000000001</v>
      </c>
    </row>
    <row r="2345" spans="1:4" x14ac:dyDescent="0.25">
      <c r="A2345" s="65">
        <v>43223</v>
      </c>
      <c r="B2345" s="1">
        <v>3.3613</v>
      </c>
      <c r="C2345" s="65">
        <v>43258</v>
      </c>
      <c r="D2345" s="1">
        <v>3.5018000000000002</v>
      </c>
    </row>
    <row r="2346" spans="1:4" x14ac:dyDescent="0.25">
      <c r="A2346" s="65">
        <v>43224</v>
      </c>
      <c r="B2346" s="1">
        <v>3.3605</v>
      </c>
      <c r="C2346" s="65">
        <v>43259</v>
      </c>
      <c r="D2346" s="1">
        <v>3.5693000000000001</v>
      </c>
    </row>
    <row r="2347" spans="1:4" x14ac:dyDescent="0.25">
      <c r="A2347" s="65">
        <v>43227</v>
      </c>
      <c r="B2347" s="1">
        <v>3.3513999999999999</v>
      </c>
      <c r="C2347" s="65">
        <v>43262</v>
      </c>
      <c r="D2347" s="1">
        <v>3.4512999999999998</v>
      </c>
    </row>
    <row r="2348" spans="1:4" x14ac:dyDescent="0.25">
      <c r="A2348" s="65">
        <v>43228</v>
      </c>
      <c r="B2348" s="1">
        <v>3.3574000000000002</v>
      </c>
      <c r="C2348" s="65">
        <v>43263</v>
      </c>
      <c r="D2348" s="1">
        <v>3.4460000000000002</v>
      </c>
    </row>
    <row r="2349" spans="1:4" x14ac:dyDescent="0.25">
      <c r="A2349" s="65">
        <v>43229</v>
      </c>
      <c r="B2349" s="1">
        <v>3.3462000000000001</v>
      </c>
      <c r="C2349" s="65">
        <v>43264</v>
      </c>
      <c r="D2349" s="1">
        <v>3.4310999999999998</v>
      </c>
    </row>
    <row r="2350" spans="1:4" x14ac:dyDescent="0.25">
      <c r="A2350" s="65">
        <v>43230</v>
      </c>
      <c r="B2350" s="1">
        <v>3.3660000000000001</v>
      </c>
      <c r="C2350" s="65">
        <v>43265</v>
      </c>
      <c r="D2350" s="1">
        <v>3.3898999999999999</v>
      </c>
    </row>
    <row r="2351" spans="1:4" x14ac:dyDescent="0.25">
      <c r="A2351" s="65">
        <v>43231</v>
      </c>
      <c r="B2351" s="1">
        <v>3.3733</v>
      </c>
      <c r="C2351" s="65">
        <v>43266</v>
      </c>
      <c r="D2351" s="1">
        <v>3.4350999999999998</v>
      </c>
    </row>
    <row r="2352" spans="1:4" x14ac:dyDescent="0.25">
      <c r="A2352" s="65">
        <v>43234</v>
      </c>
      <c r="B2352" s="1">
        <v>3.3731</v>
      </c>
      <c r="C2352" s="65">
        <v>43269</v>
      </c>
      <c r="D2352" s="1">
        <v>3.4864000000000002</v>
      </c>
    </row>
    <row r="2353" spans="1:4" x14ac:dyDescent="0.25">
      <c r="A2353" s="65">
        <v>43235</v>
      </c>
      <c r="B2353" s="1">
        <v>3.3744000000000001</v>
      </c>
      <c r="C2353" s="65">
        <v>43270</v>
      </c>
      <c r="D2353" s="1">
        <v>3.4887000000000001</v>
      </c>
    </row>
    <row r="2354" spans="1:4" x14ac:dyDescent="0.25">
      <c r="A2354" s="65">
        <v>43236</v>
      </c>
      <c r="B2354" s="1">
        <v>3.3757999999999999</v>
      </c>
      <c r="C2354" s="65">
        <v>43271</v>
      </c>
      <c r="D2354" s="1">
        <v>3.4830000000000001</v>
      </c>
    </row>
    <row r="2355" spans="1:4" x14ac:dyDescent="0.25">
      <c r="A2355" s="65">
        <v>43237</v>
      </c>
      <c r="B2355" s="1">
        <v>3.3481999999999998</v>
      </c>
      <c r="C2355" s="65">
        <v>43272</v>
      </c>
      <c r="D2355" s="1">
        <v>3.5548999999999999</v>
      </c>
    </row>
    <row r="2356" spans="1:4" x14ac:dyDescent="0.25">
      <c r="A2356" s="65">
        <v>43238</v>
      </c>
      <c r="B2356" s="1">
        <v>3.3853</v>
      </c>
      <c r="C2356" s="65">
        <v>43273</v>
      </c>
      <c r="D2356" s="1">
        <v>3.5198999999999998</v>
      </c>
    </row>
    <row r="2357" spans="1:4" x14ac:dyDescent="0.25">
      <c r="A2357" s="65">
        <v>43241</v>
      </c>
      <c r="B2357" s="1">
        <v>3.4510000000000001</v>
      </c>
      <c r="C2357" s="65">
        <v>43276</v>
      </c>
      <c r="D2357" s="1">
        <v>3.6078000000000001</v>
      </c>
    </row>
    <row r="2358" spans="1:4" x14ac:dyDescent="0.25">
      <c r="A2358" s="65">
        <v>43242</v>
      </c>
      <c r="B2358" s="1">
        <v>3.3782999999999999</v>
      </c>
      <c r="C2358" s="65">
        <v>43277</v>
      </c>
      <c r="D2358" s="1">
        <v>3.597</v>
      </c>
    </row>
    <row r="2359" spans="1:4" x14ac:dyDescent="0.25">
      <c r="A2359" s="65">
        <v>43243</v>
      </c>
      <c r="B2359" s="1">
        <v>3.4215999999999998</v>
      </c>
      <c r="C2359" s="65">
        <v>43278</v>
      </c>
      <c r="D2359" s="1">
        <v>3.5739000000000001</v>
      </c>
    </row>
    <row r="2360" spans="1:4" x14ac:dyDescent="0.25">
      <c r="A2360" s="65">
        <v>43244</v>
      </c>
      <c r="B2360" s="1">
        <v>3.4411</v>
      </c>
      <c r="C2360" s="65">
        <v>43279</v>
      </c>
      <c r="D2360" s="1">
        <v>3.5948000000000002</v>
      </c>
    </row>
    <row r="2361" spans="1:4" x14ac:dyDescent="0.25">
      <c r="A2361" s="65">
        <v>43245</v>
      </c>
      <c r="B2361" s="1">
        <v>3.4411</v>
      </c>
      <c r="C2361" s="65">
        <v>43280</v>
      </c>
      <c r="D2361" s="1">
        <v>3.5625999999999998</v>
      </c>
    </row>
    <row r="2362" spans="1:4" x14ac:dyDescent="0.25">
      <c r="A2362" s="65">
        <v>43248</v>
      </c>
      <c r="B2362" s="1">
        <v>3.4832999999999998</v>
      </c>
      <c r="C2362" s="65">
        <v>43283</v>
      </c>
      <c r="D2362" s="1">
        <v>3.5956999999999999</v>
      </c>
    </row>
    <row r="2363" spans="1:4" x14ac:dyDescent="0.25">
      <c r="A2363" s="65">
        <v>43249</v>
      </c>
      <c r="B2363" s="1">
        <v>3.5503999999999998</v>
      </c>
      <c r="C2363" s="65">
        <v>43284</v>
      </c>
      <c r="D2363" s="1">
        <v>3.54</v>
      </c>
    </row>
    <row r="2364" spans="1:4" x14ac:dyDescent="0.25">
      <c r="A2364" s="65">
        <v>43250</v>
      </c>
      <c r="B2364" s="1">
        <v>3.5526</v>
      </c>
      <c r="C2364" s="65">
        <v>43285</v>
      </c>
      <c r="D2364" s="1">
        <v>3.5526999999999997</v>
      </c>
    </row>
    <row r="2365" spans="1:4" x14ac:dyDescent="0.25">
      <c r="A2365" s="65">
        <v>43251</v>
      </c>
      <c r="B2365" s="1">
        <v>3.5933999999999999</v>
      </c>
      <c r="C2365" s="65">
        <v>43286</v>
      </c>
      <c r="D2365" s="1">
        <v>3.5158</v>
      </c>
    </row>
    <row r="2366" spans="1:4" x14ac:dyDescent="0.25">
      <c r="A2366" s="65">
        <v>43252</v>
      </c>
      <c r="B2366" s="1">
        <v>3.5446</v>
      </c>
      <c r="C2366" s="65">
        <v>43287</v>
      </c>
      <c r="D2366" s="1">
        <v>3.5140000000000002</v>
      </c>
    </row>
    <row r="2367" spans="1:4" x14ac:dyDescent="0.25">
      <c r="A2367" s="65">
        <v>43255</v>
      </c>
      <c r="B2367" s="1">
        <v>3.5282999999999998</v>
      </c>
      <c r="C2367" s="65">
        <v>43290</v>
      </c>
      <c r="D2367" s="1">
        <v>3.4967999999999999</v>
      </c>
    </row>
    <row r="2368" spans="1:4" x14ac:dyDescent="0.25">
      <c r="A2368" s="65">
        <v>43256</v>
      </c>
      <c r="B2368" s="1">
        <v>3.548</v>
      </c>
      <c r="C2368" s="65">
        <v>43291</v>
      </c>
      <c r="D2368" s="1">
        <v>3.4929999999999999</v>
      </c>
    </row>
    <row r="2369" spans="1:4" x14ac:dyDescent="0.25">
      <c r="A2369" s="65">
        <v>43257</v>
      </c>
      <c r="B2369" s="1">
        <v>3.5419999999999998</v>
      </c>
      <c r="C2369" s="65">
        <v>43292</v>
      </c>
      <c r="D2369" s="1">
        <v>3.5491999999999999</v>
      </c>
    </row>
    <row r="2370" spans="1:4" x14ac:dyDescent="0.25">
      <c r="A2370" s="65">
        <v>43258</v>
      </c>
      <c r="B2370" s="1">
        <v>3.5430999999999999</v>
      </c>
      <c r="C2370" s="65">
        <v>43293</v>
      </c>
      <c r="D2370" s="1">
        <v>3.5358000000000001</v>
      </c>
    </row>
    <row r="2371" spans="1:4" x14ac:dyDescent="0.25">
      <c r="A2371" s="65">
        <v>43259</v>
      </c>
      <c r="B2371" s="1">
        <v>3.5558999999999998</v>
      </c>
      <c r="C2371" s="65">
        <v>43294</v>
      </c>
      <c r="D2371" s="1">
        <v>3.5192999999999999</v>
      </c>
    </row>
    <row r="2372" spans="1:4" x14ac:dyDescent="0.25">
      <c r="A2372" s="65">
        <v>43262</v>
      </c>
      <c r="B2372" s="1">
        <v>3.5232000000000001</v>
      </c>
      <c r="C2372" s="65">
        <v>43297</v>
      </c>
      <c r="D2372" s="1">
        <v>3.5305</v>
      </c>
    </row>
    <row r="2373" spans="1:4" x14ac:dyDescent="0.25">
      <c r="A2373" s="65">
        <v>43263</v>
      </c>
      <c r="B2373" s="1">
        <v>3.5278999999999998</v>
      </c>
      <c r="C2373" s="65">
        <v>43298</v>
      </c>
      <c r="D2373" s="1">
        <v>3.5056000000000003</v>
      </c>
    </row>
    <row r="2374" spans="1:4" x14ac:dyDescent="0.25">
      <c r="A2374" s="65">
        <v>43264</v>
      </c>
      <c r="B2374" s="1">
        <v>3.5238</v>
      </c>
      <c r="C2374" s="65">
        <v>43299</v>
      </c>
      <c r="D2374" s="1">
        <v>3.5065</v>
      </c>
    </row>
    <row r="2375" spans="1:4" x14ac:dyDescent="0.25">
      <c r="A2375" s="65">
        <v>43265</v>
      </c>
      <c r="B2375" s="1">
        <v>3.4763000000000002</v>
      </c>
      <c r="C2375" s="65">
        <v>43300</v>
      </c>
      <c r="D2375" s="1">
        <v>3.5204</v>
      </c>
    </row>
    <row r="2376" spans="1:4" x14ac:dyDescent="0.25">
      <c r="A2376" s="65">
        <v>43266</v>
      </c>
      <c r="B2376" s="1">
        <v>3.4981999999999998</v>
      </c>
      <c r="C2376" s="65">
        <v>43301</v>
      </c>
      <c r="D2376" s="1">
        <v>3.5350999999999999</v>
      </c>
    </row>
    <row r="2377" spans="1:4" x14ac:dyDescent="0.25">
      <c r="A2377" s="65">
        <v>43269</v>
      </c>
      <c r="B2377" s="1">
        <v>3.5337000000000001</v>
      </c>
      <c r="C2377" s="65">
        <v>43304</v>
      </c>
      <c r="D2377" s="1">
        <v>3.6634000000000002</v>
      </c>
    </row>
    <row r="2378" spans="1:4" x14ac:dyDescent="0.25">
      <c r="A2378" s="65">
        <v>43270</v>
      </c>
      <c r="B2378" s="1">
        <v>3.5659999999999998</v>
      </c>
      <c r="C2378" s="65">
        <v>43305</v>
      </c>
      <c r="D2378" s="1">
        <v>3.6183000000000001</v>
      </c>
    </row>
    <row r="2379" spans="1:4" x14ac:dyDescent="0.25">
      <c r="A2379" s="65">
        <v>43271</v>
      </c>
      <c r="B2379" s="1">
        <v>3.5615000000000001</v>
      </c>
      <c r="C2379" s="65">
        <v>43306</v>
      </c>
      <c r="D2379" s="1">
        <v>3.6707999999999998</v>
      </c>
    </row>
    <row r="2380" spans="1:4" x14ac:dyDescent="0.25">
      <c r="A2380" s="65">
        <v>43272</v>
      </c>
      <c r="B2380" s="1">
        <v>3.5992999999999999</v>
      </c>
      <c r="C2380" s="65">
        <v>43307</v>
      </c>
      <c r="D2380" s="1">
        <v>3.6202000000000001</v>
      </c>
    </row>
    <row r="2381" spans="1:4" x14ac:dyDescent="0.25">
      <c r="A2381" s="65">
        <v>43273</v>
      </c>
      <c r="B2381" s="1">
        <v>3.5594000000000001</v>
      </c>
      <c r="C2381" s="65">
        <v>43308</v>
      </c>
      <c r="D2381" s="1">
        <v>3.605</v>
      </c>
    </row>
    <row r="2382" spans="1:4" x14ac:dyDescent="0.25">
      <c r="A2382" s="65">
        <v>43276</v>
      </c>
      <c r="B2382" s="1">
        <v>3.6358999999999999</v>
      </c>
      <c r="C2382" s="65">
        <v>43311</v>
      </c>
      <c r="D2382" s="1">
        <v>3.6073</v>
      </c>
    </row>
    <row r="2383" spans="1:4" x14ac:dyDescent="0.25">
      <c r="A2383" s="65">
        <v>43277</v>
      </c>
      <c r="B2383" s="1">
        <v>3.6364999999999998</v>
      </c>
      <c r="C2383" s="65">
        <v>43312</v>
      </c>
      <c r="D2383" s="1">
        <v>3.5627</v>
      </c>
    </row>
    <row r="2384" spans="1:4" x14ac:dyDescent="0.25">
      <c r="A2384" s="65">
        <v>43278</v>
      </c>
      <c r="B2384" s="1">
        <v>3.6059999999999999</v>
      </c>
      <c r="C2384" s="65">
        <v>43313</v>
      </c>
      <c r="D2384" s="1">
        <v>3.6320999999999999</v>
      </c>
    </row>
    <row r="2385" spans="1:4" x14ac:dyDescent="0.25">
      <c r="A2385" s="65">
        <v>43279</v>
      </c>
      <c r="B2385" s="1">
        <v>3.6398999999999999</v>
      </c>
      <c r="C2385" s="65">
        <v>43314</v>
      </c>
      <c r="D2385" s="1">
        <v>3.6959999999999997</v>
      </c>
    </row>
    <row r="2386" spans="1:4" x14ac:dyDescent="0.25">
      <c r="A2386" s="65">
        <v>43280</v>
      </c>
      <c r="B2386" s="1">
        <v>3.6076999999999999</v>
      </c>
      <c r="C2386" s="65">
        <v>43315</v>
      </c>
      <c r="D2386" s="1">
        <v>3.6665000000000001</v>
      </c>
    </row>
    <row r="2387" spans="1:4" x14ac:dyDescent="0.25">
      <c r="A2387" s="65">
        <v>43283</v>
      </c>
      <c r="B2387" s="1">
        <v>3.6326999999999998</v>
      </c>
      <c r="C2387" s="65">
        <v>43318</v>
      </c>
      <c r="D2387" s="1">
        <v>3.6676000000000002</v>
      </c>
    </row>
    <row r="2388" spans="1:4" x14ac:dyDescent="0.25">
      <c r="A2388" s="65">
        <v>43284</v>
      </c>
      <c r="B2388" s="1">
        <v>3.5963000000000003</v>
      </c>
      <c r="C2388" s="65">
        <v>43319</v>
      </c>
      <c r="D2388" s="1">
        <v>3.6539999999999999</v>
      </c>
    </row>
    <row r="2389" spans="1:4" x14ac:dyDescent="0.25">
      <c r="A2389" s="65">
        <v>43285</v>
      </c>
      <c r="B2389" s="1">
        <v>3.5903</v>
      </c>
      <c r="C2389" s="65">
        <v>43320</v>
      </c>
      <c r="D2389" s="1">
        <v>3.6646000000000001</v>
      </c>
    </row>
    <row r="2390" spans="1:4" x14ac:dyDescent="0.25">
      <c r="A2390" s="65">
        <v>43286</v>
      </c>
      <c r="B2390" s="1">
        <v>3.5602</v>
      </c>
      <c r="C2390" s="65">
        <v>43321</v>
      </c>
      <c r="D2390" s="1">
        <v>3.6909999999999998</v>
      </c>
    </row>
    <row r="2391" spans="1:4" x14ac:dyDescent="0.25">
      <c r="A2391" s="65">
        <v>43287</v>
      </c>
      <c r="B2391" s="1">
        <v>3.5522999999999998</v>
      </c>
      <c r="C2391" s="65">
        <v>43322</v>
      </c>
      <c r="D2391" s="1">
        <v>3.7862</v>
      </c>
    </row>
    <row r="2392" spans="1:4" x14ac:dyDescent="0.25">
      <c r="A2392" s="65">
        <v>43290</v>
      </c>
      <c r="B2392" s="1">
        <v>3.5497000000000001</v>
      </c>
      <c r="C2392" s="65">
        <v>43325</v>
      </c>
      <c r="D2392" s="1">
        <v>3.8081</v>
      </c>
    </row>
    <row r="2393" spans="1:4" x14ac:dyDescent="0.25">
      <c r="A2393" s="65">
        <v>43291</v>
      </c>
      <c r="B2393" s="1">
        <v>3.5365000000000002</v>
      </c>
      <c r="C2393" s="65">
        <v>43326</v>
      </c>
      <c r="D2393" s="1">
        <v>3.8195999999999999</v>
      </c>
    </row>
    <row r="2394" spans="1:4" x14ac:dyDescent="0.25">
      <c r="A2394" s="65">
        <v>43292</v>
      </c>
      <c r="B2394" s="1">
        <v>3.5891999999999999</v>
      </c>
      <c r="C2394" s="65">
        <v>43328</v>
      </c>
      <c r="D2394" s="1">
        <v>3.8906999999999998</v>
      </c>
    </row>
    <row r="2395" spans="1:4" x14ac:dyDescent="0.25">
      <c r="A2395" s="65">
        <v>43293</v>
      </c>
      <c r="B2395" s="1">
        <v>3.5651000000000002</v>
      </c>
      <c r="C2395" s="65">
        <v>43329</v>
      </c>
      <c r="D2395" s="1">
        <v>3.9114</v>
      </c>
    </row>
    <row r="2396" spans="1:4" x14ac:dyDescent="0.25">
      <c r="A2396" s="65">
        <v>43294</v>
      </c>
      <c r="B2396" s="1">
        <v>3.5558000000000001</v>
      </c>
      <c r="C2396" s="65">
        <v>43332</v>
      </c>
      <c r="D2396" s="1">
        <v>3.9008000000000003</v>
      </c>
    </row>
    <row r="2397" spans="1:4" x14ac:dyDescent="0.25">
      <c r="A2397" s="65">
        <v>43297</v>
      </c>
      <c r="B2397" s="1">
        <v>3.5613999999999999</v>
      </c>
      <c r="C2397" s="65">
        <v>43333</v>
      </c>
      <c r="D2397" s="1">
        <v>3.8420999999999998</v>
      </c>
    </row>
    <row r="2398" spans="1:4" x14ac:dyDescent="0.25">
      <c r="A2398" s="65">
        <v>43298</v>
      </c>
      <c r="B2398" s="1">
        <v>3.5526999999999997</v>
      </c>
      <c r="C2398" s="65">
        <v>43334</v>
      </c>
      <c r="D2398" s="1">
        <v>3.8576999999999999</v>
      </c>
    </row>
    <row r="2399" spans="1:4" x14ac:dyDescent="0.25">
      <c r="A2399" s="65">
        <v>43299</v>
      </c>
      <c r="B2399" s="1">
        <v>3.5246</v>
      </c>
      <c r="C2399" s="65">
        <v>43335</v>
      </c>
      <c r="D2399" s="1">
        <v>3.8748</v>
      </c>
    </row>
    <row r="2400" spans="1:4" x14ac:dyDescent="0.25">
      <c r="A2400" s="65">
        <v>43300</v>
      </c>
      <c r="B2400" s="1">
        <v>3.5381999999999998</v>
      </c>
      <c r="C2400" s="65">
        <v>43336</v>
      </c>
      <c r="D2400" s="1">
        <v>3.8498000000000001</v>
      </c>
    </row>
    <row r="2401" spans="1:4" x14ac:dyDescent="0.25">
      <c r="A2401" s="65">
        <v>43301</v>
      </c>
      <c r="B2401" s="1">
        <v>3.5501</v>
      </c>
      <c r="C2401" s="65">
        <v>43339</v>
      </c>
      <c r="D2401" s="1">
        <v>3.8395000000000001</v>
      </c>
    </row>
    <row r="2402" spans="1:4" x14ac:dyDescent="0.25">
      <c r="A2402" s="65">
        <v>43304</v>
      </c>
      <c r="B2402" s="1">
        <v>3.57</v>
      </c>
      <c r="C2402" s="65">
        <v>43340</v>
      </c>
      <c r="D2402" s="1">
        <v>3.8726000000000003</v>
      </c>
    </row>
    <row r="2403" spans="1:4" x14ac:dyDescent="0.25">
      <c r="A2403" s="65">
        <v>43305</v>
      </c>
      <c r="B2403" s="1">
        <v>3.54</v>
      </c>
      <c r="C2403" s="65">
        <v>43341</v>
      </c>
      <c r="D2403" s="1">
        <v>3.8464999999999998</v>
      </c>
    </row>
    <row r="2404" spans="1:4" x14ac:dyDescent="0.25">
      <c r="A2404" s="65">
        <v>43306</v>
      </c>
      <c r="B2404" s="1">
        <v>3.5550999999999999</v>
      </c>
      <c r="C2404" s="65">
        <v>43342</v>
      </c>
      <c r="D2404" s="1">
        <v>3.8961999999999999</v>
      </c>
    </row>
    <row r="2405" spans="1:4" x14ac:dyDescent="0.25">
      <c r="A2405" s="65">
        <v>43307</v>
      </c>
      <c r="B2405" s="1">
        <v>3.5137999999999998</v>
      </c>
      <c r="C2405" s="65">
        <v>43343</v>
      </c>
      <c r="D2405" s="1">
        <v>3.9396</v>
      </c>
    </row>
    <row r="2406" spans="1:4" x14ac:dyDescent="0.25">
      <c r="A2406" s="65">
        <v>43308</v>
      </c>
      <c r="B2406" s="1">
        <v>3.4958999999999998</v>
      </c>
      <c r="C2406" s="65">
        <v>43346</v>
      </c>
      <c r="D2406" s="1">
        <v>3.9152</v>
      </c>
    </row>
    <row r="2407" spans="1:4" x14ac:dyDescent="0.25">
      <c r="A2407" s="65">
        <v>43311</v>
      </c>
      <c r="B2407" s="1">
        <v>3.5141</v>
      </c>
      <c r="C2407" s="65">
        <v>43347</v>
      </c>
      <c r="D2407" s="1">
        <v>3.8761999999999999</v>
      </c>
    </row>
    <row r="2408" spans="1:4" x14ac:dyDescent="0.25">
      <c r="A2408" s="65">
        <v>43312</v>
      </c>
      <c r="B2408" s="1">
        <v>3.5009000000000001</v>
      </c>
      <c r="C2408" s="65">
        <v>43348</v>
      </c>
      <c r="D2408" s="1">
        <v>3.8797999999999999</v>
      </c>
    </row>
    <row r="2409" spans="1:4" x14ac:dyDescent="0.25">
      <c r="A2409" s="65">
        <v>43313</v>
      </c>
      <c r="B2409" s="1">
        <v>3.5171000000000001</v>
      </c>
      <c r="C2409" s="65">
        <v>43349</v>
      </c>
      <c r="D2409" s="1">
        <v>3.8900999999999999</v>
      </c>
    </row>
    <row r="2410" spans="1:4" x14ac:dyDescent="0.25">
      <c r="A2410" s="65">
        <v>43314</v>
      </c>
      <c r="B2410" s="1">
        <v>3.5594999999999999</v>
      </c>
      <c r="C2410" s="65">
        <v>43350</v>
      </c>
      <c r="D2410" s="1">
        <v>3.9051999999999998</v>
      </c>
    </row>
    <row r="2411" spans="1:4" x14ac:dyDescent="0.25">
      <c r="A2411" s="65">
        <v>43315</v>
      </c>
      <c r="B2411" s="1">
        <v>3.5461</v>
      </c>
      <c r="C2411" s="65">
        <v>43353</v>
      </c>
      <c r="D2411" s="1">
        <v>3.8172999999999999</v>
      </c>
    </row>
    <row r="2412" spans="1:4" x14ac:dyDescent="0.25">
      <c r="A2412" s="65">
        <v>43318</v>
      </c>
      <c r="B2412" s="1">
        <v>3.5451000000000001</v>
      </c>
      <c r="C2412" s="65">
        <v>43354</v>
      </c>
      <c r="D2412" s="1">
        <v>3.8292000000000002</v>
      </c>
    </row>
    <row r="2413" spans="1:4" x14ac:dyDescent="0.25">
      <c r="A2413" s="65">
        <v>43319</v>
      </c>
      <c r="B2413" s="1">
        <v>3.5238</v>
      </c>
      <c r="C2413" s="65">
        <v>43355</v>
      </c>
      <c r="D2413" s="1">
        <v>3.8092000000000001</v>
      </c>
    </row>
    <row r="2414" spans="1:4" x14ac:dyDescent="0.25">
      <c r="A2414" s="65">
        <v>43320</v>
      </c>
      <c r="B2414" s="1">
        <v>3.5347</v>
      </c>
      <c r="C2414" s="65">
        <v>43356</v>
      </c>
      <c r="D2414" s="1">
        <v>3.8306</v>
      </c>
    </row>
    <row r="2415" spans="1:4" x14ac:dyDescent="0.25">
      <c r="A2415" s="65">
        <v>43321</v>
      </c>
      <c r="B2415" s="1">
        <v>3.5342000000000002</v>
      </c>
      <c r="C2415" s="65">
        <v>43357</v>
      </c>
      <c r="D2415" s="1">
        <v>3.8233999999999999</v>
      </c>
    </row>
    <row r="2416" spans="1:4" x14ac:dyDescent="0.25">
      <c r="A2416" s="65">
        <v>43322</v>
      </c>
      <c r="B2416" s="1">
        <v>3.6040999999999999</v>
      </c>
      <c r="C2416" s="65">
        <v>43360</v>
      </c>
      <c r="D2416" s="1">
        <v>3.7826</v>
      </c>
    </row>
    <row r="2417" spans="1:4" x14ac:dyDescent="0.25">
      <c r="A2417" s="65">
        <v>43325</v>
      </c>
      <c r="B2417" s="1">
        <v>3.6217000000000001</v>
      </c>
      <c r="C2417" s="65">
        <v>43361</v>
      </c>
      <c r="D2417" s="1">
        <v>3.7618</v>
      </c>
    </row>
    <row r="2418" spans="1:4" x14ac:dyDescent="0.25">
      <c r="A2418" s="65">
        <v>43326</v>
      </c>
      <c r="B2418" s="1">
        <v>3.6219000000000001</v>
      </c>
      <c r="C2418" s="65">
        <v>43362</v>
      </c>
      <c r="D2418" s="1">
        <v>3.7524999999999999</v>
      </c>
    </row>
    <row r="2419" spans="1:4" x14ac:dyDescent="0.25">
      <c r="A2419" s="65">
        <v>43327</v>
      </c>
      <c r="B2419" s="1">
        <v>3.6762000000000001</v>
      </c>
      <c r="C2419" s="65">
        <v>43363</v>
      </c>
      <c r="D2419" s="1">
        <v>3.7336999999999998</v>
      </c>
    </row>
    <row r="2420" spans="1:4" x14ac:dyDescent="0.25">
      <c r="A2420" s="65">
        <v>43328</v>
      </c>
      <c r="B2420" s="1">
        <v>3.6560999999999999</v>
      </c>
      <c r="C2420" s="65">
        <v>43364</v>
      </c>
      <c r="D2420" s="1">
        <v>3.7079</v>
      </c>
    </row>
    <row r="2421" spans="1:4" x14ac:dyDescent="0.25">
      <c r="A2421" s="65">
        <v>43329</v>
      </c>
      <c r="B2421" s="1">
        <v>3.6611000000000002</v>
      </c>
      <c r="C2421" s="65">
        <v>43367</v>
      </c>
      <c r="D2421" s="1">
        <v>3.7643</v>
      </c>
    </row>
    <row r="2422" spans="1:4" x14ac:dyDescent="0.25">
      <c r="A2422" s="65">
        <v>43332</v>
      </c>
      <c r="B2422" s="1">
        <v>3.6387999999999998</v>
      </c>
      <c r="C2422" s="65">
        <v>43368</v>
      </c>
      <c r="D2422" s="1">
        <v>3.7072000000000003</v>
      </c>
    </row>
    <row r="2423" spans="1:4" x14ac:dyDescent="0.25">
      <c r="A2423" s="65">
        <v>43333</v>
      </c>
      <c r="B2423" s="1">
        <v>3.6196000000000002</v>
      </c>
      <c r="C2423" s="65">
        <v>43369</v>
      </c>
      <c r="D2423" s="1">
        <v>3.7111000000000001</v>
      </c>
    </row>
    <row r="2424" spans="1:4" x14ac:dyDescent="0.25">
      <c r="A2424" s="65">
        <v>43334</v>
      </c>
      <c r="B2424" s="1">
        <v>3.6105999999999998</v>
      </c>
      <c r="C2424" s="65">
        <v>43370</v>
      </c>
      <c r="D2424" s="1">
        <v>3.7343999999999999</v>
      </c>
    </row>
    <row r="2425" spans="1:4" x14ac:dyDescent="0.25">
      <c r="A2425" s="65">
        <v>43335</v>
      </c>
      <c r="B2425" s="1">
        <v>3.6114999999999999</v>
      </c>
      <c r="C2425" s="65">
        <v>43371</v>
      </c>
      <c r="D2425" s="1">
        <v>3.8784999999999998</v>
      </c>
    </row>
    <row r="2426" spans="1:4" x14ac:dyDescent="0.25">
      <c r="A2426" s="65">
        <v>43336</v>
      </c>
      <c r="B2426" s="1">
        <v>3.6029</v>
      </c>
      <c r="C2426" s="65">
        <v>43374</v>
      </c>
      <c r="D2426" s="1">
        <v>3.8976999999999999</v>
      </c>
    </row>
    <row r="2427" spans="1:4" x14ac:dyDescent="0.25">
      <c r="A2427" s="65">
        <v>43339</v>
      </c>
      <c r="B2427" s="1">
        <v>3.5731000000000002</v>
      </c>
      <c r="C2427" s="65">
        <v>43375</v>
      </c>
      <c r="D2427" s="1">
        <v>3.9066999999999998</v>
      </c>
    </row>
    <row r="2428" spans="1:4" x14ac:dyDescent="0.25">
      <c r="A2428" s="65">
        <v>43340</v>
      </c>
      <c r="B2428" s="1">
        <v>3.5819000000000001</v>
      </c>
      <c r="C2428" s="65">
        <v>43376</v>
      </c>
      <c r="D2428" s="1">
        <v>3.8740000000000001</v>
      </c>
    </row>
    <row r="2429" spans="1:4" x14ac:dyDescent="0.25">
      <c r="A2429" s="65">
        <v>43341</v>
      </c>
      <c r="B2429" s="1">
        <v>3.573</v>
      </c>
      <c r="C2429" s="65">
        <v>43377</v>
      </c>
      <c r="D2429" s="1">
        <v>3.8971</v>
      </c>
    </row>
    <row r="2430" spans="1:4" x14ac:dyDescent="0.25">
      <c r="A2430" s="65">
        <v>43342</v>
      </c>
      <c r="B2430" s="1">
        <v>3.5991999999999997</v>
      </c>
      <c r="C2430" s="65">
        <v>43378</v>
      </c>
      <c r="D2430" s="1">
        <v>3.9481999999999999</v>
      </c>
    </row>
    <row r="2431" spans="1:4" x14ac:dyDescent="0.25">
      <c r="A2431" s="65">
        <v>43343</v>
      </c>
      <c r="B2431" s="1">
        <v>3.6395999999999997</v>
      </c>
      <c r="C2431" s="65">
        <v>43381</v>
      </c>
      <c r="D2431" s="1">
        <v>4.0465999999999998</v>
      </c>
    </row>
    <row r="2432" spans="1:4" x14ac:dyDescent="0.25">
      <c r="A2432" s="65">
        <v>43346</v>
      </c>
      <c r="B2432" s="1">
        <v>3.6374</v>
      </c>
      <c r="C2432" s="65">
        <v>43382</v>
      </c>
      <c r="D2432" s="1">
        <v>4.0041000000000002</v>
      </c>
    </row>
    <row r="2433" spans="1:4" x14ac:dyDescent="0.25">
      <c r="A2433" s="65">
        <v>43347</v>
      </c>
      <c r="B2433" s="1">
        <v>3.6758999999999999</v>
      </c>
      <c r="C2433" s="65">
        <v>43383</v>
      </c>
      <c r="D2433" s="1">
        <v>4.0738000000000003</v>
      </c>
    </row>
    <row r="2434" spans="1:4" x14ac:dyDescent="0.25">
      <c r="A2434" s="65">
        <v>43348</v>
      </c>
      <c r="B2434" s="1">
        <v>3.7244000000000002</v>
      </c>
      <c r="C2434" s="65">
        <v>43384</v>
      </c>
      <c r="D2434" s="1">
        <v>4.1500000000000004</v>
      </c>
    </row>
    <row r="2435" spans="1:4" x14ac:dyDescent="0.25">
      <c r="A2435" s="65">
        <v>43349</v>
      </c>
      <c r="B2435" s="1">
        <v>3.7467999999999999</v>
      </c>
      <c r="C2435" s="65">
        <v>43385</v>
      </c>
      <c r="D2435" s="1">
        <v>4.1717000000000004</v>
      </c>
    </row>
    <row r="2436" spans="1:4" x14ac:dyDescent="0.25">
      <c r="A2436" s="65">
        <v>43350</v>
      </c>
      <c r="B2436" s="1">
        <v>3.7496999999999998</v>
      </c>
      <c r="C2436" s="65">
        <v>43388</v>
      </c>
      <c r="D2436" s="1">
        <v>4.1649000000000003</v>
      </c>
    </row>
    <row r="2437" spans="1:4" x14ac:dyDescent="0.25">
      <c r="A2437" s="65">
        <v>43353</v>
      </c>
      <c r="B2437" s="1">
        <v>3.7317</v>
      </c>
      <c r="C2437" s="65">
        <v>43389</v>
      </c>
      <c r="D2437" s="1">
        <v>4.0739999999999998</v>
      </c>
    </row>
    <row r="2438" spans="1:4" x14ac:dyDescent="0.25">
      <c r="A2438" s="65">
        <v>43354</v>
      </c>
      <c r="B2438" s="1">
        <v>3.7290000000000001</v>
      </c>
      <c r="C2438" s="65">
        <v>43390</v>
      </c>
      <c r="D2438" s="1">
        <v>4.1291000000000002</v>
      </c>
    </row>
    <row r="2439" spans="1:4" x14ac:dyDescent="0.25">
      <c r="A2439" s="65">
        <v>43355</v>
      </c>
      <c r="B2439" s="1">
        <v>3.7122999999999999</v>
      </c>
      <c r="C2439" s="65">
        <v>43391</v>
      </c>
      <c r="D2439" s="1">
        <v>4.2084999999999999</v>
      </c>
    </row>
    <row r="2440" spans="1:4" x14ac:dyDescent="0.25">
      <c r="A2440" s="65">
        <v>43356</v>
      </c>
      <c r="B2440" s="1">
        <v>3.7044000000000001</v>
      </c>
      <c r="C2440" s="65">
        <v>43392</v>
      </c>
      <c r="D2440" s="1">
        <v>4.2102000000000004</v>
      </c>
    </row>
    <row r="2441" spans="1:4" x14ac:dyDescent="0.25">
      <c r="A2441" s="65">
        <v>43357</v>
      </c>
      <c r="B2441" s="1">
        <v>3.6922999999999999</v>
      </c>
      <c r="C2441" s="65">
        <v>43395</v>
      </c>
      <c r="D2441" s="1">
        <v>4.2355</v>
      </c>
    </row>
    <row r="2442" spans="1:4" x14ac:dyDescent="0.25">
      <c r="A2442" s="65">
        <v>43360</v>
      </c>
      <c r="B2442" s="1">
        <v>3.6905999999999999</v>
      </c>
      <c r="C2442" s="65">
        <v>43396</v>
      </c>
      <c r="D2442" s="1">
        <v>4.2722999999999995</v>
      </c>
    </row>
    <row r="2443" spans="1:4" x14ac:dyDescent="0.25">
      <c r="A2443" s="65">
        <v>43361</v>
      </c>
      <c r="B2443" s="1">
        <v>3.6771000000000003</v>
      </c>
      <c r="C2443" s="65">
        <v>43397</v>
      </c>
      <c r="D2443" s="1">
        <v>4.3456000000000001</v>
      </c>
    </row>
    <row r="2444" spans="1:4" x14ac:dyDescent="0.25">
      <c r="A2444" s="65">
        <v>43362</v>
      </c>
      <c r="B2444" s="1">
        <v>3.6659999999999999</v>
      </c>
      <c r="C2444" s="65">
        <v>43398</v>
      </c>
      <c r="D2444" s="1">
        <v>4.2694000000000001</v>
      </c>
    </row>
    <row r="2445" spans="1:4" x14ac:dyDescent="0.25">
      <c r="A2445" s="65">
        <v>43363</v>
      </c>
      <c r="B2445" s="1">
        <v>3.6288</v>
      </c>
      <c r="C2445" s="65">
        <v>43399</v>
      </c>
      <c r="D2445" s="1">
        <v>4.2995999999999999</v>
      </c>
    </row>
    <row r="2446" spans="1:4" x14ac:dyDescent="0.25">
      <c r="A2446" s="65">
        <v>43364</v>
      </c>
      <c r="B2446" s="1">
        <v>3.5994999999999999</v>
      </c>
      <c r="C2446" s="65">
        <v>43402</v>
      </c>
      <c r="D2446" s="1">
        <v>4.2191000000000001</v>
      </c>
    </row>
    <row r="2447" spans="1:4" x14ac:dyDescent="0.25">
      <c r="A2447" s="65">
        <v>43367</v>
      </c>
      <c r="B2447" s="1">
        <v>3.5930999999999997</v>
      </c>
      <c r="C2447" s="65">
        <v>43403</v>
      </c>
      <c r="D2447" s="1">
        <v>4.2282000000000002</v>
      </c>
    </row>
    <row r="2448" spans="1:4" x14ac:dyDescent="0.25">
      <c r="A2448" s="65">
        <v>43368</v>
      </c>
      <c r="B2448" s="1">
        <v>3.5855000000000001</v>
      </c>
      <c r="C2448" s="65">
        <v>43404</v>
      </c>
      <c r="D2448" s="1">
        <v>4.2168000000000001</v>
      </c>
    </row>
    <row r="2449" spans="1:4" x14ac:dyDescent="0.25">
      <c r="A2449" s="65">
        <v>43369</v>
      </c>
      <c r="B2449" s="1">
        <v>3.5714999999999999</v>
      </c>
      <c r="C2449" s="65">
        <v>43405</v>
      </c>
      <c r="D2449" s="1">
        <v>4.1871</v>
      </c>
    </row>
    <row r="2450" spans="1:4" x14ac:dyDescent="0.25">
      <c r="A2450" s="65">
        <v>43370</v>
      </c>
      <c r="B2450" s="1">
        <v>3.5543</v>
      </c>
      <c r="C2450" s="65">
        <v>43406</v>
      </c>
      <c r="D2450" s="1">
        <v>4.1428000000000003</v>
      </c>
    </row>
    <row r="2451" spans="1:4" x14ac:dyDescent="0.25">
      <c r="A2451" s="65">
        <v>43371</v>
      </c>
      <c r="B2451" s="1">
        <v>3.6071999999999997</v>
      </c>
      <c r="C2451" s="65">
        <v>43409</v>
      </c>
      <c r="D2451" s="1">
        <v>4.1662999999999997</v>
      </c>
    </row>
    <row r="2452" spans="1:4" x14ac:dyDescent="0.25">
      <c r="A2452" s="65">
        <v>43374</v>
      </c>
      <c r="B2452" s="1">
        <v>3.5914000000000001</v>
      </c>
      <c r="C2452" s="65">
        <v>43410</v>
      </c>
      <c r="D2452" s="1">
        <v>4.1691000000000003</v>
      </c>
    </row>
    <row r="2453" spans="1:4" x14ac:dyDescent="0.25">
      <c r="A2453" s="65">
        <v>43375</v>
      </c>
      <c r="B2453" s="1">
        <v>3.6181000000000001</v>
      </c>
      <c r="C2453" s="65">
        <v>43411</v>
      </c>
      <c r="D2453" s="1">
        <v>4.1109</v>
      </c>
    </row>
    <row r="2454" spans="1:4" x14ac:dyDescent="0.25">
      <c r="A2454" s="65">
        <v>43376</v>
      </c>
      <c r="B2454" s="1">
        <v>3.6005000000000003</v>
      </c>
      <c r="C2454" s="65">
        <v>43412</v>
      </c>
      <c r="D2454" s="1">
        <v>4.1345000000000001</v>
      </c>
    </row>
    <row r="2455" spans="1:4" x14ac:dyDescent="0.25">
      <c r="A2455" s="65">
        <v>43377</v>
      </c>
      <c r="B2455" s="1">
        <v>3.633</v>
      </c>
      <c r="C2455" s="65">
        <v>43413</v>
      </c>
      <c r="D2455" s="1">
        <v>4.1713000000000005</v>
      </c>
    </row>
    <row r="2456" spans="1:4" x14ac:dyDescent="0.25">
      <c r="A2456" s="65">
        <v>43378</v>
      </c>
      <c r="B2456" s="1">
        <v>3.6650999999999998</v>
      </c>
      <c r="C2456" s="65">
        <v>43416</v>
      </c>
      <c r="D2456" s="1">
        <v>4.2154999999999996</v>
      </c>
    </row>
    <row r="2457" spans="1:4" x14ac:dyDescent="0.25">
      <c r="A2457" s="65">
        <v>43381</v>
      </c>
      <c r="B2457" s="1">
        <v>3.7076000000000002</v>
      </c>
      <c r="C2457" s="65">
        <v>43417</v>
      </c>
      <c r="D2457" s="1">
        <v>4.1780999999999997</v>
      </c>
    </row>
    <row r="2458" spans="1:4" x14ac:dyDescent="0.25">
      <c r="A2458" s="65">
        <v>43382</v>
      </c>
      <c r="B2458" s="1">
        <v>3.6941000000000002</v>
      </c>
      <c r="C2458" s="65">
        <v>43418</v>
      </c>
      <c r="D2458" s="1">
        <v>4.2107999999999999</v>
      </c>
    </row>
    <row r="2459" spans="1:4" x14ac:dyDescent="0.25">
      <c r="A2459" s="65">
        <v>43383</v>
      </c>
      <c r="B2459" s="1">
        <v>3.7578</v>
      </c>
      <c r="C2459" s="65">
        <v>43419</v>
      </c>
      <c r="D2459" s="1">
        <v>4.2491000000000003</v>
      </c>
    </row>
    <row r="2460" spans="1:4" x14ac:dyDescent="0.25">
      <c r="A2460" s="65">
        <v>43384</v>
      </c>
      <c r="B2460" s="1">
        <v>3.8252999999999999</v>
      </c>
      <c r="C2460" s="65">
        <v>43420</v>
      </c>
      <c r="D2460" s="1">
        <v>4.2552000000000003</v>
      </c>
    </row>
    <row r="2461" spans="1:4" x14ac:dyDescent="0.25">
      <c r="A2461" s="65">
        <v>43385</v>
      </c>
      <c r="B2461" s="1">
        <v>3.843</v>
      </c>
      <c r="C2461" s="65">
        <v>43423</v>
      </c>
      <c r="D2461" s="1">
        <v>4.2911999999999999</v>
      </c>
    </row>
    <row r="2462" spans="1:4" x14ac:dyDescent="0.25">
      <c r="A2462" s="65">
        <v>43388</v>
      </c>
      <c r="B2462" s="1">
        <v>3.8239000000000001</v>
      </c>
      <c r="C2462" s="65">
        <v>43424</v>
      </c>
      <c r="D2462" s="1">
        <v>4.2690999999999999</v>
      </c>
    </row>
    <row r="2463" spans="1:4" x14ac:dyDescent="0.25">
      <c r="A2463" s="65">
        <v>43389</v>
      </c>
      <c r="B2463" s="1">
        <v>3.7688000000000001</v>
      </c>
      <c r="C2463" s="65">
        <v>43425</v>
      </c>
      <c r="D2463" s="1">
        <v>4.2097999999999995</v>
      </c>
    </row>
    <row r="2464" spans="1:4" x14ac:dyDescent="0.25">
      <c r="A2464" s="65">
        <v>43390</v>
      </c>
      <c r="B2464" s="1">
        <v>3.7854000000000001</v>
      </c>
      <c r="C2464" s="65">
        <v>43426</v>
      </c>
      <c r="D2464" s="1">
        <v>4.2389000000000001</v>
      </c>
    </row>
    <row r="2465" spans="1:4" x14ac:dyDescent="0.25">
      <c r="A2465" s="65">
        <v>43391</v>
      </c>
      <c r="B2465" s="1">
        <v>3.8189000000000002</v>
      </c>
      <c r="C2465" s="65">
        <v>43427</v>
      </c>
      <c r="D2465" s="1">
        <v>4.2134999999999998</v>
      </c>
    </row>
    <row r="2466" spans="1:4" x14ac:dyDescent="0.25">
      <c r="A2466" s="65">
        <v>43392</v>
      </c>
      <c r="B2466" s="1">
        <v>3.8197999999999999</v>
      </c>
      <c r="C2466" s="65">
        <v>43430</v>
      </c>
      <c r="D2466" s="1">
        <v>4.0998999999999999</v>
      </c>
    </row>
    <row r="2467" spans="1:4" x14ac:dyDescent="0.25">
      <c r="A2467" s="65">
        <v>43395</v>
      </c>
      <c r="B2467" s="1">
        <v>3.8447</v>
      </c>
      <c r="C2467" s="65">
        <v>43431</v>
      </c>
      <c r="D2467" s="1">
        <v>4.1177000000000001</v>
      </c>
    </row>
    <row r="2468" spans="1:4" x14ac:dyDescent="0.25">
      <c r="A2468" s="65">
        <v>43396</v>
      </c>
      <c r="B2468" s="1">
        <v>3.9047999999999998</v>
      </c>
      <c r="C2468" s="65">
        <v>43432</v>
      </c>
      <c r="D2468" s="1">
        <v>4.1253000000000002</v>
      </c>
    </row>
    <row r="2469" spans="1:4" x14ac:dyDescent="0.25">
      <c r="A2469" s="65">
        <v>43397</v>
      </c>
      <c r="B2469" s="1">
        <v>3.9180999999999999</v>
      </c>
      <c r="C2469" s="65">
        <v>43433</v>
      </c>
      <c r="D2469" s="1">
        <v>4.1157000000000004</v>
      </c>
    </row>
    <row r="2470" spans="1:4" x14ac:dyDescent="0.25">
      <c r="A2470" s="65">
        <v>43398</v>
      </c>
      <c r="B2470" s="1">
        <v>3.8759000000000001</v>
      </c>
      <c r="C2470" s="65">
        <v>43434</v>
      </c>
      <c r="D2470" s="1">
        <v>4.1093999999999999</v>
      </c>
    </row>
    <row r="2471" spans="1:4" x14ac:dyDescent="0.25">
      <c r="A2471" s="65">
        <v>43399</v>
      </c>
      <c r="B2471" s="1">
        <v>3.9123999999999999</v>
      </c>
      <c r="C2471" s="65">
        <v>43437</v>
      </c>
      <c r="D2471" s="1">
        <v>4.0186999999999999</v>
      </c>
    </row>
    <row r="2472" spans="1:4" x14ac:dyDescent="0.25">
      <c r="A2472" s="65">
        <v>43402</v>
      </c>
      <c r="B2472" s="1">
        <v>3.8336999999999999</v>
      </c>
      <c r="C2472" s="65">
        <v>43438</v>
      </c>
      <c r="D2472" s="1">
        <v>4.1220999999999997</v>
      </c>
    </row>
    <row r="2473" spans="1:4" x14ac:dyDescent="0.25">
      <c r="A2473" s="65">
        <v>43403</v>
      </c>
      <c r="B2473" s="1">
        <v>3.8431999999999999</v>
      </c>
      <c r="C2473" s="65">
        <v>43439</v>
      </c>
      <c r="D2473" s="1">
        <v>4.1273</v>
      </c>
    </row>
    <row r="2474" spans="1:4" x14ac:dyDescent="0.25">
      <c r="A2474" s="65">
        <v>43404</v>
      </c>
      <c r="B2474" s="1">
        <v>3.7847</v>
      </c>
      <c r="C2474" s="65">
        <v>43440</v>
      </c>
      <c r="D2474" s="1">
        <v>4.2789999999999999</v>
      </c>
    </row>
    <row r="2475" spans="1:4" x14ac:dyDescent="0.25">
      <c r="A2475" s="65">
        <v>43405</v>
      </c>
      <c r="B2475" s="1">
        <v>3.7096999999999998</v>
      </c>
      <c r="C2475" s="65">
        <v>43441</v>
      </c>
      <c r="D2475" s="1">
        <v>4.2565</v>
      </c>
    </row>
    <row r="2476" spans="1:4" x14ac:dyDescent="0.25">
      <c r="A2476" s="65">
        <v>43406</v>
      </c>
      <c r="B2476" s="1">
        <v>3.6978999999999997</v>
      </c>
      <c r="C2476" s="65">
        <v>43444</v>
      </c>
      <c r="D2476" s="1">
        <v>4.3333000000000004</v>
      </c>
    </row>
    <row r="2477" spans="1:4" x14ac:dyDescent="0.25">
      <c r="A2477" s="65">
        <v>43409</v>
      </c>
      <c r="B2477" s="1">
        <v>3.6945000000000001</v>
      </c>
      <c r="C2477" s="65">
        <v>43445</v>
      </c>
      <c r="D2477" s="1">
        <v>4.2911000000000001</v>
      </c>
    </row>
    <row r="2478" spans="1:4" x14ac:dyDescent="0.25">
      <c r="A2478" s="65">
        <v>43410</v>
      </c>
      <c r="B2478" s="1">
        <v>3.7073999999999998</v>
      </c>
      <c r="C2478" s="65">
        <v>43446</v>
      </c>
      <c r="D2478" s="1">
        <v>4.2107999999999999</v>
      </c>
    </row>
    <row r="2479" spans="1:4" x14ac:dyDescent="0.25">
      <c r="A2479" s="65">
        <v>43411</v>
      </c>
      <c r="B2479" s="1">
        <v>3.6631999999999998</v>
      </c>
      <c r="C2479" s="65">
        <v>43447</v>
      </c>
      <c r="D2479" s="1">
        <v>4.1879999999999997</v>
      </c>
    </row>
    <row r="2480" spans="1:4" x14ac:dyDescent="0.25">
      <c r="A2480" s="65">
        <v>43412</v>
      </c>
      <c r="B2480" s="1">
        <v>3.6729000000000003</v>
      </c>
      <c r="C2480" s="65">
        <v>43448</v>
      </c>
      <c r="D2480" s="1">
        <v>4.2186000000000003</v>
      </c>
    </row>
    <row r="2481" spans="1:4" x14ac:dyDescent="0.25">
      <c r="A2481" s="65">
        <v>43413</v>
      </c>
      <c r="B2481" s="1">
        <v>3.6821000000000002</v>
      </c>
      <c r="C2481" s="65">
        <v>43451</v>
      </c>
      <c r="D2481" s="1">
        <v>4.2679999999999998</v>
      </c>
    </row>
    <row r="2482" spans="1:4" x14ac:dyDescent="0.25">
      <c r="A2482" s="65">
        <v>43416</v>
      </c>
      <c r="B2482" s="1">
        <v>3.7229000000000001</v>
      </c>
      <c r="C2482" s="65">
        <v>43452</v>
      </c>
      <c r="D2482" s="1">
        <v>4.2792000000000003</v>
      </c>
    </row>
    <row r="2483" spans="1:4" x14ac:dyDescent="0.25">
      <c r="A2483" s="65">
        <v>43417</v>
      </c>
      <c r="B2483" s="1">
        <v>3.6874000000000002</v>
      </c>
      <c r="C2483" s="65">
        <v>43453</v>
      </c>
      <c r="D2483" s="1">
        <v>4.2121000000000004</v>
      </c>
    </row>
    <row r="2484" spans="1:4" x14ac:dyDescent="0.25">
      <c r="A2484" s="65">
        <v>43418</v>
      </c>
      <c r="B2484" s="1">
        <v>3.7098</v>
      </c>
      <c r="C2484" s="65">
        <v>43454</v>
      </c>
      <c r="D2484" s="1">
        <v>4.2948000000000004</v>
      </c>
    </row>
    <row r="2485" spans="1:4" x14ac:dyDescent="0.25">
      <c r="A2485" s="65">
        <v>43419</v>
      </c>
      <c r="B2485" s="1">
        <v>3.7273000000000001</v>
      </c>
      <c r="C2485" s="65">
        <v>43455</v>
      </c>
      <c r="D2485" s="1">
        <v>4.3368000000000002</v>
      </c>
    </row>
    <row r="2486" spans="1:4" x14ac:dyDescent="0.25">
      <c r="A2486" s="65">
        <v>43420</v>
      </c>
      <c r="B2486" s="1">
        <v>3.7385000000000002</v>
      </c>
      <c r="C2486" s="65">
        <v>43461</v>
      </c>
      <c r="D2486" s="1">
        <v>4.3888999999999996</v>
      </c>
    </row>
    <row r="2487" spans="1:4" x14ac:dyDescent="0.25">
      <c r="A2487" s="65">
        <v>43423</v>
      </c>
      <c r="B2487" s="1">
        <v>3.7627000000000002</v>
      </c>
      <c r="C2487" s="65">
        <v>43462</v>
      </c>
      <c r="D2487" s="1">
        <v>4.3266999999999998</v>
      </c>
    </row>
    <row r="2488" spans="1:4" x14ac:dyDescent="0.25">
      <c r="A2488" s="65">
        <v>43424</v>
      </c>
      <c r="B2488" s="1">
        <v>3.8161</v>
      </c>
      <c r="C2488" s="65">
        <v>43467</v>
      </c>
      <c r="D2488" s="1">
        <v>4.3250999999999999</v>
      </c>
    </row>
    <row r="2489" spans="1:4" x14ac:dyDescent="0.25">
      <c r="A2489" s="65">
        <v>43425</v>
      </c>
      <c r="B2489" s="1">
        <v>3.7702999999999998</v>
      </c>
      <c r="C2489" s="65">
        <v>43468</v>
      </c>
      <c r="D2489" s="1">
        <v>4.3517999999999999</v>
      </c>
    </row>
    <row r="2490" spans="1:4" x14ac:dyDescent="0.25">
      <c r="A2490" s="65">
        <v>43426</v>
      </c>
      <c r="B2490" s="1">
        <v>3.8031999999999999</v>
      </c>
      <c r="C2490" s="65">
        <v>43469</v>
      </c>
      <c r="D2490" s="1">
        <v>4.2100999999999997</v>
      </c>
    </row>
    <row r="2491" spans="1:4" x14ac:dyDescent="0.25">
      <c r="A2491" s="65">
        <v>43427</v>
      </c>
      <c r="B2491" s="1">
        <v>3.7904</v>
      </c>
      <c r="C2491" s="65">
        <v>43472</v>
      </c>
      <c r="D2491" s="1">
        <v>4.1830999999999996</v>
      </c>
    </row>
    <row r="2492" spans="1:4" x14ac:dyDescent="0.25">
      <c r="A2492" s="65">
        <v>43430</v>
      </c>
      <c r="B2492" s="1">
        <v>3.7480000000000002</v>
      </c>
      <c r="C2492" s="65">
        <v>43473</v>
      </c>
      <c r="D2492" s="1">
        <v>4.1727999999999996</v>
      </c>
    </row>
    <row r="2493" spans="1:4" x14ac:dyDescent="0.25">
      <c r="A2493" s="65">
        <v>43431</v>
      </c>
      <c r="B2493" s="1">
        <v>3.7255000000000003</v>
      </c>
      <c r="C2493" s="65">
        <v>43474</v>
      </c>
      <c r="D2493" s="1">
        <v>4.1337999999999999</v>
      </c>
    </row>
    <row r="2494" spans="1:4" x14ac:dyDescent="0.25">
      <c r="A2494" s="65">
        <v>43432</v>
      </c>
      <c r="B2494" s="1">
        <v>3.7233000000000001</v>
      </c>
      <c r="C2494" s="65">
        <v>43475</v>
      </c>
      <c r="D2494" s="1">
        <v>4.1078000000000001</v>
      </c>
    </row>
    <row r="2495" spans="1:4" x14ac:dyDescent="0.25">
      <c r="A2495" s="65">
        <v>43433</v>
      </c>
      <c r="B2495" s="1">
        <v>3.7164000000000001</v>
      </c>
      <c r="C2495" s="65">
        <v>43476</v>
      </c>
      <c r="D2495" s="1">
        <v>4.1100000000000003</v>
      </c>
    </row>
    <row r="2496" spans="1:4" x14ac:dyDescent="0.25">
      <c r="A2496" s="65">
        <v>43434</v>
      </c>
      <c r="B2496" s="1">
        <v>3.7176</v>
      </c>
      <c r="C2496" s="65">
        <v>43479</v>
      </c>
      <c r="D2496" s="1">
        <v>4.1355000000000004</v>
      </c>
    </row>
    <row r="2497" spans="1:4" x14ac:dyDescent="0.25">
      <c r="A2497" s="65">
        <v>43437</v>
      </c>
      <c r="B2497" s="1">
        <v>3.6692</v>
      </c>
      <c r="C2497" s="65">
        <v>43480</v>
      </c>
      <c r="D2497" s="1">
        <v>4.1368</v>
      </c>
    </row>
    <row r="2498" spans="1:4" x14ac:dyDescent="0.25">
      <c r="A2498" s="65">
        <v>43438</v>
      </c>
      <c r="B2498" s="1">
        <v>3.7079</v>
      </c>
      <c r="C2498" s="65">
        <v>43481</v>
      </c>
      <c r="D2498" s="1">
        <v>4.0704000000000002</v>
      </c>
    </row>
    <row r="2499" spans="1:4" x14ac:dyDescent="0.25">
      <c r="A2499" s="65">
        <v>43439</v>
      </c>
      <c r="B2499" s="1">
        <v>3.7538</v>
      </c>
      <c r="C2499" s="65">
        <v>43482</v>
      </c>
      <c r="D2499" s="1">
        <v>4.0720000000000001</v>
      </c>
    </row>
    <row r="2500" spans="1:4" x14ac:dyDescent="0.25">
      <c r="A2500" s="65">
        <v>43440</v>
      </c>
      <c r="B2500" s="1">
        <v>3.8824000000000001</v>
      </c>
      <c r="C2500" s="65">
        <v>43483</v>
      </c>
      <c r="D2500" s="1">
        <v>4.0228999999999999</v>
      </c>
    </row>
    <row r="2501" spans="1:4" x14ac:dyDescent="0.25">
      <c r="A2501" s="65">
        <v>43441</v>
      </c>
      <c r="B2501" s="1">
        <v>3.8580000000000001</v>
      </c>
      <c r="C2501" s="65">
        <v>43486</v>
      </c>
      <c r="D2501" s="1">
        <v>4.13</v>
      </c>
    </row>
    <row r="2502" spans="1:4" x14ac:dyDescent="0.25">
      <c r="A2502" s="65">
        <v>43444</v>
      </c>
      <c r="B2502" s="1">
        <v>3.9111000000000002</v>
      </c>
      <c r="C2502" s="65">
        <v>43487</v>
      </c>
      <c r="D2502" s="1">
        <v>4.1727999999999996</v>
      </c>
    </row>
    <row r="2503" spans="1:4" x14ac:dyDescent="0.25">
      <c r="A2503" s="65">
        <v>43445</v>
      </c>
      <c r="B2503" s="1">
        <v>3.8620000000000001</v>
      </c>
      <c r="C2503" s="65">
        <v>43488</v>
      </c>
      <c r="D2503" s="1">
        <v>4.1807999999999996</v>
      </c>
    </row>
    <row r="2504" spans="1:4" x14ac:dyDescent="0.25">
      <c r="A2504" s="65">
        <v>43446</v>
      </c>
      <c r="B2504" s="1">
        <v>3.7965999999999998</v>
      </c>
      <c r="C2504" s="65">
        <v>43489</v>
      </c>
      <c r="D2504" s="1">
        <v>4.1456999999999997</v>
      </c>
    </row>
    <row r="2505" spans="1:4" x14ac:dyDescent="0.25">
      <c r="A2505" s="65">
        <v>43447</v>
      </c>
      <c r="B2505" s="1">
        <v>3.7915000000000001</v>
      </c>
      <c r="C2505" s="65">
        <v>43490</v>
      </c>
      <c r="D2505" s="1">
        <v>4.0941999999999998</v>
      </c>
    </row>
    <row r="2506" spans="1:4" x14ac:dyDescent="0.25">
      <c r="A2506" s="65">
        <v>43448</v>
      </c>
      <c r="B2506" s="1">
        <v>3.8155000000000001</v>
      </c>
      <c r="C2506" s="65">
        <v>43493</v>
      </c>
      <c r="D2506" s="1">
        <v>4.1364999999999998</v>
      </c>
    </row>
    <row r="2507" spans="1:4" x14ac:dyDescent="0.25">
      <c r="A2507" s="65">
        <v>43451</v>
      </c>
      <c r="B2507" s="1">
        <v>3.8696999999999999</v>
      </c>
      <c r="C2507" s="65">
        <v>43494</v>
      </c>
      <c r="D2507" s="1">
        <v>4.1167999999999996</v>
      </c>
    </row>
    <row r="2508" spans="1:4" x14ac:dyDescent="0.25">
      <c r="A2508" s="65">
        <v>43452</v>
      </c>
      <c r="B2508" s="1">
        <v>3.9020999999999999</v>
      </c>
      <c r="C2508" s="65">
        <v>43495</v>
      </c>
      <c r="D2508" s="1">
        <v>4.1022999999999996</v>
      </c>
    </row>
    <row r="2509" spans="1:4" x14ac:dyDescent="0.25">
      <c r="A2509" s="65">
        <v>43453</v>
      </c>
      <c r="B2509" s="1">
        <v>3.8877000000000002</v>
      </c>
      <c r="C2509" s="65">
        <v>43496</v>
      </c>
      <c r="D2509" s="1">
        <v>4.1108000000000002</v>
      </c>
    </row>
    <row r="2510" spans="1:4" x14ac:dyDescent="0.25">
      <c r="A2510" s="65">
        <v>43454</v>
      </c>
      <c r="B2510" s="1">
        <v>3.9542000000000002</v>
      </c>
      <c r="C2510" s="65">
        <v>43497</v>
      </c>
      <c r="D2510" s="1">
        <v>4.1431000000000004</v>
      </c>
    </row>
    <row r="2511" spans="1:4" x14ac:dyDescent="0.25">
      <c r="A2511" s="65">
        <v>43455</v>
      </c>
      <c r="B2511" s="1">
        <v>3.9535</v>
      </c>
      <c r="C2511" s="65">
        <v>43500</v>
      </c>
      <c r="D2511" s="1">
        <v>4.1370000000000005</v>
      </c>
    </row>
    <row r="2512" spans="1:4" x14ac:dyDescent="0.25">
      <c r="A2512" s="65">
        <v>43458</v>
      </c>
      <c r="B2512" s="1">
        <v>3.9923000000000002</v>
      </c>
      <c r="C2512" s="65">
        <v>43501</v>
      </c>
      <c r="D2512" s="1">
        <v>4.0895000000000001</v>
      </c>
    </row>
    <row r="2513" spans="1:4" x14ac:dyDescent="0.25">
      <c r="A2513" s="65">
        <v>43461</v>
      </c>
      <c r="B2513" s="1">
        <v>4.0418000000000003</v>
      </c>
      <c r="C2513" s="65">
        <v>43502</v>
      </c>
      <c r="D2513" s="1">
        <v>4.0560999999999998</v>
      </c>
    </row>
    <row r="2514" spans="1:4" x14ac:dyDescent="0.25">
      <c r="A2514" s="65">
        <v>43462</v>
      </c>
      <c r="B2514" s="1">
        <v>3.9752000000000001</v>
      </c>
      <c r="C2514" s="65">
        <v>43503</v>
      </c>
      <c r="D2514" s="1">
        <v>4.1639999999999997</v>
      </c>
    </row>
    <row r="2515" spans="1:4" x14ac:dyDescent="0.25">
      <c r="A2515" s="65">
        <v>43465</v>
      </c>
      <c r="B2515" s="1">
        <v>3.9554999999999998</v>
      </c>
      <c r="C2515" s="65">
        <v>43504</v>
      </c>
      <c r="D2515" s="1">
        <v>4.1912000000000003</v>
      </c>
    </row>
    <row r="2516" spans="1:4" x14ac:dyDescent="0.25">
      <c r="A2516" s="65">
        <v>43467</v>
      </c>
      <c r="B2516" s="1">
        <v>3.9664000000000001</v>
      </c>
      <c r="C2516" s="65">
        <v>43507</v>
      </c>
      <c r="D2516" s="1">
        <v>4.141</v>
      </c>
    </row>
    <row r="2517" spans="1:4" x14ac:dyDescent="0.25">
      <c r="A2517" s="65">
        <v>43468</v>
      </c>
      <c r="B2517" s="1">
        <v>4.0180999999999996</v>
      </c>
      <c r="C2517" s="65">
        <v>43508</v>
      </c>
      <c r="D2517" s="1">
        <v>4.0952999999999999</v>
      </c>
    </row>
    <row r="2518" spans="1:4" x14ac:dyDescent="0.25">
      <c r="A2518" s="65">
        <v>43469</v>
      </c>
      <c r="B2518" s="1">
        <v>3.9028999999999998</v>
      </c>
      <c r="C2518" s="65">
        <v>43509</v>
      </c>
      <c r="D2518" s="1">
        <v>4.0575000000000001</v>
      </c>
    </row>
    <row r="2519" spans="1:4" x14ac:dyDescent="0.25">
      <c r="A2519" s="65">
        <v>43472</v>
      </c>
      <c r="B2519" s="1">
        <v>3.9135</v>
      </c>
      <c r="C2519" s="65">
        <v>43510</v>
      </c>
      <c r="D2519" s="1">
        <v>4.0891999999999999</v>
      </c>
    </row>
    <row r="2520" spans="1:4" x14ac:dyDescent="0.25">
      <c r="A2520" s="65">
        <v>43473</v>
      </c>
      <c r="B2520" s="1">
        <v>3.8862000000000001</v>
      </c>
      <c r="C2520" s="65">
        <v>43511</v>
      </c>
      <c r="D2520" s="1">
        <v>4.0128000000000004</v>
      </c>
    </row>
    <row r="2521" spans="1:4" x14ac:dyDescent="0.25">
      <c r="A2521" s="65">
        <v>43474</v>
      </c>
      <c r="B2521" s="1">
        <v>3.8698000000000001</v>
      </c>
      <c r="C2521" s="65">
        <v>43514</v>
      </c>
      <c r="D2521" s="1">
        <v>3.9896000000000003</v>
      </c>
    </row>
    <row r="2522" spans="1:4" x14ac:dyDescent="0.25">
      <c r="A2522" s="65">
        <v>43475</v>
      </c>
      <c r="B2522" s="1">
        <v>3.8628999999999998</v>
      </c>
      <c r="C2522" s="65">
        <v>43515</v>
      </c>
      <c r="D2522" s="1">
        <v>4.0096999999999996</v>
      </c>
    </row>
    <row r="2523" spans="1:4" x14ac:dyDescent="0.25">
      <c r="A2523" s="65">
        <v>43476</v>
      </c>
      <c r="B2523" s="1">
        <v>3.87</v>
      </c>
      <c r="C2523" s="65">
        <v>43516</v>
      </c>
      <c r="D2523" s="1">
        <v>3.9946999999999999</v>
      </c>
    </row>
    <row r="2524" spans="1:4" x14ac:dyDescent="0.25">
      <c r="A2524" s="65">
        <v>43479</v>
      </c>
      <c r="B2524" s="1">
        <v>3.8887999999999998</v>
      </c>
      <c r="C2524" s="65">
        <v>43517</v>
      </c>
      <c r="D2524" s="1">
        <v>4.0133000000000001</v>
      </c>
    </row>
    <row r="2525" spans="1:4" x14ac:dyDescent="0.25">
      <c r="A2525" s="65">
        <v>43480</v>
      </c>
      <c r="B2525" s="1">
        <v>3.8782000000000001</v>
      </c>
      <c r="C2525" s="65">
        <v>43518</v>
      </c>
      <c r="D2525" s="1">
        <v>4.0029000000000003</v>
      </c>
    </row>
    <row r="2526" spans="1:4" x14ac:dyDescent="0.25">
      <c r="A2526" s="65">
        <v>43481</v>
      </c>
      <c r="B2526" s="1">
        <v>3.8666</v>
      </c>
      <c r="C2526" s="65">
        <v>43521</v>
      </c>
      <c r="D2526" s="1">
        <v>3.9687000000000001</v>
      </c>
    </row>
    <row r="2527" spans="1:4" x14ac:dyDescent="0.25">
      <c r="A2527" s="65">
        <v>43482</v>
      </c>
      <c r="B2527" s="1">
        <v>3.8765000000000001</v>
      </c>
      <c r="C2527" s="65">
        <v>43522</v>
      </c>
      <c r="D2527" s="1">
        <v>3.9643000000000002</v>
      </c>
    </row>
    <row r="2528" spans="1:4" x14ac:dyDescent="0.25">
      <c r="A2528" s="65">
        <v>43483</v>
      </c>
      <c r="B2528" s="1">
        <v>3.7955000000000001</v>
      </c>
      <c r="C2528" s="65">
        <v>43523</v>
      </c>
      <c r="D2528" s="1">
        <v>3.9567000000000001</v>
      </c>
    </row>
    <row r="2529" spans="1:4" x14ac:dyDescent="0.25">
      <c r="A2529" s="65">
        <v>43486</v>
      </c>
      <c r="B2529" s="1">
        <v>3.8195000000000001</v>
      </c>
      <c r="C2529" s="65">
        <v>43524</v>
      </c>
      <c r="D2529" s="1">
        <v>3.9260000000000002</v>
      </c>
    </row>
    <row r="2530" spans="1:4" x14ac:dyDescent="0.25">
      <c r="A2530" s="65">
        <v>43487</v>
      </c>
      <c r="B2530" s="1">
        <v>3.8346</v>
      </c>
      <c r="C2530" s="65">
        <v>43525</v>
      </c>
      <c r="D2530" s="1">
        <v>3.9192999999999998</v>
      </c>
    </row>
    <row r="2531" spans="1:4" x14ac:dyDescent="0.25">
      <c r="A2531" s="65">
        <v>43488</v>
      </c>
      <c r="B2531" s="1">
        <v>3.8353999999999999</v>
      </c>
      <c r="C2531" s="65">
        <v>43528</v>
      </c>
      <c r="D2531" s="1">
        <v>3.9148000000000001</v>
      </c>
    </row>
    <row r="2532" spans="1:4" x14ac:dyDescent="0.25">
      <c r="A2532" s="65">
        <v>43489</v>
      </c>
      <c r="B2532" s="1">
        <v>3.8180000000000001</v>
      </c>
      <c r="C2532" s="65">
        <v>43529</v>
      </c>
      <c r="D2532" s="1">
        <v>3.9153000000000002</v>
      </c>
    </row>
    <row r="2533" spans="1:4" x14ac:dyDescent="0.25">
      <c r="A2533" s="65">
        <v>43490</v>
      </c>
      <c r="B2533" s="1">
        <v>3.7734000000000001</v>
      </c>
      <c r="C2533" s="65">
        <v>43530</v>
      </c>
      <c r="D2533" s="1">
        <v>3.8898000000000001</v>
      </c>
    </row>
    <row r="2534" spans="1:4" x14ac:dyDescent="0.25">
      <c r="A2534" s="65">
        <v>43493</v>
      </c>
      <c r="B2534" s="1">
        <v>3.8047</v>
      </c>
      <c r="C2534" s="65">
        <v>43531</v>
      </c>
      <c r="D2534" s="1">
        <v>3.9186999999999999</v>
      </c>
    </row>
    <row r="2535" spans="1:4" x14ac:dyDescent="0.25">
      <c r="A2535" s="65">
        <v>43494</v>
      </c>
      <c r="B2535" s="1">
        <v>3.7852000000000001</v>
      </c>
      <c r="C2535" s="65">
        <v>43532</v>
      </c>
      <c r="D2535" s="1">
        <v>3.9595000000000002</v>
      </c>
    </row>
    <row r="2536" spans="1:4" x14ac:dyDescent="0.25">
      <c r="A2536" s="65">
        <v>43495</v>
      </c>
      <c r="B2536" s="1">
        <v>3.7787999999999999</v>
      </c>
      <c r="C2536" s="65">
        <v>43535</v>
      </c>
      <c r="D2536" s="1">
        <v>3.93</v>
      </c>
    </row>
    <row r="2537" spans="1:4" x14ac:dyDescent="0.25">
      <c r="A2537" s="65">
        <v>43496</v>
      </c>
      <c r="B2537" s="1">
        <v>3.7852999999999999</v>
      </c>
      <c r="C2537" s="65">
        <v>43536</v>
      </c>
      <c r="D2537" s="1">
        <v>3.9314</v>
      </c>
    </row>
    <row r="2538" spans="1:4" x14ac:dyDescent="0.25">
      <c r="A2538" s="65">
        <v>43497</v>
      </c>
      <c r="B2538" s="1">
        <v>3.7713000000000001</v>
      </c>
      <c r="C2538" s="65">
        <v>43537</v>
      </c>
      <c r="D2538" s="1">
        <v>3.9089999999999998</v>
      </c>
    </row>
    <row r="2539" spans="1:4" x14ac:dyDescent="0.25">
      <c r="A2539" s="65">
        <v>43500</v>
      </c>
      <c r="B2539" s="1">
        <v>3.7784</v>
      </c>
      <c r="C2539" s="65">
        <v>43538</v>
      </c>
      <c r="D2539" s="1">
        <v>3.8849999999999998</v>
      </c>
    </row>
    <row r="2540" spans="1:4" x14ac:dyDescent="0.25">
      <c r="A2540" s="65">
        <v>43501</v>
      </c>
      <c r="B2540" s="1">
        <v>3.7198000000000002</v>
      </c>
      <c r="C2540" s="65">
        <v>43539</v>
      </c>
      <c r="D2540" s="1">
        <v>3.8540000000000001</v>
      </c>
    </row>
    <row r="2541" spans="1:4" x14ac:dyDescent="0.25">
      <c r="A2541" s="65">
        <v>43502</v>
      </c>
      <c r="B2541" s="1">
        <v>3.7225000000000001</v>
      </c>
      <c r="C2541" s="65">
        <v>43542</v>
      </c>
      <c r="D2541" s="1">
        <v>3.8308</v>
      </c>
    </row>
    <row r="2542" spans="1:4" x14ac:dyDescent="0.25">
      <c r="A2542" s="65">
        <v>43503</v>
      </c>
      <c r="B2542" s="1">
        <v>3.7957000000000001</v>
      </c>
      <c r="C2542" s="65">
        <v>43543</v>
      </c>
      <c r="D2542" s="1">
        <v>3.7957999999999998</v>
      </c>
    </row>
    <row r="2543" spans="1:4" x14ac:dyDescent="0.25">
      <c r="A2543" s="65">
        <v>43504</v>
      </c>
      <c r="B2543" s="1">
        <v>3.8140000000000001</v>
      </c>
      <c r="C2543" s="65">
        <v>43544</v>
      </c>
      <c r="D2543" s="1">
        <v>3.8136000000000001</v>
      </c>
    </row>
    <row r="2544" spans="1:4" x14ac:dyDescent="0.25">
      <c r="A2544" s="65">
        <v>43507</v>
      </c>
      <c r="B2544" s="1">
        <v>3.7778999999999998</v>
      </c>
      <c r="C2544" s="65">
        <v>43545</v>
      </c>
      <c r="D2544" s="1">
        <v>3.8058999999999998</v>
      </c>
    </row>
    <row r="2545" spans="1:4" x14ac:dyDescent="0.25">
      <c r="A2545" s="65">
        <v>43508</v>
      </c>
      <c r="B2545" s="1">
        <v>3.7481</v>
      </c>
      <c r="C2545" s="65">
        <v>43546</v>
      </c>
      <c r="D2545" s="1">
        <v>3.8590999999999998</v>
      </c>
    </row>
    <row r="2546" spans="1:4" x14ac:dyDescent="0.25">
      <c r="A2546" s="65">
        <v>43509</v>
      </c>
      <c r="B2546" s="1">
        <v>3.7345000000000002</v>
      </c>
      <c r="C2546" s="65">
        <v>43549</v>
      </c>
      <c r="D2546" s="1">
        <v>3.8626</v>
      </c>
    </row>
    <row r="2547" spans="1:4" x14ac:dyDescent="0.25">
      <c r="A2547" s="65">
        <v>43510</v>
      </c>
      <c r="B2547" s="1">
        <v>3.7595999999999998</v>
      </c>
      <c r="C2547" s="65">
        <v>43550</v>
      </c>
      <c r="D2547" s="1">
        <v>3.8441000000000001</v>
      </c>
    </row>
    <row r="2548" spans="1:4" x14ac:dyDescent="0.25">
      <c r="A2548" s="65">
        <v>43511</v>
      </c>
      <c r="B2548" s="1">
        <v>3.6916000000000002</v>
      </c>
      <c r="C2548" s="65">
        <v>43551</v>
      </c>
      <c r="D2548" s="1">
        <v>3.8340999999999998</v>
      </c>
    </row>
    <row r="2549" spans="1:4" x14ac:dyDescent="0.25">
      <c r="A2549" s="65">
        <v>43514</v>
      </c>
      <c r="B2549" s="1">
        <v>3.6875999999999998</v>
      </c>
      <c r="C2549" s="65">
        <v>43552</v>
      </c>
      <c r="D2549" s="1">
        <v>3.8547000000000002</v>
      </c>
    </row>
    <row r="2550" spans="1:4" x14ac:dyDescent="0.25">
      <c r="A2550" s="65">
        <v>43515</v>
      </c>
      <c r="B2550" s="1">
        <v>3.6936999999999998</v>
      </c>
      <c r="C2550" s="65">
        <v>43553</v>
      </c>
      <c r="D2550" s="1">
        <v>3.8176000000000001</v>
      </c>
    </row>
    <row r="2551" spans="1:4" x14ac:dyDescent="0.25">
      <c r="A2551" s="65">
        <v>43516</v>
      </c>
      <c r="B2551" s="1">
        <v>3.6709000000000001</v>
      </c>
      <c r="C2551" s="65"/>
    </row>
    <row r="2552" spans="1:4" x14ac:dyDescent="0.25">
      <c r="A2552" s="65">
        <v>43517</v>
      </c>
      <c r="B2552" s="1">
        <v>3.6661999999999999</v>
      </c>
      <c r="C2552" s="65"/>
    </row>
    <row r="2553" spans="1:4" x14ac:dyDescent="0.25">
      <c r="A2553" s="65">
        <v>43518</v>
      </c>
      <c r="B2553" s="1">
        <v>3.6585000000000001</v>
      </c>
      <c r="C2553" s="65"/>
    </row>
    <row r="2554" spans="1:4" x14ac:dyDescent="0.25">
      <c r="A2554" s="65">
        <v>43521</v>
      </c>
      <c r="B2554" s="1">
        <v>3.6480000000000001</v>
      </c>
      <c r="C2554" s="65"/>
    </row>
    <row r="2555" spans="1:4" x14ac:dyDescent="0.25">
      <c r="A2555" s="65">
        <v>43522</v>
      </c>
      <c r="B2555" s="1">
        <v>3.6377000000000002</v>
      </c>
      <c r="C2555" s="65"/>
    </row>
    <row r="2556" spans="1:4" x14ac:dyDescent="0.25">
      <c r="A2556" s="65">
        <v>43523</v>
      </c>
      <c r="B2556" s="1">
        <v>3.6448999999999998</v>
      </c>
      <c r="C2556" s="65"/>
    </row>
    <row r="2557" spans="1:4" x14ac:dyDescent="0.25">
      <c r="A2557" s="65">
        <v>43524</v>
      </c>
      <c r="B2557" s="1">
        <v>3.6278000000000001</v>
      </c>
      <c r="C2557" s="65"/>
    </row>
    <row r="2558" spans="1:4" x14ac:dyDescent="0.25">
      <c r="A2558" s="65">
        <v>43525</v>
      </c>
      <c r="B2558" s="1">
        <v>3.6126</v>
      </c>
      <c r="C2558" s="65"/>
    </row>
    <row r="2559" spans="1:4" x14ac:dyDescent="0.25">
      <c r="A2559" s="65">
        <v>43528</v>
      </c>
      <c r="B2559" s="1">
        <v>3.6071999999999997</v>
      </c>
      <c r="C2559" s="65"/>
    </row>
    <row r="2560" spans="1:4" x14ac:dyDescent="0.25">
      <c r="A2560" s="65">
        <v>43529</v>
      </c>
      <c r="B2560" s="1">
        <v>3.5963000000000003</v>
      </c>
      <c r="C2560" s="65"/>
    </row>
    <row r="2561" spans="1:3" x14ac:dyDescent="0.25">
      <c r="A2561" s="65">
        <v>43530</v>
      </c>
      <c r="B2561" s="1">
        <v>3.5990000000000002</v>
      </c>
      <c r="C2561" s="65"/>
    </row>
    <row r="2562" spans="1:3" x14ac:dyDescent="0.25">
      <c r="A2562" s="65">
        <v>43531</v>
      </c>
      <c r="B2562" s="1">
        <v>3.6341999999999999</v>
      </c>
      <c r="C2562" s="65"/>
    </row>
    <row r="2563" spans="1:3" x14ac:dyDescent="0.25">
      <c r="A2563" s="65">
        <v>43532</v>
      </c>
      <c r="B2563" s="1">
        <v>3.6621999999999999</v>
      </c>
      <c r="C2563" s="65"/>
    </row>
    <row r="2564" spans="1:3" x14ac:dyDescent="0.25">
      <c r="A2564" s="65">
        <v>43535</v>
      </c>
      <c r="B2564" s="1">
        <v>3.6391</v>
      </c>
      <c r="C2564" s="65"/>
    </row>
    <row r="2565" spans="1:3" x14ac:dyDescent="0.25">
      <c r="A2565" s="65">
        <v>43536</v>
      </c>
      <c r="B2565" s="1">
        <v>3.6395999999999997</v>
      </c>
      <c r="C2565" s="65"/>
    </row>
    <row r="2566" spans="1:3" x14ac:dyDescent="0.25">
      <c r="A2566" s="65">
        <v>43537</v>
      </c>
      <c r="B2566" s="1">
        <v>3.6183000000000001</v>
      </c>
      <c r="C2566" s="65"/>
    </row>
    <row r="2567" spans="1:3" x14ac:dyDescent="0.25">
      <c r="A2567" s="65">
        <v>43538</v>
      </c>
      <c r="B2567" s="1">
        <v>3.5994000000000002</v>
      </c>
      <c r="C2567" s="65"/>
    </row>
    <row r="2568" spans="1:3" x14ac:dyDescent="0.25">
      <c r="A2568" s="65">
        <v>43539</v>
      </c>
      <c r="B2568" s="1">
        <v>3.5526</v>
      </c>
      <c r="C2568" s="65"/>
    </row>
    <row r="2569" spans="1:3" x14ac:dyDescent="0.25">
      <c r="A2569" s="65">
        <v>43542</v>
      </c>
      <c r="B2569" s="1">
        <v>3.5484999999999998</v>
      </c>
      <c r="C2569" s="65"/>
    </row>
    <row r="2570" spans="1:3" x14ac:dyDescent="0.25">
      <c r="A2570" s="65">
        <v>43543</v>
      </c>
      <c r="B2570" s="1">
        <v>3.5286999999999997</v>
      </c>
      <c r="C2570" s="65"/>
    </row>
    <row r="2571" spans="1:3" x14ac:dyDescent="0.25">
      <c r="A2571" s="65">
        <v>43544</v>
      </c>
      <c r="B2571" s="1">
        <v>3.5670000000000002</v>
      </c>
      <c r="C2571" s="65"/>
    </row>
    <row r="2572" spans="1:3" x14ac:dyDescent="0.25">
      <c r="A2572" s="65">
        <v>43545</v>
      </c>
      <c r="B2572" s="1">
        <v>3.5723000000000003</v>
      </c>
    </row>
    <row r="2573" spans="1:3" x14ac:dyDescent="0.25">
      <c r="A2573" s="65">
        <v>43546</v>
      </c>
      <c r="B2573" s="1">
        <v>3.6389</v>
      </c>
    </row>
    <row r="2574" spans="1:3" x14ac:dyDescent="0.25">
      <c r="A2574" s="65">
        <v>43549</v>
      </c>
      <c r="B2574" s="1">
        <v>3.6447000000000003</v>
      </c>
    </row>
    <row r="2575" spans="1:3" x14ac:dyDescent="0.25">
      <c r="A2575" s="65">
        <v>43550</v>
      </c>
      <c r="B2575" s="1">
        <v>3.6238000000000001</v>
      </c>
    </row>
    <row r="2576" spans="1:3" x14ac:dyDescent="0.25">
      <c r="A2576" s="65">
        <v>43551</v>
      </c>
      <c r="B2576" s="1">
        <v>3.6211000000000002</v>
      </c>
    </row>
    <row r="2577" spans="1:2" x14ac:dyDescent="0.25">
      <c r="A2577" s="65">
        <v>43552</v>
      </c>
      <c r="B2577" s="1">
        <v>3.6230000000000002</v>
      </c>
    </row>
    <row r="2578" spans="1:2" x14ac:dyDescent="0.25">
      <c r="A2578" s="65">
        <v>43553</v>
      </c>
      <c r="B2578" s="1">
        <v>3.5958000000000001</v>
      </c>
    </row>
  </sheetData>
  <mergeCells count="1">
    <mergeCell ref="A1:B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6">
    <tabColor theme="6" tint="-0.499984740745262"/>
  </sheetPr>
  <dimension ref="A1:AA87"/>
  <sheetViews>
    <sheetView zoomScale="130" zoomScaleNormal="130" workbookViewId="0">
      <selection sqref="A1:F1"/>
    </sheetView>
  </sheetViews>
  <sheetFormatPr defaultColWidth="9.125" defaultRowHeight="10.9" x14ac:dyDescent="0.25"/>
  <cols>
    <col min="1" max="1" width="11.625" style="1" bestFit="1" customWidth="1"/>
    <col min="2" max="16384" width="9.125" style="1"/>
  </cols>
  <sheetData>
    <row r="1" spans="1:27" x14ac:dyDescent="0.25">
      <c r="A1" s="121" t="s">
        <v>76</v>
      </c>
      <c r="B1" s="121"/>
      <c r="C1" s="121"/>
      <c r="D1" s="121"/>
      <c r="E1" s="121"/>
      <c r="F1" s="121"/>
      <c r="H1" s="121" t="s">
        <v>77</v>
      </c>
      <c r="I1" s="121"/>
      <c r="J1" s="121"/>
      <c r="K1" s="121"/>
      <c r="L1" s="121"/>
      <c r="M1" s="121"/>
      <c r="O1" s="121" t="s">
        <v>78</v>
      </c>
      <c r="P1" s="121"/>
      <c r="Q1" s="121"/>
      <c r="R1" s="121"/>
      <c r="S1" s="121"/>
      <c r="T1" s="121"/>
      <c r="V1" s="121" t="s">
        <v>121</v>
      </c>
      <c r="W1" s="121"/>
      <c r="X1" s="121"/>
      <c r="Y1" s="121"/>
      <c r="Z1" s="121"/>
      <c r="AA1" s="121"/>
    </row>
    <row r="2" spans="1:27" x14ac:dyDescent="0.25">
      <c r="A2" s="13" t="s">
        <v>4</v>
      </c>
      <c r="B2" s="13" t="s">
        <v>0</v>
      </c>
      <c r="C2" s="13" t="s">
        <v>5</v>
      </c>
      <c r="D2" s="14" t="s">
        <v>7</v>
      </c>
      <c r="E2" s="14" t="s">
        <v>7</v>
      </c>
      <c r="F2" s="13" t="s">
        <v>6</v>
      </c>
      <c r="H2" s="13" t="s">
        <v>79</v>
      </c>
      <c r="I2" s="13" t="s">
        <v>0</v>
      </c>
      <c r="J2" s="13" t="s">
        <v>5</v>
      </c>
      <c r="K2" s="14" t="s">
        <v>7</v>
      </c>
      <c r="L2" s="14" t="s">
        <v>7</v>
      </c>
      <c r="M2" s="13" t="s">
        <v>6</v>
      </c>
      <c r="O2" s="13" t="s">
        <v>80</v>
      </c>
      <c r="P2" s="13" t="s">
        <v>0</v>
      </c>
      <c r="Q2" s="13" t="s">
        <v>5</v>
      </c>
      <c r="R2" s="14" t="s">
        <v>7</v>
      </c>
      <c r="S2" s="14" t="s">
        <v>7</v>
      </c>
      <c r="T2" s="13" t="s">
        <v>6</v>
      </c>
      <c r="V2" s="13" t="s">
        <v>141</v>
      </c>
      <c r="W2" s="13" t="s">
        <v>0</v>
      </c>
      <c r="X2" s="13" t="s">
        <v>5</v>
      </c>
      <c r="Y2" s="14" t="s">
        <v>7</v>
      </c>
      <c r="Z2" s="14" t="s">
        <v>7</v>
      </c>
      <c r="AA2" s="13" t="s">
        <v>6</v>
      </c>
    </row>
    <row r="3" spans="1:27" x14ac:dyDescent="0.25">
      <c r="A3" s="13" t="s">
        <v>57</v>
      </c>
      <c r="B3" s="15" t="e">
        <f ca="1">_xll.BDH(A3,$C$2,'UNDERLYING INFO'!$B$1,'UNDERLYING INFO'!$B$1,"Dts=S","cols=2;rows=1")</f>
        <v>#NAME?</v>
      </c>
      <c r="C3" s="49">
        <v>-0.38</v>
      </c>
      <c r="D3" s="102">
        <v>7</v>
      </c>
      <c r="E3" s="51">
        <f>DATE(YEAR('UNDERLYING INFO'!$B$1),MONTH('UNDERLYING INFO'!$B$1),DAY('UNDERLYING INFO'!$B$1)+D3)</f>
        <v>43560</v>
      </c>
      <c r="F3" s="52">
        <f t="shared" ref="F3:F20" si="0">C3/100</f>
        <v>-3.8E-3</v>
      </c>
      <c r="H3" s="13" t="s">
        <v>84</v>
      </c>
      <c r="I3" s="15" t="e">
        <f ca="1">_xll.BDH(H3,$C$2,'UNDERLYING INFO'!$B$1,'UNDERLYING INFO'!$B$1,"Dts=S","cols=2;rows=1")</f>
        <v>#NAME?</v>
      </c>
      <c r="J3" s="49">
        <v>2.3820000000000001</v>
      </c>
      <c r="K3" s="102">
        <v>7</v>
      </c>
      <c r="L3" s="51">
        <f>DATE(YEAR('UNDERLYING INFO'!$B$1),MONTH('UNDERLYING INFO'!$B$1),DAY('UNDERLYING INFO'!$B$1)+K3)</f>
        <v>43560</v>
      </c>
      <c r="M3" s="52">
        <f t="shared" ref="M3:M20" si="1">J3/100</f>
        <v>2.3820000000000001E-2</v>
      </c>
      <c r="O3" s="13" t="s">
        <v>102</v>
      </c>
      <c r="P3" s="15" t="e">
        <f ca="1">_xll.BDH(O3,$C$2,'UNDERLYING INFO'!$B$1,'UNDERLYING INFO'!$B$1,"Dts=S","cols=2;rows=1")</f>
        <v>#NAME?</v>
      </c>
      <c r="Q3" s="49">
        <v>-0.10317</v>
      </c>
      <c r="R3" s="50">
        <v>2.7397260273972603E-3</v>
      </c>
      <c r="S3" s="51">
        <f>DATE(YEAR('UNDERLYING INFO'!$B$1),MONTH('UNDERLYING INFO'!$B$1),DAY('UNDERLYING INFO'!$B$1)+R3*365)</f>
        <v>43554</v>
      </c>
      <c r="T3" s="52">
        <f t="shared" ref="F3:T21" si="2">Q3/100</f>
        <v>-1.0317E-3</v>
      </c>
      <c r="V3" s="13" t="s">
        <v>122</v>
      </c>
      <c r="W3" s="15" t="e">
        <f ca="1">_xll.BDH(V3,$C$2,'UNDERLYING INFO'!$B$1,'UNDERLYING INFO'!$B$1,"Dts=S","cols=2;rows=1")</f>
        <v>#NAME?</v>
      </c>
      <c r="X3" s="49">
        <v>0.67374999999999996</v>
      </c>
      <c r="Y3" s="50">
        <v>2.7397260273972603E-3</v>
      </c>
      <c r="Z3" s="51">
        <f>DATE(YEAR('UNDERLYING INFO'!$B$1),MONTH('UNDERLYING INFO'!$B$1),DAY('UNDERLYING INFO'!$B$1)+Y3*365)</f>
        <v>43554</v>
      </c>
      <c r="AA3" s="52">
        <f t="shared" ref="M3:AA21" si="3">X3/100</f>
        <v>6.7374999999999996E-3</v>
      </c>
    </row>
    <row r="4" spans="1:27" x14ac:dyDescent="0.25">
      <c r="A4" s="13" t="s">
        <v>58</v>
      </c>
      <c r="B4" s="15" t="e">
        <f ca="1">_xll.BDH(A4,$C$2,'UNDERLYING INFO'!$B$1,'UNDERLYING INFO'!$B$1,"Dts=S","cols=2;rows=1")</f>
        <v>#NAME?</v>
      </c>
      <c r="C4" s="49">
        <v>-0.36699999999999999</v>
      </c>
      <c r="D4" s="102">
        <v>1</v>
      </c>
      <c r="E4" s="51">
        <f>DATE(YEAR('UNDERLYING INFO'!$B$1),MONTH('UNDERLYING INFO'!$B$1)+D4,DAY('UNDERLYING INFO'!$B$1))</f>
        <v>43584</v>
      </c>
      <c r="F4" s="52">
        <f t="shared" si="0"/>
        <v>-3.6700000000000001E-3</v>
      </c>
      <c r="H4" s="13" t="s">
        <v>85</v>
      </c>
      <c r="I4" s="15" t="e">
        <f ca="1">_xll.BDH(H4,$C$2,'UNDERLYING INFO'!$B$1,'UNDERLYING INFO'!$B$1,"Dts=S","cols=2;rows=1")</f>
        <v>#NAME?</v>
      </c>
      <c r="J4" s="49">
        <v>2.423</v>
      </c>
      <c r="K4" s="102">
        <v>1</v>
      </c>
      <c r="L4" s="51">
        <f>DATE(YEAR('UNDERLYING INFO'!$B$1),MONTH('UNDERLYING INFO'!$B$1)+K4,DAY('UNDERLYING INFO'!$B$1))</f>
        <v>43584</v>
      </c>
      <c r="M4" s="52">
        <f t="shared" si="1"/>
        <v>2.4230000000000002E-2</v>
      </c>
      <c r="O4" s="13" t="s">
        <v>103</v>
      </c>
      <c r="P4" s="15" t="e">
        <f ca="1">_xll.BDH(O4,$C$2,'UNDERLYING INFO'!$B$1,'UNDERLYING INFO'!$B$1,"Dts=S","cols=2;rows=1")</f>
        <v>#NAME?</v>
      </c>
      <c r="Q4" s="49">
        <v>-9.35E-2</v>
      </c>
      <c r="R4" s="50">
        <v>1.9178082191780823E-2</v>
      </c>
      <c r="S4" s="51">
        <f>DATE(YEAR('UNDERLYING INFO'!$B$1),MONTH('UNDERLYING INFO'!$B$1),DAY('UNDERLYING INFO'!$B$1)+R4*365)</f>
        <v>43560</v>
      </c>
      <c r="T4" s="52">
        <f t="shared" si="2"/>
        <v>-9.3499999999999996E-4</v>
      </c>
      <c r="V4" s="13" t="s">
        <v>123</v>
      </c>
      <c r="W4" s="15" t="e">
        <f ca="1">_xll.BDH(V4,$C$2,'UNDERLYING INFO'!$B$1,'UNDERLYING INFO'!$B$1,"Dts=S","cols=2;rows=1")</f>
        <v>#NAME?</v>
      </c>
      <c r="X4" s="49">
        <v>0.69313000000000002</v>
      </c>
      <c r="Y4" s="50">
        <v>1.9178082191780823E-2</v>
      </c>
      <c r="Z4" s="51">
        <f>DATE(YEAR('UNDERLYING INFO'!$B$1),MONTH('UNDERLYING INFO'!$B$1),DAY('UNDERLYING INFO'!$B$1)+Y4*365)</f>
        <v>43560</v>
      </c>
      <c r="AA4" s="52">
        <f t="shared" si="3"/>
        <v>6.9313000000000005E-3</v>
      </c>
    </row>
    <row r="5" spans="1:27" x14ac:dyDescent="0.25">
      <c r="A5" s="13" t="s">
        <v>59</v>
      </c>
      <c r="B5" s="15" t="e">
        <f ca="1">_xll.BDH(A5,$C$2,'UNDERLYING INFO'!$B$1,'UNDERLYING INFO'!$B$1,"Dts=S","cols=2;rows=1")</f>
        <v>#NAME?</v>
      </c>
      <c r="C5" s="49">
        <v>-0.311</v>
      </c>
      <c r="D5" s="102">
        <v>3</v>
      </c>
      <c r="E5" s="51">
        <f>DATE(YEAR('UNDERLYING INFO'!$B$1),MONTH('UNDERLYING INFO'!$B$1)+D5,DAY('UNDERLYING INFO'!$B$1))</f>
        <v>43645</v>
      </c>
      <c r="F5" s="52">
        <f t="shared" si="0"/>
        <v>-3.1099999999999999E-3</v>
      </c>
      <c r="H5" s="13" t="s">
        <v>86</v>
      </c>
      <c r="I5" s="15" t="e">
        <f ca="1">_xll.BDH(H5,$C$2,'UNDERLYING INFO'!$B$1,'UNDERLYING INFO'!$B$1,"Dts=S","cols=2;rows=1")</f>
        <v>#NAME?</v>
      </c>
      <c r="J5" s="49">
        <v>2.4944999999999999</v>
      </c>
      <c r="K5" s="102">
        <v>3</v>
      </c>
      <c r="L5" s="51">
        <f>DATE(YEAR('UNDERLYING INFO'!$B$1),MONTH('UNDERLYING INFO'!$B$1)+K5,DAY('UNDERLYING INFO'!$B$1))</f>
        <v>43645</v>
      </c>
      <c r="M5" s="52">
        <f t="shared" si="1"/>
        <v>2.4944999999999998E-2</v>
      </c>
      <c r="O5" s="13" t="s">
        <v>104</v>
      </c>
      <c r="P5" s="15" t="e">
        <f ca="1">_xll.BDH(O5,$C$2,'UNDERLYING INFO'!$B$1,'UNDERLYING INFO'!$B$1,"Dts=S","cols=2;rows=1")</f>
        <v>#NAME?</v>
      </c>
      <c r="Q5" s="49">
        <v>-9.9830000000000002E-2</v>
      </c>
      <c r="R5" s="50">
        <v>8.3333333333333329E-2</v>
      </c>
      <c r="S5" s="51">
        <f>DATE(YEAR('UNDERLYING INFO'!$B$1),MONTH('UNDERLYING INFO'!$B$1),DAY('UNDERLYING INFO'!$B$1)+R5*365)</f>
        <v>43583</v>
      </c>
      <c r="T5" s="52">
        <f t="shared" si="2"/>
        <v>-9.9829999999999993E-4</v>
      </c>
      <c r="V5" s="13" t="s">
        <v>124</v>
      </c>
      <c r="W5" s="15" t="e">
        <f ca="1">_xll.BDH(V5,$C$2,'UNDERLYING INFO'!$B$1,'UNDERLYING INFO'!$B$1,"Dts=S","cols=2;rows=1")</f>
        <v>#NAME?</v>
      </c>
      <c r="X5" s="49">
        <v>0.73087999999999997</v>
      </c>
      <c r="Y5" s="50">
        <v>8.3333333333333329E-2</v>
      </c>
      <c r="Z5" s="51">
        <f>DATE(YEAR('UNDERLYING INFO'!$B$1),MONTH('UNDERLYING INFO'!$B$1),DAY('UNDERLYING INFO'!$B$1)+Y5*365)</f>
        <v>43583</v>
      </c>
      <c r="AA5" s="52">
        <f t="shared" si="3"/>
        <v>7.3087999999999998E-3</v>
      </c>
    </row>
    <row r="6" spans="1:27" x14ac:dyDescent="0.25">
      <c r="A6" s="13" t="s">
        <v>60</v>
      </c>
      <c r="B6" s="15" t="e">
        <f ca="1">_xll.BDH(A6,$C$2,'UNDERLYING INFO'!$B$1,'UNDERLYING INFO'!$B$1,"Dts=S","cols=2;rows=1")</f>
        <v>#NAME?</v>
      </c>
      <c r="C6" s="49">
        <v>-0.22800000000000001</v>
      </c>
      <c r="D6" s="102">
        <v>6</v>
      </c>
      <c r="E6" s="51">
        <f>DATE(YEAR('UNDERLYING INFO'!$B$1),MONTH('UNDERLYING INFO'!$B$1)+D6,DAY('UNDERLYING INFO'!$B$1))</f>
        <v>43737</v>
      </c>
      <c r="F6" s="52">
        <f t="shared" si="0"/>
        <v>-2.2799999999999999E-3</v>
      </c>
      <c r="H6" s="13" t="s">
        <v>87</v>
      </c>
      <c r="I6" s="15" t="e">
        <f ca="1">_xll.BDH(H6,$C$2,'UNDERLYING INFO'!$B$1,'UNDERLYING INFO'!$B$1,"Dts=S","cols=2;rows=1")</f>
        <v>#NAME?</v>
      </c>
      <c r="J6" s="49">
        <v>2.5638800000000002</v>
      </c>
      <c r="K6" s="102">
        <v>6</v>
      </c>
      <c r="L6" s="51">
        <f>DATE(YEAR('UNDERLYING INFO'!$B$1),MONTH('UNDERLYING INFO'!$B$1)+K6,DAY('UNDERLYING INFO'!$B$1))</f>
        <v>43737</v>
      </c>
      <c r="M6" s="52">
        <f t="shared" si="1"/>
        <v>2.5638800000000003E-2</v>
      </c>
      <c r="O6" s="13" t="s">
        <v>105</v>
      </c>
      <c r="P6" s="15" t="e">
        <f ca="1">_xll.BDH(O6,$C$2,'UNDERLYING INFO'!$B$1,'UNDERLYING INFO'!$B$1,"Dts=S","cols=2;rows=1")</f>
        <v>#NAME?</v>
      </c>
      <c r="Q6" s="49">
        <v>-7.5170000000000001E-2</v>
      </c>
      <c r="R6" s="50">
        <v>0.16666666666666666</v>
      </c>
      <c r="S6" s="51">
        <f>DATE(YEAR('UNDERLYING INFO'!$B$1),MONTH('UNDERLYING INFO'!$B$1),DAY('UNDERLYING INFO'!$B$1)+R6*365)</f>
        <v>43613</v>
      </c>
      <c r="T6" s="52">
        <f t="shared" si="2"/>
        <v>-7.517E-4</v>
      </c>
      <c r="V6" s="13" t="s">
        <v>125</v>
      </c>
      <c r="W6" s="15" t="e">
        <f ca="1">_xll.BDH(V6,$C$2,'UNDERLYING INFO'!$B$1,'UNDERLYING INFO'!$B$1,"Dts=S","cols=2;rows=1")</f>
        <v>#NAME?</v>
      </c>
      <c r="X6" s="49">
        <v>0.77263000000000004</v>
      </c>
      <c r="Y6" s="50">
        <v>0.16666666666666666</v>
      </c>
      <c r="Z6" s="51">
        <f>DATE(YEAR('UNDERLYING INFO'!$B$1),MONTH('UNDERLYING INFO'!$B$1),DAY('UNDERLYING INFO'!$B$1)+Y6*365)</f>
        <v>43613</v>
      </c>
      <c r="AA6" s="52">
        <f t="shared" si="3"/>
        <v>7.7263000000000002E-3</v>
      </c>
    </row>
    <row r="7" spans="1:27" x14ac:dyDescent="0.25">
      <c r="A7" s="13" t="s">
        <v>343</v>
      </c>
      <c r="B7" s="15" t="e">
        <f ca="1">_xll.BDH(A7,$C$2,'UNDERLYING INFO'!$B$1,'UNDERLYING INFO'!$B$1,"Dts=S","cols=2;rows=1")</f>
        <v>#NAME?</v>
      </c>
      <c r="C7" s="49">
        <v>-0.22969999999999999</v>
      </c>
      <c r="D7" s="102">
        <v>1</v>
      </c>
      <c r="E7" s="51">
        <f>DATE(YEAR('UNDERLYING INFO'!$B$1)+D7,MONTH('UNDERLYING INFO'!$B$1),DAY('UNDERLYING INFO'!$B$1))</f>
        <v>43919</v>
      </c>
      <c r="F7" s="52">
        <f t="shared" si="0"/>
        <v>-2.297E-3</v>
      </c>
      <c r="H7" s="13" t="s">
        <v>88</v>
      </c>
      <c r="I7" s="15" t="e">
        <f ca="1">_xll.BDH(H7,$C$2,'UNDERLYING INFO'!$B$1,'UNDERLYING INFO'!$B$1,"Dts=S","cols=2;rows=1")</f>
        <v>#NAME?</v>
      </c>
      <c r="J7" s="49">
        <v>2.5997500000000002</v>
      </c>
      <c r="K7" s="102">
        <v>1</v>
      </c>
      <c r="L7" s="51">
        <f>DATE(YEAR('UNDERLYING INFO'!$B$1)+K7,MONTH('UNDERLYING INFO'!$B$1),DAY('UNDERLYING INFO'!$B$1))</f>
        <v>43919</v>
      </c>
      <c r="M7" s="52">
        <f t="shared" si="1"/>
        <v>2.5997500000000003E-2</v>
      </c>
      <c r="O7" s="13" t="s">
        <v>106</v>
      </c>
      <c r="P7" s="15" t="e">
        <f ca="1">_xll.BDH(O7,$C$2,'UNDERLYING INFO'!$B$1,'UNDERLYING INFO'!$B$1,"Dts=S","cols=2;rows=1")</f>
        <v>#NAME?</v>
      </c>
      <c r="Q7" s="49">
        <v>-6.4000000000000001E-2</v>
      </c>
      <c r="R7" s="50">
        <v>0.25</v>
      </c>
      <c r="S7" s="51">
        <f>DATE(YEAR('UNDERLYING INFO'!$B$1),MONTH('UNDERLYING INFO'!$B$1),DAY('UNDERLYING INFO'!$B$1)+R7*365)</f>
        <v>43644</v>
      </c>
      <c r="T7" s="52">
        <f t="shared" si="2"/>
        <v>-6.4000000000000005E-4</v>
      </c>
      <c r="V7" s="13" t="s">
        <v>126</v>
      </c>
      <c r="W7" s="15" t="e">
        <f ca="1">_xll.BDH(V7,$C$2,'UNDERLYING INFO'!$B$1,'UNDERLYING INFO'!$B$1,"Dts=S","cols=2;rows=1")</f>
        <v>#NAME?</v>
      </c>
      <c r="X7" s="49">
        <v>0.84838000000000002</v>
      </c>
      <c r="Y7" s="50">
        <v>0.25</v>
      </c>
      <c r="Z7" s="51">
        <f>DATE(YEAR('UNDERLYING INFO'!$B$1),MONTH('UNDERLYING INFO'!$B$1),DAY('UNDERLYING INFO'!$B$1)+Y7*365)</f>
        <v>43644</v>
      </c>
      <c r="AA7" s="52">
        <f t="shared" si="3"/>
        <v>8.4837999999999997E-3</v>
      </c>
    </row>
    <row r="8" spans="1:27" x14ac:dyDescent="0.25">
      <c r="A8" s="13" t="s">
        <v>344</v>
      </c>
      <c r="B8" s="15" t="e">
        <f ca="1">_xll.BDH(A8,$C$2,'UNDERLYING INFO'!$B$1,'UNDERLYING INFO'!$B$1,"Dts=S","cols=2;rows=1")</f>
        <v>#NAME?</v>
      </c>
      <c r="C8" s="49">
        <v>-0.20119999999999999</v>
      </c>
      <c r="D8" s="102">
        <v>2</v>
      </c>
      <c r="E8" s="51">
        <f>DATE(YEAR('UNDERLYING INFO'!$B$1)+D8,MONTH('UNDERLYING INFO'!$B$1),DAY('UNDERLYING INFO'!$B$1))</f>
        <v>44284</v>
      </c>
      <c r="F8" s="52">
        <f t="shared" si="0"/>
        <v>-2.0119999999999999E-3</v>
      </c>
      <c r="H8" s="13" t="s">
        <v>89</v>
      </c>
      <c r="I8" s="15" t="e">
        <f ca="1">_xll.BDH(H8,$C$2,'UNDERLYING INFO'!$B$1,'UNDERLYING INFO'!$B$1,"Dts=S","cols=2;rows=1")</f>
        <v>#NAME?</v>
      </c>
      <c r="J8" s="49">
        <v>2.6595</v>
      </c>
      <c r="K8" s="102">
        <v>2</v>
      </c>
      <c r="L8" s="51">
        <f>DATE(YEAR('UNDERLYING INFO'!$B$1)+K8,MONTH('UNDERLYING INFO'!$B$1),DAY('UNDERLYING INFO'!$B$1))</f>
        <v>44284</v>
      </c>
      <c r="M8" s="52">
        <f t="shared" si="1"/>
        <v>2.6595000000000001E-2</v>
      </c>
      <c r="O8" s="13" t="s">
        <v>107</v>
      </c>
      <c r="P8" s="15" t="e">
        <f ca="1">_xll.BDH(O8,$C$2,'UNDERLYING INFO'!$B$1,'UNDERLYING INFO'!$B$1,"Dts=S","cols=2;rows=1")</f>
        <v>#NAME?</v>
      </c>
      <c r="Q8" s="49">
        <v>4.6699999999999997E-3</v>
      </c>
      <c r="R8" s="50">
        <v>0.5</v>
      </c>
      <c r="S8" s="51">
        <f>DATE(YEAR('UNDERLYING INFO'!$B$1),MONTH('UNDERLYING INFO'!$B$1),DAY('UNDERLYING INFO'!$B$1)+R8*365)</f>
        <v>43735</v>
      </c>
      <c r="T8" s="52">
        <f t="shared" si="2"/>
        <v>4.6699999999999997E-5</v>
      </c>
      <c r="V8" s="13" t="s">
        <v>127</v>
      </c>
      <c r="W8" s="15" t="e">
        <f ca="1">_xll.BDH(V8,$C$2,'UNDERLYING INFO'!$B$1,'UNDERLYING INFO'!$B$1,"Dts=S","cols=2;rows=1")</f>
        <v>#NAME?</v>
      </c>
      <c r="X8" s="49">
        <v>0.95474999999999999</v>
      </c>
      <c r="Y8" s="50">
        <v>0.5</v>
      </c>
      <c r="Z8" s="51">
        <f>DATE(YEAR('UNDERLYING INFO'!$B$1),MONTH('UNDERLYING INFO'!$B$1),DAY('UNDERLYING INFO'!$B$1)+Y8*365)</f>
        <v>43735</v>
      </c>
      <c r="AA8" s="52">
        <f t="shared" si="3"/>
        <v>9.5475000000000004E-3</v>
      </c>
    </row>
    <row r="9" spans="1:27" x14ac:dyDescent="0.25">
      <c r="A9" s="13" t="s">
        <v>345</v>
      </c>
      <c r="B9" s="15" t="e">
        <f ca="1">_xll.BDH(A9,$C$2,'UNDERLYING INFO'!$B$1,'UNDERLYING INFO'!$B$1,"Dts=S","cols=2;rows=1")</f>
        <v>#NAME?</v>
      </c>
      <c r="C9" s="49">
        <v>-0.13980000000000001</v>
      </c>
      <c r="D9" s="102">
        <v>3</v>
      </c>
      <c r="E9" s="51">
        <f>DATE(YEAR('UNDERLYING INFO'!$B$1)+D9,MONTH('UNDERLYING INFO'!$B$1),DAY('UNDERLYING INFO'!$B$1))</f>
        <v>44649</v>
      </c>
      <c r="F9" s="52">
        <f t="shared" si="0"/>
        <v>-1.3980000000000002E-3</v>
      </c>
      <c r="H9" s="13" t="s">
        <v>90</v>
      </c>
      <c r="I9" s="15" t="e">
        <f ca="1">_xll.BDH(H9,$C$2,'UNDERLYING INFO'!$B$1,'UNDERLYING INFO'!$B$1,"Dts=S","cols=2;rows=1")</f>
        <v>#NAME?</v>
      </c>
      <c r="J9" s="49">
        <v>2.7106300000000001</v>
      </c>
      <c r="K9" s="102">
        <v>3</v>
      </c>
      <c r="L9" s="51">
        <f>DATE(YEAR('UNDERLYING INFO'!$B$1)+K9,MONTH('UNDERLYING INFO'!$B$1),DAY('UNDERLYING INFO'!$B$1))</f>
        <v>44649</v>
      </c>
      <c r="M9" s="52">
        <f t="shared" si="1"/>
        <v>2.71063E-2</v>
      </c>
      <c r="O9" s="13" t="s">
        <v>108</v>
      </c>
      <c r="P9" s="15" t="e">
        <f ca="1">_xll.BDH(O9,$C$2,'UNDERLYING INFO'!$B$1,'UNDERLYING INFO'!$B$1,"Dts=S","cols=2;rows=1")</f>
        <v>#NAME?</v>
      </c>
      <c r="Q9" s="49">
        <v>9.2499999999999999E-2</v>
      </c>
      <c r="R9" s="53">
        <v>1</v>
      </c>
      <c r="S9" s="51">
        <f>DATE(YEAR('UNDERLYING INFO'!$B$1),MONTH('UNDERLYING INFO'!$B$1),DAY('UNDERLYING INFO'!$B$1)+R9*365)</f>
        <v>43918</v>
      </c>
      <c r="T9" s="52">
        <f t="shared" si="2"/>
        <v>9.2500000000000004E-4</v>
      </c>
      <c r="V9" s="13" t="s">
        <v>128</v>
      </c>
      <c r="W9" s="15" t="e">
        <f ca="1">_xll.BDH(V9,$C$2,'UNDERLYING INFO'!$B$1,'UNDERLYING INFO'!$B$1,"Dts=S","cols=2;rows=1")</f>
        <v>#NAME?</v>
      </c>
      <c r="X9" s="49">
        <v>1.0620000000000001</v>
      </c>
      <c r="Y9" s="53">
        <v>1</v>
      </c>
      <c r="Z9" s="51">
        <f>DATE(YEAR('UNDERLYING INFO'!$B$1),MONTH('UNDERLYING INFO'!$B$1),DAY('UNDERLYING INFO'!$B$1)+Y9*365)</f>
        <v>43918</v>
      </c>
      <c r="AA9" s="52">
        <f t="shared" si="3"/>
        <v>1.0620000000000001E-2</v>
      </c>
    </row>
    <row r="10" spans="1:27" x14ac:dyDescent="0.25">
      <c r="A10" s="13" t="s">
        <v>346</v>
      </c>
      <c r="B10" s="15" t="e">
        <f ca="1">_xll.BDH(A10,$C$2,'UNDERLYING INFO'!$B$1,'UNDERLYING INFO'!$B$1,"Dts=S","cols=2;rows=1")</f>
        <v>#NAME?</v>
      </c>
      <c r="C10" s="49">
        <v>-6.5799999999999997E-2</v>
      </c>
      <c r="D10" s="102">
        <v>4</v>
      </c>
      <c r="E10" s="51">
        <f>DATE(YEAR('UNDERLYING INFO'!$B$1)+D10,MONTH('UNDERLYING INFO'!$B$1),DAY('UNDERLYING INFO'!$B$1))</f>
        <v>45014</v>
      </c>
      <c r="F10" s="52">
        <f t="shared" si="0"/>
        <v>-6.5799999999999995E-4</v>
      </c>
      <c r="H10" s="13" t="s">
        <v>91</v>
      </c>
      <c r="I10" s="15" t="e">
        <f ca="1">_xll.BDH(H10,$C$2,'UNDERLYING INFO'!$B$1,'UNDERLYING INFO'!$B$1,"Dts=S","cols=2;rows=1")</f>
        <v>#NAME?</v>
      </c>
      <c r="J10" s="49">
        <v>2.3849999999999998</v>
      </c>
      <c r="K10" s="102">
        <v>4</v>
      </c>
      <c r="L10" s="51">
        <f>DATE(YEAR('UNDERLYING INFO'!$B$1)+K10,MONTH('UNDERLYING INFO'!$B$1),DAY('UNDERLYING INFO'!$B$1))</f>
        <v>45014</v>
      </c>
      <c r="M10" s="52">
        <f t="shared" si="1"/>
        <v>2.3849999999999996E-2</v>
      </c>
      <c r="O10" s="13" t="s">
        <v>109</v>
      </c>
      <c r="P10" s="15" t="e">
        <f ca="1">_xll.BDH(O10,$C$2,'UNDERLYING INFO'!$B$1,'UNDERLYING INFO'!$B$1,"Dts=S","cols=2;rows=1")</f>
        <v>#NAME?</v>
      </c>
      <c r="Q10" s="49">
        <v>-4.2999999999999997E-2</v>
      </c>
      <c r="R10" s="53">
        <v>2</v>
      </c>
      <c r="S10" s="51">
        <f>DATE(YEAR('UNDERLYING INFO'!$B$1),MONTH('UNDERLYING INFO'!$B$1),DAY('UNDERLYING INFO'!$B$1)+R10*365)</f>
        <v>44283</v>
      </c>
      <c r="T10" s="52">
        <f t="shared" si="2"/>
        <v>-4.2999999999999999E-4</v>
      </c>
      <c r="V10" s="13" t="s">
        <v>129</v>
      </c>
      <c r="W10" s="15" t="e">
        <f ca="1">_xll.BDH(V10,$C$2,'UNDERLYING INFO'!$B$1,'UNDERLYING INFO'!$B$1,"Dts=S","cols=2;rows=1")</f>
        <v>#NAME?</v>
      </c>
      <c r="X10" s="49">
        <v>0.93799999999999994</v>
      </c>
      <c r="Y10" s="53">
        <v>2</v>
      </c>
      <c r="Z10" s="51">
        <f>DATE(YEAR('UNDERLYING INFO'!$B$1),MONTH('UNDERLYING INFO'!$B$1),DAY('UNDERLYING INFO'!$B$1)+Y10*365)</f>
        <v>44283</v>
      </c>
      <c r="AA10" s="52">
        <f t="shared" si="3"/>
        <v>9.3799999999999994E-3</v>
      </c>
    </row>
    <row r="11" spans="1:27" x14ac:dyDescent="0.25">
      <c r="A11" s="13" t="s">
        <v>347</v>
      </c>
      <c r="B11" s="15" t="e">
        <f ca="1">_xll.BDH(A11,$C$2,'UNDERLYING INFO'!$B$1,'UNDERLYING INFO'!$B$1,"Dts=S","cols=2;rows=1")</f>
        <v>#NAME?</v>
      </c>
      <c r="C11" s="49">
        <v>1.3599999999999999E-2</v>
      </c>
      <c r="D11" s="102">
        <v>5</v>
      </c>
      <c r="E11" s="51">
        <f>DATE(YEAR('UNDERLYING INFO'!$B$1)+D11,MONTH('UNDERLYING INFO'!$B$1),DAY('UNDERLYING INFO'!$B$1))</f>
        <v>45380</v>
      </c>
      <c r="F11" s="52">
        <f t="shared" si="0"/>
        <v>1.36E-4</v>
      </c>
      <c r="H11" s="13" t="s">
        <v>92</v>
      </c>
      <c r="I11" s="15" t="e">
        <f ca="1">_xll.BDH(H11,$C$2,'UNDERLYING INFO'!$B$1,'UNDERLYING INFO'!$B$1,"Dts=S","cols=2;rows=1")</f>
        <v>#NAME?</v>
      </c>
      <c r="J11" s="49">
        <v>2.3050000000000002</v>
      </c>
      <c r="K11" s="102">
        <v>5</v>
      </c>
      <c r="L11" s="51">
        <f>DATE(YEAR('UNDERLYING INFO'!$B$1)+K11,MONTH('UNDERLYING INFO'!$B$1),DAY('UNDERLYING INFO'!$B$1))</f>
        <v>45380</v>
      </c>
      <c r="M11" s="52">
        <f t="shared" si="1"/>
        <v>2.3050000000000001E-2</v>
      </c>
      <c r="O11" s="13" t="s">
        <v>110</v>
      </c>
      <c r="P11" s="15" t="e">
        <f ca="1">_xll.BDH(O11,$C$2,'UNDERLYING INFO'!$B$1,'UNDERLYING INFO'!$B$1,"Dts=S","cols=2;rows=1")</f>
        <v>#NAME?</v>
      </c>
      <c r="Q11" s="49">
        <v>-5.6000000000000001E-2</v>
      </c>
      <c r="R11" s="53">
        <v>3</v>
      </c>
      <c r="S11" s="51">
        <f>DATE(YEAR('UNDERLYING INFO'!$B$1),MONTH('UNDERLYING INFO'!$B$1),DAY('UNDERLYING INFO'!$B$1)+R11*365)</f>
        <v>44648</v>
      </c>
      <c r="T11" s="52">
        <f t="shared" si="2"/>
        <v>-5.6000000000000006E-4</v>
      </c>
      <c r="V11" s="13" t="s">
        <v>130</v>
      </c>
      <c r="W11" s="15" t="e">
        <f ca="1">_xll.BDH(V11,$C$2,'UNDERLYING INFO'!$B$1,'UNDERLYING INFO'!$B$1,"Dts=S","cols=2;rows=1")</f>
        <v>#NAME?</v>
      </c>
      <c r="X11" s="49">
        <v>0.98</v>
      </c>
      <c r="Y11" s="53">
        <v>3</v>
      </c>
      <c r="Z11" s="51">
        <f>DATE(YEAR('UNDERLYING INFO'!$B$1),MONTH('UNDERLYING INFO'!$B$1),DAY('UNDERLYING INFO'!$B$1)+Y11*365)</f>
        <v>44648</v>
      </c>
      <c r="AA11" s="52">
        <f t="shared" si="3"/>
        <v>9.7999999999999997E-3</v>
      </c>
    </row>
    <row r="12" spans="1:27" x14ac:dyDescent="0.25">
      <c r="A12" s="13" t="s">
        <v>348</v>
      </c>
      <c r="B12" s="15" t="e">
        <f ca="1">_xll.BDH(A12,$C$2,'UNDERLYING INFO'!$B$1,'UNDERLYING INFO'!$B$1,"Dts=S","cols=2;rows=1")</f>
        <v>#NAME?</v>
      </c>
      <c r="C12" s="49">
        <v>0.1013</v>
      </c>
      <c r="D12" s="102">
        <v>6</v>
      </c>
      <c r="E12" s="51">
        <f>DATE(YEAR('UNDERLYING INFO'!$B$1)+D12,MONTH('UNDERLYING INFO'!$B$1),DAY('UNDERLYING INFO'!$B$1))</f>
        <v>45745</v>
      </c>
      <c r="F12" s="52">
        <f t="shared" si="0"/>
        <v>1.013E-3</v>
      </c>
      <c r="H12" s="13" t="s">
        <v>93</v>
      </c>
      <c r="I12" s="15" t="e">
        <f ca="1">_xll.BDH(H12,$C$2,'UNDERLYING INFO'!$B$1,'UNDERLYING INFO'!$B$1,"Dts=S","cols=2;rows=1")</f>
        <v>#NAME?</v>
      </c>
      <c r="J12" s="49">
        <v>2.2789999999999999</v>
      </c>
      <c r="K12" s="102">
        <v>6</v>
      </c>
      <c r="L12" s="51">
        <f>DATE(YEAR('UNDERLYING INFO'!$B$1)+K12,MONTH('UNDERLYING INFO'!$B$1),DAY('UNDERLYING INFO'!$B$1))</f>
        <v>45745</v>
      </c>
      <c r="M12" s="52">
        <f t="shared" si="1"/>
        <v>2.2789999999999998E-2</v>
      </c>
      <c r="O12" s="13" t="s">
        <v>111</v>
      </c>
      <c r="P12" s="15" t="e">
        <f ca="1">_xll.BDH(O12,$C$2,'UNDERLYING INFO'!$B$1,'UNDERLYING INFO'!$B$1,"Dts=S","cols=2;rows=1")</f>
        <v>#NAME?</v>
      </c>
      <c r="Q12" s="49">
        <v>-5.7000000000000002E-2</v>
      </c>
      <c r="R12" s="53">
        <v>4</v>
      </c>
      <c r="S12" s="51">
        <f>DATE(YEAR('UNDERLYING INFO'!$B$1),MONTH('UNDERLYING INFO'!$B$1),DAY('UNDERLYING INFO'!$B$1)+R12*365)</f>
        <v>45013</v>
      </c>
      <c r="T12" s="52">
        <f t="shared" si="2"/>
        <v>-5.6999999999999998E-4</v>
      </c>
      <c r="V12" s="13" t="s">
        <v>131</v>
      </c>
      <c r="W12" s="15" t="e">
        <f ca="1">_xll.BDH(V12,$C$2,'UNDERLYING INFO'!$B$1,'UNDERLYING INFO'!$B$1,"Dts=S","cols=2;rows=1")</f>
        <v>#NAME?</v>
      </c>
      <c r="X12" s="49">
        <v>1.0169999999999999</v>
      </c>
      <c r="Y12" s="53">
        <v>4</v>
      </c>
      <c r="Z12" s="51">
        <f>DATE(YEAR('UNDERLYING INFO'!$B$1),MONTH('UNDERLYING INFO'!$B$1),DAY('UNDERLYING INFO'!$B$1)+Y12*365)</f>
        <v>45013</v>
      </c>
      <c r="AA12" s="52">
        <f t="shared" si="3"/>
        <v>1.0169999999999998E-2</v>
      </c>
    </row>
    <row r="13" spans="1:27" x14ac:dyDescent="0.25">
      <c r="A13" s="13" t="s">
        <v>349</v>
      </c>
      <c r="B13" s="15" t="e">
        <f ca="1">_xll.BDH(A13,$C$2,'UNDERLYING INFO'!$B$1,'UNDERLYING INFO'!$B$1,"Dts=S","cols=2;rows=1")</f>
        <v>#NAME?</v>
      </c>
      <c r="C13" s="49">
        <v>0.1938</v>
      </c>
      <c r="D13" s="102">
        <v>7</v>
      </c>
      <c r="E13" s="51">
        <f>DATE(YEAR('UNDERLYING INFO'!$B$1)+D13,MONTH('UNDERLYING INFO'!$B$1),DAY('UNDERLYING INFO'!$B$1))</f>
        <v>46110</v>
      </c>
      <c r="F13" s="52">
        <f t="shared" si="0"/>
        <v>1.9380000000000001E-3</v>
      </c>
      <c r="H13" s="13" t="s">
        <v>94</v>
      </c>
      <c r="I13" s="15" t="e">
        <f ca="1">_xll.BDH(H13,$C$2,'UNDERLYING INFO'!$B$1,'UNDERLYING INFO'!$B$1,"Dts=S","cols=2;rows=1")</f>
        <v>#NAME?</v>
      </c>
      <c r="J13" s="49">
        <v>2.2829999999999999</v>
      </c>
      <c r="K13" s="102">
        <v>7</v>
      </c>
      <c r="L13" s="51">
        <f>DATE(YEAR('UNDERLYING INFO'!$B$1)+K13,MONTH('UNDERLYING INFO'!$B$1),DAY('UNDERLYING INFO'!$B$1))</f>
        <v>46110</v>
      </c>
      <c r="M13" s="52">
        <f t="shared" si="1"/>
        <v>2.283E-2</v>
      </c>
      <c r="O13" s="13" t="s">
        <v>112</v>
      </c>
      <c r="P13" s="15" t="e">
        <f ca="1">_xll.BDH(O13,$C$2,'UNDERLYING INFO'!$B$1,'UNDERLYING INFO'!$B$1,"Dts=S","cols=2;rows=1")</f>
        <v>#NAME?</v>
      </c>
      <c r="Q13" s="49">
        <v>-4.5999999999999999E-2</v>
      </c>
      <c r="R13" s="53">
        <v>5</v>
      </c>
      <c r="S13" s="51">
        <f>DATE(YEAR('UNDERLYING INFO'!$B$1),MONTH('UNDERLYING INFO'!$B$1),DAY('UNDERLYING INFO'!$B$1)+R13*365)</f>
        <v>45378</v>
      </c>
      <c r="T13" s="52">
        <f t="shared" si="2"/>
        <v>-4.6000000000000001E-4</v>
      </c>
      <c r="V13" s="13" t="s">
        <v>132</v>
      </c>
      <c r="W13" s="15" t="e">
        <f ca="1">_xll.BDH(V13,$C$2,'UNDERLYING INFO'!$B$1,'UNDERLYING INFO'!$B$1,"Dts=S","cols=2;rows=1")</f>
        <v>#NAME?</v>
      </c>
      <c r="X13" s="49">
        <v>1.054</v>
      </c>
      <c r="Y13" s="53">
        <v>5</v>
      </c>
      <c r="Z13" s="51">
        <f>DATE(YEAR('UNDERLYING INFO'!$B$1),MONTH('UNDERLYING INFO'!$B$1),DAY('UNDERLYING INFO'!$B$1)+Y13*365)</f>
        <v>45378</v>
      </c>
      <c r="AA13" s="52">
        <f t="shared" si="3"/>
        <v>1.0540000000000001E-2</v>
      </c>
    </row>
    <row r="14" spans="1:27" x14ac:dyDescent="0.25">
      <c r="A14" s="13" t="s">
        <v>350</v>
      </c>
      <c r="B14" s="15" t="e">
        <f ca="1">_xll.BDH(A14,$C$2,'UNDERLYING INFO'!$B$1,'UNDERLYING INFO'!$B$1,"Dts=S","cols=2;rows=1")</f>
        <v>#NAME?</v>
      </c>
      <c r="C14" s="49">
        <v>0.28799999999999998</v>
      </c>
      <c r="D14" s="102">
        <v>8</v>
      </c>
      <c r="E14" s="51">
        <f>DATE(YEAR('UNDERLYING INFO'!$B$1)+D14,MONTH('UNDERLYING INFO'!$B$1),DAY('UNDERLYING INFO'!$B$1))</f>
        <v>46475</v>
      </c>
      <c r="F14" s="52">
        <f t="shared" si="0"/>
        <v>2.8799999999999997E-3</v>
      </c>
      <c r="H14" s="13" t="s">
        <v>95</v>
      </c>
      <c r="I14" s="15" t="e">
        <f ca="1">_xll.BDH(H14,$C$2,'UNDERLYING INFO'!$B$1,'UNDERLYING INFO'!$B$1,"Dts=S","cols=2;rows=1")</f>
        <v>#NAME?</v>
      </c>
      <c r="J14" s="49">
        <v>2.302</v>
      </c>
      <c r="K14" s="102">
        <v>8</v>
      </c>
      <c r="L14" s="51">
        <f>DATE(YEAR('UNDERLYING INFO'!$B$1)+K14,MONTH('UNDERLYING INFO'!$B$1),DAY('UNDERLYING INFO'!$B$1))</f>
        <v>46475</v>
      </c>
      <c r="M14" s="52">
        <f t="shared" si="1"/>
        <v>2.3019999999999999E-2</v>
      </c>
      <c r="O14" s="13" t="s">
        <v>113</v>
      </c>
      <c r="P14" s="15" t="e">
        <f ca="1">_xll.BDH(O14,$C$2,'UNDERLYING INFO'!$B$1,'UNDERLYING INFO'!$B$1,"Dts=S","cols=2;rows=1")</f>
        <v>#NAME?</v>
      </c>
      <c r="Q14" s="49">
        <v>-2.7E-2</v>
      </c>
      <c r="R14" s="53">
        <v>6</v>
      </c>
      <c r="S14" s="51">
        <f>DATE(YEAR('UNDERLYING INFO'!$B$1),MONTH('UNDERLYING INFO'!$B$1),DAY('UNDERLYING INFO'!$B$1)+R14*365)</f>
        <v>45743</v>
      </c>
      <c r="T14" s="52">
        <f t="shared" si="2"/>
        <v>-2.7E-4</v>
      </c>
      <c r="V14" s="13" t="s">
        <v>133</v>
      </c>
      <c r="W14" s="15" t="e">
        <f ca="1">_xll.BDH(V14,$C$2,'UNDERLYING INFO'!$B$1,'UNDERLYING INFO'!$B$1,"Dts=S","cols=2;rows=1")</f>
        <v>#NAME?</v>
      </c>
      <c r="X14" s="49">
        <v>1.0920000000000001</v>
      </c>
      <c r="Y14" s="53">
        <v>6</v>
      </c>
      <c r="Z14" s="51">
        <f>DATE(YEAR('UNDERLYING INFO'!$B$1),MONTH('UNDERLYING INFO'!$B$1),DAY('UNDERLYING INFO'!$B$1)+Y14*365)</f>
        <v>45743</v>
      </c>
      <c r="AA14" s="52">
        <f t="shared" si="3"/>
        <v>1.0920000000000001E-2</v>
      </c>
    </row>
    <row r="15" spans="1:27" x14ac:dyDescent="0.25">
      <c r="A15" s="13" t="s">
        <v>351</v>
      </c>
      <c r="B15" s="15" t="e">
        <f ca="1">_xll.BDH(A15,$C$2,'UNDERLYING INFO'!$B$1,'UNDERLYING INFO'!$B$1,"Dts=S","cols=2;rows=1")</f>
        <v>#NAME?</v>
      </c>
      <c r="C15" s="49">
        <v>0.38179999999999997</v>
      </c>
      <c r="D15" s="102">
        <v>9</v>
      </c>
      <c r="E15" s="51">
        <f>DATE(YEAR('UNDERLYING INFO'!$B$1)+D15,MONTH('UNDERLYING INFO'!$B$1),DAY('UNDERLYING INFO'!$B$1))</f>
        <v>46841</v>
      </c>
      <c r="F15" s="52">
        <f t="shared" si="0"/>
        <v>3.8179999999999998E-3</v>
      </c>
      <c r="H15" s="13" t="s">
        <v>96</v>
      </c>
      <c r="I15" s="15" t="e">
        <f ca="1">_xll.BDH(H15,$C$2,'UNDERLYING INFO'!$B$1,'UNDERLYING INFO'!$B$1,"Dts=S","cols=2;rows=1")</f>
        <v>#NAME?</v>
      </c>
      <c r="J15" s="49">
        <v>2.3250000000000002</v>
      </c>
      <c r="K15" s="102">
        <v>9</v>
      </c>
      <c r="L15" s="51">
        <f>DATE(YEAR('UNDERLYING INFO'!$B$1)+K15,MONTH('UNDERLYING INFO'!$B$1),DAY('UNDERLYING INFO'!$B$1))</f>
        <v>46841</v>
      </c>
      <c r="M15" s="52">
        <f t="shared" si="1"/>
        <v>2.3250000000000003E-2</v>
      </c>
      <c r="O15" s="13" t="s">
        <v>114</v>
      </c>
      <c r="P15" s="15" t="e">
        <f ca="1">_xll.BDH(O15,$C$2,'UNDERLYING INFO'!$B$1,'UNDERLYING INFO'!$B$1,"Dts=S","cols=2;rows=1")</f>
        <v>#NAME?</v>
      </c>
      <c r="Q15" s="49">
        <v>0</v>
      </c>
      <c r="R15" s="53">
        <v>7</v>
      </c>
      <c r="S15" s="51">
        <f>DATE(YEAR('UNDERLYING INFO'!$B$1),MONTH('UNDERLYING INFO'!$B$1),DAY('UNDERLYING INFO'!$B$1)+R15*365)</f>
        <v>46108</v>
      </c>
      <c r="T15" s="52">
        <f t="shared" si="2"/>
        <v>0</v>
      </c>
      <c r="V15" s="13" t="s">
        <v>134</v>
      </c>
      <c r="W15" s="15" t="e">
        <f ca="1">_xll.BDH(V15,$C$2,'UNDERLYING INFO'!$B$1,'UNDERLYING INFO'!$B$1,"Dts=S","cols=2;rows=1")</f>
        <v>#NAME?</v>
      </c>
      <c r="X15" s="49">
        <v>1.1219999999999999</v>
      </c>
      <c r="Y15" s="53">
        <v>7</v>
      </c>
      <c r="Z15" s="51">
        <f>DATE(YEAR('UNDERLYING INFO'!$B$1),MONTH('UNDERLYING INFO'!$B$1),DAY('UNDERLYING INFO'!$B$1)+Y15*365)</f>
        <v>46108</v>
      </c>
      <c r="AA15" s="52">
        <f t="shared" si="3"/>
        <v>1.1219999999999999E-2</v>
      </c>
    </row>
    <row r="16" spans="1:27" x14ac:dyDescent="0.25">
      <c r="A16" s="13" t="s">
        <v>352</v>
      </c>
      <c r="B16" s="15" t="e">
        <f ca="1">_xll.BDH(A16,$C$2,'UNDERLYING INFO'!$B$1,'UNDERLYING INFO'!$B$1,"Dts=S","cols=2;rows=1")</f>
        <v>#NAME?</v>
      </c>
      <c r="C16" s="49">
        <v>0.47199999999999998</v>
      </c>
      <c r="D16" s="102">
        <v>10</v>
      </c>
      <c r="E16" s="51">
        <f>DATE(YEAR('UNDERLYING INFO'!$B$1)+D16,MONTH('UNDERLYING INFO'!$B$1),DAY('UNDERLYING INFO'!$B$1))</f>
        <v>47206</v>
      </c>
      <c r="F16" s="52">
        <f t="shared" si="0"/>
        <v>4.7199999999999994E-3</v>
      </c>
      <c r="H16" s="13" t="s">
        <v>97</v>
      </c>
      <c r="I16" s="15" t="e">
        <f ca="1">_xll.BDH(H16,$C$2,'UNDERLYING INFO'!$B$1,'UNDERLYING INFO'!$B$1,"Dts=S","cols=2;rows=1")</f>
        <v>#NAME?</v>
      </c>
      <c r="J16" s="49">
        <v>2.3540000000000001</v>
      </c>
      <c r="K16" s="102">
        <v>10</v>
      </c>
      <c r="L16" s="51">
        <f>DATE(YEAR('UNDERLYING INFO'!$B$1)+K16,MONTH('UNDERLYING INFO'!$B$1),DAY('UNDERLYING INFO'!$B$1))</f>
        <v>47206</v>
      </c>
      <c r="M16" s="52">
        <f t="shared" si="1"/>
        <v>2.3540000000000002E-2</v>
      </c>
      <c r="O16" s="13" t="s">
        <v>115</v>
      </c>
      <c r="P16" s="15" t="e">
        <f ca="1">_xll.BDH(O16,$C$2,'UNDERLYING INFO'!$B$1,'UNDERLYING INFO'!$B$1,"Dts=S","cols=2;rows=1")</f>
        <v>#NAME?</v>
      </c>
      <c r="Q16" s="49">
        <v>2.9000000000000001E-2</v>
      </c>
      <c r="R16" s="53">
        <v>8</v>
      </c>
      <c r="S16" s="51">
        <f>DATE(YEAR('UNDERLYING INFO'!$B$1),MONTH('UNDERLYING INFO'!$B$1),DAY('UNDERLYING INFO'!$B$1)+R16*365)</f>
        <v>46473</v>
      </c>
      <c r="T16" s="52">
        <f t="shared" si="2"/>
        <v>2.9E-4</v>
      </c>
      <c r="V16" s="13" t="s">
        <v>135</v>
      </c>
      <c r="W16" s="15" t="e">
        <f ca="1">_xll.BDH(V16,$C$2,'UNDERLYING INFO'!$B$1,'UNDERLYING INFO'!$B$1,"Dts=S","cols=2;rows=1")</f>
        <v>#NAME?</v>
      </c>
      <c r="X16" s="49">
        <v>1.1519999999999999</v>
      </c>
      <c r="Y16" s="53">
        <v>8</v>
      </c>
      <c r="Z16" s="51">
        <f>DATE(YEAR('UNDERLYING INFO'!$B$1),MONTH('UNDERLYING INFO'!$B$1),DAY('UNDERLYING INFO'!$B$1)+Y16*365)</f>
        <v>46473</v>
      </c>
      <c r="AA16" s="52">
        <f t="shared" si="3"/>
        <v>1.1519999999999999E-2</v>
      </c>
    </row>
    <row r="17" spans="1:27" x14ac:dyDescent="0.25">
      <c r="A17" s="13" t="s">
        <v>353</v>
      </c>
      <c r="B17" s="15" t="e">
        <f ca="1">_xll.BDH(A17,$C$2,'UNDERLYING INFO'!$B$1,'UNDERLYING INFO'!$B$1,"Dts=S","cols=2;rows=1")</f>
        <v>#NAME?</v>
      </c>
      <c r="C17" s="49">
        <v>1.0660000000000001</v>
      </c>
      <c r="D17" s="102">
        <v>30</v>
      </c>
      <c r="E17" s="51">
        <f>DATE(YEAR('UNDERLYING INFO'!$B$1)+D17,MONTH('UNDERLYING INFO'!$B$1),DAY('UNDERLYING INFO'!$B$1))</f>
        <v>54511</v>
      </c>
      <c r="F17" s="52">
        <f t="shared" si="0"/>
        <v>1.0660000000000001E-2</v>
      </c>
      <c r="H17" s="13" t="s">
        <v>98</v>
      </c>
      <c r="I17" s="15" t="e">
        <f ca="1">_xll.BDH(H17,$C$2,'UNDERLYING INFO'!$B$1,'UNDERLYING INFO'!$B$1,"Dts=S","cols=2;rows=1")</f>
        <v>#NAME?</v>
      </c>
      <c r="J17" s="49">
        <v>2.3849999999999998</v>
      </c>
      <c r="K17" s="102">
        <v>30</v>
      </c>
      <c r="L17" s="51">
        <f>DATE(YEAR('UNDERLYING INFO'!$B$1)+K17,MONTH('UNDERLYING INFO'!$B$1),DAY('UNDERLYING INFO'!$B$1))</f>
        <v>54511</v>
      </c>
      <c r="M17" s="52">
        <f t="shared" si="1"/>
        <v>2.3849999999999996E-2</v>
      </c>
      <c r="O17" s="13" t="s">
        <v>116</v>
      </c>
      <c r="P17" s="15" t="e">
        <f ca="1">_xll.BDH(O17,$C$2,'UNDERLYING INFO'!$B$1,'UNDERLYING INFO'!$B$1,"Dts=S","cols=2;rows=1")</f>
        <v>#NAME?</v>
      </c>
      <c r="Q17" s="49">
        <v>5.8999999999999997E-2</v>
      </c>
      <c r="R17" s="53">
        <v>9</v>
      </c>
      <c r="S17" s="51">
        <f>DATE(YEAR('UNDERLYING INFO'!$B$1),MONTH('UNDERLYING INFO'!$B$1),DAY('UNDERLYING INFO'!$B$1)+R17*365)</f>
        <v>46838</v>
      </c>
      <c r="T17" s="52">
        <f t="shared" si="2"/>
        <v>5.8999999999999992E-4</v>
      </c>
      <c r="V17" s="13" t="s">
        <v>136</v>
      </c>
      <c r="W17" s="15" t="e">
        <f ca="1">_xll.BDH(V17,$C$2,'UNDERLYING INFO'!$B$1,'UNDERLYING INFO'!$B$1,"Dts=S","cols=2;rows=1")</f>
        <v>#NAME?</v>
      </c>
      <c r="X17" s="49">
        <v>1.173</v>
      </c>
      <c r="Y17" s="53">
        <v>9</v>
      </c>
      <c r="Z17" s="51">
        <f>DATE(YEAR('UNDERLYING INFO'!$B$1),MONTH('UNDERLYING INFO'!$B$1),DAY('UNDERLYING INFO'!$B$1)+Y17*365)</f>
        <v>46838</v>
      </c>
      <c r="AA17" s="52">
        <f t="shared" si="3"/>
        <v>1.1730000000000001E-2</v>
      </c>
    </row>
    <row r="18" spans="1:27" x14ac:dyDescent="0.25">
      <c r="A18" s="13">
        <v>0</v>
      </c>
      <c r="B18" s="15" t="e">
        <f ca="1">_xll.BDH(A18,$C$2,'UNDERLYING INFO'!$B$1,'UNDERLYING INFO'!$B$1,"Dts=S")</f>
        <v>#NAME?</v>
      </c>
      <c r="C18" s="49">
        <v>1.0660000000000001</v>
      </c>
      <c r="D18" s="102">
        <v>50</v>
      </c>
      <c r="E18" s="51">
        <f>DATE(YEAR('UNDERLYING INFO'!$B$1)+D18,MONTH('UNDERLYING INFO'!$B$1),DAY('UNDERLYING INFO'!$B$1))</f>
        <v>61816</v>
      </c>
      <c r="F18" s="52">
        <f t="shared" si="0"/>
        <v>1.0660000000000001E-2</v>
      </c>
      <c r="H18" s="13" t="s">
        <v>99</v>
      </c>
      <c r="I18" s="15" t="e">
        <f ca="1">_xll.BDH(H18,$C$2,'UNDERLYING INFO'!$B$1,'UNDERLYING INFO'!$B$1,"Dts=S","cols=2;rows=1")</f>
        <v>#NAME?</v>
      </c>
      <c r="J18" s="49">
        <v>2.4169999999999998</v>
      </c>
      <c r="K18" s="102">
        <v>50</v>
      </c>
      <c r="L18" s="51">
        <f>DATE(YEAR('UNDERLYING INFO'!$B$1)+K18,MONTH('UNDERLYING INFO'!$B$1),DAY('UNDERLYING INFO'!$B$1))</f>
        <v>61816</v>
      </c>
      <c r="M18" s="52">
        <f t="shared" si="1"/>
        <v>2.4169999999999997E-2</v>
      </c>
      <c r="O18" s="13" t="s">
        <v>117</v>
      </c>
      <c r="P18" s="15" t="e">
        <f ca="1">_xll.BDH(O18,$C$2,'UNDERLYING INFO'!$B$1,'UNDERLYING INFO'!$B$1,"Dts=S","cols=2;rows=1")</f>
        <v>#NAME?</v>
      </c>
      <c r="Q18" s="49">
        <v>9.6000000000000002E-2</v>
      </c>
      <c r="R18" s="53">
        <v>10</v>
      </c>
      <c r="S18" s="51">
        <f>DATE(YEAR('UNDERLYING INFO'!$B$1),MONTH('UNDERLYING INFO'!$B$1),DAY('UNDERLYING INFO'!$B$1)+R18*365)</f>
        <v>47203</v>
      </c>
      <c r="T18" s="52">
        <f t="shared" si="2"/>
        <v>9.6000000000000002E-4</v>
      </c>
      <c r="V18" s="13" t="s">
        <v>137</v>
      </c>
      <c r="W18" s="15" t="e">
        <f ca="1">_xll.BDH(V18,$C$2,'UNDERLYING INFO'!$B$1,'UNDERLYING INFO'!$B$1,"Dts=S","cols=2;rows=1")</f>
        <v>#NAME?</v>
      </c>
      <c r="X18" s="49">
        <v>1.21</v>
      </c>
      <c r="Y18" s="53">
        <v>10</v>
      </c>
      <c r="Z18" s="51">
        <f>DATE(YEAR('UNDERLYING INFO'!$B$1),MONTH('UNDERLYING INFO'!$B$1),DAY('UNDERLYING INFO'!$B$1)+Y18*365)</f>
        <v>47203</v>
      </c>
      <c r="AA18" s="52">
        <f t="shared" si="3"/>
        <v>1.21E-2</v>
      </c>
    </row>
    <row r="19" spans="1:27" x14ac:dyDescent="0.25">
      <c r="A19" s="13">
        <v>0</v>
      </c>
      <c r="B19" s="15" t="e">
        <f ca="1">_xll.BDH(A19,$C$2,'UNDERLYING INFO'!$B$1,'UNDERLYING INFO'!$B$1,"Dts=S")</f>
        <v>#NAME?</v>
      </c>
      <c r="C19" s="49">
        <v>1.0660000000000001</v>
      </c>
      <c r="D19" s="102">
        <v>60</v>
      </c>
      <c r="E19" s="51">
        <f>DATE(YEAR('UNDERLYING INFO'!$B$1)+D19,MONTH('UNDERLYING INFO'!$B$1),DAY('UNDERLYING INFO'!$B$1))</f>
        <v>65468</v>
      </c>
      <c r="F19" s="52">
        <f t="shared" si="0"/>
        <v>1.0660000000000001E-2</v>
      </c>
      <c r="H19" s="13" t="s">
        <v>100</v>
      </c>
      <c r="I19" s="15" t="e">
        <f ca="1">_xll.BDH(H19,$C$2,'UNDERLYING INFO'!$B$1,'UNDERLYING INFO'!$B$1,"Dts=S","cols=2;rows=1")</f>
        <v>#NAME?</v>
      </c>
      <c r="J19" s="49">
        <v>2.5390000000000001</v>
      </c>
      <c r="K19" s="102">
        <v>60</v>
      </c>
      <c r="L19" s="51">
        <f>DATE(YEAR('UNDERLYING INFO'!$B$1)+K19,MONTH('UNDERLYING INFO'!$B$1),DAY('UNDERLYING INFO'!$B$1))</f>
        <v>65468</v>
      </c>
      <c r="M19" s="52">
        <f t="shared" si="1"/>
        <v>2.5390000000000003E-2</v>
      </c>
      <c r="O19" s="13" t="s">
        <v>118</v>
      </c>
      <c r="P19" s="15" t="e">
        <f ca="1">_xll.BDH(O19,$C$2,'UNDERLYING INFO'!$B$1,'UNDERLYING INFO'!$B$1,"Dts=S","cols=2;rows=1")</f>
        <v>#NAME?</v>
      </c>
      <c r="Q19" s="49">
        <v>0.27100000000000002</v>
      </c>
      <c r="R19" s="53">
        <v>15</v>
      </c>
      <c r="S19" s="51">
        <f>DATE(YEAR('UNDERLYING INFO'!$B$1),MONTH('UNDERLYING INFO'!$B$1),DAY('UNDERLYING INFO'!$B$1)+R19*365)</f>
        <v>49028</v>
      </c>
      <c r="T19" s="52">
        <f t="shared" si="2"/>
        <v>2.7100000000000002E-3</v>
      </c>
      <c r="V19" s="13" t="s">
        <v>138</v>
      </c>
      <c r="W19" s="15" t="e">
        <f ca="1">_xll.BDH(V19,$C$2,'UNDERLYING INFO'!$B$1,'UNDERLYING INFO'!$B$1,"Dts=S","cols=2;rows=1")</f>
        <v>#NAME?</v>
      </c>
      <c r="X19" s="49">
        <v>1.3169999999999999</v>
      </c>
      <c r="Y19" s="53">
        <v>15</v>
      </c>
      <c r="Z19" s="51">
        <f>DATE(YEAR('UNDERLYING INFO'!$B$1),MONTH('UNDERLYING INFO'!$B$1),DAY('UNDERLYING INFO'!$B$1)+Y19*365)</f>
        <v>49028</v>
      </c>
      <c r="AA19" s="52">
        <f t="shared" si="3"/>
        <v>1.3169999999999999E-2</v>
      </c>
    </row>
    <row r="20" spans="1:27" x14ac:dyDescent="0.25">
      <c r="A20" s="13">
        <v>0</v>
      </c>
      <c r="B20" s="15" t="e">
        <f ca="1">_xll.BDH(A20,$C$2,'UNDERLYING INFO'!$B$1,'UNDERLYING INFO'!$B$1,"Dts=S")</f>
        <v>#NAME?</v>
      </c>
      <c r="C20" s="49">
        <v>1.0660000000000001</v>
      </c>
      <c r="D20" s="102">
        <v>70</v>
      </c>
      <c r="E20" s="51">
        <f>DATE(YEAR('UNDERLYING INFO'!$B$1)+D20,MONTH('UNDERLYING INFO'!$B$1),DAY('UNDERLYING INFO'!$B$1))</f>
        <v>69121</v>
      </c>
      <c r="F20" s="52">
        <f t="shared" si="0"/>
        <v>1.0660000000000001E-2</v>
      </c>
      <c r="H20" s="13" t="s">
        <v>101</v>
      </c>
      <c r="I20" s="15" t="e">
        <f ca="1">_xll.BDH(H20,$C$2,'UNDERLYING INFO'!$B$1,'UNDERLYING INFO'!$B$1,"Dts=S","cols=2;rows=1")</f>
        <v>#NAME?</v>
      </c>
      <c r="J20" s="49">
        <v>2.5920000000000001</v>
      </c>
      <c r="K20" s="102">
        <v>70</v>
      </c>
      <c r="L20" s="51">
        <f>DATE(YEAR('UNDERLYING INFO'!$B$1)+K20,MONTH('UNDERLYING INFO'!$B$1),DAY('UNDERLYING INFO'!$B$1))</f>
        <v>69121</v>
      </c>
      <c r="M20" s="52">
        <f t="shared" si="1"/>
        <v>2.5920000000000002E-2</v>
      </c>
      <c r="O20" s="13" t="s">
        <v>119</v>
      </c>
      <c r="P20" s="15" t="e">
        <f ca="1">_xll.BDH(O20,$C$2,'UNDERLYING INFO'!$B$1,'UNDERLYING INFO'!$B$1,"Dts=S","cols=2;rows=1")</f>
        <v>#NAME?</v>
      </c>
      <c r="Q20" s="49">
        <v>0.41099999999999998</v>
      </c>
      <c r="R20" s="53">
        <v>20</v>
      </c>
      <c r="S20" s="51">
        <f>DATE(YEAR('UNDERLYING INFO'!$B$1),MONTH('UNDERLYING INFO'!$B$1),DAY('UNDERLYING INFO'!$B$1)+R20*365)</f>
        <v>50853</v>
      </c>
      <c r="T20" s="52">
        <f t="shared" si="2"/>
        <v>4.1099999999999999E-3</v>
      </c>
      <c r="V20" s="13" t="s">
        <v>139</v>
      </c>
      <c r="W20" s="15" t="e">
        <f ca="1">_xll.BDH(V20,$C$2,'UNDERLYING INFO'!$B$1,'UNDERLYING INFO'!$B$1,"Dts=S","cols=2;rows=1")</f>
        <v>#NAME?</v>
      </c>
      <c r="X20" s="49">
        <v>1.361</v>
      </c>
      <c r="Y20" s="53">
        <v>20</v>
      </c>
      <c r="Z20" s="51">
        <f>DATE(YEAR('UNDERLYING INFO'!$B$1),MONTH('UNDERLYING INFO'!$B$1),DAY('UNDERLYING INFO'!$B$1)+Y20*365)</f>
        <v>50853</v>
      </c>
      <c r="AA20" s="52">
        <f t="shared" si="3"/>
        <v>1.3610000000000001E-2</v>
      </c>
    </row>
    <row r="21" spans="1:27" x14ac:dyDescent="0.25">
      <c r="A21" s="13">
        <v>0</v>
      </c>
      <c r="B21" s="15" t="e">
        <f ca="1">_xll.BDH(A21,$C$2,'UNDERLYING INFO'!$B$1,'UNDERLYING INFO'!$B$1,"Dts=S")</f>
        <v>#NAME?</v>
      </c>
      <c r="C21" s="49">
        <v>1.0660000000000001</v>
      </c>
      <c r="D21" s="53">
        <v>80</v>
      </c>
      <c r="E21" s="51">
        <f>DATE(YEAR('UNDERLYING INFO'!$B$1)+D21,MONTH('UNDERLYING INFO'!$B$1),DAY('UNDERLYING INFO'!$B$1))</f>
        <v>72773</v>
      </c>
      <c r="F21" s="52">
        <f t="shared" si="2"/>
        <v>1.0660000000000001E-2</v>
      </c>
      <c r="H21" s="13" t="s">
        <v>140</v>
      </c>
      <c r="I21" s="15" t="e">
        <f ca="1">_xll.BDH(H21,$C$2,'UNDERLYING INFO'!$B$1,'UNDERLYING INFO'!$B$1,"Dts=S","cols=2;rows=1")</f>
        <v>#NAME?</v>
      </c>
      <c r="J21" s="49">
        <v>1.3719999999999999</v>
      </c>
      <c r="K21" s="53">
        <v>80</v>
      </c>
      <c r="L21" s="51">
        <f>DATE(YEAR('UNDERLYING INFO'!$B$1)+K21,MONTH('UNDERLYING INFO'!$B$1),DAY('UNDERLYING INFO'!$B$1))</f>
        <v>72773</v>
      </c>
      <c r="M21" s="52">
        <f t="shared" si="3"/>
        <v>1.372E-2</v>
      </c>
      <c r="O21" s="13" t="s">
        <v>120</v>
      </c>
      <c r="P21" s="15" t="e">
        <f ca="1">_xll.BDH(O21,$C$2,'UNDERLYING INFO'!$B$1,'UNDERLYING INFO'!$B$1,"Dts=S","cols=2;rows=1")</f>
        <v>#NAME?</v>
      </c>
      <c r="Q21" s="49">
        <v>0.55400000000000005</v>
      </c>
      <c r="R21" s="53">
        <v>30</v>
      </c>
      <c r="S21" s="51">
        <f>DATE(YEAR('UNDERLYING INFO'!$B$1),MONTH('UNDERLYING INFO'!$B$1),DAY('UNDERLYING INFO'!$B$1)+R21*365)</f>
        <v>54503</v>
      </c>
      <c r="T21" s="52">
        <f t="shared" si="2"/>
        <v>5.5400000000000007E-3</v>
      </c>
      <c r="V21" s="13" t="s">
        <v>140</v>
      </c>
      <c r="W21" s="15" t="e">
        <f ca="1">_xll.BDH(V21,$C$2,'UNDERLYING INFO'!$B$1,'UNDERLYING INFO'!$B$1,"Dts=S","cols=2;rows=1")</f>
        <v>#NAME?</v>
      </c>
      <c r="X21" s="49">
        <v>1.3719999999999999</v>
      </c>
      <c r="Y21" s="53">
        <v>30</v>
      </c>
      <c r="Z21" s="51">
        <f>DATE(YEAR('UNDERLYING INFO'!$B$1),MONTH('UNDERLYING INFO'!$B$1),DAY('UNDERLYING INFO'!$B$1)+Y21*365)</f>
        <v>54503</v>
      </c>
      <c r="AA21" s="52">
        <f t="shared" si="3"/>
        <v>1.372E-2</v>
      </c>
    </row>
    <row r="23" spans="1:27" x14ac:dyDescent="0.25">
      <c r="A23" s="121" t="s">
        <v>76</v>
      </c>
      <c r="B23" s="121"/>
      <c r="C23" s="121"/>
      <c r="D23" s="121"/>
      <c r="E23" s="121"/>
      <c r="F23" s="121"/>
    </row>
    <row r="24" spans="1:27" x14ac:dyDescent="0.25">
      <c r="A24" s="13" t="s">
        <v>4</v>
      </c>
      <c r="B24" s="13" t="s">
        <v>0</v>
      </c>
      <c r="C24" s="13" t="s">
        <v>5</v>
      </c>
      <c r="D24" s="14" t="s">
        <v>7</v>
      </c>
      <c r="E24" s="14" t="s">
        <v>7</v>
      </c>
      <c r="F24" s="13" t="s">
        <v>6</v>
      </c>
    </row>
    <row r="25" spans="1:27" x14ac:dyDescent="0.25">
      <c r="A25" s="13" t="s">
        <v>57</v>
      </c>
      <c r="B25" s="15" t="e">
        <f ca="1">_xll.BDH(A25,$C$2,'UNDERLYING INFO'!$B$1,'UNDERLYING INFO'!$B$1,"Dts=S","cols=2;rows=1")</f>
        <v>#NAME?</v>
      </c>
      <c r="C25" s="49">
        <v>-0.38</v>
      </c>
      <c r="D25" s="102">
        <v>7</v>
      </c>
      <c r="E25" s="51">
        <f>DATE(YEAR('UNDERLYING INFO'!$B$1),MONTH('UNDERLYING INFO'!$B$1),DAY('UNDERLYING INFO'!$B$1)+D25)</f>
        <v>43560</v>
      </c>
      <c r="F25" s="52">
        <f t="shared" ref="F25:F43" si="4">C25/100</f>
        <v>-3.8E-3</v>
      </c>
    </row>
    <row r="26" spans="1:27" x14ac:dyDescent="0.25">
      <c r="A26" s="13" t="s">
        <v>58</v>
      </c>
      <c r="B26" s="15" t="e">
        <f ca="1">_xll.BDH(A26,$C$2,'UNDERLYING INFO'!$B$1,'UNDERLYING INFO'!$B$1,"Dts=S","cols=2;rows=1")</f>
        <v>#NAME?</v>
      </c>
      <c r="C26" s="49">
        <v>-0.36699999999999999</v>
      </c>
      <c r="D26" s="102">
        <v>1</v>
      </c>
      <c r="E26" s="51">
        <f>DATE(YEAR('UNDERLYING INFO'!$B$1),MONTH('UNDERLYING INFO'!$B$1)+D26,DAY('UNDERLYING INFO'!$B$1))</f>
        <v>43584</v>
      </c>
      <c r="F26" s="52">
        <f t="shared" si="4"/>
        <v>-3.6700000000000001E-3</v>
      </c>
    </row>
    <row r="27" spans="1:27" x14ac:dyDescent="0.25">
      <c r="A27" s="13" t="s">
        <v>59</v>
      </c>
      <c r="B27" s="15" t="e">
        <f ca="1">_xll.BDH(A27,$C$2,'UNDERLYING INFO'!$B$1,'UNDERLYING INFO'!$B$1,"Dts=S","cols=2;rows=1")</f>
        <v>#NAME?</v>
      </c>
      <c r="C27" s="49">
        <v>-0.311</v>
      </c>
      <c r="D27" s="102">
        <v>3</v>
      </c>
      <c r="E27" s="51">
        <f>DATE(YEAR('UNDERLYING INFO'!$B$1),MONTH('UNDERLYING INFO'!$B$1)+D27,DAY('UNDERLYING INFO'!$B$1))</f>
        <v>43645</v>
      </c>
      <c r="F27" s="52">
        <f t="shared" si="4"/>
        <v>-3.1099999999999999E-3</v>
      </c>
    </row>
    <row r="28" spans="1:27" x14ac:dyDescent="0.25">
      <c r="A28" s="13" t="s">
        <v>60</v>
      </c>
      <c r="B28" s="15" t="e">
        <f ca="1">_xll.BDH(A28,$C$2,'UNDERLYING INFO'!$B$1,'UNDERLYING INFO'!$B$1,"Dts=S","cols=2;rows=1")</f>
        <v>#NAME?</v>
      </c>
      <c r="C28" s="49">
        <v>-0.22800000000000001</v>
      </c>
      <c r="D28" s="102">
        <v>6</v>
      </c>
      <c r="E28" s="51">
        <f>DATE(YEAR('UNDERLYING INFO'!$B$1),MONTH('UNDERLYING INFO'!$B$1)+D28,DAY('UNDERLYING INFO'!$B$1))</f>
        <v>43737</v>
      </c>
      <c r="F28" s="52">
        <f t="shared" si="4"/>
        <v>-2.2799999999999999E-3</v>
      </c>
    </row>
    <row r="29" spans="1:27" x14ac:dyDescent="0.25">
      <c r="A29" s="13" t="s">
        <v>343</v>
      </c>
      <c r="B29" s="15" t="e">
        <f ca="1">_xll.BDH(A29,$C$2,'UNDERLYING INFO'!$B$1,'UNDERLYING INFO'!$B$1,"Dts=S","cols=2;rows=1")</f>
        <v>#NAME?</v>
      </c>
      <c r="C29" s="49">
        <v>-0.22969999999999999</v>
      </c>
      <c r="D29" s="102">
        <v>1</v>
      </c>
      <c r="E29" s="51">
        <f>DATE(YEAR('UNDERLYING INFO'!$B$1)+D29,MONTH('UNDERLYING INFO'!$B$1),DAY('UNDERLYING INFO'!$B$1))</f>
        <v>43919</v>
      </c>
      <c r="F29" s="52">
        <f t="shared" si="4"/>
        <v>-2.297E-3</v>
      </c>
    </row>
    <row r="30" spans="1:27" x14ac:dyDescent="0.25">
      <c r="A30" s="13" t="s">
        <v>344</v>
      </c>
      <c r="B30" s="15" t="e">
        <f ca="1">_xll.BDH(A30,$C$2,'UNDERLYING INFO'!$B$1,'UNDERLYING INFO'!$B$1,"Dts=S","cols=2;rows=1")</f>
        <v>#NAME?</v>
      </c>
      <c r="C30" s="49">
        <v>-0.20119999999999999</v>
      </c>
      <c r="D30" s="102">
        <v>2</v>
      </c>
      <c r="E30" s="51">
        <f>DATE(YEAR('UNDERLYING INFO'!$B$1)+D30,MONTH('UNDERLYING INFO'!$B$1),DAY('UNDERLYING INFO'!$B$1))</f>
        <v>44284</v>
      </c>
      <c r="F30" s="52">
        <f t="shared" si="4"/>
        <v>-2.0119999999999999E-3</v>
      </c>
    </row>
    <row r="31" spans="1:27" x14ac:dyDescent="0.25">
      <c r="A31" s="13" t="s">
        <v>345</v>
      </c>
      <c r="B31" s="15" t="e">
        <f ca="1">_xll.BDH(A31,$C$2,'UNDERLYING INFO'!$B$1,'UNDERLYING INFO'!$B$1,"Dts=S","cols=2;rows=1")</f>
        <v>#NAME?</v>
      </c>
      <c r="C31" s="49">
        <v>-0.13980000000000001</v>
      </c>
      <c r="D31" s="102">
        <v>3</v>
      </c>
      <c r="E31" s="51">
        <f>DATE(YEAR('UNDERLYING INFO'!$B$1)+D31,MONTH('UNDERLYING INFO'!$B$1),DAY('UNDERLYING INFO'!$B$1))</f>
        <v>44649</v>
      </c>
      <c r="F31" s="52">
        <f t="shared" si="4"/>
        <v>-1.3980000000000002E-3</v>
      </c>
    </row>
    <row r="32" spans="1:27" x14ac:dyDescent="0.25">
      <c r="A32" s="13" t="s">
        <v>346</v>
      </c>
      <c r="B32" s="15" t="e">
        <f ca="1">_xll.BDH(A32,$C$2,'UNDERLYING INFO'!$B$1,'UNDERLYING INFO'!$B$1,"Dts=S","cols=2;rows=1")</f>
        <v>#NAME?</v>
      </c>
      <c r="C32" s="49">
        <v>-6.5799999999999997E-2</v>
      </c>
      <c r="D32" s="102">
        <v>4</v>
      </c>
      <c r="E32" s="51">
        <f>DATE(YEAR('UNDERLYING INFO'!$B$1)+D32,MONTH('UNDERLYING INFO'!$B$1),DAY('UNDERLYING INFO'!$B$1))</f>
        <v>45014</v>
      </c>
      <c r="F32" s="52">
        <f t="shared" si="4"/>
        <v>-6.5799999999999995E-4</v>
      </c>
    </row>
    <row r="33" spans="1:6" x14ac:dyDescent="0.25">
      <c r="A33" s="13" t="s">
        <v>347</v>
      </c>
      <c r="B33" s="15" t="e">
        <f ca="1">_xll.BDH(A33,$C$2,'UNDERLYING INFO'!$B$1,'UNDERLYING INFO'!$B$1,"Dts=S","cols=2;rows=1")</f>
        <v>#NAME?</v>
      </c>
      <c r="C33" s="49">
        <v>1.3599999999999999E-2</v>
      </c>
      <c r="D33" s="102">
        <v>5</v>
      </c>
      <c r="E33" s="51">
        <f>DATE(YEAR('UNDERLYING INFO'!$B$1)+D33,MONTH('UNDERLYING INFO'!$B$1),DAY('UNDERLYING INFO'!$B$1))</f>
        <v>45380</v>
      </c>
      <c r="F33" s="52">
        <f t="shared" si="4"/>
        <v>1.36E-4</v>
      </c>
    </row>
    <row r="34" spans="1:6" x14ac:dyDescent="0.25">
      <c r="A34" s="13" t="s">
        <v>348</v>
      </c>
      <c r="B34" s="15" t="e">
        <f ca="1">_xll.BDH(A34,$C$2,'UNDERLYING INFO'!$B$1,'UNDERLYING INFO'!$B$1,"Dts=S","cols=2;rows=1")</f>
        <v>#NAME?</v>
      </c>
      <c r="C34" s="49">
        <v>0.1013</v>
      </c>
      <c r="D34" s="102">
        <v>6</v>
      </c>
      <c r="E34" s="51">
        <f>DATE(YEAR('UNDERLYING INFO'!$B$1)+D34,MONTH('UNDERLYING INFO'!$B$1),DAY('UNDERLYING INFO'!$B$1))</f>
        <v>45745</v>
      </c>
      <c r="F34" s="52">
        <f t="shared" si="4"/>
        <v>1.013E-3</v>
      </c>
    </row>
    <row r="35" spans="1:6" x14ac:dyDescent="0.25">
      <c r="A35" s="13" t="s">
        <v>349</v>
      </c>
      <c r="B35" s="15" t="e">
        <f ca="1">_xll.BDH(A35,$C$2,'UNDERLYING INFO'!$B$1,'UNDERLYING INFO'!$B$1,"Dts=S","cols=2;rows=1")</f>
        <v>#NAME?</v>
      </c>
      <c r="C35" s="49">
        <v>0.1938</v>
      </c>
      <c r="D35" s="102">
        <v>7</v>
      </c>
      <c r="E35" s="51">
        <f>DATE(YEAR('UNDERLYING INFO'!$B$1)+D35,MONTH('UNDERLYING INFO'!$B$1),DAY('UNDERLYING INFO'!$B$1))</f>
        <v>46110</v>
      </c>
      <c r="F35" s="52">
        <f t="shared" si="4"/>
        <v>1.9380000000000001E-3</v>
      </c>
    </row>
    <row r="36" spans="1:6" x14ac:dyDescent="0.25">
      <c r="A36" s="13" t="s">
        <v>350</v>
      </c>
      <c r="B36" s="15" t="e">
        <f ca="1">_xll.BDH(A36,$C$2,'UNDERLYING INFO'!$B$1,'UNDERLYING INFO'!$B$1,"Dts=S","cols=2;rows=1")</f>
        <v>#NAME?</v>
      </c>
      <c r="C36" s="49">
        <v>0.28799999999999998</v>
      </c>
      <c r="D36" s="102">
        <v>8</v>
      </c>
      <c r="E36" s="51">
        <f>DATE(YEAR('UNDERLYING INFO'!$B$1)+D36,MONTH('UNDERLYING INFO'!$B$1),DAY('UNDERLYING INFO'!$B$1))</f>
        <v>46475</v>
      </c>
      <c r="F36" s="52">
        <f t="shared" si="4"/>
        <v>2.8799999999999997E-3</v>
      </c>
    </row>
    <row r="37" spans="1:6" x14ac:dyDescent="0.25">
      <c r="A37" s="13" t="s">
        <v>351</v>
      </c>
      <c r="B37" s="15" t="e">
        <f ca="1">_xll.BDH(A37,$C$2,'UNDERLYING INFO'!$B$1,'UNDERLYING INFO'!$B$1,"Dts=S","cols=2;rows=1")</f>
        <v>#NAME?</v>
      </c>
      <c r="C37" s="49">
        <v>0.38179999999999997</v>
      </c>
      <c r="D37" s="102">
        <v>9</v>
      </c>
      <c r="E37" s="51">
        <f>DATE(YEAR('UNDERLYING INFO'!$B$1)+D37,MONTH('UNDERLYING INFO'!$B$1),DAY('UNDERLYING INFO'!$B$1))</f>
        <v>46841</v>
      </c>
      <c r="F37" s="52">
        <f t="shared" si="4"/>
        <v>3.8179999999999998E-3</v>
      </c>
    </row>
    <row r="38" spans="1:6" x14ac:dyDescent="0.25">
      <c r="A38" s="13" t="s">
        <v>352</v>
      </c>
      <c r="B38" s="15" t="e">
        <f ca="1">_xll.BDH(A38,$C$2,'UNDERLYING INFO'!$B$1,'UNDERLYING INFO'!$B$1,"Dts=S","cols=2;rows=1")</f>
        <v>#NAME?</v>
      </c>
      <c r="C38" s="49">
        <v>0.47199999999999998</v>
      </c>
      <c r="D38" s="102">
        <v>10</v>
      </c>
      <c r="E38" s="51">
        <f>DATE(YEAR('UNDERLYING INFO'!$B$1)+D38,MONTH('UNDERLYING INFO'!$B$1),DAY('UNDERLYING INFO'!$B$1))</f>
        <v>47206</v>
      </c>
      <c r="F38" s="52">
        <f t="shared" si="4"/>
        <v>4.7199999999999994E-3</v>
      </c>
    </row>
    <row r="39" spans="1:6" x14ac:dyDescent="0.25">
      <c r="A39" s="13" t="s">
        <v>353</v>
      </c>
      <c r="B39" s="15" t="e">
        <f ca="1">_xll.BDH(A39,$C$2,'UNDERLYING INFO'!$B$1,'UNDERLYING INFO'!$B$1,"Dts=S","cols=2;rows=1")</f>
        <v>#NAME?</v>
      </c>
      <c r="C39" s="49">
        <v>1.0660000000000001</v>
      </c>
      <c r="D39" s="102">
        <v>30</v>
      </c>
      <c r="E39" s="51">
        <f>DATE(YEAR('UNDERLYING INFO'!$B$1)+D39,MONTH('UNDERLYING INFO'!$B$1),DAY('UNDERLYING INFO'!$B$1))</f>
        <v>54511</v>
      </c>
      <c r="F39" s="52">
        <f t="shared" si="4"/>
        <v>1.0660000000000001E-2</v>
      </c>
    </row>
    <row r="40" spans="1:6" x14ac:dyDescent="0.25">
      <c r="A40" s="13">
        <v>0</v>
      </c>
      <c r="B40" s="15" t="e">
        <f ca="1">_xll.BDH(A40,$C$2,'UNDERLYING INFO'!$B$1,'UNDERLYING INFO'!$B$1,"Dts=S")</f>
        <v>#NAME?</v>
      </c>
      <c r="C40" s="49">
        <v>1.0660000000000001</v>
      </c>
      <c r="D40" s="102">
        <v>50</v>
      </c>
      <c r="E40" s="51">
        <f>DATE(YEAR('UNDERLYING INFO'!$B$1)+D40,MONTH('UNDERLYING INFO'!$B$1),DAY('UNDERLYING INFO'!$B$1))</f>
        <v>61816</v>
      </c>
      <c r="F40" s="52">
        <f t="shared" si="4"/>
        <v>1.0660000000000001E-2</v>
      </c>
    </row>
    <row r="41" spans="1:6" x14ac:dyDescent="0.25">
      <c r="A41" s="13">
        <v>0</v>
      </c>
      <c r="B41" s="15" t="e">
        <f ca="1">_xll.BDH(A41,$C$2,'UNDERLYING INFO'!$B$1,'UNDERLYING INFO'!$B$1,"Dts=S")</f>
        <v>#NAME?</v>
      </c>
      <c r="C41" s="49">
        <v>1.0660000000000001</v>
      </c>
      <c r="D41" s="102">
        <v>60</v>
      </c>
      <c r="E41" s="51">
        <f>DATE(YEAR('UNDERLYING INFO'!$B$1)+D41,MONTH('UNDERLYING INFO'!$B$1),DAY('UNDERLYING INFO'!$B$1))</f>
        <v>65468</v>
      </c>
      <c r="F41" s="52">
        <f t="shared" si="4"/>
        <v>1.0660000000000001E-2</v>
      </c>
    </row>
    <row r="42" spans="1:6" x14ac:dyDescent="0.25">
      <c r="A42" s="13">
        <v>0</v>
      </c>
      <c r="B42" s="15" t="e">
        <f ca="1">_xll.BDH(A42,$C$2,'UNDERLYING INFO'!$B$1,'UNDERLYING INFO'!$B$1,"Dts=S")</f>
        <v>#NAME?</v>
      </c>
      <c r="C42" s="49">
        <v>1.0660000000000001</v>
      </c>
      <c r="D42" s="102">
        <v>70</v>
      </c>
      <c r="E42" s="51">
        <f>DATE(YEAR('UNDERLYING INFO'!$B$1)+D42,MONTH('UNDERLYING INFO'!$B$1),DAY('UNDERLYING INFO'!$B$1))</f>
        <v>69121</v>
      </c>
      <c r="F42" s="52">
        <f t="shared" si="4"/>
        <v>1.0660000000000001E-2</v>
      </c>
    </row>
    <row r="43" spans="1:6" x14ac:dyDescent="0.25">
      <c r="A43" s="13">
        <v>0</v>
      </c>
      <c r="B43" s="15" t="e">
        <f ca="1">_xll.BDH(A43,$C$2,'UNDERLYING INFO'!$B$1,'UNDERLYING INFO'!$B$1,"Dts=S")</f>
        <v>#NAME?</v>
      </c>
      <c r="C43" s="49">
        <v>1.0660000000000001</v>
      </c>
      <c r="D43" s="53">
        <v>80</v>
      </c>
      <c r="E43" s="51">
        <f>DATE(YEAR('UNDERLYING INFO'!$B$1)+D43,MONTH('UNDERLYING INFO'!$B$1),DAY('UNDERLYING INFO'!$B$1))</f>
        <v>72773</v>
      </c>
      <c r="F43" s="52">
        <f t="shared" si="4"/>
        <v>1.0660000000000001E-2</v>
      </c>
    </row>
    <row r="45" spans="1:6" x14ac:dyDescent="0.25">
      <c r="A45" s="121" t="s">
        <v>76</v>
      </c>
      <c r="B45" s="121"/>
      <c r="C45" s="121"/>
      <c r="D45" s="121"/>
      <c r="E45" s="121"/>
      <c r="F45" s="121"/>
    </row>
    <row r="46" spans="1:6" x14ac:dyDescent="0.25">
      <c r="A46" s="13" t="s">
        <v>4</v>
      </c>
      <c r="B46" s="13" t="s">
        <v>0</v>
      </c>
      <c r="C46" s="13" t="s">
        <v>5</v>
      </c>
      <c r="D46" s="14" t="s">
        <v>7</v>
      </c>
      <c r="E46" s="14" t="s">
        <v>7</v>
      </c>
      <c r="F46" s="13" t="s">
        <v>6</v>
      </c>
    </row>
    <row r="47" spans="1:6" x14ac:dyDescent="0.25">
      <c r="A47" s="13" t="s">
        <v>57</v>
      </c>
      <c r="B47" s="15" t="e">
        <f ca="1">_xll.BDH(A47,$C$2,'UNDERLYING INFO'!$B$1,'UNDERLYING INFO'!$B$1,"Dts=S","cols=2;rows=1")</f>
        <v>#NAME?</v>
      </c>
      <c r="C47" s="49">
        <v>-0.38</v>
      </c>
      <c r="D47" s="102">
        <v>7</v>
      </c>
      <c r="E47" s="51">
        <f>DATE(YEAR('UNDERLYING INFO'!$B$1),MONTH('UNDERLYING INFO'!$B$1),DAY('UNDERLYING INFO'!$B$1)+D47)</f>
        <v>43560</v>
      </c>
      <c r="F47" s="52">
        <f t="shared" ref="F47:F65" si="5">C47/100</f>
        <v>-3.8E-3</v>
      </c>
    </row>
    <row r="48" spans="1:6" x14ac:dyDescent="0.25">
      <c r="A48" s="13" t="s">
        <v>58</v>
      </c>
      <c r="B48" s="15" t="e">
        <f ca="1">_xll.BDH(A48,$C$2,'UNDERLYING INFO'!$B$1,'UNDERLYING INFO'!$B$1,"Dts=S","cols=2;rows=1")</f>
        <v>#NAME?</v>
      </c>
      <c r="C48" s="49">
        <v>-0.36699999999999999</v>
      </c>
      <c r="D48" s="102">
        <v>1</v>
      </c>
      <c r="E48" s="51">
        <f>DATE(YEAR('UNDERLYING INFO'!$B$1),MONTH('UNDERLYING INFO'!$B$1)+D48,DAY('UNDERLYING INFO'!$B$1))</f>
        <v>43584</v>
      </c>
      <c r="F48" s="52">
        <f t="shared" si="5"/>
        <v>-3.6700000000000001E-3</v>
      </c>
    </row>
    <row r="49" spans="1:6" x14ac:dyDescent="0.25">
      <c r="A49" s="13" t="s">
        <v>59</v>
      </c>
      <c r="B49" s="15" t="e">
        <f ca="1">_xll.BDH(A49,$C$2,'UNDERLYING INFO'!$B$1,'UNDERLYING INFO'!$B$1,"Dts=S","cols=2;rows=1")</f>
        <v>#NAME?</v>
      </c>
      <c r="C49" s="49">
        <v>-0.311</v>
      </c>
      <c r="D49" s="102">
        <v>3</v>
      </c>
      <c r="E49" s="51">
        <f>DATE(YEAR('UNDERLYING INFO'!$B$1),MONTH('UNDERLYING INFO'!$B$1)+D49,DAY('UNDERLYING INFO'!$B$1))</f>
        <v>43645</v>
      </c>
      <c r="F49" s="52">
        <f t="shared" si="5"/>
        <v>-3.1099999999999999E-3</v>
      </c>
    </row>
    <row r="50" spans="1:6" x14ac:dyDescent="0.25">
      <c r="A50" s="13" t="s">
        <v>60</v>
      </c>
      <c r="B50" s="15" t="e">
        <f ca="1">_xll.BDH(A50,$C$2,'UNDERLYING INFO'!$B$1,'UNDERLYING INFO'!$B$1,"Dts=S","cols=2;rows=1")</f>
        <v>#NAME?</v>
      </c>
      <c r="C50" s="49">
        <v>-0.22800000000000001</v>
      </c>
      <c r="D50" s="102">
        <v>6</v>
      </c>
      <c r="E50" s="51">
        <f>DATE(YEAR('UNDERLYING INFO'!$B$1),MONTH('UNDERLYING INFO'!$B$1)+D50,DAY('UNDERLYING INFO'!$B$1))</f>
        <v>43737</v>
      </c>
      <c r="F50" s="52">
        <f t="shared" si="5"/>
        <v>-2.2799999999999999E-3</v>
      </c>
    </row>
    <row r="51" spans="1:6" x14ac:dyDescent="0.25">
      <c r="A51" s="13" t="s">
        <v>343</v>
      </c>
      <c r="B51" s="15" t="e">
        <f ca="1">_xll.BDH(A51,$C$2,'UNDERLYING INFO'!$B$1,'UNDERLYING INFO'!$B$1,"Dts=S","cols=2;rows=1")</f>
        <v>#NAME?</v>
      </c>
      <c r="C51" s="49">
        <v>-0.22969999999999999</v>
      </c>
      <c r="D51" s="102">
        <v>1</v>
      </c>
      <c r="E51" s="51">
        <f>DATE(YEAR('UNDERLYING INFO'!$B$1)+D51,MONTH('UNDERLYING INFO'!$B$1),DAY('UNDERLYING INFO'!$B$1))</f>
        <v>43919</v>
      </c>
      <c r="F51" s="52">
        <f t="shared" si="5"/>
        <v>-2.297E-3</v>
      </c>
    </row>
    <row r="52" spans="1:6" x14ac:dyDescent="0.25">
      <c r="A52" s="13" t="s">
        <v>344</v>
      </c>
      <c r="B52" s="15" t="e">
        <f ca="1">_xll.BDH(A52,$C$2,'UNDERLYING INFO'!$B$1,'UNDERLYING INFO'!$B$1,"Dts=S","cols=2;rows=1")</f>
        <v>#NAME?</v>
      </c>
      <c r="C52" s="49">
        <v>-0.20119999999999999</v>
      </c>
      <c r="D52" s="102">
        <v>2</v>
      </c>
      <c r="E52" s="51">
        <f>DATE(YEAR('UNDERLYING INFO'!$B$1)+D52,MONTH('UNDERLYING INFO'!$B$1),DAY('UNDERLYING INFO'!$B$1))</f>
        <v>44284</v>
      </c>
      <c r="F52" s="52">
        <f t="shared" si="5"/>
        <v>-2.0119999999999999E-3</v>
      </c>
    </row>
    <row r="53" spans="1:6" x14ac:dyDescent="0.25">
      <c r="A53" s="13" t="s">
        <v>345</v>
      </c>
      <c r="B53" s="15" t="e">
        <f ca="1">_xll.BDH(A53,$C$2,'UNDERLYING INFO'!$B$1,'UNDERLYING INFO'!$B$1,"Dts=S","cols=2;rows=1")</f>
        <v>#NAME?</v>
      </c>
      <c r="C53" s="49">
        <v>-0.13980000000000001</v>
      </c>
      <c r="D53" s="102">
        <v>3</v>
      </c>
      <c r="E53" s="51">
        <f>DATE(YEAR('UNDERLYING INFO'!$B$1)+D53,MONTH('UNDERLYING INFO'!$B$1),DAY('UNDERLYING INFO'!$B$1))</f>
        <v>44649</v>
      </c>
      <c r="F53" s="52">
        <f t="shared" si="5"/>
        <v>-1.3980000000000002E-3</v>
      </c>
    </row>
    <row r="54" spans="1:6" x14ac:dyDescent="0.25">
      <c r="A54" s="13" t="s">
        <v>346</v>
      </c>
      <c r="B54" s="15" t="e">
        <f ca="1">_xll.BDH(A54,$C$2,'UNDERLYING INFO'!$B$1,'UNDERLYING INFO'!$B$1,"Dts=S","cols=2;rows=1")</f>
        <v>#NAME?</v>
      </c>
      <c r="C54" s="49">
        <v>-6.5799999999999997E-2</v>
      </c>
      <c r="D54" s="102">
        <v>4</v>
      </c>
      <c r="E54" s="51">
        <f>DATE(YEAR('UNDERLYING INFO'!$B$1)+D54,MONTH('UNDERLYING INFO'!$B$1),DAY('UNDERLYING INFO'!$B$1))</f>
        <v>45014</v>
      </c>
      <c r="F54" s="52">
        <f t="shared" si="5"/>
        <v>-6.5799999999999995E-4</v>
      </c>
    </row>
    <row r="55" spans="1:6" x14ac:dyDescent="0.25">
      <c r="A55" s="13" t="s">
        <v>347</v>
      </c>
      <c r="B55" s="15" t="e">
        <f ca="1">_xll.BDH(A55,$C$2,'UNDERLYING INFO'!$B$1,'UNDERLYING INFO'!$B$1,"Dts=S","cols=2;rows=1")</f>
        <v>#NAME?</v>
      </c>
      <c r="C55" s="49">
        <v>1.3599999999999999E-2</v>
      </c>
      <c r="D55" s="102">
        <v>5</v>
      </c>
      <c r="E55" s="51">
        <f>DATE(YEAR('UNDERLYING INFO'!$B$1)+D55,MONTH('UNDERLYING INFO'!$B$1),DAY('UNDERLYING INFO'!$B$1))</f>
        <v>45380</v>
      </c>
      <c r="F55" s="52">
        <f t="shared" si="5"/>
        <v>1.36E-4</v>
      </c>
    </row>
    <row r="56" spans="1:6" x14ac:dyDescent="0.25">
      <c r="A56" s="13" t="s">
        <v>348</v>
      </c>
      <c r="B56" s="15" t="e">
        <f ca="1">_xll.BDH(A56,$C$2,'UNDERLYING INFO'!$B$1,'UNDERLYING INFO'!$B$1,"Dts=S","cols=2;rows=1")</f>
        <v>#NAME?</v>
      </c>
      <c r="C56" s="49">
        <v>0.1013</v>
      </c>
      <c r="D56" s="102">
        <v>6</v>
      </c>
      <c r="E56" s="51">
        <f>DATE(YEAR('UNDERLYING INFO'!$B$1)+D56,MONTH('UNDERLYING INFO'!$B$1),DAY('UNDERLYING INFO'!$B$1))</f>
        <v>45745</v>
      </c>
      <c r="F56" s="52">
        <f t="shared" si="5"/>
        <v>1.013E-3</v>
      </c>
    </row>
    <row r="57" spans="1:6" x14ac:dyDescent="0.25">
      <c r="A57" s="13" t="s">
        <v>349</v>
      </c>
      <c r="B57" s="15" t="e">
        <f ca="1">_xll.BDH(A57,$C$2,'UNDERLYING INFO'!$B$1,'UNDERLYING INFO'!$B$1,"Dts=S","cols=2;rows=1")</f>
        <v>#NAME?</v>
      </c>
      <c r="C57" s="49">
        <v>0.1938</v>
      </c>
      <c r="D57" s="102">
        <v>7</v>
      </c>
      <c r="E57" s="51">
        <f>DATE(YEAR('UNDERLYING INFO'!$B$1)+D57,MONTH('UNDERLYING INFO'!$B$1),DAY('UNDERLYING INFO'!$B$1))</f>
        <v>46110</v>
      </c>
      <c r="F57" s="52">
        <f t="shared" si="5"/>
        <v>1.9380000000000001E-3</v>
      </c>
    </row>
    <row r="58" spans="1:6" x14ac:dyDescent="0.25">
      <c r="A58" s="13" t="s">
        <v>350</v>
      </c>
      <c r="B58" s="15" t="e">
        <f ca="1">_xll.BDH(A58,$C$2,'UNDERLYING INFO'!$B$1,'UNDERLYING INFO'!$B$1,"Dts=S","cols=2;rows=1")</f>
        <v>#NAME?</v>
      </c>
      <c r="C58" s="49">
        <v>0.28799999999999998</v>
      </c>
      <c r="D58" s="102">
        <v>8</v>
      </c>
      <c r="E58" s="51">
        <f>DATE(YEAR('UNDERLYING INFO'!$B$1)+D58,MONTH('UNDERLYING INFO'!$B$1),DAY('UNDERLYING INFO'!$B$1))</f>
        <v>46475</v>
      </c>
      <c r="F58" s="52">
        <f t="shared" si="5"/>
        <v>2.8799999999999997E-3</v>
      </c>
    </row>
    <row r="59" spans="1:6" x14ac:dyDescent="0.25">
      <c r="A59" s="13" t="s">
        <v>351</v>
      </c>
      <c r="B59" s="15" t="e">
        <f ca="1">_xll.BDH(A59,$C$2,'UNDERLYING INFO'!$B$1,'UNDERLYING INFO'!$B$1,"Dts=S","cols=2;rows=1")</f>
        <v>#NAME?</v>
      </c>
      <c r="C59" s="49">
        <v>0.38179999999999997</v>
      </c>
      <c r="D59" s="102">
        <v>9</v>
      </c>
      <c r="E59" s="51">
        <f>DATE(YEAR('UNDERLYING INFO'!$B$1)+D59,MONTH('UNDERLYING INFO'!$B$1),DAY('UNDERLYING INFO'!$B$1))</f>
        <v>46841</v>
      </c>
      <c r="F59" s="52">
        <f t="shared" si="5"/>
        <v>3.8179999999999998E-3</v>
      </c>
    </row>
    <row r="60" spans="1:6" x14ac:dyDescent="0.25">
      <c r="A60" s="13" t="s">
        <v>352</v>
      </c>
      <c r="B60" s="15" t="e">
        <f ca="1">_xll.BDH(A60,$C$2,'UNDERLYING INFO'!$B$1,'UNDERLYING INFO'!$B$1,"Dts=S","cols=2;rows=1")</f>
        <v>#NAME?</v>
      </c>
      <c r="C60" s="49">
        <v>0.47199999999999998</v>
      </c>
      <c r="D60" s="102">
        <v>10</v>
      </c>
      <c r="E60" s="51">
        <f>DATE(YEAR('UNDERLYING INFO'!$B$1)+D60,MONTH('UNDERLYING INFO'!$B$1),DAY('UNDERLYING INFO'!$B$1))</f>
        <v>47206</v>
      </c>
      <c r="F60" s="52">
        <f t="shared" si="5"/>
        <v>4.7199999999999994E-3</v>
      </c>
    </row>
    <row r="61" spans="1:6" x14ac:dyDescent="0.25">
      <c r="A61" s="13" t="s">
        <v>353</v>
      </c>
      <c r="B61" s="15" t="e">
        <f ca="1">_xll.BDH(A61,$C$2,'UNDERLYING INFO'!$B$1,'UNDERLYING INFO'!$B$1,"Dts=S","cols=2;rows=1")</f>
        <v>#NAME?</v>
      </c>
      <c r="C61" s="49">
        <v>1.0660000000000001</v>
      </c>
      <c r="D61" s="102">
        <v>30</v>
      </c>
      <c r="E61" s="51">
        <f>DATE(YEAR('UNDERLYING INFO'!$B$1)+D61,MONTH('UNDERLYING INFO'!$B$1),DAY('UNDERLYING INFO'!$B$1))</f>
        <v>54511</v>
      </c>
      <c r="F61" s="52">
        <f t="shared" si="5"/>
        <v>1.0660000000000001E-2</v>
      </c>
    </row>
    <row r="62" spans="1:6" x14ac:dyDescent="0.25">
      <c r="A62" s="13">
        <v>0</v>
      </c>
      <c r="B62" s="15" t="e">
        <f ca="1">_xll.BDH(A62,$C$2,'UNDERLYING INFO'!$B$1,'UNDERLYING INFO'!$B$1,"Dts=S")</f>
        <v>#NAME?</v>
      </c>
      <c r="C62" s="49">
        <v>1.0660000000000001</v>
      </c>
      <c r="D62" s="102">
        <v>50</v>
      </c>
      <c r="E62" s="51">
        <f>DATE(YEAR('UNDERLYING INFO'!$B$1)+D62,MONTH('UNDERLYING INFO'!$B$1),DAY('UNDERLYING INFO'!$B$1))</f>
        <v>61816</v>
      </c>
      <c r="F62" s="52">
        <f t="shared" si="5"/>
        <v>1.0660000000000001E-2</v>
      </c>
    </row>
    <row r="63" spans="1:6" x14ac:dyDescent="0.25">
      <c r="A63" s="13">
        <v>0</v>
      </c>
      <c r="B63" s="15" t="e">
        <f ca="1">_xll.BDH(A63,$C$2,'UNDERLYING INFO'!$B$1,'UNDERLYING INFO'!$B$1,"Dts=S")</f>
        <v>#NAME?</v>
      </c>
      <c r="C63" s="49">
        <v>1.0660000000000001</v>
      </c>
      <c r="D63" s="102">
        <v>60</v>
      </c>
      <c r="E63" s="51">
        <f>DATE(YEAR('UNDERLYING INFO'!$B$1)+D63,MONTH('UNDERLYING INFO'!$B$1),DAY('UNDERLYING INFO'!$B$1))</f>
        <v>65468</v>
      </c>
      <c r="F63" s="52">
        <f t="shared" si="5"/>
        <v>1.0660000000000001E-2</v>
      </c>
    </row>
    <row r="64" spans="1:6" x14ac:dyDescent="0.25">
      <c r="A64" s="13">
        <v>0</v>
      </c>
      <c r="B64" s="15" t="e">
        <f ca="1">_xll.BDH(A64,$C$2,'UNDERLYING INFO'!$B$1,'UNDERLYING INFO'!$B$1,"Dts=S")</f>
        <v>#NAME?</v>
      </c>
      <c r="C64" s="49">
        <v>1.0660000000000001</v>
      </c>
      <c r="D64" s="102">
        <v>70</v>
      </c>
      <c r="E64" s="51">
        <f>DATE(YEAR('UNDERLYING INFO'!$B$1)+D64,MONTH('UNDERLYING INFO'!$B$1),DAY('UNDERLYING INFO'!$B$1))</f>
        <v>69121</v>
      </c>
      <c r="F64" s="52">
        <f t="shared" si="5"/>
        <v>1.0660000000000001E-2</v>
      </c>
    </row>
    <row r="65" spans="1:6" x14ac:dyDescent="0.25">
      <c r="A65" s="13">
        <v>0</v>
      </c>
      <c r="B65" s="15" t="e">
        <f ca="1">_xll.BDH(A65,$C$2,'UNDERLYING INFO'!$B$1,'UNDERLYING INFO'!$B$1,"Dts=S")</f>
        <v>#NAME?</v>
      </c>
      <c r="C65" s="49">
        <v>1.0660000000000001</v>
      </c>
      <c r="D65" s="53">
        <v>80</v>
      </c>
      <c r="E65" s="51">
        <f>DATE(YEAR('UNDERLYING INFO'!$B$1)+D65,MONTH('UNDERLYING INFO'!$B$1),DAY('UNDERLYING INFO'!$B$1))</f>
        <v>72773</v>
      </c>
      <c r="F65" s="52">
        <f t="shared" si="5"/>
        <v>1.0660000000000001E-2</v>
      </c>
    </row>
    <row r="67" spans="1:6" x14ac:dyDescent="0.25">
      <c r="A67" s="121" t="s">
        <v>76</v>
      </c>
      <c r="B67" s="121"/>
      <c r="C67" s="121"/>
      <c r="D67" s="121"/>
      <c r="E67" s="121"/>
      <c r="F67" s="121"/>
    </row>
    <row r="68" spans="1:6" x14ac:dyDescent="0.25">
      <c r="A68" s="13" t="s">
        <v>4</v>
      </c>
      <c r="B68" s="13" t="s">
        <v>0</v>
      </c>
      <c r="C68" s="13" t="s">
        <v>5</v>
      </c>
      <c r="D68" s="14" t="s">
        <v>7</v>
      </c>
      <c r="E68" s="14" t="s">
        <v>7</v>
      </c>
      <c r="F68" s="13" t="s">
        <v>6</v>
      </c>
    </row>
    <row r="69" spans="1:6" x14ac:dyDescent="0.25">
      <c r="A69" s="13" t="s">
        <v>57</v>
      </c>
      <c r="B69" s="15" t="e">
        <f ca="1">_xll.BDH(A69,$C$2,'UNDERLYING INFO'!$B$1,'UNDERLYING INFO'!$B$1,"Dts=S","cols=2;rows=1")</f>
        <v>#NAME?</v>
      </c>
      <c r="C69" s="49">
        <v>-0.38</v>
      </c>
      <c r="D69" s="102">
        <v>7</v>
      </c>
      <c r="E69" s="51">
        <f>DATE(YEAR('UNDERLYING INFO'!$B$1),MONTH('UNDERLYING INFO'!$B$1),DAY('UNDERLYING INFO'!$B$1)+D69)</f>
        <v>43560</v>
      </c>
      <c r="F69" s="52">
        <f t="shared" ref="F69:F87" si="6">C69/100</f>
        <v>-3.8E-3</v>
      </c>
    </row>
    <row r="70" spans="1:6" x14ac:dyDescent="0.25">
      <c r="A70" s="13" t="s">
        <v>58</v>
      </c>
      <c r="B70" s="15" t="e">
        <f ca="1">_xll.BDH(A70,$C$2,'UNDERLYING INFO'!$B$1,'UNDERLYING INFO'!$B$1,"Dts=S","cols=2;rows=1")</f>
        <v>#NAME?</v>
      </c>
      <c r="C70" s="49">
        <v>-0.36699999999999999</v>
      </c>
      <c r="D70" s="102">
        <v>1</v>
      </c>
      <c r="E70" s="51">
        <f>DATE(YEAR('UNDERLYING INFO'!$B$1),MONTH('UNDERLYING INFO'!$B$1)+D70,DAY('UNDERLYING INFO'!$B$1))</f>
        <v>43584</v>
      </c>
      <c r="F70" s="52">
        <f t="shared" si="6"/>
        <v>-3.6700000000000001E-3</v>
      </c>
    </row>
    <row r="71" spans="1:6" x14ac:dyDescent="0.25">
      <c r="A71" s="13" t="s">
        <v>59</v>
      </c>
      <c r="B71" s="15" t="e">
        <f ca="1">_xll.BDH(A71,$C$2,'UNDERLYING INFO'!$B$1,'UNDERLYING INFO'!$B$1,"Dts=S","cols=2;rows=1")</f>
        <v>#NAME?</v>
      </c>
      <c r="C71" s="49">
        <v>-0.311</v>
      </c>
      <c r="D71" s="102">
        <v>3</v>
      </c>
      <c r="E71" s="51">
        <f>DATE(YEAR('UNDERLYING INFO'!$B$1),MONTH('UNDERLYING INFO'!$B$1)+D71,DAY('UNDERLYING INFO'!$B$1))</f>
        <v>43645</v>
      </c>
      <c r="F71" s="52">
        <f t="shared" si="6"/>
        <v>-3.1099999999999999E-3</v>
      </c>
    </row>
    <row r="72" spans="1:6" x14ac:dyDescent="0.25">
      <c r="A72" s="13" t="s">
        <v>60</v>
      </c>
      <c r="B72" s="15" t="e">
        <f ca="1">_xll.BDH(A72,$C$2,'UNDERLYING INFO'!$B$1,'UNDERLYING INFO'!$B$1,"Dts=S","cols=2;rows=1")</f>
        <v>#NAME?</v>
      </c>
      <c r="C72" s="49">
        <v>-0.22800000000000001</v>
      </c>
      <c r="D72" s="102">
        <v>6</v>
      </c>
      <c r="E72" s="51">
        <f>DATE(YEAR('UNDERLYING INFO'!$B$1),MONTH('UNDERLYING INFO'!$B$1)+D72,DAY('UNDERLYING INFO'!$B$1))</f>
        <v>43737</v>
      </c>
      <c r="F72" s="52">
        <f t="shared" si="6"/>
        <v>-2.2799999999999999E-3</v>
      </c>
    </row>
    <row r="73" spans="1:6" x14ac:dyDescent="0.25">
      <c r="A73" s="13" t="s">
        <v>343</v>
      </c>
      <c r="B73" s="15" t="e">
        <f ca="1">_xll.BDH(A73,$C$2,'UNDERLYING INFO'!$B$1,'UNDERLYING INFO'!$B$1,"Dts=S","cols=2;rows=1")</f>
        <v>#NAME?</v>
      </c>
      <c r="C73" s="49">
        <v>-0.22969999999999999</v>
      </c>
      <c r="D73" s="102">
        <v>1</v>
      </c>
      <c r="E73" s="51">
        <f>DATE(YEAR('UNDERLYING INFO'!$B$1)+D73,MONTH('UNDERLYING INFO'!$B$1),DAY('UNDERLYING INFO'!$B$1))</f>
        <v>43919</v>
      </c>
      <c r="F73" s="52">
        <f t="shared" si="6"/>
        <v>-2.297E-3</v>
      </c>
    </row>
    <row r="74" spans="1:6" x14ac:dyDescent="0.25">
      <c r="A74" s="13" t="s">
        <v>344</v>
      </c>
      <c r="B74" s="15" t="e">
        <f ca="1">_xll.BDH(A74,$C$2,'UNDERLYING INFO'!$B$1,'UNDERLYING INFO'!$B$1,"Dts=S","cols=2;rows=1")</f>
        <v>#NAME?</v>
      </c>
      <c r="C74" s="49">
        <v>-0.20119999999999999</v>
      </c>
      <c r="D74" s="102">
        <v>2</v>
      </c>
      <c r="E74" s="51">
        <f>DATE(YEAR('UNDERLYING INFO'!$B$1)+D74,MONTH('UNDERLYING INFO'!$B$1),DAY('UNDERLYING INFO'!$B$1))</f>
        <v>44284</v>
      </c>
      <c r="F74" s="52">
        <f t="shared" si="6"/>
        <v>-2.0119999999999999E-3</v>
      </c>
    </row>
    <row r="75" spans="1:6" x14ac:dyDescent="0.25">
      <c r="A75" s="13" t="s">
        <v>345</v>
      </c>
      <c r="B75" s="15" t="e">
        <f ca="1">_xll.BDH(A75,$C$2,'UNDERLYING INFO'!$B$1,'UNDERLYING INFO'!$B$1,"Dts=S","cols=2;rows=1")</f>
        <v>#NAME?</v>
      </c>
      <c r="C75" s="49">
        <v>-0.13980000000000001</v>
      </c>
      <c r="D75" s="102">
        <v>3</v>
      </c>
      <c r="E75" s="51">
        <f>DATE(YEAR('UNDERLYING INFO'!$B$1)+D75,MONTH('UNDERLYING INFO'!$B$1),DAY('UNDERLYING INFO'!$B$1))</f>
        <v>44649</v>
      </c>
      <c r="F75" s="52">
        <f t="shared" si="6"/>
        <v>-1.3980000000000002E-3</v>
      </c>
    </row>
    <row r="76" spans="1:6" x14ac:dyDescent="0.25">
      <c r="A76" s="13" t="s">
        <v>346</v>
      </c>
      <c r="B76" s="15" t="e">
        <f ca="1">_xll.BDH(A76,$C$2,'UNDERLYING INFO'!$B$1,'UNDERLYING INFO'!$B$1,"Dts=S","cols=2;rows=1")</f>
        <v>#NAME?</v>
      </c>
      <c r="C76" s="49">
        <v>-6.5799999999999997E-2</v>
      </c>
      <c r="D76" s="102">
        <v>4</v>
      </c>
      <c r="E76" s="51">
        <f>DATE(YEAR('UNDERLYING INFO'!$B$1)+D76,MONTH('UNDERLYING INFO'!$B$1),DAY('UNDERLYING INFO'!$B$1))</f>
        <v>45014</v>
      </c>
      <c r="F76" s="52">
        <f t="shared" si="6"/>
        <v>-6.5799999999999995E-4</v>
      </c>
    </row>
    <row r="77" spans="1:6" x14ac:dyDescent="0.25">
      <c r="A77" s="13" t="s">
        <v>347</v>
      </c>
      <c r="B77" s="15" t="e">
        <f ca="1">_xll.BDH(A77,$C$2,'UNDERLYING INFO'!$B$1,'UNDERLYING INFO'!$B$1,"Dts=S","cols=2;rows=1")</f>
        <v>#NAME?</v>
      </c>
      <c r="C77" s="49">
        <v>1.3599999999999999E-2</v>
      </c>
      <c r="D77" s="102">
        <v>5</v>
      </c>
      <c r="E77" s="51">
        <f>DATE(YEAR('UNDERLYING INFO'!$B$1)+D77,MONTH('UNDERLYING INFO'!$B$1),DAY('UNDERLYING INFO'!$B$1))</f>
        <v>45380</v>
      </c>
      <c r="F77" s="52">
        <f t="shared" si="6"/>
        <v>1.36E-4</v>
      </c>
    </row>
    <row r="78" spans="1:6" x14ac:dyDescent="0.25">
      <c r="A78" s="13" t="s">
        <v>348</v>
      </c>
      <c r="B78" s="15" t="e">
        <f ca="1">_xll.BDH(A78,$C$2,'UNDERLYING INFO'!$B$1,'UNDERLYING INFO'!$B$1,"Dts=S","cols=2;rows=1")</f>
        <v>#NAME?</v>
      </c>
      <c r="C78" s="49">
        <v>0.1013</v>
      </c>
      <c r="D78" s="102">
        <v>6</v>
      </c>
      <c r="E78" s="51">
        <f>DATE(YEAR('UNDERLYING INFO'!$B$1)+D78,MONTH('UNDERLYING INFO'!$B$1),DAY('UNDERLYING INFO'!$B$1))</f>
        <v>45745</v>
      </c>
      <c r="F78" s="52">
        <f t="shared" si="6"/>
        <v>1.013E-3</v>
      </c>
    </row>
    <row r="79" spans="1:6" x14ac:dyDescent="0.25">
      <c r="A79" s="13" t="s">
        <v>349</v>
      </c>
      <c r="B79" s="15" t="e">
        <f ca="1">_xll.BDH(A79,$C$2,'UNDERLYING INFO'!$B$1,'UNDERLYING INFO'!$B$1,"Dts=S","cols=2;rows=1")</f>
        <v>#NAME?</v>
      </c>
      <c r="C79" s="49">
        <v>0.1938</v>
      </c>
      <c r="D79" s="102">
        <v>7</v>
      </c>
      <c r="E79" s="51">
        <f>DATE(YEAR('UNDERLYING INFO'!$B$1)+D79,MONTH('UNDERLYING INFO'!$B$1),DAY('UNDERLYING INFO'!$B$1))</f>
        <v>46110</v>
      </c>
      <c r="F79" s="52">
        <f t="shared" si="6"/>
        <v>1.9380000000000001E-3</v>
      </c>
    </row>
    <row r="80" spans="1:6" x14ac:dyDescent="0.25">
      <c r="A80" s="13" t="s">
        <v>350</v>
      </c>
      <c r="B80" s="15" t="e">
        <f ca="1">_xll.BDH(A80,$C$2,'UNDERLYING INFO'!$B$1,'UNDERLYING INFO'!$B$1,"Dts=S","cols=2;rows=1")</f>
        <v>#NAME?</v>
      </c>
      <c r="C80" s="49">
        <v>0.28799999999999998</v>
      </c>
      <c r="D80" s="102">
        <v>8</v>
      </c>
      <c r="E80" s="51">
        <f>DATE(YEAR('UNDERLYING INFO'!$B$1)+D80,MONTH('UNDERLYING INFO'!$B$1),DAY('UNDERLYING INFO'!$B$1))</f>
        <v>46475</v>
      </c>
      <c r="F80" s="52">
        <f t="shared" si="6"/>
        <v>2.8799999999999997E-3</v>
      </c>
    </row>
    <row r="81" spans="1:6" x14ac:dyDescent="0.25">
      <c r="A81" s="13" t="s">
        <v>351</v>
      </c>
      <c r="B81" s="15" t="e">
        <f ca="1">_xll.BDH(A81,$C$2,'UNDERLYING INFO'!$B$1,'UNDERLYING INFO'!$B$1,"Dts=S","cols=2;rows=1")</f>
        <v>#NAME?</v>
      </c>
      <c r="C81" s="49">
        <v>0.38179999999999997</v>
      </c>
      <c r="D81" s="102">
        <v>9</v>
      </c>
      <c r="E81" s="51">
        <f>DATE(YEAR('UNDERLYING INFO'!$B$1)+D81,MONTH('UNDERLYING INFO'!$B$1),DAY('UNDERLYING INFO'!$B$1))</f>
        <v>46841</v>
      </c>
      <c r="F81" s="52">
        <f t="shared" si="6"/>
        <v>3.8179999999999998E-3</v>
      </c>
    </row>
    <row r="82" spans="1:6" x14ac:dyDescent="0.25">
      <c r="A82" s="13" t="s">
        <v>352</v>
      </c>
      <c r="B82" s="15" t="e">
        <f ca="1">_xll.BDH(A82,$C$2,'UNDERLYING INFO'!$B$1,'UNDERLYING INFO'!$B$1,"Dts=S","cols=2;rows=1")</f>
        <v>#NAME?</v>
      </c>
      <c r="C82" s="49">
        <v>0.47199999999999998</v>
      </c>
      <c r="D82" s="102">
        <v>10</v>
      </c>
      <c r="E82" s="51">
        <f>DATE(YEAR('UNDERLYING INFO'!$B$1)+D82,MONTH('UNDERLYING INFO'!$B$1),DAY('UNDERLYING INFO'!$B$1))</f>
        <v>47206</v>
      </c>
      <c r="F82" s="52">
        <f t="shared" si="6"/>
        <v>4.7199999999999994E-3</v>
      </c>
    </row>
    <row r="83" spans="1:6" x14ac:dyDescent="0.25">
      <c r="A83" s="13" t="s">
        <v>353</v>
      </c>
      <c r="B83" s="15" t="e">
        <f ca="1">_xll.BDH(A83,$C$2,'UNDERLYING INFO'!$B$1,'UNDERLYING INFO'!$B$1,"Dts=S","cols=2;rows=1")</f>
        <v>#NAME?</v>
      </c>
      <c r="C83" s="49">
        <v>1.0660000000000001</v>
      </c>
      <c r="D83" s="102">
        <v>30</v>
      </c>
      <c r="E83" s="51">
        <f>DATE(YEAR('UNDERLYING INFO'!$B$1)+D83,MONTH('UNDERLYING INFO'!$B$1),DAY('UNDERLYING INFO'!$B$1))</f>
        <v>54511</v>
      </c>
      <c r="F83" s="52">
        <f t="shared" si="6"/>
        <v>1.0660000000000001E-2</v>
      </c>
    </row>
    <row r="84" spans="1:6" x14ac:dyDescent="0.25">
      <c r="A84" s="13">
        <v>0</v>
      </c>
      <c r="B84" s="15" t="e">
        <f ca="1">_xll.BDH(A84,$C$2,'UNDERLYING INFO'!$B$1,'UNDERLYING INFO'!$B$1,"Dts=S")</f>
        <v>#NAME?</v>
      </c>
      <c r="C84" s="49">
        <v>1.0660000000000001</v>
      </c>
      <c r="D84" s="102">
        <v>50</v>
      </c>
      <c r="E84" s="51">
        <f>DATE(YEAR('UNDERLYING INFO'!$B$1)+D84,MONTH('UNDERLYING INFO'!$B$1),DAY('UNDERLYING INFO'!$B$1))</f>
        <v>61816</v>
      </c>
      <c r="F84" s="52">
        <f t="shared" si="6"/>
        <v>1.0660000000000001E-2</v>
      </c>
    </row>
    <row r="85" spans="1:6" x14ac:dyDescent="0.25">
      <c r="A85" s="13">
        <v>0</v>
      </c>
      <c r="B85" s="15" t="e">
        <f ca="1">_xll.BDH(A85,$C$2,'UNDERLYING INFO'!$B$1,'UNDERLYING INFO'!$B$1,"Dts=S")</f>
        <v>#NAME?</v>
      </c>
      <c r="C85" s="49">
        <v>1.0660000000000001</v>
      </c>
      <c r="D85" s="102">
        <v>60</v>
      </c>
      <c r="E85" s="51">
        <f>DATE(YEAR('UNDERLYING INFO'!$B$1)+D85,MONTH('UNDERLYING INFO'!$B$1),DAY('UNDERLYING INFO'!$B$1))</f>
        <v>65468</v>
      </c>
      <c r="F85" s="52">
        <f t="shared" si="6"/>
        <v>1.0660000000000001E-2</v>
      </c>
    </row>
    <row r="86" spans="1:6" x14ac:dyDescent="0.25">
      <c r="A86" s="13">
        <v>0</v>
      </c>
      <c r="B86" s="15" t="e">
        <f ca="1">_xll.BDH(A86,$C$2,'UNDERLYING INFO'!$B$1,'UNDERLYING INFO'!$B$1,"Dts=S")</f>
        <v>#NAME?</v>
      </c>
      <c r="C86" s="49">
        <v>1.0660000000000001</v>
      </c>
      <c r="D86" s="102">
        <v>70</v>
      </c>
      <c r="E86" s="51">
        <f>DATE(YEAR('UNDERLYING INFO'!$B$1)+D86,MONTH('UNDERLYING INFO'!$B$1),DAY('UNDERLYING INFO'!$B$1))</f>
        <v>69121</v>
      </c>
      <c r="F86" s="52">
        <f t="shared" si="6"/>
        <v>1.0660000000000001E-2</v>
      </c>
    </row>
    <row r="87" spans="1:6" x14ac:dyDescent="0.25">
      <c r="A87" s="13">
        <v>0</v>
      </c>
      <c r="B87" s="15" t="e">
        <f ca="1">_xll.BDH(A87,$C$2,'UNDERLYING INFO'!$B$1,'UNDERLYING INFO'!$B$1,"Dts=S")</f>
        <v>#NAME?</v>
      </c>
      <c r="C87" s="49">
        <v>1.0660000000000001</v>
      </c>
      <c r="D87" s="53">
        <v>80</v>
      </c>
      <c r="E87" s="51">
        <f>DATE(YEAR('UNDERLYING INFO'!$B$1)+D87,MONTH('UNDERLYING INFO'!$B$1),DAY('UNDERLYING INFO'!$B$1))</f>
        <v>72773</v>
      </c>
      <c r="F87" s="52">
        <f t="shared" si="6"/>
        <v>1.0660000000000001E-2</v>
      </c>
    </row>
  </sheetData>
  <mergeCells count="7">
    <mergeCell ref="A45:F45"/>
    <mergeCell ref="A67:F67"/>
    <mergeCell ref="V1:AA1"/>
    <mergeCell ref="H1:M1"/>
    <mergeCell ref="O1:T1"/>
    <mergeCell ref="A1:F1"/>
    <mergeCell ref="A23:F2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oglio9">
    <tabColor theme="5" tint="-0.499984740745262"/>
  </sheetPr>
  <dimension ref="A1:B1277"/>
  <sheetViews>
    <sheetView workbookViewId="0">
      <selection sqref="A1:B1"/>
    </sheetView>
  </sheetViews>
  <sheetFormatPr defaultColWidth="9.125" defaultRowHeight="10.9" x14ac:dyDescent="0.25"/>
  <cols>
    <col min="1" max="1" width="14.25" style="1" bestFit="1" customWidth="1"/>
    <col min="2" max="2" width="7.625" style="1" bestFit="1" customWidth="1"/>
    <col min="3" max="16384" width="9.125" style="1"/>
  </cols>
  <sheetData>
    <row r="1" spans="1:2" x14ac:dyDescent="0.25">
      <c r="A1" s="106" t="s">
        <v>51</v>
      </c>
      <c r="B1" s="106"/>
    </row>
    <row r="2" spans="1:2" x14ac:dyDescent="0.25">
      <c r="A2" s="13" t="s">
        <v>3</v>
      </c>
      <c r="B2" s="13">
        <f>'BLOOMBERG ASSETS'!B2</f>
        <v>10</v>
      </c>
    </row>
    <row r="3" spans="1:2" x14ac:dyDescent="0.25">
      <c r="A3" s="13" t="s">
        <v>1</v>
      </c>
      <c r="B3" s="16">
        <f>DATE(YEAR(B4)-$B$2,MONTH(B4),DAY(B4)-1)</f>
        <v>39900</v>
      </c>
    </row>
    <row r="4" spans="1:2" x14ac:dyDescent="0.25">
      <c r="A4" s="13" t="s">
        <v>2</v>
      </c>
      <c r="B4" s="25">
        <f>'UNDERLYING INFO'!B1</f>
        <v>43553</v>
      </c>
    </row>
    <row r="5" spans="1:2" x14ac:dyDescent="0.25">
      <c r="A5" s="13" t="s">
        <v>46</v>
      </c>
      <c r="B5" s="26" t="str">
        <f>'UNDERLYING INFO'!B7</f>
        <v>D</v>
      </c>
    </row>
    <row r="6" spans="1:2" x14ac:dyDescent="0.25">
      <c r="A6" s="13" t="s">
        <v>48</v>
      </c>
      <c r="B6" s="26" t="str">
        <f>'UNDERLYING INFO'!B6</f>
        <v>EUR</v>
      </c>
    </row>
    <row r="7" spans="1:2" x14ac:dyDescent="0.25">
      <c r="A7" s="13" t="s">
        <v>49</v>
      </c>
      <c r="B7" s="26" t="s">
        <v>50</v>
      </c>
    </row>
    <row r="8" spans="1:2" x14ac:dyDescent="0.25">
      <c r="A8" s="13" t="str">
        <f>CONCATENATE('PRODUCT INFO'!C2," Corp")</f>
        <v>XS1978002167 Corp</v>
      </c>
      <c r="B8" s="27"/>
    </row>
    <row r="9" spans="1:2" x14ac:dyDescent="0.25">
      <c r="A9" s="13" t="s">
        <v>0</v>
      </c>
      <c r="B9" s="13" t="s">
        <v>166</v>
      </c>
    </row>
    <row r="10" spans="1:2" x14ac:dyDescent="0.25">
      <c r="A10" s="59" t="s">
        <v>360</v>
      </c>
      <c r="B10" s="60"/>
    </row>
    <row r="11" spans="1:2" x14ac:dyDescent="0.25">
      <c r="A11" s="2"/>
      <c r="B11" s="3"/>
    </row>
    <row r="12" spans="1:2" x14ac:dyDescent="0.25">
      <c r="A12" s="2"/>
      <c r="B12" s="3"/>
    </row>
    <row r="13" spans="1:2" x14ac:dyDescent="0.25">
      <c r="A13" s="2"/>
      <c r="B13" s="3"/>
    </row>
    <row r="14" spans="1:2" x14ac:dyDescent="0.25">
      <c r="A14" s="2"/>
      <c r="B14" s="3"/>
    </row>
    <row r="15" spans="1:2" x14ac:dyDescent="0.25">
      <c r="A15" s="2"/>
      <c r="B15" s="3"/>
    </row>
    <row r="16" spans="1:2" x14ac:dyDescent="0.25">
      <c r="A16" s="2"/>
      <c r="B16" s="3"/>
    </row>
    <row r="17" spans="1:2" x14ac:dyDescent="0.25">
      <c r="A17" s="2"/>
      <c r="B17" s="3"/>
    </row>
    <row r="18" spans="1:2" x14ac:dyDescent="0.25">
      <c r="A18" s="2"/>
      <c r="B18" s="3"/>
    </row>
    <row r="19" spans="1:2" x14ac:dyDescent="0.25">
      <c r="A19" s="2"/>
      <c r="B19" s="3"/>
    </row>
    <row r="20" spans="1:2" x14ac:dyDescent="0.25">
      <c r="A20" s="2"/>
      <c r="B20" s="3"/>
    </row>
    <row r="21" spans="1:2" x14ac:dyDescent="0.25">
      <c r="A21" s="2"/>
      <c r="B21" s="3"/>
    </row>
    <row r="22" spans="1:2" x14ac:dyDescent="0.25">
      <c r="A22" s="2"/>
      <c r="B22" s="3"/>
    </row>
    <row r="23" spans="1:2" x14ac:dyDescent="0.25">
      <c r="A23" s="2"/>
      <c r="B23" s="3"/>
    </row>
    <row r="24" spans="1:2" x14ac:dyDescent="0.25">
      <c r="A24" s="2"/>
      <c r="B24" s="3"/>
    </row>
    <row r="25" spans="1:2" x14ac:dyDescent="0.25">
      <c r="A25" s="2"/>
      <c r="B25" s="3"/>
    </row>
    <row r="26" spans="1:2" x14ac:dyDescent="0.25">
      <c r="A26" s="2"/>
      <c r="B26" s="3"/>
    </row>
    <row r="27" spans="1:2" x14ac:dyDescent="0.25">
      <c r="A27" s="2"/>
      <c r="B27" s="3"/>
    </row>
    <row r="28" spans="1:2" x14ac:dyDescent="0.25">
      <c r="A28" s="2"/>
      <c r="B28" s="3"/>
    </row>
    <row r="29" spans="1:2" x14ac:dyDescent="0.25">
      <c r="A29" s="2"/>
      <c r="B29" s="3"/>
    </row>
    <row r="30" spans="1:2" x14ac:dyDescent="0.25">
      <c r="A30" s="2"/>
      <c r="B30" s="3"/>
    </row>
    <row r="31" spans="1:2" x14ac:dyDescent="0.25">
      <c r="A31" s="2"/>
      <c r="B31" s="3"/>
    </row>
    <row r="32" spans="1:2" x14ac:dyDescent="0.25">
      <c r="A32" s="2"/>
      <c r="B32" s="3"/>
    </row>
    <row r="33" spans="1:2" x14ac:dyDescent="0.25">
      <c r="A33" s="2"/>
      <c r="B33" s="3"/>
    </row>
    <row r="34" spans="1:2" x14ac:dyDescent="0.25">
      <c r="A34" s="2"/>
      <c r="B34" s="3"/>
    </row>
    <row r="35" spans="1:2" x14ac:dyDescent="0.25">
      <c r="A35" s="2"/>
      <c r="B35" s="3"/>
    </row>
    <row r="36" spans="1:2" x14ac:dyDescent="0.25">
      <c r="A36" s="2"/>
      <c r="B36" s="3"/>
    </row>
    <row r="37" spans="1:2" x14ac:dyDescent="0.25">
      <c r="A37" s="2"/>
      <c r="B37" s="3"/>
    </row>
    <row r="38" spans="1:2" x14ac:dyDescent="0.25">
      <c r="A38" s="2"/>
      <c r="B38" s="3"/>
    </row>
    <row r="39" spans="1:2" x14ac:dyDescent="0.25">
      <c r="A39" s="2"/>
      <c r="B39" s="3"/>
    </row>
    <row r="40" spans="1:2" x14ac:dyDescent="0.25">
      <c r="A40" s="2"/>
      <c r="B40" s="3"/>
    </row>
    <row r="41" spans="1:2" x14ac:dyDescent="0.25">
      <c r="A41" s="2"/>
      <c r="B41" s="3"/>
    </row>
    <row r="42" spans="1:2" x14ac:dyDescent="0.25">
      <c r="A42" s="2"/>
      <c r="B42" s="3"/>
    </row>
    <row r="43" spans="1:2" x14ac:dyDescent="0.25">
      <c r="A43" s="2"/>
      <c r="B43" s="3"/>
    </row>
    <row r="44" spans="1:2" x14ac:dyDescent="0.25">
      <c r="A44" s="2"/>
      <c r="B44" s="3"/>
    </row>
    <row r="45" spans="1:2" x14ac:dyDescent="0.25">
      <c r="A45" s="2"/>
      <c r="B45" s="3"/>
    </row>
    <row r="46" spans="1:2" x14ac:dyDescent="0.25">
      <c r="A46" s="2"/>
      <c r="B46" s="3"/>
    </row>
    <row r="47" spans="1:2" x14ac:dyDescent="0.25">
      <c r="A47" s="2"/>
      <c r="B47" s="3"/>
    </row>
    <row r="48" spans="1:2" x14ac:dyDescent="0.25">
      <c r="A48" s="2"/>
      <c r="B48" s="3"/>
    </row>
    <row r="49" spans="1:2" x14ac:dyDescent="0.25">
      <c r="A49" s="2"/>
      <c r="B49" s="3"/>
    </row>
    <row r="50" spans="1:2" x14ac:dyDescent="0.25">
      <c r="A50" s="2"/>
      <c r="B50" s="3"/>
    </row>
    <row r="51" spans="1:2" x14ac:dyDescent="0.25">
      <c r="A51" s="2"/>
      <c r="B51" s="3"/>
    </row>
    <row r="52" spans="1:2" x14ac:dyDescent="0.25">
      <c r="A52" s="2"/>
      <c r="B52" s="3"/>
    </row>
    <row r="53" spans="1:2" x14ac:dyDescent="0.25">
      <c r="A53" s="2"/>
      <c r="B53" s="3"/>
    </row>
    <row r="54" spans="1:2" x14ac:dyDescent="0.25">
      <c r="A54" s="2"/>
      <c r="B54" s="3"/>
    </row>
    <row r="55" spans="1:2" x14ac:dyDescent="0.25">
      <c r="A55" s="2"/>
      <c r="B55" s="3"/>
    </row>
    <row r="56" spans="1:2" x14ac:dyDescent="0.25">
      <c r="A56" s="2"/>
      <c r="B56" s="3"/>
    </row>
    <row r="57" spans="1:2" x14ac:dyDescent="0.25">
      <c r="A57" s="2"/>
      <c r="B57" s="3"/>
    </row>
    <row r="58" spans="1:2" x14ac:dyDescent="0.25">
      <c r="A58" s="2"/>
      <c r="B58" s="3"/>
    </row>
    <row r="59" spans="1:2" x14ac:dyDescent="0.25">
      <c r="A59" s="2"/>
      <c r="B59" s="3"/>
    </row>
    <row r="60" spans="1:2" x14ac:dyDescent="0.25">
      <c r="A60" s="2"/>
      <c r="B60" s="3"/>
    </row>
    <row r="61" spans="1:2" x14ac:dyDescent="0.25">
      <c r="A61" s="2"/>
      <c r="B61" s="3"/>
    </row>
    <row r="62" spans="1:2" x14ac:dyDescent="0.25">
      <c r="A62" s="2"/>
      <c r="B62" s="3"/>
    </row>
    <row r="63" spans="1:2" x14ac:dyDescent="0.25">
      <c r="A63" s="2"/>
      <c r="B63" s="3"/>
    </row>
    <row r="64" spans="1:2" x14ac:dyDescent="0.25">
      <c r="A64" s="2"/>
      <c r="B64" s="3"/>
    </row>
    <row r="65" spans="1:2" x14ac:dyDescent="0.25">
      <c r="A65" s="2"/>
      <c r="B65" s="3"/>
    </row>
    <row r="66" spans="1:2" x14ac:dyDescent="0.25">
      <c r="A66" s="2"/>
      <c r="B66" s="3"/>
    </row>
    <row r="67" spans="1:2" x14ac:dyDescent="0.25">
      <c r="A67" s="2"/>
      <c r="B67" s="3"/>
    </row>
    <row r="68" spans="1:2" x14ac:dyDescent="0.25">
      <c r="A68" s="2"/>
      <c r="B68" s="3"/>
    </row>
    <row r="69" spans="1:2" x14ac:dyDescent="0.25">
      <c r="A69" s="2"/>
      <c r="B69" s="3"/>
    </row>
    <row r="70" spans="1:2" x14ac:dyDescent="0.25">
      <c r="A70" s="2"/>
      <c r="B70" s="3"/>
    </row>
    <row r="71" spans="1:2" x14ac:dyDescent="0.25">
      <c r="A71" s="2"/>
      <c r="B71" s="3"/>
    </row>
    <row r="72" spans="1:2" x14ac:dyDescent="0.25">
      <c r="A72" s="2"/>
      <c r="B72" s="3"/>
    </row>
    <row r="73" spans="1:2" x14ac:dyDescent="0.25">
      <c r="A73" s="2"/>
      <c r="B73" s="3"/>
    </row>
    <row r="74" spans="1:2" x14ac:dyDescent="0.25">
      <c r="A74" s="2"/>
      <c r="B74" s="3"/>
    </row>
    <row r="75" spans="1:2" x14ac:dyDescent="0.25">
      <c r="A75" s="2"/>
      <c r="B75" s="3"/>
    </row>
    <row r="76" spans="1:2" x14ac:dyDescent="0.25">
      <c r="A76" s="2"/>
      <c r="B76" s="3"/>
    </row>
    <row r="77" spans="1:2" x14ac:dyDescent="0.25">
      <c r="A77" s="2"/>
      <c r="B77" s="3"/>
    </row>
    <row r="78" spans="1:2" x14ac:dyDescent="0.25">
      <c r="A78" s="2"/>
      <c r="B78" s="3"/>
    </row>
    <row r="79" spans="1:2" x14ac:dyDescent="0.25">
      <c r="A79" s="2"/>
      <c r="B79" s="3"/>
    </row>
    <row r="80" spans="1:2" x14ac:dyDescent="0.25">
      <c r="A80" s="2"/>
      <c r="B80" s="3"/>
    </row>
    <row r="81" spans="1:2" x14ac:dyDescent="0.25">
      <c r="A81" s="2"/>
      <c r="B81" s="3"/>
    </row>
    <row r="82" spans="1:2" x14ac:dyDescent="0.25">
      <c r="A82" s="2"/>
      <c r="B82" s="3"/>
    </row>
    <row r="83" spans="1:2" x14ac:dyDescent="0.25">
      <c r="A83" s="2"/>
      <c r="B83" s="3"/>
    </row>
    <row r="84" spans="1:2" x14ac:dyDescent="0.25">
      <c r="A84" s="2"/>
      <c r="B84" s="3"/>
    </row>
    <row r="85" spans="1:2" x14ac:dyDescent="0.25">
      <c r="A85" s="2"/>
      <c r="B85" s="3"/>
    </row>
    <row r="86" spans="1:2" x14ac:dyDescent="0.25">
      <c r="A86" s="2"/>
      <c r="B86" s="3"/>
    </row>
    <row r="87" spans="1:2" x14ac:dyDescent="0.25">
      <c r="A87" s="2"/>
      <c r="B87" s="3"/>
    </row>
    <row r="88" spans="1:2" x14ac:dyDescent="0.25">
      <c r="A88" s="2"/>
      <c r="B88" s="3"/>
    </row>
    <row r="89" spans="1:2" x14ac:dyDescent="0.25">
      <c r="A89" s="2"/>
      <c r="B89" s="3"/>
    </row>
    <row r="90" spans="1:2" x14ac:dyDescent="0.25">
      <c r="A90" s="2"/>
      <c r="B90" s="3"/>
    </row>
    <row r="91" spans="1:2" x14ac:dyDescent="0.25">
      <c r="A91" s="2"/>
      <c r="B91" s="3"/>
    </row>
    <row r="92" spans="1:2" x14ac:dyDescent="0.25">
      <c r="A92" s="2"/>
      <c r="B92" s="3"/>
    </row>
    <row r="93" spans="1:2" x14ac:dyDescent="0.25">
      <c r="A93" s="2"/>
      <c r="B93" s="3"/>
    </row>
    <row r="94" spans="1:2" x14ac:dyDescent="0.25">
      <c r="A94" s="2"/>
      <c r="B94" s="3"/>
    </row>
    <row r="95" spans="1:2" x14ac:dyDescent="0.25">
      <c r="A95" s="2"/>
      <c r="B95" s="3"/>
    </row>
    <row r="96" spans="1:2" x14ac:dyDescent="0.25">
      <c r="A96" s="2"/>
      <c r="B96" s="3"/>
    </row>
    <row r="97" spans="1:2" x14ac:dyDescent="0.25">
      <c r="A97" s="2"/>
      <c r="B97" s="3"/>
    </row>
    <row r="98" spans="1:2" x14ac:dyDescent="0.25">
      <c r="A98" s="2"/>
      <c r="B98" s="3"/>
    </row>
    <row r="99" spans="1:2" x14ac:dyDescent="0.25">
      <c r="A99" s="2"/>
      <c r="B99" s="3"/>
    </row>
    <row r="100" spans="1:2" x14ac:dyDescent="0.25">
      <c r="A100" s="2"/>
      <c r="B100" s="3"/>
    </row>
    <row r="101" spans="1:2" x14ac:dyDescent="0.25">
      <c r="A101" s="2"/>
      <c r="B101" s="3"/>
    </row>
    <row r="102" spans="1:2" x14ac:dyDescent="0.25">
      <c r="A102" s="2"/>
      <c r="B102" s="3"/>
    </row>
    <row r="103" spans="1:2" x14ac:dyDescent="0.25">
      <c r="A103" s="2"/>
      <c r="B103" s="3"/>
    </row>
    <row r="104" spans="1:2" x14ac:dyDescent="0.25">
      <c r="A104" s="2"/>
      <c r="B104" s="3"/>
    </row>
    <row r="105" spans="1:2" x14ac:dyDescent="0.25">
      <c r="A105" s="2"/>
      <c r="B105" s="3"/>
    </row>
    <row r="106" spans="1:2" x14ac:dyDescent="0.25">
      <c r="A106" s="2"/>
      <c r="B106" s="3"/>
    </row>
    <row r="107" spans="1:2" x14ac:dyDescent="0.25">
      <c r="A107" s="2"/>
      <c r="B107" s="3"/>
    </row>
    <row r="108" spans="1:2" x14ac:dyDescent="0.25">
      <c r="A108" s="2"/>
      <c r="B108" s="3"/>
    </row>
    <row r="109" spans="1:2" x14ac:dyDescent="0.25">
      <c r="A109" s="2"/>
      <c r="B109" s="3"/>
    </row>
    <row r="110" spans="1:2" x14ac:dyDescent="0.25">
      <c r="A110" s="2"/>
      <c r="B110" s="3"/>
    </row>
    <row r="111" spans="1:2" x14ac:dyDescent="0.25">
      <c r="A111" s="2"/>
      <c r="B111" s="3"/>
    </row>
    <row r="112" spans="1:2" x14ac:dyDescent="0.25">
      <c r="A112" s="2"/>
      <c r="B112" s="3"/>
    </row>
    <row r="113" spans="1:2" x14ac:dyDescent="0.25">
      <c r="A113" s="2"/>
      <c r="B113" s="3"/>
    </row>
    <row r="114" spans="1:2" x14ac:dyDescent="0.25">
      <c r="A114" s="2"/>
      <c r="B114" s="3"/>
    </row>
    <row r="115" spans="1:2" x14ac:dyDescent="0.25">
      <c r="A115" s="2"/>
      <c r="B115" s="3"/>
    </row>
    <row r="116" spans="1:2" x14ac:dyDescent="0.25">
      <c r="A116" s="2"/>
      <c r="B116" s="3"/>
    </row>
    <row r="117" spans="1:2" x14ac:dyDescent="0.25">
      <c r="A117" s="2"/>
      <c r="B117" s="3"/>
    </row>
    <row r="118" spans="1:2" x14ac:dyDescent="0.25">
      <c r="A118" s="2"/>
      <c r="B118" s="3"/>
    </row>
    <row r="119" spans="1:2" x14ac:dyDescent="0.25">
      <c r="A119" s="2"/>
      <c r="B119" s="3"/>
    </row>
    <row r="120" spans="1:2" x14ac:dyDescent="0.25">
      <c r="A120" s="2"/>
      <c r="B120" s="3"/>
    </row>
    <row r="121" spans="1:2" x14ac:dyDescent="0.25">
      <c r="A121" s="2"/>
      <c r="B121" s="3"/>
    </row>
    <row r="122" spans="1:2" x14ac:dyDescent="0.25">
      <c r="A122" s="2"/>
      <c r="B122" s="3"/>
    </row>
    <row r="123" spans="1:2" x14ac:dyDescent="0.25">
      <c r="A123" s="2"/>
      <c r="B123" s="3"/>
    </row>
    <row r="124" spans="1:2" x14ac:dyDescent="0.25">
      <c r="A124" s="2"/>
      <c r="B124" s="3"/>
    </row>
    <row r="125" spans="1:2" x14ac:dyDescent="0.25">
      <c r="A125" s="2"/>
      <c r="B125" s="3"/>
    </row>
    <row r="126" spans="1:2" x14ac:dyDescent="0.25">
      <c r="A126" s="2"/>
      <c r="B126" s="3"/>
    </row>
    <row r="127" spans="1:2" x14ac:dyDescent="0.25">
      <c r="A127" s="2"/>
      <c r="B127" s="3"/>
    </row>
    <row r="128" spans="1:2" x14ac:dyDescent="0.25">
      <c r="A128" s="2"/>
      <c r="B128" s="3"/>
    </row>
    <row r="129" spans="1:2" x14ac:dyDescent="0.25">
      <c r="A129" s="2"/>
      <c r="B129" s="3"/>
    </row>
    <row r="130" spans="1:2" x14ac:dyDescent="0.25">
      <c r="A130" s="2"/>
      <c r="B130" s="3"/>
    </row>
    <row r="131" spans="1:2" x14ac:dyDescent="0.25">
      <c r="A131" s="2"/>
      <c r="B131" s="3"/>
    </row>
    <row r="132" spans="1:2" x14ac:dyDescent="0.25">
      <c r="A132" s="2"/>
      <c r="B132" s="3"/>
    </row>
    <row r="133" spans="1:2" x14ac:dyDescent="0.25">
      <c r="A133" s="2"/>
      <c r="B133" s="3"/>
    </row>
    <row r="134" spans="1:2" x14ac:dyDescent="0.25">
      <c r="A134" s="2"/>
      <c r="B134" s="3"/>
    </row>
    <row r="135" spans="1:2" x14ac:dyDescent="0.25">
      <c r="A135" s="2"/>
      <c r="B135" s="3"/>
    </row>
    <row r="136" spans="1:2" x14ac:dyDescent="0.25">
      <c r="A136" s="2"/>
      <c r="B136" s="3"/>
    </row>
    <row r="137" spans="1:2" x14ac:dyDescent="0.25">
      <c r="A137" s="2"/>
      <c r="B137" s="3"/>
    </row>
    <row r="138" spans="1:2" x14ac:dyDescent="0.25">
      <c r="A138" s="2"/>
      <c r="B138" s="3"/>
    </row>
    <row r="139" spans="1:2" x14ac:dyDescent="0.25">
      <c r="A139" s="2"/>
      <c r="B139" s="3"/>
    </row>
    <row r="140" spans="1:2" x14ac:dyDescent="0.25">
      <c r="A140" s="2"/>
      <c r="B140" s="3"/>
    </row>
    <row r="141" spans="1:2" x14ac:dyDescent="0.25">
      <c r="A141" s="2"/>
      <c r="B141" s="3"/>
    </row>
    <row r="142" spans="1:2" x14ac:dyDescent="0.25">
      <c r="A142" s="2"/>
      <c r="B142" s="3"/>
    </row>
    <row r="143" spans="1:2" x14ac:dyDescent="0.25">
      <c r="A143" s="2"/>
      <c r="B143" s="3"/>
    </row>
    <row r="144" spans="1:2" x14ac:dyDescent="0.25">
      <c r="A144" s="2"/>
      <c r="B144" s="3"/>
    </row>
    <row r="145" spans="1:2" x14ac:dyDescent="0.25">
      <c r="A145" s="2"/>
      <c r="B145" s="3"/>
    </row>
    <row r="146" spans="1:2" x14ac:dyDescent="0.25">
      <c r="A146" s="2"/>
      <c r="B146" s="3"/>
    </row>
    <row r="147" spans="1:2" x14ac:dyDescent="0.25">
      <c r="A147" s="2"/>
      <c r="B147" s="3"/>
    </row>
    <row r="148" spans="1:2" x14ac:dyDescent="0.25">
      <c r="A148" s="2"/>
      <c r="B148" s="3"/>
    </row>
    <row r="149" spans="1:2" x14ac:dyDescent="0.25">
      <c r="A149" s="2"/>
      <c r="B149" s="3"/>
    </row>
    <row r="150" spans="1:2" x14ac:dyDescent="0.25">
      <c r="A150" s="2"/>
      <c r="B150" s="3"/>
    </row>
    <row r="151" spans="1:2" x14ac:dyDescent="0.25">
      <c r="A151" s="2"/>
      <c r="B151" s="3"/>
    </row>
    <row r="152" spans="1:2" x14ac:dyDescent="0.25">
      <c r="A152" s="2"/>
      <c r="B152" s="3"/>
    </row>
    <row r="153" spans="1:2" x14ac:dyDescent="0.25">
      <c r="A153" s="2"/>
      <c r="B153" s="3"/>
    </row>
    <row r="154" spans="1:2" x14ac:dyDescent="0.25">
      <c r="A154" s="2"/>
      <c r="B154" s="3"/>
    </row>
    <row r="155" spans="1:2" x14ac:dyDescent="0.25">
      <c r="A155" s="2"/>
      <c r="B155" s="3"/>
    </row>
    <row r="156" spans="1:2" x14ac:dyDescent="0.25">
      <c r="A156" s="2"/>
      <c r="B156" s="3"/>
    </row>
    <row r="157" spans="1:2" x14ac:dyDescent="0.25">
      <c r="A157" s="2"/>
      <c r="B157" s="3"/>
    </row>
    <row r="158" spans="1:2" x14ac:dyDescent="0.25">
      <c r="A158" s="2"/>
      <c r="B158" s="3"/>
    </row>
    <row r="159" spans="1:2" x14ac:dyDescent="0.25">
      <c r="A159" s="2"/>
      <c r="B159" s="3"/>
    </row>
    <row r="160" spans="1:2" x14ac:dyDescent="0.25">
      <c r="A160" s="2"/>
      <c r="B160" s="3"/>
    </row>
    <row r="161" spans="1:2" x14ac:dyDescent="0.25">
      <c r="A161" s="2"/>
      <c r="B161" s="3"/>
    </row>
    <row r="162" spans="1:2" x14ac:dyDescent="0.25">
      <c r="A162" s="2"/>
      <c r="B162" s="3"/>
    </row>
    <row r="163" spans="1:2" x14ac:dyDescent="0.25">
      <c r="A163" s="2"/>
      <c r="B163" s="3"/>
    </row>
    <row r="164" spans="1:2" x14ac:dyDescent="0.25">
      <c r="A164" s="2"/>
      <c r="B164" s="3"/>
    </row>
    <row r="165" spans="1:2" x14ac:dyDescent="0.25">
      <c r="A165" s="2"/>
      <c r="B165" s="3"/>
    </row>
    <row r="166" spans="1:2" x14ac:dyDescent="0.25">
      <c r="A166" s="2"/>
      <c r="B166" s="3"/>
    </row>
    <row r="167" spans="1:2" x14ac:dyDescent="0.25">
      <c r="A167" s="2"/>
      <c r="B167" s="3"/>
    </row>
    <row r="168" spans="1:2" x14ac:dyDescent="0.25">
      <c r="A168" s="2"/>
      <c r="B168" s="3"/>
    </row>
    <row r="169" spans="1:2" x14ac:dyDescent="0.25">
      <c r="A169" s="2"/>
      <c r="B169" s="3"/>
    </row>
    <row r="170" spans="1:2" x14ac:dyDescent="0.25">
      <c r="A170" s="2"/>
      <c r="B170" s="3"/>
    </row>
    <row r="171" spans="1:2" x14ac:dyDescent="0.25">
      <c r="A171" s="2"/>
      <c r="B171" s="3"/>
    </row>
    <row r="172" spans="1:2" x14ac:dyDescent="0.25">
      <c r="A172" s="2"/>
      <c r="B172" s="3"/>
    </row>
    <row r="173" spans="1:2" x14ac:dyDescent="0.25">
      <c r="A173" s="2"/>
      <c r="B173" s="3"/>
    </row>
    <row r="174" spans="1:2" x14ac:dyDescent="0.25">
      <c r="A174" s="2"/>
      <c r="B174" s="3"/>
    </row>
    <row r="175" spans="1:2" x14ac:dyDescent="0.25">
      <c r="A175" s="2"/>
      <c r="B175" s="3"/>
    </row>
    <row r="176" spans="1:2" x14ac:dyDescent="0.25">
      <c r="A176" s="2"/>
      <c r="B176" s="3"/>
    </row>
    <row r="177" spans="1:2" x14ac:dyDescent="0.25">
      <c r="A177" s="2"/>
      <c r="B177" s="3"/>
    </row>
    <row r="178" spans="1:2" x14ac:dyDescent="0.25">
      <c r="A178" s="2"/>
      <c r="B178" s="3"/>
    </row>
    <row r="179" spans="1:2" x14ac:dyDescent="0.25">
      <c r="A179" s="2"/>
      <c r="B179" s="3"/>
    </row>
    <row r="180" spans="1:2" x14ac:dyDescent="0.25">
      <c r="A180" s="2"/>
      <c r="B180" s="3"/>
    </row>
    <row r="181" spans="1:2" x14ac:dyDescent="0.25">
      <c r="A181" s="2"/>
      <c r="B181" s="3"/>
    </row>
    <row r="182" spans="1:2" x14ac:dyDescent="0.25">
      <c r="A182" s="2"/>
      <c r="B182" s="3"/>
    </row>
    <row r="183" spans="1:2" x14ac:dyDescent="0.25">
      <c r="A183" s="2"/>
      <c r="B183" s="3"/>
    </row>
    <row r="184" spans="1:2" x14ac:dyDescent="0.25">
      <c r="A184" s="2"/>
      <c r="B184" s="3"/>
    </row>
    <row r="185" spans="1:2" x14ac:dyDescent="0.25">
      <c r="A185" s="2"/>
      <c r="B185" s="3"/>
    </row>
    <row r="186" spans="1:2" x14ac:dyDescent="0.25">
      <c r="A186" s="2"/>
      <c r="B186" s="3"/>
    </row>
    <row r="187" spans="1:2" x14ac:dyDescent="0.25">
      <c r="A187" s="2"/>
      <c r="B187" s="3"/>
    </row>
    <row r="188" spans="1:2" x14ac:dyDescent="0.25">
      <c r="A188" s="2"/>
      <c r="B188" s="3"/>
    </row>
    <row r="189" spans="1:2" x14ac:dyDescent="0.25">
      <c r="A189" s="2"/>
      <c r="B189" s="3"/>
    </row>
    <row r="190" spans="1:2" x14ac:dyDescent="0.25">
      <c r="A190" s="2"/>
      <c r="B190" s="3"/>
    </row>
    <row r="191" spans="1:2" x14ac:dyDescent="0.25">
      <c r="A191" s="2"/>
      <c r="B191" s="3"/>
    </row>
    <row r="192" spans="1:2" x14ac:dyDescent="0.25">
      <c r="A192" s="2"/>
      <c r="B192" s="3"/>
    </row>
    <row r="193" spans="1:2" x14ac:dyDescent="0.25">
      <c r="A193" s="2"/>
      <c r="B193" s="3"/>
    </row>
    <row r="194" spans="1:2" x14ac:dyDescent="0.25">
      <c r="A194" s="2"/>
      <c r="B194" s="3"/>
    </row>
    <row r="195" spans="1:2" x14ac:dyDescent="0.25">
      <c r="A195" s="2"/>
      <c r="B195" s="3"/>
    </row>
    <row r="196" spans="1:2" x14ac:dyDescent="0.25">
      <c r="A196" s="2"/>
      <c r="B196" s="3"/>
    </row>
    <row r="197" spans="1:2" x14ac:dyDescent="0.25">
      <c r="A197" s="2"/>
      <c r="B197" s="3"/>
    </row>
    <row r="198" spans="1:2" x14ac:dyDescent="0.25">
      <c r="A198" s="2"/>
      <c r="B198" s="3"/>
    </row>
    <row r="199" spans="1:2" x14ac:dyDescent="0.25">
      <c r="A199" s="2"/>
      <c r="B199" s="3"/>
    </row>
    <row r="200" spans="1:2" x14ac:dyDescent="0.25">
      <c r="A200" s="2"/>
      <c r="B200" s="3"/>
    </row>
    <row r="201" spans="1:2" x14ac:dyDescent="0.25">
      <c r="A201" s="2"/>
      <c r="B201" s="3"/>
    </row>
    <row r="202" spans="1:2" x14ac:dyDescent="0.25">
      <c r="A202" s="2"/>
      <c r="B202" s="3"/>
    </row>
    <row r="203" spans="1:2" x14ac:dyDescent="0.25">
      <c r="A203" s="2"/>
      <c r="B203" s="3"/>
    </row>
    <row r="204" spans="1:2" x14ac:dyDescent="0.25">
      <c r="A204" s="2"/>
      <c r="B204" s="3"/>
    </row>
    <row r="205" spans="1:2" x14ac:dyDescent="0.25">
      <c r="A205" s="2"/>
      <c r="B205" s="3"/>
    </row>
    <row r="206" spans="1:2" x14ac:dyDescent="0.25">
      <c r="A206" s="2"/>
      <c r="B206" s="3"/>
    </row>
    <row r="207" spans="1:2" x14ac:dyDescent="0.25">
      <c r="A207" s="2"/>
      <c r="B207" s="3"/>
    </row>
    <row r="208" spans="1:2" x14ac:dyDescent="0.25">
      <c r="A208" s="2"/>
      <c r="B208" s="3"/>
    </row>
    <row r="209" spans="1:2" x14ac:dyDescent="0.25">
      <c r="A209" s="2"/>
      <c r="B209" s="3"/>
    </row>
    <row r="210" spans="1:2" x14ac:dyDescent="0.25">
      <c r="A210" s="2"/>
      <c r="B210" s="3"/>
    </row>
    <row r="211" spans="1:2" x14ac:dyDescent="0.25">
      <c r="A211" s="2"/>
      <c r="B211" s="3"/>
    </row>
    <row r="212" spans="1:2" x14ac:dyDescent="0.25">
      <c r="A212" s="2"/>
      <c r="B212" s="3"/>
    </row>
    <row r="213" spans="1:2" x14ac:dyDescent="0.25">
      <c r="A213" s="2"/>
      <c r="B213" s="3"/>
    </row>
    <row r="214" spans="1:2" x14ac:dyDescent="0.25">
      <c r="A214" s="2"/>
      <c r="B214" s="3"/>
    </row>
    <row r="215" spans="1:2" x14ac:dyDescent="0.25">
      <c r="A215" s="2"/>
      <c r="B215" s="3"/>
    </row>
    <row r="216" spans="1:2" x14ac:dyDescent="0.25">
      <c r="A216" s="2"/>
      <c r="B216" s="3"/>
    </row>
    <row r="217" spans="1:2" x14ac:dyDescent="0.25">
      <c r="A217" s="2"/>
      <c r="B217" s="3"/>
    </row>
    <row r="218" spans="1:2" x14ac:dyDescent="0.25">
      <c r="A218" s="2"/>
      <c r="B218" s="3"/>
    </row>
    <row r="219" spans="1:2" x14ac:dyDescent="0.25">
      <c r="A219" s="2"/>
      <c r="B219" s="3"/>
    </row>
    <row r="220" spans="1:2" x14ac:dyDescent="0.25">
      <c r="A220" s="2"/>
      <c r="B220" s="3"/>
    </row>
    <row r="221" spans="1:2" x14ac:dyDescent="0.25">
      <c r="A221" s="2"/>
      <c r="B221" s="3"/>
    </row>
    <row r="222" spans="1:2" x14ac:dyDescent="0.25">
      <c r="A222" s="2"/>
      <c r="B222" s="3"/>
    </row>
    <row r="223" spans="1:2" x14ac:dyDescent="0.25">
      <c r="A223" s="2"/>
      <c r="B223" s="3"/>
    </row>
    <row r="224" spans="1:2" x14ac:dyDescent="0.25">
      <c r="A224" s="2"/>
      <c r="B224" s="3"/>
    </row>
    <row r="225" spans="1:2" x14ac:dyDescent="0.25">
      <c r="A225" s="2"/>
      <c r="B225" s="3"/>
    </row>
    <row r="226" spans="1:2" x14ac:dyDescent="0.25">
      <c r="A226" s="2"/>
      <c r="B226" s="3"/>
    </row>
    <row r="227" spans="1:2" x14ac:dyDescent="0.25">
      <c r="A227" s="2"/>
      <c r="B227" s="3"/>
    </row>
    <row r="228" spans="1:2" x14ac:dyDescent="0.25">
      <c r="A228" s="2"/>
      <c r="B228" s="3"/>
    </row>
    <row r="229" spans="1:2" x14ac:dyDescent="0.25">
      <c r="A229" s="2"/>
      <c r="B229" s="3"/>
    </row>
    <row r="230" spans="1:2" x14ac:dyDescent="0.25">
      <c r="A230" s="2"/>
      <c r="B230" s="3"/>
    </row>
    <row r="231" spans="1:2" x14ac:dyDescent="0.25">
      <c r="A231" s="2"/>
      <c r="B231" s="3"/>
    </row>
    <row r="232" spans="1:2" x14ac:dyDescent="0.25">
      <c r="A232" s="2"/>
      <c r="B232" s="3"/>
    </row>
    <row r="233" spans="1:2" x14ac:dyDescent="0.25">
      <c r="A233" s="2"/>
      <c r="B233" s="3"/>
    </row>
    <row r="234" spans="1:2" x14ac:dyDescent="0.25">
      <c r="A234" s="2"/>
      <c r="B234" s="3"/>
    </row>
    <row r="235" spans="1:2" x14ac:dyDescent="0.25">
      <c r="A235" s="2"/>
      <c r="B235" s="3"/>
    </row>
    <row r="236" spans="1:2" x14ac:dyDescent="0.25">
      <c r="A236" s="2"/>
      <c r="B236" s="3"/>
    </row>
    <row r="237" spans="1:2" x14ac:dyDescent="0.25">
      <c r="A237" s="2"/>
      <c r="B237" s="3"/>
    </row>
    <row r="238" spans="1:2" x14ac:dyDescent="0.25">
      <c r="A238" s="2"/>
      <c r="B238" s="3"/>
    </row>
    <row r="239" spans="1:2" x14ac:dyDescent="0.25">
      <c r="A239" s="2"/>
      <c r="B239" s="3"/>
    </row>
    <row r="240" spans="1:2" x14ac:dyDescent="0.25">
      <c r="A240" s="2"/>
      <c r="B240" s="3"/>
    </row>
    <row r="241" spans="1:2" x14ac:dyDescent="0.25">
      <c r="A241" s="2"/>
      <c r="B241" s="3"/>
    </row>
    <row r="242" spans="1:2" x14ac:dyDescent="0.25">
      <c r="A242" s="2"/>
      <c r="B242" s="3"/>
    </row>
    <row r="243" spans="1:2" x14ac:dyDescent="0.25">
      <c r="A243" s="2"/>
      <c r="B243" s="3"/>
    </row>
    <row r="244" spans="1:2" x14ac:dyDescent="0.25">
      <c r="A244" s="2"/>
      <c r="B244" s="3"/>
    </row>
    <row r="245" spans="1:2" x14ac:dyDescent="0.25">
      <c r="A245" s="2"/>
      <c r="B245" s="3"/>
    </row>
    <row r="246" spans="1:2" x14ac:dyDescent="0.25">
      <c r="A246" s="2"/>
      <c r="B246" s="3"/>
    </row>
    <row r="247" spans="1:2" x14ac:dyDescent="0.25">
      <c r="A247" s="2"/>
      <c r="B247" s="3"/>
    </row>
    <row r="248" spans="1:2" x14ac:dyDescent="0.25">
      <c r="A248" s="2"/>
      <c r="B248" s="3"/>
    </row>
    <row r="249" spans="1:2" x14ac:dyDescent="0.25">
      <c r="A249" s="2"/>
      <c r="B249" s="3"/>
    </row>
    <row r="250" spans="1:2" x14ac:dyDescent="0.25">
      <c r="A250" s="2"/>
      <c r="B250" s="3"/>
    </row>
    <row r="251" spans="1:2" x14ac:dyDescent="0.25">
      <c r="A251" s="2"/>
      <c r="B251" s="3"/>
    </row>
    <row r="252" spans="1:2" x14ac:dyDescent="0.25">
      <c r="A252" s="2"/>
      <c r="B252" s="3"/>
    </row>
    <row r="253" spans="1:2" x14ac:dyDescent="0.25">
      <c r="A253" s="2"/>
      <c r="B253" s="3"/>
    </row>
    <row r="254" spans="1:2" x14ac:dyDescent="0.25">
      <c r="A254" s="2"/>
      <c r="B254" s="3"/>
    </row>
    <row r="255" spans="1:2" x14ac:dyDescent="0.25">
      <c r="A255" s="2"/>
      <c r="B255" s="3"/>
    </row>
    <row r="256" spans="1:2" x14ac:dyDescent="0.25">
      <c r="A256" s="2"/>
      <c r="B256" s="3"/>
    </row>
    <row r="257" spans="1:2" x14ac:dyDescent="0.25">
      <c r="A257" s="2"/>
      <c r="B257" s="3"/>
    </row>
    <row r="258" spans="1:2" x14ac:dyDescent="0.25">
      <c r="A258" s="2"/>
      <c r="B258" s="3"/>
    </row>
    <row r="259" spans="1:2" x14ac:dyDescent="0.25">
      <c r="A259" s="2"/>
      <c r="B259" s="3"/>
    </row>
    <row r="260" spans="1:2" x14ac:dyDescent="0.25">
      <c r="A260" s="2"/>
      <c r="B260" s="3"/>
    </row>
    <row r="261" spans="1:2" x14ac:dyDescent="0.25">
      <c r="A261" s="2"/>
      <c r="B261" s="3"/>
    </row>
    <row r="262" spans="1:2" x14ac:dyDescent="0.25">
      <c r="A262" s="2"/>
      <c r="B262" s="3"/>
    </row>
    <row r="263" spans="1:2" x14ac:dyDescent="0.25">
      <c r="A263" s="2"/>
      <c r="B263" s="3"/>
    </row>
    <row r="264" spans="1:2" x14ac:dyDescent="0.25">
      <c r="A264" s="2"/>
      <c r="B264" s="3"/>
    </row>
    <row r="265" spans="1:2" x14ac:dyDescent="0.25">
      <c r="A265" s="2"/>
      <c r="B265" s="3"/>
    </row>
    <row r="266" spans="1:2" x14ac:dyDescent="0.25">
      <c r="A266" s="2"/>
      <c r="B266" s="3"/>
    </row>
    <row r="267" spans="1:2" x14ac:dyDescent="0.25">
      <c r="A267" s="2"/>
      <c r="B267" s="3"/>
    </row>
    <row r="268" spans="1:2" x14ac:dyDescent="0.25">
      <c r="A268" s="2"/>
      <c r="B268" s="3"/>
    </row>
    <row r="269" spans="1:2" x14ac:dyDescent="0.25">
      <c r="A269" s="2"/>
      <c r="B269" s="3"/>
    </row>
    <row r="270" spans="1:2" x14ac:dyDescent="0.25">
      <c r="A270" s="2"/>
      <c r="B270" s="3"/>
    </row>
    <row r="271" spans="1:2" x14ac:dyDescent="0.25">
      <c r="A271" s="2"/>
      <c r="B271" s="3"/>
    </row>
    <row r="272" spans="1:2" x14ac:dyDescent="0.25">
      <c r="A272" s="2"/>
      <c r="B272" s="3"/>
    </row>
    <row r="273" spans="1:2" x14ac:dyDescent="0.25">
      <c r="A273" s="2"/>
      <c r="B273" s="3"/>
    </row>
    <row r="274" spans="1:2" x14ac:dyDescent="0.25">
      <c r="A274" s="2"/>
      <c r="B274" s="3"/>
    </row>
    <row r="275" spans="1:2" x14ac:dyDescent="0.25">
      <c r="A275" s="2"/>
      <c r="B275" s="3"/>
    </row>
    <row r="276" spans="1:2" x14ac:dyDescent="0.25">
      <c r="A276" s="2"/>
      <c r="B276" s="3"/>
    </row>
    <row r="277" spans="1:2" x14ac:dyDescent="0.25">
      <c r="A277" s="2"/>
      <c r="B277" s="3"/>
    </row>
    <row r="278" spans="1:2" x14ac:dyDescent="0.25">
      <c r="A278" s="2"/>
      <c r="B278" s="3"/>
    </row>
    <row r="279" spans="1:2" x14ac:dyDescent="0.25">
      <c r="A279" s="2"/>
      <c r="B279" s="3"/>
    </row>
    <row r="280" spans="1:2" x14ac:dyDescent="0.25">
      <c r="A280" s="2"/>
      <c r="B280" s="3"/>
    </row>
    <row r="281" spans="1:2" x14ac:dyDescent="0.25">
      <c r="A281" s="2"/>
      <c r="B281" s="3"/>
    </row>
    <row r="282" spans="1:2" x14ac:dyDescent="0.25">
      <c r="A282" s="2"/>
      <c r="B282" s="3"/>
    </row>
    <row r="283" spans="1:2" x14ac:dyDescent="0.25">
      <c r="A283" s="2"/>
      <c r="B283" s="3"/>
    </row>
    <row r="284" spans="1:2" x14ac:dyDescent="0.25">
      <c r="A284" s="2"/>
      <c r="B284" s="3"/>
    </row>
    <row r="285" spans="1:2" x14ac:dyDescent="0.25">
      <c r="A285" s="2"/>
      <c r="B285" s="3"/>
    </row>
    <row r="286" spans="1:2" x14ac:dyDescent="0.25">
      <c r="A286" s="2"/>
      <c r="B286" s="3"/>
    </row>
    <row r="287" spans="1:2" x14ac:dyDescent="0.25">
      <c r="A287" s="2"/>
      <c r="B287" s="3"/>
    </row>
    <row r="288" spans="1:2" x14ac:dyDescent="0.25">
      <c r="A288" s="2"/>
      <c r="B288" s="3"/>
    </row>
    <row r="289" spans="1:2" x14ac:dyDescent="0.25">
      <c r="A289" s="2"/>
      <c r="B289" s="3"/>
    </row>
    <row r="290" spans="1:2" x14ac:dyDescent="0.25">
      <c r="A290" s="2"/>
      <c r="B290" s="3"/>
    </row>
    <row r="291" spans="1:2" x14ac:dyDescent="0.25">
      <c r="A291" s="2"/>
      <c r="B291" s="3"/>
    </row>
    <row r="292" spans="1:2" x14ac:dyDescent="0.25">
      <c r="A292" s="2"/>
      <c r="B292" s="3"/>
    </row>
    <row r="293" spans="1:2" x14ac:dyDescent="0.25">
      <c r="A293" s="2"/>
      <c r="B293" s="3"/>
    </row>
    <row r="294" spans="1:2" x14ac:dyDescent="0.25">
      <c r="A294" s="2"/>
      <c r="B294" s="3"/>
    </row>
    <row r="295" spans="1:2" x14ac:dyDescent="0.25">
      <c r="A295" s="2"/>
      <c r="B295" s="3"/>
    </row>
    <row r="296" spans="1:2" x14ac:dyDescent="0.25">
      <c r="A296" s="2"/>
      <c r="B296" s="3"/>
    </row>
    <row r="297" spans="1:2" x14ac:dyDescent="0.25">
      <c r="A297" s="2"/>
      <c r="B297" s="3"/>
    </row>
    <row r="298" spans="1:2" x14ac:dyDescent="0.25">
      <c r="A298" s="2"/>
      <c r="B298" s="3"/>
    </row>
    <row r="299" spans="1:2" x14ac:dyDescent="0.25">
      <c r="A299" s="2"/>
      <c r="B299" s="3"/>
    </row>
    <row r="300" spans="1:2" x14ac:dyDescent="0.25">
      <c r="A300" s="2"/>
      <c r="B300" s="3"/>
    </row>
    <row r="301" spans="1:2" x14ac:dyDescent="0.25">
      <c r="A301" s="2"/>
      <c r="B301" s="3"/>
    </row>
    <row r="302" spans="1:2" x14ac:dyDescent="0.25">
      <c r="A302" s="2"/>
      <c r="B302" s="3"/>
    </row>
    <row r="303" spans="1:2" x14ac:dyDescent="0.25">
      <c r="A303" s="2"/>
      <c r="B303" s="3"/>
    </row>
    <row r="304" spans="1:2" x14ac:dyDescent="0.25">
      <c r="A304" s="2"/>
      <c r="B304" s="3"/>
    </row>
    <row r="305" spans="1:2" x14ac:dyDescent="0.25">
      <c r="A305" s="2"/>
      <c r="B305" s="3"/>
    </row>
    <row r="306" spans="1:2" x14ac:dyDescent="0.25">
      <c r="A306" s="2"/>
      <c r="B306" s="3"/>
    </row>
    <row r="307" spans="1:2" x14ac:dyDescent="0.25">
      <c r="A307" s="2"/>
      <c r="B307" s="3"/>
    </row>
    <row r="308" spans="1:2" x14ac:dyDescent="0.25">
      <c r="A308" s="2"/>
      <c r="B308" s="3"/>
    </row>
    <row r="309" spans="1:2" x14ac:dyDescent="0.25">
      <c r="A309" s="2"/>
      <c r="B309" s="3"/>
    </row>
    <row r="310" spans="1:2" x14ac:dyDescent="0.25">
      <c r="A310" s="2"/>
      <c r="B310" s="3"/>
    </row>
    <row r="311" spans="1:2" x14ac:dyDescent="0.25">
      <c r="A311" s="2"/>
      <c r="B311" s="3"/>
    </row>
    <row r="312" spans="1:2" x14ac:dyDescent="0.25">
      <c r="A312" s="2"/>
      <c r="B312" s="3"/>
    </row>
    <row r="313" spans="1:2" x14ac:dyDescent="0.25">
      <c r="A313" s="2"/>
      <c r="B313" s="3"/>
    </row>
    <row r="314" spans="1:2" x14ac:dyDescent="0.25">
      <c r="A314" s="2"/>
      <c r="B314" s="3"/>
    </row>
    <row r="315" spans="1:2" x14ac:dyDescent="0.25">
      <c r="A315" s="2"/>
      <c r="B315" s="3"/>
    </row>
    <row r="316" spans="1:2" x14ac:dyDescent="0.25">
      <c r="A316" s="2"/>
      <c r="B316" s="3"/>
    </row>
    <row r="317" spans="1:2" x14ac:dyDescent="0.25">
      <c r="A317" s="2"/>
      <c r="B317" s="3"/>
    </row>
    <row r="318" spans="1:2" x14ac:dyDescent="0.25">
      <c r="A318" s="2"/>
      <c r="B318" s="3"/>
    </row>
    <row r="319" spans="1:2" x14ac:dyDescent="0.25">
      <c r="A319" s="2"/>
      <c r="B319" s="3"/>
    </row>
    <row r="320" spans="1:2" x14ac:dyDescent="0.25">
      <c r="A320" s="2"/>
      <c r="B320" s="3"/>
    </row>
    <row r="321" spans="1:2" x14ac:dyDescent="0.25">
      <c r="A321" s="2"/>
      <c r="B321" s="3"/>
    </row>
    <row r="322" spans="1:2" x14ac:dyDescent="0.25">
      <c r="A322" s="2"/>
      <c r="B322" s="3"/>
    </row>
    <row r="323" spans="1:2" x14ac:dyDescent="0.25">
      <c r="A323" s="2"/>
      <c r="B323" s="3"/>
    </row>
    <row r="324" spans="1:2" x14ac:dyDescent="0.25">
      <c r="A324" s="2"/>
      <c r="B324" s="3"/>
    </row>
    <row r="325" spans="1:2" x14ac:dyDescent="0.25">
      <c r="A325" s="2"/>
      <c r="B325" s="3"/>
    </row>
    <row r="326" spans="1:2" x14ac:dyDescent="0.25">
      <c r="A326" s="2"/>
      <c r="B326" s="3"/>
    </row>
    <row r="327" spans="1:2" x14ac:dyDescent="0.25">
      <c r="A327" s="2"/>
      <c r="B327" s="3"/>
    </row>
    <row r="328" spans="1:2" x14ac:dyDescent="0.25">
      <c r="A328" s="2"/>
      <c r="B328" s="3"/>
    </row>
    <row r="329" spans="1:2" x14ac:dyDescent="0.25">
      <c r="A329" s="2"/>
      <c r="B329" s="3"/>
    </row>
    <row r="330" spans="1:2" x14ac:dyDescent="0.25">
      <c r="A330" s="2"/>
      <c r="B330" s="3"/>
    </row>
    <row r="331" spans="1:2" x14ac:dyDescent="0.25">
      <c r="A331" s="2"/>
      <c r="B331" s="3"/>
    </row>
    <row r="332" spans="1:2" x14ac:dyDescent="0.25">
      <c r="A332" s="2"/>
      <c r="B332" s="3"/>
    </row>
    <row r="333" spans="1:2" x14ac:dyDescent="0.25">
      <c r="A333" s="2"/>
      <c r="B333" s="3"/>
    </row>
    <row r="334" spans="1:2" x14ac:dyDescent="0.25">
      <c r="A334" s="2"/>
      <c r="B334" s="3"/>
    </row>
    <row r="335" spans="1:2" x14ac:dyDescent="0.25">
      <c r="A335" s="2"/>
      <c r="B335" s="3"/>
    </row>
    <row r="336" spans="1:2" x14ac:dyDescent="0.25">
      <c r="A336" s="2"/>
      <c r="B336" s="3"/>
    </row>
    <row r="337" spans="1:2" x14ac:dyDescent="0.25">
      <c r="A337" s="2"/>
      <c r="B337" s="3"/>
    </row>
    <row r="338" spans="1:2" x14ac:dyDescent="0.25">
      <c r="A338" s="2"/>
      <c r="B338" s="3"/>
    </row>
    <row r="339" spans="1:2" x14ac:dyDescent="0.25">
      <c r="A339" s="2"/>
      <c r="B339" s="3"/>
    </row>
    <row r="340" spans="1:2" x14ac:dyDescent="0.25">
      <c r="A340" s="2"/>
      <c r="B340" s="3"/>
    </row>
    <row r="341" spans="1:2" x14ac:dyDescent="0.25">
      <c r="A341" s="2"/>
      <c r="B341" s="3"/>
    </row>
    <row r="342" spans="1:2" x14ac:dyDescent="0.25">
      <c r="A342" s="2"/>
      <c r="B342" s="3"/>
    </row>
    <row r="343" spans="1:2" x14ac:dyDescent="0.25">
      <c r="A343" s="2"/>
      <c r="B343" s="3"/>
    </row>
    <row r="344" spans="1:2" x14ac:dyDescent="0.25">
      <c r="A344" s="2"/>
      <c r="B344" s="3"/>
    </row>
    <row r="345" spans="1:2" x14ac:dyDescent="0.25">
      <c r="A345" s="2"/>
      <c r="B345" s="3"/>
    </row>
    <row r="346" spans="1:2" x14ac:dyDescent="0.25">
      <c r="A346" s="2"/>
      <c r="B346" s="3"/>
    </row>
    <row r="347" spans="1:2" x14ac:dyDescent="0.25">
      <c r="A347" s="2"/>
      <c r="B347" s="3"/>
    </row>
    <row r="348" spans="1:2" x14ac:dyDescent="0.25">
      <c r="A348" s="2"/>
      <c r="B348" s="3"/>
    </row>
    <row r="349" spans="1:2" x14ac:dyDescent="0.25">
      <c r="A349" s="2"/>
      <c r="B349" s="3"/>
    </row>
    <row r="350" spans="1:2" x14ac:dyDescent="0.25">
      <c r="A350" s="2"/>
      <c r="B350" s="3"/>
    </row>
    <row r="351" spans="1:2" x14ac:dyDescent="0.25">
      <c r="A351" s="2"/>
      <c r="B351" s="3"/>
    </row>
    <row r="352" spans="1:2" x14ac:dyDescent="0.25">
      <c r="A352" s="2"/>
      <c r="B352" s="3"/>
    </row>
    <row r="353" spans="1:2" x14ac:dyDescent="0.25">
      <c r="A353" s="2"/>
      <c r="B353" s="3"/>
    </row>
    <row r="354" spans="1:2" x14ac:dyDescent="0.25">
      <c r="A354" s="2"/>
      <c r="B354" s="3"/>
    </row>
    <row r="355" spans="1:2" x14ac:dyDescent="0.25">
      <c r="A355" s="2"/>
      <c r="B355" s="3"/>
    </row>
    <row r="356" spans="1:2" x14ac:dyDescent="0.25">
      <c r="A356" s="2"/>
      <c r="B356" s="3"/>
    </row>
    <row r="357" spans="1:2" x14ac:dyDescent="0.25">
      <c r="A357" s="2"/>
      <c r="B357" s="3"/>
    </row>
    <row r="358" spans="1:2" x14ac:dyDescent="0.25">
      <c r="A358" s="2"/>
      <c r="B358" s="3"/>
    </row>
    <row r="359" spans="1:2" x14ac:dyDescent="0.25">
      <c r="A359" s="2"/>
      <c r="B359" s="3"/>
    </row>
    <row r="360" spans="1:2" x14ac:dyDescent="0.25">
      <c r="A360" s="2"/>
      <c r="B360" s="3"/>
    </row>
    <row r="361" spans="1:2" x14ac:dyDescent="0.25">
      <c r="A361" s="2"/>
      <c r="B361" s="3"/>
    </row>
    <row r="362" spans="1:2" x14ac:dyDescent="0.25">
      <c r="A362" s="2"/>
      <c r="B362" s="3"/>
    </row>
    <row r="363" spans="1:2" x14ac:dyDescent="0.25">
      <c r="A363" s="2"/>
      <c r="B363" s="3"/>
    </row>
    <row r="364" spans="1:2" x14ac:dyDescent="0.25">
      <c r="A364" s="2"/>
      <c r="B364" s="3"/>
    </row>
    <row r="365" spans="1:2" x14ac:dyDescent="0.25">
      <c r="A365" s="2"/>
      <c r="B365" s="3"/>
    </row>
    <row r="366" spans="1:2" x14ac:dyDescent="0.25">
      <c r="A366" s="2"/>
      <c r="B366" s="3"/>
    </row>
    <row r="367" spans="1:2" x14ac:dyDescent="0.25">
      <c r="A367" s="2"/>
      <c r="B367" s="3"/>
    </row>
    <row r="368" spans="1:2" x14ac:dyDescent="0.25">
      <c r="A368" s="2"/>
      <c r="B368" s="3"/>
    </row>
    <row r="369" spans="1:2" x14ac:dyDescent="0.25">
      <c r="A369" s="2"/>
      <c r="B369" s="3"/>
    </row>
    <row r="370" spans="1:2" x14ac:dyDescent="0.25">
      <c r="A370" s="2"/>
      <c r="B370" s="3"/>
    </row>
    <row r="371" spans="1:2" x14ac:dyDescent="0.25">
      <c r="A371" s="2"/>
      <c r="B371" s="3"/>
    </row>
    <row r="372" spans="1:2" x14ac:dyDescent="0.25">
      <c r="A372" s="2"/>
      <c r="B372" s="3"/>
    </row>
    <row r="373" spans="1:2" x14ac:dyDescent="0.25">
      <c r="A373" s="2"/>
      <c r="B373" s="3"/>
    </row>
    <row r="374" spans="1:2" x14ac:dyDescent="0.25">
      <c r="A374" s="2"/>
      <c r="B374" s="3"/>
    </row>
    <row r="375" spans="1:2" x14ac:dyDescent="0.25">
      <c r="A375" s="2"/>
      <c r="B375" s="3"/>
    </row>
    <row r="376" spans="1:2" x14ac:dyDescent="0.25">
      <c r="A376" s="2"/>
      <c r="B376" s="3"/>
    </row>
    <row r="377" spans="1:2" x14ac:dyDescent="0.25">
      <c r="A377" s="2"/>
      <c r="B377" s="3"/>
    </row>
    <row r="378" spans="1:2" x14ac:dyDescent="0.25">
      <c r="A378" s="2"/>
      <c r="B378" s="3"/>
    </row>
    <row r="379" spans="1:2" x14ac:dyDescent="0.25">
      <c r="A379" s="2"/>
      <c r="B379" s="3"/>
    </row>
    <row r="380" spans="1:2" x14ac:dyDescent="0.25">
      <c r="A380" s="2"/>
      <c r="B380" s="3"/>
    </row>
    <row r="381" spans="1:2" x14ac:dyDescent="0.25">
      <c r="A381" s="2"/>
      <c r="B381" s="3"/>
    </row>
    <row r="382" spans="1:2" x14ac:dyDescent="0.25">
      <c r="A382" s="2"/>
      <c r="B382" s="3"/>
    </row>
    <row r="383" spans="1:2" x14ac:dyDescent="0.25">
      <c r="A383" s="2"/>
      <c r="B383" s="3"/>
    </row>
    <row r="384" spans="1:2" x14ac:dyDescent="0.25">
      <c r="A384" s="2"/>
      <c r="B384" s="3"/>
    </row>
    <row r="385" spans="1:2" x14ac:dyDescent="0.25">
      <c r="A385" s="2"/>
      <c r="B385" s="3"/>
    </row>
    <row r="386" spans="1:2" x14ac:dyDescent="0.25">
      <c r="A386" s="2"/>
      <c r="B386" s="3"/>
    </row>
    <row r="387" spans="1:2" x14ac:dyDescent="0.25">
      <c r="A387" s="2"/>
      <c r="B387" s="3"/>
    </row>
    <row r="388" spans="1:2" x14ac:dyDescent="0.25">
      <c r="A388" s="2"/>
      <c r="B388" s="3"/>
    </row>
    <row r="389" spans="1:2" x14ac:dyDescent="0.25">
      <c r="A389" s="2"/>
      <c r="B389" s="3"/>
    </row>
    <row r="390" spans="1:2" x14ac:dyDescent="0.25">
      <c r="A390" s="2"/>
      <c r="B390" s="3"/>
    </row>
    <row r="391" spans="1:2" x14ac:dyDescent="0.25">
      <c r="A391" s="2"/>
      <c r="B391" s="3"/>
    </row>
    <row r="392" spans="1:2" x14ac:dyDescent="0.25">
      <c r="A392" s="2"/>
      <c r="B392" s="3"/>
    </row>
    <row r="393" spans="1:2" x14ac:dyDescent="0.25">
      <c r="A393" s="2"/>
      <c r="B393" s="3"/>
    </row>
    <row r="394" spans="1:2" x14ac:dyDescent="0.25">
      <c r="A394" s="2"/>
      <c r="B394" s="3"/>
    </row>
    <row r="395" spans="1:2" x14ac:dyDescent="0.25">
      <c r="A395" s="2"/>
      <c r="B395" s="3"/>
    </row>
    <row r="396" spans="1:2" x14ac:dyDescent="0.25">
      <c r="A396" s="2"/>
      <c r="B396" s="3"/>
    </row>
    <row r="397" spans="1:2" x14ac:dyDescent="0.25">
      <c r="A397" s="2"/>
      <c r="B397" s="3"/>
    </row>
    <row r="398" spans="1:2" x14ac:dyDescent="0.25">
      <c r="A398" s="2"/>
      <c r="B398" s="3"/>
    </row>
    <row r="399" spans="1:2" x14ac:dyDescent="0.25">
      <c r="A399" s="2"/>
      <c r="B399" s="3"/>
    </row>
    <row r="400" spans="1:2" x14ac:dyDescent="0.25">
      <c r="A400" s="2"/>
      <c r="B400" s="3"/>
    </row>
    <row r="401" spans="1:2" x14ac:dyDescent="0.25">
      <c r="A401" s="2"/>
      <c r="B401" s="3"/>
    </row>
    <row r="402" spans="1:2" x14ac:dyDescent="0.25">
      <c r="A402" s="2"/>
      <c r="B402" s="3"/>
    </row>
    <row r="403" spans="1:2" x14ac:dyDescent="0.25">
      <c r="A403" s="2"/>
      <c r="B403" s="3"/>
    </row>
    <row r="404" spans="1:2" x14ac:dyDescent="0.25">
      <c r="A404" s="2"/>
      <c r="B404" s="3"/>
    </row>
    <row r="405" spans="1:2" x14ac:dyDescent="0.25">
      <c r="A405" s="2"/>
      <c r="B405" s="3"/>
    </row>
    <row r="406" spans="1:2" x14ac:dyDescent="0.25">
      <c r="A406" s="2"/>
      <c r="B406" s="3"/>
    </row>
    <row r="407" spans="1:2" x14ac:dyDescent="0.25">
      <c r="A407" s="2"/>
      <c r="B407" s="3"/>
    </row>
    <row r="408" spans="1:2" x14ac:dyDescent="0.25">
      <c r="A408" s="2"/>
      <c r="B408" s="3"/>
    </row>
    <row r="409" spans="1:2" x14ac:dyDescent="0.25">
      <c r="A409" s="2"/>
      <c r="B409" s="3"/>
    </row>
    <row r="410" spans="1:2" x14ac:dyDescent="0.25">
      <c r="A410" s="2"/>
      <c r="B410" s="3"/>
    </row>
    <row r="411" spans="1:2" x14ac:dyDescent="0.25">
      <c r="A411" s="2"/>
      <c r="B411" s="3"/>
    </row>
    <row r="412" spans="1:2" x14ac:dyDescent="0.25">
      <c r="A412" s="2"/>
      <c r="B412" s="3"/>
    </row>
    <row r="413" spans="1:2" x14ac:dyDescent="0.25">
      <c r="A413" s="2"/>
      <c r="B413" s="3"/>
    </row>
    <row r="414" spans="1:2" x14ac:dyDescent="0.25">
      <c r="A414" s="2"/>
      <c r="B414" s="3"/>
    </row>
    <row r="415" spans="1:2" x14ac:dyDescent="0.25">
      <c r="A415" s="2"/>
      <c r="B415" s="3"/>
    </row>
    <row r="416" spans="1:2" x14ac:dyDescent="0.25">
      <c r="A416" s="2"/>
      <c r="B416" s="3"/>
    </row>
    <row r="417" spans="1:2" x14ac:dyDescent="0.25">
      <c r="A417" s="2"/>
      <c r="B417" s="3"/>
    </row>
    <row r="418" spans="1:2" x14ac:dyDescent="0.25">
      <c r="A418" s="2"/>
      <c r="B418" s="3"/>
    </row>
    <row r="419" spans="1:2" x14ac:dyDescent="0.25">
      <c r="A419" s="2"/>
      <c r="B419" s="3"/>
    </row>
    <row r="420" spans="1:2" x14ac:dyDescent="0.25">
      <c r="A420" s="2"/>
      <c r="B420" s="3"/>
    </row>
    <row r="421" spans="1:2" x14ac:dyDescent="0.25">
      <c r="A421" s="2"/>
      <c r="B421" s="3"/>
    </row>
    <row r="422" spans="1:2" x14ac:dyDescent="0.25">
      <c r="A422" s="2"/>
      <c r="B422" s="3"/>
    </row>
    <row r="423" spans="1:2" x14ac:dyDescent="0.25">
      <c r="A423" s="2"/>
      <c r="B423" s="3"/>
    </row>
    <row r="424" spans="1:2" x14ac:dyDescent="0.25">
      <c r="A424" s="2"/>
      <c r="B424" s="3"/>
    </row>
    <row r="425" spans="1:2" x14ac:dyDescent="0.25">
      <c r="A425" s="2"/>
      <c r="B425" s="3"/>
    </row>
    <row r="426" spans="1:2" x14ac:dyDescent="0.25">
      <c r="A426" s="2"/>
      <c r="B426" s="3"/>
    </row>
    <row r="427" spans="1:2" x14ac:dyDescent="0.25">
      <c r="A427" s="2"/>
      <c r="B427" s="3"/>
    </row>
    <row r="428" spans="1:2" x14ac:dyDescent="0.25">
      <c r="A428" s="2"/>
      <c r="B428" s="3"/>
    </row>
    <row r="429" spans="1:2" x14ac:dyDescent="0.25">
      <c r="A429" s="2"/>
      <c r="B429" s="3"/>
    </row>
    <row r="430" spans="1:2" x14ac:dyDescent="0.25">
      <c r="A430" s="2"/>
      <c r="B430" s="3"/>
    </row>
    <row r="431" spans="1:2" x14ac:dyDescent="0.25">
      <c r="A431" s="2"/>
      <c r="B431" s="3"/>
    </row>
    <row r="432" spans="1:2" x14ac:dyDescent="0.25">
      <c r="A432" s="2"/>
      <c r="B432" s="3"/>
    </row>
    <row r="433" spans="1:2" x14ac:dyDescent="0.25">
      <c r="A433" s="2"/>
      <c r="B433" s="3"/>
    </row>
    <row r="434" spans="1:2" x14ac:dyDescent="0.25">
      <c r="A434" s="2"/>
      <c r="B434" s="3"/>
    </row>
    <row r="435" spans="1:2" x14ac:dyDescent="0.25">
      <c r="A435" s="2"/>
      <c r="B435" s="3"/>
    </row>
    <row r="436" spans="1:2" x14ac:dyDescent="0.25">
      <c r="A436" s="2"/>
      <c r="B436" s="3"/>
    </row>
    <row r="437" spans="1:2" x14ac:dyDescent="0.25">
      <c r="A437" s="2"/>
      <c r="B437" s="3"/>
    </row>
    <row r="438" spans="1:2" x14ac:dyDescent="0.25">
      <c r="A438" s="2"/>
      <c r="B438" s="3"/>
    </row>
    <row r="439" spans="1:2" x14ac:dyDescent="0.25">
      <c r="A439" s="2"/>
      <c r="B439" s="3"/>
    </row>
    <row r="440" spans="1:2" x14ac:dyDescent="0.25">
      <c r="A440" s="2"/>
      <c r="B440" s="3"/>
    </row>
    <row r="441" spans="1:2" x14ac:dyDescent="0.25">
      <c r="A441" s="2"/>
      <c r="B441" s="3"/>
    </row>
    <row r="442" spans="1:2" x14ac:dyDescent="0.25">
      <c r="A442" s="2"/>
      <c r="B442" s="3"/>
    </row>
    <row r="443" spans="1:2" x14ac:dyDescent="0.25">
      <c r="A443" s="2"/>
      <c r="B443" s="3"/>
    </row>
    <row r="444" spans="1:2" x14ac:dyDescent="0.25">
      <c r="A444" s="2"/>
      <c r="B444" s="3"/>
    </row>
    <row r="445" spans="1:2" x14ac:dyDescent="0.25">
      <c r="A445" s="2"/>
      <c r="B445" s="3"/>
    </row>
    <row r="446" spans="1:2" x14ac:dyDescent="0.25">
      <c r="A446" s="2"/>
      <c r="B446" s="3"/>
    </row>
    <row r="447" spans="1:2" x14ac:dyDescent="0.25">
      <c r="A447" s="2"/>
      <c r="B447" s="3"/>
    </row>
    <row r="448" spans="1:2" x14ac:dyDescent="0.25">
      <c r="A448" s="2"/>
      <c r="B448" s="3"/>
    </row>
    <row r="449" spans="1:2" x14ac:dyDescent="0.25">
      <c r="A449" s="2"/>
      <c r="B449" s="3"/>
    </row>
    <row r="450" spans="1:2" x14ac:dyDescent="0.25">
      <c r="A450" s="2"/>
      <c r="B450" s="3"/>
    </row>
    <row r="451" spans="1:2" x14ac:dyDescent="0.25">
      <c r="A451" s="2"/>
      <c r="B451" s="3"/>
    </row>
    <row r="452" spans="1:2" x14ac:dyDescent="0.25">
      <c r="A452" s="2"/>
      <c r="B452" s="3"/>
    </row>
    <row r="453" spans="1:2" x14ac:dyDescent="0.25">
      <c r="A453" s="2"/>
      <c r="B453" s="3"/>
    </row>
    <row r="454" spans="1:2" x14ac:dyDescent="0.25">
      <c r="A454" s="2"/>
      <c r="B454" s="3"/>
    </row>
    <row r="455" spans="1:2" x14ac:dyDescent="0.25">
      <c r="A455" s="2"/>
      <c r="B455" s="3"/>
    </row>
    <row r="456" spans="1:2" x14ac:dyDescent="0.25">
      <c r="A456" s="2"/>
      <c r="B456" s="3"/>
    </row>
    <row r="457" spans="1:2" x14ac:dyDescent="0.25">
      <c r="A457" s="2"/>
      <c r="B457" s="3"/>
    </row>
    <row r="458" spans="1:2" x14ac:dyDescent="0.25">
      <c r="A458" s="2"/>
      <c r="B458" s="3"/>
    </row>
    <row r="459" spans="1:2" x14ac:dyDescent="0.25">
      <c r="A459" s="2"/>
      <c r="B459" s="3"/>
    </row>
    <row r="460" spans="1:2" x14ac:dyDescent="0.25">
      <c r="A460" s="2"/>
      <c r="B460" s="3"/>
    </row>
    <row r="461" spans="1:2" x14ac:dyDescent="0.25">
      <c r="A461" s="2"/>
      <c r="B461" s="3"/>
    </row>
    <row r="462" spans="1:2" x14ac:dyDescent="0.25">
      <c r="A462" s="2"/>
      <c r="B462" s="3"/>
    </row>
    <row r="463" spans="1:2" x14ac:dyDescent="0.25">
      <c r="A463" s="2"/>
      <c r="B463" s="3"/>
    </row>
    <row r="464" spans="1:2" x14ac:dyDescent="0.25">
      <c r="A464" s="2"/>
      <c r="B464" s="3"/>
    </row>
    <row r="465" spans="1:2" x14ac:dyDescent="0.25">
      <c r="A465" s="2"/>
      <c r="B465" s="3"/>
    </row>
    <row r="466" spans="1:2" x14ac:dyDescent="0.25">
      <c r="A466" s="2"/>
      <c r="B466" s="3"/>
    </row>
    <row r="467" spans="1:2" x14ac:dyDescent="0.25">
      <c r="A467" s="2"/>
      <c r="B467" s="3"/>
    </row>
    <row r="468" spans="1:2" x14ac:dyDescent="0.25">
      <c r="A468" s="2"/>
      <c r="B468" s="3"/>
    </row>
    <row r="469" spans="1:2" x14ac:dyDescent="0.25">
      <c r="A469" s="2"/>
      <c r="B469" s="3"/>
    </row>
    <row r="470" spans="1:2" x14ac:dyDescent="0.25">
      <c r="A470" s="2"/>
      <c r="B470" s="3"/>
    </row>
    <row r="471" spans="1:2" x14ac:dyDescent="0.25">
      <c r="A471" s="2"/>
      <c r="B471" s="3"/>
    </row>
    <row r="472" spans="1:2" x14ac:dyDescent="0.25">
      <c r="A472" s="2"/>
      <c r="B472" s="3"/>
    </row>
    <row r="473" spans="1:2" x14ac:dyDescent="0.25">
      <c r="A473" s="2"/>
      <c r="B473" s="3"/>
    </row>
    <row r="474" spans="1:2" x14ac:dyDescent="0.25">
      <c r="A474" s="2"/>
      <c r="B474" s="3"/>
    </row>
    <row r="475" spans="1:2" x14ac:dyDescent="0.25">
      <c r="A475" s="2"/>
      <c r="B475" s="3"/>
    </row>
    <row r="476" spans="1:2" x14ac:dyDescent="0.25">
      <c r="A476" s="2"/>
      <c r="B476" s="3"/>
    </row>
    <row r="477" spans="1:2" x14ac:dyDescent="0.25">
      <c r="A477" s="2"/>
      <c r="B477" s="3"/>
    </row>
    <row r="478" spans="1:2" x14ac:dyDescent="0.25">
      <c r="A478" s="2"/>
      <c r="B478" s="3"/>
    </row>
    <row r="479" spans="1:2" x14ac:dyDescent="0.25">
      <c r="A479" s="2"/>
      <c r="B479" s="3"/>
    </row>
    <row r="480" spans="1:2" x14ac:dyDescent="0.25">
      <c r="A480" s="2"/>
      <c r="B480" s="3"/>
    </row>
    <row r="481" spans="1:2" x14ac:dyDescent="0.25">
      <c r="A481" s="2"/>
      <c r="B481" s="3"/>
    </row>
    <row r="482" spans="1:2" x14ac:dyDescent="0.25">
      <c r="A482" s="2"/>
      <c r="B482" s="3"/>
    </row>
    <row r="483" spans="1:2" x14ac:dyDescent="0.25">
      <c r="A483" s="2"/>
      <c r="B483" s="3"/>
    </row>
    <row r="484" spans="1:2" x14ac:dyDescent="0.25">
      <c r="A484" s="2"/>
      <c r="B484" s="3"/>
    </row>
    <row r="485" spans="1:2" x14ac:dyDescent="0.25">
      <c r="A485" s="2"/>
      <c r="B485" s="3"/>
    </row>
    <row r="486" spans="1:2" x14ac:dyDescent="0.25">
      <c r="A486" s="2"/>
      <c r="B486" s="3"/>
    </row>
    <row r="487" spans="1:2" x14ac:dyDescent="0.25">
      <c r="A487" s="2"/>
      <c r="B487" s="3"/>
    </row>
    <row r="488" spans="1:2" x14ac:dyDescent="0.25">
      <c r="A488" s="2"/>
      <c r="B488" s="3"/>
    </row>
    <row r="489" spans="1:2" x14ac:dyDescent="0.25">
      <c r="A489" s="2"/>
      <c r="B489" s="3"/>
    </row>
    <row r="490" spans="1:2" x14ac:dyDescent="0.25">
      <c r="A490" s="2"/>
      <c r="B490" s="3"/>
    </row>
    <row r="491" spans="1:2" x14ac:dyDescent="0.25">
      <c r="A491" s="2"/>
      <c r="B491" s="3"/>
    </row>
    <row r="492" spans="1:2" x14ac:dyDescent="0.25">
      <c r="A492" s="2"/>
      <c r="B492" s="3"/>
    </row>
    <row r="493" spans="1:2" x14ac:dyDescent="0.25">
      <c r="A493" s="2"/>
      <c r="B493" s="3"/>
    </row>
    <row r="494" spans="1:2" x14ac:dyDescent="0.25">
      <c r="A494" s="2"/>
      <c r="B494" s="3"/>
    </row>
    <row r="495" spans="1:2" x14ac:dyDescent="0.25">
      <c r="A495" s="2"/>
      <c r="B495" s="3"/>
    </row>
    <row r="496" spans="1:2" x14ac:dyDescent="0.25">
      <c r="A496" s="2"/>
      <c r="B496" s="3"/>
    </row>
    <row r="497" spans="1:2" x14ac:dyDescent="0.25">
      <c r="A497" s="2"/>
      <c r="B497" s="3"/>
    </row>
    <row r="498" spans="1:2" x14ac:dyDescent="0.25">
      <c r="A498" s="2"/>
      <c r="B498" s="3"/>
    </row>
    <row r="499" spans="1:2" x14ac:dyDescent="0.25">
      <c r="A499" s="2"/>
      <c r="B499" s="3"/>
    </row>
    <row r="500" spans="1:2" x14ac:dyDescent="0.25">
      <c r="A500" s="2"/>
      <c r="B500" s="3"/>
    </row>
    <row r="501" spans="1:2" x14ac:dyDescent="0.25">
      <c r="A501" s="2"/>
      <c r="B501" s="3"/>
    </row>
    <row r="502" spans="1:2" x14ac:dyDescent="0.25">
      <c r="A502" s="2"/>
      <c r="B502" s="3"/>
    </row>
    <row r="503" spans="1:2" x14ac:dyDescent="0.25">
      <c r="A503" s="2"/>
      <c r="B503" s="3"/>
    </row>
    <row r="504" spans="1:2" x14ac:dyDescent="0.25">
      <c r="A504" s="2"/>
      <c r="B504" s="3"/>
    </row>
    <row r="505" spans="1:2" x14ac:dyDescent="0.25">
      <c r="A505" s="2"/>
      <c r="B505" s="3"/>
    </row>
    <row r="506" spans="1:2" x14ac:dyDescent="0.25">
      <c r="A506" s="2"/>
      <c r="B506" s="3"/>
    </row>
    <row r="507" spans="1:2" x14ac:dyDescent="0.25">
      <c r="A507" s="2"/>
      <c r="B507" s="3"/>
    </row>
    <row r="508" spans="1:2" x14ac:dyDescent="0.25">
      <c r="A508" s="2"/>
      <c r="B508" s="3"/>
    </row>
    <row r="509" spans="1:2" x14ac:dyDescent="0.25">
      <c r="A509" s="2"/>
      <c r="B509" s="3"/>
    </row>
    <row r="510" spans="1:2" x14ac:dyDescent="0.25">
      <c r="A510" s="2"/>
      <c r="B510" s="3"/>
    </row>
    <row r="511" spans="1:2" x14ac:dyDescent="0.25">
      <c r="A511" s="2"/>
      <c r="B511" s="3"/>
    </row>
    <row r="512" spans="1:2" x14ac:dyDescent="0.25">
      <c r="A512" s="2"/>
      <c r="B512" s="3"/>
    </row>
    <row r="513" spans="1:2" x14ac:dyDescent="0.25">
      <c r="A513" s="2"/>
      <c r="B513" s="3"/>
    </row>
    <row r="514" spans="1:2" x14ac:dyDescent="0.25">
      <c r="A514" s="2"/>
      <c r="B514" s="3"/>
    </row>
    <row r="515" spans="1:2" x14ac:dyDescent="0.25">
      <c r="A515" s="2"/>
      <c r="B515" s="3"/>
    </row>
    <row r="516" spans="1:2" x14ac:dyDescent="0.25">
      <c r="A516" s="2"/>
      <c r="B516" s="3"/>
    </row>
    <row r="517" spans="1:2" x14ac:dyDescent="0.25">
      <c r="A517" s="2"/>
      <c r="B517" s="3"/>
    </row>
    <row r="518" spans="1:2" x14ac:dyDescent="0.25">
      <c r="A518" s="2"/>
      <c r="B518" s="3"/>
    </row>
    <row r="519" spans="1:2" x14ac:dyDescent="0.25">
      <c r="A519" s="2"/>
      <c r="B519" s="3"/>
    </row>
    <row r="520" spans="1:2" x14ac:dyDescent="0.25">
      <c r="A520" s="2"/>
      <c r="B520" s="3"/>
    </row>
    <row r="521" spans="1:2" x14ac:dyDescent="0.25">
      <c r="A521" s="2"/>
      <c r="B521" s="3"/>
    </row>
    <row r="522" spans="1:2" x14ac:dyDescent="0.25">
      <c r="A522" s="2"/>
      <c r="B522" s="3"/>
    </row>
    <row r="523" spans="1:2" x14ac:dyDescent="0.25">
      <c r="A523" s="2"/>
      <c r="B523" s="3"/>
    </row>
    <row r="524" spans="1:2" x14ac:dyDescent="0.25">
      <c r="A524" s="2"/>
      <c r="B524" s="3"/>
    </row>
    <row r="525" spans="1:2" x14ac:dyDescent="0.25">
      <c r="A525" s="2"/>
      <c r="B525" s="3"/>
    </row>
    <row r="526" spans="1:2" x14ac:dyDescent="0.25">
      <c r="A526" s="2"/>
      <c r="B526" s="3"/>
    </row>
    <row r="527" spans="1:2" x14ac:dyDescent="0.25">
      <c r="A527" s="2"/>
      <c r="B527" s="3"/>
    </row>
    <row r="528" spans="1:2" x14ac:dyDescent="0.25">
      <c r="A528" s="2"/>
      <c r="B528" s="3"/>
    </row>
    <row r="529" spans="1:2" x14ac:dyDescent="0.25">
      <c r="A529" s="2"/>
      <c r="B529" s="3"/>
    </row>
    <row r="530" spans="1:2" x14ac:dyDescent="0.25">
      <c r="A530" s="2"/>
      <c r="B530" s="3"/>
    </row>
    <row r="531" spans="1:2" x14ac:dyDescent="0.25">
      <c r="A531" s="2"/>
      <c r="B531" s="3"/>
    </row>
    <row r="532" spans="1:2" x14ac:dyDescent="0.25">
      <c r="A532" s="2"/>
      <c r="B532" s="3"/>
    </row>
    <row r="533" spans="1:2" x14ac:dyDescent="0.25">
      <c r="A533" s="2"/>
      <c r="B533" s="3"/>
    </row>
    <row r="534" spans="1:2" x14ac:dyDescent="0.25">
      <c r="A534" s="2"/>
      <c r="B534" s="3"/>
    </row>
    <row r="535" spans="1:2" x14ac:dyDescent="0.25">
      <c r="A535" s="2"/>
      <c r="B535" s="3"/>
    </row>
    <row r="536" spans="1:2" x14ac:dyDescent="0.25">
      <c r="A536" s="2"/>
      <c r="B536" s="3"/>
    </row>
    <row r="537" spans="1:2" x14ac:dyDescent="0.25">
      <c r="A537" s="2"/>
      <c r="B537" s="3"/>
    </row>
    <row r="538" spans="1:2" x14ac:dyDescent="0.25">
      <c r="A538" s="2"/>
      <c r="B538" s="3"/>
    </row>
    <row r="539" spans="1:2" x14ac:dyDescent="0.25">
      <c r="A539" s="2"/>
      <c r="B539" s="3"/>
    </row>
    <row r="540" spans="1:2" x14ac:dyDescent="0.25">
      <c r="A540" s="2"/>
      <c r="B540" s="3"/>
    </row>
    <row r="541" spans="1:2" x14ac:dyDescent="0.25">
      <c r="A541" s="2"/>
      <c r="B541" s="3"/>
    </row>
    <row r="542" spans="1:2" x14ac:dyDescent="0.25">
      <c r="A542" s="2"/>
      <c r="B542" s="3"/>
    </row>
    <row r="543" spans="1:2" x14ac:dyDescent="0.25">
      <c r="A543" s="2"/>
      <c r="B543" s="3"/>
    </row>
    <row r="544" spans="1:2" x14ac:dyDescent="0.25">
      <c r="A544" s="2"/>
      <c r="B544" s="3"/>
    </row>
    <row r="545" spans="1:2" x14ac:dyDescent="0.25">
      <c r="A545" s="2"/>
      <c r="B545" s="3"/>
    </row>
    <row r="546" spans="1:2" x14ac:dyDescent="0.25">
      <c r="A546" s="2"/>
      <c r="B546" s="3"/>
    </row>
    <row r="547" spans="1:2" x14ac:dyDescent="0.25">
      <c r="A547" s="2"/>
      <c r="B547" s="3"/>
    </row>
    <row r="548" spans="1:2" x14ac:dyDescent="0.25">
      <c r="A548" s="2"/>
      <c r="B548" s="3"/>
    </row>
    <row r="549" spans="1:2" x14ac:dyDescent="0.25">
      <c r="A549" s="2"/>
      <c r="B549" s="3"/>
    </row>
    <row r="550" spans="1:2" x14ac:dyDescent="0.25">
      <c r="A550" s="2"/>
      <c r="B550" s="3"/>
    </row>
    <row r="551" spans="1:2" x14ac:dyDescent="0.25">
      <c r="A551" s="2"/>
      <c r="B551" s="3"/>
    </row>
    <row r="552" spans="1:2" x14ac:dyDescent="0.25">
      <c r="A552" s="2"/>
      <c r="B552" s="3"/>
    </row>
    <row r="553" spans="1:2" x14ac:dyDescent="0.25">
      <c r="A553" s="2"/>
      <c r="B553" s="3"/>
    </row>
    <row r="554" spans="1:2" x14ac:dyDescent="0.25">
      <c r="A554" s="2"/>
      <c r="B554" s="3"/>
    </row>
    <row r="555" spans="1:2" x14ac:dyDescent="0.25">
      <c r="A555" s="2"/>
      <c r="B555" s="3"/>
    </row>
    <row r="556" spans="1:2" x14ac:dyDescent="0.25">
      <c r="A556" s="2"/>
      <c r="B556" s="3"/>
    </row>
    <row r="557" spans="1:2" x14ac:dyDescent="0.25">
      <c r="A557" s="2"/>
      <c r="B557" s="3"/>
    </row>
    <row r="558" spans="1:2" x14ac:dyDescent="0.25">
      <c r="A558" s="2"/>
      <c r="B558" s="3"/>
    </row>
    <row r="559" spans="1:2" x14ac:dyDescent="0.25">
      <c r="A559" s="2"/>
      <c r="B559" s="3"/>
    </row>
    <row r="560" spans="1:2" x14ac:dyDescent="0.25">
      <c r="A560" s="2"/>
      <c r="B560" s="3"/>
    </row>
    <row r="561" spans="1:2" x14ac:dyDescent="0.25">
      <c r="A561" s="2"/>
      <c r="B561" s="3"/>
    </row>
    <row r="562" spans="1:2" x14ac:dyDescent="0.25">
      <c r="A562" s="2"/>
      <c r="B562" s="3"/>
    </row>
    <row r="563" spans="1:2" x14ac:dyDescent="0.25">
      <c r="A563" s="2"/>
      <c r="B563" s="3"/>
    </row>
    <row r="564" spans="1:2" x14ac:dyDescent="0.25">
      <c r="A564" s="2"/>
      <c r="B564" s="3"/>
    </row>
    <row r="565" spans="1:2" x14ac:dyDescent="0.25">
      <c r="A565" s="2"/>
      <c r="B565" s="3"/>
    </row>
    <row r="566" spans="1:2" x14ac:dyDescent="0.25">
      <c r="A566" s="2"/>
      <c r="B566" s="3"/>
    </row>
    <row r="567" spans="1:2" x14ac:dyDescent="0.25">
      <c r="A567" s="2"/>
      <c r="B567" s="3"/>
    </row>
    <row r="568" spans="1:2" x14ac:dyDescent="0.25">
      <c r="A568" s="2"/>
      <c r="B568" s="3"/>
    </row>
    <row r="569" spans="1:2" x14ac:dyDescent="0.25">
      <c r="A569" s="2"/>
      <c r="B569" s="3"/>
    </row>
    <row r="570" spans="1:2" x14ac:dyDescent="0.25">
      <c r="A570" s="2"/>
      <c r="B570" s="3"/>
    </row>
    <row r="571" spans="1:2" x14ac:dyDescent="0.25">
      <c r="A571" s="2"/>
      <c r="B571" s="3"/>
    </row>
    <row r="572" spans="1:2" x14ac:dyDescent="0.25">
      <c r="A572" s="2"/>
      <c r="B572" s="3"/>
    </row>
    <row r="573" spans="1:2" x14ac:dyDescent="0.25">
      <c r="A573" s="2"/>
      <c r="B573" s="3"/>
    </row>
    <row r="574" spans="1:2" x14ac:dyDescent="0.25">
      <c r="A574" s="2"/>
      <c r="B574" s="3"/>
    </row>
    <row r="575" spans="1:2" x14ac:dyDescent="0.25">
      <c r="A575" s="2"/>
      <c r="B575" s="3"/>
    </row>
    <row r="576" spans="1:2" x14ac:dyDescent="0.25">
      <c r="A576" s="2"/>
      <c r="B576" s="3"/>
    </row>
    <row r="577" spans="1:2" x14ac:dyDescent="0.25">
      <c r="A577" s="2"/>
      <c r="B577" s="3"/>
    </row>
    <row r="578" spans="1:2" x14ac:dyDescent="0.25">
      <c r="A578" s="2"/>
      <c r="B578" s="3"/>
    </row>
    <row r="579" spans="1:2" x14ac:dyDescent="0.25">
      <c r="A579" s="2"/>
      <c r="B579" s="3"/>
    </row>
    <row r="580" spans="1:2" x14ac:dyDescent="0.25">
      <c r="A580" s="2"/>
      <c r="B580" s="3"/>
    </row>
    <row r="581" spans="1:2" x14ac:dyDescent="0.25">
      <c r="A581" s="2"/>
      <c r="B581" s="3"/>
    </row>
    <row r="582" spans="1:2" x14ac:dyDescent="0.25">
      <c r="A582" s="2"/>
      <c r="B582" s="3"/>
    </row>
    <row r="583" spans="1:2" x14ac:dyDescent="0.25">
      <c r="A583" s="2"/>
      <c r="B583" s="3"/>
    </row>
    <row r="584" spans="1:2" x14ac:dyDescent="0.25">
      <c r="A584" s="2"/>
      <c r="B584" s="3"/>
    </row>
    <row r="585" spans="1:2" x14ac:dyDescent="0.25">
      <c r="A585" s="2"/>
      <c r="B585" s="3"/>
    </row>
    <row r="586" spans="1:2" x14ac:dyDescent="0.25">
      <c r="A586" s="2"/>
      <c r="B586" s="3"/>
    </row>
    <row r="587" spans="1:2" x14ac:dyDescent="0.25">
      <c r="A587" s="2"/>
      <c r="B587" s="3"/>
    </row>
    <row r="588" spans="1:2" x14ac:dyDescent="0.25">
      <c r="A588" s="2"/>
      <c r="B588" s="3"/>
    </row>
    <row r="589" spans="1:2" x14ac:dyDescent="0.25">
      <c r="A589" s="2"/>
      <c r="B589" s="3"/>
    </row>
    <row r="590" spans="1:2" x14ac:dyDescent="0.25">
      <c r="A590" s="2"/>
      <c r="B590" s="3"/>
    </row>
    <row r="591" spans="1:2" x14ac:dyDescent="0.25">
      <c r="A591" s="2"/>
      <c r="B591" s="3"/>
    </row>
    <row r="592" spans="1:2" x14ac:dyDescent="0.25">
      <c r="A592" s="2"/>
      <c r="B592" s="3"/>
    </row>
    <row r="593" spans="1:2" x14ac:dyDescent="0.25">
      <c r="A593" s="2"/>
      <c r="B593" s="3"/>
    </row>
    <row r="594" spans="1:2" x14ac:dyDescent="0.25">
      <c r="A594" s="2"/>
      <c r="B594" s="3"/>
    </row>
    <row r="595" spans="1:2" x14ac:dyDescent="0.25">
      <c r="A595" s="2"/>
      <c r="B595" s="3"/>
    </row>
    <row r="596" spans="1:2" x14ac:dyDescent="0.25">
      <c r="A596" s="2"/>
      <c r="B596" s="3"/>
    </row>
    <row r="597" spans="1:2" x14ac:dyDescent="0.25">
      <c r="A597" s="2"/>
      <c r="B597" s="3"/>
    </row>
    <row r="598" spans="1:2" x14ac:dyDescent="0.25">
      <c r="A598" s="2"/>
      <c r="B598" s="3"/>
    </row>
    <row r="599" spans="1:2" x14ac:dyDescent="0.25">
      <c r="A599" s="2"/>
      <c r="B599" s="3"/>
    </row>
    <row r="600" spans="1:2" x14ac:dyDescent="0.25">
      <c r="A600" s="2"/>
      <c r="B600" s="3"/>
    </row>
    <row r="601" spans="1:2" x14ac:dyDescent="0.25">
      <c r="A601" s="2"/>
      <c r="B601" s="3"/>
    </row>
    <row r="602" spans="1:2" x14ac:dyDescent="0.25">
      <c r="A602" s="2"/>
      <c r="B602" s="3"/>
    </row>
    <row r="603" spans="1:2" x14ac:dyDescent="0.25">
      <c r="A603" s="2"/>
      <c r="B603" s="3"/>
    </row>
    <row r="604" spans="1:2" x14ac:dyDescent="0.25">
      <c r="A604" s="2"/>
      <c r="B604" s="3"/>
    </row>
    <row r="605" spans="1:2" x14ac:dyDescent="0.25">
      <c r="A605" s="2"/>
      <c r="B605" s="3"/>
    </row>
    <row r="606" spans="1:2" x14ac:dyDescent="0.25">
      <c r="A606" s="2"/>
      <c r="B606" s="3"/>
    </row>
    <row r="607" spans="1:2" x14ac:dyDescent="0.25">
      <c r="A607" s="2"/>
      <c r="B607" s="3"/>
    </row>
    <row r="608" spans="1:2" x14ac:dyDescent="0.25">
      <c r="A608" s="2"/>
      <c r="B608" s="3"/>
    </row>
    <row r="609" spans="1:2" x14ac:dyDescent="0.25">
      <c r="A609" s="2"/>
      <c r="B609" s="3"/>
    </row>
    <row r="610" spans="1:2" x14ac:dyDescent="0.25">
      <c r="A610" s="2"/>
      <c r="B610" s="3"/>
    </row>
    <row r="611" spans="1:2" x14ac:dyDescent="0.25">
      <c r="A611" s="2"/>
      <c r="B611" s="3"/>
    </row>
    <row r="612" spans="1:2" x14ac:dyDescent="0.25">
      <c r="A612" s="2"/>
      <c r="B612" s="3"/>
    </row>
    <row r="613" spans="1:2" x14ac:dyDescent="0.25">
      <c r="A613" s="2"/>
      <c r="B613" s="3"/>
    </row>
    <row r="614" spans="1:2" x14ac:dyDescent="0.25">
      <c r="A614" s="2"/>
      <c r="B614" s="3"/>
    </row>
    <row r="615" spans="1:2" x14ac:dyDescent="0.25">
      <c r="A615" s="2"/>
      <c r="B615" s="3"/>
    </row>
    <row r="616" spans="1:2" x14ac:dyDescent="0.25">
      <c r="A616" s="2"/>
      <c r="B616" s="3"/>
    </row>
    <row r="617" spans="1:2" x14ac:dyDescent="0.25">
      <c r="A617" s="2"/>
      <c r="B617" s="3"/>
    </row>
    <row r="618" spans="1:2" x14ac:dyDescent="0.25">
      <c r="A618" s="2"/>
      <c r="B618" s="3"/>
    </row>
    <row r="619" spans="1:2" x14ac:dyDescent="0.25">
      <c r="A619" s="2"/>
      <c r="B619" s="3"/>
    </row>
    <row r="620" spans="1:2" x14ac:dyDescent="0.25">
      <c r="A620" s="2"/>
      <c r="B620" s="3"/>
    </row>
    <row r="621" spans="1:2" x14ac:dyDescent="0.25">
      <c r="A621" s="2"/>
      <c r="B621" s="3"/>
    </row>
    <row r="622" spans="1:2" x14ac:dyDescent="0.25">
      <c r="A622" s="2"/>
      <c r="B622" s="3"/>
    </row>
    <row r="623" spans="1:2" x14ac:dyDescent="0.25">
      <c r="A623" s="2"/>
      <c r="B623" s="3"/>
    </row>
    <row r="624" spans="1:2" x14ac:dyDescent="0.25">
      <c r="A624" s="2"/>
      <c r="B624" s="3"/>
    </row>
    <row r="625" spans="1:2" x14ac:dyDescent="0.25">
      <c r="A625" s="2"/>
      <c r="B625" s="3"/>
    </row>
    <row r="626" spans="1:2" x14ac:dyDescent="0.25">
      <c r="A626" s="2"/>
      <c r="B626" s="3"/>
    </row>
    <row r="627" spans="1:2" x14ac:dyDescent="0.25">
      <c r="A627" s="2"/>
      <c r="B627" s="3"/>
    </row>
    <row r="628" spans="1:2" x14ac:dyDescent="0.25">
      <c r="A628" s="2"/>
      <c r="B628" s="3"/>
    </row>
    <row r="629" spans="1:2" x14ac:dyDescent="0.25">
      <c r="A629" s="2"/>
      <c r="B629" s="3"/>
    </row>
    <row r="630" spans="1:2" x14ac:dyDescent="0.25">
      <c r="A630" s="2"/>
      <c r="B630" s="3"/>
    </row>
    <row r="631" spans="1:2" x14ac:dyDescent="0.25">
      <c r="A631" s="2"/>
      <c r="B631" s="3"/>
    </row>
    <row r="632" spans="1:2" x14ac:dyDescent="0.25">
      <c r="A632" s="2"/>
      <c r="B632" s="3"/>
    </row>
    <row r="633" spans="1:2" x14ac:dyDescent="0.25">
      <c r="A633" s="2"/>
      <c r="B633" s="3"/>
    </row>
    <row r="634" spans="1:2" x14ac:dyDescent="0.25">
      <c r="A634" s="2"/>
      <c r="B634" s="3"/>
    </row>
    <row r="635" spans="1:2" x14ac:dyDescent="0.25">
      <c r="A635" s="2"/>
      <c r="B635" s="3"/>
    </row>
    <row r="636" spans="1:2" x14ac:dyDescent="0.25">
      <c r="A636" s="2"/>
      <c r="B636" s="3"/>
    </row>
    <row r="637" spans="1:2" x14ac:dyDescent="0.25">
      <c r="A637" s="2"/>
      <c r="B637" s="3"/>
    </row>
    <row r="638" spans="1:2" x14ac:dyDescent="0.25">
      <c r="A638" s="2"/>
      <c r="B638" s="3"/>
    </row>
    <row r="639" spans="1:2" x14ac:dyDescent="0.25">
      <c r="A639" s="2"/>
      <c r="B639" s="3"/>
    </row>
    <row r="640" spans="1:2" x14ac:dyDescent="0.25">
      <c r="A640" s="2"/>
      <c r="B640" s="3"/>
    </row>
    <row r="641" spans="1:2" x14ac:dyDescent="0.25">
      <c r="A641" s="2"/>
      <c r="B641" s="3"/>
    </row>
    <row r="642" spans="1:2" x14ac:dyDescent="0.25">
      <c r="A642" s="2"/>
      <c r="B642" s="3"/>
    </row>
    <row r="643" spans="1:2" x14ac:dyDescent="0.25">
      <c r="A643" s="2"/>
      <c r="B643" s="3"/>
    </row>
    <row r="644" spans="1:2" x14ac:dyDescent="0.25">
      <c r="A644" s="2"/>
      <c r="B644" s="3"/>
    </row>
    <row r="645" spans="1:2" x14ac:dyDescent="0.25">
      <c r="A645" s="2"/>
      <c r="B645" s="3"/>
    </row>
    <row r="646" spans="1:2" x14ac:dyDescent="0.25">
      <c r="A646" s="2"/>
      <c r="B646" s="3"/>
    </row>
    <row r="647" spans="1:2" x14ac:dyDescent="0.25">
      <c r="A647" s="2"/>
      <c r="B647" s="3"/>
    </row>
    <row r="648" spans="1:2" x14ac:dyDescent="0.25">
      <c r="A648" s="2"/>
      <c r="B648" s="3"/>
    </row>
    <row r="649" spans="1:2" x14ac:dyDescent="0.25">
      <c r="A649" s="2"/>
      <c r="B649" s="3"/>
    </row>
    <row r="650" spans="1:2" x14ac:dyDescent="0.25">
      <c r="A650" s="2"/>
      <c r="B650" s="3"/>
    </row>
    <row r="651" spans="1:2" x14ac:dyDescent="0.25">
      <c r="A651" s="2"/>
      <c r="B651" s="3"/>
    </row>
    <row r="652" spans="1:2" x14ac:dyDescent="0.25">
      <c r="A652" s="2"/>
      <c r="B652" s="3"/>
    </row>
    <row r="653" spans="1:2" x14ac:dyDescent="0.25">
      <c r="A653" s="2"/>
      <c r="B653" s="3"/>
    </row>
    <row r="654" spans="1:2" x14ac:dyDescent="0.25">
      <c r="A654" s="2"/>
      <c r="B654" s="3"/>
    </row>
    <row r="655" spans="1:2" x14ac:dyDescent="0.25">
      <c r="A655" s="2"/>
      <c r="B655" s="3"/>
    </row>
    <row r="656" spans="1:2" x14ac:dyDescent="0.25">
      <c r="A656" s="2"/>
      <c r="B656" s="3"/>
    </row>
    <row r="657" spans="1:2" x14ac:dyDescent="0.25">
      <c r="A657" s="2"/>
      <c r="B657" s="3"/>
    </row>
    <row r="658" spans="1:2" x14ac:dyDescent="0.25">
      <c r="A658" s="2"/>
      <c r="B658" s="3"/>
    </row>
    <row r="659" spans="1:2" x14ac:dyDescent="0.25">
      <c r="A659" s="2"/>
      <c r="B659" s="3"/>
    </row>
    <row r="660" spans="1:2" x14ac:dyDescent="0.25">
      <c r="A660" s="2"/>
      <c r="B660" s="3"/>
    </row>
    <row r="661" spans="1:2" x14ac:dyDescent="0.25">
      <c r="A661" s="2"/>
      <c r="B661" s="3"/>
    </row>
    <row r="662" spans="1:2" x14ac:dyDescent="0.25">
      <c r="A662" s="2"/>
      <c r="B662" s="3"/>
    </row>
    <row r="663" spans="1:2" x14ac:dyDescent="0.25">
      <c r="A663" s="2"/>
      <c r="B663" s="3"/>
    </row>
    <row r="664" spans="1:2" x14ac:dyDescent="0.25">
      <c r="A664" s="2"/>
      <c r="B664" s="3"/>
    </row>
    <row r="665" spans="1:2" x14ac:dyDescent="0.25">
      <c r="A665" s="2"/>
      <c r="B665" s="3"/>
    </row>
    <row r="666" spans="1:2" x14ac:dyDescent="0.25">
      <c r="A666" s="2"/>
      <c r="B666" s="3"/>
    </row>
    <row r="667" spans="1:2" x14ac:dyDescent="0.25">
      <c r="A667" s="2"/>
      <c r="B667" s="3"/>
    </row>
    <row r="668" spans="1:2" x14ac:dyDescent="0.25">
      <c r="A668" s="2"/>
      <c r="B668" s="3"/>
    </row>
    <row r="669" spans="1:2" x14ac:dyDescent="0.25">
      <c r="A669" s="2"/>
      <c r="B669" s="3"/>
    </row>
    <row r="670" spans="1:2" x14ac:dyDescent="0.25">
      <c r="A670" s="2"/>
      <c r="B670" s="3"/>
    </row>
    <row r="671" spans="1:2" x14ac:dyDescent="0.25">
      <c r="A671" s="2"/>
      <c r="B671" s="3"/>
    </row>
    <row r="672" spans="1:2" x14ac:dyDescent="0.25">
      <c r="A672" s="2"/>
      <c r="B672" s="3"/>
    </row>
    <row r="673" spans="1:2" x14ac:dyDescent="0.25">
      <c r="A673" s="2"/>
      <c r="B673" s="3"/>
    </row>
    <row r="674" spans="1:2" x14ac:dyDescent="0.25">
      <c r="A674" s="2"/>
      <c r="B674" s="3"/>
    </row>
    <row r="675" spans="1:2" x14ac:dyDescent="0.25">
      <c r="A675" s="2"/>
      <c r="B675" s="3"/>
    </row>
    <row r="676" spans="1:2" x14ac:dyDescent="0.25">
      <c r="A676" s="2"/>
      <c r="B676" s="3"/>
    </row>
    <row r="677" spans="1:2" x14ac:dyDescent="0.25">
      <c r="A677" s="2"/>
      <c r="B677" s="3"/>
    </row>
    <row r="678" spans="1:2" x14ac:dyDescent="0.25">
      <c r="A678" s="2"/>
      <c r="B678" s="3"/>
    </row>
    <row r="679" spans="1:2" x14ac:dyDescent="0.25">
      <c r="A679" s="2"/>
      <c r="B679" s="3"/>
    </row>
    <row r="680" spans="1:2" x14ac:dyDescent="0.25">
      <c r="A680" s="2"/>
      <c r="B680" s="3"/>
    </row>
    <row r="681" spans="1:2" x14ac:dyDescent="0.25">
      <c r="A681" s="2"/>
      <c r="B681" s="3"/>
    </row>
    <row r="682" spans="1:2" x14ac:dyDescent="0.25">
      <c r="A682" s="2"/>
      <c r="B682" s="3"/>
    </row>
    <row r="683" spans="1:2" x14ac:dyDescent="0.25">
      <c r="A683" s="2"/>
      <c r="B683" s="3"/>
    </row>
    <row r="684" spans="1:2" x14ac:dyDescent="0.25">
      <c r="A684" s="2"/>
      <c r="B684" s="3"/>
    </row>
    <row r="685" spans="1:2" x14ac:dyDescent="0.25">
      <c r="A685" s="2"/>
      <c r="B685" s="3"/>
    </row>
    <row r="686" spans="1:2" x14ac:dyDescent="0.25">
      <c r="A686" s="2"/>
      <c r="B686" s="3"/>
    </row>
    <row r="687" spans="1:2" x14ac:dyDescent="0.25">
      <c r="A687" s="2"/>
      <c r="B687" s="3"/>
    </row>
    <row r="688" spans="1:2" x14ac:dyDescent="0.25">
      <c r="A688" s="2"/>
      <c r="B688" s="3"/>
    </row>
    <row r="689" spans="1:2" x14ac:dyDescent="0.25">
      <c r="A689" s="2"/>
      <c r="B689" s="3"/>
    </row>
    <row r="690" spans="1:2" x14ac:dyDescent="0.25">
      <c r="A690" s="2"/>
      <c r="B690" s="3"/>
    </row>
    <row r="691" spans="1:2" x14ac:dyDescent="0.25">
      <c r="A691" s="2"/>
      <c r="B691" s="3"/>
    </row>
    <row r="692" spans="1:2" x14ac:dyDescent="0.25">
      <c r="A692" s="2"/>
      <c r="B692" s="3"/>
    </row>
    <row r="693" spans="1:2" x14ac:dyDescent="0.25">
      <c r="A693" s="2"/>
      <c r="B693" s="3"/>
    </row>
    <row r="694" spans="1:2" x14ac:dyDescent="0.25">
      <c r="A694" s="2"/>
      <c r="B694" s="3"/>
    </row>
    <row r="695" spans="1:2" x14ac:dyDescent="0.25">
      <c r="A695" s="2"/>
      <c r="B695" s="3"/>
    </row>
    <row r="696" spans="1:2" x14ac:dyDescent="0.25">
      <c r="A696" s="2"/>
      <c r="B696" s="3"/>
    </row>
    <row r="697" spans="1:2" x14ac:dyDescent="0.25">
      <c r="A697" s="2"/>
      <c r="B697" s="3"/>
    </row>
    <row r="698" spans="1:2" x14ac:dyDescent="0.25">
      <c r="A698" s="2"/>
      <c r="B698" s="3"/>
    </row>
    <row r="699" spans="1:2" x14ac:dyDescent="0.25">
      <c r="A699" s="2"/>
      <c r="B699" s="3"/>
    </row>
    <row r="700" spans="1:2" x14ac:dyDescent="0.25">
      <c r="A700" s="2"/>
      <c r="B700" s="3"/>
    </row>
    <row r="701" spans="1:2" x14ac:dyDescent="0.25">
      <c r="A701" s="2"/>
      <c r="B701" s="3"/>
    </row>
    <row r="702" spans="1:2" x14ac:dyDescent="0.25">
      <c r="A702" s="2"/>
      <c r="B702" s="3"/>
    </row>
    <row r="703" spans="1:2" x14ac:dyDescent="0.25">
      <c r="A703" s="2"/>
      <c r="B703" s="3"/>
    </row>
    <row r="704" spans="1:2" x14ac:dyDescent="0.25">
      <c r="A704" s="2"/>
      <c r="B704" s="3"/>
    </row>
    <row r="705" spans="1:2" x14ac:dyDescent="0.25">
      <c r="A705" s="2"/>
      <c r="B705" s="3"/>
    </row>
    <row r="706" spans="1:2" x14ac:dyDescent="0.25">
      <c r="A706" s="2"/>
      <c r="B706" s="3"/>
    </row>
    <row r="707" spans="1:2" x14ac:dyDescent="0.25">
      <c r="A707" s="2"/>
      <c r="B707" s="3"/>
    </row>
    <row r="708" spans="1:2" x14ac:dyDescent="0.25">
      <c r="A708" s="2"/>
      <c r="B708" s="3"/>
    </row>
    <row r="709" spans="1:2" x14ac:dyDescent="0.25">
      <c r="A709" s="2"/>
      <c r="B709" s="3"/>
    </row>
    <row r="710" spans="1:2" x14ac:dyDescent="0.25">
      <c r="A710" s="2"/>
      <c r="B710" s="3"/>
    </row>
    <row r="711" spans="1:2" x14ac:dyDescent="0.25">
      <c r="A711" s="2"/>
      <c r="B711" s="3"/>
    </row>
    <row r="712" spans="1:2" x14ac:dyDescent="0.25">
      <c r="A712" s="2"/>
      <c r="B712" s="3"/>
    </row>
    <row r="713" spans="1:2" x14ac:dyDescent="0.25">
      <c r="A713" s="2"/>
      <c r="B713" s="3"/>
    </row>
    <row r="714" spans="1:2" x14ac:dyDescent="0.25">
      <c r="A714" s="2"/>
      <c r="B714" s="3"/>
    </row>
    <row r="715" spans="1:2" x14ac:dyDescent="0.25">
      <c r="A715" s="2"/>
      <c r="B715" s="3"/>
    </row>
    <row r="716" spans="1:2" x14ac:dyDescent="0.25">
      <c r="A716" s="2"/>
      <c r="B716" s="3"/>
    </row>
    <row r="717" spans="1:2" x14ac:dyDescent="0.25">
      <c r="A717" s="2"/>
      <c r="B717" s="3"/>
    </row>
    <row r="718" spans="1:2" x14ac:dyDescent="0.25">
      <c r="A718" s="2"/>
      <c r="B718" s="3"/>
    </row>
    <row r="719" spans="1:2" x14ac:dyDescent="0.25">
      <c r="A719" s="2"/>
      <c r="B719" s="3"/>
    </row>
    <row r="720" spans="1:2" x14ac:dyDescent="0.25">
      <c r="A720" s="2"/>
      <c r="B720" s="3"/>
    </row>
    <row r="721" spans="1:2" x14ac:dyDescent="0.25">
      <c r="A721" s="2"/>
      <c r="B721" s="3"/>
    </row>
    <row r="722" spans="1:2" x14ac:dyDescent="0.25">
      <c r="A722" s="2"/>
      <c r="B722" s="3"/>
    </row>
    <row r="723" spans="1:2" x14ac:dyDescent="0.25">
      <c r="A723" s="2"/>
      <c r="B723" s="3"/>
    </row>
    <row r="724" spans="1:2" x14ac:dyDescent="0.25">
      <c r="A724" s="2"/>
      <c r="B724" s="3"/>
    </row>
    <row r="725" spans="1:2" x14ac:dyDescent="0.25">
      <c r="A725" s="2"/>
      <c r="B725" s="3"/>
    </row>
    <row r="726" spans="1:2" x14ac:dyDescent="0.25">
      <c r="A726" s="2"/>
      <c r="B726" s="3"/>
    </row>
    <row r="727" spans="1:2" x14ac:dyDescent="0.25">
      <c r="A727" s="2"/>
      <c r="B727" s="3"/>
    </row>
    <row r="728" spans="1:2" x14ac:dyDescent="0.25">
      <c r="A728" s="2"/>
      <c r="B728" s="3"/>
    </row>
    <row r="729" spans="1:2" x14ac:dyDescent="0.25">
      <c r="A729" s="2"/>
      <c r="B729" s="3"/>
    </row>
    <row r="730" spans="1:2" x14ac:dyDescent="0.25">
      <c r="A730" s="2"/>
      <c r="B730" s="3"/>
    </row>
    <row r="731" spans="1:2" x14ac:dyDescent="0.25">
      <c r="A731" s="2"/>
      <c r="B731" s="3"/>
    </row>
    <row r="732" spans="1:2" x14ac:dyDescent="0.25">
      <c r="A732" s="2"/>
      <c r="B732" s="3"/>
    </row>
    <row r="733" spans="1:2" x14ac:dyDescent="0.25">
      <c r="A733" s="2"/>
      <c r="B733" s="3"/>
    </row>
    <row r="734" spans="1:2" x14ac:dyDescent="0.25">
      <c r="A734" s="2"/>
      <c r="B734" s="3"/>
    </row>
    <row r="735" spans="1:2" x14ac:dyDescent="0.25">
      <c r="A735" s="2"/>
      <c r="B735" s="3"/>
    </row>
    <row r="736" spans="1:2" x14ac:dyDescent="0.25">
      <c r="A736" s="2"/>
      <c r="B736" s="3"/>
    </row>
    <row r="737" spans="1:2" x14ac:dyDescent="0.25">
      <c r="A737" s="2"/>
      <c r="B737" s="3"/>
    </row>
    <row r="738" spans="1:2" x14ac:dyDescent="0.25">
      <c r="A738" s="2"/>
      <c r="B738" s="3"/>
    </row>
    <row r="739" spans="1:2" x14ac:dyDescent="0.25">
      <c r="A739" s="2"/>
      <c r="B739" s="3"/>
    </row>
    <row r="740" spans="1:2" x14ac:dyDescent="0.25">
      <c r="A740" s="2"/>
      <c r="B740" s="3"/>
    </row>
    <row r="741" spans="1:2" x14ac:dyDescent="0.25">
      <c r="A741" s="2"/>
      <c r="B741" s="3"/>
    </row>
    <row r="742" spans="1:2" x14ac:dyDescent="0.25">
      <c r="A742" s="2"/>
      <c r="B742" s="3"/>
    </row>
    <row r="743" spans="1:2" x14ac:dyDescent="0.25">
      <c r="A743" s="2"/>
      <c r="B743" s="3"/>
    </row>
    <row r="744" spans="1:2" x14ac:dyDescent="0.25">
      <c r="A744" s="2"/>
      <c r="B744" s="3"/>
    </row>
    <row r="745" spans="1:2" x14ac:dyDescent="0.25">
      <c r="A745" s="2"/>
      <c r="B745" s="3"/>
    </row>
    <row r="746" spans="1:2" x14ac:dyDescent="0.25">
      <c r="A746" s="2"/>
      <c r="B746" s="3"/>
    </row>
    <row r="747" spans="1:2" x14ac:dyDescent="0.25">
      <c r="A747" s="2"/>
      <c r="B747" s="3"/>
    </row>
    <row r="748" spans="1:2" x14ac:dyDescent="0.25">
      <c r="A748" s="2"/>
      <c r="B748" s="3"/>
    </row>
    <row r="749" spans="1:2" x14ac:dyDescent="0.25">
      <c r="A749" s="2"/>
      <c r="B749" s="3"/>
    </row>
    <row r="750" spans="1:2" x14ac:dyDescent="0.25">
      <c r="A750" s="2"/>
      <c r="B750" s="3"/>
    </row>
    <row r="751" spans="1:2" x14ac:dyDescent="0.25">
      <c r="A751" s="2"/>
      <c r="B751" s="3"/>
    </row>
    <row r="752" spans="1:2" x14ac:dyDescent="0.25">
      <c r="A752" s="2"/>
      <c r="B752" s="3"/>
    </row>
    <row r="753" spans="1:2" x14ac:dyDescent="0.25">
      <c r="A753" s="2"/>
      <c r="B753" s="3"/>
    </row>
    <row r="754" spans="1:2" x14ac:dyDescent="0.25">
      <c r="A754" s="2"/>
      <c r="B754" s="3"/>
    </row>
    <row r="755" spans="1:2" x14ac:dyDescent="0.25">
      <c r="A755" s="2"/>
      <c r="B755" s="3"/>
    </row>
    <row r="756" spans="1:2" x14ac:dyDescent="0.25">
      <c r="A756" s="2"/>
      <c r="B756" s="3"/>
    </row>
    <row r="757" spans="1:2" x14ac:dyDescent="0.25">
      <c r="A757" s="2"/>
      <c r="B757" s="3"/>
    </row>
    <row r="758" spans="1:2" x14ac:dyDescent="0.25">
      <c r="A758" s="2"/>
      <c r="B758" s="3"/>
    </row>
    <row r="759" spans="1:2" x14ac:dyDescent="0.25">
      <c r="A759" s="2"/>
      <c r="B759" s="3"/>
    </row>
    <row r="760" spans="1:2" x14ac:dyDescent="0.25">
      <c r="A760" s="2"/>
      <c r="B760" s="3"/>
    </row>
    <row r="761" spans="1:2" x14ac:dyDescent="0.25">
      <c r="A761" s="2"/>
      <c r="B761" s="3"/>
    </row>
    <row r="762" spans="1:2" x14ac:dyDescent="0.25">
      <c r="A762" s="2"/>
      <c r="B762" s="3"/>
    </row>
    <row r="763" spans="1:2" x14ac:dyDescent="0.25">
      <c r="A763" s="2"/>
      <c r="B763" s="3"/>
    </row>
    <row r="764" spans="1:2" x14ac:dyDescent="0.25">
      <c r="A764" s="2"/>
      <c r="B764" s="3"/>
    </row>
    <row r="765" spans="1:2" x14ac:dyDescent="0.25">
      <c r="A765" s="2"/>
      <c r="B765" s="3"/>
    </row>
    <row r="766" spans="1:2" x14ac:dyDescent="0.25">
      <c r="A766" s="2"/>
      <c r="B766" s="3"/>
    </row>
    <row r="767" spans="1:2" x14ac:dyDescent="0.25">
      <c r="A767" s="2"/>
      <c r="B767" s="3"/>
    </row>
    <row r="768" spans="1:2" x14ac:dyDescent="0.25">
      <c r="A768" s="2"/>
      <c r="B768" s="3"/>
    </row>
    <row r="769" spans="1:2" x14ac:dyDescent="0.25">
      <c r="A769" s="2"/>
      <c r="B769" s="3"/>
    </row>
    <row r="770" spans="1:2" x14ac:dyDescent="0.25">
      <c r="A770" s="2"/>
      <c r="B770" s="3"/>
    </row>
    <row r="771" spans="1:2" x14ac:dyDescent="0.25">
      <c r="A771" s="2"/>
      <c r="B771" s="3"/>
    </row>
    <row r="772" spans="1:2" x14ac:dyDescent="0.25">
      <c r="A772" s="2"/>
      <c r="B772" s="3"/>
    </row>
    <row r="773" spans="1:2" x14ac:dyDescent="0.25">
      <c r="A773" s="2"/>
      <c r="B773" s="3"/>
    </row>
    <row r="774" spans="1:2" x14ac:dyDescent="0.25">
      <c r="A774" s="2"/>
      <c r="B774" s="3"/>
    </row>
    <row r="775" spans="1:2" x14ac:dyDescent="0.25">
      <c r="A775" s="2"/>
      <c r="B775" s="3"/>
    </row>
    <row r="776" spans="1:2" x14ac:dyDescent="0.25">
      <c r="A776" s="2"/>
      <c r="B776" s="3"/>
    </row>
    <row r="777" spans="1:2" x14ac:dyDescent="0.25">
      <c r="A777" s="2"/>
      <c r="B777" s="3"/>
    </row>
    <row r="778" spans="1:2" x14ac:dyDescent="0.25">
      <c r="A778" s="2"/>
      <c r="B778" s="3"/>
    </row>
    <row r="779" spans="1:2" x14ac:dyDescent="0.25">
      <c r="A779" s="2"/>
      <c r="B779" s="3"/>
    </row>
    <row r="780" spans="1:2" x14ac:dyDescent="0.25">
      <c r="A780" s="2"/>
      <c r="B780" s="3"/>
    </row>
    <row r="781" spans="1:2" x14ac:dyDescent="0.25">
      <c r="A781" s="2"/>
      <c r="B781" s="3"/>
    </row>
    <row r="782" spans="1:2" x14ac:dyDescent="0.25">
      <c r="A782" s="2"/>
      <c r="B782" s="3"/>
    </row>
    <row r="783" spans="1:2" x14ac:dyDescent="0.25">
      <c r="A783" s="2"/>
      <c r="B783" s="3"/>
    </row>
    <row r="784" spans="1:2" x14ac:dyDescent="0.25">
      <c r="A784" s="2"/>
      <c r="B784" s="3"/>
    </row>
    <row r="785" spans="1:2" x14ac:dyDescent="0.25">
      <c r="A785" s="2"/>
      <c r="B785" s="3"/>
    </row>
    <row r="786" spans="1:2" x14ac:dyDescent="0.25">
      <c r="A786" s="2"/>
      <c r="B786" s="3"/>
    </row>
    <row r="787" spans="1:2" x14ac:dyDescent="0.25">
      <c r="A787" s="2"/>
      <c r="B787" s="3"/>
    </row>
    <row r="788" spans="1:2" x14ac:dyDescent="0.25">
      <c r="A788" s="2"/>
      <c r="B788" s="3"/>
    </row>
    <row r="789" spans="1:2" x14ac:dyDescent="0.25">
      <c r="A789" s="2"/>
      <c r="B789" s="3"/>
    </row>
    <row r="790" spans="1:2" x14ac:dyDescent="0.25">
      <c r="A790" s="2"/>
      <c r="B790" s="3"/>
    </row>
    <row r="791" spans="1:2" x14ac:dyDescent="0.25">
      <c r="A791" s="2"/>
      <c r="B791" s="3"/>
    </row>
    <row r="792" spans="1:2" x14ac:dyDescent="0.25">
      <c r="A792" s="2"/>
      <c r="B792" s="3"/>
    </row>
    <row r="793" spans="1:2" x14ac:dyDescent="0.25">
      <c r="A793" s="2"/>
      <c r="B793" s="3"/>
    </row>
    <row r="794" spans="1:2" x14ac:dyDescent="0.25">
      <c r="A794" s="2"/>
      <c r="B794" s="3"/>
    </row>
    <row r="795" spans="1:2" x14ac:dyDescent="0.25">
      <c r="A795" s="2"/>
      <c r="B795" s="3"/>
    </row>
    <row r="796" spans="1:2" x14ac:dyDescent="0.25">
      <c r="A796" s="2"/>
      <c r="B796" s="3"/>
    </row>
    <row r="797" spans="1:2" x14ac:dyDescent="0.25">
      <c r="A797" s="2"/>
      <c r="B797" s="3"/>
    </row>
    <row r="798" spans="1:2" x14ac:dyDescent="0.25">
      <c r="A798" s="2"/>
      <c r="B798" s="3"/>
    </row>
    <row r="799" spans="1:2" x14ac:dyDescent="0.25">
      <c r="A799" s="2"/>
      <c r="B799" s="3"/>
    </row>
    <row r="800" spans="1:2" x14ac:dyDescent="0.25">
      <c r="A800" s="2"/>
      <c r="B800" s="3"/>
    </row>
    <row r="801" spans="1:2" x14ac:dyDescent="0.25">
      <c r="A801" s="2"/>
      <c r="B801" s="3"/>
    </row>
    <row r="802" spans="1:2" x14ac:dyDescent="0.25">
      <c r="A802" s="2"/>
      <c r="B802" s="3"/>
    </row>
    <row r="803" spans="1:2" x14ac:dyDescent="0.25">
      <c r="A803" s="2"/>
      <c r="B803" s="3"/>
    </row>
    <row r="804" spans="1:2" x14ac:dyDescent="0.25">
      <c r="A804" s="2"/>
      <c r="B804" s="3"/>
    </row>
    <row r="805" spans="1:2" x14ac:dyDescent="0.25">
      <c r="A805" s="2"/>
      <c r="B805" s="3"/>
    </row>
    <row r="806" spans="1:2" x14ac:dyDescent="0.25">
      <c r="A806" s="2"/>
      <c r="B806" s="3"/>
    </row>
    <row r="807" spans="1:2" x14ac:dyDescent="0.25">
      <c r="A807" s="2"/>
      <c r="B807" s="3"/>
    </row>
    <row r="808" spans="1:2" x14ac:dyDescent="0.25">
      <c r="A808" s="2"/>
      <c r="B808" s="3"/>
    </row>
    <row r="809" spans="1:2" x14ac:dyDescent="0.25">
      <c r="A809" s="2"/>
      <c r="B809" s="3"/>
    </row>
    <row r="810" spans="1:2" x14ac:dyDescent="0.25">
      <c r="A810" s="2"/>
      <c r="B810" s="3"/>
    </row>
    <row r="811" spans="1:2" x14ac:dyDescent="0.25">
      <c r="A811" s="2"/>
      <c r="B811" s="3"/>
    </row>
    <row r="812" spans="1:2" x14ac:dyDescent="0.25">
      <c r="A812" s="2"/>
      <c r="B812" s="3"/>
    </row>
    <row r="813" spans="1:2" x14ac:dyDescent="0.25">
      <c r="A813" s="2"/>
      <c r="B813" s="3"/>
    </row>
    <row r="814" spans="1:2" x14ac:dyDescent="0.25">
      <c r="A814" s="2"/>
      <c r="B814" s="3"/>
    </row>
    <row r="815" spans="1:2" x14ac:dyDescent="0.25">
      <c r="A815" s="2"/>
      <c r="B815" s="3"/>
    </row>
    <row r="816" spans="1:2" x14ac:dyDescent="0.25">
      <c r="A816" s="2"/>
      <c r="B816" s="3"/>
    </row>
    <row r="817" spans="1:2" x14ac:dyDescent="0.25">
      <c r="A817" s="2"/>
      <c r="B817" s="3"/>
    </row>
    <row r="818" spans="1:2" x14ac:dyDescent="0.25">
      <c r="A818" s="2"/>
      <c r="B818" s="3"/>
    </row>
    <row r="819" spans="1:2" x14ac:dyDescent="0.25">
      <c r="A819" s="2"/>
      <c r="B819" s="3"/>
    </row>
    <row r="820" spans="1:2" x14ac:dyDescent="0.25">
      <c r="A820" s="2"/>
      <c r="B820" s="3"/>
    </row>
    <row r="821" spans="1:2" x14ac:dyDescent="0.25">
      <c r="A821" s="2"/>
      <c r="B821" s="3"/>
    </row>
    <row r="822" spans="1:2" x14ac:dyDescent="0.25">
      <c r="A822" s="2"/>
      <c r="B822" s="3"/>
    </row>
    <row r="823" spans="1:2" x14ac:dyDescent="0.25">
      <c r="A823" s="2"/>
      <c r="B823" s="3"/>
    </row>
    <row r="824" spans="1:2" x14ac:dyDescent="0.25">
      <c r="A824" s="2"/>
      <c r="B824" s="3"/>
    </row>
    <row r="825" spans="1:2" x14ac:dyDescent="0.25">
      <c r="A825" s="2"/>
      <c r="B825" s="3"/>
    </row>
    <row r="826" spans="1:2" x14ac:dyDescent="0.25">
      <c r="A826" s="2"/>
      <c r="B826" s="3"/>
    </row>
    <row r="827" spans="1:2" x14ac:dyDescent="0.25">
      <c r="A827" s="2"/>
      <c r="B827" s="3"/>
    </row>
    <row r="828" spans="1:2" x14ac:dyDescent="0.25">
      <c r="A828" s="2"/>
      <c r="B828" s="3"/>
    </row>
    <row r="829" spans="1:2" x14ac:dyDescent="0.25">
      <c r="A829" s="2"/>
      <c r="B829" s="3"/>
    </row>
    <row r="830" spans="1:2" x14ac:dyDescent="0.25">
      <c r="A830" s="2"/>
      <c r="B830" s="3"/>
    </row>
    <row r="831" spans="1:2" x14ac:dyDescent="0.25">
      <c r="A831" s="2"/>
      <c r="B831" s="3"/>
    </row>
    <row r="832" spans="1:2" x14ac:dyDescent="0.25">
      <c r="A832" s="2"/>
      <c r="B832" s="3"/>
    </row>
    <row r="833" spans="1:2" x14ac:dyDescent="0.25">
      <c r="A833" s="2"/>
      <c r="B833" s="3"/>
    </row>
    <row r="834" spans="1:2" x14ac:dyDescent="0.25">
      <c r="A834" s="2"/>
      <c r="B834" s="3"/>
    </row>
    <row r="835" spans="1:2" x14ac:dyDescent="0.25">
      <c r="A835" s="2"/>
      <c r="B835" s="3"/>
    </row>
    <row r="836" spans="1:2" x14ac:dyDescent="0.25">
      <c r="A836" s="2"/>
      <c r="B836" s="3"/>
    </row>
    <row r="837" spans="1:2" x14ac:dyDescent="0.25">
      <c r="A837" s="2"/>
      <c r="B837" s="3"/>
    </row>
    <row r="838" spans="1:2" x14ac:dyDescent="0.25">
      <c r="A838" s="2"/>
      <c r="B838" s="3"/>
    </row>
    <row r="839" spans="1:2" x14ac:dyDescent="0.25">
      <c r="A839" s="2"/>
      <c r="B839" s="3"/>
    </row>
    <row r="840" spans="1:2" x14ac:dyDescent="0.25">
      <c r="A840" s="2"/>
      <c r="B840" s="3"/>
    </row>
    <row r="841" spans="1:2" x14ac:dyDescent="0.25">
      <c r="A841" s="2"/>
      <c r="B841" s="3"/>
    </row>
    <row r="842" spans="1:2" x14ac:dyDescent="0.25">
      <c r="A842" s="2"/>
      <c r="B842" s="3"/>
    </row>
    <row r="843" spans="1:2" x14ac:dyDescent="0.25">
      <c r="A843" s="2"/>
      <c r="B843" s="3"/>
    </row>
    <row r="844" spans="1:2" x14ac:dyDescent="0.25">
      <c r="A844" s="2"/>
      <c r="B844" s="3"/>
    </row>
    <row r="845" spans="1:2" x14ac:dyDescent="0.25">
      <c r="A845" s="2"/>
      <c r="B845" s="3"/>
    </row>
    <row r="846" spans="1:2" x14ac:dyDescent="0.25">
      <c r="A846" s="2"/>
      <c r="B846" s="3"/>
    </row>
    <row r="847" spans="1:2" x14ac:dyDescent="0.25">
      <c r="A847" s="2"/>
      <c r="B847" s="3"/>
    </row>
    <row r="848" spans="1:2" x14ac:dyDescent="0.25">
      <c r="A848" s="2"/>
      <c r="B848" s="3"/>
    </row>
    <row r="849" spans="1:2" x14ac:dyDescent="0.25">
      <c r="A849" s="2"/>
      <c r="B849" s="3"/>
    </row>
    <row r="850" spans="1:2" x14ac:dyDescent="0.25">
      <c r="A850" s="2"/>
      <c r="B850" s="3"/>
    </row>
    <row r="851" spans="1:2" x14ac:dyDescent="0.25">
      <c r="A851" s="2"/>
      <c r="B851" s="3"/>
    </row>
    <row r="852" spans="1:2" x14ac:dyDescent="0.25">
      <c r="A852" s="2"/>
      <c r="B852" s="3"/>
    </row>
    <row r="853" spans="1:2" x14ac:dyDescent="0.25">
      <c r="A853" s="2"/>
      <c r="B853" s="3"/>
    </row>
    <row r="854" spans="1:2" x14ac:dyDescent="0.25">
      <c r="A854" s="2"/>
      <c r="B854" s="3"/>
    </row>
    <row r="855" spans="1:2" x14ac:dyDescent="0.25">
      <c r="A855" s="2"/>
      <c r="B855" s="3"/>
    </row>
    <row r="856" spans="1:2" x14ac:dyDescent="0.25">
      <c r="A856" s="2"/>
      <c r="B856" s="3"/>
    </row>
    <row r="857" spans="1:2" x14ac:dyDescent="0.25">
      <c r="A857" s="2"/>
      <c r="B857" s="3"/>
    </row>
    <row r="858" spans="1:2" x14ac:dyDescent="0.25">
      <c r="A858" s="2"/>
      <c r="B858" s="3"/>
    </row>
    <row r="859" spans="1:2" x14ac:dyDescent="0.25">
      <c r="A859" s="2"/>
      <c r="B859" s="3"/>
    </row>
    <row r="860" spans="1:2" x14ac:dyDescent="0.25">
      <c r="A860" s="2"/>
      <c r="B860" s="3"/>
    </row>
    <row r="861" spans="1:2" x14ac:dyDescent="0.25">
      <c r="A861" s="2"/>
      <c r="B861" s="3"/>
    </row>
    <row r="862" spans="1:2" x14ac:dyDescent="0.25">
      <c r="A862" s="2"/>
      <c r="B862" s="3"/>
    </row>
    <row r="863" spans="1:2" x14ac:dyDescent="0.25">
      <c r="A863" s="2"/>
      <c r="B863" s="3"/>
    </row>
    <row r="864" spans="1:2" x14ac:dyDescent="0.25">
      <c r="A864" s="2"/>
      <c r="B864" s="3"/>
    </row>
    <row r="865" spans="1:2" x14ac:dyDescent="0.25">
      <c r="A865" s="2"/>
      <c r="B865" s="3"/>
    </row>
    <row r="866" spans="1:2" x14ac:dyDescent="0.25">
      <c r="A866" s="2"/>
      <c r="B866" s="3"/>
    </row>
    <row r="867" spans="1:2" x14ac:dyDescent="0.25">
      <c r="A867" s="2"/>
      <c r="B867" s="3"/>
    </row>
    <row r="868" spans="1:2" x14ac:dyDescent="0.25">
      <c r="A868" s="2"/>
      <c r="B868" s="3"/>
    </row>
    <row r="869" spans="1:2" x14ac:dyDescent="0.25">
      <c r="A869" s="2"/>
      <c r="B869" s="3"/>
    </row>
    <row r="870" spans="1:2" x14ac:dyDescent="0.25">
      <c r="A870" s="2"/>
      <c r="B870" s="3"/>
    </row>
    <row r="871" spans="1:2" x14ac:dyDescent="0.25">
      <c r="A871" s="2"/>
      <c r="B871" s="3"/>
    </row>
    <row r="872" spans="1:2" x14ac:dyDescent="0.25">
      <c r="A872" s="2"/>
      <c r="B872" s="3"/>
    </row>
    <row r="873" spans="1:2" x14ac:dyDescent="0.25">
      <c r="A873" s="2"/>
      <c r="B873" s="3"/>
    </row>
    <row r="874" spans="1:2" x14ac:dyDescent="0.25">
      <c r="A874" s="2"/>
      <c r="B874" s="3"/>
    </row>
    <row r="875" spans="1:2" x14ac:dyDescent="0.25">
      <c r="A875" s="2"/>
      <c r="B875" s="3"/>
    </row>
    <row r="876" spans="1:2" x14ac:dyDescent="0.25">
      <c r="A876" s="2"/>
      <c r="B876" s="3"/>
    </row>
    <row r="877" spans="1:2" x14ac:dyDescent="0.25">
      <c r="A877" s="2"/>
      <c r="B877" s="3"/>
    </row>
    <row r="878" spans="1:2" x14ac:dyDescent="0.25">
      <c r="A878" s="2"/>
      <c r="B878" s="3"/>
    </row>
    <row r="879" spans="1:2" x14ac:dyDescent="0.25">
      <c r="A879" s="2"/>
      <c r="B879" s="3"/>
    </row>
    <row r="880" spans="1:2" x14ac:dyDescent="0.25">
      <c r="A880" s="2"/>
      <c r="B880" s="3"/>
    </row>
    <row r="881" spans="1:2" x14ac:dyDescent="0.25">
      <c r="A881" s="2"/>
      <c r="B881" s="3"/>
    </row>
    <row r="882" spans="1:2" x14ac:dyDescent="0.25">
      <c r="A882" s="2"/>
      <c r="B882" s="3"/>
    </row>
    <row r="883" spans="1:2" x14ac:dyDescent="0.25">
      <c r="A883" s="2"/>
      <c r="B883" s="3"/>
    </row>
    <row r="884" spans="1:2" x14ac:dyDescent="0.25">
      <c r="A884" s="2"/>
      <c r="B884" s="3"/>
    </row>
    <row r="885" spans="1:2" x14ac:dyDescent="0.25">
      <c r="A885" s="2"/>
      <c r="B885" s="3"/>
    </row>
    <row r="886" spans="1:2" x14ac:dyDescent="0.25">
      <c r="A886" s="2"/>
      <c r="B886" s="3"/>
    </row>
    <row r="887" spans="1:2" x14ac:dyDescent="0.25">
      <c r="A887" s="2"/>
      <c r="B887" s="3"/>
    </row>
    <row r="888" spans="1:2" x14ac:dyDescent="0.25">
      <c r="A888" s="2"/>
      <c r="B888" s="3"/>
    </row>
    <row r="889" spans="1:2" x14ac:dyDescent="0.25">
      <c r="A889" s="2"/>
      <c r="B889" s="3"/>
    </row>
    <row r="890" spans="1:2" x14ac:dyDescent="0.25">
      <c r="A890" s="2"/>
      <c r="B890" s="3"/>
    </row>
    <row r="891" spans="1:2" x14ac:dyDescent="0.25">
      <c r="A891" s="2"/>
      <c r="B891" s="3"/>
    </row>
    <row r="892" spans="1:2" x14ac:dyDescent="0.25">
      <c r="A892" s="2"/>
      <c r="B892" s="3"/>
    </row>
    <row r="893" spans="1:2" x14ac:dyDescent="0.25">
      <c r="A893" s="2"/>
      <c r="B893" s="3"/>
    </row>
    <row r="894" spans="1:2" x14ac:dyDescent="0.25">
      <c r="A894" s="2"/>
      <c r="B894" s="3"/>
    </row>
    <row r="895" spans="1:2" x14ac:dyDescent="0.25">
      <c r="A895" s="2"/>
      <c r="B895" s="3"/>
    </row>
    <row r="896" spans="1:2" x14ac:dyDescent="0.25">
      <c r="A896" s="2"/>
      <c r="B896" s="3"/>
    </row>
    <row r="897" spans="1:2" x14ac:dyDescent="0.25">
      <c r="A897" s="2"/>
      <c r="B897" s="3"/>
    </row>
    <row r="898" spans="1:2" x14ac:dyDescent="0.25">
      <c r="A898" s="2"/>
      <c r="B898" s="3"/>
    </row>
    <row r="899" spans="1:2" x14ac:dyDescent="0.25">
      <c r="A899" s="2"/>
      <c r="B899" s="3"/>
    </row>
    <row r="900" spans="1:2" x14ac:dyDescent="0.25">
      <c r="A900" s="2"/>
      <c r="B900" s="3"/>
    </row>
    <row r="901" spans="1:2" x14ac:dyDescent="0.25">
      <c r="A901" s="2"/>
      <c r="B901" s="3"/>
    </row>
    <row r="902" spans="1:2" x14ac:dyDescent="0.25">
      <c r="A902" s="2"/>
      <c r="B902" s="3"/>
    </row>
    <row r="903" spans="1:2" x14ac:dyDescent="0.25">
      <c r="A903" s="2"/>
      <c r="B903" s="3"/>
    </row>
    <row r="904" spans="1:2" x14ac:dyDescent="0.25">
      <c r="A904" s="2"/>
      <c r="B904" s="3"/>
    </row>
    <row r="905" spans="1:2" x14ac:dyDescent="0.25">
      <c r="A905" s="2"/>
      <c r="B905" s="3"/>
    </row>
    <row r="906" spans="1:2" x14ac:dyDescent="0.25">
      <c r="A906" s="2"/>
      <c r="B906" s="3"/>
    </row>
    <row r="907" spans="1:2" x14ac:dyDescent="0.25">
      <c r="A907" s="2"/>
      <c r="B907" s="3"/>
    </row>
    <row r="908" spans="1:2" x14ac:dyDescent="0.25">
      <c r="A908" s="2"/>
      <c r="B908" s="3"/>
    </row>
    <row r="909" spans="1:2" x14ac:dyDescent="0.25">
      <c r="A909" s="2"/>
      <c r="B909" s="3"/>
    </row>
    <row r="910" spans="1:2" x14ac:dyDescent="0.25">
      <c r="A910" s="2"/>
      <c r="B910" s="3"/>
    </row>
    <row r="911" spans="1:2" x14ac:dyDescent="0.25">
      <c r="A911" s="2"/>
      <c r="B911" s="3"/>
    </row>
    <row r="912" spans="1:2" x14ac:dyDescent="0.25">
      <c r="A912" s="2"/>
      <c r="B912" s="3"/>
    </row>
    <row r="913" spans="1:2" x14ac:dyDescent="0.25">
      <c r="A913" s="2"/>
      <c r="B913" s="3"/>
    </row>
    <row r="914" spans="1:2" x14ac:dyDescent="0.25">
      <c r="A914" s="2"/>
      <c r="B914" s="3"/>
    </row>
    <row r="915" spans="1:2" x14ac:dyDescent="0.25">
      <c r="A915" s="2"/>
      <c r="B915" s="3"/>
    </row>
    <row r="916" spans="1:2" x14ac:dyDescent="0.25">
      <c r="A916" s="2"/>
      <c r="B916" s="3"/>
    </row>
    <row r="917" spans="1:2" x14ac:dyDescent="0.25">
      <c r="A917" s="2"/>
      <c r="B917" s="3"/>
    </row>
    <row r="918" spans="1:2" x14ac:dyDescent="0.25">
      <c r="A918" s="2"/>
      <c r="B918" s="3"/>
    </row>
    <row r="919" spans="1:2" x14ac:dyDescent="0.25">
      <c r="A919" s="2"/>
      <c r="B919" s="3"/>
    </row>
    <row r="920" spans="1:2" x14ac:dyDescent="0.25">
      <c r="A920" s="2"/>
      <c r="B920" s="3"/>
    </row>
    <row r="921" spans="1:2" x14ac:dyDescent="0.25">
      <c r="A921" s="2"/>
      <c r="B921" s="3"/>
    </row>
    <row r="922" spans="1:2" x14ac:dyDescent="0.25">
      <c r="A922" s="2"/>
      <c r="B922" s="3"/>
    </row>
    <row r="923" spans="1:2" x14ac:dyDescent="0.25">
      <c r="A923" s="2"/>
      <c r="B923" s="3"/>
    </row>
    <row r="924" spans="1:2" x14ac:dyDescent="0.25">
      <c r="A924" s="2"/>
      <c r="B924" s="3"/>
    </row>
    <row r="925" spans="1:2" x14ac:dyDescent="0.25">
      <c r="A925" s="2"/>
      <c r="B925" s="3"/>
    </row>
    <row r="926" spans="1:2" x14ac:dyDescent="0.25">
      <c r="A926" s="2"/>
      <c r="B926" s="3"/>
    </row>
    <row r="927" spans="1:2" x14ac:dyDescent="0.25">
      <c r="A927" s="2"/>
      <c r="B927" s="3"/>
    </row>
    <row r="928" spans="1:2" x14ac:dyDescent="0.25">
      <c r="A928" s="2"/>
      <c r="B928" s="3"/>
    </row>
    <row r="929" spans="1:2" x14ac:dyDescent="0.25">
      <c r="A929" s="2"/>
      <c r="B929" s="3"/>
    </row>
    <row r="930" spans="1:2" x14ac:dyDescent="0.25">
      <c r="A930" s="2"/>
      <c r="B930" s="3"/>
    </row>
    <row r="931" spans="1:2" x14ac:dyDescent="0.25">
      <c r="A931" s="2"/>
      <c r="B931" s="3"/>
    </row>
    <row r="932" spans="1:2" x14ac:dyDescent="0.25">
      <c r="A932" s="2"/>
      <c r="B932" s="3"/>
    </row>
    <row r="933" spans="1:2" x14ac:dyDescent="0.25">
      <c r="A933" s="2"/>
      <c r="B933" s="3"/>
    </row>
    <row r="934" spans="1:2" x14ac:dyDescent="0.25">
      <c r="A934" s="2"/>
      <c r="B934" s="3"/>
    </row>
    <row r="935" spans="1:2" x14ac:dyDescent="0.25">
      <c r="A935" s="2"/>
      <c r="B935" s="3"/>
    </row>
    <row r="936" spans="1:2" x14ac:dyDescent="0.25">
      <c r="A936" s="2"/>
      <c r="B936" s="3"/>
    </row>
    <row r="937" spans="1:2" x14ac:dyDescent="0.25">
      <c r="A937" s="2"/>
      <c r="B937" s="3"/>
    </row>
    <row r="938" spans="1:2" x14ac:dyDescent="0.25">
      <c r="A938" s="2"/>
      <c r="B938" s="3"/>
    </row>
    <row r="939" spans="1:2" x14ac:dyDescent="0.25">
      <c r="A939" s="2"/>
      <c r="B939" s="3"/>
    </row>
    <row r="940" spans="1:2" x14ac:dyDescent="0.25">
      <c r="A940" s="2"/>
      <c r="B940" s="3"/>
    </row>
    <row r="941" spans="1:2" x14ac:dyDescent="0.25">
      <c r="A941" s="2"/>
      <c r="B941" s="3"/>
    </row>
    <row r="942" spans="1:2" x14ac:dyDescent="0.25">
      <c r="A942" s="2"/>
      <c r="B942" s="3"/>
    </row>
    <row r="943" spans="1:2" x14ac:dyDescent="0.25">
      <c r="A943" s="2"/>
      <c r="B943" s="3"/>
    </row>
    <row r="944" spans="1:2" x14ac:dyDescent="0.25">
      <c r="A944" s="2"/>
      <c r="B944" s="3"/>
    </row>
    <row r="945" spans="1:2" x14ac:dyDescent="0.25">
      <c r="A945" s="2"/>
      <c r="B945" s="3"/>
    </row>
    <row r="946" spans="1:2" x14ac:dyDescent="0.25">
      <c r="A946" s="2"/>
      <c r="B946" s="3"/>
    </row>
    <row r="947" spans="1:2" x14ac:dyDescent="0.25">
      <c r="A947" s="2"/>
      <c r="B947" s="3"/>
    </row>
    <row r="948" spans="1:2" x14ac:dyDescent="0.25">
      <c r="A948" s="2"/>
      <c r="B948" s="3"/>
    </row>
    <row r="949" spans="1:2" x14ac:dyDescent="0.25">
      <c r="A949" s="2"/>
      <c r="B949" s="3"/>
    </row>
    <row r="950" spans="1:2" x14ac:dyDescent="0.25">
      <c r="A950" s="2"/>
      <c r="B950" s="3"/>
    </row>
    <row r="951" spans="1:2" x14ac:dyDescent="0.25">
      <c r="A951" s="2"/>
      <c r="B951" s="3"/>
    </row>
    <row r="952" spans="1:2" x14ac:dyDescent="0.25">
      <c r="A952" s="2"/>
      <c r="B952" s="3"/>
    </row>
    <row r="953" spans="1:2" x14ac:dyDescent="0.25">
      <c r="A953" s="2"/>
      <c r="B953" s="3"/>
    </row>
    <row r="954" spans="1:2" x14ac:dyDescent="0.25">
      <c r="A954" s="2"/>
      <c r="B954" s="3"/>
    </row>
    <row r="955" spans="1:2" x14ac:dyDescent="0.25">
      <c r="A955" s="2"/>
      <c r="B955" s="3"/>
    </row>
    <row r="956" spans="1:2" x14ac:dyDescent="0.25">
      <c r="A956" s="2"/>
      <c r="B956" s="3"/>
    </row>
    <row r="957" spans="1:2" x14ac:dyDescent="0.25">
      <c r="A957" s="2"/>
      <c r="B957" s="3"/>
    </row>
    <row r="958" spans="1:2" x14ac:dyDescent="0.25">
      <c r="A958" s="2"/>
      <c r="B958" s="3"/>
    </row>
    <row r="959" spans="1:2" x14ac:dyDescent="0.25">
      <c r="A959" s="2"/>
      <c r="B959" s="3"/>
    </row>
    <row r="960" spans="1:2" x14ac:dyDescent="0.25">
      <c r="A960" s="2"/>
      <c r="B960" s="3"/>
    </row>
    <row r="961" spans="1:2" x14ac:dyDescent="0.25">
      <c r="A961" s="2"/>
      <c r="B961" s="3"/>
    </row>
    <row r="962" spans="1:2" x14ac:dyDescent="0.25">
      <c r="A962" s="2"/>
      <c r="B962" s="3"/>
    </row>
    <row r="963" spans="1:2" x14ac:dyDescent="0.25">
      <c r="A963" s="2"/>
      <c r="B963" s="3"/>
    </row>
    <row r="964" spans="1:2" x14ac:dyDescent="0.25">
      <c r="A964" s="2"/>
      <c r="B964" s="3"/>
    </row>
    <row r="965" spans="1:2" x14ac:dyDescent="0.25">
      <c r="A965" s="2"/>
      <c r="B965" s="3"/>
    </row>
    <row r="966" spans="1:2" x14ac:dyDescent="0.25">
      <c r="A966" s="2"/>
      <c r="B966" s="3"/>
    </row>
    <row r="967" spans="1:2" x14ac:dyDescent="0.25">
      <c r="A967" s="2"/>
      <c r="B967" s="3"/>
    </row>
    <row r="968" spans="1:2" x14ac:dyDescent="0.25">
      <c r="A968" s="2"/>
      <c r="B968" s="3"/>
    </row>
    <row r="969" spans="1:2" x14ac:dyDescent="0.25">
      <c r="A969" s="2"/>
      <c r="B969" s="3"/>
    </row>
    <row r="970" spans="1:2" x14ac:dyDescent="0.25">
      <c r="A970" s="2"/>
      <c r="B970" s="3"/>
    </row>
    <row r="971" spans="1:2" x14ac:dyDescent="0.25">
      <c r="A971" s="2"/>
      <c r="B971" s="3"/>
    </row>
    <row r="972" spans="1:2" x14ac:dyDescent="0.25">
      <c r="A972" s="2"/>
      <c r="B972" s="3"/>
    </row>
    <row r="973" spans="1:2" x14ac:dyDescent="0.25">
      <c r="A973" s="2"/>
      <c r="B973" s="3"/>
    </row>
    <row r="974" spans="1:2" x14ac:dyDescent="0.25">
      <c r="A974" s="2"/>
      <c r="B974" s="3"/>
    </row>
    <row r="975" spans="1:2" x14ac:dyDescent="0.25">
      <c r="A975" s="2"/>
      <c r="B975" s="3"/>
    </row>
    <row r="976" spans="1:2" x14ac:dyDescent="0.25">
      <c r="A976" s="2"/>
      <c r="B976" s="3"/>
    </row>
    <row r="977" spans="1:2" x14ac:dyDescent="0.25">
      <c r="A977" s="2"/>
      <c r="B977" s="3"/>
    </row>
    <row r="978" spans="1:2" x14ac:dyDescent="0.25">
      <c r="A978" s="2"/>
      <c r="B978" s="3"/>
    </row>
    <row r="979" spans="1:2" x14ac:dyDescent="0.25">
      <c r="A979" s="2"/>
      <c r="B979" s="3"/>
    </row>
    <row r="980" spans="1:2" x14ac:dyDescent="0.25">
      <c r="A980" s="2"/>
      <c r="B980" s="3"/>
    </row>
    <row r="981" spans="1:2" x14ac:dyDescent="0.25">
      <c r="A981" s="2"/>
      <c r="B981" s="3"/>
    </row>
    <row r="982" spans="1:2" x14ac:dyDescent="0.25">
      <c r="A982" s="2"/>
      <c r="B982" s="3"/>
    </row>
    <row r="983" spans="1:2" x14ac:dyDescent="0.25">
      <c r="A983" s="2"/>
      <c r="B983" s="3"/>
    </row>
    <row r="984" spans="1:2" x14ac:dyDescent="0.25">
      <c r="A984" s="2"/>
      <c r="B984" s="3"/>
    </row>
    <row r="985" spans="1:2" x14ac:dyDescent="0.25">
      <c r="A985" s="2"/>
      <c r="B985" s="3"/>
    </row>
    <row r="986" spans="1:2" x14ac:dyDescent="0.25">
      <c r="A986" s="2"/>
      <c r="B986" s="3"/>
    </row>
    <row r="987" spans="1:2" x14ac:dyDescent="0.25">
      <c r="A987" s="2"/>
      <c r="B987" s="3"/>
    </row>
    <row r="988" spans="1:2" x14ac:dyDescent="0.25">
      <c r="A988" s="2"/>
      <c r="B988" s="3"/>
    </row>
    <row r="989" spans="1:2" x14ac:dyDescent="0.25">
      <c r="A989" s="2"/>
      <c r="B989" s="3"/>
    </row>
    <row r="990" spans="1:2" x14ac:dyDescent="0.25">
      <c r="A990" s="2"/>
      <c r="B990" s="3"/>
    </row>
    <row r="991" spans="1:2" x14ac:dyDescent="0.25">
      <c r="A991" s="2"/>
      <c r="B991" s="3"/>
    </row>
    <row r="992" spans="1:2" x14ac:dyDescent="0.25">
      <c r="A992" s="2"/>
      <c r="B992" s="3"/>
    </row>
    <row r="993" spans="1:2" x14ac:dyDescent="0.25">
      <c r="A993" s="2"/>
      <c r="B993" s="3"/>
    </row>
    <row r="994" spans="1:2" x14ac:dyDescent="0.25">
      <c r="A994" s="2"/>
      <c r="B994" s="3"/>
    </row>
    <row r="995" spans="1:2" x14ac:dyDescent="0.25">
      <c r="A995" s="2"/>
      <c r="B995" s="3"/>
    </row>
    <row r="996" spans="1:2" x14ac:dyDescent="0.25">
      <c r="A996" s="2"/>
      <c r="B996" s="3"/>
    </row>
    <row r="997" spans="1:2" x14ac:dyDescent="0.25">
      <c r="A997" s="2"/>
      <c r="B997" s="3"/>
    </row>
    <row r="998" spans="1:2" x14ac:dyDescent="0.25">
      <c r="A998" s="2"/>
      <c r="B998" s="3"/>
    </row>
    <row r="999" spans="1:2" x14ac:dyDescent="0.25">
      <c r="A999" s="2"/>
      <c r="B999" s="3"/>
    </row>
    <row r="1000" spans="1:2" x14ac:dyDescent="0.25">
      <c r="A1000" s="2"/>
      <c r="B1000" s="3"/>
    </row>
    <row r="1001" spans="1:2" x14ac:dyDescent="0.25">
      <c r="A1001" s="2"/>
      <c r="B1001" s="3"/>
    </row>
    <row r="1002" spans="1:2" x14ac:dyDescent="0.25">
      <c r="A1002" s="2"/>
      <c r="B1002" s="3"/>
    </row>
    <row r="1003" spans="1:2" x14ac:dyDescent="0.25">
      <c r="A1003" s="2"/>
      <c r="B1003" s="3"/>
    </row>
    <row r="1004" spans="1:2" x14ac:dyDescent="0.25">
      <c r="A1004" s="2"/>
      <c r="B1004" s="3"/>
    </row>
    <row r="1005" spans="1:2" x14ac:dyDescent="0.25">
      <c r="A1005" s="2"/>
      <c r="B1005" s="3"/>
    </row>
    <row r="1006" spans="1:2" x14ac:dyDescent="0.25">
      <c r="A1006" s="2"/>
      <c r="B1006" s="3"/>
    </row>
    <row r="1007" spans="1:2" x14ac:dyDescent="0.25">
      <c r="A1007" s="2"/>
      <c r="B1007" s="3"/>
    </row>
    <row r="1008" spans="1:2" x14ac:dyDescent="0.25">
      <c r="A1008" s="2"/>
      <c r="B1008" s="3"/>
    </row>
    <row r="1009" spans="1:2" x14ac:dyDescent="0.25">
      <c r="A1009" s="2"/>
      <c r="B1009" s="3"/>
    </row>
    <row r="1010" spans="1:2" x14ac:dyDescent="0.25">
      <c r="A1010" s="2"/>
      <c r="B1010" s="3"/>
    </row>
    <row r="1011" spans="1:2" x14ac:dyDescent="0.25">
      <c r="A1011" s="2"/>
      <c r="B1011" s="3"/>
    </row>
    <row r="1012" spans="1:2" x14ac:dyDescent="0.25">
      <c r="A1012" s="2"/>
      <c r="B1012" s="3"/>
    </row>
    <row r="1013" spans="1:2" x14ac:dyDescent="0.25">
      <c r="A1013" s="2"/>
      <c r="B1013" s="3"/>
    </row>
    <row r="1014" spans="1:2" x14ac:dyDescent="0.25">
      <c r="A1014" s="2"/>
      <c r="B1014" s="3"/>
    </row>
    <row r="1015" spans="1:2" x14ac:dyDescent="0.25">
      <c r="A1015" s="2"/>
      <c r="B1015" s="3"/>
    </row>
    <row r="1016" spans="1:2" x14ac:dyDescent="0.25">
      <c r="A1016" s="2"/>
      <c r="B1016" s="3"/>
    </row>
    <row r="1017" spans="1:2" x14ac:dyDescent="0.25">
      <c r="A1017" s="2"/>
      <c r="B1017" s="3"/>
    </row>
    <row r="1018" spans="1:2" x14ac:dyDescent="0.25">
      <c r="A1018" s="2"/>
      <c r="B1018" s="3"/>
    </row>
    <row r="1019" spans="1:2" x14ac:dyDescent="0.25">
      <c r="A1019" s="2"/>
      <c r="B1019" s="3"/>
    </row>
    <row r="1020" spans="1:2" x14ac:dyDescent="0.25">
      <c r="A1020" s="2"/>
      <c r="B1020" s="3"/>
    </row>
    <row r="1021" spans="1:2" x14ac:dyDescent="0.25">
      <c r="A1021" s="2"/>
      <c r="B1021" s="3"/>
    </row>
    <row r="1022" spans="1:2" x14ac:dyDescent="0.25">
      <c r="A1022" s="2"/>
      <c r="B1022" s="3"/>
    </row>
    <row r="1023" spans="1:2" x14ac:dyDescent="0.25">
      <c r="A1023" s="2"/>
      <c r="B1023" s="3"/>
    </row>
    <row r="1024" spans="1:2" x14ac:dyDescent="0.25">
      <c r="A1024" s="2"/>
      <c r="B1024" s="3"/>
    </row>
    <row r="1025" spans="1:2" x14ac:dyDescent="0.25">
      <c r="A1025" s="2"/>
      <c r="B1025" s="3"/>
    </row>
    <row r="1026" spans="1:2" x14ac:dyDescent="0.25">
      <c r="A1026" s="2"/>
      <c r="B1026" s="3"/>
    </row>
    <row r="1027" spans="1:2" x14ac:dyDescent="0.25">
      <c r="A1027" s="2"/>
      <c r="B1027" s="3"/>
    </row>
    <row r="1028" spans="1:2" x14ac:dyDescent="0.25">
      <c r="A1028" s="2"/>
      <c r="B1028" s="3"/>
    </row>
    <row r="1029" spans="1:2" x14ac:dyDescent="0.25">
      <c r="A1029" s="2"/>
      <c r="B1029" s="3"/>
    </row>
    <row r="1030" spans="1:2" x14ac:dyDescent="0.25">
      <c r="A1030" s="2"/>
      <c r="B1030" s="3"/>
    </row>
    <row r="1031" spans="1:2" x14ac:dyDescent="0.25">
      <c r="A1031" s="2"/>
      <c r="B1031" s="3"/>
    </row>
    <row r="1032" spans="1:2" x14ac:dyDescent="0.25">
      <c r="A1032" s="2"/>
      <c r="B1032" s="3"/>
    </row>
    <row r="1033" spans="1:2" x14ac:dyDescent="0.25">
      <c r="A1033" s="2"/>
      <c r="B1033" s="3"/>
    </row>
    <row r="1034" spans="1:2" x14ac:dyDescent="0.25">
      <c r="A1034" s="2"/>
      <c r="B1034" s="3"/>
    </row>
    <row r="1035" spans="1:2" x14ac:dyDescent="0.25">
      <c r="A1035" s="2"/>
      <c r="B1035" s="3"/>
    </row>
    <row r="1036" spans="1:2" x14ac:dyDescent="0.25">
      <c r="A1036" s="2"/>
      <c r="B1036" s="3"/>
    </row>
    <row r="1037" spans="1:2" x14ac:dyDescent="0.25">
      <c r="A1037" s="2"/>
      <c r="B1037" s="3"/>
    </row>
    <row r="1038" spans="1:2" x14ac:dyDescent="0.25">
      <c r="A1038" s="2"/>
      <c r="B1038" s="3"/>
    </row>
    <row r="1039" spans="1:2" x14ac:dyDescent="0.25">
      <c r="A1039" s="2"/>
      <c r="B1039" s="3"/>
    </row>
    <row r="1040" spans="1:2" x14ac:dyDescent="0.25">
      <c r="A1040" s="2"/>
      <c r="B1040" s="3"/>
    </row>
    <row r="1041" spans="1:2" x14ac:dyDescent="0.25">
      <c r="A1041" s="2"/>
      <c r="B1041" s="3"/>
    </row>
    <row r="1042" spans="1:2" x14ac:dyDescent="0.25">
      <c r="A1042" s="2"/>
      <c r="B1042" s="3"/>
    </row>
    <row r="1043" spans="1:2" x14ac:dyDescent="0.25">
      <c r="A1043" s="2"/>
      <c r="B1043" s="3"/>
    </row>
    <row r="1044" spans="1:2" x14ac:dyDescent="0.25">
      <c r="A1044" s="2"/>
      <c r="B1044" s="3"/>
    </row>
    <row r="1045" spans="1:2" x14ac:dyDescent="0.25">
      <c r="A1045" s="2"/>
      <c r="B1045" s="3"/>
    </row>
    <row r="1046" spans="1:2" x14ac:dyDescent="0.25">
      <c r="A1046" s="2"/>
      <c r="B1046" s="3"/>
    </row>
    <row r="1047" spans="1:2" x14ac:dyDescent="0.25">
      <c r="A1047" s="2"/>
      <c r="B1047" s="3"/>
    </row>
    <row r="1048" spans="1:2" x14ac:dyDescent="0.25">
      <c r="A1048" s="2"/>
      <c r="B1048" s="3"/>
    </row>
    <row r="1049" spans="1:2" x14ac:dyDescent="0.25">
      <c r="A1049" s="2"/>
      <c r="B1049" s="3"/>
    </row>
    <row r="1050" spans="1:2" x14ac:dyDescent="0.25">
      <c r="A1050" s="2"/>
      <c r="B1050" s="3"/>
    </row>
    <row r="1051" spans="1:2" x14ac:dyDescent="0.25">
      <c r="A1051" s="2"/>
      <c r="B1051" s="3"/>
    </row>
    <row r="1052" spans="1:2" x14ac:dyDescent="0.25">
      <c r="A1052" s="2"/>
      <c r="B1052" s="3"/>
    </row>
    <row r="1053" spans="1:2" x14ac:dyDescent="0.25">
      <c r="A1053" s="2"/>
      <c r="B1053" s="3"/>
    </row>
    <row r="1054" spans="1:2" x14ac:dyDescent="0.25">
      <c r="A1054" s="2"/>
      <c r="B1054" s="3"/>
    </row>
    <row r="1055" spans="1:2" x14ac:dyDescent="0.25">
      <c r="A1055" s="2"/>
      <c r="B1055" s="3"/>
    </row>
    <row r="1056" spans="1:2" x14ac:dyDescent="0.25">
      <c r="A1056" s="2"/>
      <c r="B1056" s="3"/>
    </row>
    <row r="1057" spans="1:2" x14ac:dyDescent="0.25">
      <c r="A1057" s="2"/>
      <c r="B1057" s="3"/>
    </row>
    <row r="1058" spans="1:2" x14ac:dyDescent="0.25">
      <c r="A1058" s="2"/>
      <c r="B1058" s="3"/>
    </row>
    <row r="1059" spans="1:2" x14ac:dyDescent="0.25">
      <c r="A1059" s="2"/>
      <c r="B1059" s="3"/>
    </row>
    <row r="1060" spans="1:2" x14ac:dyDescent="0.25">
      <c r="A1060" s="2"/>
      <c r="B1060" s="3"/>
    </row>
    <row r="1061" spans="1:2" x14ac:dyDescent="0.25">
      <c r="A1061" s="2"/>
      <c r="B1061" s="3"/>
    </row>
    <row r="1062" spans="1:2" x14ac:dyDescent="0.25">
      <c r="A1062" s="2"/>
      <c r="B1062" s="3"/>
    </row>
    <row r="1063" spans="1:2" x14ac:dyDescent="0.25">
      <c r="A1063" s="2"/>
      <c r="B1063" s="3"/>
    </row>
    <row r="1064" spans="1:2" x14ac:dyDescent="0.25">
      <c r="A1064" s="2"/>
      <c r="B1064" s="3"/>
    </row>
    <row r="1065" spans="1:2" x14ac:dyDescent="0.25">
      <c r="A1065" s="2"/>
      <c r="B1065" s="3"/>
    </row>
    <row r="1066" spans="1:2" x14ac:dyDescent="0.25">
      <c r="A1066" s="2"/>
      <c r="B1066" s="3"/>
    </row>
    <row r="1067" spans="1:2" x14ac:dyDescent="0.25">
      <c r="A1067" s="2"/>
      <c r="B1067" s="3"/>
    </row>
    <row r="1068" spans="1:2" x14ac:dyDescent="0.25">
      <c r="A1068" s="2"/>
      <c r="B1068" s="3"/>
    </row>
    <row r="1069" spans="1:2" x14ac:dyDescent="0.25">
      <c r="A1069" s="2"/>
      <c r="B1069" s="3"/>
    </row>
    <row r="1070" spans="1:2" x14ac:dyDescent="0.25">
      <c r="A1070" s="2"/>
      <c r="B1070" s="3"/>
    </row>
    <row r="1071" spans="1:2" x14ac:dyDescent="0.25">
      <c r="A1071" s="2"/>
      <c r="B1071" s="3"/>
    </row>
    <row r="1072" spans="1:2" x14ac:dyDescent="0.25">
      <c r="A1072" s="2"/>
      <c r="B1072" s="3"/>
    </row>
    <row r="1073" spans="1:2" x14ac:dyDescent="0.25">
      <c r="A1073" s="2"/>
      <c r="B1073" s="3"/>
    </row>
    <row r="1074" spans="1:2" x14ac:dyDescent="0.25">
      <c r="A1074" s="2"/>
      <c r="B1074" s="3"/>
    </row>
    <row r="1075" spans="1:2" x14ac:dyDescent="0.25">
      <c r="A1075" s="2"/>
      <c r="B1075" s="3"/>
    </row>
    <row r="1076" spans="1:2" x14ac:dyDescent="0.25">
      <c r="A1076" s="2"/>
      <c r="B1076" s="3"/>
    </row>
    <row r="1077" spans="1:2" x14ac:dyDescent="0.25">
      <c r="A1077" s="2"/>
      <c r="B1077" s="3"/>
    </row>
    <row r="1078" spans="1:2" x14ac:dyDescent="0.25">
      <c r="A1078" s="2"/>
      <c r="B1078" s="3"/>
    </row>
    <row r="1079" spans="1:2" x14ac:dyDescent="0.25">
      <c r="A1079" s="2"/>
      <c r="B1079" s="3"/>
    </row>
    <row r="1080" spans="1:2" x14ac:dyDescent="0.25">
      <c r="A1080" s="2"/>
      <c r="B1080" s="3"/>
    </row>
    <row r="1081" spans="1:2" x14ac:dyDescent="0.25">
      <c r="A1081" s="2"/>
      <c r="B1081" s="3"/>
    </row>
    <row r="1082" spans="1:2" x14ac:dyDescent="0.25">
      <c r="A1082" s="2"/>
      <c r="B1082" s="3"/>
    </row>
    <row r="1083" spans="1:2" x14ac:dyDescent="0.25">
      <c r="A1083" s="2"/>
      <c r="B1083" s="3"/>
    </row>
    <row r="1084" spans="1:2" x14ac:dyDescent="0.25">
      <c r="A1084" s="2"/>
      <c r="B1084" s="3"/>
    </row>
    <row r="1085" spans="1:2" x14ac:dyDescent="0.25">
      <c r="A1085" s="2"/>
      <c r="B1085" s="3"/>
    </row>
    <row r="1086" spans="1:2" x14ac:dyDescent="0.25">
      <c r="A1086" s="2"/>
      <c r="B1086" s="3"/>
    </row>
    <row r="1087" spans="1:2" x14ac:dyDescent="0.25">
      <c r="A1087" s="2"/>
      <c r="B1087" s="3"/>
    </row>
    <row r="1088" spans="1:2" x14ac:dyDescent="0.25">
      <c r="A1088" s="2"/>
      <c r="B1088" s="3"/>
    </row>
    <row r="1089" spans="1:2" x14ac:dyDescent="0.25">
      <c r="A1089" s="2"/>
      <c r="B1089" s="3"/>
    </row>
    <row r="1090" spans="1:2" x14ac:dyDescent="0.25">
      <c r="A1090" s="2"/>
      <c r="B1090" s="3"/>
    </row>
    <row r="1091" spans="1:2" x14ac:dyDescent="0.25">
      <c r="A1091" s="2"/>
      <c r="B1091" s="3"/>
    </row>
    <row r="1092" spans="1:2" x14ac:dyDescent="0.25">
      <c r="A1092" s="2"/>
      <c r="B1092" s="3"/>
    </row>
    <row r="1093" spans="1:2" x14ac:dyDescent="0.25">
      <c r="A1093" s="2"/>
      <c r="B1093" s="3"/>
    </row>
    <row r="1094" spans="1:2" x14ac:dyDescent="0.25">
      <c r="A1094" s="2"/>
      <c r="B1094" s="3"/>
    </row>
    <row r="1095" spans="1:2" x14ac:dyDescent="0.25">
      <c r="A1095" s="2"/>
      <c r="B1095" s="3"/>
    </row>
    <row r="1096" spans="1:2" x14ac:dyDescent="0.25">
      <c r="A1096" s="2"/>
      <c r="B1096" s="3"/>
    </row>
    <row r="1097" spans="1:2" x14ac:dyDescent="0.25">
      <c r="A1097" s="2"/>
      <c r="B1097" s="3"/>
    </row>
    <row r="1098" spans="1:2" x14ac:dyDescent="0.25">
      <c r="A1098" s="2"/>
      <c r="B1098" s="3"/>
    </row>
    <row r="1099" spans="1:2" x14ac:dyDescent="0.25">
      <c r="A1099" s="2"/>
      <c r="B1099" s="3"/>
    </row>
    <row r="1100" spans="1:2" x14ac:dyDescent="0.25">
      <c r="A1100" s="2"/>
      <c r="B1100" s="3"/>
    </row>
    <row r="1101" spans="1:2" x14ac:dyDescent="0.25">
      <c r="A1101" s="2"/>
      <c r="B1101" s="3"/>
    </row>
    <row r="1102" spans="1:2" x14ac:dyDescent="0.25">
      <c r="A1102" s="2"/>
      <c r="B1102" s="3"/>
    </row>
    <row r="1103" spans="1:2" x14ac:dyDescent="0.25">
      <c r="A1103" s="2"/>
      <c r="B1103" s="3"/>
    </row>
    <row r="1104" spans="1:2" x14ac:dyDescent="0.25">
      <c r="A1104" s="2"/>
      <c r="B1104" s="3"/>
    </row>
    <row r="1105" spans="1:2" x14ac:dyDescent="0.25">
      <c r="A1105" s="2"/>
      <c r="B1105" s="3"/>
    </row>
    <row r="1106" spans="1:2" x14ac:dyDescent="0.25">
      <c r="A1106" s="2"/>
      <c r="B1106" s="3"/>
    </row>
    <row r="1107" spans="1:2" x14ac:dyDescent="0.25">
      <c r="A1107" s="2"/>
      <c r="B1107" s="3"/>
    </row>
    <row r="1108" spans="1:2" x14ac:dyDescent="0.25">
      <c r="A1108" s="2"/>
      <c r="B1108" s="3"/>
    </row>
    <row r="1109" spans="1:2" x14ac:dyDescent="0.25">
      <c r="A1109" s="2"/>
      <c r="B1109" s="3"/>
    </row>
    <row r="1110" spans="1:2" x14ac:dyDescent="0.25">
      <c r="A1110" s="2"/>
      <c r="B1110" s="3"/>
    </row>
    <row r="1111" spans="1:2" x14ac:dyDescent="0.25">
      <c r="A1111" s="2"/>
      <c r="B1111" s="3"/>
    </row>
    <row r="1112" spans="1:2" x14ac:dyDescent="0.25">
      <c r="A1112" s="2"/>
      <c r="B1112" s="3"/>
    </row>
    <row r="1113" spans="1:2" x14ac:dyDescent="0.25">
      <c r="A1113" s="2"/>
      <c r="B1113" s="3"/>
    </row>
    <row r="1114" spans="1:2" x14ac:dyDescent="0.25">
      <c r="A1114" s="2"/>
      <c r="B1114" s="3"/>
    </row>
    <row r="1115" spans="1:2" x14ac:dyDescent="0.25">
      <c r="A1115" s="2"/>
      <c r="B1115" s="3"/>
    </row>
    <row r="1116" spans="1:2" x14ac:dyDescent="0.25">
      <c r="A1116" s="2"/>
      <c r="B1116" s="3"/>
    </row>
    <row r="1117" spans="1:2" x14ac:dyDescent="0.25">
      <c r="A1117" s="2"/>
      <c r="B1117" s="3"/>
    </row>
    <row r="1118" spans="1:2" x14ac:dyDescent="0.25">
      <c r="A1118" s="2"/>
      <c r="B1118" s="3"/>
    </row>
    <row r="1119" spans="1:2" x14ac:dyDescent="0.25">
      <c r="A1119" s="2"/>
      <c r="B1119" s="3"/>
    </row>
    <row r="1120" spans="1:2" x14ac:dyDescent="0.25">
      <c r="A1120" s="2"/>
      <c r="B1120" s="3"/>
    </row>
    <row r="1121" spans="1:2" x14ac:dyDescent="0.25">
      <c r="A1121" s="2"/>
      <c r="B1121" s="3"/>
    </row>
    <row r="1122" spans="1:2" x14ac:dyDescent="0.25">
      <c r="A1122" s="2"/>
      <c r="B1122" s="3"/>
    </row>
    <row r="1123" spans="1:2" x14ac:dyDescent="0.25">
      <c r="A1123" s="2"/>
      <c r="B1123" s="3"/>
    </row>
    <row r="1124" spans="1:2" x14ac:dyDescent="0.25">
      <c r="A1124" s="2"/>
      <c r="B1124" s="3"/>
    </row>
    <row r="1125" spans="1:2" x14ac:dyDescent="0.25">
      <c r="A1125" s="2"/>
      <c r="B1125" s="3"/>
    </row>
    <row r="1126" spans="1:2" x14ac:dyDescent="0.25">
      <c r="A1126" s="2"/>
      <c r="B1126" s="3"/>
    </row>
    <row r="1127" spans="1:2" x14ac:dyDescent="0.25">
      <c r="A1127" s="2"/>
      <c r="B1127" s="3"/>
    </row>
    <row r="1128" spans="1:2" x14ac:dyDescent="0.25">
      <c r="A1128" s="2"/>
      <c r="B1128" s="3"/>
    </row>
    <row r="1129" spans="1:2" x14ac:dyDescent="0.25">
      <c r="A1129" s="2"/>
      <c r="B1129" s="3"/>
    </row>
    <row r="1130" spans="1:2" x14ac:dyDescent="0.25">
      <c r="A1130" s="2"/>
      <c r="B1130" s="3"/>
    </row>
    <row r="1131" spans="1:2" x14ac:dyDescent="0.25">
      <c r="A1131" s="2"/>
      <c r="B1131" s="3"/>
    </row>
    <row r="1132" spans="1:2" x14ac:dyDescent="0.25">
      <c r="A1132" s="2"/>
      <c r="B1132" s="3"/>
    </row>
    <row r="1133" spans="1:2" x14ac:dyDescent="0.25">
      <c r="A1133" s="2"/>
      <c r="B1133" s="3"/>
    </row>
    <row r="1134" spans="1:2" x14ac:dyDescent="0.25">
      <c r="A1134" s="2"/>
      <c r="B1134" s="3"/>
    </row>
    <row r="1135" spans="1:2" x14ac:dyDescent="0.25">
      <c r="A1135" s="2"/>
      <c r="B1135" s="3"/>
    </row>
    <row r="1136" spans="1:2" x14ac:dyDescent="0.25">
      <c r="A1136" s="2"/>
      <c r="B1136" s="3"/>
    </row>
    <row r="1137" spans="1:2" x14ac:dyDescent="0.25">
      <c r="A1137" s="2"/>
      <c r="B1137" s="3"/>
    </row>
    <row r="1138" spans="1:2" x14ac:dyDescent="0.25">
      <c r="A1138" s="2"/>
      <c r="B1138" s="3"/>
    </row>
    <row r="1139" spans="1:2" x14ac:dyDescent="0.25">
      <c r="A1139" s="2"/>
      <c r="B1139" s="3"/>
    </row>
    <row r="1140" spans="1:2" x14ac:dyDescent="0.25">
      <c r="A1140" s="2"/>
      <c r="B1140" s="3"/>
    </row>
    <row r="1141" spans="1:2" x14ac:dyDescent="0.25">
      <c r="A1141" s="2"/>
      <c r="B1141" s="3"/>
    </row>
    <row r="1142" spans="1:2" x14ac:dyDescent="0.25">
      <c r="A1142" s="2"/>
      <c r="B1142" s="3"/>
    </row>
    <row r="1143" spans="1:2" x14ac:dyDescent="0.25">
      <c r="A1143" s="2"/>
      <c r="B1143" s="3"/>
    </row>
    <row r="1144" spans="1:2" x14ac:dyDescent="0.25">
      <c r="A1144" s="2"/>
      <c r="B1144" s="3"/>
    </row>
    <row r="1145" spans="1:2" x14ac:dyDescent="0.25">
      <c r="A1145" s="2"/>
      <c r="B1145" s="3"/>
    </row>
    <row r="1146" spans="1:2" x14ac:dyDescent="0.25">
      <c r="A1146" s="2"/>
      <c r="B1146" s="3"/>
    </row>
    <row r="1147" spans="1:2" x14ac:dyDescent="0.25">
      <c r="A1147" s="2"/>
      <c r="B1147" s="3"/>
    </row>
    <row r="1148" spans="1:2" x14ac:dyDescent="0.25">
      <c r="A1148" s="2"/>
      <c r="B1148" s="3"/>
    </row>
    <row r="1149" spans="1:2" x14ac:dyDescent="0.25">
      <c r="A1149" s="2"/>
      <c r="B1149" s="3"/>
    </row>
    <row r="1150" spans="1:2" x14ac:dyDescent="0.25">
      <c r="A1150" s="2"/>
      <c r="B1150" s="3"/>
    </row>
    <row r="1151" spans="1:2" x14ac:dyDescent="0.25">
      <c r="A1151" s="2"/>
      <c r="B1151" s="3"/>
    </row>
    <row r="1152" spans="1:2" x14ac:dyDescent="0.25">
      <c r="A1152" s="2"/>
      <c r="B1152" s="3"/>
    </row>
    <row r="1153" spans="1:2" x14ac:dyDescent="0.25">
      <c r="A1153" s="2"/>
      <c r="B1153" s="3"/>
    </row>
    <row r="1154" spans="1:2" x14ac:dyDescent="0.25">
      <c r="A1154" s="2"/>
      <c r="B1154" s="3"/>
    </row>
    <row r="1155" spans="1:2" x14ac:dyDescent="0.25">
      <c r="A1155" s="2"/>
      <c r="B1155" s="3"/>
    </row>
    <row r="1156" spans="1:2" x14ac:dyDescent="0.25">
      <c r="A1156" s="2"/>
      <c r="B1156" s="3"/>
    </row>
    <row r="1157" spans="1:2" x14ac:dyDescent="0.25">
      <c r="A1157" s="2"/>
      <c r="B1157" s="3"/>
    </row>
    <row r="1158" spans="1:2" x14ac:dyDescent="0.25">
      <c r="A1158" s="2"/>
      <c r="B1158" s="3"/>
    </row>
    <row r="1159" spans="1:2" x14ac:dyDescent="0.25">
      <c r="A1159" s="2"/>
      <c r="B1159" s="3"/>
    </row>
    <row r="1160" spans="1:2" x14ac:dyDescent="0.25">
      <c r="A1160" s="2"/>
      <c r="B1160" s="3"/>
    </row>
    <row r="1161" spans="1:2" x14ac:dyDescent="0.25">
      <c r="A1161" s="2"/>
      <c r="B1161" s="3"/>
    </row>
    <row r="1162" spans="1:2" x14ac:dyDescent="0.25">
      <c r="A1162" s="2"/>
      <c r="B1162" s="3"/>
    </row>
    <row r="1163" spans="1:2" x14ac:dyDescent="0.25">
      <c r="A1163" s="2"/>
      <c r="B1163" s="3"/>
    </row>
    <row r="1164" spans="1:2" x14ac:dyDescent="0.25">
      <c r="A1164" s="2"/>
      <c r="B1164" s="3"/>
    </row>
    <row r="1165" spans="1:2" x14ac:dyDescent="0.25">
      <c r="A1165" s="2"/>
      <c r="B1165" s="3"/>
    </row>
    <row r="1166" spans="1:2" x14ac:dyDescent="0.25">
      <c r="A1166" s="2"/>
      <c r="B1166" s="3"/>
    </row>
    <row r="1167" spans="1:2" x14ac:dyDescent="0.25">
      <c r="A1167" s="2"/>
      <c r="B1167" s="3"/>
    </row>
    <row r="1168" spans="1:2" x14ac:dyDescent="0.25">
      <c r="A1168" s="2"/>
      <c r="B1168" s="3"/>
    </row>
    <row r="1169" spans="1:2" x14ac:dyDescent="0.25">
      <c r="A1169" s="2"/>
      <c r="B1169" s="3"/>
    </row>
    <row r="1170" spans="1:2" x14ac:dyDescent="0.25">
      <c r="A1170" s="2"/>
      <c r="B1170" s="3"/>
    </row>
    <row r="1171" spans="1:2" x14ac:dyDescent="0.25">
      <c r="A1171" s="2"/>
      <c r="B1171" s="3"/>
    </row>
    <row r="1172" spans="1:2" x14ac:dyDescent="0.25">
      <c r="A1172" s="2"/>
      <c r="B1172" s="3"/>
    </row>
    <row r="1173" spans="1:2" x14ac:dyDescent="0.25">
      <c r="A1173" s="2"/>
      <c r="B1173" s="3"/>
    </row>
    <row r="1174" spans="1:2" x14ac:dyDescent="0.25">
      <c r="A1174" s="2"/>
      <c r="B1174" s="3"/>
    </row>
    <row r="1175" spans="1:2" x14ac:dyDescent="0.25">
      <c r="A1175" s="2"/>
      <c r="B1175" s="3"/>
    </row>
    <row r="1176" spans="1:2" x14ac:dyDescent="0.25">
      <c r="A1176" s="2"/>
      <c r="B1176" s="3"/>
    </row>
    <row r="1177" spans="1:2" x14ac:dyDescent="0.25">
      <c r="A1177" s="2"/>
      <c r="B1177" s="3"/>
    </row>
    <row r="1178" spans="1:2" x14ac:dyDescent="0.25">
      <c r="A1178" s="2"/>
      <c r="B1178" s="3"/>
    </row>
    <row r="1179" spans="1:2" x14ac:dyDescent="0.25">
      <c r="A1179" s="2"/>
      <c r="B1179" s="3"/>
    </row>
    <row r="1180" spans="1:2" x14ac:dyDescent="0.25">
      <c r="A1180" s="2"/>
      <c r="B1180" s="3"/>
    </row>
    <row r="1181" spans="1:2" x14ac:dyDescent="0.25">
      <c r="A1181" s="2"/>
      <c r="B1181" s="3"/>
    </row>
    <row r="1182" spans="1:2" x14ac:dyDescent="0.25">
      <c r="A1182" s="2"/>
      <c r="B1182" s="3"/>
    </row>
    <row r="1183" spans="1:2" x14ac:dyDescent="0.25">
      <c r="A1183" s="2"/>
      <c r="B1183" s="3"/>
    </row>
    <row r="1184" spans="1:2" x14ac:dyDescent="0.25">
      <c r="A1184" s="2"/>
      <c r="B1184" s="3"/>
    </row>
    <row r="1185" spans="1:2" x14ac:dyDescent="0.25">
      <c r="A1185" s="2"/>
      <c r="B1185" s="3"/>
    </row>
    <row r="1186" spans="1:2" x14ac:dyDescent="0.25">
      <c r="A1186" s="2"/>
      <c r="B1186" s="3"/>
    </row>
    <row r="1187" spans="1:2" x14ac:dyDescent="0.25">
      <c r="A1187" s="2"/>
      <c r="B1187" s="3"/>
    </row>
    <row r="1188" spans="1:2" x14ac:dyDescent="0.25">
      <c r="A1188" s="2"/>
      <c r="B1188" s="3"/>
    </row>
    <row r="1189" spans="1:2" x14ac:dyDescent="0.25">
      <c r="A1189" s="2"/>
      <c r="B1189" s="3"/>
    </row>
    <row r="1190" spans="1:2" x14ac:dyDescent="0.25">
      <c r="A1190" s="2"/>
      <c r="B1190" s="3"/>
    </row>
    <row r="1191" spans="1:2" x14ac:dyDescent="0.25">
      <c r="A1191" s="2"/>
      <c r="B1191" s="3"/>
    </row>
    <row r="1192" spans="1:2" x14ac:dyDescent="0.25">
      <c r="A1192" s="2"/>
      <c r="B1192" s="3"/>
    </row>
    <row r="1193" spans="1:2" x14ac:dyDescent="0.25">
      <c r="A1193" s="2"/>
      <c r="B1193" s="3"/>
    </row>
    <row r="1194" spans="1:2" x14ac:dyDescent="0.25">
      <c r="A1194" s="2"/>
      <c r="B1194" s="3"/>
    </row>
    <row r="1195" spans="1:2" x14ac:dyDescent="0.25">
      <c r="A1195" s="2"/>
      <c r="B1195" s="3"/>
    </row>
    <row r="1196" spans="1:2" x14ac:dyDescent="0.25">
      <c r="A1196" s="2"/>
      <c r="B1196" s="3"/>
    </row>
    <row r="1197" spans="1:2" x14ac:dyDescent="0.25">
      <c r="A1197" s="2"/>
      <c r="B1197" s="3"/>
    </row>
    <row r="1198" spans="1:2" x14ac:dyDescent="0.25">
      <c r="A1198" s="2"/>
      <c r="B1198" s="3"/>
    </row>
    <row r="1199" spans="1:2" x14ac:dyDescent="0.25">
      <c r="A1199" s="2"/>
      <c r="B1199" s="3"/>
    </row>
    <row r="1200" spans="1:2" x14ac:dyDescent="0.25">
      <c r="A1200" s="2"/>
      <c r="B1200" s="3"/>
    </row>
    <row r="1201" spans="1:2" x14ac:dyDescent="0.25">
      <c r="A1201" s="2"/>
      <c r="B1201" s="3"/>
    </row>
    <row r="1202" spans="1:2" x14ac:dyDescent="0.25">
      <c r="A1202" s="2"/>
      <c r="B1202" s="3"/>
    </row>
    <row r="1203" spans="1:2" x14ac:dyDescent="0.25">
      <c r="A1203" s="2"/>
      <c r="B1203" s="3"/>
    </row>
    <row r="1204" spans="1:2" x14ac:dyDescent="0.25">
      <c r="A1204" s="2"/>
      <c r="B1204" s="3"/>
    </row>
    <row r="1205" spans="1:2" x14ac:dyDescent="0.25">
      <c r="A1205" s="2"/>
      <c r="B1205" s="3"/>
    </row>
    <row r="1206" spans="1:2" x14ac:dyDescent="0.25">
      <c r="A1206" s="2"/>
      <c r="B1206" s="3"/>
    </row>
    <row r="1207" spans="1:2" x14ac:dyDescent="0.25">
      <c r="A1207" s="2"/>
      <c r="B1207" s="3"/>
    </row>
    <row r="1208" spans="1:2" x14ac:dyDescent="0.25">
      <c r="A1208" s="2"/>
      <c r="B1208" s="3"/>
    </row>
    <row r="1209" spans="1:2" x14ac:dyDescent="0.25">
      <c r="A1209" s="2"/>
      <c r="B1209" s="3"/>
    </row>
    <row r="1210" spans="1:2" x14ac:dyDescent="0.25">
      <c r="A1210" s="2"/>
      <c r="B1210" s="3"/>
    </row>
    <row r="1211" spans="1:2" x14ac:dyDescent="0.25">
      <c r="A1211" s="2"/>
      <c r="B1211" s="3"/>
    </row>
    <row r="1212" spans="1:2" x14ac:dyDescent="0.25">
      <c r="A1212" s="2"/>
      <c r="B1212" s="3"/>
    </row>
    <row r="1213" spans="1:2" x14ac:dyDescent="0.25">
      <c r="A1213" s="2"/>
      <c r="B1213" s="3"/>
    </row>
    <row r="1214" spans="1:2" x14ac:dyDescent="0.25">
      <c r="A1214" s="2"/>
      <c r="B1214" s="3"/>
    </row>
    <row r="1215" spans="1:2" x14ac:dyDescent="0.25">
      <c r="A1215" s="2"/>
      <c r="B1215" s="3"/>
    </row>
    <row r="1216" spans="1:2" x14ac:dyDescent="0.25">
      <c r="A1216" s="2"/>
      <c r="B1216" s="3"/>
    </row>
    <row r="1217" spans="1:2" x14ac:dyDescent="0.25">
      <c r="A1217" s="2"/>
      <c r="B1217" s="3"/>
    </row>
    <row r="1218" spans="1:2" x14ac:dyDescent="0.25">
      <c r="A1218" s="2"/>
      <c r="B1218" s="3"/>
    </row>
    <row r="1219" spans="1:2" x14ac:dyDescent="0.25">
      <c r="A1219" s="2"/>
      <c r="B1219" s="3"/>
    </row>
    <row r="1220" spans="1:2" x14ac:dyDescent="0.25">
      <c r="A1220" s="2"/>
      <c r="B1220" s="3"/>
    </row>
    <row r="1221" spans="1:2" x14ac:dyDescent="0.25">
      <c r="A1221" s="2"/>
      <c r="B1221" s="3"/>
    </row>
    <row r="1222" spans="1:2" x14ac:dyDescent="0.25">
      <c r="A1222" s="2"/>
      <c r="B1222" s="3"/>
    </row>
    <row r="1223" spans="1:2" x14ac:dyDescent="0.25">
      <c r="A1223" s="2"/>
      <c r="B1223" s="3"/>
    </row>
    <row r="1224" spans="1:2" x14ac:dyDescent="0.25">
      <c r="A1224" s="2"/>
      <c r="B1224" s="3"/>
    </row>
    <row r="1225" spans="1:2" x14ac:dyDescent="0.25">
      <c r="A1225" s="2"/>
      <c r="B1225" s="3"/>
    </row>
    <row r="1226" spans="1:2" x14ac:dyDescent="0.25">
      <c r="A1226" s="2"/>
      <c r="B1226" s="3"/>
    </row>
    <row r="1227" spans="1:2" x14ac:dyDescent="0.25">
      <c r="A1227" s="2"/>
      <c r="B1227" s="3"/>
    </row>
    <row r="1228" spans="1:2" x14ac:dyDescent="0.25">
      <c r="A1228" s="2"/>
      <c r="B1228" s="3"/>
    </row>
    <row r="1229" spans="1:2" x14ac:dyDescent="0.25">
      <c r="A1229" s="2"/>
      <c r="B1229" s="3"/>
    </row>
    <row r="1230" spans="1:2" x14ac:dyDescent="0.25">
      <c r="A1230" s="2"/>
      <c r="B1230" s="3"/>
    </row>
    <row r="1231" spans="1:2" x14ac:dyDescent="0.25">
      <c r="A1231" s="2"/>
      <c r="B1231" s="3"/>
    </row>
    <row r="1232" spans="1:2" x14ac:dyDescent="0.25">
      <c r="A1232" s="2"/>
      <c r="B1232" s="3"/>
    </row>
    <row r="1233" spans="1:2" x14ac:dyDescent="0.25">
      <c r="A1233" s="2"/>
      <c r="B1233" s="3"/>
    </row>
    <row r="1234" spans="1:2" x14ac:dyDescent="0.25">
      <c r="A1234" s="2"/>
      <c r="B1234" s="3"/>
    </row>
    <row r="1235" spans="1:2" x14ac:dyDescent="0.25">
      <c r="A1235" s="2"/>
      <c r="B1235" s="3"/>
    </row>
    <row r="1236" spans="1:2" x14ac:dyDescent="0.25">
      <c r="A1236" s="2"/>
      <c r="B1236" s="3"/>
    </row>
    <row r="1237" spans="1:2" x14ac:dyDescent="0.25">
      <c r="A1237" s="2"/>
      <c r="B1237" s="3"/>
    </row>
    <row r="1238" spans="1:2" x14ac:dyDescent="0.25">
      <c r="A1238" s="2"/>
      <c r="B1238" s="3"/>
    </row>
    <row r="1239" spans="1:2" x14ac:dyDescent="0.25">
      <c r="A1239" s="2"/>
      <c r="B1239" s="3"/>
    </row>
    <row r="1240" spans="1:2" x14ac:dyDescent="0.25">
      <c r="A1240" s="2"/>
      <c r="B1240" s="3"/>
    </row>
    <row r="1241" spans="1:2" x14ac:dyDescent="0.25">
      <c r="A1241" s="2"/>
      <c r="B1241" s="3"/>
    </row>
    <row r="1242" spans="1:2" x14ac:dyDescent="0.25">
      <c r="A1242" s="2"/>
      <c r="B1242" s="3"/>
    </row>
    <row r="1243" spans="1:2" x14ac:dyDescent="0.25">
      <c r="A1243" s="2"/>
      <c r="B1243" s="3"/>
    </row>
    <row r="1244" spans="1:2" x14ac:dyDescent="0.25">
      <c r="A1244" s="2"/>
      <c r="B1244" s="3"/>
    </row>
    <row r="1245" spans="1:2" x14ac:dyDescent="0.25">
      <c r="A1245" s="2"/>
      <c r="B1245" s="3"/>
    </row>
    <row r="1246" spans="1:2" x14ac:dyDescent="0.25">
      <c r="A1246" s="2"/>
      <c r="B1246" s="3"/>
    </row>
    <row r="1247" spans="1:2" x14ac:dyDescent="0.25">
      <c r="A1247" s="2"/>
      <c r="B1247" s="3"/>
    </row>
    <row r="1248" spans="1:2" x14ac:dyDescent="0.25">
      <c r="A1248" s="2"/>
      <c r="B1248" s="3"/>
    </row>
    <row r="1249" spans="1:2" x14ac:dyDescent="0.25">
      <c r="A1249" s="2"/>
      <c r="B1249" s="3"/>
    </row>
    <row r="1250" spans="1:2" x14ac:dyDescent="0.25">
      <c r="A1250" s="2"/>
      <c r="B1250" s="3"/>
    </row>
    <row r="1251" spans="1:2" x14ac:dyDescent="0.25">
      <c r="A1251" s="2"/>
      <c r="B1251" s="3"/>
    </row>
    <row r="1252" spans="1:2" x14ac:dyDescent="0.25">
      <c r="A1252" s="2"/>
      <c r="B1252" s="3"/>
    </row>
    <row r="1253" spans="1:2" x14ac:dyDescent="0.25">
      <c r="A1253" s="2"/>
      <c r="B1253" s="3"/>
    </row>
    <row r="1254" spans="1:2" x14ac:dyDescent="0.25">
      <c r="A1254" s="2"/>
      <c r="B1254" s="3"/>
    </row>
    <row r="1255" spans="1:2" x14ac:dyDescent="0.25">
      <c r="A1255" s="2"/>
      <c r="B1255" s="3"/>
    </row>
    <row r="1256" spans="1:2" x14ac:dyDescent="0.25">
      <c r="A1256" s="2"/>
      <c r="B1256" s="3"/>
    </row>
    <row r="1257" spans="1:2" x14ac:dyDescent="0.25">
      <c r="A1257" s="2"/>
      <c r="B1257" s="3"/>
    </row>
    <row r="1258" spans="1:2" x14ac:dyDescent="0.25">
      <c r="A1258" s="2"/>
      <c r="B1258" s="3"/>
    </row>
    <row r="1259" spans="1:2" x14ac:dyDescent="0.25">
      <c r="A1259" s="2"/>
      <c r="B1259" s="3"/>
    </row>
    <row r="1260" spans="1:2" x14ac:dyDescent="0.25">
      <c r="A1260" s="2"/>
      <c r="B1260" s="3"/>
    </row>
    <row r="1261" spans="1:2" x14ac:dyDescent="0.25">
      <c r="A1261" s="2"/>
      <c r="B1261" s="3"/>
    </row>
    <row r="1262" spans="1:2" x14ac:dyDescent="0.25">
      <c r="A1262" s="2"/>
      <c r="B1262" s="3"/>
    </row>
    <row r="1263" spans="1:2" x14ac:dyDescent="0.25">
      <c r="A1263" s="2"/>
      <c r="B1263" s="3"/>
    </row>
    <row r="1264" spans="1:2" x14ac:dyDescent="0.25">
      <c r="A1264" s="2"/>
      <c r="B1264" s="3"/>
    </row>
    <row r="1265" spans="1:2" x14ac:dyDescent="0.25">
      <c r="A1265" s="2"/>
      <c r="B1265" s="3"/>
    </row>
    <row r="1266" spans="1:2" x14ac:dyDescent="0.25">
      <c r="A1266" s="2"/>
      <c r="B1266" s="3"/>
    </row>
    <row r="1267" spans="1:2" x14ac:dyDescent="0.25">
      <c r="A1267" s="2"/>
      <c r="B1267" s="3"/>
    </row>
    <row r="1268" spans="1:2" x14ac:dyDescent="0.25">
      <c r="A1268" s="2"/>
      <c r="B1268" s="3"/>
    </row>
    <row r="1269" spans="1:2" x14ac:dyDescent="0.25">
      <c r="A1269" s="2"/>
      <c r="B1269" s="3"/>
    </row>
    <row r="1270" spans="1:2" x14ac:dyDescent="0.25">
      <c r="A1270" s="2"/>
      <c r="B1270" s="3"/>
    </row>
    <row r="1271" spans="1:2" x14ac:dyDescent="0.25">
      <c r="A1271" s="2"/>
      <c r="B1271" s="3"/>
    </row>
    <row r="1272" spans="1:2" x14ac:dyDescent="0.25">
      <c r="A1272" s="2"/>
      <c r="B1272" s="3"/>
    </row>
    <row r="1273" spans="1:2" x14ac:dyDescent="0.25">
      <c r="A1273" s="2"/>
      <c r="B1273" s="3"/>
    </row>
    <row r="1274" spans="1:2" x14ac:dyDescent="0.25">
      <c r="A1274" s="2"/>
      <c r="B1274" s="3"/>
    </row>
    <row r="1275" spans="1:2" x14ac:dyDescent="0.25">
      <c r="A1275" s="2"/>
      <c r="B1275" s="3"/>
    </row>
    <row r="1276" spans="1:2" x14ac:dyDescent="0.25">
      <c r="A1276" s="2"/>
      <c r="B1276" s="3"/>
    </row>
    <row r="1277" spans="1:2" x14ac:dyDescent="0.25">
      <c r="A1277" s="2"/>
      <c r="B1277" s="3"/>
    </row>
  </sheetData>
  <mergeCells count="1">
    <mergeCell ref="A1:B1"/>
  </mergeCell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oglio8">
    <tabColor theme="0" tint="-0.499984740745262"/>
  </sheetPr>
  <dimension ref="A1:P111"/>
  <sheetViews>
    <sheetView workbookViewId="0">
      <selection activeCell="R31" sqref="R31"/>
    </sheetView>
  </sheetViews>
  <sheetFormatPr defaultColWidth="9.125" defaultRowHeight="10.9" x14ac:dyDescent="0.25"/>
  <cols>
    <col min="1" max="1" width="4" style="1" bestFit="1" customWidth="1"/>
    <col min="2" max="2" width="5.625" style="1" bestFit="1" customWidth="1"/>
    <col min="3" max="3" width="8.75" style="1" bestFit="1" customWidth="1"/>
    <col min="4" max="4" width="13.875" style="1" bestFit="1" customWidth="1"/>
    <col min="5" max="5" width="3.125" style="1" bestFit="1" customWidth="1"/>
    <col min="6" max="6" width="4.25" style="1" bestFit="1" customWidth="1"/>
    <col min="7" max="7" width="5.625" style="1" bestFit="1" customWidth="1"/>
    <col min="8" max="8" width="4.75" style="1" bestFit="1" customWidth="1"/>
    <col min="9" max="9" width="11" style="1" bestFit="1" customWidth="1"/>
    <col min="10" max="16384" width="9.125" style="1"/>
  </cols>
  <sheetData>
    <row r="1" spans="1:16" s="23" customFormat="1" x14ac:dyDescent="0.25">
      <c r="A1" s="23" t="s">
        <v>19</v>
      </c>
      <c r="B1" s="23" t="s">
        <v>20</v>
      </c>
      <c r="C1" s="23" t="s">
        <v>21</v>
      </c>
      <c r="D1" s="23" t="s">
        <v>22</v>
      </c>
      <c r="E1" s="23" t="s">
        <v>23</v>
      </c>
      <c r="F1" s="23" t="s">
        <v>25</v>
      </c>
      <c r="G1" s="23" t="s">
        <v>29</v>
      </c>
      <c r="H1" s="23" t="s">
        <v>14</v>
      </c>
      <c r="I1" s="23" t="s">
        <v>64</v>
      </c>
      <c r="J1" s="23" t="s">
        <v>142</v>
      </c>
      <c r="K1" s="23" t="s">
        <v>143</v>
      </c>
      <c r="L1" s="23" t="s">
        <v>7</v>
      </c>
      <c r="M1" s="23" t="s">
        <v>36</v>
      </c>
      <c r="N1" s="23" t="s">
        <v>44</v>
      </c>
      <c r="O1" s="23" t="s">
        <v>75</v>
      </c>
      <c r="P1" s="23" t="s">
        <v>148</v>
      </c>
    </row>
    <row r="2" spans="1:16" x14ac:dyDescent="0.25">
      <c r="A2" s="1" t="str">
        <f>IF([1]Appoggio!A2=0,"",[1]Appoggio!A2)</f>
        <v>D</v>
      </c>
      <c r="B2" s="1" t="str">
        <f>IF([1]Appoggio!B2=0,"",[1]Appoggio!B2)</f>
        <v>Index</v>
      </c>
      <c r="C2" s="1" t="str">
        <f>IF([1]Appoggio!C2=0,"",[1]Appoggio!C2)</f>
        <v>MLC</v>
      </c>
      <c r="D2" s="1" t="str">
        <f>IF([1]Appoggio!D2=0,"",[1]Appoggio!D2)</f>
        <v>Max Long Cap</v>
      </c>
      <c r="E2" s="1">
        <f>IF([1]Appoggio!E2=0,"",[1]Appoggio!E2)</f>
        <v>2</v>
      </c>
      <c r="F2" s="1" t="str">
        <f>IF([1]Appoggio!F2=0,"",[1]Appoggio!F2)</f>
        <v>Y</v>
      </c>
      <c r="G2" s="1" t="str">
        <f>IF([1]Appoggio!G2=0,"",[1]Appoggio!G2)</f>
        <v>New</v>
      </c>
      <c r="H2" s="1" t="str">
        <f>IF([1]Appoggio!H2=0,"",[1]Appoggio!H2)</f>
        <v>Asset</v>
      </c>
      <c r="I2" s="1" t="str">
        <f>IF([1]Appoggio!I2=0,"",[1]Appoggio!I2)</f>
        <v>Boot</v>
      </c>
      <c r="J2" s="1" t="str">
        <f>IF([1]Appoggio!J2=0,"",[1]Appoggio!J2)</f>
        <v>EUR</v>
      </c>
      <c r="K2" s="1" t="str">
        <f>IF([1]Appoggio!K2=0,"",[1]Appoggio!K2)</f>
        <v>EUR</v>
      </c>
      <c r="L2" s="1" t="str">
        <f>IF([1]Appoggio!L2=0,"",[1]Appoggio!L2)</f>
        <v/>
      </c>
      <c r="M2" s="1" t="str">
        <f>IF([1]Appoggio!M2=0,"",[1]Appoggio!M2)</f>
        <v/>
      </c>
      <c r="N2" s="1" t="str">
        <f>IF([1]Appoggio!N2=0,"",[1]Appoggio!N2)</f>
        <v/>
      </c>
      <c r="O2" s="1">
        <f>IF([1]Appoggio!O2=0,"",[1]Appoggio!O2)</f>
        <v>1</v>
      </c>
      <c r="P2" s="1" t="str">
        <f>IF([1]Appoggio!P2=0,"",[1]Appoggio!P2)</f>
        <v/>
      </c>
    </row>
    <row r="3" spans="1:16" x14ac:dyDescent="0.25">
      <c r="A3" s="1" t="str">
        <f>IF([1]Appoggio!A3=0,"",[1]Appoggio!A3)</f>
        <v>W</v>
      </c>
      <c r="B3" s="1" t="str">
        <f>IF([1]Appoggio!B3=0,"",[1]Appoggio!B3)</f>
        <v>Curncy</v>
      </c>
      <c r="C3" s="1" t="str">
        <f>IF([1]Appoggio!C3=0,"",[1]Appoggio!C3)</f>
        <v>BC1</v>
      </c>
      <c r="D3" s="1" t="str">
        <f>IF([1]Appoggio!D3=0,"",[1]Appoggio!D3)</f>
        <v>Bonus Cap 1</v>
      </c>
      <c r="E3" s="1">
        <f>IF([1]Appoggio!E3=0,"",[1]Appoggio!E3)</f>
        <v>3</v>
      </c>
      <c r="F3" s="1" t="str">
        <f>IF([1]Appoggio!F3=0,"",[1]Appoggio!F3)</f>
        <v>N</v>
      </c>
      <c r="G3" s="1" t="str">
        <f>IF([1]Appoggio!G3=0,"",[1]Appoggio!G3)</f>
        <v>Re</v>
      </c>
      <c r="H3" s="1" t="str">
        <f>IF([1]Appoggio!H3=0,"",[1]Appoggio!H3)</f>
        <v>Rate</v>
      </c>
      <c r="I3" s="1" t="str">
        <f>IF([1]Appoggio!I3=0,"",[1]Appoggio!I3)</f>
        <v>PCA</v>
      </c>
      <c r="J3" s="1" t="str">
        <f>IF([1]Appoggio!J3=0,"",[1]Appoggio!J3)</f>
        <v>USD</v>
      </c>
      <c r="K3" s="1" t="str">
        <f>IF([1]Appoggio!K3=0,"",[1]Appoggio!K3)</f>
        <v>USD</v>
      </c>
      <c r="L3" s="1">
        <f>IF([1]Appoggio!L3=0,"",[1]Appoggio!L3)</f>
        <v>2.7397260273972603E-3</v>
      </c>
      <c r="M3" s="1">
        <f>IF([1]Appoggio!M3=0,"",[1]Appoggio!M3)</f>
        <v>0.01</v>
      </c>
      <c r="N3" s="1" t="str">
        <f>IF([1]Appoggio!N3=0,"",[1]Appoggio!N3)</f>
        <v>MinRate</v>
      </c>
      <c r="O3" s="1" t="str">
        <f>IF([1]Appoggio!O3=0,"",[1]Appoggio!O3)</f>
        <v/>
      </c>
      <c r="P3" s="1">
        <f>IF([1]Appoggio!P3=0,"",[1]Appoggio!P3)</f>
        <v>1</v>
      </c>
    </row>
    <row r="4" spans="1:16" x14ac:dyDescent="0.25">
      <c r="A4" s="1" t="str">
        <f>IF([1]Appoggio!A4=0,"",[1]Appoggio!A4)</f>
        <v>M</v>
      </c>
      <c r="B4" s="1" t="str">
        <f>IF([1]Appoggio!B4=0,"",[1]Appoggio!B4)</f>
        <v>Equity</v>
      </c>
      <c r="C4" s="1" t="str">
        <f>IF([1]Appoggio!C4=0,"",[1]Appoggio!C4)</f>
        <v>F2F</v>
      </c>
      <c r="D4" s="1" t="str">
        <f>IF([1]Appoggio!D4=0,"",[1]Appoggio!D4)</f>
        <v>Fix to Floater</v>
      </c>
      <c r="E4" s="1" t="str">
        <f>IF([1]Appoggio!E4=0,"",[1]Appoggio!E4)</f>
        <v/>
      </c>
      <c r="F4" s="1" t="str">
        <f>IF([1]Appoggio!F4=0,"",[1]Appoggio!F4)</f>
        <v/>
      </c>
      <c r="G4" s="1" t="str">
        <f>IF([1]Appoggio!G4=0,"",[1]Appoggio!G4)</f>
        <v/>
      </c>
      <c r="H4" s="1" t="str">
        <f>IF([1]Appoggio!H4=0,"",[1]Appoggio!H4)</f>
        <v>Currency</v>
      </c>
      <c r="I4" s="1" t="str">
        <f>IF([1]Appoggio!I4=0,"",[1]Appoggio!I4)</f>
        <v/>
      </c>
      <c r="J4" s="1" t="str">
        <f>IF([1]Appoggio!J4=0,"",[1]Appoggio!J4)</f>
        <v>JPY</v>
      </c>
      <c r="K4" s="1" t="str">
        <f>IF([1]Appoggio!K4=0,"",[1]Appoggio!K4)</f>
        <v>JPY</v>
      </c>
      <c r="L4" s="1">
        <f>IF([1]Appoggio!L4=0,"",[1]Appoggio!L4)</f>
        <v>1.9178082191780823E-2</v>
      </c>
      <c r="M4" s="1">
        <f>IF([1]Appoggio!M4=0,"",[1]Appoggio!M4)</f>
        <v>1</v>
      </c>
      <c r="N4" s="1" t="str">
        <f>IF([1]Appoggio!N4=0,"",[1]Appoggio!N4)</f>
        <v/>
      </c>
      <c r="O4" s="1" t="str">
        <f>IF([1]Appoggio!O4=0,"",[1]Appoggio!O4)</f>
        <v/>
      </c>
      <c r="P4" s="1">
        <f>IF([1]Appoggio!P4=0,"",[1]Appoggio!P4)</f>
        <v>2</v>
      </c>
    </row>
    <row r="5" spans="1:16" x14ac:dyDescent="0.25">
      <c r="A5" s="1" t="str">
        <f>IF([1]Appoggio!A5=0,"",[1]Appoggio!A5)</f>
        <v>Y</v>
      </c>
      <c r="B5" s="1" t="str">
        <f>IF([1]Appoggio!B5=0,"",[1]Appoggio!B5)</f>
        <v>Comdty</v>
      </c>
      <c r="C5" s="1" t="str">
        <f>IF([1]Appoggio!C5=0,"",[1]Appoggio!C5)</f>
        <v>WO</v>
      </c>
      <c r="D5" s="1" t="str">
        <f>IF([1]Appoggio!D5=0,"",[1]Appoggio!D5)</f>
        <v>Worst Off</v>
      </c>
      <c r="E5" s="1" t="str">
        <f>IF([1]Appoggio!E5=0,"",[1]Appoggio!E5)</f>
        <v/>
      </c>
      <c r="F5" s="1" t="str">
        <f>IF([1]Appoggio!F5=0,"",[1]Appoggio!F5)</f>
        <v/>
      </c>
      <c r="G5" s="1" t="str">
        <f>IF([1]Appoggio!G5=0,"",[1]Appoggio!G5)</f>
        <v/>
      </c>
      <c r="H5" s="1" t="str">
        <f>IF([1]Appoggio!H5=0,"",[1]Appoggio!H5)</f>
        <v/>
      </c>
      <c r="I5" s="1" t="str">
        <f>IF([1]Appoggio!I5=0,"",[1]Appoggio!I5)</f>
        <v/>
      </c>
      <c r="J5" s="1" t="str">
        <f>IF([1]Appoggio!J5=0,"",[1]Appoggio!J5)</f>
        <v>GBP</v>
      </c>
      <c r="K5" s="1" t="str">
        <f>IF([1]Appoggio!K5=0,"",[1]Appoggio!K5)</f>
        <v>GBP</v>
      </c>
      <c r="L5" s="1">
        <f>IF([1]Appoggio!L5=0,"",[1]Appoggio!L5)</f>
        <v>1</v>
      </c>
      <c r="M5" s="1" t="str">
        <f>IF([1]Appoggio!M5=0,"",[1]Appoggio!M5)</f>
        <v/>
      </c>
      <c r="N5" s="1" t="str">
        <f>IF([1]Appoggio!N5=0,"",[1]Appoggio!N5)</f>
        <v/>
      </c>
      <c r="O5" s="1" t="str">
        <f>IF([1]Appoggio!O5=0,"",[1]Appoggio!O5)</f>
        <v/>
      </c>
      <c r="P5" s="1">
        <f>IF([1]Appoggio!P5=0,"",[1]Appoggio!P5)</f>
        <v>3</v>
      </c>
    </row>
    <row r="6" spans="1:16" x14ac:dyDescent="0.25">
      <c r="A6" s="1" t="str">
        <f>IF([1]Appoggio!A6=0,"",[1]Appoggio!A6)</f>
        <v/>
      </c>
      <c r="B6" s="1" t="str">
        <f>IF([1]Appoggio!B6=0,"",[1]Appoggio!B6)</f>
        <v/>
      </c>
      <c r="C6" s="1" t="str">
        <f>IF([1]Appoggio!C6=0,"",[1]Appoggio!C6)</f>
        <v>ATC1</v>
      </c>
      <c r="D6" s="1" t="str">
        <f>IF([1]Appoggio!D6=0,"",[1]Appoggio!D6)</f>
        <v>Autocallable Type I</v>
      </c>
      <c r="E6" s="1" t="str">
        <f>IF([1]Appoggio!E6=0,"",[1]Appoggio!E6)</f>
        <v/>
      </c>
      <c r="F6" s="1" t="str">
        <f>IF([1]Appoggio!F6=0,"",[1]Appoggio!F6)</f>
        <v/>
      </c>
      <c r="G6" s="1" t="str">
        <f>IF([1]Appoggio!G6=0,"",[1]Appoggio!G6)</f>
        <v/>
      </c>
      <c r="H6" s="1" t="str">
        <f>IF([1]Appoggio!H6=0,"",[1]Appoggio!H6)</f>
        <v/>
      </c>
      <c r="I6" s="1" t="str">
        <f>IF([1]Appoggio!I6=0,"",[1]Appoggio!I6)</f>
        <v/>
      </c>
      <c r="J6" s="1" t="str">
        <f>IF([1]Appoggio!J6=0,"",[1]Appoggio!J6)</f>
        <v>CHF</v>
      </c>
      <c r="K6" s="1" t="str">
        <f>IF([1]Appoggio!K6=0,"",[1]Appoggio!K6)</f>
        <v>CHF</v>
      </c>
      <c r="L6" s="1">
        <f>IF([1]Appoggio!L6=0,"",[1]Appoggio!L6)</f>
        <v>2</v>
      </c>
      <c r="M6" s="1" t="str">
        <f>IF([1]Appoggio!M6=0,"",[1]Appoggio!M6)</f>
        <v/>
      </c>
      <c r="N6" s="1" t="str">
        <f>IF([1]Appoggio!N6=0,"",[1]Appoggio!N6)</f>
        <v/>
      </c>
      <c r="O6" s="1" t="str">
        <f>IF([1]Appoggio!O6=0,"",[1]Appoggio!O6)</f>
        <v/>
      </c>
      <c r="P6" s="1">
        <f>IF([1]Appoggio!P6=0,"",[1]Appoggio!P6)</f>
        <v>4</v>
      </c>
    </row>
    <row r="7" spans="1:16" x14ac:dyDescent="0.25">
      <c r="A7" s="1" t="str">
        <f>IF([1]Appoggio!A7=0,"",[1]Appoggio!A7)</f>
        <v/>
      </c>
      <c r="B7" s="1" t="str">
        <f>IF([1]Appoggio!B7=0,"",[1]Appoggio!B7)</f>
        <v/>
      </c>
      <c r="C7" s="1" t="str">
        <f>IF([1]Appoggio!C7=0,"",[1]Appoggio!C7)</f>
        <v>AD1</v>
      </c>
      <c r="D7" s="1" t="str">
        <f>IF([1]Appoggio!D7=0,"",[1]Appoggio!D7)</f>
        <v>Annual Digital 1</v>
      </c>
      <c r="E7" s="1" t="str">
        <f>IF([1]Appoggio!E7=0,"",[1]Appoggio!E7)</f>
        <v/>
      </c>
      <c r="F7" s="1" t="str">
        <f>IF([1]Appoggio!F7=0,"",[1]Appoggio!F7)</f>
        <v/>
      </c>
      <c r="G7" s="1" t="str">
        <f>IF([1]Appoggio!G7=0,"",[1]Appoggio!G7)</f>
        <v/>
      </c>
      <c r="H7" s="1" t="str">
        <f>IF([1]Appoggio!H7=0,"",[1]Appoggio!H7)</f>
        <v/>
      </c>
      <c r="I7" s="1" t="str">
        <f>IF([1]Appoggio!I7=0,"",[1]Appoggio!I7)</f>
        <v/>
      </c>
      <c r="J7" s="1" t="str">
        <f>IF([1]Appoggio!J7=0,"",[1]Appoggio!J7)</f>
        <v>AUD</v>
      </c>
      <c r="K7" s="1" t="str">
        <f>IF([1]Appoggio!K7=0,"",[1]Appoggio!K7)</f>
        <v>AUD</v>
      </c>
      <c r="L7" s="1">
        <f>IF([1]Appoggio!L7=0,"",[1]Appoggio!L7)</f>
        <v>3</v>
      </c>
      <c r="M7" s="1" t="str">
        <f>IF([1]Appoggio!M7=0,"",[1]Appoggio!M7)</f>
        <v/>
      </c>
      <c r="N7" s="1" t="str">
        <f>IF([1]Appoggio!N7=0,"",[1]Appoggio!N7)</f>
        <v/>
      </c>
      <c r="O7" s="1" t="str">
        <f>IF([1]Appoggio!O7=0,"",[1]Appoggio!O7)</f>
        <v/>
      </c>
      <c r="P7" s="1">
        <f>IF([1]Appoggio!P7=0,"",[1]Appoggio!P7)</f>
        <v>5</v>
      </c>
    </row>
    <row r="8" spans="1:16" x14ac:dyDescent="0.25">
      <c r="A8" s="1" t="str">
        <f>IF([1]Appoggio!A8=0,"",[1]Appoggio!A8)</f>
        <v/>
      </c>
      <c r="B8" s="1" t="str">
        <f>IF([1]Appoggio!B8=0,"",[1]Appoggio!B8)</f>
        <v/>
      </c>
      <c r="C8" s="1" t="str">
        <f>IF([1]Appoggio!C8=0,"",[1]Appoggio!C8)</f>
        <v>BC2</v>
      </c>
      <c r="D8" s="1" t="str">
        <f>IF([1]Appoggio!D8=0,"",[1]Appoggio!D8)</f>
        <v>Bonus Cap 2</v>
      </c>
      <c r="E8" s="1" t="str">
        <f>IF([1]Appoggio!E8=0,"",[1]Appoggio!E8)</f>
        <v/>
      </c>
      <c r="F8" s="1" t="str">
        <f>IF([1]Appoggio!F8=0,"",[1]Appoggio!F8)</f>
        <v/>
      </c>
      <c r="G8" s="1" t="str">
        <f>IF([1]Appoggio!G8=0,"",[1]Appoggio!G8)</f>
        <v/>
      </c>
      <c r="H8" s="1" t="str">
        <f>IF([1]Appoggio!H8=0,"",[1]Appoggio!H8)</f>
        <v/>
      </c>
      <c r="I8" s="1" t="str">
        <f>IF([1]Appoggio!I8=0,"",[1]Appoggio!I8)</f>
        <v/>
      </c>
      <c r="J8" s="1" t="str">
        <f>IF([1]Appoggio!J8=0,"",[1]Appoggio!J8)</f>
        <v>CNH</v>
      </c>
      <c r="K8" s="1" t="str">
        <f>IF([1]Appoggio!K8=0,"",[1]Appoggio!K8)</f>
        <v>CNH</v>
      </c>
      <c r="L8" s="1">
        <f>IF([1]Appoggio!L8=0,"",[1]Appoggio!L8)</f>
        <v>6</v>
      </c>
      <c r="M8" s="1" t="str">
        <f>IF([1]Appoggio!M8=0,"",[1]Appoggio!M8)</f>
        <v/>
      </c>
      <c r="N8" s="1" t="str">
        <f>IF([1]Appoggio!N8=0,"",[1]Appoggio!N8)</f>
        <v/>
      </c>
      <c r="O8" s="1" t="str">
        <f>IF([1]Appoggio!O8=0,"",[1]Appoggio!O8)</f>
        <v/>
      </c>
      <c r="P8" s="1">
        <f>IF([1]Appoggio!P8=0,"",[1]Appoggio!P8)</f>
        <v>6</v>
      </c>
    </row>
    <row r="9" spans="1:16" x14ac:dyDescent="0.25">
      <c r="A9" s="1" t="str">
        <f>IF([1]Appoggio!A9=0,"",[1]Appoggio!A9)</f>
        <v/>
      </c>
      <c r="B9" s="1" t="str">
        <f>IF([1]Appoggio!B9=0,"",[1]Appoggio!B9)</f>
        <v/>
      </c>
      <c r="C9" s="1" t="str">
        <f>IF([1]Appoggio!C9=0,"",[1]Appoggio!C9)</f>
        <v>AD2</v>
      </c>
      <c r="D9" s="1" t="str">
        <f>IF([1]Appoggio!D9=0,"",[1]Appoggio!D9)</f>
        <v>Annual Digital 2</v>
      </c>
      <c r="E9" s="1" t="str">
        <f>IF([1]Appoggio!E9=0,"",[1]Appoggio!E9)</f>
        <v/>
      </c>
      <c r="F9" s="1" t="str">
        <f>IF([1]Appoggio!F9=0,"",[1]Appoggio!F9)</f>
        <v/>
      </c>
      <c r="G9" s="1" t="str">
        <f>IF([1]Appoggio!G9=0,"",[1]Appoggio!G9)</f>
        <v/>
      </c>
      <c r="H9" s="1" t="str">
        <f>IF([1]Appoggio!H9=0,"",[1]Appoggio!H9)</f>
        <v/>
      </c>
      <c r="I9" s="1" t="str">
        <f>IF([1]Appoggio!I9=0,"",[1]Appoggio!I9)</f>
        <v/>
      </c>
      <c r="J9" s="1" t="str">
        <f>IF([1]Appoggio!J9=0,"",[1]Appoggio!J9)</f>
        <v>BRL</v>
      </c>
      <c r="K9" s="1" t="str">
        <f>IF([1]Appoggio!K9=0,"",[1]Appoggio!K9)</f>
        <v>BRL</v>
      </c>
      <c r="L9" s="1">
        <f>IF([1]Appoggio!L9=0,"",[1]Appoggio!L9)</f>
        <v>12</v>
      </c>
      <c r="M9" s="1" t="str">
        <f>IF([1]Appoggio!M9=0,"",[1]Appoggio!M9)</f>
        <v/>
      </c>
      <c r="N9" s="1" t="str">
        <f>IF([1]Appoggio!N9=0,"",[1]Appoggio!N9)</f>
        <v/>
      </c>
      <c r="O9" s="1" t="str">
        <f>IF([1]Appoggio!O9=0,"",[1]Appoggio!O9)</f>
        <v/>
      </c>
      <c r="P9" s="1">
        <f>IF([1]Appoggio!P9=0,"",[1]Appoggio!P9)</f>
        <v>7</v>
      </c>
    </row>
    <row r="10" spans="1:16" x14ac:dyDescent="0.25">
      <c r="A10" s="1" t="str">
        <f>IF([1]Appoggio!A10=0,"",[1]Appoggio!A10)</f>
        <v/>
      </c>
      <c r="B10" s="1" t="str">
        <f>IF([1]Appoggio!B10=0,"",[1]Appoggio!B10)</f>
        <v/>
      </c>
      <c r="C10" s="1" t="str">
        <f>IF([1]Appoggio!C10=0,"",[1]Appoggio!C10)</f>
        <v>AD3</v>
      </c>
      <c r="D10" s="1" t="str">
        <f>IF([1]Appoggio!D10=0,"",[1]Appoggio!D10)</f>
        <v>Annual Digital 3</v>
      </c>
      <c r="E10" s="1" t="str">
        <f>IF([1]Appoggio!E10=0,"",[1]Appoggio!E10)</f>
        <v/>
      </c>
      <c r="F10" s="1" t="str">
        <f>IF([1]Appoggio!F10=0,"",[1]Appoggio!F10)</f>
        <v/>
      </c>
      <c r="G10" s="1" t="str">
        <f>IF([1]Appoggio!G10=0,"",[1]Appoggio!G10)</f>
        <v/>
      </c>
      <c r="H10" s="1" t="str">
        <f>IF([1]Appoggio!H10=0,"",[1]Appoggio!H10)</f>
        <v/>
      </c>
      <c r="I10" s="1" t="str">
        <f>IF([1]Appoggio!I10=0,"",[1]Appoggio!I10)</f>
        <v/>
      </c>
      <c r="J10" s="1" t="str">
        <f>IF([1]Appoggio!J10=0,"",[1]Appoggio!J10)</f>
        <v>NOK</v>
      </c>
      <c r="K10" s="1" t="str">
        <f>IF([1]Appoggio!K10=0,"",[1]Appoggio!K10)</f>
        <v>NOK</v>
      </c>
      <c r="L10" s="1">
        <f>IF([1]Appoggio!L10=0,"",[1]Appoggio!L10)</f>
        <v>24</v>
      </c>
      <c r="M10" s="1" t="str">
        <f>IF([1]Appoggio!M10=0,"",[1]Appoggio!M10)</f>
        <v/>
      </c>
      <c r="N10" s="1" t="str">
        <f>IF([1]Appoggio!N10=0,"",[1]Appoggio!N10)</f>
        <v/>
      </c>
      <c r="O10" s="1" t="str">
        <f>IF([1]Appoggio!O10=0,"",[1]Appoggio!O10)</f>
        <v/>
      </c>
      <c r="P10" s="1">
        <f>IF([1]Appoggio!P10=0,"",[1]Appoggio!P10)</f>
        <v>8</v>
      </c>
    </row>
    <row r="11" spans="1:16" x14ac:dyDescent="0.25">
      <c r="A11" s="1" t="str">
        <f>IF([1]Appoggio!A11=0,"",[1]Appoggio!A11)</f>
        <v/>
      </c>
      <c r="B11" s="1" t="str">
        <f>IF([1]Appoggio!B11=0,"",[1]Appoggio!B11)</f>
        <v/>
      </c>
      <c r="C11" s="1" t="str">
        <f>IF([1]Appoggio!C11=0,"",[1]Appoggio!C11)</f>
        <v>ATC2</v>
      </c>
      <c r="D11" s="1" t="str">
        <f>IF([1]Appoggio!D11=0,"",[1]Appoggio!D11)</f>
        <v>Autocallable Type II</v>
      </c>
      <c r="E11" s="1" t="str">
        <f>IF([1]Appoggio!E11=0,"",[1]Appoggio!E11)</f>
        <v/>
      </c>
      <c r="F11" s="1" t="str">
        <f>IF([1]Appoggio!F11=0,"",[1]Appoggio!F11)</f>
        <v/>
      </c>
      <c r="G11" s="1" t="str">
        <f>IF([1]Appoggio!G11=0,"",[1]Appoggio!G11)</f>
        <v/>
      </c>
      <c r="H11" s="1" t="str">
        <f>IF([1]Appoggio!H11=0,"",[1]Appoggio!H11)</f>
        <v/>
      </c>
      <c r="I11" s="1" t="str">
        <f>IF([1]Appoggio!I11=0,"",[1]Appoggio!I11)</f>
        <v/>
      </c>
      <c r="J11" s="1" t="str">
        <f>IF([1]Appoggio!J11=0,"",[1]Appoggio!J11)</f>
        <v/>
      </c>
      <c r="K11" s="1" t="str">
        <f>IF([1]Appoggio!K11=0,"",[1]Appoggio!K11)</f>
        <v/>
      </c>
      <c r="L11" s="1">
        <f>IF([1]Appoggio!L11=0,"",[1]Appoggio!L11)</f>
        <v>36</v>
      </c>
      <c r="M11" s="1" t="str">
        <f>IF([1]Appoggio!M11=0,"",[1]Appoggio!M11)</f>
        <v/>
      </c>
      <c r="N11" s="1" t="str">
        <f>IF([1]Appoggio!N11=0,"",[1]Appoggio!N11)</f>
        <v/>
      </c>
      <c r="O11" s="1" t="str">
        <f>IF([1]Appoggio!O11=0,"",[1]Appoggio!O11)</f>
        <v/>
      </c>
      <c r="P11" s="1">
        <f>IF([1]Appoggio!P11=0,"",[1]Appoggio!P11)</f>
        <v>9</v>
      </c>
    </row>
    <row r="12" spans="1:16" x14ac:dyDescent="0.25">
      <c r="A12" s="1" t="str">
        <f>IF([1]Appoggio!A12=0,"",[1]Appoggio!A12)</f>
        <v/>
      </c>
      <c r="B12" s="1" t="str">
        <f>IF([1]Appoggio!B12=0,"",[1]Appoggio!B12)</f>
        <v/>
      </c>
      <c r="C12" s="1" t="str">
        <f>IF([1]Appoggio!C12=0,"",[1]Appoggio!C12)</f>
        <v>AD4</v>
      </c>
      <c r="D12" s="1" t="str">
        <f>IF([1]Appoggio!D12=0,"",[1]Appoggio!D12)</f>
        <v>Annual Digital 3</v>
      </c>
      <c r="E12" s="1" t="str">
        <f>IF([1]Appoggio!E12=0,"",[1]Appoggio!E12)</f>
        <v/>
      </c>
      <c r="F12" s="1" t="str">
        <f>IF([1]Appoggio!F12=0,"",[1]Appoggio!F12)</f>
        <v/>
      </c>
      <c r="G12" s="1" t="str">
        <f>IF([1]Appoggio!G12=0,"",[1]Appoggio!G12)</f>
        <v/>
      </c>
      <c r="H12" s="1" t="str">
        <f>IF([1]Appoggio!H12=0,"",[1]Appoggio!H12)</f>
        <v/>
      </c>
      <c r="I12" s="1" t="str">
        <f>IF([1]Appoggio!I12=0,"",[1]Appoggio!I12)</f>
        <v/>
      </c>
      <c r="J12" s="1" t="str">
        <f>IF([1]Appoggio!J12=0,"",[1]Appoggio!J12)</f>
        <v/>
      </c>
      <c r="K12" s="1" t="str">
        <f>IF([1]Appoggio!K12=0,"",[1]Appoggio!K12)</f>
        <v/>
      </c>
      <c r="L12" s="1">
        <f>IF([1]Appoggio!L12=0,"",[1]Appoggio!L12)</f>
        <v>48</v>
      </c>
      <c r="M12" s="1" t="str">
        <f>IF([1]Appoggio!M12=0,"",[1]Appoggio!M12)</f>
        <v/>
      </c>
      <c r="N12" s="1" t="str">
        <f>IF([1]Appoggio!N12=0,"",[1]Appoggio!N12)</f>
        <v/>
      </c>
      <c r="O12" s="1" t="str">
        <f>IF([1]Appoggio!O12=0,"",[1]Appoggio!O12)</f>
        <v/>
      </c>
      <c r="P12" s="1">
        <f>IF([1]Appoggio!P12=0,"",[1]Appoggio!P12)</f>
        <v>10</v>
      </c>
    </row>
    <row r="13" spans="1:16" x14ac:dyDescent="0.25">
      <c r="A13" s="1" t="str">
        <f>IF([1]Appoggio!A13=0,"",[1]Appoggio!A13)</f>
        <v/>
      </c>
      <c r="B13" s="1" t="str">
        <f>IF([1]Appoggio!B13=0,"",[1]Appoggio!B13)</f>
        <v/>
      </c>
      <c r="C13" s="1" t="str">
        <f>IF([1]Appoggio!C13=0,"",[1]Appoggio!C13)</f>
        <v>TW</v>
      </c>
      <c r="D13" s="1" t="str">
        <f>IF([1]Appoggio!D13=0,"",[1]Appoggio!D13)</f>
        <v>Twin Win</v>
      </c>
      <c r="E13" s="1" t="str">
        <f>IF([1]Appoggio!E13=0,"",[1]Appoggio!E13)</f>
        <v/>
      </c>
      <c r="F13" s="1" t="str">
        <f>IF([1]Appoggio!F13=0,"",[1]Appoggio!F13)</f>
        <v/>
      </c>
      <c r="G13" s="1" t="str">
        <f>IF([1]Appoggio!G13=0,"",[1]Appoggio!G13)</f>
        <v/>
      </c>
      <c r="H13" s="1" t="str">
        <f>IF([1]Appoggio!H13=0,"",[1]Appoggio!H13)</f>
        <v/>
      </c>
      <c r="I13" s="1" t="str">
        <f>IF([1]Appoggio!I13=0,"",[1]Appoggio!I13)</f>
        <v/>
      </c>
      <c r="J13" s="1" t="str">
        <f>IF([1]Appoggio!J13=0,"",[1]Appoggio!J13)</f>
        <v/>
      </c>
      <c r="K13" s="1" t="str">
        <f>IF([1]Appoggio!K13=0,"",[1]Appoggio!K13)</f>
        <v/>
      </c>
      <c r="L13" s="1">
        <f>IF([1]Appoggio!L13=0,"",[1]Appoggio!L13)</f>
        <v>60</v>
      </c>
      <c r="M13" s="1" t="str">
        <f>IF([1]Appoggio!M13=0,"",[1]Appoggio!M13)</f>
        <v/>
      </c>
      <c r="N13" s="1" t="str">
        <f>IF([1]Appoggio!N13=0,"",[1]Appoggio!N13)</f>
        <v/>
      </c>
      <c r="O13" s="1" t="str">
        <f>IF([1]Appoggio!O13=0,"",[1]Appoggio!O13)</f>
        <v/>
      </c>
      <c r="P13" s="1">
        <f>IF([1]Appoggio!P13=0,"",[1]Appoggio!P13)</f>
        <v>11</v>
      </c>
    </row>
    <row r="14" spans="1:16" x14ac:dyDescent="0.25">
      <c r="A14" s="1" t="str">
        <f>IF([1]Appoggio!A14=0,"",[1]Appoggio!A14)</f>
        <v/>
      </c>
      <c r="B14" s="1" t="str">
        <f>IF([1]Appoggio!B14=0,"",[1]Appoggio!B14)</f>
        <v/>
      </c>
      <c r="C14" s="1" t="str">
        <f>IF([1]Appoggio!C14=0,"",[1]Appoggio!C14)</f>
        <v>A</v>
      </c>
      <c r="D14" s="1" t="str">
        <f>IF([1]Appoggio!D14=0,"",[1]Appoggio!D14)</f>
        <v>Accelerator</v>
      </c>
      <c r="E14" s="1" t="str">
        <f>IF([1]Appoggio!E14=0,"",[1]Appoggio!E14)</f>
        <v/>
      </c>
      <c r="F14" s="1" t="str">
        <f>IF([1]Appoggio!F14=0,"",[1]Appoggio!F14)</f>
        <v/>
      </c>
      <c r="G14" s="1" t="str">
        <f>IF([1]Appoggio!G14=0,"",[1]Appoggio!G14)</f>
        <v/>
      </c>
      <c r="H14" s="1" t="str">
        <f>IF([1]Appoggio!H14=0,"",[1]Appoggio!H14)</f>
        <v/>
      </c>
      <c r="I14" s="1" t="str">
        <f>IF([1]Appoggio!I14=0,"",[1]Appoggio!I14)</f>
        <v/>
      </c>
      <c r="J14" s="1" t="str">
        <f>IF([1]Appoggio!J14=0,"",[1]Appoggio!J14)</f>
        <v/>
      </c>
      <c r="K14" s="1" t="str">
        <f>IF([1]Appoggio!K14=0,"",[1]Appoggio!K14)</f>
        <v/>
      </c>
      <c r="L14" s="1">
        <f>IF([1]Appoggio!L14=0,"",[1]Appoggio!L14)</f>
        <v>72</v>
      </c>
      <c r="M14" s="1" t="str">
        <f>IF([1]Appoggio!M14=0,"",[1]Appoggio!M14)</f>
        <v/>
      </c>
      <c r="N14" s="1" t="str">
        <f>IF([1]Appoggio!N14=0,"",[1]Appoggio!N14)</f>
        <v/>
      </c>
      <c r="O14" s="1" t="str">
        <f>IF([1]Appoggio!O14=0,"",[1]Appoggio!O14)</f>
        <v/>
      </c>
      <c r="P14" s="1">
        <f>IF([1]Appoggio!P14=0,"",[1]Appoggio!P14)</f>
        <v>12</v>
      </c>
    </row>
    <row r="15" spans="1:16" x14ac:dyDescent="0.25">
      <c r="A15" s="1" t="str">
        <f>IF([1]Appoggio!A15=0,"",[1]Appoggio!A15)</f>
        <v/>
      </c>
      <c r="B15" s="1" t="str">
        <f>IF([1]Appoggio!B15=0,"",[1]Appoggio!B15)</f>
        <v/>
      </c>
      <c r="C15" s="1" t="str">
        <f>IF([1]Appoggio!C15=0,"",[1]Appoggio!C15)</f>
        <v>AD5</v>
      </c>
      <c r="D15" s="1" t="str">
        <f>IF([1]Appoggio!D15=0,"",[1]Appoggio!D15)</f>
        <v>Annual Digital 5</v>
      </c>
      <c r="E15" s="1" t="str">
        <f>IF([1]Appoggio!E15=0,"",[1]Appoggio!E15)</f>
        <v/>
      </c>
      <c r="F15" s="1" t="str">
        <f>IF([1]Appoggio!F15=0,"",[1]Appoggio!F15)</f>
        <v/>
      </c>
      <c r="G15" s="1" t="str">
        <f>IF([1]Appoggio!G15=0,"",[1]Appoggio!G15)</f>
        <v/>
      </c>
      <c r="H15" s="1" t="str">
        <f>IF([1]Appoggio!H15=0,"",[1]Appoggio!H15)</f>
        <v/>
      </c>
      <c r="I15" s="1" t="str">
        <f>IF([1]Appoggio!I15=0,"",[1]Appoggio!I15)</f>
        <v/>
      </c>
      <c r="J15" s="1" t="str">
        <f>IF([1]Appoggio!J15=0,"",[1]Appoggio!J15)</f>
        <v/>
      </c>
      <c r="K15" s="1" t="str">
        <f>IF([1]Appoggio!K15=0,"",[1]Appoggio!K15)</f>
        <v/>
      </c>
      <c r="L15" s="1">
        <f>IF([1]Appoggio!L15=0,"",[1]Appoggio!L15)</f>
        <v>84</v>
      </c>
      <c r="M15" s="1" t="str">
        <f>IF([1]Appoggio!M15=0,"",[1]Appoggio!M15)</f>
        <v/>
      </c>
      <c r="N15" s="1" t="str">
        <f>IF([1]Appoggio!N15=0,"",[1]Appoggio!N15)</f>
        <v/>
      </c>
      <c r="O15" s="1" t="str">
        <f>IF([1]Appoggio!O15=0,"",[1]Appoggio!O15)</f>
        <v/>
      </c>
      <c r="P15" s="1">
        <f>IF([1]Appoggio!P15=0,"",[1]Appoggio!P15)</f>
        <v>13</v>
      </c>
    </row>
    <row r="16" spans="1:16" x14ac:dyDescent="0.25">
      <c r="A16" s="1" t="str">
        <f>IF([1]Appoggio!A16=0,"",[1]Appoggio!A16)</f>
        <v/>
      </c>
      <c r="B16" s="1" t="str">
        <f>IF([1]Appoggio!B16=0,"",[1]Appoggio!B16)</f>
        <v/>
      </c>
      <c r="C16" s="1" t="str">
        <f>IF([1]Appoggio!C16=0,"",[1]Appoggio!C16)</f>
        <v>BC3</v>
      </c>
      <c r="D16" s="1" t="str">
        <f>IF([1]Appoggio!D16=0,"",[1]Appoggio!D16)</f>
        <v>Bonus Cap 3</v>
      </c>
      <c r="E16" s="1" t="str">
        <f>IF([1]Appoggio!E16=0,"",[1]Appoggio!E16)</f>
        <v/>
      </c>
      <c r="F16" s="1" t="str">
        <f>IF([1]Appoggio!F16=0,"",[1]Appoggio!F16)</f>
        <v/>
      </c>
      <c r="G16" s="1" t="str">
        <f>IF([1]Appoggio!G16=0,"",[1]Appoggio!G16)</f>
        <v/>
      </c>
      <c r="H16" s="1" t="str">
        <f>IF([1]Appoggio!H16=0,"",[1]Appoggio!H16)</f>
        <v/>
      </c>
      <c r="I16" s="1" t="str">
        <f>IF([1]Appoggio!I16=0,"",[1]Appoggio!I16)</f>
        <v/>
      </c>
      <c r="J16" s="1" t="str">
        <f>IF([1]Appoggio!J16=0,"",[1]Appoggio!J16)</f>
        <v/>
      </c>
      <c r="K16" s="1" t="str">
        <f>IF([1]Appoggio!K16=0,"",[1]Appoggio!K16)</f>
        <v/>
      </c>
      <c r="L16" s="1">
        <f>IF([1]Appoggio!L16=0,"",[1]Appoggio!L16)</f>
        <v>96</v>
      </c>
      <c r="M16" s="1" t="str">
        <f>IF([1]Appoggio!M16=0,"",[1]Appoggio!M16)</f>
        <v/>
      </c>
      <c r="N16" s="1" t="str">
        <f>IF([1]Appoggio!N16=0,"",[1]Appoggio!N16)</f>
        <v/>
      </c>
      <c r="O16" s="1" t="str">
        <f>IF([1]Appoggio!O16=0,"",[1]Appoggio!O16)</f>
        <v/>
      </c>
      <c r="P16" s="1" t="str">
        <f>IF([1]Appoggio!P16=0,"",[1]Appoggio!P16)</f>
        <v/>
      </c>
    </row>
    <row r="17" spans="1:16" x14ac:dyDescent="0.25">
      <c r="A17" s="1" t="str">
        <f>IF([1]Appoggio!A17=0,"",[1]Appoggio!A17)</f>
        <v/>
      </c>
      <c r="B17" s="1" t="str">
        <f>IF([1]Appoggio!B17=0,"",[1]Appoggio!B17)</f>
        <v/>
      </c>
      <c r="C17" s="1" t="str">
        <f>IF([1]Appoggio!C17=0,"",[1]Appoggio!C17)</f>
        <v>CWC</v>
      </c>
      <c r="D17" s="1" t="str">
        <f>IF([1]Appoggio!D17=0,"",[1]Appoggio!D17)</f>
        <v xml:space="preserve"> Covered Warrant Call</v>
      </c>
      <c r="E17" s="1" t="str">
        <f>IF([1]Appoggio!E17=0,"",[1]Appoggio!E17)</f>
        <v/>
      </c>
      <c r="F17" s="1" t="str">
        <f>IF([1]Appoggio!F17=0,"",[1]Appoggio!F17)</f>
        <v/>
      </c>
      <c r="G17" s="1" t="str">
        <f>IF([1]Appoggio!G17=0,"",[1]Appoggio!G17)</f>
        <v/>
      </c>
      <c r="H17" s="1" t="str">
        <f>IF([1]Appoggio!H17=0,"",[1]Appoggio!H17)</f>
        <v/>
      </c>
      <c r="I17" s="1" t="str">
        <f>IF([1]Appoggio!I17=0,"",[1]Appoggio!I17)</f>
        <v/>
      </c>
      <c r="J17" s="1" t="str">
        <f>IF([1]Appoggio!J17=0,"",[1]Appoggio!J17)</f>
        <v/>
      </c>
      <c r="K17" s="1" t="str">
        <f>IF([1]Appoggio!K17=0,"",[1]Appoggio!K17)</f>
        <v/>
      </c>
      <c r="L17" s="1">
        <f>IF([1]Appoggio!L17=0,"",[1]Appoggio!L17)</f>
        <v>108</v>
      </c>
      <c r="M17" s="1" t="str">
        <f>IF([1]Appoggio!M17=0,"",[1]Appoggio!M17)</f>
        <v/>
      </c>
      <c r="N17" s="1" t="str">
        <f>IF([1]Appoggio!N17=0,"",[1]Appoggio!N17)</f>
        <v/>
      </c>
      <c r="O17" s="1" t="str">
        <f>IF([1]Appoggio!O17=0,"",[1]Appoggio!O17)</f>
        <v/>
      </c>
      <c r="P17" s="1" t="str">
        <f>IF([1]Appoggio!P17=0,"",[1]Appoggio!P17)</f>
        <v/>
      </c>
    </row>
    <row r="18" spans="1:16" x14ac:dyDescent="0.25">
      <c r="A18" s="1" t="str">
        <f>IF([1]Appoggio!A18=0,"",[1]Appoggio!A18)</f>
        <v/>
      </c>
      <c r="B18" s="1" t="str">
        <f>IF([1]Appoggio!B18=0,"",[1]Appoggio!B18)</f>
        <v/>
      </c>
      <c r="C18" s="1" t="str">
        <f>IF([1]Appoggio!C18=0,"",[1]Appoggio!C18)</f>
        <v>CWP</v>
      </c>
      <c r="D18" s="1" t="str">
        <f>IF([1]Appoggio!D18=0,"",[1]Appoggio!D18)</f>
        <v xml:space="preserve"> Covered Warrant Put</v>
      </c>
      <c r="E18" s="1" t="str">
        <f>IF([1]Appoggio!E18=0,"",[1]Appoggio!E18)</f>
        <v/>
      </c>
      <c r="F18" s="1" t="str">
        <f>IF([1]Appoggio!F18=0,"",[1]Appoggio!F18)</f>
        <v/>
      </c>
      <c r="G18" s="1" t="str">
        <f>IF([1]Appoggio!G18=0,"",[1]Appoggio!G18)</f>
        <v/>
      </c>
      <c r="H18" s="1" t="str">
        <f>IF([1]Appoggio!H18=0,"",[1]Appoggio!H18)</f>
        <v/>
      </c>
      <c r="I18" s="1" t="str">
        <f>IF([1]Appoggio!I18=0,"",[1]Appoggio!I18)</f>
        <v/>
      </c>
      <c r="J18" s="1" t="str">
        <f>IF([1]Appoggio!J18=0,"",[1]Appoggio!J18)</f>
        <v/>
      </c>
      <c r="K18" s="1" t="str">
        <f>IF([1]Appoggio!K18=0,"",[1]Appoggio!K18)</f>
        <v/>
      </c>
      <c r="L18" s="1">
        <f>IF([1]Appoggio!L18=0,"",[1]Appoggio!L18)</f>
        <v>120</v>
      </c>
      <c r="M18" s="1" t="str">
        <f>IF([1]Appoggio!M18=0,"",[1]Appoggio!M18)</f>
        <v/>
      </c>
      <c r="N18" s="1" t="str">
        <f>IF([1]Appoggio!N18=0,"",[1]Appoggio!N18)</f>
        <v/>
      </c>
      <c r="O18" s="1" t="str">
        <f>IF([1]Appoggio!O18=0,"",[1]Appoggio!O18)</f>
        <v/>
      </c>
      <c r="P18" s="1" t="str">
        <f>IF([1]Appoggio!P18=0,"",[1]Appoggio!P18)</f>
        <v/>
      </c>
    </row>
    <row r="19" spans="1:16" x14ac:dyDescent="0.25">
      <c r="A19" s="1" t="str">
        <f>IF([1]Appoggio!A19=0,"",[1]Appoggio!A19)</f>
        <v/>
      </c>
      <c r="B19" s="1" t="str">
        <f>IF([1]Appoggio!B19=0,"",[1]Appoggio!B19)</f>
        <v/>
      </c>
      <c r="C19" s="1" t="str">
        <f>IF([1]Appoggio!C19=0,"",[1]Appoggio!C19)</f>
        <v>AD6</v>
      </c>
      <c r="D19" s="1" t="str">
        <f>IF([1]Appoggio!D19=0,"",[1]Appoggio!D19)</f>
        <v>Annual Digital 6</v>
      </c>
      <c r="E19" s="1" t="str">
        <f>IF([1]Appoggio!E19=0,"",[1]Appoggio!E19)</f>
        <v/>
      </c>
      <c r="F19" s="1" t="str">
        <f>IF([1]Appoggio!F19=0,"",[1]Appoggio!F19)</f>
        <v/>
      </c>
      <c r="G19" s="1" t="str">
        <f>IF([1]Appoggio!G19=0,"",[1]Appoggio!G19)</f>
        <v/>
      </c>
      <c r="H19" s="1" t="str">
        <f>IF([1]Appoggio!H19=0,"",[1]Appoggio!H19)</f>
        <v/>
      </c>
      <c r="I19" s="1" t="str">
        <f>IF([1]Appoggio!I19=0,"",[1]Appoggio!I19)</f>
        <v/>
      </c>
      <c r="J19" s="1" t="str">
        <f>IF([1]Appoggio!J19=0,"",[1]Appoggio!J19)</f>
        <v/>
      </c>
      <c r="K19" s="1" t="str">
        <f>IF([1]Appoggio!K19=0,"",[1]Appoggio!K19)</f>
        <v/>
      </c>
      <c r="L19" s="1">
        <f>IF([1]Appoggio!L19=0,"",[1]Appoggio!L19)</f>
        <v>180</v>
      </c>
      <c r="M19" s="1" t="str">
        <f>IF([1]Appoggio!M19=0,"",[1]Appoggio!M19)</f>
        <v/>
      </c>
      <c r="N19" s="1" t="str">
        <f>IF([1]Appoggio!N19=0,"",[1]Appoggio!N19)</f>
        <v/>
      </c>
      <c r="O19" s="1" t="str">
        <f>IF([1]Appoggio!O19=0,"",[1]Appoggio!O19)</f>
        <v/>
      </c>
      <c r="P19" s="1" t="str">
        <f>IF([1]Appoggio!P19=0,"",[1]Appoggio!P19)</f>
        <v/>
      </c>
    </row>
    <row r="20" spans="1:16" x14ac:dyDescent="0.25">
      <c r="A20" s="1" t="str">
        <f>IF([1]Appoggio!A20=0,"",[1]Appoggio!A20)</f>
        <v/>
      </c>
      <c r="B20" s="1" t="str">
        <f>IF([1]Appoggio!B20=0,"",[1]Appoggio!B20)</f>
        <v/>
      </c>
      <c r="C20" s="1" t="str">
        <f>IF([1]Appoggio!C20=0,"",[1]Appoggio!C20)</f>
        <v>CMS</v>
      </c>
      <c r="D20" s="1" t="str">
        <f>IF([1]Appoggio!D20=0,"",[1]Appoggio!D20)</f>
        <v>Constant Maturity Swap Note</v>
      </c>
      <c r="E20" s="1" t="str">
        <f>IF([1]Appoggio!E20=0,"",[1]Appoggio!E20)</f>
        <v/>
      </c>
      <c r="F20" s="1" t="str">
        <f>IF([1]Appoggio!F20=0,"",[1]Appoggio!F20)</f>
        <v/>
      </c>
      <c r="G20" s="1" t="str">
        <f>IF([1]Appoggio!G20=0,"",[1]Appoggio!G20)</f>
        <v/>
      </c>
      <c r="H20" s="1" t="str">
        <f>IF([1]Appoggio!H20=0,"",[1]Appoggio!H20)</f>
        <v/>
      </c>
      <c r="I20" s="1" t="str">
        <f>IF([1]Appoggio!I20=0,"",[1]Appoggio!I20)</f>
        <v/>
      </c>
      <c r="J20" s="1" t="str">
        <f>IF([1]Appoggio!J20=0,"",[1]Appoggio!J20)</f>
        <v/>
      </c>
      <c r="K20" s="1" t="str">
        <f>IF([1]Appoggio!K20=0,"",[1]Appoggio!K20)</f>
        <v/>
      </c>
      <c r="L20" s="1">
        <f>IF([1]Appoggio!L20=0,"",[1]Appoggio!L20)</f>
        <v>240</v>
      </c>
      <c r="M20" s="1" t="str">
        <f>IF([1]Appoggio!M20=0,"",[1]Appoggio!M20)</f>
        <v/>
      </c>
      <c r="N20" s="1" t="str">
        <f>IF([1]Appoggio!N20=0,"",[1]Appoggio!N20)</f>
        <v/>
      </c>
      <c r="O20" s="1" t="str">
        <f>IF([1]Appoggio!O20=0,"",[1]Appoggio!O20)</f>
        <v/>
      </c>
      <c r="P20" s="1" t="str">
        <f>IF([1]Appoggio!P20=0,"",[1]Appoggio!P20)</f>
        <v/>
      </c>
    </row>
    <row r="21" spans="1:16" x14ac:dyDescent="0.25">
      <c r="A21" s="1" t="str">
        <f>IF([1]Appoggio!A21=0,"",[1]Appoggio!A21)</f>
        <v/>
      </c>
      <c r="B21" s="1" t="str">
        <f>IF([1]Appoggio!B21=0,"",[1]Appoggio!B21)</f>
        <v/>
      </c>
      <c r="C21" s="1" t="str">
        <f>IF([1]Appoggio!C21=0,"",[1]Appoggio!C21)</f>
        <v>WO1</v>
      </c>
      <c r="D21" s="1" t="str">
        <f>IF([1]Appoggio!D21=0,"",[1]Appoggio!D21)</f>
        <v>Worst Off 1</v>
      </c>
      <c r="E21" s="1" t="str">
        <f>IF([1]Appoggio!E21=0,"",[1]Appoggio!E21)</f>
        <v/>
      </c>
      <c r="F21" s="1" t="str">
        <f>IF([1]Appoggio!F21=0,"",[1]Appoggio!F21)</f>
        <v/>
      </c>
      <c r="G21" s="1" t="str">
        <f>IF([1]Appoggio!G21=0,"",[1]Appoggio!G21)</f>
        <v/>
      </c>
      <c r="H21" s="1" t="str">
        <f>IF([1]Appoggio!H21=0,"",[1]Appoggio!H21)</f>
        <v/>
      </c>
      <c r="I21" s="1" t="str">
        <f>IF([1]Appoggio!I21=0,"",[1]Appoggio!I21)</f>
        <v/>
      </c>
      <c r="J21" s="1" t="str">
        <f>IF([1]Appoggio!J21=0,"",[1]Appoggio!J21)</f>
        <v/>
      </c>
      <c r="K21" s="1" t="str">
        <f>IF([1]Appoggio!K21=0,"",[1]Appoggio!K21)</f>
        <v/>
      </c>
      <c r="L21" s="1">
        <f>IF([1]Appoggio!L21=0,"",[1]Appoggio!L21)</f>
        <v>360</v>
      </c>
      <c r="M21" s="1" t="str">
        <f>IF([1]Appoggio!M21=0,"",[1]Appoggio!M21)</f>
        <v/>
      </c>
      <c r="N21" s="1" t="str">
        <f>IF([1]Appoggio!N21=0,"",[1]Appoggio!N21)</f>
        <v/>
      </c>
      <c r="O21" s="1" t="str">
        <f>IF([1]Appoggio!O21=0,"",[1]Appoggio!O21)</f>
        <v/>
      </c>
      <c r="P21" s="1" t="str">
        <f>IF([1]Appoggio!P21=0,"",[1]Appoggio!P21)</f>
        <v/>
      </c>
    </row>
    <row r="22" spans="1:16" x14ac:dyDescent="0.25">
      <c r="A22" s="1" t="str">
        <f>IF([1]Appoggio!A22=0,"",[1]Appoggio!A22)</f>
        <v/>
      </c>
      <c r="B22" s="1" t="str">
        <f>IF([1]Appoggio!B22=0,"",[1]Appoggio!B22)</f>
        <v/>
      </c>
      <c r="C22" s="1" t="str">
        <f>IF([1]Appoggio!C22=0,"",[1]Appoggio!C22)</f>
        <v>AD7</v>
      </c>
      <c r="D22" s="1" t="str">
        <f>IF([1]Appoggio!D22=0,"",[1]Appoggio!D22)</f>
        <v>Annual Digital 7</v>
      </c>
      <c r="E22" s="1" t="str">
        <f>IF([1]Appoggio!E22=0,"",[1]Appoggio!E22)</f>
        <v/>
      </c>
      <c r="F22" s="1" t="str">
        <f>IF([1]Appoggio!F22=0,"",[1]Appoggio!F22)</f>
        <v/>
      </c>
      <c r="G22" s="1" t="str">
        <f>IF([1]Appoggio!G22=0,"",[1]Appoggio!G22)</f>
        <v/>
      </c>
      <c r="H22" s="1" t="str">
        <f>IF([1]Appoggio!H22=0,"",[1]Appoggio!H22)</f>
        <v/>
      </c>
      <c r="I22" s="1" t="str">
        <f>IF([1]Appoggio!I22=0,"",[1]Appoggio!I22)</f>
        <v/>
      </c>
      <c r="J22" s="1" t="str">
        <f>IF([1]Appoggio!J22=0,"",[1]Appoggio!J22)</f>
        <v/>
      </c>
      <c r="K22" s="1" t="str">
        <f>IF([1]Appoggio!K22=0,"",[1]Appoggio!K22)</f>
        <v/>
      </c>
      <c r="L22" s="1" t="str">
        <f>IF([1]Appoggio!L22=0,"",[1]Appoggio!L22)</f>
        <v/>
      </c>
      <c r="M22" s="1" t="str">
        <f>IF([1]Appoggio!M22=0,"",[1]Appoggio!M22)</f>
        <v/>
      </c>
      <c r="N22" s="1" t="str">
        <f>IF([1]Appoggio!N22=0,"",[1]Appoggio!N22)</f>
        <v/>
      </c>
      <c r="O22" s="1" t="str">
        <f>IF([1]Appoggio!O22=0,"",[1]Appoggio!O22)</f>
        <v/>
      </c>
      <c r="P22" s="1" t="str">
        <f>IF([1]Appoggio!P22=0,"",[1]Appoggio!P22)</f>
        <v/>
      </c>
    </row>
    <row r="23" spans="1:16" x14ac:dyDescent="0.25">
      <c r="A23" s="1" t="str">
        <f>IF([1]Appoggio!A23=0,"",[1]Appoggio!A23)</f>
        <v/>
      </c>
      <c r="B23" s="1" t="str">
        <f>IF([1]Appoggio!B23=0,"",[1]Appoggio!B23)</f>
        <v/>
      </c>
      <c r="C23" s="1" t="str">
        <f>IF([1]Appoggio!C23=0,"",[1]Appoggio!C23)</f>
        <v>MLC1</v>
      </c>
      <c r="D23" s="1" t="str">
        <f>IF([1]Appoggio!D23=0,"",[1]Appoggio!D23)</f>
        <v>Max Long Cap 1</v>
      </c>
      <c r="E23" s="1" t="str">
        <f>IF([1]Appoggio!E23=0,"",[1]Appoggio!E23)</f>
        <v/>
      </c>
      <c r="F23" s="1" t="str">
        <f>IF([1]Appoggio!F23=0,"",[1]Appoggio!F23)</f>
        <v/>
      </c>
      <c r="G23" s="1" t="str">
        <f>IF([1]Appoggio!G23=0,"",[1]Appoggio!G23)</f>
        <v/>
      </c>
      <c r="H23" s="1" t="str">
        <f>IF([1]Appoggio!H23=0,"",[1]Appoggio!H23)</f>
        <v/>
      </c>
      <c r="I23" s="1" t="str">
        <f>IF([1]Appoggio!I23=0,"",[1]Appoggio!I23)</f>
        <v/>
      </c>
      <c r="J23" s="1" t="str">
        <f>IF([1]Appoggio!J23=0,"",[1]Appoggio!J23)</f>
        <v/>
      </c>
      <c r="K23" s="1" t="str">
        <f>IF([1]Appoggio!K23=0,"",[1]Appoggio!K23)</f>
        <v/>
      </c>
      <c r="L23" s="1" t="str">
        <f>IF([1]Appoggio!L23=0,"",[1]Appoggio!L23)</f>
        <v/>
      </c>
      <c r="M23" s="1" t="str">
        <f>IF([1]Appoggio!M23=0,"",[1]Appoggio!M23)</f>
        <v/>
      </c>
      <c r="N23" s="1" t="str">
        <f>IF([1]Appoggio!N23=0,"",[1]Appoggio!N23)</f>
        <v/>
      </c>
      <c r="O23" s="1" t="str">
        <f>IF([1]Appoggio!O23=0,"",[1]Appoggio!O23)</f>
        <v/>
      </c>
      <c r="P23" s="1" t="str">
        <f>IF([1]Appoggio!P23=0,"",[1]Appoggio!P23)</f>
        <v/>
      </c>
    </row>
    <row r="24" spans="1:16" x14ac:dyDescent="0.25">
      <c r="A24" s="1" t="str">
        <f>IF([1]Appoggio!A24=0,"",[1]Appoggio!A24)</f>
        <v/>
      </c>
      <c r="B24" s="1" t="str">
        <f>IF([1]Appoggio!B24=0,"",[1]Appoggio!B24)</f>
        <v/>
      </c>
      <c r="C24" s="1" t="str">
        <f>IF([1]Appoggio!C24=0,"",[1]Appoggio!C24)</f>
        <v>MLC2</v>
      </c>
      <c r="D24" s="1" t="str">
        <f>IF([1]Appoggio!D24=0,"",[1]Appoggio!D24)</f>
        <v>Max Long Cap 2</v>
      </c>
      <c r="E24" s="1" t="str">
        <f>IF([1]Appoggio!E24=0,"",[1]Appoggio!E24)</f>
        <v/>
      </c>
      <c r="F24" s="1" t="str">
        <f>IF([1]Appoggio!F24=0,"",[1]Appoggio!F24)</f>
        <v/>
      </c>
      <c r="G24" s="1" t="str">
        <f>IF([1]Appoggio!G24=0,"",[1]Appoggio!G24)</f>
        <v/>
      </c>
      <c r="H24" s="1" t="str">
        <f>IF([1]Appoggio!H24=0,"",[1]Appoggio!H24)</f>
        <v/>
      </c>
      <c r="I24" s="1" t="str">
        <f>IF([1]Appoggio!I24=0,"",[1]Appoggio!I24)</f>
        <v/>
      </c>
      <c r="J24" s="1" t="str">
        <f>IF([1]Appoggio!J24=0,"",[1]Appoggio!J24)</f>
        <v/>
      </c>
      <c r="K24" s="1" t="str">
        <f>IF([1]Appoggio!K24=0,"",[1]Appoggio!K24)</f>
        <v/>
      </c>
      <c r="L24" s="1" t="str">
        <f>IF([1]Appoggio!L24=0,"",[1]Appoggio!L24)</f>
        <v/>
      </c>
      <c r="M24" s="1" t="str">
        <f>IF([1]Appoggio!M24=0,"",[1]Appoggio!M24)</f>
        <v/>
      </c>
      <c r="N24" s="1" t="str">
        <f>IF([1]Appoggio!N24=0,"",[1]Appoggio!N24)</f>
        <v/>
      </c>
      <c r="O24" s="1" t="str">
        <f>IF([1]Appoggio!O24=0,"",[1]Appoggio!O24)</f>
        <v/>
      </c>
      <c r="P24" s="1" t="str">
        <f>IF([1]Appoggio!P24=0,"",[1]Appoggio!P24)</f>
        <v/>
      </c>
    </row>
    <row r="25" spans="1:16" x14ac:dyDescent="0.25">
      <c r="A25" s="1" t="str">
        <f>IF([1]Appoggio!A25=0,"",[1]Appoggio!A25)</f>
        <v/>
      </c>
      <c r="B25" s="1" t="str">
        <f>IF([1]Appoggio!B25=0,"",[1]Appoggio!B25)</f>
        <v/>
      </c>
      <c r="C25" s="1" t="str">
        <f>IF([1]Appoggio!C25=0,"",[1]Appoggio!C25)</f>
        <v>DBD</v>
      </c>
      <c r="D25" s="1" t="str">
        <f>IF([1]Appoggio!D25=0,"",[1]Appoggio!D25)</f>
        <v>Double Barrier Digital</v>
      </c>
      <c r="E25" s="1" t="str">
        <f>IF([1]Appoggio!E25=0,"",[1]Appoggio!E25)</f>
        <v/>
      </c>
      <c r="F25" s="1" t="str">
        <f>IF([1]Appoggio!F25=0,"",[1]Appoggio!F25)</f>
        <v/>
      </c>
      <c r="G25" s="1" t="str">
        <f>IF([1]Appoggio!G25=0,"",[1]Appoggio!G25)</f>
        <v/>
      </c>
      <c r="H25" s="1" t="str">
        <f>IF([1]Appoggio!H25=0,"",[1]Appoggio!H25)</f>
        <v/>
      </c>
      <c r="I25" s="1" t="str">
        <f>IF([1]Appoggio!I25=0,"",[1]Appoggio!I25)</f>
        <v/>
      </c>
      <c r="J25" s="1" t="str">
        <f>IF([1]Appoggio!J25=0,"",[1]Appoggio!J25)</f>
        <v/>
      </c>
      <c r="K25" s="1" t="str">
        <f>IF([1]Appoggio!K25=0,"",[1]Appoggio!K25)</f>
        <v/>
      </c>
      <c r="L25" s="1" t="str">
        <f>IF([1]Appoggio!L25=0,"",[1]Appoggio!L25)</f>
        <v/>
      </c>
      <c r="M25" s="1" t="str">
        <f>IF([1]Appoggio!M25=0,"",[1]Appoggio!M25)</f>
        <v/>
      </c>
      <c r="N25" s="1" t="str">
        <f>IF([1]Appoggio!N25=0,"",[1]Appoggio!N25)</f>
        <v/>
      </c>
      <c r="O25" s="1" t="str">
        <f>IF([1]Appoggio!O25=0,"",[1]Appoggio!O25)</f>
        <v/>
      </c>
      <c r="P25" s="1" t="str">
        <f>IF([1]Appoggio!P25=0,"",[1]Appoggio!P25)</f>
        <v/>
      </c>
    </row>
    <row r="26" spans="1:16" x14ac:dyDescent="0.25">
      <c r="A26" s="1" t="str">
        <f>IF([1]Appoggio!A26=0,"",[1]Appoggio!A26)</f>
        <v/>
      </c>
      <c r="B26" s="1" t="str">
        <f>IF([1]Appoggio!B26=0,"",[1]Appoggio!B26)</f>
        <v/>
      </c>
      <c r="C26" s="1" t="str">
        <f>IF([1]Appoggio!C26=0,"",[1]Appoggio!C26)</f>
        <v>MLC3</v>
      </c>
      <c r="D26" s="1" t="str">
        <f>IF([1]Appoggio!D26=0,"",[1]Appoggio!D26)</f>
        <v>Max Long Cap 3</v>
      </c>
      <c r="E26" s="1" t="str">
        <f>IF([1]Appoggio!E26=0,"",[1]Appoggio!E26)</f>
        <v/>
      </c>
      <c r="F26" s="1" t="str">
        <f>IF([1]Appoggio!F26=0,"",[1]Appoggio!F26)</f>
        <v/>
      </c>
      <c r="G26" s="1" t="str">
        <f>IF([1]Appoggio!G26=0,"",[1]Appoggio!G26)</f>
        <v/>
      </c>
      <c r="H26" s="1" t="str">
        <f>IF([1]Appoggio!H26=0,"",[1]Appoggio!H26)</f>
        <v/>
      </c>
      <c r="I26" s="1" t="str">
        <f>IF([1]Appoggio!I26=0,"",[1]Appoggio!I26)</f>
        <v/>
      </c>
      <c r="J26" s="1" t="str">
        <f>IF([1]Appoggio!J26=0,"",[1]Appoggio!J26)</f>
        <v/>
      </c>
      <c r="K26" s="1" t="str">
        <f>IF([1]Appoggio!K26=0,"",[1]Appoggio!K26)</f>
        <v/>
      </c>
      <c r="L26" s="1" t="str">
        <f>IF([1]Appoggio!L26=0,"",[1]Appoggio!L26)</f>
        <v/>
      </c>
      <c r="M26" s="1" t="str">
        <f>IF([1]Appoggio!M26=0,"",[1]Appoggio!M26)</f>
        <v/>
      </c>
      <c r="N26" s="1" t="str">
        <f>IF([1]Appoggio!N26=0,"",[1]Appoggio!N26)</f>
        <v/>
      </c>
      <c r="O26" s="1" t="str">
        <f>IF([1]Appoggio!O26=0,"",[1]Appoggio!O26)</f>
        <v/>
      </c>
      <c r="P26" s="1" t="str">
        <f>IF([1]Appoggio!P26=0,"",[1]Appoggio!P26)</f>
        <v/>
      </c>
    </row>
    <row r="27" spans="1:16" x14ac:dyDescent="0.25">
      <c r="A27" s="1" t="str">
        <f>IF([1]Appoggio!A27=0,"",[1]Appoggio!A27)</f>
        <v/>
      </c>
      <c r="B27" s="1" t="str">
        <f>IF([1]Appoggio!B27=0,"",[1]Appoggio!B27)</f>
        <v/>
      </c>
      <c r="C27" s="1" t="str">
        <f>IF([1]Appoggio!C27=0,"",[1]Appoggio!C27)</f>
        <v>OR</v>
      </c>
      <c r="D27" s="1" t="str">
        <f>IF([1]Appoggio!D27=0,"",[1]Appoggio!D27)</f>
        <v>Obiettivo Rendimento</v>
      </c>
      <c r="E27" s="1" t="str">
        <f>IF([1]Appoggio!E27=0,"",[1]Appoggio!E27)</f>
        <v/>
      </c>
      <c r="F27" s="1" t="str">
        <f>IF([1]Appoggio!F27=0,"",[1]Appoggio!F27)</f>
        <v/>
      </c>
      <c r="G27" s="1" t="str">
        <f>IF([1]Appoggio!G27=0,"",[1]Appoggio!G27)</f>
        <v/>
      </c>
      <c r="H27" s="1" t="str">
        <f>IF([1]Appoggio!H27=0,"",[1]Appoggio!H27)</f>
        <v/>
      </c>
      <c r="I27" s="1" t="str">
        <f>IF([1]Appoggio!I27=0,"",[1]Appoggio!I27)</f>
        <v/>
      </c>
      <c r="J27" s="1" t="str">
        <f>IF([1]Appoggio!J27=0,"",[1]Appoggio!J27)</f>
        <v/>
      </c>
      <c r="K27" s="1" t="str">
        <f>IF([1]Appoggio!K27=0,"",[1]Appoggio!K27)</f>
        <v/>
      </c>
      <c r="L27" s="1" t="str">
        <f>IF([1]Appoggio!L27=0,"",[1]Appoggio!L27)</f>
        <v/>
      </c>
      <c r="M27" s="1" t="str">
        <f>IF([1]Appoggio!M27=0,"",[1]Appoggio!M27)</f>
        <v/>
      </c>
      <c r="N27" s="1" t="str">
        <f>IF([1]Appoggio!N27=0,"",[1]Appoggio!N27)</f>
        <v/>
      </c>
      <c r="O27" s="1" t="str">
        <f>IF([1]Appoggio!O27=0,"",[1]Appoggio!O27)</f>
        <v/>
      </c>
      <c r="P27" s="1" t="str">
        <f>IF([1]Appoggio!P27=0,"",[1]Appoggio!P27)</f>
        <v/>
      </c>
    </row>
    <row r="28" spans="1:16" x14ac:dyDescent="0.25">
      <c r="A28" s="1" t="str">
        <f>IF([1]Appoggio!A28=0,"",[1]Appoggio!A28)</f>
        <v/>
      </c>
      <c r="B28" s="1" t="str">
        <f>IF([1]Appoggio!B28=0,"",[1]Appoggio!B28)</f>
        <v/>
      </c>
      <c r="C28" s="1" t="str">
        <f>IF([1]Appoggio!C28=0,"",[1]Appoggio!C28)</f>
        <v>ATD1</v>
      </c>
      <c r="D28" s="1" t="str">
        <f>IF([1]Appoggio!D28=0,"",[1]Appoggio!D28)</f>
        <v>Autocallable Digital</v>
      </c>
      <c r="E28" s="1" t="str">
        <f>IF([1]Appoggio!E28=0,"",[1]Appoggio!E28)</f>
        <v/>
      </c>
      <c r="F28" s="1" t="str">
        <f>IF([1]Appoggio!F28=0,"",[1]Appoggio!F28)</f>
        <v/>
      </c>
      <c r="G28" s="1" t="str">
        <f>IF([1]Appoggio!G28=0,"",[1]Appoggio!G28)</f>
        <v/>
      </c>
      <c r="H28" s="1" t="str">
        <f>IF([1]Appoggio!H28=0,"",[1]Appoggio!H28)</f>
        <v/>
      </c>
      <c r="I28" s="1" t="str">
        <f>IF([1]Appoggio!I28=0,"",[1]Appoggio!I28)</f>
        <v/>
      </c>
      <c r="J28" s="1" t="str">
        <f>IF([1]Appoggio!J28=0,"",[1]Appoggio!J28)</f>
        <v/>
      </c>
      <c r="K28" s="1" t="str">
        <f>IF([1]Appoggio!K28=0,"",[1]Appoggio!K28)</f>
        <v/>
      </c>
      <c r="L28" s="1" t="str">
        <f>IF([1]Appoggio!L28=0,"",[1]Appoggio!L28)</f>
        <v/>
      </c>
      <c r="M28" s="1" t="str">
        <f>IF([1]Appoggio!M28=0,"",[1]Appoggio!M28)</f>
        <v/>
      </c>
      <c r="N28" s="1" t="str">
        <f>IF([1]Appoggio!N28=0,"",[1]Appoggio!N28)</f>
        <v/>
      </c>
      <c r="O28" s="1" t="str">
        <f>IF([1]Appoggio!O28=0,"",[1]Appoggio!O28)</f>
        <v/>
      </c>
      <c r="P28" s="1" t="str">
        <f>IF([1]Appoggio!P28=0,"",[1]Appoggio!P28)</f>
        <v/>
      </c>
    </row>
    <row r="29" spans="1:16" x14ac:dyDescent="0.25">
      <c r="A29" s="1" t="str">
        <f>IF([1]Appoggio!A29=0,"",[1]Appoggio!A29)</f>
        <v/>
      </c>
      <c r="B29" s="1" t="str">
        <f>IF([1]Appoggio!B29=0,"",[1]Appoggio!B29)</f>
        <v/>
      </c>
      <c r="C29" s="1" t="str">
        <f>IF([1]Appoggio!C29=0,"",[1]Appoggio!C29)</f>
        <v>PEL</v>
      </c>
      <c r="D29" s="1" t="str">
        <f>IF([1]Appoggio!D29=0,"",[1]Appoggio!D29)</f>
        <v>Podium Equity Linked</v>
      </c>
      <c r="E29" s="1" t="str">
        <f>IF([1]Appoggio!E29=0,"",[1]Appoggio!E29)</f>
        <v/>
      </c>
      <c r="F29" s="1" t="str">
        <f>IF([1]Appoggio!F29=0,"",[1]Appoggio!F29)</f>
        <v/>
      </c>
      <c r="G29" s="1" t="str">
        <f>IF([1]Appoggio!G29=0,"",[1]Appoggio!G29)</f>
        <v/>
      </c>
      <c r="H29" s="1" t="str">
        <f>IF([1]Appoggio!H29=0,"",[1]Appoggio!H29)</f>
        <v/>
      </c>
      <c r="I29" s="1" t="str">
        <f>IF([1]Appoggio!I29=0,"",[1]Appoggio!I29)</f>
        <v/>
      </c>
      <c r="J29" s="1" t="str">
        <f>IF([1]Appoggio!J29=0,"",[1]Appoggio!J29)</f>
        <v/>
      </c>
      <c r="K29" s="1" t="str">
        <f>IF([1]Appoggio!K29=0,"",[1]Appoggio!K29)</f>
        <v/>
      </c>
      <c r="L29" s="1" t="str">
        <f>IF([1]Appoggio!L29=0,"",[1]Appoggio!L29)</f>
        <v/>
      </c>
      <c r="M29" s="1" t="str">
        <f>IF([1]Appoggio!M29=0,"",[1]Appoggio!M29)</f>
        <v/>
      </c>
      <c r="N29" s="1" t="str">
        <f>IF([1]Appoggio!N29=0,"",[1]Appoggio!N29)</f>
        <v/>
      </c>
      <c r="O29" s="1" t="str">
        <f>IF([1]Appoggio!O29=0,"",[1]Appoggio!O29)</f>
        <v/>
      </c>
      <c r="P29" s="1" t="str">
        <f>IF([1]Appoggio!P29=0,"",[1]Appoggio!P29)</f>
        <v/>
      </c>
    </row>
    <row r="30" spans="1:16" x14ac:dyDescent="0.25">
      <c r="A30" s="1" t="str">
        <f>IF([1]Appoggio!A30=0,"",[1]Appoggio!A30)</f>
        <v/>
      </c>
      <c r="B30" s="1" t="str">
        <f>IF([1]Appoggio!B30=0,"",[1]Appoggio!B30)</f>
        <v/>
      </c>
      <c r="C30" s="1" t="str">
        <f>IF([1]Appoggio!C30=0,"",[1]Appoggio!C30)</f>
        <v>TCA</v>
      </c>
      <c r="D30" s="1" t="str">
        <f>IF([1]Appoggio!D30=0,"",[1]Appoggio!D30)</f>
        <v>Tasso Certo Ammortizzato</v>
      </c>
      <c r="E30" s="1" t="str">
        <f>IF([1]Appoggio!E30=0,"",[1]Appoggio!E30)</f>
        <v/>
      </c>
      <c r="F30" s="1" t="str">
        <f>IF([1]Appoggio!F30=0,"",[1]Appoggio!F30)</f>
        <v/>
      </c>
      <c r="G30" s="1" t="str">
        <f>IF([1]Appoggio!G30=0,"",[1]Appoggio!G30)</f>
        <v/>
      </c>
      <c r="H30" s="1" t="str">
        <f>IF([1]Appoggio!H30=0,"",[1]Appoggio!H30)</f>
        <v/>
      </c>
      <c r="I30" s="1" t="str">
        <f>IF([1]Appoggio!I30=0,"",[1]Appoggio!I30)</f>
        <v/>
      </c>
      <c r="J30" s="1" t="str">
        <f>IF([1]Appoggio!J30=0,"",[1]Appoggio!J30)</f>
        <v/>
      </c>
      <c r="K30" s="1" t="str">
        <f>IF([1]Appoggio!K30=0,"",[1]Appoggio!K30)</f>
        <v/>
      </c>
      <c r="L30" s="1" t="str">
        <f>IF([1]Appoggio!L30=0,"",[1]Appoggio!L30)</f>
        <v/>
      </c>
      <c r="M30" s="1" t="str">
        <f>IF([1]Appoggio!M30=0,"",[1]Appoggio!M30)</f>
        <v/>
      </c>
      <c r="N30" s="1" t="str">
        <f>IF([1]Appoggio!N30=0,"",[1]Appoggio!N30)</f>
        <v/>
      </c>
      <c r="O30" s="1" t="str">
        <f>IF([1]Appoggio!O30=0,"",[1]Appoggio!O30)</f>
        <v/>
      </c>
      <c r="P30" s="1" t="str">
        <f>IF([1]Appoggio!P30=0,"",[1]Appoggio!P30)</f>
        <v/>
      </c>
    </row>
    <row r="31" spans="1:16" x14ac:dyDescent="0.25">
      <c r="A31" s="1" t="str">
        <f>IF([1]Appoggio!A31=0,"",[1]Appoggio!A31)</f>
        <v/>
      </c>
      <c r="B31" s="1" t="str">
        <f>IF([1]Appoggio!B31=0,"",[1]Appoggio!B31)</f>
        <v/>
      </c>
      <c r="C31" s="1" t="str">
        <f>IF([1]Appoggio!C31=0,"",[1]Appoggio!C31)</f>
        <v>TC</v>
      </c>
      <c r="D31" s="1" t="str">
        <f>IF([1]Appoggio!D31=0,"",[1]Appoggio!D31)</f>
        <v>Tasso Certo</v>
      </c>
      <c r="E31" s="1" t="str">
        <f>IF([1]Appoggio!E31=0,"",[1]Appoggio!E31)</f>
        <v/>
      </c>
      <c r="F31" s="1" t="str">
        <f>IF([1]Appoggio!F31=0,"",[1]Appoggio!F31)</f>
        <v/>
      </c>
      <c r="G31" s="1" t="str">
        <f>IF([1]Appoggio!G31=0,"",[1]Appoggio!G31)</f>
        <v/>
      </c>
      <c r="H31" s="1" t="str">
        <f>IF([1]Appoggio!H31=0,"",[1]Appoggio!H31)</f>
        <v/>
      </c>
      <c r="I31" s="1" t="str">
        <f>IF([1]Appoggio!I31=0,"",[1]Appoggio!I31)</f>
        <v/>
      </c>
      <c r="J31" s="1" t="str">
        <f>IF([1]Appoggio!J31=0,"",[1]Appoggio!J31)</f>
        <v/>
      </c>
      <c r="K31" s="1" t="str">
        <f>IF([1]Appoggio!K31=0,"",[1]Appoggio!K31)</f>
        <v/>
      </c>
      <c r="L31" s="1" t="str">
        <f>IF([1]Appoggio!L31=0,"",[1]Appoggio!L31)</f>
        <v/>
      </c>
      <c r="M31" s="1" t="str">
        <f>IF([1]Appoggio!M31=0,"",[1]Appoggio!M31)</f>
        <v/>
      </c>
      <c r="N31" s="1" t="str">
        <f>IF([1]Appoggio!N31=0,"",[1]Appoggio!N31)</f>
        <v/>
      </c>
      <c r="O31" s="1" t="str">
        <f>IF([1]Appoggio!O31=0,"",[1]Appoggio!O31)</f>
        <v/>
      </c>
      <c r="P31" s="1" t="str">
        <f>IF([1]Appoggio!P31=0,"",[1]Appoggio!P31)</f>
        <v/>
      </c>
    </row>
    <row r="32" spans="1:16" x14ac:dyDescent="0.25">
      <c r="A32" s="1" t="str">
        <f>IF([1]Appoggio!A32=0,"",[1]Appoggio!A32)</f>
        <v/>
      </c>
      <c r="B32" s="1" t="str">
        <f>IF([1]Appoggio!B32=0,"",[1]Appoggio!B32)</f>
        <v/>
      </c>
      <c r="C32" s="1" t="str">
        <f>IF([1]Appoggio!C32=0,"",[1]Appoggio!C32)</f>
        <v>ILC</v>
      </c>
      <c r="D32" s="1" t="str">
        <f>IF([1]Appoggio!D32=0,"",[1]Appoggio!D32)</f>
        <v>Inflation Linked Payoff</v>
      </c>
      <c r="E32" s="1" t="str">
        <f>IF([1]Appoggio!E32=0,"",[1]Appoggio!E32)</f>
        <v/>
      </c>
      <c r="F32" s="1" t="str">
        <f>IF([1]Appoggio!F32=0,"",[1]Appoggio!F32)</f>
        <v/>
      </c>
      <c r="G32" s="1" t="str">
        <f>IF([1]Appoggio!G32=0,"",[1]Appoggio!G32)</f>
        <v/>
      </c>
      <c r="H32" s="1" t="str">
        <f>IF([1]Appoggio!H32=0,"",[1]Appoggio!H32)</f>
        <v/>
      </c>
      <c r="I32" s="1" t="str">
        <f>IF([1]Appoggio!I32=0,"",[1]Appoggio!I32)</f>
        <v/>
      </c>
      <c r="J32" s="1" t="str">
        <f>IF([1]Appoggio!J32=0,"",[1]Appoggio!J32)</f>
        <v/>
      </c>
      <c r="K32" s="1" t="str">
        <f>IF([1]Appoggio!K32=0,"",[1]Appoggio!K32)</f>
        <v/>
      </c>
      <c r="L32" s="1" t="str">
        <f>IF([1]Appoggio!L32=0,"",[1]Appoggio!L32)</f>
        <v/>
      </c>
      <c r="M32" s="1" t="str">
        <f>IF([1]Appoggio!M32=0,"",[1]Appoggio!M32)</f>
        <v/>
      </c>
      <c r="N32" s="1" t="str">
        <f>IF([1]Appoggio!N32=0,"",[1]Appoggio!N32)</f>
        <v/>
      </c>
      <c r="O32" s="1" t="str">
        <f>IF([1]Appoggio!O32=0,"",[1]Appoggio!O32)</f>
        <v/>
      </c>
      <c r="P32" s="1" t="str">
        <f>IF([1]Appoggio!P32=0,"",[1]Appoggio!P32)</f>
        <v/>
      </c>
    </row>
    <row r="33" spans="1:16" x14ac:dyDescent="0.25">
      <c r="A33" s="1" t="str">
        <f>IF([1]Appoggio!A33=0,"",[1]Appoggio!A33)</f>
        <v/>
      </c>
      <c r="B33" s="1" t="str">
        <f>IF([1]Appoggio!B33=0,"",[1]Appoggio!B33)</f>
        <v/>
      </c>
      <c r="C33" s="1" t="str">
        <f>IF([1]Appoggio!C33=0,"",[1]Appoggio!C33)</f>
        <v>TPPUA</v>
      </c>
      <c r="D33" s="1" t="str">
        <f>IF([1]Appoggio!D33=0,"",[1]Appoggio!D33)</f>
        <v>Tasso Protetto Premio Unico Ammortizzato</v>
      </c>
      <c r="E33" s="1" t="str">
        <f>IF([1]Appoggio!E33=0,"",[1]Appoggio!E33)</f>
        <v/>
      </c>
      <c r="F33" s="1" t="str">
        <f>IF([1]Appoggio!F33=0,"",[1]Appoggio!F33)</f>
        <v/>
      </c>
      <c r="G33" s="1" t="str">
        <f>IF([1]Appoggio!G33=0,"",[1]Appoggio!G33)</f>
        <v/>
      </c>
      <c r="H33" s="1" t="str">
        <f>IF([1]Appoggio!H33=0,"",[1]Appoggio!H33)</f>
        <v/>
      </c>
      <c r="I33" s="1" t="str">
        <f>IF([1]Appoggio!I33=0,"",[1]Appoggio!I33)</f>
        <v/>
      </c>
      <c r="J33" s="1" t="str">
        <f>IF([1]Appoggio!J33=0,"",[1]Appoggio!J33)</f>
        <v/>
      </c>
      <c r="K33" s="1" t="str">
        <f>IF([1]Appoggio!K33=0,"",[1]Appoggio!K33)</f>
        <v/>
      </c>
      <c r="L33" s="1" t="str">
        <f>IF([1]Appoggio!L33=0,"",[1]Appoggio!L33)</f>
        <v/>
      </c>
      <c r="M33" s="1" t="str">
        <f>IF([1]Appoggio!M33=0,"",[1]Appoggio!M33)</f>
        <v/>
      </c>
      <c r="N33" s="1" t="str">
        <f>IF([1]Appoggio!N33=0,"",[1]Appoggio!N33)</f>
        <v/>
      </c>
      <c r="O33" s="1" t="str">
        <f>IF([1]Appoggio!O33=0,"",[1]Appoggio!O33)</f>
        <v/>
      </c>
      <c r="P33" s="1" t="str">
        <f>IF([1]Appoggio!P33=0,"",[1]Appoggio!P33)</f>
        <v/>
      </c>
    </row>
    <row r="34" spans="1:16" x14ac:dyDescent="0.25">
      <c r="A34" s="1" t="str">
        <f>IF([1]Appoggio!A34=0,"",[1]Appoggio!A34)</f>
        <v/>
      </c>
      <c r="B34" s="1" t="str">
        <f>IF([1]Appoggio!B34=0,"",[1]Appoggio!B34)</f>
        <v/>
      </c>
      <c r="C34" s="1" t="str">
        <f>IF([1]Appoggio!C34=0,"",[1]Appoggio!C34)</f>
        <v>TPPFA</v>
      </c>
      <c r="D34" s="1" t="str">
        <f>IF([1]Appoggio!D34=0,"",[1]Appoggio!D34)</f>
        <v>Tasso Protetto Premio Frazionato Ammortizzato</v>
      </c>
      <c r="E34" s="1" t="str">
        <f>IF([1]Appoggio!E34=0,"",[1]Appoggio!E34)</f>
        <v/>
      </c>
      <c r="F34" s="1" t="str">
        <f>IF([1]Appoggio!F34=0,"",[1]Appoggio!F34)</f>
        <v/>
      </c>
      <c r="G34" s="1" t="str">
        <f>IF([1]Appoggio!G34=0,"",[1]Appoggio!G34)</f>
        <v/>
      </c>
      <c r="H34" s="1" t="str">
        <f>IF([1]Appoggio!H34=0,"",[1]Appoggio!H34)</f>
        <v/>
      </c>
      <c r="I34" s="1" t="str">
        <f>IF([1]Appoggio!I34=0,"",[1]Appoggio!I34)</f>
        <v/>
      </c>
      <c r="J34" s="1" t="str">
        <f>IF([1]Appoggio!J34=0,"",[1]Appoggio!J34)</f>
        <v/>
      </c>
      <c r="K34" s="1" t="str">
        <f>IF([1]Appoggio!K34=0,"",[1]Appoggio!K34)</f>
        <v/>
      </c>
      <c r="L34" s="1" t="str">
        <f>IF([1]Appoggio!L34=0,"",[1]Appoggio!L34)</f>
        <v/>
      </c>
      <c r="M34" s="1" t="str">
        <f>IF([1]Appoggio!M34=0,"",[1]Appoggio!M34)</f>
        <v/>
      </c>
      <c r="N34" s="1" t="str">
        <f>IF([1]Appoggio!N34=0,"",[1]Appoggio!N34)</f>
        <v/>
      </c>
      <c r="O34" s="1" t="str">
        <f>IF([1]Appoggio!O34=0,"",[1]Appoggio!O34)</f>
        <v/>
      </c>
      <c r="P34" s="1" t="str">
        <f>IF([1]Appoggio!P34=0,"",[1]Appoggio!P34)</f>
        <v/>
      </c>
    </row>
    <row r="35" spans="1:16" x14ac:dyDescent="0.25">
      <c r="A35" s="1" t="str">
        <f>IF([1]Appoggio!A35=0,"",[1]Appoggio!A35)</f>
        <v/>
      </c>
      <c r="B35" s="1" t="str">
        <f>IF([1]Appoggio!B35=0,"",[1]Appoggio!B35)</f>
        <v/>
      </c>
      <c r="C35" s="1" t="str">
        <f>IF([1]Appoggio!C35=0,"",[1]Appoggio!C35)</f>
        <v>CPPVE</v>
      </c>
      <c r="D35" s="1" t="str">
        <f>IF([1]Appoggio!D35=0,"",[1]Appoggio!D35)</f>
        <v>Cambio Protetto Plain Vanilla Export</v>
      </c>
      <c r="E35" s="1" t="str">
        <f>IF([1]Appoggio!E35=0,"",[1]Appoggio!E35)</f>
        <v/>
      </c>
      <c r="F35" s="1" t="str">
        <f>IF([1]Appoggio!F35=0,"",[1]Appoggio!F35)</f>
        <v/>
      </c>
      <c r="G35" s="1" t="str">
        <f>IF([1]Appoggio!G35=0,"",[1]Appoggio!G35)</f>
        <v/>
      </c>
      <c r="H35" s="1" t="str">
        <f>IF([1]Appoggio!H35=0,"",[1]Appoggio!H35)</f>
        <v/>
      </c>
      <c r="I35" s="1" t="str">
        <f>IF([1]Appoggio!I35=0,"",[1]Appoggio!I35)</f>
        <v/>
      </c>
      <c r="J35" s="1" t="str">
        <f>IF([1]Appoggio!J35=0,"",[1]Appoggio!J35)</f>
        <v/>
      </c>
      <c r="K35" s="1" t="str">
        <f>IF([1]Appoggio!K35=0,"",[1]Appoggio!K35)</f>
        <v/>
      </c>
      <c r="L35" s="1" t="str">
        <f>IF([1]Appoggio!L35=0,"",[1]Appoggio!L35)</f>
        <v/>
      </c>
      <c r="M35" s="1" t="str">
        <f>IF([1]Appoggio!M35=0,"",[1]Appoggio!M35)</f>
        <v/>
      </c>
      <c r="N35" s="1" t="str">
        <f>IF([1]Appoggio!N35=0,"",[1]Appoggio!N35)</f>
        <v/>
      </c>
      <c r="O35" s="1" t="str">
        <f>IF([1]Appoggio!O35=0,"",[1]Appoggio!O35)</f>
        <v/>
      </c>
      <c r="P35" s="1" t="str">
        <f>IF([1]Appoggio!P35=0,"",[1]Appoggio!P35)</f>
        <v/>
      </c>
    </row>
    <row r="36" spans="1:16" x14ac:dyDescent="0.25">
      <c r="A36" s="1" t="str">
        <f>IF([1]Appoggio!A36=0,"",[1]Appoggio!A36)</f>
        <v/>
      </c>
      <c r="B36" s="1" t="str">
        <f>IF([1]Appoggio!B36=0,"",[1]Appoggio!B36)</f>
        <v/>
      </c>
      <c r="C36" s="1" t="str">
        <f>IF([1]Appoggio!C36=0,"",[1]Appoggio!C36)</f>
        <v>CPPVI</v>
      </c>
      <c r="D36" s="1" t="str">
        <f>IF([1]Appoggio!D36=0,"",[1]Appoggio!D36)</f>
        <v>Cambio Protetto Plain Vanilla Import</v>
      </c>
      <c r="E36" s="1" t="str">
        <f>IF([1]Appoggio!E36=0,"",[1]Appoggio!E36)</f>
        <v/>
      </c>
      <c r="F36" s="1" t="str">
        <f>IF([1]Appoggio!F36=0,"",[1]Appoggio!F36)</f>
        <v/>
      </c>
      <c r="G36" s="1" t="str">
        <f>IF([1]Appoggio!G36=0,"",[1]Appoggio!G36)</f>
        <v/>
      </c>
      <c r="H36" s="1" t="str">
        <f>IF([1]Appoggio!H36=0,"",[1]Appoggio!H36)</f>
        <v/>
      </c>
      <c r="I36" s="1" t="str">
        <f>IF([1]Appoggio!I36=0,"",[1]Appoggio!I36)</f>
        <v/>
      </c>
      <c r="J36" s="1" t="str">
        <f>IF([1]Appoggio!J36=0,"",[1]Appoggio!J36)</f>
        <v/>
      </c>
      <c r="K36" s="1" t="str">
        <f>IF([1]Appoggio!K36=0,"",[1]Appoggio!K36)</f>
        <v/>
      </c>
      <c r="L36" s="1" t="str">
        <f>IF([1]Appoggio!L36=0,"",[1]Appoggio!L36)</f>
        <v/>
      </c>
      <c r="M36" s="1" t="str">
        <f>IF([1]Appoggio!M36=0,"",[1]Appoggio!M36)</f>
        <v/>
      </c>
      <c r="N36" s="1" t="str">
        <f>IF([1]Appoggio!N36=0,"",[1]Appoggio!N36)</f>
        <v/>
      </c>
      <c r="O36" s="1" t="str">
        <f>IF([1]Appoggio!O36=0,"",[1]Appoggio!O36)</f>
        <v/>
      </c>
      <c r="P36" s="1" t="str">
        <f>IF([1]Appoggio!P36=0,"",[1]Appoggio!P36)</f>
        <v/>
      </c>
    </row>
    <row r="37" spans="1:16" x14ac:dyDescent="0.25">
      <c r="A37" s="1" t="str">
        <f>IF([1]Appoggio!A37=0,"",[1]Appoggio!A37)</f>
        <v/>
      </c>
      <c r="B37" s="1" t="str">
        <f>IF([1]Appoggio!B37=0,"",[1]Appoggio!B37)</f>
        <v/>
      </c>
      <c r="C37" s="1" t="str">
        <f>IF([1]Appoggio!C37=0,"",[1]Appoggio!C37)</f>
        <v>CCTI</v>
      </c>
      <c r="D37" s="1" t="str">
        <f>IF([1]Appoggio!D37=0,"",[1]Appoggio!D37)</f>
        <v>Cambio Certo Termine Import</v>
      </c>
      <c r="E37" s="1" t="str">
        <f>IF([1]Appoggio!E37=0,"",[1]Appoggio!E37)</f>
        <v/>
      </c>
      <c r="F37" s="1" t="str">
        <f>IF([1]Appoggio!F37=0,"",[1]Appoggio!F37)</f>
        <v/>
      </c>
      <c r="G37" s="1" t="str">
        <f>IF([1]Appoggio!G37=0,"",[1]Appoggio!G37)</f>
        <v/>
      </c>
      <c r="H37" s="1" t="str">
        <f>IF([1]Appoggio!H37=0,"",[1]Appoggio!H37)</f>
        <v/>
      </c>
      <c r="I37" s="1" t="str">
        <f>IF([1]Appoggio!I37=0,"",[1]Appoggio!I37)</f>
        <v/>
      </c>
      <c r="J37" s="1" t="str">
        <f>IF([1]Appoggio!J37=0,"",[1]Appoggio!J37)</f>
        <v/>
      </c>
      <c r="K37" s="1" t="str">
        <f>IF([1]Appoggio!K37=0,"",[1]Appoggio!K37)</f>
        <v/>
      </c>
      <c r="L37" s="1" t="str">
        <f>IF([1]Appoggio!L37=0,"",[1]Appoggio!L37)</f>
        <v/>
      </c>
      <c r="M37" s="1" t="str">
        <f>IF([1]Appoggio!M37=0,"",[1]Appoggio!M37)</f>
        <v/>
      </c>
      <c r="N37" s="1" t="str">
        <f>IF([1]Appoggio!N37=0,"",[1]Appoggio!N37)</f>
        <v/>
      </c>
      <c r="O37" s="1" t="str">
        <f>IF([1]Appoggio!O37=0,"",[1]Appoggio!O37)</f>
        <v/>
      </c>
      <c r="P37" s="1" t="str">
        <f>IF([1]Appoggio!P37=0,"",[1]Appoggio!P37)</f>
        <v/>
      </c>
    </row>
    <row r="38" spans="1:16" x14ac:dyDescent="0.25">
      <c r="A38" s="1" t="str">
        <f>IF([1]Appoggio!A38=0,"",[1]Appoggio!A38)</f>
        <v/>
      </c>
      <c r="B38" s="1" t="str">
        <f>IF([1]Appoggio!B38=0,"",[1]Appoggio!B38)</f>
        <v/>
      </c>
      <c r="C38" s="1" t="str">
        <f>IF([1]Appoggio!C38=0,"",[1]Appoggio!C38)</f>
        <v>CCTE</v>
      </c>
      <c r="D38" s="1" t="str">
        <f>IF([1]Appoggio!D38=0,"",[1]Appoggio!D38)</f>
        <v>Cambio Certo Termine Export</v>
      </c>
      <c r="E38" s="1" t="str">
        <f>IF([1]Appoggio!E38=0,"",[1]Appoggio!E38)</f>
        <v/>
      </c>
      <c r="F38" s="1" t="str">
        <f>IF([1]Appoggio!F38=0,"",[1]Appoggio!F38)</f>
        <v/>
      </c>
      <c r="G38" s="1" t="str">
        <f>IF([1]Appoggio!G38=0,"",[1]Appoggio!G38)</f>
        <v/>
      </c>
      <c r="H38" s="1" t="str">
        <f>IF([1]Appoggio!H38=0,"",[1]Appoggio!H38)</f>
        <v/>
      </c>
      <c r="I38" s="1" t="str">
        <f>IF([1]Appoggio!I38=0,"",[1]Appoggio!I38)</f>
        <v/>
      </c>
      <c r="J38" s="1" t="str">
        <f>IF([1]Appoggio!J38=0,"",[1]Appoggio!J38)</f>
        <v/>
      </c>
      <c r="K38" s="1" t="str">
        <f>IF([1]Appoggio!K38=0,"",[1]Appoggio!K38)</f>
        <v/>
      </c>
      <c r="L38" s="1" t="str">
        <f>IF([1]Appoggio!L38=0,"",[1]Appoggio!L38)</f>
        <v/>
      </c>
      <c r="M38" s="1" t="str">
        <f>IF([1]Appoggio!M38=0,"",[1]Appoggio!M38)</f>
        <v/>
      </c>
      <c r="N38" s="1" t="str">
        <f>IF([1]Appoggio!N38=0,"",[1]Appoggio!N38)</f>
        <v/>
      </c>
      <c r="O38" s="1" t="str">
        <f>IF([1]Appoggio!O38=0,"",[1]Appoggio!O38)</f>
        <v/>
      </c>
      <c r="P38" s="1" t="str">
        <f>IF([1]Appoggio!P38=0,"",[1]Appoggio!P38)</f>
        <v/>
      </c>
    </row>
    <row r="39" spans="1:16" x14ac:dyDescent="0.25">
      <c r="A39" s="1" t="str">
        <f>IF([1]Appoggio!A39=0,"",[1]Appoggio!A39)</f>
        <v/>
      </c>
      <c r="B39" s="1" t="str">
        <f>IF([1]Appoggio!B39=0,"",[1]Appoggio!B39)</f>
        <v/>
      </c>
      <c r="C39" s="1" t="str">
        <f>IF([1]Appoggio!C39=0,"",[1]Appoggio!C39)</f>
        <v>CPFKII</v>
      </c>
      <c r="D39" s="1" t="str">
        <f>IF([1]Appoggio!D39=0,"",[1]Appoggio!D39)</f>
        <v>Cambio Protetto Forward KI Import</v>
      </c>
      <c r="E39" s="1" t="str">
        <f>IF([1]Appoggio!E39=0,"",[1]Appoggio!E39)</f>
        <v/>
      </c>
      <c r="F39" s="1" t="str">
        <f>IF([1]Appoggio!F39=0,"",[1]Appoggio!F39)</f>
        <v/>
      </c>
      <c r="G39" s="1" t="str">
        <f>IF([1]Appoggio!G39=0,"",[1]Appoggio!G39)</f>
        <v/>
      </c>
      <c r="H39" s="1" t="str">
        <f>IF([1]Appoggio!H39=0,"",[1]Appoggio!H39)</f>
        <v/>
      </c>
      <c r="I39" s="1" t="str">
        <f>IF([1]Appoggio!I39=0,"",[1]Appoggio!I39)</f>
        <v/>
      </c>
      <c r="J39" s="1" t="str">
        <f>IF([1]Appoggio!J39=0,"",[1]Appoggio!J39)</f>
        <v/>
      </c>
      <c r="K39" s="1" t="str">
        <f>IF([1]Appoggio!K39=0,"",[1]Appoggio!K39)</f>
        <v/>
      </c>
      <c r="L39" s="1" t="str">
        <f>IF([1]Appoggio!L39=0,"",[1]Appoggio!L39)</f>
        <v/>
      </c>
      <c r="M39" s="1" t="str">
        <f>IF([1]Appoggio!M39=0,"",[1]Appoggio!M39)</f>
        <v/>
      </c>
      <c r="N39" s="1" t="str">
        <f>IF([1]Appoggio!N39=0,"",[1]Appoggio!N39)</f>
        <v/>
      </c>
      <c r="O39" s="1" t="str">
        <f>IF([1]Appoggio!O39=0,"",[1]Appoggio!O39)</f>
        <v/>
      </c>
      <c r="P39" s="1" t="str">
        <f>IF([1]Appoggio!P39=0,"",[1]Appoggio!P39)</f>
        <v/>
      </c>
    </row>
    <row r="40" spans="1:16" x14ac:dyDescent="0.25">
      <c r="A40" s="1" t="str">
        <f>IF([1]Appoggio!A40=0,"",[1]Appoggio!A40)</f>
        <v/>
      </c>
      <c r="B40" s="1" t="str">
        <f>IF([1]Appoggio!B40=0,"",[1]Appoggio!B40)</f>
        <v/>
      </c>
      <c r="C40" s="1" t="str">
        <f>IF([1]Appoggio!C40=0,"",[1]Appoggio!C40)</f>
        <v>CPFKIE</v>
      </c>
      <c r="D40" s="1" t="str">
        <f>IF([1]Appoggio!D40=0,"",[1]Appoggio!D40)</f>
        <v>Cambio Protetto Forward KI Export</v>
      </c>
      <c r="E40" s="1" t="str">
        <f>IF([1]Appoggio!E40=0,"",[1]Appoggio!E40)</f>
        <v/>
      </c>
      <c r="F40" s="1" t="str">
        <f>IF([1]Appoggio!F40=0,"",[1]Appoggio!F40)</f>
        <v/>
      </c>
      <c r="G40" s="1" t="str">
        <f>IF([1]Appoggio!G40=0,"",[1]Appoggio!G40)</f>
        <v/>
      </c>
      <c r="H40" s="1" t="str">
        <f>IF([1]Appoggio!H40=0,"",[1]Appoggio!H40)</f>
        <v/>
      </c>
      <c r="I40" s="1" t="str">
        <f>IF([1]Appoggio!I40=0,"",[1]Appoggio!I40)</f>
        <v/>
      </c>
      <c r="J40" s="1" t="str">
        <f>IF([1]Appoggio!J40=0,"",[1]Appoggio!J40)</f>
        <v/>
      </c>
      <c r="K40" s="1" t="str">
        <f>IF([1]Appoggio!K40=0,"",[1]Appoggio!K40)</f>
        <v/>
      </c>
      <c r="L40" s="1" t="str">
        <f>IF([1]Appoggio!L40=0,"",[1]Appoggio!L40)</f>
        <v/>
      </c>
      <c r="M40" s="1" t="str">
        <f>IF([1]Appoggio!M40=0,"",[1]Appoggio!M40)</f>
        <v/>
      </c>
      <c r="N40" s="1" t="str">
        <f>IF([1]Appoggio!N40=0,"",[1]Appoggio!N40)</f>
        <v/>
      </c>
      <c r="O40" s="1" t="str">
        <f>IF([1]Appoggio!O40=0,"",[1]Appoggio!O40)</f>
        <v/>
      </c>
      <c r="P40" s="1" t="str">
        <f>IF([1]Appoggio!P40=0,"",[1]Appoggio!P40)</f>
        <v/>
      </c>
    </row>
    <row r="41" spans="1:16" x14ac:dyDescent="0.25">
      <c r="A41" s="1" t="str">
        <f>IF([1]Appoggio!A41=0,"",[1]Appoggio!A41)</f>
        <v/>
      </c>
      <c r="B41" s="1" t="str">
        <f>IF([1]Appoggio!B41=0,"",[1]Appoggio!B41)</f>
        <v/>
      </c>
      <c r="C41" s="1" t="str">
        <f>IF([1]Appoggio!C41=0,"",[1]Appoggio!C41)</f>
        <v>AD8</v>
      </c>
      <c r="D41" s="1" t="str">
        <f>IF([1]Appoggio!D41=0,"",[1]Appoggio!D41)</f>
        <v>Annual Digital 8</v>
      </c>
      <c r="E41" s="1" t="str">
        <f>IF([1]Appoggio!E41=0,"",[1]Appoggio!E41)</f>
        <v/>
      </c>
      <c r="F41" s="1" t="str">
        <f>IF([1]Appoggio!F41=0,"",[1]Appoggio!F41)</f>
        <v/>
      </c>
      <c r="G41" s="1" t="str">
        <f>IF([1]Appoggio!G41=0,"",[1]Appoggio!G41)</f>
        <v/>
      </c>
      <c r="H41" s="1" t="str">
        <f>IF([1]Appoggio!H41=0,"",[1]Appoggio!H41)</f>
        <v/>
      </c>
      <c r="I41" s="1" t="str">
        <f>IF([1]Appoggio!I41=0,"",[1]Appoggio!I41)</f>
        <v/>
      </c>
      <c r="J41" s="1" t="str">
        <f>IF([1]Appoggio!J41=0,"",[1]Appoggio!J41)</f>
        <v/>
      </c>
      <c r="K41" s="1" t="str">
        <f>IF([1]Appoggio!K41=0,"",[1]Appoggio!K41)</f>
        <v/>
      </c>
      <c r="L41" s="1" t="str">
        <f>IF([1]Appoggio!L41=0,"",[1]Appoggio!L41)</f>
        <v/>
      </c>
      <c r="M41" s="1" t="str">
        <f>IF([1]Appoggio!M41=0,"",[1]Appoggio!M41)</f>
        <v/>
      </c>
      <c r="N41" s="1" t="str">
        <f>IF([1]Appoggio!N41=0,"",[1]Appoggio!N41)</f>
        <v/>
      </c>
      <c r="O41" s="1" t="str">
        <f>IF([1]Appoggio!O41=0,"",[1]Appoggio!O41)</f>
        <v/>
      </c>
      <c r="P41" s="1" t="str">
        <f>IF([1]Appoggio!P41=0,"",[1]Appoggio!P41)</f>
        <v/>
      </c>
    </row>
    <row r="42" spans="1:16" x14ac:dyDescent="0.25">
      <c r="A42" s="1" t="str">
        <f>IF([1]Appoggio!A42=0,"",[1]Appoggio!A42)</f>
        <v/>
      </c>
      <c r="B42" s="1" t="str">
        <f>IF([1]Appoggio!B42=0,"",[1]Appoggio!B42)</f>
        <v/>
      </c>
      <c r="C42" s="1" t="str">
        <f>IF([1]Appoggio!C42=0,"",[1]Appoggio!C42)</f>
        <v>CPCI</v>
      </c>
      <c r="D42" s="1" t="str">
        <f>IF([1]Appoggio!D42=0,"",[1]Appoggio!D42)</f>
        <v>Cambio Protetto Collar Import</v>
      </c>
      <c r="E42" s="1" t="str">
        <f>IF([1]Appoggio!E42=0,"",[1]Appoggio!E42)</f>
        <v/>
      </c>
      <c r="F42" s="1" t="str">
        <f>IF([1]Appoggio!F42=0,"",[1]Appoggio!F42)</f>
        <v/>
      </c>
      <c r="G42" s="1" t="str">
        <f>IF([1]Appoggio!G42=0,"",[1]Appoggio!G42)</f>
        <v/>
      </c>
      <c r="H42" s="1" t="str">
        <f>IF([1]Appoggio!H42=0,"",[1]Appoggio!H42)</f>
        <v/>
      </c>
      <c r="I42" s="1" t="str">
        <f>IF([1]Appoggio!I42=0,"",[1]Appoggio!I42)</f>
        <v/>
      </c>
      <c r="J42" s="1" t="str">
        <f>IF([1]Appoggio!J42=0,"",[1]Appoggio!J42)</f>
        <v/>
      </c>
      <c r="K42" s="1" t="str">
        <f>IF([1]Appoggio!K42=0,"",[1]Appoggio!K42)</f>
        <v/>
      </c>
      <c r="L42" s="1" t="str">
        <f>IF([1]Appoggio!L42=0,"",[1]Appoggio!L42)</f>
        <v/>
      </c>
      <c r="M42" s="1" t="str">
        <f>IF([1]Appoggio!M42=0,"",[1]Appoggio!M42)</f>
        <v/>
      </c>
      <c r="N42" s="1" t="str">
        <f>IF([1]Appoggio!N42=0,"",[1]Appoggio!N42)</f>
        <v/>
      </c>
      <c r="O42" s="1" t="str">
        <f>IF([1]Appoggio!O42=0,"",[1]Appoggio!O42)</f>
        <v/>
      </c>
      <c r="P42" s="1" t="str">
        <f>IF([1]Appoggio!P42=0,"",[1]Appoggio!P42)</f>
        <v/>
      </c>
    </row>
    <row r="43" spans="1:16" x14ac:dyDescent="0.25">
      <c r="A43" s="1" t="str">
        <f>IF([1]Appoggio!A43=0,"",[1]Appoggio!A43)</f>
        <v/>
      </c>
      <c r="B43" s="1" t="str">
        <f>IF([1]Appoggio!B43=0,"",[1]Appoggio!B43)</f>
        <v/>
      </c>
      <c r="C43" s="1" t="str">
        <f>IF([1]Appoggio!C43=0,"",[1]Appoggio!C43)</f>
        <v>CPCE</v>
      </c>
      <c r="D43" s="1" t="str">
        <f>IF([1]Appoggio!D43=0,"",[1]Appoggio!D43)</f>
        <v>Cambio Protetto Collar Export</v>
      </c>
      <c r="E43" s="1" t="str">
        <f>IF([1]Appoggio!E43=0,"",[1]Appoggio!E43)</f>
        <v/>
      </c>
      <c r="F43" s="1" t="str">
        <f>IF([1]Appoggio!F43=0,"",[1]Appoggio!F43)</f>
        <v/>
      </c>
      <c r="G43" s="1" t="str">
        <f>IF([1]Appoggio!G43=0,"",[1]Appoggio!G43)</f>
        <v/>
      </c>
      <c r="H43" s="1" t="str">
        <f>IF([1]Appoggio!H43=0,"",[1]Appoggio!H43)</f>
        <v/>
      </c>
      <c r="I43" s="1" t="str">
        <f>IF([1]Appoggio!I43=0,"",[1]Appoggio!I43)</f>
        <v/>
      </c>
      <c r="J43" s="1" t="str">
        <f>IF([1]Appoggio!J43=0,"",[1]Appoggio!J43)</f>
        <v/>
      </c>
      <c r="K43" s="1" t="str">
        <f>IF([1]Appoggio!K43=0,"",[1]Appoggio!K43)</f>
        <v/>
      </c>
      <c r="L43" s="1" t="str">
        <f>IF([1]Appoggio!L43=0,"",[1]Appoggio!L43)</f>
        <v/>
      </c>
      <c r="M43" s="1" t="str">
        <f>IF([1]Appoggio!M43=0,"",[1]Appoggio!M43)</f>
        <v/>
      </c>
      <c r="N43" s="1" t="str">
        <f>IF([1]Appoggio!N43=0,"",[1]Appoggio!N43)</f>
        <v/>
      </c>
      <c r="O43" s="1" t="str">
        <f>IF([1]Appoggio!O43=0,"",[1]Appoggio!O43)</f>
        <v/>
      </c>
      <c r="P43" s="1" t="str">
        <f>IF([1]Appoggio!P43=0,"",[1]Appoggio!P43)</f>
        <v/>
      </c>
    </row>
    <row r="44" spans="1:16" x14ac:dyDescent="0.25">
      <c r="A44" s="1" t="str">
        <f>IF([1]Appoggio!A44=0,"",[1]Appoggio!A44)</f>
        <v/>
      </c>
      <c r="B44" s="1" t="str">
        <f>IF([1]Appoggio!B44=0,"",[1]Appoggio!B44)</f>
        <v/>
      </c>
      <c r="C44" s="1" t="str">
        <f>IF([1]Appoggio!C44=0,"",[1]Appoggio!C44)</f>
        <v>CCPI</v>
      </c>
      <c r="D44" s="1" t="str">
        <f>IF([1]Appoggio!D44=0,"",[1]Appoggio!D44)</f>
        <v>Cambio Certo Plafond Import</v>
      </c>
      <c r="E44" s="1" t="str">
        <f>IF([1]Appoggio!E44=0,"",[1]Appoggio!E44)</f>
        <v/>
      </c>
      <c r="F44" s="1" t="str">
        <f>IF([1]Appoggio!F44=0,"",[1]Appoggio!F44)</f>
        <v/>
      </c>
      <c r="G44" s="1" t="str">
        <f>IF([1]Appoggio!G44=0,"",[1]Appoggio!G44)</f>
        <v/>
      </c>
      <c r="H44" s="1" t="str">
        <f>IF([1]Appoggio!H44=0,"",[1]Appoggio!H44)</f>
        <v/>
      </c>
      <c r="I44" s="1" t="str">
        <f>IF([1]Appoggio!I44=0,"",[1]Appoggio!I44)</f>
        <v/>
      </c>
      <c r="J44" s="1" t="str">
        <f>IF([1]Appoggio!J44=0,"",[1]Appoggio!J44)</f>
        <v/>
      </c>
      <c r="K44" s="1" t="str">
        <f>IF([1]Appoggio!K44=0,"",[1]Appoggio!K44)</f>
        <v/>
      </c>
      <c r="L44" s="1" t="str">
        <f>IF([1]Appoggio!L44=0,"",[1]Appoggio!L44)</f>
        <v/>
      </c>
      <c r="M44" s="1" t="str">
        <f>IF([1]Appoggio!M44=0,"",[1]Appoggio!M44)</f>
        <v/>
      </c>
      <c r="N44" s="1" t="str">
        <f>IF([1]Appoggio!N44=0,"",[1]Appoggio!N44)</f>
        <v/>
      </c>
      <c r="O44" s="1" t="str">
        <f>IF([1]Appoggio!O44=0,"",[1]Appoggio!O44)</f>
        <v/>
      </c>
      <c r="P44" s="1" t="str">
        <f>IF([1]Appoggio!P44=0,"",[1]Appoggio!P44)</f>
        <v/>
      </c>
    </row>
    <row r="45" spans="1:16" x14ac:dyDescent="0.25">
      <c r="A45" s="1" t="str">
        <f>IF([1]Appoggio!A45=0,"",[1]Appoggio!A45)</f>
        <v/>
      </c>
      <c r="B45" s="1" t="str">
        <f>IF([1]Appoggio!B45=0,"",[1]Appoggio!B45)</f>
        <v/>
      </c>
      <c r="C45" s="1" t="str">
        <f>IF([1]Appoggio!C45=0,"",[1]Appoggio!C45)</f>
        <v>CCPE</v>
      </c>
      <c r="D45" s="1" t="str">
        <f>IF([1]Appoggio!D45=0,"",[1]Appoggio!D45)</f>
        <v>Cambio Certo Plafond Export</v>
      </c>
      <c r="E45" s="1" t="str">
        <f>IF([1]Appoggio!E45=0,"",[1]Appoggio!E45)</f>
        <v/>
      </c>
      <c r="F45" s="1" t="str">
        <f>IF([1]Appoggio!F45=0,"",[1]Appoggio!F45)</f>
        <v/>
      </c>
      <c r="G45" s="1" t="str">
        <f>IF([1]Appoggio!G45=0,"",[1]Appoggio!G45)</f>
        <v/>
      </c>
      <c r="H45" s="1" t="str">
        <f>IF([1]Appoggio!H45=0,"",[1]Appoggio!H45)</f>
        <v/>
      </c>
      <c r="I45" s="1" t="str">
        <f>IF([1]Appoggio!I45=0,"",[1]Appoggio!I45)</f>
        <v/>
      </c>
      <c r="J45" s="1" t="str">
        <f>IF([1]Appoggio!J45=0,"",[1]Appoggio!J45)</f>
        <v/>
      </c>
      <c r="K45" s="1" t="str">
        <f>IF([1]Appoggio!K45=0,"",[1]Appoggio!K45)</f>
        <v/>
      </c>
      <c r="L45" s="1" t="str">
        <f>IF([1]Appoggio!L45=0,"",[1]Appoggio!L45)</f>
        <v/>
      </c>
      <c r="M45" s="1" t="str">
        <f>IF([1]Appoggio!M45=0,"",[1]Appoggio!M45)</f>
        <v/>
      </c>
      <c r="N45" s="1" t="str">
        <f>IF([1]Appoggio!N45=0,"",[1]Appoggio!N45)</f>
        <v/>
      </c>
      <c r="O45" s="1" t="str">
        <f>IF([1]Appoggio!O45=0,"",[1]Appoggio!O45)</f>
        <v/>
      </c>
      <c r="P45" s="1" t="str">
        <f>IF([1]Appoggio!P45=0,"",[1]Appoggio!P45)</f>
        <v/>
      </c>
    </row>
    <row r="46" spans="1:16" x14ac:dyDescent="0.25">
      <c r="A46" s="1" t="str">
        <f>IF([1]Appoggio!A46=0,"",[1]Appoggio!A46)</f>
        <v/>
      </c>
      <c r="B46" s="1" t="str">
        <f>IF([1]Appoggio!B46=0,"",[1]Appoggio!B46)</f>
        <v/>
      </c>
      <c r="C46" s="1" t="str">
        <f>IF([1]Appoggio!C46=0,"",[1]Appoggio!C46)</f>
        <v>CPCA</v>
      </c>
      <c r="D46" s="1" t="str">
        <f>IF([1]Appoggio!D46=0,"",[1]Appoggio!D46)</f>
        <v>Commodiy Prezzo Certo Acquisto</v>
      </c>
      <c r="E46" s="1" t="str">
        <f>IF([1]Appoggio!E46=0,"",[1]Appoggio!E46)</f>
        <v/>
      </c>
      <c r="F46" s="1" t="str">
        <f>IF([1]Appoggio!F46=0,"",[1]Appoggio!F46)</f>
        <v/>
      </c>
      <c r="G46" s="1" t="str">
        <f>IF([1]Appoggio!G46=0,"",[1]Appoggio!G46)</f>
        <v/>
      </c>
      <c r="H46" s="1" t="str">
        <f>IF([1]Appoggio!H46=0,"",[1]Appoggio!H46)</f>
        <v/>
      </c>
      <c r="I46" s="1" t="str">
        <f>IF([1]Appoggio!I46=0,"",[1]Appoggio!I46)</f>
        <v/>
      </c>
      <c r="J46" s="1" t="str">
        <f>IF([1]Appoggio!J46=0,"",[1]Appoggio!J46)</f>
        <v/>
      </c>
      <c r="K46" s="1" t="str">
        <f>IF([1]Appoggio!K46=0,"",[1]Appoggio!K46)</f>
        <v/>
      </c>
      <c r="L46" s="1" t="str">
        <f>IF([1]Appoggio!L46=0,"",[1]Appoggio!L46)</f>
        <v/>
      </c>
      <c r="M46" s="1" t="str">
        <f>IF([1]Appoggio!M46=0,"",[1]Appoggio!M46)</f>
        <v/>
      </c>
      <c r="N46" s="1" t="str">
        <f>IF([1]Appoggio!N46=0,"",[1]Appoggio!N46)</f>
        <v/>
      </c>
      <c r="O46" s="1" t="str">
        <f>IF([1]Appoggio!O46=0,"",[1]Appoggio!O46)</f>
        <v/>
      </c>
      <c r="P46" s="1" t="str">
        <f>IF([1]Appoggio!P46=0,"",[1]Appoggio!P46)</f>
        <v/>
      </c>
    </row>
    <row r="47" spans="1:16" x14ac:dyDescent="0.25">
      <c r="A47" s="1" t="str">
        <f>IF([1]Appoggio!A47=0,"",[1]Appoggio!A47)</f>
        <v/>
      </c>
      <c r="B47" s="1" t="str">
        <f>IF([1]Appoggio!B47=0,"",[1]Appoggio!B47)</f>
        <v/>
      </c>
      <c r="C47" s="1" t="str">
        <f>IF([1]Appoggio!C47=0,"",[1]Appoggio!C47)</f>
        <v>CPCV</v>
      </c>
      <c r="D47" s="1" t="str">
        <f>IF([1]Appoggio!D47=0,"",[1]Appoggio!D47)</f>
        <v>Commodiy Prezzo Certo Vendita</v>
      </c>
      <c r="E47" s="1" t="str">
        <f>IF([1]Appoggio!E47=0,"",[1]Appoggio!E47)</f>
        <v/>
      </c>
      <c r="F47" s="1" t="str">
        <f>IF([1]Appoggio!F47=0,"",[1]Appoggio!F47)</f>
        <v/>
      </c>
      <c r="G47" s="1" t="str">
        <f>IF([1]Appoggio!G47=0,"",[1]Appoggio!G47)</f>
        <v/>
      </c>
      <c r="H47" s="1" t="str">
        <f>IF([1]Appoggio!H47=0,"",[1]Appoggio!H47)</f>
        <v/>
      </c>
      <c r="I47" s="1" t="str">
        <f>IF([1]Appoggio!I47=0,"",[1]Appoggio!I47)</f>
        <v/>
      </c>
      <c r="J47" s="1" t="str">
        <f>IF([1]Appoggio!J47=0,"",[1]Appoggio!J47)</f>
        <v/>
      </c>
      <c r="K47" s="1" t="str">
        <f>IF([1]Appoggio!K47=0,"",[1]Appoggio!K47)</f>
        <v/>
      </c>
      <c r="L47" s="1" t="str">
        <f>IF([1]Appoggio!L47=0,"",[1]Appoggio!L47)</f>
        <v/>
      </c>
      <c r="M47" s="1" t="str">
        <f>IF([1]Appoggio!M47=0,"",[1]Appoggio!M47)</f>
        <v/>
      </c>
      <c r="N47" s="1" t="str">
        <f>IF([1]Appoggio!N47=0,"",[1]Appoggio!N47)</f>
        <v/>
      </c>
      <c r="O47" s="1" t="str">
        <f>IF([1]Appoggio!O47=0,"",[1]Appoggio!O47)</f>
        <v/>
      </c>
      <c r="P47" s="1" t="str">
        <f>IF([1]Appoggio!P47=0,"",[1]Appoggio!P47)</f>
        <v/>
      </c>
    </row>
    <row r="48" spans="1:16" x14ac:dyDescent="0.25">
      <c r="A48" s="1" t="str">
        <f>IF([1]Appoggio!A48=0,"",[1]Appoggio!A48)</f>
        <v/>
      </c>
      <c r="B48" s="1" t="str">
        <f>IF([1]Appoggio!B48=0,"",[1]Appoggio!B48)</f>
        <v/>
      </c>
      <c r="C48" s="1" t="str">
        <f>IF([1]Appoggio!C48=0,"",[1]Appoggio!C48)</f>
        <v>TPPU</v>
      </c>
      <c r="D48" s="1" t="str">
        <f>IF([1]Appoggio!D48=0,"",[1]Appoggio!D48)</f>
        <v>Tasso Protetto Premio Unico</v>
      </c>
      <c r="E48" s="1" t="str">
        <f>IF([1]Appoggio!E48=0,"",[1]Appoggio!E48)</f>
        <v/>
      </c>
      <c r="F48" s="1" t="str">
        <f>IF([1]Appoggio!F48=0,"",[1]Appoggio!F48)</f>
        <v/>
      </c>
      <c r="G48" s="1" t="str">
        <f>IF([1]Appoggio!G48=0,"",[1]Appoggio!G48)</f>
        <v/>
      </c>
      <c r="H48" s="1" t="str">
        <f>IF([1]Appoggio!H48=0,"",[1]Appoggio!H48)</f>
        <v/>
      </c>
      <c r="I48" s="1" t="str">
        <f>IF([1]Appoggio!I48=0,"",[1]Appoggio!I48)</f>
        <v/>
      </c>
      <c r="J48" s="1" t="str">
        <f>IF([1]Appoggio!J48=0,"",[1]Appoggio!J48)</f>
        <v/>
      </c>
      <c r="K48" s="1" t="str">
        <f>IF([1]Appoggio!K48=0,"",[1]Appoggio!K48)</f>
        <v/>
      </c>
      <c r="L48" s="1" t="str">
        <f>IF([1]Appoggio!L48=0,"",[1]Appoggio!L48)</f>
        <v/>
      </c>
      <c r="M48" s="1" t="str">
        <f>IF([1]Appoggio!M48=0,"",[1]Appoggio!M48)</f>
        <v/>
      </c>
      <c r="N48" s="1" t="str">
        <f>IF([1]Appoggio!N48=0,"",[1]Appoggio!N48)</f>
        <v/>
      </c>
      <c r="O48" s="1" t="str">
        <f>IF([1]Appoggio!O48=0,"",[1]Appoggio!O48)</f>
        <v/>
      </c>
      <c r="P48" s="1" t="str">
        <f>IF([1]Appoggio!P48=0,"",[1]Appoggio!P48)</f>
        <v/>
      </c>
    </row>
    <row r="49" spans="1:16" x14ac:dyDescent="0.25">
      <c r="A49" s="1" t="str">
        <f>IF([1]Appoggio!A49=0,"",[1]Appoggio!A49)</f>
        <v/>
      </c>
      <c r="B49" s="1" t="str">
        <f>IF([1]Appoggio!B49=0,"",[1]Appoggio!B49)</f>
        <v/>
      </c>
      <c r="C49" s="1" t="str">
        <f>IF([1]Appoggio!C49=0,"",[1]Appoggio!C49)</f>
        <v>TCS</v>
      </c>
      <c r="D49" s="1" t="str">
        <f>IF([1]Appoggio!D49=0,"",[1]Appoggio!D49)</f>
        <v>Tasso Certo Super</v>
      </c>
      <c r="E49" s="1" t="str">
        <f>IF([1]Appoggio!E49=0,"",[1]Appoggio!E49)</f>
        <v/>
      </c>
      <c r="F49" s="1" t="str">
        <f>IF([1]Appoggio!F49=0,"",[1]Appoggio!F49)</f>
        <v/>
      </c>
      <c r="G49" s="1" t="str">
        <f>IF([1]Appoggio!G49=0,"",[1]Appoggio!G49)</f>
        <v/>
      </c>
      <c r="H49" s="1" t="str">
        <f>IF([1]Appoggio!H49=0,"",[1]Appoggio!H49)</f>
        <v/>
      </c>
      <c r="I49" s="1" t="str">
        <f>IF([1]Appoggio!I49=0,"",[1]Appoggio!I49)</f>
        <v/>
      </c>
      <c r="J49" s="1" t="str">
        <f>IF([1]Appoggio!J49=0,"",[1]Appoggio!J49)</f>
        <v/>
      </c>
      <c r="K49" s="1" t="str">
        <f>IF([1]Appoggio!K49=0,"",[1]Appoggio!K49)</f>
        <v/>
      </c>
      <c r="L49" s="1" t="str">
        <f>IF([1]Appoggio!L49=0,"",[1]Appoggio!L49)</f>
        <v/>
      </c>
      <c r="M49" s="1" t="str">
        <f>IF([1]Appoggio!M49=0,"",[1]Appoggio!M49)</f>
        <v/>
      </c>
      <c r="N49" s="1" t="str">
        <f>IF([1]Appoggio!N49=0,"",[1]Appoggio!N49)</f>
        <v/>
      </c>
      <c r="O49" s="1" t="str">
        <f>IF([1]Appoggio!O49=0,"",[1]Appoggio!O49)</f>
        <v/>
      </c>
      <c r="P49" s="1" t="str">
        <f>IF([1]Appoggio!P49=0,"",[1]Appoggio!P49)</f>
        <v/>
      </c>
    </row>
    <row r="50" spans="1:16" x14ac:dyDescent="0.25">
      <c r="A50" s="1" t="str">
        <f>IF([1]Appoggio!A50=0,"",[1]Appoggio!A50)</f>
        <v/>
      </c>
      <c r="B50" s="1" t="str">
        <f>IF([1]Appoggio!B50=0,"",[1]Appoggio!B50)</f>
        <v/>
      </c>
      <c r="C50" s="1" t="str">
        <f>IF([1]Appoggio!C50=0,"",[1]Appoggio!C50)</f>
        <v>TCSA</v>
      </c>
      <c r="D50" s="1" t="str">
        <f>IF([1]Appoggio!D50=0,"",[1]Appoggio!D50)</f>
        <v>Tasso Certo Super Ammortizzato</v>
      </c>
      <c r="E50" s="1" t="str">
        <f>IF([1]Appoggio!E50=0,"",[1]Appoggio!E50)</f>
        <v/>
      </c>
      <c r="F50" s="1" t="str">
        <f>IF([1]Appoggio!F50=0,"",[1]Appoggio!F50)</f>
        <v/>
      </c>
      <c r="G50" s="1" t="str">
        <f>IF([1]Appoggio!G50=0,"",[1]Appoggio!G50)</f>
        <v/>
      </c>
      <c r="H50" s="1" t="str">
        <f>IF([1]Appoggio!H50=0,"",[1]Appoggio!H50)</f>
        <v/>
      </c>
      <c r="I50" s="1" t="str">
        <f>IF([1]Appoggio!I50=0,"",[1]Appoggio!I50)</f>
        <v/>
      </c>
      <c r="J50" s="1" t="str">
        <f>IF([1]Appoggio!J50=0,"",[1]Appoggio!J50)</f>
        <v/>
      </c>
      <c r="K50" s="1" t="str">
        <f>IF([1]Appoggio!K50=0,"",[1]Appoggio!K50)</f>
        <v/>
      </c>
      <c r="L50" s="1" t="str">
        <f>IF([1]Appoggio!L50=0,"",[1]Appoggio!L50)</f>
        <v/>
      </c>
      <c r="M50" s="1" t="str">
        <f>IF([1]Appoggio!M50=0,"",[1]Appoggio!M50)</f>
        <v/>
      </c>
      <c r="N50" s="1" t="str">
        <f>IF([1]Appoggio!N50=0,"",[1]Appoggio!N50)</f>
        <v/>
      </c>
      <c r="O50" s="1" t="str">
        <f>IF([1]Appoggio!O50=0,"",[1]Appoggio!O50)</f>
        <v/>
      </c>
      <c r="P50" s="1" t="str">
        <f>IF([1]Appoggio!P50=0,"",[1]Appoggio!P50)</f>
        <v/>
      </c>
    </row>
    <row r="51" spans="1:16" x14ac:dyDescent="0.25">
      <c r="A51" s="1" t="str">
        <f>IF([1]Appoggio!A51=0,"",[1]Appoggio!A51)</f>
        <v/>
      </c>
      <c r="B51" s="1" t="str">
        <f>IF([1]Appoggio!B51=0,"",[1]Appoggio!B51)</f>
        <v/>
      </c>
      <c r="C51" s="1" t="str">
        <f>IF([1]Appoggio!C51=0,"",[1]Appoggio!C51)</f>
        <v>CPFKIKOI</v>
      </c>
      <c r="D51" s="1" t="str">
        <f>IF([1]Appoggio!D51=0,"",[1]Appoggio!D51)</f>
        <v>Cambio Protetto Knock In Knock Out Import</v>
      </c>
      <c r="E51" s="1" t="str">
        <f>IF([1]Appoggio!E51=0,"",[1]Appoggio!E51)</f>
        <v/>
      </c>
      <c r="F51" s="1" t="str">
        <f>IF([1]Appoggio!F51=0,"",[1]Appoggio!F51)</f>
        <v/>
      </c>
      <c r="G51" s="1" t="str">
        <f>IF([1]Appoggio!G51=0,"",[1]Appoggio!G51)</f>
        <v/>
      </c>
      <c r="H51" s="1" t="str">
        <f>IF([1]Appoggio!H51=0,"",[1]Appoggio!H51)</f>
        <v/>
      </c>
      <c r="I51" s="1" t="str">
        <f>IF([1]Appoggio!I51=0,"",[1]Appoggio!I51)</f>
        <v/>
      </c>
      <c r="J51" s="1" t="str">
        <f>IF([1]Appoggio!J51=0,"",[1]Appoggio!J51)</f>
        <v/>
      </c>
      <c r="K51" s="1" t="str">
        <f>IF([1]Appoggio!K51=0,"",[1]Appoggio!K51)</f>
        <v/>
      </c>
      <c r="L51" s="1" t="str">
        <f>IF([1]Appoggio!L51=0,"",[1]Appoggio!L51)</f>
        <v/>
      </c>
      <c r="M51" s="1" t="str">
        <f>IF([1]Appoggio!M51=0,"",[1]Appoggio!M51)</f>
        <v/>
      </c>
      <c r="N51" s="1" t="str">
        <f>IF([1]Appoggio!N51=0,"",[1]Appoggio!N51)</f>
        <v/>
      </c>
      <c r="O51" s="1" t="str">
        <f>IF([1]Appoggio!O51=0,"",[1]Appoggio!O51)</f>
        <v/>
      </c>
      <c r="P51" s="1" t="str">
        <f>IF([1]Appoggio!P51=0,"",[1]Appoggio!P51)</f>
        <v/>
      </c>
    </row>
    <row r="52" spans="1:16" x14ac:dyDescent="0.25">
      <c r="A52" s="1" t="str">
        <f>IF([1]Appoggio!A52=0,"",[1]Appoggio!A52)</f>
        <v/>
      </c>
      <c r="B52" s="1" t="str">
        <f>IF([1]Appoggio!B52=0,"",[1]Appoggio!B52)</f>
        <v/>
      </c>
      <c r="C52" s="1" t="str">
        <f>IF([1]Appoggio!C52=0,"",[1]Appoggio!C52)</f>
        <v>CPFKIKOE</v>
      </c>
      <c r="D52" s="1" t="str">
        <f>IF([1]Appoggio!D52=0,"",[1]Appoggio!D52)</f>
        <v>Cambio Protetto Knock In Knock Out Export</v>
      </c>
      <c r="E52" s="1" t="str">
        <f>IF([1]Appoggio!E52=0,"",[1]Appoggio!E52)</f>
        <v/>
      </c>
      <c r="F52" s="1" t="str">
        <f>IF([1]Appoggio!F52=0,"",[1]Appoggio!F52)</f>
        <v/>
      </c>
      <c r="G52" s="1" t="str">
        <f>IF([1]Appoggio!G52=0,"",[1]Appoggio!G52)</f>
        <v/>
      </c>
      <c r="H52" s="1" t="str">
        <f>IF([1]Appoggio!H52=0,"",[1]Appoggio!H52)</f>
        <v/>
      </c>
      <c r="I52" s="1" t="str">
        <f>IF([1]Appoggio!I52=0,"",[1]Appoggio!I52)</f>
        <v/>
      </c>
      <c r="J52" s="1" t="str">
        <f>IF([1]Appoggio!J52=0,"",[1]Appoggio!J52)</f>
        <v/>
      </c>
      <c r="K52" s="1" t="str">
        <f>IF([1]Appoggio!K52=0,"",[1]Appoggio!K52)</f>
        <v/>
      </c>
      <c r="L52" s="1" t="str">
        <f>IF([1]Appoggio!L52=0,"",[1]Appoggio!L52)</f>
        <v/>
      </c>
      <c r="M52" s="1" t="str">
        <f>IF([1]Appoggio!M52=0,"",[1]Appoggio!M52)</f>
        <v/>
      </c>
      <c r="N52" s="1" t="str">
        <f>IF([1]Appoggio!N52=0,"",[1]Appoggio!N52)</f>
        <v/>
      </c>
      <c r="O52" s="1" t="str">
        <f>IF([1]Appoggio!O52=0,"",[1]Appoggio!O52)</f>
        <v/>
      </c>
      <c r="P52" s="1" t="str">
        <f>IF([1]Appoggio!P52=0,"",[1]Appoggio!P52)</f>
        <v/>
      </c>
    </row>
    <row r="53" spans="1:16" x14ac:dyDescent="0.25">
      <c r="A53" s="1" t="str">
        <f>IF([1]Appoggio!A53=0,"",[1]Appoggio!A53)</f>
        <v/>
      </c>
      <c r="B53" s="1" t="str">
        <f>IF([1]Appoggio!B53=0,"",[1]Appoggio!B53)</f>
        <v/>
      </c>
      <c r="C53" s="1" t="str">
        <f>IF([1]Appoggio!C53=0,"",[1]Appoggio!C53)</f>
        <v>LB</v>
      </c>
      <c r="D53" s="1" t="str">
        <f>IF([1]Appoggio!D53=0,"",[1]Appoggio!D53)</f>
        <v>Long Benchmark</v>
      </c>
      <c r="E53" s="1" t="str">
        <f>IF([1]Appoggio!E53=0,"",[1]Appoggio!E53)</f>
        <v/>
      </c>
      <c r="F53" s="1" t="str">
        <f>IF([1]Appoggio!F53=0,"",[1]Appoggio!F53)</f>
        <v/>
      </c>
      <c r="G53" s="1" t="str">
        <f>IF([1]Appoggio!G53=0,"",[1]Appoggio!G53)</f>
        <v/>
      </c>
      <c r="H53" s="1" t="str">
        <f>IF([1]Appoggio!H53=0,"",[1]Appoggio!H53)</f>
        <v/>
      </c>
      <c r="I53" s="1" t="str">
        <f>IF([1]Appoggio!I53=0,"",[1]Appoggio!I53)</f>
        <v/>
      </c>
      <c r="J53" s="1" t="str">
        <f>IF([1]Appoggio!J53=0,"",[1]Appoggio!J53)</f>
        <v/>
      </c>
      <c r="K53" s="1" t="str">
        <f>IF([1]Appoggio!K53=0,"",[1]Appoggio!K53)</f>
        <v/>
      </c>
      <c r="L53" s="1" t="str">
        <f>IF([1]Appoggio!L53=0,"",[1]Appoggio!L53)</f>
        <v/>
      </c>
      <c r="M53" s="1" t="str">
        <f>IF([1]Appoggio!M53=0,"",[1]Appoggio!M53)</f>
        <v/>
      </c>
      <c r="N53" s="1" t="str">
        <f>IF([1]Appoggio!N53=0,"",[1]Appoggio!N53)</f>
        <v/>
      </c>
      <c r="O53" s="1" t="str">
        <f>IF([1]Appoggio!O53=0,"",[1]Appoggio!O53)</f>
        <v/>
      </c>
      <c r="P53" s="1" t="str">
        <f>IF([1]Appoggio!P53=0,"",[1]Appoggio!P53)</f>
        <v/>
      </c>
    </row>
    <row r="54" spans="1:16" x14ac:dyDescent="0.25">
      <c r="A54" s="1" t="str">
        <f>IF([1]Appoggio!A54=0,"",[1]Appoggio!A54)</f>
        <v/>
      </c>
      <c r="B54" s="1" t="str">
        <f>IF([1]Appoggio!B54=0,"",[1]Appoggio!B54)</f>
        <v/>
      </c>
      <c r="C54" s="1" t="str">
        <f>IF([1]Appoggio!C54=0,"",[1]Appoggio!C54)</f>
        <v>CPCKII</v>
      </c>
      <c r="D54" s="1" t="str">
        <f>IF([1]Appoggio!D54=0,"",[1]Appoggio!D54)</f>
        <v>Cambio Protetto Collar Knock In Import</v>
      </c>
      <c r="E54" s="1" t="str">
        <f>IF([1]Appoggio!E54=0,"",[1]Appoggio!E54)</f>
        <v/>
      </c>
      <c r="F54" s="1" t="str">
        <f>IF([1]Appoggio!F54=0,"",[1]Appoggio!F54)</f>
        <v/>
      </c>
      <c r="G54" s="1" t="str">
        <f>IF([1]Appoggio!G54=0,"",[1]Appoggio!G54)</f>
        <v/>
      </c>
      <c r="H54" s="1" t="str">
        <f>IF([1]Appoggio!H54=0,"",[1]Appoggio!H54)</f>
        <v/>
      </c>
      <c r="I54" s="1" t="str">
        <f>IF([1]Appoggio!I54=0,"",[1]Appoggio!I54)</f>
        <v/>
      </c>
      <c r="J54" s="1" t="str">
        <f>IF([1]Appoggio!J54=0,"",[1]Appoggio!J54)</f>
        <v/>
      </c>
      <c r="K54" s="1" t="str">
        <f>IF([1]Appoggio!K54=0,"",[1]Appoggio!K54)</f>
        <v/>
      </c>
      <c r="L54" s="1" t="str">
        <f>IF([1]Appoggio!L54=0,"",[1]Appoggio!L54)</f>
        <v/>
      </c>
      <c r="M54" s="1" t="str">
        <f>IF([1]Appoggio!M54=0,"",[1]Appoggio!M54)</f>
        <v/>
      </c>
      <c r="N54" s="1" t="str">
        <f>IF([1]Appoggio!N54=0,"",[1]Appoggio!N54)</f>
        <v/>
      </c>
      <c r="O54" s="1" t="str">
        <f>IF([1]Appoggio!O54=0,"",[1]Appoggio!O54)</f>
        <v/>
      </c>
      <c r="P54" s="1" t="str">
        <f>IF([1]Appoggio!P54=0,"",[1]Appoggio!P54)</f>
        <v/>
      </c>
    </row>
    <row r="55" spans="1:16" x14ac:dyDescent="0.25">
      <c r="A55" s="1" t="str">
        <f>IF([1]Appoggio!A55=0,"",[1]Appoggio!A55)</f>
        <v/>
      </c>
      <c r="B55" s="1" t="str">
        <f>IF([1]Appoggio!B55=0,"",[1]Appoggio!B55)</f>
        <v/>
      </c>
      <c r="C55" s="1" t="str">
        <f>IF([1]Appoggio!C55=0,"",[1]Appoggio!C55)</f>
        <v>CPCKIE</v>
      </c>
      <c r="D55" s="1" t="str">
        <f>IF([1]Appoggio!D55=0,"",[1]Appoggio!D55)</f>
        <v>Cambio Protetto Collar Knock In Export</v>
      </c>
      <c r="E55" s="1" t="str">
        <f>IF([1]Appoggio!E55=0,"",[1]Appoggio!E55)</f>
        <v/>
      </c>
      <c r="F55" s="1" t="str">
        <f>IF([1]Appoggio!F55=0,"",[1]Appoggio!F55)</f>
        <v/>
      </c>
      <c r="G55" s="1" t="str">
        <f>IF([1]Appoggio!G55=0,"",[1]Appoggio!G55)</f>
        <v/>
      </c>
      <c r="H55" s="1" t="str">
        <f>IF([1]Appoggio!H55=0,"",[1]Appoggio!H55)</f>
        <v/>
      </c>
      <c r="I55" s="1" t="str">
        <f>IF([1]Appoggio!I55=0,"",[1]Appoggio!I55)</f>
        <v/>
      </c>
      <c r="J55" s="1" t="str">
        <f>IF([1]Appoggio!J55=0,"",[1]Appoggio!J55)</f>
        <v/>
      </c>
      <c r="K55" s="1" t="str">
        <f>IF([1]Appoggio!K55=0,"",[1]Appoggio!K55)</f>
        <v/>
      </c>
      <c r="L55" s="1" t="str">
        <f>IF([1]Appoggio!L55=0,"",[1]Appoggio!L55)</f>
        <v/>
      </c>
      <c r="M55" s="1" t="str">
        <f>IF([1]Appoggio!M55=0,"",[1]Appoggio!M55)</f>
        <v/>
      </c>
      <c r="N55" s="1" t="str">
        <f>IF([1]Appoggio!N55=0,"",[1]Appoggio!N55)</f>
        <v/>
      </c>
      <c r="O55" s="1" t="str">
        <f>IF([1]Appoggio!O55=0,"",[1]Appoggio!O55)</f>
        <v/>
      </c>
      <c r="P55" s="1" t="str">
        <f>IF([1]Appoggio!P55=0,"",[1]Appoggio!P55)</f>
        <v/>
      </c>
    </row>
    <row r="56" spans="1:16" x14ac:dyDescent="0.25">
      <c r="A56" s="1" t="str">
        <f>IF([1]Appoggio!A56=0,"",[1]Appoggio!A56)</f>
        <v/>
      </c>
      <c r="B56" s="1" t="str">
        <f>IF([1]Appoggio!B56=0,"",[1]Appoggio!B56)</f>
        <v/>
      </c>
      <c r="C56" s="1" t="str">
        <f>IF([1]Appoggio!C56=0,"",[1]Appoggio!C56)</f>
        <v>MLC4</v>
      </c>
      <c r="D56" s="1" t="str">
        <f>IF([1]Appoggio!D56=0,"",[1]Appoggio!D56)</f>
        <v>Max Long Cap 4 (Short)</v>
      </c>
      <c r="E56" s="1" t="str">
        <f>IF([1]Appoggio!E56=0,"",[1]Appoggio!E56)</f>
        <v/>
      </c>
      <c r="F56" s="1" t="str">
        <f>IF([1]Appoggio!F56=0,"",[1]Appoggio!F56)</f>
        <v/>
      </c>
      <c r="G56" s="1" t="str">
        <f>IF([1]Appoggio!G56=0,"",[1]Appoggio!G56)</f>
        <v/>
      </c>
      <c r="H56" s="1" t="str">
        <f>IF([1]Appoggio!H56=0,"",[1]Appoggio!H56)</f>
        <v/>
      </c>
      <c r="I56" s="1" t="str">
        <f>IF([1]Appoggio!I56=0,"",[1]Appoggio!I56)</f>
        <v/>
      </c>
      <c r="J56" s="1" t="str">
        <f>IF([1]Appoggio!J56=0,"",[1]Appoggio!J56)</f>
        <v/>
      </c>
      <c r="K56" s="1" t="str">
        <f>IF([1]Appoggio!K56=0,"",[1]Appoggio!K56)</f>
        <v/>
      </c>
      <c r="L56" s="1" t="str">
        <f>IF([1]Appoggio!L56=0,"",[1]Appoggio!L56)</f>
        <v/>
      </c>
      <c r="M56" s="1" t="str">
        <f>IF([1]Appoggio!M56=0,"",[1]Appoggio!M56)</f>
        <v/>
      </c>
      <c r="N56" s="1" t="str">
        <f>IF([1]Appoggio!N56=0,"",[1]Appoggio!N56)</f>
        <v/>
      </c>
      <c r="O56" s="1" t="str">
        <f>IF([1]Appoggio!O56=0,"",[1]Appoggio!O56)</f>
        <v/>
      </c>
      <c r="P56" s="1" t="str">
        <f>IF([1]Appoggio!P56=0,"",[1]Appoggio!P56)</f>
        <v/>
      </c>
    </row>
    <row r="57" spans="1:16" x14ac:dyDescent="0.25">
      <c r="A57" s="1" t="str">
        <f>IF([1]Appoggio!A57=0,"",[1]Appoggio!A57)</f>
        <v/>
      </c>
      <c r="B57" s="1" t="str">
        <f>IF([1]Appoggio!B57=0,"",[1]Appoggio!B57)</f>
        <v/>
      </c>
      <c r="C57" s="1" t="str">
        <f>IF([1]Appoggio!C57=0,"",[1]Appoggio!C57)</f>
        <v>MLC5</v>
      </c>
      <c r="D57" s="1" t="str">
        <f>IF([1]Appoggio!D57=0,"",[1]Appoggio!D57)</f>
        <v>Max Long Cap 5 (Lock In)</v>
      </c>
      <c r="E57" s="1" t="str">
        <f>IF([1]Appoggio!E57=0,"",[1]Appoggio!E57)</f>
        <v/>
      </c>
      <c r="F57" s="1" t="str">
        <f>IF([1]Appoggio!F57=0,"",[1]Appoggio!F57)</f>
        <v/>
      </c>
      <c r="G57" s="1" t="str">
        <f>IF([1]Appoggio!G57=0,"",[1]Appoggio!G57)</f>
        <v/>
      </c>
      <c r="H57" s="1" t="str">
        <f>IF([1]Appoggio!H57=0,"",[1]Appoggio!H57)</f>
        <v/>
      </c>
      <c r="I57" s="1" t="str">
        <f>IF([1]Appoggio!I57=0,"",[1]Appoggio!I57)</f>
        <v/>
      </c>
      <c r="J57" s="1" t="str">
        <f>IF([1]Appoggio!J57=0,"",[1]Appoggio!J57)</f>
        <v/>
      </c>
      <c r="K57" s="1" t="str">
        <f>IF([1]Appoggio!K57=0,"",[1]Appoggio!K57)</f>
        <v/>
      </c>
      <c r="L57" s="1" t="str">
        <f>IF([1]Appoggio!L57=0,"",[1]Appoggio!L57)</f>
        <v/>
      </c>
      <c r="M57" s="1" t="str">
        <f>IF([1]Appoggio!M57=0,"",[1]Appoggio!M57)</f>
        <v/>
      </c>
      <c r="N57" s="1" t="str">
        <f>IF([1]Appoggio!N57=0,"",[1]Appoggio!N57)</f>
        <v/>
      </c>
      <c r="O57" s="1" t="str">
        <f>IF([1]Appoggio!O57=0,"",[1]Appoggio!O57)</f>
        <v/>
      </c>
      <c r="P57" s="1" t="str">
        <f>IF([1]Appoggio!P57=0,"",[1]Appoggio!P57)</f>
        <v/>
      </c>
    </row>
    <row r="58" spans="1:16" x14ac:dyDescent="0.25">
      <c r="A58" s="1" t="str">
        <f>IF([1]Appoggio!A58=0,"",[1]Appoggio!A58)</f>
        <v/>
      </c>
      <c r="B58" s="1" t="str">
        <f>IF([1]Appoggio!B58=0,"",[1]Appoggio!B58)</f>
        <v/>
      </c>
      <c r="C58" s="1" t="str">
        <f>IF([1]Appoggio!C58=0,"",[1]Appoggio!C58)</f>
        <v>F2F1</v>
      </c>
      <c r="D58" s="1" t="str">
        <f>IF([1]Appoggio!D58=0,"",[1]Appoggio!D58)</f>
        <v>Fix to Floater 1</v>
      </c>
      <c r="E58" s="1" t="str">
        <f>IF([1]Appoggio!E58=0,"",[1]Appoggio!E58)</f>
        <v/>
      </c>
      <c r="F58" s="1" t="str">
        <f>IF([1]Appoggio!F58=0,"",[1]Appoggio!F58)</f>
        <v/>
      </c>
      <c r="G58" s="1" t="str">
        <f>IF([1]Appoggio!G58=0,"",[1]Appoggio!G58)</f>
        <v/>
      </c>
      <c r="H58" s="1" t="str">
        <f>IF([1]Appoggio!H58=0,"",[1]Appoggio!H58)</f>
        <v/>
      </c>
      <c r="I58" s="1" t="str">
        <f>IF([1]Appoggio!I58=0,"",[1]Appoggio!I58)</f>
        <v/>
      </c>
      <c r="J58" s="1" t="str">
        <f>IF([1]Appoggio!J58=0,"",[1]Appoggio!J58)</f>
        <v/>
      </c>
      <c r="K58" s="1" t="str">
        <f>IF([1]Appoggio!K58=0,"",[1]Appoggio!K58)</f>
        <v/>
      </c>
      <c r="L58" s="1" t="str">
        <f>IF([1]Appoggio!L58=0,"",[1]Appoggio!L58)</f>
        <v/>
      </c>
      <c r="M58" s="1" t="str">
        <f>IF([1]Appoggio!M58=0,"",[1]Appoggio!M58)</f>
        <v/>
      </c>
      <c r="N58" s="1" t="str">
        <f>IF([1]Appoggio!N58=0,"",[1]Appoggio!N58)</f>
        <v/>
      </c>
      <c r="O58" s="1" t="str">
        <f>IF([1]Appoggio!O58=0,"",[1]Appoggio!O58)</f>
        <v/>
      </c>
      <c r="P58" s="1" t="str">
        <f>IF([1]Appoggio!P58=0,"",[1]Appoggio!P58)</f>
        <v/>
      </c>
    </row>
    <row r="59" spans="1:16" x14ac:dyDescent="0.25">
      <c r="A59" s="1" t="str">
        <f>IF([1]Appoggio!A59=0,"",[1]Appoggio!A59)</f>
        <v/>
      </c>
      <c r="B59" s="1" t="str">
        <f>IF([1]Appoggio!B59=0,"",[1]Appoggio!B59)</f>
        <v/>
      </c>
      <c r="C59" s="1" t="str">
        <f>IF([1]Appoggio!C59=0,"",[1]Appoggio!C59)</f>
        <v>FRC</v>
      </c>
      <c r="D59" s="1" t="str">
        <f>IF([1]Appoggio!D59=0,"",[1]Appoggio!D59)</f>
        <v>Fix Rate Currency</v>
      </c>
      <c r="E59" s="1" t="str">
        <f>IF([1]Appoggio!E59=0,"",[1]Appoggio!E59)</f>
        <v/>
      </c>
      <c r="F59" s="1" t="str">
        <f>IF([1]Appoggio!F59=0,"",[1]Appoggio!F59)</f>
        <v/>
      </c>
      <c r="G59" s="1" t="str">
        <f>IF([1]Appoggio!G59=0,"",[1]Appoggio!G59)</f>
        <v/>
      </c>
      <c r="H59" s="1" t="str">
        <f>IF([1]Appoggio!H59=0,"",[1]Appoggio!H59)</f>
        <v/>
      </c>
      <c r="I59" s="1" t="str">
        <f>IF([1]Appoggio!I59=0,"",[1]Appoggio!I59)</f>
        <v/>
      </c>
      <c r="J59" s="1" t="str">
        <f>IF([1]Appoggio!J59=0,"",[1]Appoggio!J59)</f>
        <v/>
      </c>
      <c r="K59" s="1" t="str">
        <f>IF([1]Appoggio!K59=0,"",[1]Appoggio!K59)</f>
        <v/>
      </c>
      <c r="L59" s="1" t="str">
        <f>IF([1]Appoggio!L59=0,"",[1]Appoggio!L59)</f>
        <v/>
      </c>
      <c r="M59" s="1" t="str">
        <f>IF([1]Appoggio!M59=0,"",[1]Appoggio!M59)</f>
        <v/>
      </c>
      <c r="N59" s="1" t="str">
        <f>IF([1]Appoggio!N59=0,"",[1]Appoggio!N59)</f>
        <v/>
      </c>
      <c r="O59" s="1" t="str">
        <f>IF([1]Appoggio!O59=0,"",[1]Appoggio!O59)</f>
        <v/>
      </c>
      <c r="P59" s="1" t="str">
        <f>IF([1]Appoggio!P59=0,"",[1]Appoggio!P59)</f>
        <v/>
      </c>
    </row>
    <row r="60" spans="1:16" x14ac:dyDescent="0.25">
      <c r="A60" s="1" t="str">
        <f>IF([1]Appoggio!A60=0,"",[1]Appoggio!A60)</f>
        <v/>
      </c>
      <c r="B60" s="1" t="str">
        <f>IF([1]Appoggio!B60=0,"",[1]Appoggio!B60)</f>
        <v/>
      </c>
      <c r="C60" s="1" t="str">
        <f>IF([1]Appoggio!C60=0,"",[1]Appoggio!C60)</f>
        <v>TPPF</v>
      </c>
      <c r="D60" s="1" t="str">
        <f>IF([1]Appoggio!D60=0,"",[1]Appoggio!D60)</f>
        <v>Tasso Protetto Premio Frazionato</v>
      </c>
      <c r="E60" s="1" t="str">
        <f>IF([1]Appoggio!E60=0,"",[1]Appoggio!E60)</f>
        <v/>
      </c>
      <c r="F60" s="1" t="str">
        <f>IF([1]Appoggio!F60=0,"",[1]Appoggio!F60)</f>
        <v/>
      </c>
      <c r="G60" s="1" t="str">
        <f>IF([1]Appoggio!G60=0,"",[1]Appoggio!G60)</f>
        <v/>
      </c>
      <c r="H60" s="1" t="str">
        <f>IF([1]Appoggio!H60=0,"",[1]Appoggio!H60)</f>
        <v/>
      </c>
      <c r="I60" s="1" t="str">
        <f>IF([1]Appoggio!I60=0,"",[1]Appoggio!I60)</f>
        <v/>
      </c>
      <c r="J60" s="1" t="str">
        <f>IF([1]Appoggio!J60=0,"",[1]Appoggio!J60)</f>
        <v/>
      </c>
      <c r="K60" s="1" t="str">
        <f>IF([1]Appoggio!K60=0,"",[1]Appoggio!K60)</f>
        <v/>
      </c>
      <c r="L60" s="1" t="str">
        <f>IF([1]Appoggio!L60=0,"",[1]Appoggio!L60)</f>
        <v/>
      </c>
      <c r="M60" s="1" t="str">
        <f>IF([1]Appoggio!M60=0,"",[1]Appoggio!M60)</f>
        <v/>
      </c>
      <c r="N60" s="1" t="str">
        <f>IF([1]Appoggio!N60=0,"",[1]Appoggio!N60)</f>
        <v/>
      </c>
      <c r="O60" s="1" t="str">
        <f>IF([1]Appoggio!O60=0,"",[1]Appoggio!O60)</f>
        <v/>
      </c>
      <c r="P60" s="1" t="str">
        <f>IF([1]Appoggio!P60=0,"",[1]Appoggio!P60)</f>
        <v/>
      </c>
    </row>
    <row r="61" spans="1:16" x14ac:dyDescent="0.25">
      <c r="A61" s="1" t="str">
        <f>IF([1]Appoggio!A61=0,"",[1]Appoggio!A61)</f>
        <v/>
      </c>
      <c r="B61" s="1" t="str">
        <f>IF([1]Appoggio!B61=0,"",[1]Appoggio!B61)</f>
        <v/>
      </c>
      <c r="C61" s="1" t="str">
        <f>IF([1]Appoggio!C61=0,"",[1]Appoggio!C61)</f>
        <v>ATD2</v>
      </c>
      <c r="D61" s="1" t="str">
        <f>IF([1]Appoggio!D61=0,"",[1]Appoggio!D61)</f>
        <v>Autocallable Digital 2</v>
      </c>
      <c r="E61" s="1" t="str">
        <f>IF([1]Appoggio!E61=0,"",[1]Appoggio!E61)</f>
        <v/>
      </c>
      <c r="F61" s="1" t="str">
        <f>IF([1]Appoggio!F61=0,"",[1]Appoggio!F61)</f>
        <v/>
      </c>
      <c r="G61" s="1" t="str">
        <f>IF([1]Appoggio!G61=0,"",[1]Appoggio!G61)</f>
        <v/>
      </c>
      <c r="H61" s="1" t="str">
        <f>IF([1]Appoggio!H61=0,"",[1]Appoggio!H61)</f>
        <v/>
      </c>
      <c r="I61" s="1" t="str">
        <f>IF([1]Appoggio!I61=0,"",[1]Appoggio!I61)</f>
        <v/>
      </c>
      <c r="J61" s="1" t="str">
        <f>IF([1]Appoggio!J61=0,"",[1]Appoggio!J61)</f>
        <v/>
      </c>
      <c r="K61" s="1" t="str">
        <f>IF([1]Appoggio!K61=0,"",[1]Appoggio!K61)</f>
        <v/>
      </c>
      <c r="L61" s="1" t="str">
        <f>IF([1]Appoggio!L61=0,"",[1]Appoggio!L61)</f>
        <v/>
      </c>
      <c r="M61" s="1" t="str">
        <f>IF([1]Appoggio!M61=0,"",[1]Appoggio!M61)</f>
        <v/>
      </c>
      <c r="N61" s="1" t="str">
        <f>IF([1]Appoggio!N61=0,"",[1]Appoggio!N61)</f>
        <v/>
      </c>
      <c r="O61" s="1" t="str">
        <f>IF([1]Appoggio!O61=0,"",[1]Appoggio!O61)</f>
        <v/>
      </c>
      <c r="P61" s="1" t="str">
        <f>IF([1]Appoggio!P61=0,"",[1]Appoggio!P61)</f>
        <v/>
      </c>
    </row>
    <row r="62" spans="1:16" x14ac:dyDescent="0.25">
      <c r="A62" s="1" t="str">
        <f>IF([1]Appoggio!A62=0,"",[1]Appoggio!A62)</f>
        <v/>
      </c>
      <c r="B62" s="1" t="str">
        <f>IF([1]Appoggio!B62=0,"",[1]Appoggio!B62)</f>
        <v/>
      </c>
      <c r="C62" s="1" t="str">
        <f>IF([1]Appoggio!C62=0,"",[1]Appoggio!C62)</f>
        <v>WOATD</v>
      </c>
      <c r="D62" s="1" t="str">
        <f>IF([1]Appoggio!D62=0,"",[1]Appoggio!D62)</f>
        <v>Worst Of Autocallable Digital</v>
      </c>
      <c r="E62" s="1" t="str">
        <f>IF([1]Appoggio!E62=0,"",[1]Appoggio!E62)</f>
        <v/>
      </c>
      <c r="F62" s="1" t="str">
        <f>IF([1]Appoggio!F62=0,"",[1]Appoggio!F62)</f>
        <v/>
      </c>
      <c r="G62" s="1" t="str">
        <f>IF([1]Appoggio!G62=0,"",[1]Appoggio!G62)</f>
        <v/>
      </c>
      <c r="H62" s="1" t="str">
        <f>IF([1]Appoggio!H62=0,"",[1]Appoggio!H62)</f>
        <v/>
      </c>
      <c r="I62" s="1" t="str">
        <f>IF([1]Appoggio!I62=0,"",[1]Appoggio!I62)</f>
        <v/>
      </c>
      <c r="J62" s="1" t="str">
        <f>IF([1]Appoggio!J62=0,"",[1]Appoggio!J62)</f>
        <v/>
      </c>
      <c r="K62" s="1" t="str">
        <f>IF([1]Appoggio!K62=0,"",[1]Appoggio!K62)</f>
        <v/>
      </c>
      <c r="L62" s="1" t="str">
        <f>IF([1]Appoggio!L62=0,"",[1]Appoggio!L62)</f>
        <v/>
      </c>
      <c r="M62" s="1" t="str">
        <f>IF([1]Appoggio!M62=0,"",[1]Appoggio!M62)</f>
        <v/>
      </c>
      <c r="N62" s="1" t="str">
        <f>IF([1]Appoggio!N62=0,"",[1]Appoggio!N62)</f>
        <v/>
      </c>
      <c r="O62" s="1" t="str">
        <f>IF([1]Appoggio!O62=0,"",[1]Appoggio!O62)</f>
        <v/>
      </c>
      <c r="P62" s="1" t="str">
        <f>IF([1]Appoggio!P62=0,"",[1]Appoggio!P62)</f>
        <v/>
      </c>
    </row>
    <row r="63" spans="1:16" x14ac:dyDescent="0.25">
      <c r="A63" s="1" t="str">
        <f>IF([1]Appoggio!A63=0,"",[1]Appoggio!A63)</f>
        <v/>
      </c>
      <c r="B63" s="1" t="str">
        <f>IF([1]Appoggio!B63=0,"",[1]Appoggio!B63)</f>
        <v/>
      </c>
      <c r="C63" s="1" t="str">
        <f>IF([1]Appoggio!C63=0,"",[1]Appoggio!C63)</f>
        <v>ADS</v>
      </c>
      <c r="D63" s="1" t="str">
        <f>IF([1]Appoggio!D63=0,"",[1]Appoggio!D63)</f>
        <v>Annual Digital Short</v>
      </c>
      <c r="E63" s="1" t="str">
        <f>IF([1]Appoggio!E63=0,"",[1]Appoggio!E63)</f>
        <v/>
      </c>
      <c r="F63" s="1" t="str">
        <f>IF([1]Appoggio!F63=0,"",[1]Appoggio!F63)</f>
        <v/>
      </c>
      <c r="G63" s="1" t="str">
        <f>IF([1]Appoggio!G63=0,"",[1]Appoggio!G63)</f>
        <v/>
      </c>
      <c r="H63" s="1" t="str">
        <f>IF([1]Appoggio!H63=0,"",[1]Appoggio!H63)</f>
        <v/>
      </c>
      <c r="I63" s="1" t="str">
        <f>IF([1]Appoggio!I63=0,"",[1]Appoggio!I63)</f>
        <v/>
      </c>
      <c r="J63" s="1" t="str">
        <f>IF([1]Appoggio!J63=0,"",[1]Appoggio!J63)</f>
        <v/>
      </c>
      <c r="K63" s="1" t="str">
        <f>IF([1]Appoggio!K63=0,"",[1]Appoggio!K63)</f>
        <v/>
      </c>
      <c r="L63" s="1" t="str">
        <f>IF([1]Appoggio!L63=0,"",[1]Appoggio!L63)</f>
        <v/>
      </c>
      <c r="M63" s="1" t="str">
        <f>IF([1]Appoggio!M63=0,"",[1]Appoggio!M63)</f>
        <v/>
      </c>
      <c r="N63" s="1" t="str">
        <f>IF([1]Appoggio!N63=0,"",[1]Appoggio!N63)</f>
        <v/>
      </c>
      <c r="O63" s="1" t="str">
        <f>IF([1]Appoggio!O63=0,"",[1]Appoggio!O63)</f>
        <v/>
      </c>
      <c r="P63" s="1" t="str">
        <f>IF([1]Appoggio!P63=0,"",[1]Appoggio!P63)</f>
        <v/>
      </c>
    </row>
    <row r="64" spans="1:16" x14ac:dyDescent="0.25">
      <c r="A64" s="1" t="str">
        <f>IF([1]Appoggio!A64=0,"",[1]Appoggio!A64)</f>
        <v/>
      </c>
      <c r="B64" s="1" t="str">
        <f>IF([1]Appoggio!B64=0,"",[1]Appoggio!B64)</f>
        <v/>
      </c>
      <c r="C64" s="1" t="str">
        <f>IF([1]Appoggio!C64=0,"",[1]Appoggio!C64)</f>
        <v>GAP</v>
      </c>
      <c r="D64" s="1" t="str">
        <f>IF([1]Appoggio!D64=0,"",[1]Appoggio!D64)</f>
        <v>Gap Long Certificate</v>
      </c>
      <c r="E64" s="1" t="str">
        <f>IF([1]Appoggio!E64=0,"",[1]Appoggio!E64)</f>
        <v/>
      </c>
      <c r="F64" s="1" t="str">
        <f>IF([1]Appoggio!F64=0,"",[1]Appoggio!F64)</f>
        <v/>
      </c>
      <c r="G64" s="1" t="str">
        <f>IF([1]Appoggio!G64=0,"",[1]Appoggio!G64)</f>
        <v/>
      </c>
      <c r="H64" s="1" t="str">
        <f>IF([1]Appoggio!H64=0,"",[1]Appoggio!H64)</f>
        <v/>
      </c>
      <c r="I64" s="1" t="str">
        <f>IF([1]Appoggio!I64=0,"",[1]Appoggio!I64)</f>
        <v/>
      </c>
      <c r="J64" s="1" t="str">
        <f>IF([1]Appoggio!J64=0,"",[1]Appoggio!J64)</f>
        <v/>
      </c>
      <c r="K64" s="1" t="str">
        <f>IF([1]Appoggio!K64=0,"",[1]Appoggio!K64)</f>
        <v/>
      </c>
      <c r="L64" s="1" t="str">
        <f>IF([1]Appoggio!L64=0,"",[1]Appoggio!L64)</f>
        <v/>
      </c>
      <c r="M64" s="1" t="str">
        <f>IF([1]Appoggio!M64=0,"",[1]Appoggio!M64)</f>
        <v/>
      </c>
      <c r="N64" s="1" t="str">
        <f>IF([1]Appoggio!N64=0,"",[1]Appoggio!N64)</f>
        <v/>
      </c>
      <c r="O64" s="1" t="str">
        <f>IF([1]Appoggio!O64=0,"",[1]Appoggio!O64)</f>
        <v/>
      </c>
      <c r="P64" s="1" t="str">
        <f>IF([1]Appoggio!P64=0,"",[1]Appoggio!P64)</f>
        <v/>
      </c>
    </row>
    <row r="65" spans="1:16" x14ac:dyDescent="0.25">
      <c r="A65" s="1" t="str">
        <f>IF([1]Appoggio!A65=0,"",[1]Appoggio!A65)</f>
        <v/>
      </c>
      <c r="B65" s="1" t="str">
        <f>IF([1]Appoggio!B65=0,"",[1]Appoggio!B65)</f>
        <v/>
      </c>
      <c r="C65" s="1" t="str">
        <f>IF([1]Appoggio!C65=0,"",[1]Appoggio!C65)</f>
        <v>CDAI</v>
      </c>
      <c r="D65" s="1" t="str">
        <f>IF([1]Appoggio!D65=0,"",[1]Appoggio!D65)</f>
        <v>Cambio Dinamico - Accumulator Import</v>
      </c>
      <c r="E65" s="1" t="str">
        <f>IF([1]Appoggio!E65=0,"",[1]Appoggio!E65)</f>
        <v/>
      </c>
      <c r="F65" s="1" t="str">
        <f>IF([1]Appoggio!F65=0,"",[1]Appoggio!F65)</f>
        <v/>
      </c>
      <c r="G65" s="1" t="str">
        <f>IF([1]Appoggio!G65=0,"",[1]Appoggio!G65)</f>
        <v/>
      </c>
      <c r="H65" s="1" t="str">
        <f>IF([1]Appoggio!H65=0,"",[1]Appoggio!H65)</f>
        <v/>
      </c>
      <c r="I65" s="1" t="str">
        <f>IF([1]Appoggio!I65=0,"",[1]Appoggio!I65)</f>
        <v/>
      </c>
      <c r="J65" s="1" t="str">
        <f>IF([1]Appoggio!J65=0,"",[1]Appoggio!J65)</f>
        <v/>
      </c>
      <c r="K65" s="1" t="str">
        <f>IF([1]Appoggio!K65=0,"",[1]Appoggio!K65)</f>
        <v/>
      </c>
      <c r="L65" s="1" t="str">
        <f>IF([1]Appoggio!L65=0,"",[1]Appoggio!L65)</f>
        <v/>
      </c>
      <c r="M65" s="1" t="str">
        <f>IF([1]Appoggio!M65=0,"",[1]Appoggio!M65)</f>
        <v/>
      </c>
      <c r="N65" s="1" t="str">
        <f>IF([1]Appoggio!N65=0,"",[1]Appoggio!N65)</f>
        <v/>
      </c>
      <c r="O65" s="1" t="str">
        <f>IF([1]Appoggio!O65=0,"",[1]Appoggio!O65)</f>
        <v/>
      </c>
      <c r="P65" s="1" t="str">
        <f>IF([1]Appoggio!P65=0,"",[1]Appoggio!P65)</f>
        <v/>
      </c>
    </row>
    <row r="66" spans="1:16" x14ac:dyDescent="0.25">
      <c r="A66" s="1" t="str">
        <f>IF([1]Appoggio!A66=0,"",[1]Appoggio!A66)</f>
        <v/>
      </c>
      <c r="B66" s="1" t="str">
        <f>IF([1]Appoggio!B66=0,"",[1]Appoggio!B66)</f>
        <v/>
      </c>
      <c r="C66" s="1" t="str">
        <f>IF([1]Appoggio!C66=0,"",[1]Appoggio!C66)</f>
        <v>CDALI</v>
      </c>
      <c r="D66" s="1" t="str">
        <f>IF([1]Appoggio!D66=0,"",[1]Appoggio!D66)</f>
        <v>Cambio Dinamico - Accumulator Leva Import</v>
      </c>
      <c r="E66" s="1" t="str">
        <f>IF([1]Appoggio!E66=0,"",[1]Appoggio!E66)</f>
        <v/>
      </c>
      <c r="F66" s="1" t="str">
        <f>IF([1]Appoggio!F66=0,"",[1]Appoggio!F66)</f>
        <v/>
      </c>
      <c r="G66" s="1" t="str">
        <f>IF([1]Appoggio!G66=0,"",[1]Appoggio!G66)</f>
        <v/>
      </c>
      <c r="H66" s="1" t="str">
        <f>IF([1]Appoggio!H66=0,"",[1]Appoggio!H66)</f>
        <v/>
      </c>
      <c r="I66" s="1" t="str">
        <f>IF([1]Appoggio!I66=0,"",[1]Appoggio!I66)</f>
        <v/>
      </c>
      <c r="J66" s="1" t="str">
        <f>IF([1]Appoggio!J66=0,"",[1]Appoggio!J66)</f>
        <v/>
      </c>
      <c r="K66" s="1" t="str">
        <f>IF([1]Appoggio!K66=0,"",[1]Appoggio!K66)</f>
        <v/>
      </c>
      <c r="L66" s="1" t="str">
        <f>IF([1]Appoggio!L66=0,"",[1]Appoggio!L66)</f>
        <v/>
      </c>
      <c r="M66" s="1" t="str">
        <f>IF([1]Appoggio!M66=0,"",[1]Appoggio!M66)</f>
        <v/>
      </c>
      <c r="N66" s="1" t="str">
        <f>IF([1]Appoggio!N66=0,"",[1]Appoggio!N66)</f>
        <v/>
      </c>
      <c r="O66" s="1" t="str">
        <f>IF([1]Appoggio!O66=0,"",[1]Appoggio!O66)</f>
        <v/>
      </c>
      <c r="P66" s="1" t="str">
        <f>IF([1]Appoggio!P66=0,"",[1]Appoggio!P66)</f>
        <v/>
      </c>
    </row>
    <row r="67" spans="1:16" x14ac:dyDescent="0.25">
      <c r="A67" s="1" t="str">
        <f>IF([1]Appoggio!A67=0,"",[1]Appoggio!A67)</f>
        <v/>
      </c>
      <c r="B67" s="1" t="str">
        <f>IF([1]Appoggio!B67=0,"",[1]Appoggio!B67)</f>
        <v/>
      </c>
      <c r="C67" s="1" t="str">
        <f>IF([1]Appoggio!C67=0,"",[1]Appoggio!C67)</f>
        <v>DBD2</v>
      </c>
      <c r="D67" s="1" t="str">
        <f>IF([1]Appoggio!D67=0,"",[1]Appoggio!D67)</f>
        <v>Double Barrier Digital 2</v>
      </c>
      <c r="E67" s="1" t="str">
        <f>IF([1]Appoggio!E67=0,"",[1]Appoggio!E67)</f>
        <v/>
      </c>
      <c r="F67" s="1" t="str">
        <f>IF([1]Appoggio!F67=0,"",[1]Appoggio!F67)</f>
        <v/>
      </c>
      <c r="G67" s="1" t="str">
        <f>IF([1]Appoggio!G67=0,"",[1]Appoggio!G67)</f>
        <v/>
      </c>
      <c r="H67" s="1" t="str">
        <f>IF([1]Appoggio!H67=0,"",[1]Appoggio!H67)</f>
        <v/>
      </c>
      <c r="I67" s="1" t="str">
        <f>IF([1]Appoggio!I67=0,"",[1]Appoggio!I67)</f>
        <v/>
      </c>
      <c r="J67" s="1" t="str">
        <f>IF([1]Appoggio!J67=0,"",[1]Appoggio!J67)</f>
        <v/>
      </c>
      <c r="K67" s="1" t="str">
        <f>IF([1]Appoggio!K67=0,"",[1]Appoggio!K67)</f>
        <v/>
      </c>
      <c r="L67" s="1" t="str">
        <f>IF([1]Appoggio!L67=0,"",[1]Appoggio!L67)</f>
        <v/>
      </c>
      <c r="M67" s="1" t="str">
        <f>IF([1]Appoggio!M67=0,"",[1]Appoggio!M67)</f>
        <v/>
      </c>
      <c r="N67" s="1" t="str">
        <f>IF([1]Appoggio!N67=0,"",[1]Appoggio!N67)</f>
        <v/>
      </c>
      <c r="O67" s="1" t="str">
        <f>IF([1]Appoggio!O67=0,"",[1]Appoggio!O67)</f>
        <v/>
      </c>
      <c r="P67" s="1" t="str">
        <f>IF([1]Appoggio!P67=0,"",[1]Appoggio!P67)</f>
        <v/>
      </c>
    </row>
    <row r="68" spans="1:16" x14ac:dyDescent="0.25">
      <c r="A68" s="1" t="str">
        <f>IF([1]Appoggio!A68=0,"",[1]Appoggio!A68)</f>
        <v/>
      </c>
      <c r="B68" s="1" t="str">
        <f>IF([1]Appoggio!B68=0,"",[1]Appoggio!B68)</f>
        <v/>
      </c>
      <c r="C68" s="1" t="str">
        <f>IF([1]Appoggio!C68=0,"",[1]Appoggio!C68)</f>
        <v>LECOIP</v>
      </c>
      <c r="D68" s="1" t="str">
        <f>IF([1]Appoggio!D68=0,"",[1]Appoggio!D68)</f>
        <v>Certificate LECOIP</v>
      </c>
      <c r="E68" s="1" t="str">
        <f>IF([1]Appoggio!E68=0,"",[1]Appoggio!E68)</f>
        <v/>
      </c>
      <c r="F68" s="1" t="str">
        <f>IF([1]Appoggio!F68=0,"",[1]Appoggio!F68)</f>
        <v/>
      </c>
      <c r="G68" s="1" t="str">
        <f>IF([1]Appoggio!G68=0,"",[1]Appoggio!G68)</f>
        <v/>
      </c>
      <c r="H68" s="1" t="str">
        <f>IF([1]Appoggio!H68=0,"",[1]Appoggio!H68)</f>
        <v/>
      </c>
      <c r="I68" s="1" t="str">
        <f>IF([1]Appoggio!I68=0,"",[1]Appoggio!I68)</f>
        <v/>
      </c>
      <c r="J68" s="1" t="str">
        <f>IF([1]Appoggio!J68=0,"",[1]Appoggio!J68)</f>
        <v/>
      </c>
      <c r="K68" s="1" t="str">
        <f>IF([1]Appoggio!K68=0,"",[1]Appoggio!K68)</f>
        <v/>
      </c>
      <c r="L68" s="1" t="str">
        <f>IF([1]Appoggio!L68=0,"",[1]Appoggio!L68)</f>
        <v/>
      </c>
      <c r="M68" s="1" t="str">
        <f>IF([1]Appoggio!M68=0,"",[1]Appoggio!M68)</f>
        <v/>
      </c>
      <c r="N68" s="1" t="str">
        <f>IF([1]Appoggio!N68=0,"",[1]Appoggio!N68)</f>
        <v/>
      </c>
      <c r="O68" s="1" t="str">
        <f>IF([1]Appoggio!O68=0,"",[1]Appoggio!O68)</f>
        <v/>
      </c>
      <c r="P68" s="1" t="str">
        <f>IF([1]Appoggio!P68=0,"",[1]Appoggio!P68)</f>
        <v/>
      </c>
    </row>
    <row r="69" spans="1:16" x14ac:dyDescent="0.25">
      <c r="A69" s="1" t="str">
        <f>IF([1]Appoggio!A69=0,"",[1]Appoggio!A69)</f>
        <v/>
      </c>
      <c r="B69" s="1" t="str">
        <f>IF([1]Appoggio!B69=0,"",[1]Appoggio!B69)</f>
        <v/>
      </c>
      <c r="C69" s="1" t="str">
        <f>IF([1]Appoggio!C69=0,"",[1]Appoggio!C69)</f>
        <v>WO2</v>
      </c>
      <c r="D69" s="1" t="str">
        <f>IF([1]Appoggio!D69=0,"",[1]Appoggio!D69)</f>
        <v>Worst Of 2 (Digital, Memory)</v>
      </c>
      <c r="E69" s="1" t="str">
        <f>IF([1]Appoggio!E69=0,"",[1]Appoggio!E69)</f>
        <v/>
      </c>
      <c r="F69" s="1" t="str">
        <f>IF([1]Appoggio!F69=0,"",[1]Appoggio!F69)</f>
        <v/>
      </c>
      <c r="G69" s="1" t="str">
        <f>IF([1]Appoggio!G69=0,"",[1]Appoggio!G69)</f>
        <v/>
      </c>
      <c r="H69" s="1" t="str">
        <f>IF([1]Appoggio!H69=0,"",[1]Appoggio!H69)</f>
        <v/>
      </c>
      <c r="I69" s="1" t="str">
        <f>IF([1]Appoggio!I69=0,"",[1]Appoggio!I69)</f>
        <v/>
      </c>
      <c r="J69" s="1" t="str">
        <f>IF([1]Appoggio!J69=0,"",[1]Appoggio!J69)</f>
        <v/>
      </c>
      <c r="K69" s="1" t="str">
        <f>IF([1]Appoggio!K69=0,"",[1]Appoggio!K69)</f>
        <v/>
      </c>
      <c r="L69" s="1" t="str">
        <f>IF([1]Appoggio!L69=0,"",[1]Appoggio!L69)</f>
        <v/>
      </c>
      <c r="M69" s="1" t="str">
        <f>IF([1]Appoggio!M69=0,"",[1]Appoggio!M69)</f>
        <v/>
      </c>
      <c r="N69" s="1" t="str">
        <f>IF([1]Appoggio!N69=0,"",[1]Appoggio!N69)</f>
        <v/>
      </c>
      <c r="O69" s="1" t="str">
        <f>IF([1]Appoggio!O69=0,"",[1]Appoggio!O69)</f>
        <v/>
      </c>
      <c r="P69" s="1" t="str">
        <f>IF([1]Appoggio!P69=0,"",[1]Appoggio!P69)</f>
        <v/>
      </c>
    </row>
    <row r="70" spans="1:16" x14ac:dyDescent="0.25">
      <c r="A70" s="1" t="str">
        <f>IF([1]Appoggio!A70=0,"",[1]Appoggio!A70)</f>
        <v/>
      </c>
      <c r="B70" s="1" t="str">
        <f>IF([1]Appoggio!B70=0,"",[1]Appoggio!B70)</f>
        <v/>
      </c>
      <c r="C70" s="1" t="str">
        <f>IF([1]Appoggio!C70=0,"",[1]Appoggio!C70)</f>
        <v>MLC6</v>
      </c>
      <c r="D70" s="1" t="str">
        <f>IF([1]Appoggio!D70=0,"",[1]Appoggio!D70)</f>
        <v>Max Long Cap 6</v>
      </c>
      <c r="E70" s="1" t="str">
        <f>IF([1]Appoggio!E70=0,"",[1]Appoggio!E70)</f>
        <v/>
      </c>
      <c r="F70" s="1" t="str">
        <f>IF([1]Appoggio!F70=0,"",[1]Appoggio!F70)</f>
        <v/>
      </c>
      <c r="G70" s="1" t="str">
        <f>IF([1]Appoggio!G70=0,"",[1]Appoggio!G70)</f>
        <v/>
      </c>
      <c r="H70" s="1" t="str">
        <f>IF([1]Appoggio!H70=0,"",[1]Appoggio!H70)</f>
        <v/>
      </c>
      <c r="I70" s="1" t="str">
        <f>IF([1]Appoggio!I70=0,"",[1]Appoggio!I70)</f>
        <v/>
      </c>
      <c r="J70" s="1" t="str">
        <f>IF([1]Appoggio!J70=0,"",[1]Appoggio!J70)</f>
        <v/>
      </c>
      <c r="K70" s="1" t="str">
        <f>IF([1]Appoggio!K70=0,"",[1]Appoggio!K70)</f>
        <v/>
      </c>
      <c r="L70" s="1" t="str">
        <f>IF([1]Appoggio!L70=0,"",[1]Appoggio!L70)</f>
        <v/>
      </c>
      <c r="M70" s="1" t="str">
        <f>IF([1]Appoggio!M70=0,"",[1]Appoggio!M70)</f>
        <v/>
      </c>
      <c r="N70" s="1" t="str">
        <f>IF([1]Appoggio!N70=0,"",[1]Appoggio!N70)</f>
        <v/>
      </c>
      <c r="O70" s="1" t="str">
        <f>IF([1]Appoggio!O70=0,"",[1]Appoggio!O70)</f>
        <v/>
      </c>
      <c r="P70" s="1" t="str">
        <f>IF([1]Appoggio!P70=0,"",[1]Appoggio!P70)</f>
        <v/>
      </c>
    </row>
    <row r="71" spans="1:16" x14ac:dyDescent="0.25">
      <c r="A71" s="1" t="str">
        <f>IF([1]Appoggio!A71=0,"",[1]Appoggio!A71)</f>
        <v/>
      </c>
      <c r="B71" s="1" t="str">
        <f>IF([1]Appoggio!B71=0,"",[1]Appoggio!B71)</f>
        <v/>
      </c>
      <c r="C71" s="1" t="str">
        <f>IF([1]Appoggio!C71=0,"",[1]Appoggio!C71)</f>
        <v>MLCD</v>
      </c>
      <c r="D71" s="1" t="str">
        <f>IF([1]Appoggio!D71=0,"",[1]Appoggio!D71)</f>
        <v>Max Long Cap Digital</v>
      </c>
      <c r="E71" s="1" t="str">
        <f>IF([1]Appoggio!E71=0,"",[1]Appoggio!E71)</f>
        <v/>
      </c>
      <c r="F71" s="1" t="str">
        <f>IF([1]Appoggio!F71=0,"",[1]Appoggio!F71)</f>
        <v/>
      </c>
      <c r="G71" s="1" t="str">
        <f>IF([1]Appoggio!G71=0,"",[1]Appoggio!G71)</f>
        <v/>
      </c>
      <c r="H71" s="1" t="str">
        <f>IF([1]Appoggio!H71=0,"",[1]Appoggio!H71)</f>
        <v/>
      </c>
      <c r="I71" s="1" t="str">
        <f>IF([1]Appoggio!I71=0,"",[1]Appoggio!I71)</f>
        <v/>
      </c>
      <c r="J71" s="1" t="str">
        <f>IF([1]Appoggio!J71=0,"",[1]Appoggio!J71)</f>
        <v/>
      </c>
      <c r="K71" s="1" t="str">
        <f>IF([1]Appoggio!K71=0,"",[1]Appoggio!K71)</f>
        <v/>
      </c>
      <c r="L71" s="1" t="str">
        <f>IF([1]Appoggio!L71=0,"",[1]Appoggio!L71)</f>
        <v/>
      </c>
      <c r="M71" s="1" t="str">
        <f>IF([1]Appoggio!M71=0,"",[1]Appoggio!M71)</f>
        <v/>
      </c>
      <c r="N71" s="1" t="str">
        <f>IF([1]Appoggio!N71=0,"",[1]Appoggio!N71)</f>
        <v/>
      </c>
      <c r="O71" s="1" t="str">
        <f>IF([1]Appoggio!O71=0,"",[1]Appoggio!O71)</f>
        <v/>
      </c>
      <c r="P71" s="1" t="str">
        <f>IF([1]Appoggio!P71=0,"",[1]Appoggio!P71)</f>
        <v/>
      </c>
    </row>
    <row r="72" spans="1:16" x14ac:dyDescent="0.25">
      <c r="A72" s="1" t="str">
        <f>IF([1]Appoggio!A72=0,"",[1]Appoggio!A72)</f>
        <v/>
      </c>
      <c r="B72" s="1" t="str">
        <f>IF([1]Appoggio!B72=0,"",[1]Appoggio!B72)</f>
        <v/>
      </c>
      <c r="C72" s="1" t="str">
        <f>IF([1]Appoggio!C72=0,"",[1]Appoggio!C72)</f>
        <v>ATCTW</v>
      </c>
      <c r="D72" s="1" t="str">
        <f>IF([1]Appoggio!D72=0,"",[1]Appoggio!D72)</f>
        <v>Autocallable Twin Win</v>
      </c>
      <c r="E72" s="1" t="str">
        <f>IF([1]Appoggio!E72=0,"",[1]Appoggio!E72)</f>
        <v/>
      </c>
      <c r="F72" s="1" t="str">
        <f>IF([1]Appoggio!F72=0,"",[1]Appoggio!F72)</f>
        <v/>
      </c>
      <c r="G72" s="1" t="str">
        <f>IF([1]Appoggio!G72=0,"",[1]Appoggio!G72)</f>
        <v/>
      </c>
      <c r="H72" s="1" t="str">
        <f>IF([1]Appoggio!H72=0,"",[1]Appoggio!H72)</f>
        <v/>
      </c>
      <c r="I72" s="1" t="str">
        <f>IF([1]Appoggio!I72=0,"",[1]Appoggio!I72)</f>
        <v/>
      </c>
      <c r="J72" s="1" t="str">
        <f>IF([1]Appoggio!J72=0,"",[1]Appoggio!J72)</f>
        <v/>
      </c>
      <c r="K72" s="1" t="str">
        <f>IF([1]Appoggio!K72=0,"",[1]Appoggio!K72)</f>
        <v/>
      </c>
      <c r="L72" s="1" t="str">
        <f>IF([1]Appoggio!L72=0,"",[1]Appoggio!L72)</f>
        <v/>
      </c>
      <c r="M72" s="1" t="str">
        <f>IF([1]Appoggio!M72=0,"",[1]Appoggio!M72)</f>
        <v/>
      </c>
      <c r="N72" s="1" t="str">
        <f>IF([1]Appoggio!N72=0,"",[1]Appoggio!N72)</f>
        <v/>
      </c>
      <c r="O72" s="1" t="str">
        <f>IF([1]Appoggio!O72=0,"",[1]Appoggio!O72)</f>
        <v/>
      </c>
      <c r="P72" s="1" t="str">
        <f>IF([1]Appoggio!P72=0,"",[1]Appoggio!P72)</f>
        <v/>
      </c>
    </row>
    <row r="73" spans="1:16" x14ac:dyDescent="0.25">
      <c r="A73" s="1" t="str">
        <f>IF([1]Appoggio!A73=0,"",[1]Appoggio!A73)</f>
        <v/>
      </c>
      <c r="B73" s="1" t="str">
        <f>IF([1]Appoggio!B73=0,"",[1]Appoggio!B73)</f>
        <v/>
      </c>
      <c r="C73" s="1" t="str">
        <f>IF([1]Appoggio!C73=0,"",[1]Appoggio!C73)</f>
        <v>ATD2</v>
      </c>
      <c r="D73" s="1" t="str">
        <f>IF([1]Appoggio!D73=0,"",[1]Appoggio!D73)</f>
        <v>Autocallable Digital 2</v>
      </c>
      <c r="E73" s="1" t="str">
        <f>IF([1]Appoggio!E73=0,"",[1]Appoggio!E73)</f>
        <v/>
      </c>
      <c r="F73" s="1" t="str">
        <f>IF([1]Appoggio!F73=0,"",[1]Appoggio!F73)</f>
        <v/>
      </c>
      <c r="G73" s="1" t="str">
        <f>IF([1]Appoggio!G73=0,"",[1]Appoggio!G73)</f>
        <v/>
      </c>
      <c r="H73" s="1" t="str">
        <f>IF([1]Appoggio!H73=0,"",[1]Appoggio!H73)</f>
        <v/>
      </c>
      <c r="I73" s="1" t="str">
        <f>IF([1]Appoggio!I73=0,"",[1]Appoggio!I73)</f>
        <v/>
      </c>
      <c r="J73" s="1" t="str">
        <f>IF([1]Appoggio!J73=0,"",[1]Appoggio!J73)</f>
        <v/>
      </c>
      <c r="K73" s="1" t="str">
        <f>IF([1]Appoggio!K73=0,"",[1]Appoggio!K73)</f>
        <v/>
      </c>
      <c r="L73" s="1" t="str">
        <f>IF([1]Appoggio!L73=0,"",[1]Appoggio!L73)</f>
        <v/>
      </c>
      <c r="M73" s="1" t="str">
        <f>IF([1]Appoggio!M73=0,"",[1]Appoggio!M73)</f>
        <v/>
      </c>
      <c r="N73" s="1" t="str">
        <f>IF([1]Appoggio!N73=0,"",[1]Appoggio!N73)</f>
        <v/>
      </c>
      <c r="O73" s="1" t="str">
        <f>IF([1]Appoggio!O73=0,"",[1]Appoggio!O73)</f>
        <v/>
      </c>
      <c r="P73" s="1" t="str">
        <f>IF([1]Appoggio!P73=0,"",[1]Appoggio!P73)</f>
        <v/>
      </c>
    </row>
    <row r="74" spans="1:16" x14ac:dyDescent="0.25">
      <c r="A74" s="1" t="str">
        <f>IF([1]Appoggio!A74=0,"",[1]Appoggio!A74)</f>
        <v/>
      </c>
      <c r="B74" s="1" t="str">
        <f>IF([1]Appoggio!B74=0,"",[1]Appoggio!B74)</f>
        <v/>
      </c>
      <c r="C74" s="1" t="str">
        <f>IF([1]Appoggio!C74=0,"",[1]Appoggio!C74)</f>
        <v>TWKO</v>
      </c>
      <c r="D74" s="1" t="str">
        <f>IF([1]Appoggio!D74=0,"",[1]Appoggio!D74)</f>
        <v>Twin Win con Knock-Out Americano</v>
      </c>
      <c r="E74" s="1" t="str">
        <f>IF([1]Appoggio!E74=0,"",[1]Appoggio!E74)</f>
        <v/>
      </c>
      <c r="F74" s="1" t="str">
        <f>IF([1]Appoggio!F74=0,"",[1]Appoggio!F74)</f>
        <v/>
      </c>
      <c r="G74" s="1" t="str">
        <f>IF([1]Appoggio!G74=0,"",[1]Appoggio!G74)</f>
        <v/>
      </c>
      <c r="H74" s="1" t="str">
        <f>IF([1]Appoggio!H74=0,"",[1]Appoggio!H74)</f>
        <v/>
      </c>
      <c r="I74" s="1" t="str">
        <f>IF([1]Appoggio!I74=0,"",[1]Appoggio!I74)</f>
        <v/>
      </c>
      <c r="J74" s="1" t="str">
        <f>IF([1]Appoggio!J74=0,"",[1]Appoggio!J74)</f>
        <v/>
      </c>
      <c r="K74" s="1" t="str">
        <f>IF([1]Appoggio!K74=0,"",[1]Appoggio!K74)</f>
        <v/>
      </c>
      <c r="L74" s="1" t="str">
        <f>IF([1]Appoggio!L74=0,"",[1]Appoggio!L74)</f>
        <v/>
      </c>
      <c r="M74" s="1" t="str">
        <f>IF([1]Appoggio!M74=0,"",[1]Appoggio!M74)</f>
        <v/>
      </c>
      <c r="N74" s="1" t="str">
        <f>IF([1]Appoggio!N74=0,"",[1]Appoggio!N74)</f>
        <v/>
      </c>
      <c r="O74" s="1" t="str">
        <f>IF([1]Appoggio!O74=0,"",[1]Appoggio!O74)</f>
        <v/>
      </c>
      <c r="P74" s="1" t="str">
        <f>IF([1]Appoggio!P74=0,"",[1]Appoggio!P74)</f>
        <v/>
      </c>
    </row>
    <row r="75" spans="1:16" x14ac:dyDescent="0.25">
      <c r="A75" s="1" t="str">
        <f>IF([1]Appoggio!A75=0,"",[1]Appoggio!A75)</f>
        <v/>
      </c>
      <c r="B75" s="1" t="str">
        <f>IF([1]Appoggio!B75=0,"",[1]Appoggio!B75)</f>
        <v/>
      </c>
      <c r="C75" s="1" t="str">
        <f>IF([1]Appoggio!C75=0,"",[1]Appoggio!C75)</f>
        <v>CPBFI</v>
      </c>
      <c r="D75" s="1" t="str">
        <f>IF([1]Appoggio!D75=0,"",[1]Appoggio!D75)</f>
        <v>Cambio Protetto Best Forward Import</v>
      </c>
      <c r="E75" s="1" t="str">
        <f>IF([1]Appoggio!E75=0,"",[1]Appoggio!E75)</f>
        <v/>
      </c>
      <c r="F75" s="1" t="str">
        <f>IF([1]Appoggio!F75=0,"",[1]Appoggio!F75)</f>
        <v/>
      </c>
      <c r="G75" s="1" t="str">
        <f>IF([1]Appoggio!G75=0,"",[1]Appoggio!G75)</f>
        <v/>
      </c>
      <c r="H75" s="1" t="str">
        <f>IF([1]Appoggio!H75=0,"",[1]Appoggio!H75)</f>
        <v/>
      </c>
      <c r="I75" s="1" t="str">
        <f>IF([1]Appoggio!I75=0,"",[1]Appoggio!I75)</f>
        <v/>
      </c>
      <c r="J75" s="1" t="str">
        <f>IF([1]Appoggio!J75=0,"",[1]Appoggio!J75)</f>
        <v/>
      </c>
      <c r="K75" s="1" t="str">
        <f>IF([1]Appoggio!K75=0,"",[1]Appoggio!K75)</f>
        <v/>
      </c>
      <c r="L75" s="1" t="str">
        <f>IF([1]Appoggio!L75=0,"",[1]Appoggio!L75)</f>
        <v/>
      </c>
      <c r="M75" s="1" t="str">
        <f>IF([1]Appoggio!M75=0,"",[1]Appoggio!M75)</f>
        <v/>
      </c>
      <c r="N75" s="1" t="str">
        <f>IF([1]Appoggio!N75=0,"",[1]Appoggio!N75)</f>
        <v/>
      </c>
      <c r="O75" s="1" t="str">
        <f>IF([1]Appoggio!O75=0,"",[1]Appoggio!O75)</f>
        <v/>
      </c>
      <c r="P75" s="1" t="str">
        <f>IF([1]Appoggio!P75=0,"",[1]Appoggio!P75)</f>
        <v/>
      </c>
    </row>
    <row r="76" spans="1:16" x14ac:dyDescent="0.25">
      <c r="A76" s="1" t="str">
        <f>IF([1]Appoggio!A76=0,"",[1]Appoggio!A76)</f>
        <v/>
      </c>
      <c r="B76" s="1" t="str">
        <f>IF([1]Appoggio!B76=0,"",[1]Appoggio!B76)</f>
        <v/>
      </c>
      <c r="C76" s="1" t="str">
        <f>IF([1]Appoggio!C76=0,"",[1]Appoggio!C76)</f>
        <v>CPBFE</v>
      </c>
      <c r="D76" s="1" t="str">
        <f>IF([1]Appoggio!D76=0,"",[1]Appoggio!D76)</f>
        <v>Cambio Protetto Best Forward Export</v>
      </c>
      <c r="E76" s="1" t="str">
        <f>IF([1]Appoggio!E76=0,"",[1]Appoggio!E76)</f>
        <v/>
      </c>
      <c r="F76" s="1" t="str">
        <f>IF([1]Appoggio!F76=0,"",[1]Appoggio!F76)</f>
        <v/>
      </c>
      <c r="G76" s="1" t="str">
        <f>IF([1]Appoggio!G76=0,"",[1]Appoggio!G76)</f>
        <v/>
      </c>
      <c r="H76" s="1" t="str">
        <f>IF([1]Appoggio!H76=0,"",[1]Appoggio!H76)</f>
        <v/>
      </c>
      <c r="I76" s="1" t="str">
        <f>IF([1]Appoggio!I76=0,"",[1]Appoggio!I76)</f>
        <v/>
      </c>
      <c r="J76" s="1" t="str">
        <f>IF([1]Appoggio!J76=0,"",[1]Appoggio!J76)</f>
        <v/>
      </c>
      <c r="K76" s="1" t="str">
        <f>IF([1]Appoggio!K76=0,"",[1]Appoggio!K76)</f>
        <v/>
      </c>
      <c r="L76" s="1" t="str">
        <f>IF([1]Appoggio!L76=0,"",[1]Appoggio!L76)</f>
        <v/>
      </c>
      <c r="M76" s="1" t="str">
        <f>IF([1]Appoggio!M76=0,"",[1]Appoggio!M76)</f>
        <v/>
      </c>
      <c r="N76" s="1" t="str">
        <f>IF([1]Appoggio!N76=0,"",[1]Appoggio!N76)</f>
        <v/>
      </c>
      <c r="O76" s="1" t="str">
        <f>IF([1]Appoggio!O76=0,"",[1]Appoggio!O76)</f>
        <v/>
      </c>
      <c r="P76" s="1" t="str">
        <f>IF([1]Appoggio!P76=0,"",[1]Appoggio!P76)</f>
        <v/>
      </c>
    </row>
    <row r="77" spans="1:16" x14ac:dyDescent="0.25">
      <c r="A77" s="1" t="str">
        <f>IF([1]Appoggio!A77=0,"",[1]Appoggio!A77)</f>
        <v/>
      </c>
      <c r="B77" s="1" t="str">
        <f>IF([1]Appoggio!B77=0,"",[1]Appoggio!B77)</f>
        <v/>
      </c>
      <c r="C77" s="1" t="str">
        <f>IF([1]Appoggio!C77=0,"",[1]Appoggio!C77)</f>
        <v>WOBtest</v>
      </c>
      <c r="D77" s="1" t="str">
        <f>IF([1]Appoggio!D77=0,"",[1]Appoggio!D77)</f>
        <v>Test Worst Of Basket</v>
      </c>
      <c r="E77" s="1" t="str">
        <f>IF([1]Appoggio!E77=0,"",[1]Appoggio!E77)</f>
        <v/>
      </c>
      <c r="F77" s="1" t="str">
        <f>IF([1]Appoggio!F77=0,"",[1]Appoggio!F77)</f>
        <v/>
      </c>
      <c r="G77" s="1" t="str">
        <f>IF([1]Appoggio!G77=0,"",[1]Appoggio!G77)</f>
        <v/>
      </c>
      <c r="H77" s="1" t="str">
        <f>IF([1]Appoggio!H77=0,"",[1]Appoggio!H77)</f>
        <v/>
      </c>
      <c r="I77" s="1" t="str">
        <f>IF([1]Appoggio!I77=0,"",[1]Appoggio!I77)</f>
        <v/>
      </c>
      <c r="J77" s="1" t="str">
        <f>IF([1]Appoggio!J77=0,"",[1]Appoggio!J77)</f>
        <v/>
      </c>
      <c r="K77" s="1" t="str">
        <f>IF([1]Appoggio!K77=0,"",[1]Appoggio!K77)</f>
        <v/>
      </c>
      <c r="L77" s="1" t="str">
        <f>IF([1]Appoggio!L77=0,"",[1]Appoggio!L77)</f>
        <v/>
      </c>
      <c r="M77" s="1" t="str">
        <f>IF([1]Appoggio!M77=0,"",[1]Appoggio!M77)</f>
        <v/>
      </c>
      <c r="N77" s="1" t="str">
        <f>IF([1]Appoggio!N77=0,"",[1]Appoggio!N77)</f>
        <v/>
      </c>
      <c r="O77" s="1" t="str">
        <f>IF([1]Appoggio!O77=0,"",[1]Appoggio!O77)</f>
        <v/>
      </c>
      <c r="P77" s="1" t="str">
        <f>IF([1]Appoggio!P77=0,"",[1]Appoggio!P77)</f>
        <v/>
      </c>
    </row>
    <row r="78" spans="1:16" x14ac:dyDescent="0.25">
      <c r="A78" s="1" t="str">
        <f>IF([1]Appoggio!A78=0,"",[1]Appoggio!A78)</f>
        <v/>
      </c>
      <c r="B78" s="1" t="str">
        <f>IF([1]Appoggio!B78=0,"",[1]Appoggio!B78)</f>
        <v/>
      </c>
      <c r="C78" s="1" t="str">
        <f>IF([1]Appoggio!C78=0,"",[1]Appoggio!C78)</f>
        <v>MLC8</v>
      </c>
      <c r="D78" s="1" t="str">
        <f>IF([1]Appoggio!D78=0,"",[1]Appoggio!D78)</f>
        <v>Max Long Cap 8</v>
      </c>
      <c r="E78" s="1" t="str">
        <f>IF([1]Appoggio!E78=0,"",[1]Appoggio!E78)</f>
        <v/>
      </c>
      <c r="F78" s="1" t="str">
        <f>IF([1]Appoggio!F78=0,"",[1]Appoggio!F78)</f>
        <v/>
      </c>
      <c r="G78" s="1" t="str">
        <f>IF([1]Appoggio!G78=0,"",[1]Appoggio!G78)</f>
        <v/>
      </c>
      <c r="H78" s="1" t="str">
        <f>IF([1]Appoggio!H78=0,"",[1]Appoggio!H78)</f>
        <v/>
      </c>
      <c r="I78" s="1" t="str">
        <f>IF([1]Appoggio!I78=0,"",[1]Appoggio!I78)</f>
        <v/>
      </c>
      <c r="J78" s="1" t="str">
        <f>IF([1]Appoggio!J78=0,"",[1]Appoggio!J78)</f>
        <v/>
      </c>
      <c r="K78" s="1" t="str">
        <f>IF([1]Appoggio!K78=0,"",[1]Appoggio!K78)</f>
        <v/>
      </c>
      <c r="L78" s="1" t="str">
        <f>IF([1]Appoggio!L78=0,"",[1]Appoggio!L78)</f>
        <v/>
      </c>
      <c r="M78" s="1" t="str">
        <f>IF([1]Appoggio!M78=0,"",[1]Appoggio!M78)</f>
        <v/>
      </c>
      <c r="N78" s="1" t="str">
        <f>IF([1]Appoggio!N78=0,"",[1]Appoggio!N78)</f>
        <v/>
      </c>
      <c r="O78" s="1" t="str">
        <f>IF([1]Appoggio!O78=0,"",[1]Appoggio!O78)</f>
        <v/>
      </c>
      <c r="P78" s="1" t="str">
        <f>IF([1]Appoggio!P78=0,"",[1]Appoggio!P78)</f>
        <v/>
      </c>
    </row>
    <row r="79" spans="1:16" x14ac:dyDescent="0.25">
      <c r="A79" s="1" t="str">
        <f>IF([1]Appoggio!A79=0,"",[1]Appoggio!A79)</f>
        <v/>
      </c>
      <c r="B79" s="1" t="str">
        <f>IF([1]Appoggio!B79=0,"",[1]Appoggio!B79)</f>
        <v/>
      </c>
      <c r="C79" s="1" t="str">
        <f>IF([1]Appoggio!C79=0,"",[1]Appoggio!C79)</f>
        <v>MLCD1</v>
      </c>
      <c r="D79" s="1" t="str">
        <f>IF([1]Appoggio!D79=0,"",[1]Appoggio!D79)</f>
        <v>Max Long Cap Digital 1</v>
      </c>
      <c r="E79" s="1" t="str">
        <f>IF([1]Appoggio!E79=0,"",[1]Appoggio!E79)</f>
        <v/>
      </c>
      <c r="F79" s="1" t="str">
        <f>IF([1]Appoggio!F79=0,"",[1]Appoggio!F79)</f>
        <v/>
      </c>
      <c r="G79" s="1" t="str">
        <f>IF([1]Appoggio!G79=0,"",[1]Appoggio!G79)</f>
        <v/>
      </c>
      <c r="H79" s="1" t="str">
        <f>IF([1]Appoggio!H79=0,"",[1]Appoggio!H79)</f>
        <v/>
      </c>
      <c r="I79" s="1" t="str">
        <f>IF([1]Appoggio!I79=0,"",[1]Appoggio!I79)</f>
        <v/>
      </c>
      <c r="J79" s="1" t="str">
        <f>IF([1]Appoggio!J79=0,"",[1]Appoggio!J79)</f>
        <v/>
      </c>
      <c r="K79" s="1" t="str">
        <f>IF([1]Appoggio!K79=0,"",[1]Appoggio!K79)</f>
        <v/>
      </c>
      <c r="L79" s="1" t="str">
        <f>IF([1]Appoggio!L79=0,"",[1]Appoggio!L79)</f>
        <v/>
      </c>
      <c r="M79" s="1" t="str">
        <f>IF([1]Appoggio!M79=0,"",[1]Appoggio!M79)</f>
        <v/>
      </c>
      <c r="N79" s="1" t="str">
        <f>IF([1]Appoggio!N79=0,"",[1]Appoggio!N79)</f>
        <v/>
      </c>
      <c r="O79" s="1" t="str">
        <f>IF([1]Appoggio!O79=0,"",[1]Appoggio!O79)</f>
        <v/>
      </c>
      <c r="P79" s="1" t="str">
        <f>IF([1]Appoggio!P79=0,"",[1]Appoggio!P79)</f>
        <v/>
      </c>
    </row>
    <row r="80" spans="1:16" x14ac:dyDescent="0.25">
      <c r="A80" s="1" t="str">
        <f>IF([1]Appoggio!A80=0,"",[1]Appoggio!A80)</f>
        <v/>
      </c>
      <c r="B80" s="1" t="str">
        <f>IF([1]Appoggio!B80=0,"",[1]Appoggio!B80)</f>
        <v/>
      </c>
      <c r="C80" s="1" t="str">
        <f>IF([1]Appoggio!C80=0,"",[1]Appoggio!C80)</f>
        <v>AVC1</v>
      </c>
      <c r="D80" s="1" t="str">
        <f>IF([1]Appoggio!D80=0,"",[1]Appoggio!D80)</f>
        <v>Annual Variable Coupon 1</v>
      </c>
      <c r="E80" s="1" t="str">
        <f>IF([1]Appoggio!E80=0,"",[1]Appoggio!E80)</f>
        <v/>
      </c>
      <c r="F80" s="1" t="str">
        <f>IF([1]Appoggio!F80=0,"",[1]Appoggio!F80)</f>
        <v/>
      </c>
      <c r="G80" s="1" t="str">
        <f>IF([1]Appoggio!G80=0,"",[1]Appoggio!G80)</f>
        <v/>
      </c>
      <c r="H80" s="1" t="str">
        <f>IF([1]Appoggio!H80=0,"",[1]Appoggio!H80)</f>
        <v/>
      </c>
      <c r="I80" s="1" t="str">
        <f>IF([1]Appoggio!I80=0,"",[1]Appoggio!I80)</f>
        <v/>
      </c>
      <c r="J80" s="1" t="str">
        <f>IF([1]Appoggio!J80=0,"",[1]Appoggio!J80)</f>
        <v/>
      </c>
      <c r="K80" s="1" t="str">
        <f>IF([1]Appoggio!K80=0,"",[1]Appoggio!K80)</f>
        <v/>
      </c>
      <c r="L80" s="1" t="str">
        <f>IF([1]Appoggio!L80=0,"",[1]Appoggio!L80)</f>
        <v/>
      </c>
      <c r="M80" s="1" t="str">
        <f>IF([1]Appoggio!M80=0,"",[1]Appoggio!M80)</f>
        <v/>
      </c>
      <c r="N80" s="1" t="str">
        <f>IF([1]Appoggio!N80=0,"",[1]Appoggio!N80)</f>
        <v/>
      </c>
      <c r="O80" s="1" t="str">
        <f>IF([1]Appoggio!O80=0,"",[1]Appoggio!O80)</f>
        <v/>
      </c>
      <c r="P80" s="1" t="str">
        <f>IF([1]Appoggio!P80=0,"",[1]Appoggio!P80)</f>
        <v/>
      </c>
    </row>
    <row r="81" spans="1:16" x14ac:dyDescent="0.25">
      <c r="A81" s="1" t="str">
        <f>IF([1]Appoggio!A81=0,"",[1]Appoggio!A81)</f>
        <v/>
      </c>
      <c r="B81" s="1" t="str">
        <f>IF([1]Appoggio!B81=0,"",[1]Appoggio!B81)</f>
        <v/>
      </c>
      <c r="C81" s="1" t="str">
        <f>IF([1]Appoggio!C81=0,"",[1]Appoggio!C81)</f>
        <v>SC</v>
      </c>
      <c r="D81" s="1" t="str">
        <f>IF([1]Appoggio!D81=0,"",[1]Appoggio!D81)</f>
        <v>Switch Certificate</v>
      </c>
      <c r="E81" s="1" t="str">
        <f>IF([1]Appoggio!E81=0,"",[1]Appoggio!E81)</f>
        <v/>
      </c>
      <c r="F81" s="1" t="str">
        <f>IF([1]Appoggio!F81=0,"",[1]Appoggio!F81)</f>
        <v/>
      </c>
      <c r="G81" s="1" t="str">
        <f>IF([1]Appoggio!G81=0,"",[1]Appoggio!G81)</f>
        <v/>
      </c>
      <c r="H81" s="1" t="str">
        <f>IF([1]Appoggio!H81=0,"",[1]Appoggio!H81)</f>
        <v/>
      </c>
      <c r="I81" s="1" t="str">
        <f>IF([1]Appoggio!I81=0,"",[1]Appoggio!I81)</f>
        <v/>
      </c>
      <c r="J81" s="1" t="str">
        <f>IF([1]Appoggio!J81=0,"",[1]Appoggio!J81)</f>
        <v/>
      </c>
      <c r="K81" s="1" t="str">
        <f>IF([1]Appoggio!K81=0,"",[1]Appoggio!K81)</f>
        <v/>
      </c>
      <c r="L81" s="1" t="str">
        <f>IF([1]Appoggio!L81=0,"",[1]Appoggio!L81)</f>
        <v/>
      </c>
      <c r="M81" s="1" t="str">
        <f>IF([1]Appoggio!M81=0,"",[1]Appoggio!M81)</f>
        <v/>
      </c>
      <c r="N81" s="1" t="str">
        <f>IF([1]Appoggio!N81=0,"",[1]Appoggio!N81)</f>
        <v/>
      </c>
      <c r="O81" s="1" t="str">
        <f>IF([1]Appoggio!O81=0,"",[1]Appoggio!O81)</f>
        <v/>
      </c>
      <c r="P81" s="1" t="str">
        <f>IF([1]Appoggio!P81=0,"",[1]Appoggio!P81)</f>
        <v/>
      </c>
    </row>
    <row r="82" spans="1:16" x14ac:dyDescent="0.25">
      <c r="A82" s="1" t="str">
        <f>IF([1]Appoggio!A82=0,"",[1]Appoggio!A82)</f>
        <v/>
      </c>
      <c r="B82" s="1" t="str">
        <f>IF([1]Appoggio!B82=0,"",[1]Appoggio!B82)</f>
        <v/>
      </c>
      <c r="C82" s="1" t="str">
        <f>IF([1]Appoggio!C82=0,"",[1]Appoggio!C82)</f>
        <v>MSBC1</v>
      </c>
      <c r="D82" s="1" t="str">
        <f>IF([1]Appoggio!D82=0,"",[1]Appoggio!D82)</f>
        <v>Max Short Barrier Cap 1</v>
      </c>
      <c r="E82" s="1" t="str">
        <f>IF([1]Appoggio!E82=0,"",[1]Appoggio!E82)</f>
        <v/>
      </c>
      <c r="F82" s="1" t="str">
        <f>IF([1]Appoggio!F82=0,"",[1]Appoggio!F82)</f>
        <v/>
      </c>
      <c r="G82" s="1" t="str">
        <f>IF([1]Appoggio!G82=0,"",[1]Appoggio!G82)</f>
        <v/>
      </c>
      <c r="H82" s="1" t="str">
        <f>IF([1]Appoggio!H82=0,"",[1]Appoggio!H82)</f>
        <v/>
      </c>
      <c r="I82" s="1" t="str">
        <f>IF([1]Appoggio!I82=0,"",[1]Appoggio!I82)</f>
        <v/>
      </c>
      <c r="J82" s="1" t="str">
        <f>IF([1]Appoggio!J82=0,"",[1]Appoggio!J82)</f>
        <v/>
      </c>
      <c r="K82" s="1" t="str">
        <f>IF([1]Appoggio!K82=0,"",[1]Appoggio!K82)</f>
        <v/>
      </c>
      <c r="L82" s="1" t="str">
        <f>IF([1]Appoggio!L82=0,"",[1]Appoggio!L82)</f>
        <v/>
      </c>
      <c r="M82" s="1" t="str">
        <f>IF([1]Appoggio!M82=0,"",[1]Appoggio!M82)</f>
        <v/>
      </c>
      <c r="N82" s="1" t="str">
        <f>IF([1]Appoggio!N82=0,"",[1]Appoggio!N82)</f>
        <v/>
      </c>
      <c r="O82" s="1" t="str">
        <f>IF([1]Appoggio!O82=0,"",[1]Appoggio!O82)</f>
        <v/>
      </c>
      <c r="P82" s="1" t="str">
        <f>IF([1]Appoggio!P82=0,"",[1]Appoggio!P82)</f>
        <v/>
      </c>
    </row>
    <row r="83" spans="1:16" x14ac:dyDescent="0.25">
      <c r="A83" s="1" t="str">
        <f>IF([1]Appoggio!A83=0,"",[1]Appoggio!A83)</f>
        <v/>
      </c>
      <c r="B83" s="1" t="str">
        <f>IF([1]Appoggio!B83=0,"",[1]Appoggio!B83)</f>
        <v/>
      </c>
      <c r="C83" s="1" t="str">
        <f>IF([1]Appoggio!C83=0,"",[1]Appoggio!C83)</f>
        <v>AVC2</v>
      </c>
      <c r="D83" s="1" t="str">
        <f>IF([1]Appoggio!D83=0,"",[1]Appoggio!D83)</f>
        <v>Annual Variable Coupon 2</v>
      </c>
      <c r="E83" s="1" t="str">
        <f>IF([1]Appoggio!E83=0,"",[1]Appoggio!E83)</f>
        <v/>
      </c>
      <c r="F83" s="1" t="str">
        <f>IF([1]Appoggio!F83=0,"",[1]Appoggio!F83)</f>
        <v/>
      </c>
      <c r="G83" s="1" t="str">
        <f>IF([1]Appoggio!G83=0,"",[1]Appoggio!G83)</f>
        <v/>
      </c>
      <c r="H83" s="1" t="str">
        <f>IF([1]Appoggio!H83=0,"",[1]Appoggio!H83)</f>
        <v/>
      </c>
      <c r="I83" s="1" t="str">
        <f>IF([1]Appoggio!I83=0,"",[1]Appoggio!I83)</f>
        <v/>
      </c>
      <c r="J83" s="1" t="str">
        <f>IF([1]Appoggio!J83=0,"",[1]Appoggio!J83)</f>
        <v/>
      </c>
      <c r="K83" s="1" t="str">
        <f>IF([1]Appoggio!K83=0,"",[1]Appoggio!K83)</f>
        <v/>
      </c>
      <c r="L83" s="1" t="str">
        <f>IF([1]Appoggio!L83=0,"",[1]Appoggio!L83)</f>
        <v/>
      </c>
      <c r="M83" s="1" t="str">
        <f>IF([1]Appoggio!M83=0,"",[1]Appoggio!M83)</f>
        <v/>
      </c>
      <c r="N83" s="1" t="str">
        <f>IF([1]Appoggio!N83=0,"",[1]Appoggio!N83)</f>
        <v/>
      </c>
      <c r="O83" s="1" t="str">
        <f>IF([1]Appoggio!O83=0,"",[1]Appoggio!O83)</f>
        <v/>
      </c>
      <c r="P83" s="1" t="str">
        <f>IF([1]Appoggio!P83=0,"",[1]Appoggio!P83)</f>
        <v/>
      </c>
    </row>
    <row r="84" spans="1:16" x14ac:dyDescent="0.25">
      <c r="A84" s="1" t="str">
        <f>IF([1]Appoggio!A84=0,"",[1]Appoggio!A84)</f>
        <v/>
      </c>
      <c r="B84" s="1" t="str">
        <f>IF([1]Appoggio!B84=0,"",[1]Appoggio!B84)</f>
        <v/>
      </c>
      <c r="C84" s="1" t="str">
        <f>IF([1]Appoggio!C84=0,"",[1]Appoggio!C84)</f>
        <v>BC4</v>
      </c>
      <c r="D84" s="1" t="str">
        <f>IF([1]Appoggio!D84=0,"",[1]Appoggio!D84)</f>
        <v>Bonus Cap 4 (Basket)</v>
      </c>
      <c r="E84" s="1" t="str">
        <f>IF([1]Appoggio!E84=0,"",[1]Appoggio!E84)</f>
        <v/>
      </c>
      <c r="F84" s="1" t="str">
        <f>IF([1]Appoggio!F84=0,"",[1]Appoggio!F84)</f>
        <v/>
      </c>
      <c r="G84" s="1" t="str">
        <f>IF([1]Appoggio!G84=0,"",[1]Appoggio!G84)</f>
        <v/>
      </c>
      <c r="H84" s="1" t="str">
        <f>IF([1]Appoggio!H84=0,"",[1]Appoggio!H84)</f>
        <v/>
      </c>
      <c r="I84" s="1" t="str">
        <f>IF([1]Appoggio!I84=0,"",[1]Appoggio!I84)</f>
        <v/>
      </c>
      <c r="J84" s="1" t="str">
        <f>IF([1]Appoggio!J84=0,"",[1]Appoggio!J84)</f>
        <v/>
      </c>
      <c r="K84" s="1" t="str">
        <f>IF([1]Appoggio!K84=0,"",[1]Appoggio!K84)</f>
        <v/>
      </c>
      <c r="L84" s="1" t="str">
        <f>IF([1]Appoggio!L84=0,"",[1]Appoggio!L84)</f>
        <v/>
      </c>
      <c r="M84" s="1" t="str">
        <f>IF([1]Appoggio!M84=0,"",[1]Appoggio!M84)</f>
        <v/>
      </c>
      <c r="N84" s="1" t="str">
        <f>IF([1]Appoggio!N84=0,"",[1]Appoggio!N84)</f>
        <v/>
      </c>
      <c r="O84" s="1" t="str">
        <f>IF([1]Appoggio!O84=0,"",[1]Appoggio!O84)</f>
        <v/>
      </c>
      <c r="P84" s="1" t="str">
        <f>IF([1]Appoggio!P84=0,"",[1]Appoggio!P84)</f>
        <v/>
      </c>
    </row>
    <row r="85" spans="1:16" x14ac:dyDescent="0.25">
      <c r="A85" s="1" t="str">
        <f>IF([1]Appoggio!A85=0,"",[1]Appoggio!A85)</f>
        <v/>
      </c>
      <c r="B85" s="1" t="str">
        <f>IF([1]Appoggio!B85=0,"",[1]Appoggio!B85)</f>
        <v/>
      </c>
      <c r="C85" s="1" t="str">
        <f>IF([1]Appoggio!C85=0,"",[1]Appoggio!C85)</f>
        <v>WOBC1</v>
      </c>
      <c r="D85" s="1" t="str">
        <f>IF([1]Appoggio!D85=0,"",[1]Appoggio!D85)</f>
        <v>Worst Of Bonus Cap 1</v>
      </c>
      <c r="E85" s="1" t="str">
        <f>IF([1]Appoggio!E85=0,"",[1]Appoggio!E85)</f>
        <v/>
      </c>
      <c r="F85" s="1" t="str">
        <f>IF([1]Appoggio!F85=0,"",[1]Appoggio!F85)</f>
        <v/>
      </c>
      <c r="G85" s="1" t="str">
        <f>IF([1]Appoggio!G85=0,"",[1]Appoggio!G85)</f>
        <v/>
      </c>
      <c r="H85" s="1" t="str">
        <f>IF([1]Appoggio!H85=0,"",[1]Appoggio!H85)</f>
        <v/>
      </c>
      <c r="I85" s="1" t="str">
        <f>IF([1]Appoggio!I85=0,"",[1]Appoggio!I85)</f>
        <v/>
      </c>
      <c r="J85" s="1" t="str">
        <f>IF([1]Appoggio!J85=0,"",[1]Appoggio!J85)</f>
        <v/>
      </c>
      <c r="K85" s="1" t="str">
        <f>IF([1]Appoggio!K85=0,"",[1]Appoggio!K85)</f>
        <v/>
      </c>
      <c r="L85" s="1" t="str">
        <f>IF([1]Appoggio!L85=0,"",[1]Appoggio!L85)</f>
        <v/>
      </c>
      <c r="M85" s="1" t="str">
        <f>IF([1]Appoggio!M85=0,"",[1]Appoggio!M85)</f>
        <v/>
      </c>
      <c r="N85" s="1" t="str">
        <f>IF([1]Appoggio!N85=0,"",[1]Appoggio!N85)</f>
        <v/>
      </c>
      <c r="O85" s="1" t="str">
        <f>IF([1]Appoggio!O85=0,"",[1]Appoggio!O85)</f>
        <v/>
      </c>
      <c r="P85" s="1" t="str">
        <f>IF([1]Appoggio!P85=0,"",[1]Appoggio!P85)</f>
        <v/>
      </c>
    </row>
    <row r="86" spans="1:16" x14ac:dyDescent="0.25">
      <c r="A86" s="1" t="str">
        <f>IF([1]Appoggio!A86=0,"",[1]Appoggio!A86)</f>
        <v/>
      </c>
      <c r="B86" s="1" t="str">
        <f>IF([1]Appoggio!B86=0,"",[1]Appoggio!B86)</f>
        <v/>
      </c>
      <c r="C86" s="1" t="str">
        <f>IF([1]Appoggio!C86=0,"",[1]Appoggio!C86)</f>
        <v>WOD1</v>
      </c>
      <c r="D86" s="1" t="str">
        <f>IF([1]Appoggio!D86=0,"",[1]Appoggio!D86)</f>
        <v>Worst Of Digital 1</v>
      </c>
      <c r="E86" s="1" t="str">
        <f>IF([1]Appoggio!E86=0,"",[1]Appoggio!E86)</f>
        <v/>
      </c>
      <c r="F86" s="1" t="str">
        <f>IF([1]Appoggio!F86=0,"",[1]Appoggio!F86)</f>
        <v/>
      </c>
      <c r="G86" s="1" t="str">
        <f>IF([1]Appoggio!G86=0,"",[1]Appoggio!G86)</f>
        <v/>
      </c>
      <c r="H86" s="1" t="str">
        <f>IF([1]Appoggio!H86=0,"",[1]Appoggio!H86)</f>
        <v/>
      </c>
      <c r="I86" s="1" t="str">
        <f>IF([1]Appoggio!I86=0,"",[1]Appoggio!I86)</f>
        <v/>
      </c>
      <c r="J86" s="1" t="str">
        <f>IF([1]Appoggio!J86=0,"",[1]Appoggio!J86)</f>
        <v/>
      </c>
      <c r="K86" s="1" t="str">
        <f>IF([1]Appoggio!K86=0,"",[1]Appoggio!K86)</f>
        <v/>
      </c>
      <c r="L86" s="1" t="str">
        <f>IF([1]Appoggio!L86=0,"",[1]Appoggio!L86)</f>
        <v/>
      </c>
      <c r="M86" s="1" t="str">
        <f>IF([1]Appoggio!M86=0,"",[1]Appoggio!M86)</f>
        <v/>
      </c>
      <c r="N86" s="1" t="str">
        <f>IF([1]Appoggio!N86=0,"",[1]Appoggio!N86)</f>
        <v/>
      </c>
      <c r="O86" s="1" t="str">
        <f>IF([1]Appoggio!O86=0,"",[1]Appoggio!O86)</f>
        <v/>
      </c>
      <c r="P86" s="1" t="str">
        <f>IF([1]Appoggio!P86=0,"",[1]Appoggio!P86)</f>
        <v/>
      </c>
    </row>
    <row r="87" spans="1:16" x14ac:dyDescent="0.25">
      <c r="A87" s="1" t="str">
        <f>IF([1]Appoggio!A87=0,"",[1]Appoggio!A87)</f>
        <v/>
      </c>
      <c r="B87" s="1" t="str">
        <f>IF([1]Appoggio!B87=0,"",[1]Appoggio!B87)</f>
        <v/>
      </c>
      <c r="C87" s="1" t="str">
        <f>IF([1]Appoggio!C87=0,"",[1]Appoggio!C87)</f>
        <v/>
      </c>
      <c r="D87" s="1" t="str">
        <f>IF([1]Appoggio!D87=0,"",[1]Appoggio!D87)</f>
        <v/>
      </c>
      <c r="E87" s="1" t="str">
        <f>IF([1]Appoggio!E87=0,"",[1]Appoggio!E87)</f>
        <v/>
      </c>
      <c r="F87" s="1" t="str">
        <f>IF([1]Appoggio!F87=0,"",[1]Appoggio!F87)</f>
        <v/>
      </c>
      <c r="G87" s="1" t="str">
        <f>IF([1]Appoggio!G87=0,"",[1]Appoggio!G87)</f>
        <v/>
      </c>
      <c r="H87" s="1" t="str">
        <f>IF([1]Appoggio!H87=0,"",[1]Appoggio!H87)</f>
        <v/>
      </c>
      <c r="I87" s="1" t="str">
        <f>IF([1]Appoggio!I87=0,"",[1]Appoggio!I87)</f>
        <v/>
      </c>
      <c r="J87" s="1" t="str">
        <f>IF([1]Appoggio!J87=0,"",[1]Appoggio!J87)</f>
        <v/>
      </c>
      <c r="K87" s="1" t="str">
        <f>IF([1]Appoggio!K87=0,"",[1]Appoggio!K87)</f>
        <v/>
      </c>
      <c r="L87" s="1" t="str">
        <f>IF([1]Appoggio!L87=0,"",[1]Appoggio!L87)</f>
        <v/>
      </c>
      <c r="M87" s="1" t="str">
        <f>IF([1]Appoggio!M87=0,"",[1]Appoggio!M87)</f>
        <v/>
      </c>
      <c r="N87" s="1" t="str">
        <f>IF([1]Appoggio!N87=0,"",[1]Appoggio!N87)</f>
        <v/>
      </c>
      <c r="O87" s="1" t="str">
        <f>IF([1]Appoggio!O87=0,"",[1]Appoggio!O87)</f>
        <v/>
      </c>
      <c r="P87" s="1" t="str">
        <f>IF([1]Appoggio!P87=0,"",[1]Appoggio!P87)</f>
        <v/>
      </c>
    </row>
    <row r="88" spans="1:16" x14ac:dyDescent="0.25">
      <c r="A88" s="1" t="str">
        <f>IF([2]Appoggio!A88=0,"",[2]Appoggio!A88)</f>
        <v/>
      </c>
      <c r="B88" s="1" t="str">
        <f>IF([2]Appoggio!B88=0,"",[2]Appoggio!B88)</f>
        <v/>
      </c>
      <c r="C88" s="1" t="str">
        <f>IF([2]Appoggio!C88=0,"",[2]Appoggio!C88)</f>
        <v/>
      </c>
      <c r="D88" s="1" t="str">
        <f>IF([2]Appoggio!D88=0,"",[2]Appoggio!D88)</f>
        <v/>
      </c>
      <c r="E88" s="1" t="str">
        <f>IF([2]Appoggio!E88=0,"",[2]Appoggio!E88)</f>
        <v/>
      </c>
      <c r="F88" s="1" t="str">
        <f>IF([2]Appoggio!F88=0,"",[2]Appoggio!F88)</f>
        <v/>
      </c>
      <c r="G88" s="1" t="str">
        <f>IF([2]Appoggio!G88=0,"",[2]Appoggio!G88)</f>
        <v/>
      </c>
      <c r="H88" s="1" t="str">
        <f>IF([2]Appoggio!H88=0,"",[2]Appoggio!H88)</f>
        <v/>
      </c>
      <c r="I88" s="1" t="str">
        <f>IF([2]Appoggio!I88=0,"",[2]Appoggio!I88)</f>
        <v/>
      </c>
      <c r="J88" s="1" t="str">
        <f>IF([2]Appoggio!J88=0,"",[2]Appoggio!J88)</f>
        <v/>
      </c>
      <c r="K88" s="1" t="str">
        <f>IF([2]Appoggio!K88=0,"",[2]Appoggio!K88)</f>
        <v/>
      </c>
      <c r="L88" s="1" t="str">
        <f>IF([2]Appoggio!L88=0,"",[2]Appoggio!L88)</f>
        <v/>
      </c>
      <c r="M88" s="1" t="str">
        <f>IF([2]Appoggio!M88=0,"",[2]Appoggio!M88)</f>
        <v/>
      </c>
      <c r="N88" s="1" t="str">
        <f>IF([2]Appoggio!N88=0,"",[2]Appoggio!N88)</f>
        <v/>
      </c>
      <c r="O88" s="1" t="str">
        <f>IF([2]Appoggio!O88=0,"",[2]Appoggio!O88)</f>
        <v/>
      </c>
      <c r="P88" s="1" t="str">
        <f>IF([2]Appoggio!P88=0,"",[2]Appoggio!P88)</f>
        <v/>
      </c>
    </row>
    <row r="89" spans="1:16" x14ac:dyDescent="0.25">
      <c r="A89" s="1" t="str">
        <f>IF([2]Appoggio!A89=0,"",[2]Appoggio!A89)</f>
        <v/>
      </c>
      <c r="B89" s="1" t="str">
        <f>IF([2]Appoggio!B89=0,"",[2]Appoggio!B89)</f>
        <v/>
      </c>
      <c r="C89" s="1" t="str">
        <f>IF([2]Appoggio!C89=0,"",[2]Appoggio!C89)</f>
        <v/>
      </c>
      <c r="D89" s="1" t="str">
        <f>IF([2]Appoggio!D89=0,"",[2]Appoggio!D89)</f>
        <v/>
      </c>
      <c r="E89" s="1" t="str">
        <f>IF([2]Appoggio!E89=0,"",[2]Appoggio!E89)</f>
        <v/>
      </c>
      <c r="F89" s="1" t="str">
        <f>IF([2]Appoggio!F89=0,"",[2]Appoggio!F89)</f>
        <v/>
      </c>
      <c r="G89" s="1" t="str">
        <f>IF([2]Appoggio!G89=0,"",[2]Appoggio!G89)</f>
        <v/>
      </c>
      <c r="H89" s="1" t="str">
        <f>IF([2]Appoggio!H89=0,"",[2]Appoggio!H89)</f>
        <v/>
      </c>
      <c r="I89" s="1" t="str">
        <f>IF([2]Appoggio!I89=0,"",[2]Appoggio!I89)</f>
        <v/>
      </c>
      <c r="J89" s="1" t="str">
        <f>IF([2]Appoggio!J89=0,"",[2]Appoggio!J89)</f>
        <v/>
      </c>
      <c r="K89" s="1" t="str">
        <f>IF([2]Appoggio!K89=0,"",[2]Appoggio!K89)</f>
        <v/>
      </c>
      <c r="L89" s="1" t="str">
        <f>IF([2]Appoggio!L89=0,"",[2]Appoggio!L89)</f>
        <v/>
      </c>
      <c r="M89" s="1" t="str">
        <f>IF([2]Appoggio!M89=0,"",[2]Appoggio!M89)</f>
        <v/>
      </c>
      <c r="N89" s="1" t="str">
        <f>IF([2]Appoggio!N89=0,"",[2]Appoggio!N89)</f>
        <v/>
      </c>
      <c r="O89" s="1" t="str">
        <f>IF([2]Appoggio!O89=0,"",[2]Appoggio!O89)</f>
        <v/>
      </c>
      <c r="P89" s="1" t="str">
        <f>IF([2]Appoggio!P89=0,"",[2]Appoggio!P89)</f>
        <v/>
      </c>
    </row>
    <row r="90" spans="1:16" x14ac:dyDescent="0.25">
      <c r="A90" s="1" t="str">
        <f>IF([2]Appoggio!A90=0,"",[2]Appoggio!A90)</f>
        <v/>
      </c>
      <c r="B90" s="1" t="str">
        <f>IF([2]Appoggio!B90=0,"",[2]Appoggio!B90)</f>
        <v/>
      </c>
      <c r="C90" s="1" t="str">
        <f>IF([2]Appoggio!C90=0,"",[2]Appoggio!C90)</f>
        <v/>
      </c>
      <c r="D90" s="1" t="str">
        <f>IF([2]Appoggio!D90=0,"",[2]Appoggio!D90)</f>
        <v/>
      </c>
      <c r="E90" s="1" t="str">
        <f>IF([2]Appoggio!E90=0,"",[2]Appoggio!E90)</f>
        <v/>
      </c>
      <c r="F90" s="1" t="str">
        <f>IF([2]Appoggio!F90=0,"",[2]Appoggio!F90)</f>
        <v/>
      </c>
      <c r="G90" s="1" t="str">
        <f>IF([2]Appoggio!G90=0,"",[2]Appoggio!G90)</f>
        <v/>
      </c>
      <c r="H90" s="1" t="str">
        <f>IF([2]Appoggio!H90=0,"",[2]Appoggio!H90)</f>
        <v/>
      </c>
      <c r="I90" s="1" t="str">
        <f>IF([2]Appoggio!I90=0,"",[2]Appoggio!I90)</f>
        <v/>
      </c>
      <c r="J90" s="1" t="str">
        <f>IF([2]Appoggio!J90=0,"",[2]Appoggio!J90)</f>
        <v/>
      </c>
      <c r="K90" s="1" t="str">
        <f>IF([2]Appoggio!K90=0,"",[2]Appoggio!K90)</f>
        <v/>
      </c>
      <c r="L90" s="1" t="str">
        <f>IF([2]Appoggio!L90=0,"",[2]Appoggio!L90)</f>
        <v/>
      </c>
      <c r="M90" s="1" t="str">
        <f>IF([2]Appoggio!M90=0,"",[2]Appoggio!M90)</f>
        <v/>
      </c>
      <c r="N90" s="1" t="str">
        <f>IF([2]Appoggio!N90=0,"",[2]Appoggio!N90)</f>
        <v/>
      </c>
      <c r="O90" s="1" t="str">
        <f>IF([2]Appoggio!O90=0,"",[2]Appoggio!O90)</f>
        <v/>
      </c>
      <c r="P90" s="1" t="str">
        <f>IF([2]Appoggio!P90=0,"",[2]Appoggio!P90)</f>
        <v/>
      </c>
    </row>
    <row r="91" spans="1:16" x14ac:dyDescent="0.25">
      <c r="A91" s="1" t="str">
        <f>IF([2]Appoggio!A91=0,"",[2]Appoggio!A91)</f>
        <v/>
      </c>
      <c r="B91" s="1" t="str">
        <f>IF([2]Appoggio!B91=0,"",[2]Appoggio!B91)</f>
        <v/>
      </c>
      <c r="C91" s="1" t="str">
        <f>IF([2]Appoggio!C91=0,"",[2]Appoggio!C91)</f>
        <v/>
      </c>
      <c r="D91" s="1" t="str">
        <f>IF([2]Appoggio!D91=0,"",[2]Appoggio!D91)</f>
        <v/>
      </c>
      <c r="E91" s="1" t="str">
        <f>IF([2]Appoggio!E91=0,"",[2]Appoggio!E91)</f>
        <v/>
      </c>
      <c r="F91" s="1" t="str">
        <f>IF([2]Appoggio!F91=0,"",[2]Appoggio!F91)</f>
        <v/>
      </c>
      <c r="G91" s="1" t="str">
        <f>IF([2]Appoggio!G91=0,"",[2]Appoggio!G91)</f>
        <v/>
      </c>
      <c r="H91" s="1" t="str">
        <f>IF([2]Appoggio!H91=0,"",[2]Appoggio!H91)</f>
        <v/>
      </c>
      <c r="I91" s="1" t="str">
        <f>IF([2]Appoggio!I91=0,"",[2]Appoggio!I91)</f>
        <v/>
      </c>
      <c r="J91" s="1" t="str">
        <f>IF([2]Appoggio!J91=0,"",[2]Appoggio!J91)</f>
        <v/>
      </c>
      <c r="K91" s="1" t="str">
        <f>IF([2]Appoggio!K91=0,"",[2]Appoggio!K91)</f>
        <v/>
      </c>
      <c r="L91" s="1" t="str">
        <f>IF([2]Appoggio!L91=0,"",[2]Appoggio!L91)</f>
        <v/>
      </c>
      <c r="M91" s="1" t="str">
        <f>IF([2]Appoggio!M91=0,"",[2]Appoggio!M91)</f>
        <v/>
      </c>
      <c r="N91" s="1" t="str">
        <f>IF([2]Appoggio!N91=0,"",[2]Appoggio!N91)</f>
        <v/>
      </c>
      <c r="O91" s="1" t="str">
        <f>IF([2]Appoggio!O91=0,"",[2]Appoggio!O91)</f>
        <v/>
      </c>
      <c r="P91" s="1" t="str">
        <f>IF([2]Appoggio!P91=0,"",[2]Appoggio!P91)</f>
        <v/>
      </c>
    </row>
    <row r="92" spans="1:16" x14ac:dyDescent="0.25">
      <c r="A92" s="1" t="str">
        <f>IF([2]Appoggio!A92=0,"",[2]Appoggio!A92)</f>
        <v/>
      </c>
      <c r="B92" s="1" t="str">
        <f>IF([2]Appoggio!B92=0,"",[2]Appoggio!B92)</f>
        <v/>
      </c>
      <c r="C92" s="1" t="str">
        <f>IF([2]Appoggio!C92=0,"",[2]Appoggio!C92)</f>
        <v/>
      </c>
      <c r="D92" s="1" t="str">
        <f>IF([2]Appoggio!D92=0,"",[2]Appoggio!D92)</f>
        <v/>
      </c>
      <c r="E92" s="1" t="str">
        <f>IF([2]Appoggio!E92=0,"",[2]Appoggio!E92)</f>
        <v/>
      </c>
      <c r="F92" s="1" t="str">
        <f>IF([2]Appoggio!F92=0,"",[2]Appoggio!F92)</f>
        <v/>
      </c>
      <c r="G92" s="1" t="str">
        <f>IF([2]Appoggio!G92=0,"",[2]Appoggio!G92)</f>
        <v/>
      </c>
      <c r="H92" s="1" t="str">
        <f>IF([2]Appoggio!H92=0,"",[2]Appoggio!H92)</f>
        <v/>
      </c>
      <c r="I92" s="1" t="str">
        <f>IF([2]Appoggio!I92=0,"",[2]Appoggio!I92)</f>
        <v/>
      </c>
      <c r="J92" s="1" t="str">
        <f>IF([2]Appoggio!J92=0,"",[2]Appoggio!J92)</f>
        <v/>
      </c>
      <c r="K92" s="1" t="str">
        <f>IF([2]Appoggio!K92=0,"",[2]Appoggio!K92)</f>
        <v/>
      </c>
      <c r="L92" s="1" t="str">
        <f>IF([2]Appoggio!L92=0,"",[2]Appoggio!L92)</f>
        <v/>
      </c>
      <c r="M92" s="1" t="str">
        <f>IF([2]Appoggio!M92=0,"",[2]Appoggio!M92)</f>
        <v/>
      </c>
      <c r="N92" s="1" t="str">
        <f>IF([2]Appoggio!N92=0,"",[2]Appoggio!N92)</f>
        <v/>
      </c>
      <c r="O92" s="1" t="str">
        <f>IF([2]Appoggio!O92=0,"",[2]Appoggio!O92)</f>
        <v/>
      </c>
      <c r="P92" s="1" t="str">
        <f>IF([2]Appoggio!P92=0,"",[2]Appoggio!P92)</f>
        <v/>
      </c>
    </row>
    <row r="93" spans="1:16" x14ac:dyDescent="0.25">
      <c r="A93" s="1" t="str">
        <f>IF([2]Appoggio!A93=0,"",[2]Appoggio!A93)</f>
        <v/>
      </c>
      <c r="B93" s="1" t="str">
        <f>IF([2]Appoggio!B93=0,"",[2]Appoggio!B93)</f>
        <v/>
      </c>
      <c r="C93" s="1" t="str">
        <f>IF([2]Appoggio!C93=0,"",[2]Appoggio!C93)</f>
        <v/>
      </c>
      <c r="D93" s="1" t="str">
        <f>IF([2]Appoggio!D93=0,"",[2]Appoggio!D93)</f>
        <v/>
      </c>
      <c r="E93" s="1" t="str">
        <f>IF([2]Appoggio!E93=0,"",[2]Appoggio!E93)</f>
        <v/>
      </c>
      <c r="F93" s="1" t="str">
        <f>IF([2]Appoggio!F93=0,"",[2]Appoggio!F93)</f>
        <v/>
      </c>
      <c r="G93" s="1" t="str">
        <f>IF([2]Appoggio!G93=0,"",[2]Appoggio!G93)</f>
        <v/>
      </c>
      <c r="H93" s="1" t="str">
        <f>IF([2]Appoggio!H93=0,"",[2]Appoggio!H93)</f>
        <v/>
      </c>
      <c r="I93" s="1" t="str">
        <f>IF([2]Appoggio!I93=0,"",[2]Appoggio!I93)</f>
        <v/>
      </c>
      <c r="J93" s="1" t="str">
        <f>IF([2]Appoggio!J93=0,"",[2]Appoggio!J93)</f>
        <v/>
      </c>
      <c r="K93" s="1" t="str">
        <f>IF([2]Appoggio!K93=0,"",[2]Appoggio!K93)</f>
        <v/>
      </c>
      <c r="L93" s="1" t="str">
        <f>IF([2]Appoggio!L93=0,"",[2]Appoggio!L93)</f>
        <v/>
      </c>
      <c r="M93" s="1" t="str">
        <f>IF([2]Appoggio!M93=0,"",[2]Appoggio!M93)</f>
        <v/>
      </c>
      <c r="N93" s="1" t="str">
        <f>IF([2]Appoggio!N93=0,"",[2]Appoggio!N93)</f>
        <v/>
      </c>
      <c r="O93" s="1" t="str">
        <f>IF([2]Appoggio!O93=0,"",[2]Appoggio!O93)</f>
        <v/>
      </c>
      <c r="P93" s="1" t="str">
        <f>IF([2]Appoggio!P93=0,"",[2]Appoggio!P93)</f>
        <v/>
      </c>
    </row>
    <row r="94" spans="1:16" x14ac:dyDescent="0.25">
      <c r="A94" s="1" t="str">
        <f>IF([2]Appoggio!A94=0,"",[2]Appoggio!A94)</f>
        <v/>
      </c>
      <c r="B94" s="1" t="str">
        <f>IF([2]Appoggio!B94=0,"",[2]Appoggio!B94)</f>
        <v/>
      </c>
      <c r="C94" s="1" t="str">
        <f>IF([2]Appoggio!C94=0,"",[2]Appoggio!C94)</f>
        <v/>
      </c>
      <c r="D94" s="1" t="str">
        <f>IF([2]Appoggio!D94=0,"",[2]Appoggio!D94)</f>
        <v/>
      </c>
      <c r="E94" s="1" t="str">
        <f>IF([2]Appoggio!E94=0,"",[2]Appoggio!E94)</f>
        <v/>
      </c>
      <c r="F94" s="1" t="str">
        <f>IF([2]Appoggio!F94=0,"",[2]Appoggio!F94)</f>
        <v/>
      </c>
      <c r="G94" s="1" t="str">
        <f>IF([2]Appoggio!G94=0,"",[2]Appoggio!G94)</f>
        <v/>
      </c>
      <c r="H94" s="1" t="str">
        <f>IF([2]Appoggio!H94=0,"",[2]Appoggio!H94)</f>
        <v/>
      </c>
      <c r="I94" s="1" t="str">
        <f>IF([2]Appoggio!I94=0,"",[2]Appoggio!I94)</f>
        <v/>
      </c>
      <c r="J94" s="1" t="str">
        <f>IF([2]Appoggio!J94=0,"",[2]Appoggio!J94)</f>
        <v/>
      </c>
      <c r="K94" s="1" t="str">
        <f>IF([2]Appoggio!K94=0,"",[2]Appoggio!K94)</f>
        <v/>
      </c>
      <c r="L94" s="1" t="str">
        <f>IF([2]Appoggio!L94=0,"",[2]Appoggio!L94)</f>
        <v/>
      </c>
      <c r="M94" s="1" t="str">
        <f>IF([2]Appoggio!M94=0,"",[2]Appoggio!M94)</f>
        <v/>
      </c>
      <c r="N94" s="1" t="str">
        <f>IF([2]Appoggio!N94=0,"",[2]Appoggio!N94)</f>
        <v/>
      </c>
      <c r="O94" s="1" t="str">
        <f>IF([2]Appoggio!O94=0,"",[2]Appoggio!O94)</f>
        <v/>
      </c>
      <c r="P94" s="1" t="str">
        <f>IF([2]Appoggio!P94=0,"",[2]Appoggio!P94)</f>
        <v/>
      </c>
    </row>
    <row r="95" spans="1:16" x14ac:dyDescent="0.25">
      <c r="A95" s="1" t="str">
        <f>IF([2]Appoggio!A95=0,"",[2]Appoggio!A95)</f>
        <v/>
      </c>
      <c r="B95" s="1" t="str">
        <f>IF([2]Appoggio!B95=0,"",[2]Appoggio!B95)</f>
        <v/>
      </c>
      <c r="C95" s="1" t="str">
        <f>IF([2]Appoggio!C95=0,"",[2]Appoggio!C95)</f>
        <v/>
      </c>
      <c r="D95" s="1" t="str">
        <f>IF([2]Appoggio!D95=0,"",[2]Appoggio!D95)</f>
        <v/>
      </c>
      <c r="E95" s="1" t="str">
        <f>IF([2]Appoggio!E95=0,"",[2]Appoggio!E95)</f>
        <v/>
      </c>
      <c r="F95" s="1" t="str">
        <f>IF([2]Appoggio!F95=0,"",[2]Appoggio!F95)</f>
        <v/>
      </c>
      <c r="G95" s="1" t="str">
        <f>IF([2]Appoggio!G95=0,"",[2]Appoggio!G95)</f>
        <v/>
      </c>
      <c r="H95" s="1" t="str">
        <f>IF([2]Appoggio!H95=0,"",[2]Appoggio!H95)</f>
        <v/>
      </c>
      <c r="I95" s="1" t="str">
        <f>IF([2]Appoggio!I95=0,"",[2]Appoggio!I95)</f>
        <v/>
      </c>
      <c r="J95" s="1" t="str">
        <f>IF([2]Appoggio!J95=0,"",[2]Appoggio!J95)</f>
        <v/>
      </c>
      <c r="K95" s="1" t="str">
        <f>IF([2]Appoggio!K95=0,"",[2]Appoggio!K95)</f>
        <v/>
      </c>
      <c r="L95" s="1" t="str">
        <f>IF([2]Appoggio!L95=0,"",[2]Appoggio!L95)</f>
        <v/>
      </c>
      <c r="M95" s="1" t="str">
        <f>IF([2]Appoggio!M95=0,"",[2]Appoggio!M95)</f>
        <v/>
      </c>
      <c r="N95" s="1" t="str">
        <f>IF([2]Appoggio!N95=0,"",[2]Appoggio!N95)</f>
        <v/>
      </c>
      <c r="O95" s="1" t="str">
        <f>IF([2]Appoggio!O95=0,"",[2]Appoggio!O95)</f>
        <v/>
      </c>
      <c r="P95" s="1" t="str">
        <f>IF([2]Appoggio!P95=0,"",[2]Appoggio!P95)</f>
        <v/>
      </c>
    </row>
    <row r="96" spans="1:16" x14ac:dyDescent="0.25">
      <c r="A96" s="1" t="str">
        <f>IF([2]Appoggio!A96=0,"",[2]Appoggio!A96)</f>
        <v/>
      </c>
      <c r="B96" s="1" t="str">
        <f>IF([2]Appoggio!B96=0,"",[2]Appoggio!B96)</f>
        <v/>
      </c>
      <c r="C96" s="1" t="str">
        <f>IF([2]Appoggio!C96=0,"",[2]Appoggio!C96)</f>
        <v/>
      </c>
      <c r="D96" s="1" t="str">
        <f>IF([2]Appoggio!D96=0,"",[2]Appoggio!D96)</f>
        <v/>
      </c>
      <c r="E96" s="1" t="str">
        <f>IF([2]Appoggio!E96=0,"",[2]Appoggio!E96)</f>
        <v/>
      </c>
      <c r="F96" s="1" t="str">
        <f>IF([2]Appoggio!F96=0,"",[2]Appoggio!F96)</f>
        <v/>
      </c>
      <c r="G96" s="1" t="str">
        <f>IF([2]Appoggio!G96=0,"",[2]Appoggio!G96)</f>
        <v/>
      </c>
      <c r="H96" s="1" t="str">
        <f>IF([2]Appoggio!H96=0,"",[2]Appoggio!H96)</f>
        <v/>
      </c>
      <c r="I96" s="1" t="str">
        <f>IF([2]Appoggio!I96=0,"",[2]Appoggio!I96)</f>
        <v/>
      </c>
      <c r="J96" s="1" t="str">
        <f>IF([2]Appoggio!J96=0,"",[2]Appoggio!J96)</f>
        <v/>
      </c>
      <c r="K96" s="1" t="str">
        <f>IF([2]Appoggio!K96=0,"",[2]Appoggio!K96)</f>
        <v/>
      </c>
      <c r="L96" s="1" t="str">
        <f>IF([2]Appoggio!L96=0,"",[2]Appoggio!L96)</f>
        <v/>
      </c>
      <c r="M96" s="1" t="str">
        <f>IF([2]Appoggio!M96=0,"",[2]Appoggio!M96)</f>
        <v/>
      </c>
      <c r="N96" s="1" t="str">
        <f>IF([2]Appoggio!N96=0,"",[2]Appoggio!N96)</f>
        <v/>
      </c>
      <c r="O96" s="1" t="str">
        <f>IF([2]Appoggio!O96=0,"",[2]Appoggio!O96)</f>
        <v/>
      </c>
      <c r="P96" s="1" t="str">
        <f>IF([2]Appoggio!P96=0,"",[2]Appoggio!P96)</f>
        <v/>
      </c>
    </row>
    <row r="97" spans="1:16" x14ac:dyDescent="0.25">
      <c r="A97" s="1" t="str">
        <f>IF([2]Appoggio!A97=0,"",[2]Appoggio!A97)</f>
        <v/>
      </c>
      <c r="B97" s="1" t="str">
        <f>IF([2]Appoggio!B97=0,"",[2]Appoggio!B97)</f>
        <v/>
      </c>
      <c r="C97" s="1" t="str">
        <f>IF([2]Appoggio!C97=0,"",[2]Appoggio!C97)</f>
        <v/>
      </c>
      <c r="D97" s="1" t="str">
        <f>IF([2]Appoggio!D97=0,"",[2]Appoggio!D97)</f>
        <v/>
      </c>
      <c r="E97" s="1" t="str">
        <f>IF([2]Appoggio!E97=0,"",[2]Appoggio!E97)</f>
        <v/>
      </c>
      <c r="F97" s="1" t="str">
        <f>IF([2]Appoggio!F97=0,"",[2]Appoggio!F97)</f>
        <v/>
      </c>
      <c r="G97" s="1" t="str">
        <f>IF([2]Appoggio!G97=0,"",[2]Appoggio!G97)</f>
        <v/>
      </c>
      <c r="H97" s="1" t="str">
        <f>IF([2]Appoggio!H97=0,"",[2]Appoggio!H97)</f>
        <v/>
      </c>
      <c r="I97" s="1" t="str">
        <f>IF([2]Appoggio!I97=0,"",[2]Appoggio!I97)</f>
        <v/>
      </c>
      <c r="J97" s="1" t="str">
        <f>IF([2]Appoggio!J97=0,"",[2]Appoggio!J97)</f>
        <v/>
      </c>
      <c r="K97" s="1" t="str">
        <f>IF([2]Appoggio!K97=0,"",[2]Appoggio!K97)</f>
        <v/>
      </c>
      <c r="L97" s="1" t="str">
        <f>IF([2]Appoggio!L97=0,"",[2]Appoggio!L97)</f>
        <v/>
      </c>
      <c r="M97" s="1" t="str">
        <f>IF([2]Appoggio!M97=0,"",[2]Appoggio!M97)</f>
        <v/>
      </c>
      <c r="N97" s="1" t="str">
        <f>IF([2]Appoggio!N97=0,"",[2]Appoggio!N97)</f>
        <v/>
      </c>
      <c r="O97" s="1" t="str">
        <f>IF([2]Appoggio!O97=0,"",[2]Appoggio!O97)</f>
        <v/>
      </c>
      <c r="P97" s="1" t="str">
        <f>IF([2]Appoggio!P97=0,"",[2]Appoggio!P97)</f>
        <v/>
      </c>
    </row>
    <row r="98" spans="1:16" x14ac:dyDescent="0.25">
      <c r="A98" s="1" t="str">
        <f>IF([2]Appoggio!A98=0,"",[2]Appoggio!A98)</f>
        <v/>
      </c>
      <c r="B98" s="1" t="str">
        <f>IF([2]Appoggio!B98=0,"",[2]Appoggio!B98)</f>
        <v/>
      </c>
      <c r="C98" s="1" t="str">
        <f>IF([2]Appoggio!C98=0,"",[2]Appoggio!C98)</f>
        <v/>
      </c>
      <c r="D98" s="1" t="str">
        <f>IF([2]Appoggio!D98=0,"",[2]Appoggio!D98)</f>
        <v/>
      </c>
      <c r="E98" s="1" t="str">
        <f>IF([2]Appoggio!E98=0,"",[2]Appoggio!E98)</f>
        <v/>
      </c>
      <c r="F98" s="1" t="str">
        <f>IF([2]Appoggio!F98=0,"",[2]Appoggio!F98)</f>
        <v/>
      </c>
      <c r="G98" s="1" t="str">
        <f>IF([2]Appoggio!G98=0,"",[2]Appoggio!G98)</f>
        <v/>
      </c>
      <c r="H98" s="1" t="str">
        <f>IF([2]Appoggio!H98=0,"",[2]Appoggio!H98)</f>
        <v/>
      </c>
      <c r="I98" s="1" t="str">
        <f>IF([2]Appoggio!I98=0,"",[2]Appoggio!I98)</f>
        <v/>
      </c>
      <c r="J98" s="1" t="str">
        <f>IF([2]Appoggio!J98=0,"",[2]Appoggio!J98)</f>
        <v/>
      </c>
      <c r="K98" s="1" t="str">
        <f>IF([2]Appoggio!K98=0,"",[2]Appoggio!K98)</f>
        <v/>
      </c>
      <c r="L98" s="1" t="str">
        <f>IF([2]Appoggio!L98=0,"",[2]Appoggio!L98)</f>
        <v/>
      </c>
      <c r="M98" s="1" t="str">
        <f>IF([2]Appoggio!M98=0,"",[2]Appoggio!M98)</f>
        <v/>
      </c>
      <c r="N98" s="1" t="str">
        <f>IF([2]Appoggio!N98=0,"",[2]Appoggio!N98)</f>
        <v/>
      </c>
      <c r="O98" s="1" t="str">
        <f>IF([2]Appoggio!O98=0,"",[2]Appoggio!O98)</f>
        <v/>
      </c>
      <c r="P98" s="1" t="str">
        <f>IF([2]Appoggio!P98=0,"",[2]Appoggio!P98)</f>
        <v/>
      </c>
    </row>
    <row r="99" spans="1:16" x14ac:dyDescent="0.25">
      <c r="A99" s="1" t="str">
        <f>IF([2]Appoggio!A99=0,"",[2]Appoggio!A99)</f>
        <v/>
      </c>
      <c r="B99" s="1" t="str">
        <f>IF([2]Appoggio!B99=0,"",[2]Appoggio!B99)</f>
        <v/>
      </c>
      <c r="C99" s="1" t="str">
        <f>IF([2]Appoggio!C99=0,"",[2]Appoggio!C99)</f>
        <v/>
      </c>
      <c r="D99" s="1" t="str">
        <f>IF([2]Appoggio!D99=0,"",[2]Appoggio!D99)</f>
        <v/>
      </c>
      <c r="E99" s="1" t="str">
        <f>IF([2]Appoggio!E99=0,"",[2]Appoggio!E99)</f>
        <v/>
      </c>
      <c r="F99" s="1" t="str">
        <f>IF([2]Appoggio!F99=0,"",[2]Appoggio!F99)</f>
        <v/>
      </c>
      <c r="G99" s="1" t="str">
        <f>IF([2]Appoggio!G99=0,"",[2]Appoggio!G99)</f>
        <v/>
      </c>
      <c r="H99" s="1" t="str">
        <f>IF([2]Appoggio!H99=0,"",[2]Appoggio!H99)</f>
        <v/>
      </c>
      <c r="I99" s="1" t="str">
        <f>IF([2]Appoggio!I99=0,"",[2]Appoggio!I99)</f>
        <v/>
      </c>
      <c r="J99" s="1" t="str">
        <f>IF([2]Appoggio!J99=0,"",[2]Appoggio!J99)</f>
        <v/>
      </c>
      <c r="K99" s="1" t="str">
        <f>IF([2]Appoggio!K99=0,"",[2]Appoggio!K99)</f>
        <v/>
      </c>
      <c r="L99" s="1" t="str">
        <f>IF([2]Appoggio!L99=0,"",[2]Appoggio!L99)</f>
        <v/>
      </c>
      <c r="M99" s="1" t="str">
        <f>IF([2]Appoggio!M99=0,"",[2]Appoggio!M99)</f>
        <v/>
      </c>
      <c r="N99" s="1" t="str">
        <f>IF([2]Appoggio!N99=0,"",[2]Appoggio!N99)</f>
        <v/>
      </c>
      <c r="O99" s="1" t="str">
        <f>IF([2]Appoggio!O99=0,"",[2]Appoggio!O99)</f>
        <v/>
      </c>
      <c r="P99" s="1" t="str">
        <f>IF([2]Appoggio!P99=0,"",[2]Appoggio!P99)</f>
        <v/>
      </c>
    </row>
    <row r="100" spans="1:16" x14ac:dyDescent="0.25">
      <c r="A100" s="1" t="str">
        <f>IF([2]Appoggio!A100=0,"",[2]Appoggio!A100)</f>
        <v/>
      </c>
      <c r="B100" s="1" t="str">
        <f>IF([2]Appoggio!B100=0,"",[2]Appoggio!B100)</f>
        <v/>
      </c>
      <c r="C100" s="1" t="str">
        <f>IF([2]Appoggio!C100=0,"",[2]Appoggio!C100)</f>
        <v/>
      </c>
      <c r="D100" s="1" t="str">
        <f>IF([2]Appoggio!D100=0,"",[2]Appoggio!D100)</f>
        <v/>
      </c>
      <c r="E100" s="1" t="str">
        <f>IF([2]Appoggio!E100=0,"",[2]Appoggio!E100)</f>
        <v/>
      </c>
      <c r="F100" s="1" t="str">
        <f>IF([2]Appoggio!F100=0,"",[2]Appoggio!F100)</f>
        <v/>
      </c>
      <c r="G100" s="1" t="str">
        <f>IF([2]Appoggio!G100=0,"",[2]Appoggio!G100)</f>
        <v/>
      </c>
      <c r="H100" s="1" t="str">
        <f>IF([2]Appoggio!H100=0,"",[2]Appoggio!H100)</f>
        <v/>
      </c>
      <c r="I100" s="1" t="str">
        <f>IF([2]Appoggio!I100=0,"",[2]Appoggio!I100)</f>
        <v/>
      </c>
      <c r="J100" s="1" t="str">
        <f>IF([2]Appoggio!J100=0,"",[2]Appoggio!J100)</f>
        <v/>
      </c>
      <c r="K100" s="1" t="str">
        <f>IF([2]Appoggio!K100=0,"",[2]Appoggio!K100)</f>
        <v/>
      </c>
      <c r="L100" s="1" t="str">
        <f>IF([2]Appoggio!L100=0,"",[2]Appoggio!L100)</f>
        <v/>
      </c>
      <c r="M100" s="1" t="str">
        <f>IF([2]Appoggio!M100=0,"",[2]Appoggio!M100)</f>
        <v/>
      </c>
      <c r="N100" s="1" t="str">
        <f>IF([2]Appoggio!N100=0,"",[2]Appoggio!N100)</f>
        <v/>
      </c>
      <c r="O100" s="1" t="str">
        <f>IF([2]Appoggio!O100=0,"",[2]Appoggio!O100)</f>
        <v/>
      </c>
      <c r="P100" s="1" t="str">
        <f>IF([2]Appoggio!P100=0,"",[2]Appoggio!P100)</f>
        <v/>
      </c>
    </row>
    <row r="101" spans="1:16" x14ac:dyDescent="0.25">
      <c r="A101" s="1" t="str">
        <f>IF([2]Appoggio!A101=0,"",[2]Appoggio!A101)</f>
        <v/>
      </c>
      <c r="B101" s="1" t="str">
        <f>IF([2]Appoggio!B101=0,"",[2]Appoggio!B101)</f>
        <v/>
      </c>
      <c r="C101" s="1" t="str">
        <f>IF([2]Appoggio!C101=0,"",[2]Appoggio!C101)</f>
        <v/>
      </c>
      <c r="D101" s="1" t="str">
        <f>IF([2]Appoggio!D101=0,"",[2]Appoggio!D101)</f>
        <v/>
      </c>
      <c r="E101" s="1" t="str">
        <f>IF([2]Appoggio!E101=0,"",[2]Appoggio!E101)</f>
        <v/>
      </c>
      <c r="F101" s="1" t="str">
        <f>IF([2]Appoggio!F101=0,"",[2]Appoggio!F101)</f>
        <v/>
      </c>
      <c r="G101" s="1" t="str">
        <f>IF([2]Appoggio!G101=0,"",[2]Appoggio!G101)</f>
        <v/>
      </c>
      <c r="H101" s="1" t="str">
        <f>IF([2]Appoggio!H101=0,"",[2]Appoggio!H101)</f>
        <v/>
      </c>
      <c r="I101" s="1" t="str">
        <f>IF([2]Appoggio!I101=0,"",[2]Appoggio!I101)</f>
        <v/>
      </c>
      <c r="J101" s="1" t="str">
        <f>IF([2]Appoggio!J101=0,"",[2]Appoggio!J101)</f>
        <v/>
      </c>
      <c r="K101" s="1" t="str">
        <f>IF([2]Appoggio!K101=0,"",[2]Appoggio!K101)</f>
        <v/>
      </c>
      <c r="L101" s="1" t="str">
        <f>IF([2]Appoggio!L101=0,"",[2]Appoggio!L101)</f>
        <v/>
      </c>
      <c r="M101" s="1" t="str">
        <f>IF([2]Appoggio!M101=0,"",[2]Appoggio!M101)</f>
        <v/>
      </c>
      <c r="N101" s="1" t="str">
        <f>IF([2]Appoggio!N101=0,"",[2]Appoggio!N101)</f>
        <v/>
      </c>
      <c r="O101" s="1" t="str">
        <f>IF([2]Appoggio!O101=0,"",[2]Appoggio!O101)</f>
        <v/>
      </c>
      <c r="P101" s="1" t="str">
        <f>IF([2]Appoggio!P101=0,"",[2]Appoggio!P101)</f>
        <v/>
      </c>
    </row>
    <row r="102" spans="1:16" x14ac:dyDescent="0.25">
      <c r="A102" s="1" t="str">
        <f>IF([2]Appoggio!A102=0,"",[2]Appoggio!A102)</f>
        <v/>
      </c>
      <c r="B102" s="1" t="str">
        <f>IF([2]Appoggio!B102=0,"",[2]Appoggio!B102)</f>
        <v/>
      </c>
      <c r="C102" s="1" t="str">
        <f>IF([2]Appoggio!C102=0,"",[2]Appoggio!C102)</f>
        <v/>
      </c>
      <c r="D102" s="1" t="str">
        <f>IF([2]Appoggio!D102=0,"",[2]Appoggio!D102)</f>
        <v/>
      </c>
      <c r="E102" s="1" t="str">
        <f>IF([2]Appoggio!E102=0,"",[2]Appoggio!E102)</f>
        <v/>
      </c>
      <c r="F102" s="1" t="str">
        <f>IF([2]Appoggio!F102=0,"",[2]Appoggio!F102)</f>
        <v/>
      </c>
      <c r="G102" s="1" t="str">
        <f>IF([2]Appoggio!G102=0,"",[2]Appoggio!G102)</f>
        <v/>
      </c>
      <c r="H102" s="1" t="str">
        <f>IF([2]Appoggio!H102=0,"",[2]Appoggio!H102)</f>
        <v/>
      </c>
      <c r="I102" s="1" t="str">
        <f>IF([2]Appoggio!I102=0,"",[2]Appoggio!I102)</f>
        <v/>
      </c>
      <c r="J102" s="1" t="str">
        <f>IF([2]Appoggio!J102=0,"",[2]Appoggio!J102)</f>
        <v/>
      </c>
      <c r="K102" s="1" t="str">
        <f>IF([2]Appoggio!K102=0,"",[2]Appoggio!K102)</f>
        <v/>
      </c>
      <c r="L102" s="1" t="str">
        <f>IF([2]Appoggio!L102=0,"",[2]Appoggio!L102)</f>
        <v/>
      </c>
      <c r="M102" s="1" t="str">
        <f>IF([2]Appoggio!M102=0,"",[2]Appoggio!M102)</f>
        <v/>
      </c>
      <c r="N102" s="1" t="str">
        <f>IF([2]Appoggio!N102=0,"",[2]Appoggio!N102)</f>
        <v/>
      </c>
      <c r="O102" s="1" t="str">
        <f>IF([2]Appoggio!O102=0,"",[2]Appoggio!O102)</f>
        <v/>
      </c>
      <c r="P102" s="1" t="str">
        <f>IF([2]Appoggio!P102=0,"",[2]Appoggio!P102)</f>
        <v/>
      </c>
    </row>
    <row r="103" spans="1:16" x14ac:dyDescent="0.25">
      <c r="A103" s="1" t="str">
        <f>IF([2]Appoggio!A103=0,"",[2]Appoggio!A103)</f>
        <v/>
      </c>
      <c r="B103" s="1" t="str">
        <f>IF([2]Appoggio!B103=0,"",[2]Appoggio!B103)</f>
        <v/>
      </c>
      <c r="C103" s="1" t="str">
        <f>IF([2]Appoggio!C103=0,"",[2]Appoggio!C103)</f>
        <v/>
      </c>
      <c r="D103" s="1" t="str">
        <f>IF([2]Appoggio!D103=0,"",[2]Appoggio!D103)</f>
        <v/>
      </c>
      <c r="E103" s="1" t="str">
        <f>IF([2]Appoggio!E103=0,"",[2]Appoggio!E103)</f>
        <v/>
      </c>
      <c r="F103" s="1" t="str">
        <f>IF([2]Appoggio!F103=0,"",[2]Appoggio!F103)</f>
        <v/>
      </c>
      <c r="G103" s="1" t="str">
        <f>IF([2]Appoggio!G103=0,"",[2]Appoggio!G103)</f>
        <v/>
      </c>
      <c r="H103" s="1" t="str">
        <f>IF([2]Appoggio!H103=0,"",[2]Appoggio!H103)</f>
        <v/>
      </c>
      <c r="I103" s="1" t="str">
        <f>IF([2]Appoggio!I103=0,"",[2]Appoggio!I103)</f>
        <v/>
      </c>
      <c r="J103" s="1" t="str">
        <f>IF([2]Appoggio!J103=0,"",[2]Appoggio!J103)</f>
        <v/>
      </c>
      <c r="K103" s="1" t="str">
        <f>IF([2]Appoggio!K103=0,"",[2]Appoggio!K103)</f>
        <v/>
      </c>
      <c r="L103" s="1" t="str">
        <f>IF([2]Appoggio!L103=0,"",[2]Appoggio!L103)</f>
        <v/>
      </c>
      <c r="M103" s="1" t="str">
        <f>IF([2]Appoggio!M103=0,"",[2]Appoggio!M103)</f>
        <v/>
      </c>
      <c r="N103" s="1" t="str">
        <f>IF([2]Appoggio!N103=0,"",[2]Appoggio!N103)</f>
        <v/>
      </c>
      <c r="O103" s="1" t="str">
        <f>IF([2]Appoggio!O103=0,"",[2]Appoggio!O103)</f>
        <v/>
      </c>
      <c r="P103" s="1" t="str">
        <f>IF([2]Appoggio!P103=0,"",[2]Appoggio!P103)</f>
        <v/>
      </c>
    </row>
    <row r="104" spans="1:16" x14ac:dyDescent="0.25">
      <c r="A104" s="1" t="str">
        <f>IF([2]Appoggio!A104=0,"",[2]Appoggio!A104)</f>
        <v/>
      </c>
      <c r="B104" s="1" t="str">
        <f>IF([2]Appoggio!B104=0,"",[2]Appoggio!B104)</f>
        <v/>
      </c>
      <c r="C104" s="1" t="str">
        <f>IF([2]Appoggio!C104=0,"",[2]Appoggio!C104)</f>
        <v/>
      </c>
      <c r="D104" s="1" t="str">
        <f>IF([2]Appoggio!D104=0,"",[2]Appoggio!D104)</f>
        <v/>
      </c>
      <c r="E104" s="1" t="str">
        <f>IF([2]Appoggio!E104=0,"",[2]Appoggio!E104)</f>
        <v/>
      </c>
      <c r="F104" s="1" t="str">
        <f>IF([2]Appoggio!F104=0,"",[2]Appoggio!F104)</f>
        <v/>
      </c>
      <c r="G104" s="1" t="str">
        <f>IF([2]Appoggio!G104=0,"",[2]Appoggio!G104)</f>
        <v/>
      </c>
      <c r="H104" s="1" t="str">
        <f>IF([2]Appoggio!H104=0,"",[2]Appoggio!H104)</f>
        <v/>
      </c>
      <c r="I104" s="1" t="str">
        <f>IF([2]Appoggio!I104=0,"",[2]Appoggio!I104)</f>
        <v/>
      </c>
      <c r="J104" s="1" t="str">
        <f>IF([2]Appoggio!J104=0,"",[2]Appoggio!J104)</f>
        <v/>
      </c>
      <c r="K104" s="1" t="str">
        <f>IF([2]Appoggio!K104=0,"",[2]Appoggio!K104)</f>
        <v/>
      </c>
      <c r="L104" s="1" t="str">
        <f>IF([2]Appoggio!L104=0,"",[2]Appoggio!L104)</f>
        <v/>
      </c>
      <c r="M104" s="1" t="str">
        <f>IF([2]Appoggio!M104=0,"",[2]Appoggio!M104)</f>
        <v/>
      </c>
      <c r="N104" s="1" t="str">
        <f>IF([2]Appoggio!N104=0,"",[2]Appoggio!N104)</f>
        <v/>
      </c>
      <c r="O104" s="1" t="str">
        <f>IF([2]Appoggio!O104=0,"",[2]Appoggio!O104)</f>
        <v/>
      </c>
      <c r="P104" s="1" t="str">
        <f>IF([2]Appoggio!P104=0,"",[2]Appoggio!P104)</f>
        <v/>
      </c>
    </row>
    <row r="105" spans="1:16" x14ac:dyDescent="0.25">
      <c r="A105" s="1" t="str">
        <f>IF([2]Appoggio!A105=0,"",[2]Appoggio!A105)</f>
        <v/>
      </c>
      <c r="B105" s="1" t="str">
        <f>IF([2]Appoggio!B105=0,"",[2]Appoggio!B105)</f>
        <v/>
      </c>
      <c r="C105" s="1" t="str">
        <f>IF([2]Appoggio!C105=0,"",[2]Appoggio!C105)</f>
        <v/>
      </c>
      <c r="D105" s="1" t="str">
        <f>IF([2]Appoggio!D105=0,"",[2]Appoggio!D105)</f>
        <v/>
      </c>
      <c r="E105" s="1" t="str">
        <f>IF([2]Appoggio!E105=0,"",[2]Appoggio!E105)</f>
        <v/>
      </c>
      <c r="F105" s="1" t="str">
        <f>IF([2]Appoggio!F105=0,"",[2]Appoggio!F105)</f>
        <v/>
      </c>
      <c r="G105" s="1" t="str">
        <f>IF([2]Appoggio!G105=0,"",[2]Appoggio!G105)</f>
        <v/>
      </c>
      <c r="H105" s="1" t="str">
        <f>IF([2]Appoggio!H105=0,"",[2]Appoggio!H105)</f>
        <v/>
      </c>
      <c r="I105" s="1" t="str">
        <f>IF([2]Appoggio!I105=0,"",[2]Appoggio!I105)</f>
        <v/>
      </c>
      <c r="J105" s="1" t="str">
        <f>IF([2]Appoggio!J105=0,"",[2]Appoggio!J105)</f>
        <v/>
      </c>
      <c r="K105" s="1" t="str">
        <f>IF([2]Appoggio!K105=0,"",[2]Appoggio!K105)</f>
        <v/>
      </c>
      <c r="L105" s="1" t="str">
        <f>IF([2]Appoggio!L105=0,"",[2]Appoggio!L105)</f>
        <v/>
      </c>
      <c r="M105" s="1" t="str">
        <f>IF([2]Appoggio!M105=0,"",[2]Appoggio!M105)</f>
        <v/>
      </c>
      <c r="N105" s="1" t="str">
        <f>IF([2]Appoggio!N105=0,"",[2]Appoggio!N105)</f>
        <v/>
      </c>
      <c r="O105" s="1" t="str">
        <f>IF([2]Appoggio!O105=0,"",[2]Appoggio!O105)</f>
        <v/>
      </c>
      <c r="P105" s="1" t="str">
        <f>IF([2]Appoggio!P105=0,"",[2]Appoggio!P105)</f>
        <v/>
      </c>
    </row>
    <row r="106" spans="1:16" x14ac:dyDescent="0.25">
      <c r="A106" s="1" t="str">
        <f>IF([2]Appoggio!A106=0,"",[2]Appoggio!A106)</f>
        <v/>
      </c>
      <c r="B106" s="1" t="str">
        <f>IF([2]Appoggio!B106=0,"",[2]Appoggio!B106)</f>
        <v/>
      </c>
      <c r="C106" s="1" t="str">
        <f>IF([2]Appoggio!C106=0,"",[2]Appoggio!C106)</f>
        <v/>
      </c>
      <c r="D106" s="1" t="str">
        <f>IF([2]Appoggio!D106=0,"",[2]Appoggio!D106)</f>
        <v/>
      </c>
      <c r="E106" s="1" t="str">
        <f>IF([2]Appoggio!E106=0,"",[2]Appoggio!E106)</f>
        <v/>
      </c>
      <c r="F106" s="1" t="str">
        <f>IF([2]Appoggio!F106=0,"",[2]Appoggio!F106)</f>
        <v/>
      </c>
      <c r="G106" s="1" t="str">
        <f>IF([2]Appoggio!G106=0,"",[2]Appoggio!G106)</f>
        <v/>
      </c>
      <c r="H106" s="1" t="str">
        <f>IF([2]Appoggio!H106=0,"",[2]Appoggio!H106)</f>
        <v/>
      </c>
      <c r="I106" s="1" t="str">
        <f>IF([2]Appoggio!I106=0,"",[2]Appoggio!I106)</f>
        <v/>
      </c>
      <c r="J106" s="1" t="str">
        <f>IF([2]Appoggio!J106=0,"",[2]Appoggio!J106)</f>
        <v/>
      </c>
      <c r="K106" s="1" t="str">
        <f>IF([2]Appoggio!K106=0,"",[2]Appoggio!K106)</f>
        <v/>
      </c>
      <c r="L106" s="1" t="str">
        <f>IF([2]Appoggio!L106=0,"",[2]Appoggio!L106)</f>
        <v/>
      </c>
      <c r="M106" s="1" t="str">
        <f>IF([2]Appoggio!M106=0,"",[2]Appoggio!M106)</f>
        <v/>
      </c>
      <c r="N106" s="1" t="str">
        <f>IF([2]Appoggio!N106=0,"",[2]Appoggio!N106)</f>
        <v/>
      </c>
      <c r="O106" s="1" t="str">
        <f>IF([2]Appoggio!O106=0,"",[2]Appoggio!O106)</f>
        <v/>
      </c>
      <c r="P106" s="1" t="str">
        <f>IF([2]Appoggio!P106=0,"",[2]Appoggio!P106)</f>
        <v/>
      </c>
    </row>
    <row r="107" spans="1:16" x14ac:dyDescent="0.25">
      <c r="A107" s="1" t="str">
        <f>IF([2]Appoggio!A107=0,"",[2]Appoggio!A107)</f>
        <v/>
      </c>
      <c r="B107" s="1" t="str">
        <f>IF([2]Appoggio!B107=0,"",[2]Appoggio!B107)</f>
        <v/>
      </c>
      <c r="C107" s="1" t="str">
        <f>IF([2]Appoggio!C107=0,"",[2]Appoggio!C107)</f>
        <v/>
      </c>
      <c r="D107" s="1" t="str">
        <f>IF([2]Appoggio!D107=0,"",[2]Appoggio!D107)</f>
        <v/>
      </c>
      <c r="E107" s="1" t="str">
        <f>IF([2]Appoggio!E107=0,"",[2]Appoggio!E107)</f>
        <v/>
      </c>
      <c r="F107" s="1" t="str">
        <f>IF([2]Appoggio!F107=0,"",[2]Appoggio!F107)</f>
        <v/>
      </c>
      <c r="G107" s="1" t="str">
        <f>IF([2]Appoggio!G107=0,"",[2]Appoggio!G107)</f>
        <v/>
      </c>
      <c r="H107" s="1" t="str">
        <f>IF([2]Appoggio!H107=0,"",[2]Appoggio!H107)</f>
        <v/>
      </c>
      <c r="I107" s="1" t="str">
        <f>IF([2]Appoggio!I107=0,"",[2]Appoggio!I107)</f>
        <v/>
      </c>
      <c r="J107" s="1" t="str">
        <f>IF([2]Appoggio!J107=0,"",[2]Appoggio!J107)</f>
        <v/>
      </c>
      <c r="K107" s="1" t="str">
        <f>IF([2]Appoggio!K107=0,"",[2]Appoggio!K107)</f>
        <v/>
      </c>
      <c r="L107" s="1" t="str">
        <f>IF([2]Appoggio!L107=0,"",[2]Appoggio!L107)</f>
        <v/>
      </c>
      <c r="M107" s="1" t="str">
        <f>IF([2]Appoggio!M107=0,"",[2]Appoggio!M107)</f>
        <v/>
      </c>
      <c r="N107" s="1" t="str">
        <f>IF([2]Appoggio!N107=0,"",[2]Appoggio!N107)</f>
        <v/>
      </c>
      <c r="O107" s="1" t="str">
        <f>IF([2]Appoggio!O107=0,"",[2]Appoggio!O107)</f>
        <v/>
      </c>
      <c r="P107" s="1" t="str">
        <f>IF([2]Appoggio!P107=0,"",[2]Appoggio!P107)</f>
        <v/>
      </c>
    </row>
    <row r="108" spans="1:16" x14ac:dyDescent="0.25">
      <c r="A108" s="1" t="str">
        <f>IF([2]Appoggio!A108=0,"",[2]Appoggio!A108)</f>
        <v/>
      </c>
      <c r="B108" s="1" t="str">
        <f>IF([2]Appoggio!B108=0,"",[2]Appoggio!B108)</f>
        <v/>
      </c>
      <c r="C108" s="1" t="str">
        <f>IF([2]Appoggio!C108=0,"",[2]Appoggio!C108)</f>
        <v/>
      </c>
      <c r="D108" s="1" t="str">
        <f>IF([2]Appoggio!D108=0,"",[2]Appoggio!D108)</f>
        <v/>
      </c>
      <c r="E108" s="1" t="str">
        <f>IF([2]Appoggio!E108=0,"",[2]Appoggio!E108)</f>
        <v/>
      </c>
      <c r="F108" s="1" t="str">
        <f>IF([2]Appoggio!F108=0,"",[2]Appoggio!F108)</f>
        <v/>
      </c>
      <c r="G108" s="1" t="str">
        <f>IF([2]Appoggio!G108=0,"",[2]Appoggio!G108)</f>
        <v/>
      </c>
      <c r="H108" s="1" t="str">
        <f>IF([2]Appoggio!H108=0,"",[2]Appoggio!H108)</f>
        <v/>
      </c>
      <c r="I108" s="1" t="str">
        <f>IF([2]Appoggio!I108=0,"",[2]Appoggio!I108)</f>
        <v/>
      </c>
      <c r="J108" s="1" t="str">
        <f>IF([2]Appoggio!J108=0,"",[2]Appoggio!J108)</f>
        <v/>
      </c>
      <c r="K108" s="1" t="str">
        <f>IF([2]Appoggio!K108=0,"",[2]Appoggio!K108)</f>
        <v/>
      </c>
      <c r="L108" s="1" t="str">
        <f>IF([2]Appoggio!L108=0,"",[2]Appoggio!L108)</f>
        <v/>
      </c>
      <c r="M108" s="1" t="str">
        <f>IF([2]Appoggio!M108=0,"",[2]Appoggio!M108)</f>
        <v/>
      </c>
      <c r="N108" s="1" t="str">
        <f>IF([2]Appoggio!N108=0,"",[2]Appoggio!N108)</f>
        <v/>
      </c>
      <c r="O108" s="1" t="str">
        <f>IF([2]Appoggio!O108=0,"",[2]Appoggio!O108)</f>
        <v/>
      </c>
      <c r="P108" s="1" t="str">
        <f>IF([2]Appoggio!P108=0,"",[2]Appoggio!P108)</f>
        <v/>
      </c>
    </row>
    <row r="109" spans="1:16" x14ac:dyDescent="0.25">
      <c r="A109" s="1" t="str">
        <f>IF([2]Appoggio!A109=0,"",[2]Appoggio!A109)</f>
        <v/>
      </c>
      <c r="B109" s="1" t="str">
        <f>IF([2]Appoggio!B109=0,"",[2]Appoggio!B109)</f>
        <v/>
      </c>
      <c r="C109" s="1" t="str">
        <f>IF([2]Appoggio!C109=0,"",[2]Appoggio!C109)</f>
        <v/>
      </c>
      <c r="D109" s="1" t="str">
        <f>IF([2]Appoggio!D109=0,"",[2]Appoggio!D109)</f>
        <v/>
      </c>
      <c r="E109" s="1" t="str">
        <f>IF([2]Appoggio!E109=0,"",[2]Appoggio!E109)</f>
        <v/>
      </c>
      <c r="F109" s="1" t="str">
        <f>IF([2]Appoggio!F109=0,"",[2]Appoggio!F109)</f>
        <v/>
      </c>
      <c r="G109" s="1" t="str">
        <f>IF([2]Appoggio!G109=0,"",[2]Appoggio!G109)</f>
        <v/>
      </c>
      <c r="H109" s="1" t="str">
        <f>IF([2]Appoggio!H109=0,"",[2]Appoggio!H109)</f>
        <v/>
      </c>
      <c r="I109" s="1" t="str">
        <f>IF([2]Appoggio!I109=0,"",[2]Appoggio!I109)</f>
        <v/>
      </c>
      <c r="J109" s="1" t="str">
        <f>IF([2]Appoggio!J109=0,"",[2]Appoggio!J109)</f>
        <v/>
      </c>
      <c r="K109" s="1" t="str">
        <f>IF([2]Appoggio!K109=0,"",[2]Appoggio!K109)</f>
        <v/>
      </c>
      <c r="L109" s="1" t="str">
        <f>IF([2]Appoggio!L109=0,"",[2]Appoggio!L109)</f>
        <v/>
      </c>
      <c r="M109" s="1" t="str">
        <f>IF([2]Appoggio!M109=0,"",[2]Appoggio!M109)</f>
        <v/>
      </c>
      <c r="N109" s="1" t="str">
        <f>IF([2]Appoggio!N109=0,"",[2]Appoggio!N109)</f>
        <v/>
      </c>
      <c r="O109" s="1" t="str">
        <f>IF([2]Appoggio!O109=0,"",[2]Appoggio!O109)</f>
        <v/>
      </c>
      <c r="P109" s="1" t="str">
        <f>IF([2]Appoggio!P109=0,"",[2]Appoggio!P109)</f>
        <v/>
      </c>
    </row>
    <row r="110" spans="1:16" x14ac:dyDescent="0.25">
      <c r="A110" s="1" t="str">
        <f>IF([2]Appoggio!A110=0,"",[2]Appoggio!A110)</f>
        <v/>
      </c>
      <c r="B110" s="1" t="str">
        <f>IF([2]Appoggio!B110=0,"",[2]Appoggio!B110)</f>
        <v/>
      </c>
      <c r="C110" s="1" t="str">
        <f>IF([2]Appoggio!C110=0,"",[2]Appoggio!C110)</f>
        <v/>
      </c>
      <c r="D110" s="1" t="str">
        <f>IF([2]Appoggio!D110=0,"",[2]Appoggio!D110)</f>
        <v/>
      </c>
      <c r="E110" s="1" t="str">
        <f>IF([2]Appoggio!E110=0,"",[2]Appoggio!E110)</f>
        <v/>
      </c>
      <c r="F110" s="1" t="str">
        <f>IF([2]Appoggio!F110=0,"",[2]Appoggio!F110)</f>
        <v/>
      </c>
      <c r="G110" s="1" t="str">
        <f>IF([2]Appoggio!G110=0,"",[2]Appoggio!G110)</f>
        <v/>
      </c>
      <c r="H110" s="1" t="str">
        <f>IF([2]Appoggio!H110=0,"",[2]Appoggio!H110)</f>
        <v/>
      </c>
      <c r="I110" s="1" t="str">
        <f>IF([2]Appoggio!I110=0,"",[2]Appoggio!I110)</f>
        <v/>
      </c>
      <c r="J110" s="1" t="str">
        <f>IF([2]Appoggio!J110=0,"",[2]Appoggio!J110)</f>
        <v/>
      </c>
      <c r="K110" s="1" t="str">
        <f>IF([2]Appoggio!K110=0,"",[2]Appoggio!K110)</f>
        <v/>
      </c>
      <c r="L110" s="1" t="str">
        <f>IF([2]Appoggio!L110=0,"",[2]Appoggio!L110)</f>
        <v/>
      </c>
      <c r="M110" s="1" t="str">
        <f>IF([2]Appoggio!M110=0,"",[2]Appoggio!M110)</f>
        <v/>
      </c>
      <c r="N110" s="1" t="str">
        <f>IF([2]Appoggio!N110=0,"",[2]Appoggio!N110)</f>
        <v/>
      </c>
      <c r="O110" s="1" t="str">
        <f>IF([2]Appoggio!O110=0,"",[2]Appoggio!O110)</f>
        <v/>
      </c>
      <c r="P110" s="1" t="str">
        <f>IF([2]Appoggio!P110=0,"",[2]Appoggio!P110)</f>
        <v/>
      </c>
    </row>
    <row r="111" spans="1:16" x14ac:dyDescent="0.25">
      <c r="A111" s="1" t="str">
        <f>IF([2]Appoggio!A111=0,"",[2]Appoggio!A111)</f>
        <v/>
      </c>
      <c r="B111" s="1" t="str">
        <f>IF([2]Appoggio!B111=0,"",[2]Appoggio!B111)</f>
        <v/>
      </c>
      <c r="C111" s="1" t="str">
        <f>IF([2]Appoggio!C111=0,"",[2]Appoggio!C111)</f>
        <v/>
      </c>
      <c r="D111" s="1" t="str">
        <f>IF([2]Appoggio!D111=0,"",[2]Appoggio!D111)</f>
        <v/>
      </c>
      <c r="E111" s="1" t="str">
        <f>IF([2]Appoggio!E111=0,"",[2]Appoggio!E111)</f>
        <v/>
      </c>
      <c r="F111" s="1" t="str">
        <f>IF([2]Appoggio!F111=0,"",[2]Appoggio!F111)</f>
        <v/>
      </c>
      <c r="G111" s="1" t="str">
        <f>IF([2]Appoggio!G111=0,"",[2]Appoggio!G111)</f>
        <v/>
      </c>
      <c r="H111" s="1" t="str">
        <f>IF([2]Appoggio!H111=0,"",[2]Appoggio!H111)</f>
        <v/>
      </c>
      <c r="I111" s="1" t="str">
        <f>IF([2]Appoggio!I111=0,"",[2]Appoggio!I111)</f>
        <v/>
      </c>
      <c r="J111" s="1" t="str">
        <f>IF([2]Appoggio!J111=0,"",[2]Appoggio!J111)</f>
        <v/>
      </c>
      <c r="K111" s="1" t="str">
        <f>IF([2]Appoggio!K111=0,"",[2]Appoggio!K111)</f>
        <v/>
      </c>
      <c r="L111" s="1" t="str">
        <f>IF([2]Appoggio!L111=0,"",[2]Appoggio!L111)</f>
        <v/>
      </c>
      <c r="M111" s="1" t="str">
        <f>IF([2]Appoggio!M111=0,"",[2]Appoggio!M111)</f>
        <v/>
      </c>
      <c r="N111" s="1" t="str">
        <f>IF([2]Appoggio!N111=0,"",[2]Appoggio!N111)</f>
        <v/>
      </c>
      <c r="O111" s="1" t="str">
        <f>IF([2]Appoggio!O111=0,"",[2]Appoggio!O111)</f>
        <v/>
      </c>
      <c r="P111" s="1" t="str">
        <f>IF([2]Appoggio!P111=0,"",[2]Appoggio!P111)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oglio1">
    <tabColor theme="3" tint="0.39997558519241921"/>
  </sheetPr>
  <dimension ref="A1:N147"/>
  <sheetViews>
    <sheetView workbookViewId="0">
      <selection activeCell="A2" sqref="A2"/>
    </sheetView>
  </sheetViews>
  <sheetFormatPr defaultColWidth="9.125" defaultRowHeight="10.9" x14ac:dyDescent="0.25"/>
  <cols>
    <col min="1" max="1" width="11.25" style="1" bestFit="1" customWidth="1"/>
    <col min="2" max="2" width="6.625" style="1" bestFit="1" customWidth="1"/>
    <col min="3" max="3" width="5.625" style="1" bestFit="1" customWidth="1"/>
    <col min="4" max="4" width="8.75" style="1" bestFit="1" customWidth="1"/>
    <col min="5" max="5" width="13.875" style="1" bestFit="1" customWidth="1"/>
    <col min="6" max="6" width="3.125" style="1" bestFit="1" customWidth="1"/>
    <col min="7" max="7" width="5.625" style="1" bestFit="1" customWidth="1"/>
    <col min="8" max="8" width="7.875" style="1" bestFit="1" customWidth="1"/>
    <col min="9" max="9" width="7.875" style="1" customWidth="1"/>
    <col min="10" max="10" width="6.875" style="1" bestFit="1" customWidth="1"/>
    <col min="11" max="11" width="21.375" style="1" bestFit="1" customWidth="1"/>
    <col min="12" max="12" width="9.125" style="1"/>
    <col min="13" max="13" width="12.875" style="1" bestFit="1" customWidth="1"/>
    <col min="14" max="16384" width="9.125" style="1"/>
  </cols>
  <sheetData>
    <row r="1" spans="1:14" s="23" customFormat="1" x14ac:dyDescent="0.25">
      <c r="A1" s="23" t="s">
        <v>149</v>
      </c>
      <c r="D1" s="23" t="s">
        <v>21</v>
      </c>
      <c r="E1" s="23" t="s">
        <v>22</v>
      </c>
      <c r="G1" s="23" t="s">
        <v>29</v>
      </c>
      <c r="J1" s="23" t="s">
        <v>64</v>
      </c>
      <c r="M1" s="23" t="s">
        <v>148</v>
      </c>
    </row>
    <row r="2" spans="1:14" x14ac:dyDescent="0.25">
      <c r="A2" s="1" t="str">
        <f>IF([1]Legenda!A2=0,"",[1]Legenda!A2)</f>
        <v>D:</v>
      </c>
      <c r="B2" s="1" t="str">
        <f>IF([1]Legenda!B2=0,"",[1]Legenda!B2)</f>
        <v>daily</v>
      </c>
      <c r="C2" s="1" t="str">
        <f>IF([1]Legenda!C2=0,"",[1]Legenda!C2)</f>
        <v/>
      </c>
      <c r="D2" s="1" t="str">
        <f>IF([1]Legenda!D2=0,"",[1]Legenda!D2)</f>
        <v>MLC</v>
      </c>
      <c r="E2" s="1" t="str">
        <f>IF([1]Legenda!E2=0,"",[1]Legenda!E2)</f>
        <v>Max Long Cap</v>
      </c>
      <c r="F2" s="1" t="str">
        <f>IF([1]Legenda!F2=0,"",[1]Legenda!F2)</f>
        <v/>
      </c>
      <c r="G2" s="1" t="str">
        <f>IF([1]Legenda!G2=0,"",[1]Legenda!G2)</f>
        <v>New</v>
      </c>
      <c r="H2" s="1" t="str">
        <f>IF([1]Legenda!H2=0,"",[1]Legenda!H2)</f>
        <v>Emissione</v>
      </c>
      <c r="I2" s="1" t="str">
        <f>IF([1]Legenda!I2=0,"",[1]Legenda!I2)</f>
        <v/>
      </c>
      <c r="J2" s="1" t="str">
        <f>IF([1]Legenda!J2=0,"",[1]Legenda!J2)</f>
        <v>Boot</v>
      </c>
      <c r="K2" s="1" t="str">
        <f>IF([1]Legenda!K2=0,"",[1]Legenda!K2)</f>
        <v>Bootstrapping</v>
      </c>
      <c r="L2" s="1" t="str">
        <f>IF([1]Legenda!L2=0,"",[1]Legenda!L2)</f>
        <v/>
      </c>
      <c r="M2" s="1" t="str">
        <f>IF([1]Legenda!M2=0,"",[1]Legenda!M2)</f>
        <v/>
      </c>
      <c r="N2" s="1" t="str">
        <f>IF([1]Legenda!N2=0,"",[1]Legenda!N2)</f>
        <v>Actual/Actual</v>
      </c>
    </row>
    <row r="3" spans="1:14" x14ac:dyDescent="0.25">
      <c r="A3" s="1" t="str">
        <f>IF([1]Legenda!A3=0,"",[1]Legenda!A3)</f>
        <v>W:</v>
      </c>
      <c r="B3" s="1" t="str">
        <f>IF([1]Legenda!B3=0,"",[1]Legenda!B3)</f>
        <v>weekly</v>
      </c>
      <c r="C3" s="1" t="str">
        <f>IF([1]Legenda!C3=0,"",[1]Legenda!C3)</f>
        <v/>
      </c>
      <c r="D3" s="1" t="str">
        <f>IF([1]Legenda!D3=0,"",[1]Legenda!D3)</f>
        <v>BC1</v>
      </c>
      <c r="E3" s="1" t="str">
        <f>IF([1]Legenda!E3=0,"",[1]Legenda!E3)</f>
        <v>Bonus Cap 1</v>
      </c>
      <c r="F3" s="1" t="str">
        <f>IF([1]Legenda!F3=0,"",[1]Legenda!F3)</f>
        <v/>
      </c>
      <c r="G3" s="1" t="str">
        <f>IF([1]Legenda!G3=0,"",[1]Legenda!G3)</f>
        <v>Re</v>
      </c>
      <c r="H3" s="1" t="str">
        <f>IF([1]Legenda!H3=0,"",[1]Legenda!H3)</f>
        <v>Repricing</v>
      </c>
      <c r="I3" s="1" t="str">
        <f>IF([1]Legenda!I3=0,"",[1]Legenda!I3)</f>
        <v/>
      </c>
      <c r="J3" s="1" t="str">
        <f>IF([1]Legenda!J3=0,"",[1]Legenda!J3)</f>
        <v>PCA</v>
      </c>
      <c r="K3" s="1" t="str">
        <f>IF([1]Legenda!K3=0,"",[1]Legenda!K3)</f>
        <v>Principal Component Analysis</v>
      </c>
      <c r="L3" s="1" t="str">
        <f>IF([1]Legenda!L3=0,"",[1]Legenda!L3)</f>
        <v/>
      </c>
      <c r="M3" s="1">
        <f>IF([1]Legenda!M3=0,"",[1]Legenda!M3)</f>
        <v>1</v>
      </c>
      <c r="N3" s="1" t="str">
        <f>IF([1]Legenda!N3=0,"",[1]Legenda!N3)</f>
        <v>30/360 (SIA)</v>
      </c>
    </row>
    <row r="4" spans="1:14" x14ac:dyDescent="0.25">
      <c r="A4" s="1" t="str">
        <f>IF([1]Legenda!A4=0,"",[1]Legenda!A4)</f>
        <v>M:</v>
      </c>
      <c r="B4" s="1" t="str">
        <f>IF([1]Legenda!B4=0,"",[1]Legenda!B4)</f>
        <v>monthly</v>
      </c>
      <c r="C4" s="1" t="str">
        <f>IF([1]Legenda!C4=0,"",[1]Legenda!C4)</f>
        <v/>
      </c>
      <c r="D4" s="1" t="str">
        <f>IF([1]Legenda!D4=0,"",[1]Legenda!D4)</f>
        <v>F2F</v>
      </c>
      <c r="E4" s="1" t="str">
        <f>IF([1]Legenda!E4=0,"",[1]Legenda!E4)</f>
        <v>Fix to Floater</v>
      </c>
      <c r="F4" s="1" t="str">
        <f>IF([1]Legenda!F4=0,"",[1]Legenda!F4)</f>
        <v/>
      </c>
      <c r="G4" s="1" t="str">
        <f>IF([1]Legenda!G4=0,"",[1]Legenda!G4)</f>
        <v/>
      </c>
      <c r="H4" s="1" t="str">
        <f>IF([1]Legenda!H4=0,"",[1]Legenda!H4)</f>
        <v/>
      </c>
      <c r="I4" s="1" t="str">
        <f>IF([1]Legenda!I4=0,"",[1]Legenda!I4)</f>
        <v/>
      </c>
      <c r="J4" s="1" t="str">
        <f>IF([1]Legenda!J4=0,"",[1]Legenda!J4)</f>
        <v/>
      </c>
      <c r="K4" s="1" t="str">
        <f>IF([1]Legenda!K4=0,"",[1]Legenda!K4)</f>
        <v/>
      </c>
      <c r="L4" s="1" t="str">
        <f>IF([1]Legenda!L4=0,"",[1]Legenda!L4)</f>
        <v/>
      </c>
      <c r="M4" s="1">
        <f>IF([1]Legenda!M4=0,"",[1]Legenda!M4)</f>
        <v>2</v>
      </c>
      <c r="N4" s="1" t="str">
        <f>IF([1]Legenda!N4=0,"",[1]Legenda!N4)</f>
        <v>actual/360</v>
      </c>
    </row>
    <row r="5" spans="1:14" x14ac:dyDescent="0.25">
      <c r="A5" s="1" t="str">
        <f>IF([1]Legenda!A5=0,"",[1]Legenda!A5)</f>
        <v>Y:</v>
      </c>
      <c r="B5" s="1" t="str">
        <f>IF([1]Legenda!B5=0,"",[1]Legenda!B5)</f>
        <v>yearly</v>
      </c>
      <c r="C5" s="1" t="str">
        <f>IF([1]Legenda!C5=0,"",[1]Legenda!C5)</f>
        <v/>
      </c>
      <c r="D5" s="1" t="str">
        <f>IF([1]Legenda!D5=0,"",[1]Legenda!D5)</f>
        <v>WO</v>
      </c>
      <c r="E5" s="1" t="str">
        <f>IF([1]Legenda!E5=0,"",[1]Legenda!E5)</f>
        <v>Worst Off</v>
      </c>
      <c r="F5" s="1" t="str">
        <f>IF([1]Legenda!F5=0,"",[1]Legenda!F5)</f>
        <v/>
      </c>
      <c r="G5" s="1" t="str">
        <f>IF([1]Legenda!G5=0,"",[1]Legenda!G5)</f>
        <v/>
      </c>
      <c r="H5" s="1" t="str">
        <f>IF([1]Legenda!H5=0,"",[1]Legenda!H5)</f>
        <v/>
      </c>
      <c r="I5" s="1" t="str">
        <f>IF([1]Legenda!I5=0,"",[1]Legenda!I5)</f>
        <v/>
      </c>
      <c r="J5" s="1" t="str">
        <f>IF([1]Legenda!J5=0,"",[1]Legenda!J5)</f>
        <v/>
      </c>
      <c r="K5" s="1" t="str">
        <f>IF([1]Legenda!K5=0,"",[1]Legenda!K5)</f>
        <v/>
      </c>
      <c r="L5" s="1" t="str">
        <f>IF([1]Legenda!L5=0,"",[1]Legenda!L5)</f>
        <v/>
      </c>
      <c r="M5" s="1">
        <f>IF([1]Legenda!M5=0,"",[1]Legenda!M5)</f>
        <v>3</v>
      </c>
      <c r="N5" s="1" t="str">
        <f>IF([1]Legenda!N5=0,"",[1]Legenda!N5)</f>
        <v>actual/365</v>
      </c>
    </row>
    <row r="6" spans="1:14" x14ac:dyDescent="0.25">
      <c r="A6" s="1" t="str">
        <f>IF([1]Legenda!A6=0,"",[1]Legenda!A6)</f>
        <v/>
      </c>
      <c r="B6" s="1" t="str">
        <f>IF([1]Legenda!B6=0,"",[1]Legenda!B6)</f>
        <v/>
      </c>
      <c r="C6" s="1" t="str">
        <f>IF([1]Legenda!C6=0,"",[1]Legenda!C6)</f>
        <v/>
      </c>
      <c r="D6" s="1" t="str">
        <f>IF([1]Legenda!D6=0,"",[1]Legenda!D6)</f>
        <v>ATC1</v>
      </c>
      <c r="E6" s="1" t="str">
        <f>IF([1]Legenda!E6=0,"",[1]Legenda!E6)</f>
        <v>Autocallable Type I</v>
      </c>
      <c r="F6" s="1" t="str">
        <f>IF([1]Legenda!F6=0,"",[1]Legenda!F6)</f>
        <v/>
      </c>
      <c r="G6" s="1" t="str">
        <f>IF([1]Legenda!G6=0,"",[1]Legenda!G6)</f>
        <v/>
      </c>
      <c r="H6" s="1" t="str">
        <f>IF([1]Legenda!H6=0,"",[1]Legenda!H6)</f>
        <v/>
      </c>
      <c r="I6" s="1" t="str">
        <f>IF([1]Legenda!I6=0,"",[1]Legenda!I6)</f>
        <v/>
      </c>
      <c r="J6" s="1" t="str">
        <f>IF([1]Legenda!J6=0,"",[1]Legenda!J6)</f>
        <v/>
      </c>
      <c r="K6" s="1" t="str">
        <f>IF([1]Legenda!K6=0,"",[1]Legenda!K6)</f>
        <v/>
      </c>
      <c r="L6" s="1" t="str">
        <f>IF([1]Legenda!L6=0,"",[1]Legenda!L6)</f>
        <v/>
      </c>
      <c r="M6" s="1">
        <f>IF([1]Legenda!M6=0,"",[1]Legenda!M6)</f>
        <v>4</v>
      </c>
      <c r="N6" s="1" t="str">
        <f>IF([1]Legenda!N6=0,"",[1]Legenda!N6)</f>
        <v>30/360 (BMA)</v>
      </c>
    </row>
    <row r="7" spans="1:14" x14ac:dyDescent="0.25">
      <c r="A7" s="1" t="str">
        <f>IF([1]Legenda!A7=0,"",[1]Legenda!A7)</f>
        <v/>
      </c>
      <c r="B7" s="1" t="str">
        <f>IF([1]Legenda!B7=0,"",[1]Legenda!B7)</f>
        <v/>
      </c>
      <c r="C7" s="1" t="str">
        <f>IF([1]Legenda!C7=0,"",[1]Legenda!C7)</f>
        <v/>
      </c>
      <c r="D7" s="1" t="str">
        <f>IF([1]Legenda!D7=0,"",[1]Legenda!D7)</f>
        <v>AD1</v>
      </c>
      <c r="E7" s="1" t="str">
        <f>IF([1]Legenda!E7=0,"",[1]Legenda!E7)</f>
        <v>Annual Digital 1</v>
      </c>
      <c r="F7" s="1" t="str">
        <f>IF([1]Legenda!F7=0,"",[1]Legenda!F7)</f>
        <v/>
      </c>
      <c r="G7" s="1" t="str">
        <f>IF([1]Legenda!G7=0,"",[1]Legenda!G7)</f>
        <v/>
      </c>
      <c r="H7" s="1" t="str">
        <f>IF([1]Legenda!H7=0,"",[1]Legenda!H7)</f>
        <v/>
      </c>
      <c r="I7" s="1" t="str">
        <f>IF([1]Legenda!I7=0,"",[1]Legenda!I7)</f>
        <v/>
      </c>
      <c r="J7" s="1" t="str">
        <f>IF([1]Legenda!J7=0,"",[1]Legenda!J7)</f>
        <v/>
      </c>
      <c r="K7" s="1" t="str">
        <f>IF([1]Legenda!K7=0,"",[1]Legenda!K7)</f>
        <v/>
      </c>
      <c r="L7" s="1" t="str">
        <f>IF([1]Legenda!L7=0,"",[1]Legenda!L7)</f>
        <v/>
      </c>
      <c r="M7" s="1">
        <f>IF([1]Legenda!M7=0,"",[1]Legenda!M7)</f>
        <v>5</v>
      </c>
      <c r="N7" s="1" t="str">
        <f>IF([1]Legenda!N7=0,"",[1]Legenda!N7)</f>
        <v>30/360 (ISDA)</v>
      </c>
    </row>
    <row r="8" spans="1:14" x14ac:dyDescent="0.25">
      <c r="A8" s="1" t="str">
        <f>IF([1]Legenda!A8=0,"",[1]Legenda!A8)</f>
        <v/>
      </c>
      <c r="B8" s="1" t="str">
        <f>IF([1]Legenda!B8=0,"",[1]Legenda!B8)</f>
        <v/>
      </c>
      <c r="C8" s="1" t="str">
        <f>IF([1]Legenda!C8=0,"",[1]Legenda!C8)</f>
        <v/>
      </c>
      <c r="D8" s="1" t="str">
        <f>IF([1]Legenda!D8=0,"",[1]Legenda!D8)</f>
        <v>BC2</v>
      </c>
      <c r="E8" s="1" t="str">
        <f>IF([1]Legenda!E8=0,"",[1]Legenda!E8)</f>
        <v>Bonus Cap 2</v>
      </c>
      <c r="F8" s="1" t="str">
        <f>IF([1]Legenda!F8=0,"",[1]Legenda!F8)</f>
        <v/>
      </c>
      <c r="G8" s="1" t="str">
        <f>IF([1]Legenda!G8=0,"",[1]Legenda!G8)</f>
        <v/>
      </c>
      <c r="H8" s="1" t="str">
        <f>IF([1]Legenda!H8=0,"",[1]Legenda!H8)</f>
        <v/>
      </c>
      <c r="I8" s="1" t="str">
        <f>IF([1]Legenda!I8=0,"",[1]Legenda!I8)</f>
        <v/>
      </c>
      <c r="J8" s="1" t="str">
        <f>IF([1]Legenda!J8=0,"",[1]Legenda!J8)</f>
        <v/>
      </c>
      <c r="K8" s="1" t="str">
        <f>IF([1]Legenda!K8=0,"",[1]Legenda!K8)</f>
        <v/>
      </c>
      <c r="L8" s="1" t="str">
        <f>IF([1]Legenda!L8=0,"",[1]Legenda!L8)</f>
        <v/>
      </c>
      <c r="M8" s="1">
        <f>IF([1]Legenda!M8=0,"",[1]Legenda!M8)</f>
        <v>6</v>
      </c>
      <c r="N8" s="1" t="str">
        <f>IF([1]Legenda!N8=0,"",[1]Legenda!N8)</f>
        <v>30/360 (European)</v>
      </c>
    </row>
    <row r="9" spans="1:14" x14ac:dyDescent="0.25">
      <c r="A9" s="1" t="str">
        <f>IF([1]Legenda!A9=0,"",[1]Legenda!A9)</f>
        <v/>
      </c>
      <c r="B9" s="1" t="str">
        <f>IF([1]Legenda!B9=0,"",[1]Legenda!B9)</f>
        <v/>
      </c>
      <c r="C9" s="1" t="str">
        <f>IF([1]Legenda!C9=0,"",[1]Legenda!C9)</f>
        <v/>
      </c>
      <c r="D9" s="1" t="str">
        <f>IF([1]Legenda!D9=0,"",[1]Legenda!D9)</f>
        <v>AD2</v>
      </c>
      <c r="E9" s="1" t="str">
        <f>IF([1]Legenda!E9=0,"",[1]Legenda!E9)</f>
        <v>Annual Digital 2</v>
      </c>
      <c r="F9" s="1" t="str">
        <f>IF([1]Legenda!F9=0,"",[1]Legenda!F9)</f>
        <v/>
      </c>
      <c r="G9" s="1" t="str">
        <f>IF([1]Legenda!G9=0,"",[1]Legenda!G9)</f>
        <v/>
      </c>
      <c r="H9" s="1" t="str">
        <f>IF([1]Legenda!H9=0,"",[1]Legenda!H9)</f>
        <v/>
      </c>
      <c r="I9" s="1" t="str">
        <f>IF([1]Legenda!I9=0,"",[1]Legenda!I9)</f>
        <v/>
      </c>
      <c r="J9" s="1" t="str">
        <f>IF([1]Legenda!J9=0,"",[1]Legenda!J9)</f>
        <v/>
      </c>
      <c r="K9" s="1" t="str">
        <f>IF([1]Legenda!K9=0,"",[1]Legenda!K9)</f>
        <v/>
      </c>
      <c r="L9" s="1" t="str">
        <f>IF([1]Legenda!L9=0,"",[1]Legenda!L9)</f>
        <v/>
      </c>
      <c r="M9" s="1">
        <f>IF([1]Legenda!M9=0,"",[1]Legenda!M9)</f>
        <v>7</v>
      </c>
      <c r="N9" s="1" t="str">
        <f>IF([1]Legenda!N9=0,"",[1]Legenda!N9)</f>
        <v>actual/365 (Japanese)</v>
      </c>
    </row>
    <row r="10" spans="1:14" x14ac:dyDescent="0.25">
      <c r="A10" s="1" t="str">
        <f>IF([1]Legenda!A10=0,"",[1]Legenda!A10)</f>
        <v/>
      </c>
      <c r="B10" s="1" t="str">
        <f>IF([1]Legenda!B10=0,"",[1]Legenda!B10)</f>
        <v/>
      </c>
      <c r="C10" s="1" t="str">
        <f>IF([1]Legenda!C10=0,"",[1]Legenda!C10)</f>
        <v/>
      </c>
      <c r="D10" s="1" t="str">
        <f>IF([1]Legenda!D10=0,"",[1]Legenda!D10)</f>
        <v>AD3</v>
      </c>
      <c r="E10" s="1" t="str">
        <f>IF([1]Legenda!E10=0,"",[1]Legenda!E10)</f>
        <v>Annual Digital 3</v>
      </c>
      <c r="F10" s="1" t="str">
        <f>IF([1]Legenda!F10=0,"",[1]Legenda!F10)</f>
        <v/>
      </c>
      <c r="G10" s="1" t="str">
        <f>IF([1]Legenda!G10=0,"",[1]Legenda!G10)</f>
        <v/>
      </c>
      <c r="H10" s="1" t="str">
        <f>IF([1]Legenda!H10=0,"",[1]Legenda!H10)</f>
        <v/>
      </c>
      <c r="I10" s="1" t="str">
        <f>IF([1]Legenda!I10=0,"",[1]Legenda!I10)</f>
        <v/>
      </c>
      <c r="J10" s="1" t="str">
        <f>IF([1]Legenda!J10=0,"",[1]Legenda!J10)</f>
        <v/>
      </c>
      <c r="K10" s="1" t="str">
        <f>IF([1]Legenda!K10=0,"",[1]Legenda!K10)</f>
        <v/>
      </c>
      <c r="L10" s="1" t="str">
        <f>IF([1]Legenda!L10=0,"",[1]Legenda!L10)</f>
        <v/>
      </c>
      <c r="M10" s="1">
        <f>IF([1]Legenda!M10=0,"",[1]Legenda!M10)</f>
        <v>8</v>
      </c>
      <c r="N10" s="1" t="str">
        <f>IF([1]Legenda!N10=0,"",[1]Legenda!N10)</f>
        <v>actual/actual (ICMA)</v>
      </c>
    </row>
    <row r="11" spans="1:14" x14ac:dyDescent="0.25">
      <c r="A11" s="1" t="str">
        <f>IF([1]Legenda!A11=0,"",[1]Legenda!A11)</f>
        <v/>
      </c>
      <c r="B11" s="1" t="str">
        <f>IF([1]Legenda!B11=0,"",[1]Legenda!B11)</f>
        <v/>
      </c>
      <c r="C11" s="1" t="str">
        <f>IF([1]Legenda!C11=0,"",[1]Legenda!C11)</f>
        <v/>
      </c>
      <c r="D11" s="1" t="str">
        <f>IF([1]Legenda!D11=0,"",[1]Legenda!D11)</f>
        <v>ATC2</v>
      </c>
      <c r="E11" s="1" t="str">
        <f>IF([1]Legenda!E11=0,"",[1]Legenda!E11)</f>
        <v>Autocallable Type II</v>
      </c>
      <c r="F11" s="1" t="str">
        <f>IF([1]Legenda!F11=0,"",[1]Legenda!F11)</f>
        <v/>
      </c>
      <c r="G11" s="1" t="str">
        <f>IF([1]Legenda!G11=0,"",[1]Legenda!G11)</f>
        <v/>
      </c>
      <c r="H11" s="1" t="str">
        <f>IF([1]Legenda!H11=0,"",[1]Legenda!H11)</f>
        <v/>
      </c>
      <c r="I11" s="1" t="str">
        <f>IF([1]Legenda!I11=0,"",[1]Legenda!I11)</f>
        <v/>
      </c>
      <c r="J11" s="1" t="str">
        <f>IF([1]Legenda!J11=0,"",[1]Legenda!J11)</f>
        <v/>
      </c>
      <c r="K11" s="1" t="str">
        <f>IF([1]Legenda!K11=0,"",[1]Legenda!K11)</f>
        <v/>
      </c>
      <c r="L11" s="1" t="str">
        <f>IF([1]Legenda!L11=0,"",[1]Legenda!L11)</f>
        <v/>
      </c>
      <c r="M11" s="1">
        <f>IF([1]Legenda!M11=0,"",[1]Legenda!M11)</f>
        <v>9</v>
      </c>
      <c r="N11" s="1" t="str">
        <f>IF([1]Legenda!N11=0,"",[1]Legenda!N11)</f>
        <v>actual/360 (ICMA)</v>
      </c>
    </row>
    <row r="12" spans="1:14" x14ac:dyDescent="0.25">
      <c r="A12" s="1" t="str">
        <f>IF([1]Legenda!A12=0,"",[1]Legenda!A12)</f>
        <v/>
      </c>
      <c r="B12" s="1" t="str">
        <f>IF([1]Legenda!B12=0,"",[1]Legenda!B12)</f>
        <v/>
      </c>
      <c r="C12" s="1" t="str">
        <f>IF([1]Legenda!C12=0,"",[1]Legenda!C12)</f>
        <v/>
      </c>
      <c r="D12" s="1" t="str">
        <f>IF([1]Legenda!D12=0,"",[1]Legenda!D12)</f>
        <v>AD4</v>
      </c>
      <c r="E12" s="1" t="str">
        <f>IF([1]Legenda!E12=0,"",[1]Legenda!E12)</f>
        <v>Annual Digital 3</v>
      </c>
      <c r="F12" s="1" t="str">
        <f>IF([1]Legenda!F12=0,"",[1]Legenda!F12)</f>
        <v/>
      </c>
      <c r="G12" s="1" t="str">
        <f>IF([1]Legenda!G12=0,"",[1]Legenda!G12)</f>
        <v/>
      </c>
      <c r="H12" s="1" t="str">
        <f>IF([1]Legenda!H12=0,"",[1]Legenda!H12)</f>
        <v/>
      </c>
      <c r="I12" s="1" t="str">
        <f>IF([1]Legenda!I12=0,"",[1]Legenda!I12)</f>
        <v/>
      </c>
      <c r="J12" s="1" t="str">
        <f>IF([1]Legenda!J12=0,"",[1]Legenda!J12)</f>
        <v/>
      </c>
      <c r="K12" s="1" t="str">
        <f>IF([1]Legenda!K12=0,"",[1]Legenda!K12)</f>
        <v/>
      </c>
      <c r="L12" s="1" t="str">
        <f>IF([1]Legenda!L12=0,"",[1]Legenda!L12)</f>
        <v/>
      </c>
      <c r="M12" s="1">
        <f>IF([1]Legenda!M12=0,"",[1]Legenda!M12)</f>
        <v>10</v>
      </c>
      <c r="N12" s="1" t="str">
        <f>IF([1]Legenda!N12=0,"",[1]Legenda!N12)</f>
        <v>actual/365 (ICMA)</v>
      </c>
    </row>
    <row r="13" spans="1:14" x14ac:dyDescent="0.25">
      <c r="A13" s="1" t="str">
        <f>IF([1]Legenda!A13=0,"",[1]Legenda!A13)</f>
        <v/>
      </c>
      <c r="B13" s="1" t="str">
        <f>IF([1]Legenda!B13=0,"",[1]Legenda!B13)</f>
        <v/>
      </c>
      <c r="C13" s="1" t="str">
        <f>IF([1]Legenda!C13=0,"",[1]Legenda!C13)</f>
        <v/>
      </c>
      <c r="D13" s="1" t="str">
        <f>IF([1]Legenda!D13=0,"",[1]Legenda!D13)</f>
        <v>TW</v>
      </c>
      <c r="E13" s="1" t="str">
        <f>IF([1]Legenda!E13=0,"",[1]Legenda!E13)</f>
        <v>Twin Win</v>
      </c>
      <c r="F13" s="1" t="str">
        <f>IF([1]Legenda!F13=0,"",[1]Legenda!F13)</f>
        <v/>
      </c>
      <c r="G13" s="1" t="str">
        <f>IF([1]Legenda!G13=0,"",[1]Legenda!G13)</f>
        <v/>
      </c>
      <c r="H13" s="1" t="str">
        <f>IF([1]Legenda!H13=0,"",[1]Legenda!H13)</f>
        <v/>
      </c>
      <c r="I13" s="1" t="str">
        <f>IF([1]Legenda!I13=0,"",[1]Legenda!I13)</f>
        <v/>
      </c>
      <c r="J13" s="1" t="str">
        <f>IF([1]Legenda!J13=0,"",[1]Legenda!J13)</f>
        <v/>
      </c>
      <c r="K13" s="1" t="str">
        <f>IF([1]Legenda!K13=0,"",[1]Legenda!K13)</f>
        <v/>
      </c>
      <c r="L13" s="1" t="str">
        <f>IF([1]Legenda!L13=0,"",[1]Legenda!L13)</f>
        <v/>
      </c>
      <c r="M13" s="1">
        <f>IF([1]Legenda!M13=0,"",[1]Legenda!M13)</f>
        <v>11</v>
      </c>
      <c r="N13" s="1" t="str">
        <f>IF([1]Legenda!N13=0,"",[1]Legenda!N13)</f>
        <v>30/360E (ICMA)</v>
      </c>
    </row>
    <row r="14" spans="1:14" x14ac:dyDescent="0.25">
      <c r="A14" s="1" t="str">
        <f>IF([1]Legenda!A14=0,"",[1]Legenda!A14)</f>
        <v/>
      </c>
      <c r="B14" s="1" t="str">
        <f>IF([1]Legenda!B14=0,"",[1]Legenda!B14)</f>
        <v/>
      </c>
      <c r="C14" s="1" t="str">
        <f>IF([1]Legenda!C14=0,"",[1]Legenda!C14)</f>
        <v/>
      </c>
      <c r="D14" s="1" t="str">
        <f>IF([1]Legenda!D14=0,"",[1]Legenda!D14)</f>
        <v>A</v>
      </c>
      <c r="E14" s="1" t="str">
        <f>IF([1]Legenda!E14=0,"",[1]Legenda!E14)</f>
        <v>Accelerator</v>
      </c>
      <c r="F14" s="1" t="str">
        <f>IF([1]Legenda!F14=0,"",[1]Legenda!F14)</f>
        <v/>
      </c>
      <c r="G14" s="1" t="str">
        <f>IF([1]Legenda!G14=0,"",[1]Legenda!G14)</f>
        <v/>
      </c>
      <c r="H14" s="1" t="str">
        <f>IF([1]Legenda!H14=0,"",[1]Legenda!H14)</f>
        <v/>
      </c>
      <c r="I14" s="1" t="str">
        <f>IF([1]Legenda!I14=0,"",[1]Legenda!I14)</f>
        <v/>
      </c>
      <c r="J14" s="1" t="str">
        <f>IF([1]Legenda!J14=0,"",[1]Legenda!J14)</f>
        <v/>
      </c>
      <c r="K14" s="1" t="str">
        <f>IF([1]Legenda!K14=0,"",[1]Legenda!K14)</f>
        <v/>
      </c>
      <c r="L14" s="1" t="str">
        <f>IF([1]Legenda!L14=0,"",[1]Legenda!L14)</f>
        <v/>
      </c>
      <c r="M14" s="1">
        <f>IF([1]Legenda!M14=0,"",[1]Legenda!M14)</f>
        <v>12</v>
      </c>
      <c r="N14" s="1" t="str">
        <f>IF([1]Legenda!N14=0,"",[1]Legenda!N14)</f>
        <v>actual/365 (ISDA)</v>
      </c>
    </row>
    <row r="15" spans="1:14" x14ac:dyDescent="0.25">
      <c r="A15" s="1" t="str">
        <f>IF([1]Legenda!A15=0,"",[1]Legenda!A15)</f>
        <v/>
      </c>
      <c r="B15" s="1" t="str">
        <f>IF([1]Legenda!B15=0,"",[1]Legenda!B15)</f>
        <v/>
      </c>
      <c r="C15" s="1" t="str">
        <f>IF([1]Legenda!C15=0,"",[1]Legenda!C15)</f>
        <v/>
      </c>
      <c r="D15" s="1" t="str">
        <f>IF([1]Legenda!D15=0,"",[1]Legenda!D15)</f>
        <v>AD5</v>
      </c>
      <c r="E15" s="1" t="str">
        <f>IF([1]Legenda!E15=0,"",[1]Legenda!E15)</f>
        <v>Annual Digital 5</v>
      </c>
      <c r="F15" s="1" t="str">
        <f>IF([1]Legenda!F15=0,"",[1]Legenda!F15)</f>
        <v/>
      </c>
      <c r="G15" s="1" t="str">
        <f>IF([1]Legenda!G15=0,"",[1]Legenda!G15)</f>
        <v/>
      </c>
      <c r="H15" s="1" t="str">
        <f>IF([1]Legenda!H15=0,"",[1]Legenda!H15)</f>
        <v/>
      </c>
      <c r="I15" s="1" t="str">
        <f>IF([1]Legenda!I15=0,"",[1]Legenda!I15)</f>
        <v/>
      </c>
      <c r="J15" s="1" t="str">
        <f>IF([1]Legenda!J15=0,"",[1]Legenda!J15)</f>
        <v/>
      </c>
      <c r="K15" s="1" t="str">
        <f>IF([1]Legenda!K15=0,"",[1]Legenda!K15)</f>
        <v/>
      </c>
      <c r="L15" s="1" t="str">
        <f>IF([1]Legenda!L15=0,"",[1]Legenda!L15)</f>
        <v/>
      </c>
      <c r="M15" s="1">
        <f>IF([1]Legenda!M15=0,"",[1]Legenda!M15)</f>
        <v>13</v>
      </c>
      <c r="N15" s="1" t="str">
        <f>IF([1]Legenda!N15=0,"",[1]Legenda!N15)</f>
        <v>BUS/252</v>
      </c>
    </row>
    <row r="16" spans="1:14" x14ac:dyDescent="0.25">
      <c r="A16" s="1" t="str">
        <f>IF([1]Legenda!A16=0,"",[1]Legenda!A16)</f>
        <v/>
      </c>
      <c r="B16" s="1" t="str">
        <f>IF([1]Legenda!B16=0,"",[1]Legenda!B16)</f>
        <v/>
      </c>
      <c r="C16" s="1" t="str">
        <f>IF([1]Legenda!C16=0,"",[1]Legenda!C16)</f>
        <v/>
      </c>
      <c r="D16" s="1" t="str">
        <f>IF([1]Legenda!D16=0,"",[1]Legenda!D16)</f>
        <v>BC3</v>
      </c>
      <c r="E16" s="1" t="str">
        <f>IF([1]Legenda!E16=0,"",[1]Legenda!E16)</f>
        <v>Bonus Cap 3</v>
      </c>
      <c r="F16" s="1" t="str">
        <f>IF([1]Legenda!F16=0,"",[1]Legenda!F16)</f>
        <v/>
      </c>
      <c r="G16" s="1" t="str">
        <f>IF([1]Legenda!G16=0,"",[1]Legenda!G16)</f>
        <v/>
      </c>
      <c r="H16" s="1" t="str">
        <f>IF([1]Legenda!H16=0,"",[1]Legenda!H16)</f>
        <v/>
      </c>
      <c r="I16" s="1" t="str">
        <f>IF([1]Legenda!I16=0,"",[1]Legenda!I16)</f>
        <v/>
      </c>
      <c r="J16" s="1" t="str">
        <f>IF([1]Legenda!J16=0,"",[1]Legenda!J16)</f>
        <v/>
      </c>
      <c r="K16" s="1" t="str">
        <f>IF([1]Legenda!K16=0,"",[1]Legenda!K16)</f>
        <v/>
      </c>
      <c r="L16" s="1" t="str">
        <f>IF([1]Legenda!L16=0,"",[1]Legenda!L16)</f>
        <v/>
      </c>
      <c r="M16" s="1" t="str">
        <f>IF([1]Legenda!M16=0,"",[1]Legenda!M16)</f>
        <v/>
      </c>
      <c r="N16" s="1" t="str">
        <f>IF([1]Legenda!N16=0,"",[1]Legenda!N16)</f>
        <v/>
      </c>
    </row>
    <row r="17" spans="1:14" x14ac:dyDescent="0.25">
      <c r="A17" s="1" t="str">
        <f>IF([1]Legenda!A17=0,"",[1]Legenda!A17)</f>
        <v/>
      </c>
      <c r="B17" s="1" t="str">
        <f>IF([1]Legenda!B17=0,"",[1]Legenda!B17)</f>
        <v/>
      </c>
      <c r="C17" s="1" t="str">
        <f>IF([1]Legenda!C17=0,"",[1]Legenda!C17)</f>
        <v/>
      </c>
      <c r="D17" s="1" t="str">
        <f>IF([1]Legenda!D17=0,"",[1]Legenda!D17)</f>
        <v>CWC</v>
      </c>
      <c r="E17" s="1" t="str">
        <f>IF([1]Legenda!E17=0,"",[1]Legenda!E17)</f>
        <v xml:space="preserve"> Covered Warrant Call</v>
      </c>
      <c r="F17" s="1" t="str">
        <f>IF([1]Legenda!F17=0,"",[1]Legenda!F17)</f>
        <v/>
      </c>
      <c r="G17" s="1" t="str">
        <f>IF([1]Legenda!G17=0,"",[1]Legenda!G17)</f>
        <v/>
      </c>
      <c r="H17" s="1" t="str">
        <f>IF([1]Legenda!H17=0,"",[1]Legenda!H17)</f>
        <v/>
      </c>
      <c r="I17" s="1" t="str">
        <f>IF([1]Legenda!I17=0,"",[1]Legenda!I17)</f>
        <v/>
      </c>
      <c r="J17" s="1" t="str">
        <f>IF([1]Legenda!J17=0,"",[1]Legenda!J17)</f>
        <v/>
      </c>
      <c r="K17" s="1" t="str">
        <f>IF([1]Legenda!K17=0,"",[1]Legenda!K17)</f>
        <v/>
      </c>
      <c r="L17" s="1" t="str">
        <f>IF([1]Legenda!L17=0,"",[1]Legenda!L17)</f>
        <v/>
      </c>
      <c r="M17" s="1" t="str">
        <f>IF([1]Legenda!M17=0,"",[1]Legenda!M17)</f>
        <v/>
      </c>
      <c r="N17" s="1" t="str">
        <f>IF([1]Legenda!N17=0,"",[1]Legenda!N17)</f>
        <v/>
      </c>
    </row>
    <row r="18" spans="1:14" x14ac:dyDescent="0.25">
      <c r="A18" s="1" t="str">
        <f>IF([1]Legenda!A18=0,"",[1]Legenda!A18)</f>
        <v/>
      </c>
      <c r="B18" s="1" t="str">
        <f>IF([1]Legenda!B18=0,"",[1]Legenda!B18)</f>
        <v/>
      </c>
      <c r="C18" s="1" t="str">
        <f>IF([1]Legenda!C18=0,"",[1]Legenda!C18)</f>
        <v/>
      </c>
      <c r="D18" s="1" t="str">
        <f>IF([1]Legenda!D18=0,"",[1]Legenda!D18)</f>
        <v>CWP</v>
      </c>
      <c r="E18" s="1" t="str">
        <f>IF([1]Legenda!E18=0,"",[1]Legenda!E18)</f>
        <v xml:space="preserve"> Covered Warrant Put</v>
      </c>
      <c r="F18" s="1" t="str">
        <f>IF([1]Legenda!F18=0,"",[1]Legenda!F18)</f>
        <v/>
      </c>
      <c r="G18" s="1" t="str">
        <f>IF([1]Legenda!G18=0,"",[1]Legenda!G18)</f>
        <v/>
      </c>
      <c r="H18" s="1" t="str">
        <f>IF([1]Legenda!H18=0,"",[1]Legenda!H18)</f>
        <v/>
      </c>
      <c r="I18" s="1" t="str">
        <f>IF([1]Legenda!I18=0,"",[1]Legenda!I18)</f>
        <v/>
      </c>
      <c r="J18" s="1" t="str">
        <f>IF([1]Legenda!J18=0,"",[1]Legenda!J18)</f>
        <v/>
      </c>
      <c r="K18" s="1" t="str">
        <f>IF([1]Legenda!K18=0,"",[1]Legenda!K18)</f>
        <v/>
      </c>
      <c r="L18" s="1" t="str">
        <f>IF([1]Legenda!L18=0,"",[1]Legenda!L18)</f>
        <v/>
      </c>
      <c r="M18" s="1" t="str">
        <f>IF([1]Legenda!M18=0,"",[1]Legenda!M18)</f>
        <v/>
      </c>
      <c r="N18" s="1" t="str">
        <f>IF([1]Legenda!N18=0,"",[1]Legenda!N18)</f>
        <v/>
      </c>
    </row>
    <row r="19" spans="1:14" x14ac:dyDescent="0.25">
      <c r="A19" s="1" t="str">
        <f>IF([1]Legenda!A19=0,"",[1]Legenda!A19)</f>
        <v/>
      </c>
      <c r="B19" s="1" t="str">
        <f>IF([1]Legenda!B19=0,"",[1]Legenda!B19)</f>
        <v/>
      </c>
      <c r="C19" s="1" t="str">
        <f>IF([1]Legenda!C19=0,"",[1]Legenda!C19)</f>
        <v/>
      </c>
      <c r="D19" s="1" t="str">
        <f>IF([1]Legenda!D19=0,"",[1]Legenda!D19)</f>
        <v>AD6</v>
      </c>
      <c r="E19" s="1" t="str">
        <f>IF([1]Legenda!E19=0,"",[1]Legenda!E19)</f>
        <v>Annual Digital 6</v>
      </c>
      <c r="F19" s="1" t="str">
        <f>IF([1]Legenda!F19=0,"",[1]Legenda!F19)</f>
        <v/>
      </c>
      <c r="G19" s="1" t="str">
        <f>IF([1]Legenda!G19=0,"",[1]Legenda!G19)</f>
        <v/>
      </c>
      <c r="H19" s="1" t="str">
        <f>IF([1]Legenda!H19=0,"",[1]Legenda!H19)</f>
        <v/>
      </c>
      <c r="I19" s="1" t="str">
        <f>IF([1]Legenda!I19=0,"",[1]Legenda!I19)</f>
        <v/>
      </c>
      <c r="J19" s="1" t="str">
        <f>IF([1]Legenda!J19=0,"",[1]Legenda!J19)</f>
        <v/>
      </c>
      <c r="K19" s="1" t="str">
        <f>IF([1]Legenda!K19=0,"",[1]Legenda!K19)</f>
        <v/>
      </c>
      <c r="L19" s="1" t="str">
        <f>IF([1]Legenda!L19=0,"",[1]Legenda!L19)</f>
        <v/>
      </c>
      <c r="M19" s="1" t="str">
        <f>IF([1]Legenda!M19=0,"",[1]Legenda!M19)</f>
        <v/>
      </c>
      <c r="N19" s="1" t="str">
        <f>IF([1]Legenda!N19=0,"",[1]Legenda!N19)</f>
        <v/>
      </c>
    </row>
    <row r="20" spans="1:14" x14ac:dyDescent="0.25">
      <c r="A20" s="1" t="str">
        <f>IF([1]Legenda!A20=0,"",[1]Legenda!A20)</f>
        <v/>
      </c>
      <c r="B20" s="1" t="str">
        <f>IF([1]Legenda!B20=0,"",[1]Legenda!B20)</f>
        <v/>
      </c>
      <c r="C20" s="1" t="str">
        <f>IF([1]Legenda!C20=0,"",[1]Legenda!C20)</f>
        <v/>
      </c>
      <c r="D20" s="1" t="str">
        <f>IF([1]Legenda!D20=0,"",[1]Legenda!D20)</f>
        <v>CMS</v>
      </c>
      <c r="E20" s="1" t="str">
        <f>IF([1]Legenda!E20=0,"",[1]Legenda!E20)</f>
        <v>Constant Maturity Swap Note</v>
      </c>
      <c r="F20" s="1" t="str">
        <f>IF([1]Legenda!F20=0,"",[1]Legenda!F20)</f>
        <v/>
      </c>
      <c r="G20" s="1" t="str">
        <f>IF([1]Legenda!G20=0,"",[1]Legenda!G20)</f>
        <v/>
      </c>
      <c r="H20" s="1" t="str">
        <f>IF([1]Legenda!H20=0,"",[1]Legenda!H20)</f>
        <v/>
      </c>
      <c r="I20" s="1" t="str">
        <f>IF([1]Legenda!I20=0,"",[1]Legenda!I20)</f>
        <v/>
      </c>
      <c r="J20" s="1" t="str">
        <f>IF([1]Legenda!J20=0,"",[1]Legenda!J20)</f>
        <v/>
      </c>
      <c r="K20" s="1" t="str">
        <f>IF([1]Legenda!K20=0,"",[1]Legenda!K20)</f>
        <v/>
      </c>
      <c r="L20" s="1" t="str">
        <f>IF([1]Legenda!L20=0,"",[1]Legenda!L20)</f>
        <v/>
      </c>
      <c r="M20" s="1" t="str">
        <f>IF([1]Legenda!M20=0,"",[1]Legenda!M20)</f>
        <v/>
      </c>
      <c r="N20" s="1" t="str">
        <f>IF([1]Legenda!N20=0,"",[1]Legenda!N20)</f>
        <v/>
      </c>
    </row>
    <row r="21" spans="1:14" x14ac:dyDescent="0.25">
      <c r="A21" s="1" t="str">
        <f>IF([1]Legenda!A21=0,"",[1]Legenda!A21)</f>
        <v/>
      </c>
      <c r="B21" s="1" t="str">
        <f>IF([1]Legenda!B21=0,"",[1]Legenda!B21)</f>
        <v/>
      </c>
      <c r="C21" s="1" t="str">
        <f>IF([1]Legenda!C21=0,"",[1]Legenda!C21)</f>
        <v/>
      </c>
      <c r="D21" s="1" t="str">
        <f>IF([1]Legenda!D21=0,"",[1]Legenda!D21)</f>
        <v>TPU</v>
      </c>
      <c r="E21" s="1" t="str">
        <f>IF([1]Legenda!E21=0,"",[1]Legenda!E21)</f>
        <v>Tasso Protetto Premio Unico</v>
      </c>
      <c r="F21" s="1" t="str">
        <f>IF([1]Legenda!F21=0,"",[1]Legenda!F21)</f>
        <v/>
      </c>
      <c r="G21" s="1" t="str">
        <f>IF([1]Legenda!G21=0,"",[1]Legenda!G21)</f>
        <v/>
      </c>
      <c r="H21" s="1" t="str">
        <f>IF([1]Legenda!H21=0,"",[1]Legenda!H21)</f>
        <v/>
      </c>
      <c r="I21" s="1" t="str">
        <f>IF([1]Legenda!I21=0,"",[1]Legenda!I21)</f>
        <v/>
      </c>
      <c r="J21" s="1" t="str">
        <f>IF([1]Legenda!J21=0,"",[1]Legenda!J21)</f>
        <v/>
      </c>
      <c r="K21" s="1" t="str">
        <f>IF([1]Legenda!K21=0,"",[1]Legenda!K21)</f>
        <v/>
      </c>
      <c r="L21" s="1" t="str">
        <f>IF([1]Legenda!L21=0,"",[1]Legenda!L21)</f>
        <v/>
      </c>
      <c r="M21" s="1" t="str">
        <f>IF([1]Legenda!M21=0,"",[1]Legenda!M21)</f>
        <v/>
      </c>
      <c r="N21" s="1" t="str">
        <f>IF([1]Legenda!N21=0,"",[1]Legenda!N21)</f>
        <v/>
      </c>
    </row>
    <row r="22" spans="1:14" x14ac:dyDescent="0.25">
      <c r="A22" s="1" t="str">
        <f>IF([1]Legenda!A22=0,"",[1]Legenda!A22)</f>
        <v/>
      </c>
      <c r="B22" s="1" t="str">
        <f>IF([1]Legenda!B22=0,"",[1]Legenda!B22)</f>
        <v/>
      </c>
      <c r="C22" s="1" t="str">
        <f>IF([1]Legenda!C22=0,"",[1]Legenda!C22)</f>
        <v/>
      </c>
      <c r="D22" s="1" t="str">
        <f>IF([1]Legenda!D22=0,"",[1]Legenda!D22)</f>
        <v/>
      </c>
      <c r="E22" s="1" t="str">
        <f>IF([1]Legenda!E22=0,"",[1]Legenda!E22)</f>
        <v/>
      </c>
      <c r="F22" s="1" t="str">
        <f>IF([1]Legenda!F22=0,"",[1]Legenda!F22)</f>
        <v/>
      </c>
      <c r="G22" s="1" t="str">
        <f>IF([1]Legenda!G22=0,"",[1]Legenda!G22)</f>
        <v/>
      </c>
      <c r="H22" s="1" t="str">
        <f>IF([1]Legenda!H22=0,"",[1]Legenda!H22)</f>
        <v/>
      </c>
      <c r="I22" s="1" t="str">
        <f>IF([1]Legenda!I22=0,"",[1]Legenda!I22)</f>
        <v/>
      </c>
      <c r="J22" s="1" t="str">
        <f>IF([1]Legenda!J22=0,"",[1]Legenda!J22)</f>
        <v/>
      </c>
      <c r="K22" s="1" t="str">
        <f>IF([1]Legenda!K22=0,"",[1]Legenda!K22)</f>
        <v/>
      </c>
      <c r="L22" s="1" t="str">
        <f>IF([1]Legenda!L22=0,"",[1]Legenda!L22)</f>
        <v/>
      </c>
      <c r="M22" s="1" t="str">
        <f>IF([1]Legenda!M22=0,"",[1]Legenda!M22)</f>
        <v/>
      </c>
      <c r="N22" s="1" t="str">
        <f>IF([1]Legenda!N22=0,"",[1]Legenda!N22)</f>
        <v/>
      </c>
    </row>
    <row r="23" spans="1:14" x14ac:dyDescent="0.25">
      <c r="A23" s="1" t="str">
        <f>IF([1]Legenda!A23=0,"",[1]Legenda!A23)</f>
        <v/>
      </c>
      <c r="B23" s="1" t="str">
        <f>IF([1]Legenda!B23=0,"",[1]Legenda!B23)</f>
        <v/>
      </c>
      <c r="C23" s="1" t="str">
        <f>IF([1]Legenda!C23=0,"",[1]Legenda!C23)</f>
        <v/>
      </c>
      <c r="D23" s="1" t="str">
        <f>IF([1]Legenda!D23=0,"",[1]Legenda!D23)</f>
        <v/>
      </c>
      <c r="E23" s="1" t="str">
        <f>IF([1]Legenda!E23=0,"",[1]Legenda!E23)</f>
        <v/>
      </c>
      <c r="F23" s="1" t="str">
        <f>IF([1]Legenda!F23=0,"",[1]Legenda!F23)</f>
        <v/>
      </c>
      <c r="G23" s="1" t="str">
        <f>IF([1]Legenda!G23=0,"",[1]Legenda!G23)</f>
        <v/>
      </c>
      <c r="H23" s="1" t="str">
        <f>IF([1]Legenda!H23=0,"",[1]Legenda!H23)</f>
        <v/>
      </c>
      <c r="I23" s="1" t="str">
        <f>IF([1]Legenda!I23=0,"",[1]Legenda!I23)</f>
        <v/>
      </c>
      <c r="J23" s="1" t="str">
        <f>IF([1]Legenda!J23=0,"",[1]Legenda!J23)</f>
        <v/>
      </c>
      <c r="K23" s="1" t="str">
        <f>IF([1]Legenda!K23=0,"",[1]Legenda!K23)</f>
        <v/>
      </c>
      <c r="L23" s="1" t="str">
        <f>IF([1]Legenda!L23=0,"",[1]Legenda!L23)</f>
        <v/>
      </c>
      <c r="M23" s="1" t="str">
        <f>IF([1]Legenda!M23=0,"",[1]Legenda!M23)</f>
        <v/>
      </c>
      <c r="N23" s="1" t="str">
        <f>IF([1]Legenda!N23=0,"",[1]Legenda!N23)</f>
        <v/>
      </c>
    </row>
    <row r="24" spans="1:14" x14ac:dyDescent="0.25">
      <c r="A24" s="1" t="str">
        <f>IF([1]Legenda!A24=0,"",[1]Legenda!A24)</f>
        <v/>
      </c>
      <c r="B24" s="1" t="str">
        <f>IF([1]Legenda!B24=0,"",[1]Legenda!B24)</f>
        <v/>
      </c>
      <c r="C24" s="1" t="str">
        <f>IF([1]Legenda!C24=0,"",[1]Legenda!C24)</f>
        <v/>
      </c>
      <c r="D24" s="1" t="str">
        <f>IF([1]Legenda!D24=0,"",[1]Legenda!D24)</f>
        <v/>
      </c>
      <c r="E24" s="1" t="str">
        <f>IF([1]Legenda!E24=0,"",[1]Legenda!E24)</f>
        <v/>
      </c>
      <c r="F24" s="1" t="str">
        <f>IF([1]Legenda!F24=0,"",[1]Legenda!F24)</f>
        <v/>
      </c>
      <c r="G24" s="1" t="str">
        <f>IF([1]Legenda!G24=0,"",[1]Legenda!G24)</f>
        <v/>
      </c>
      <c r="H24" s="1" t="str">
        <f>IF([1]Legenda!H24=0,"",[1]Legenda!H24)</f>
        <v/>
      </c>
      <c r="I24" s="1" t="str">
        <f>IF([1]Legenda!I24=0,"",[1]Legenda!I24)</f>
        <v/>
      </c>
      <c r="J24" s="1" t="str">
        <f>IF([1]Legenda!J24=0,"",[1]Legenda!J24)</f>
        <v/>
      </c>
      <c r="K24" s="1" t="str">
        <f>IF([1]Legenda!K24=0,"",[1]Legenda!K24)</f>
        <v/>
      </c>
      <c r="L24" s="1" t="str">
        <f>IF([1]Legenda!L24=0,"",[1]Legenda!L24)</f>
        <v/>
      </c>
      <c r="M24" s="1" t="str">
        <f>IF([1]Legenda!M24=0,"",[1]Legenda!M24)</f>
        <v/>
      </c>
      <c r="N24" s="1" t="str">
        <f>IF([1]Legenda!N24=0,"",[1]Legenda!N24)</f>
        <v/>
      </c>
    </row>
    <row r="25" spans="1:14" x14ac:dyDescent="0.25">
      <c r="A25" s="1" t="str">
        <f>IF([1]Legenda!A25=0,"",[1]Legenda!A25)</f>
        <v/>
      </c>
      <c r="B25" s="1" t="str">
        <f>IF([1]Legenda!B25=0,"",[1]Legenda!B25)</f>
        <v/>
      </c>
      <c r="C25" s="1" t="str">
        <f>IF([1]Legenda!C25=0,"",[1]Legenda!C25)</f>
        <v/>
      </c>
      <c r="D25" s="1" t="str">
        <f>IF([1]Legenda!D25=0,"",[1]Legenda!D25)</f>
        <v/>
      </c>
      <c r="E25" s="1" t="str">
        <f>IF([1]Legenda!E25=0,"",[1]Legenda!E25)</f>
        <v/>
      </c>
      <c r="F25" s="1" t="str">
        <f>IF([1]Legenda!F25=0,"",[1]Legenda!F25)</f>
        <v/>
      </c>
      <c r="G25" s="1" t="str">
        <f>IF([1]Legenda!G25=0,"",[1]Legenda!G25)</f>
        <v/>
      </c>
      <c r="H25" s="1" t="str">
        <f>IF([1]Legenda!H25=0,"",[1]Legenda!H25)</f>
        <v/>
      </c>
      <c r="I25" s="1" t="str">
        <f>IF([1]Legenda!I25=0,"",[1]Legenda!I25)</f>
        <v/>
      </c>
      <c r="J25" s="1" t="str">
        <f>IF([1]Legenda!J25=0,"",[1]Legenda!J25)</f>
        <v/>
      </c>
      <c r="K25" s="1" t="str">
        <f>IF([1]Legenda!K25=0,"",[1]Legenda!K25)</f>
        <v/>
      </c>
      <c r="L25" s="1" t="str">
        <f>IF([1]Legenda!L25=0,"",[1]Legenda!L25)</f>
        <v/>
      </c>
      <c r="M25" s="1" t="str">
        <f>IF([1]Legenda!M25=0,"",[1]Legenda!M25)</f>
        <v/>
      </c>
      <c r="N25" s="1" t="str">
        <f>IF([1]Legenda!N25=0,"",[1]Legenda!N25)</f>
        <v/>
      </c>
    </row>
    <row r="26" spans="1:14" x14ac:dyDescent="0.25">
      <c r="A26" s="1" t="str">
        <f>IF([1]Legenda!A26=0,"",[1]Legenda!A26)</f>
        <v/>
      </c>
      <c r="B26" s="1" t="str">
        <f>IF([1]Legenda!B26=0,"",[1]Legenda!B26)</f>
        <v/>
      </c>
      <c r="C26" s="1" t="str">
        <f>IF([1]Legenda!C26=0,"",[1]Legenda!C26)</f>
        <v/>
      </c>
      <c r="D26" s="1" t="str">
        <f>IF([1]Legenda!D26=0,"",[1]Legenda!D26)</f>
        <v/>
      </c>
      <c r="E26" s="1" t="str">
        <f>IF([1]Legenda!E26=0,"",[1]Legenda!E26)</f>
        <v/>
      </c>
      <c r="F26" s="1" t="str">
        <f>IF([1]Legenda!F26=0,"",[1]Legenda!F26)</f>
        <v/>
      </c>
      <c r="G26" s="1" t="str">
        <f>IF([1]Legenda!G26=0,"",[1]Legenda!G26)</f>
        <v/>
      </c>
      <c r="H26" s="1" t="str">
        <f>IF([1]Legenda!H26=0,"",[1]Legenda!H26)</f>
        <v/>
      </c>
      <c r="I26" s="1" t="str">
        <f>IF([1]Legenda!I26=0,"",[1]Legenda!I26)</f>
        <v/>
      </c>
      <c r="J26" s="1" t="str">
        <f>IF([1]Legenda!J26=0,"",[1]Legenda!J26)</f>
        <v/>
      </c>
      <c r="K26" s="1" t="str">
        <f>IF([1]Legenda!K26=0,"",[1]Legenda!K26)</f>
        <v/>
      </c>
      <c r="L26" s="1" t="str">
        <f>IF([1]Legenda!L26=0,"",[1]Legenda!L26)</f>
        <v/>
      </c>
      <c r="M26" s="1" t="str">
        <f>IF([1]Legenda!M26=0,"",[1]Legenda!M26)</f>
        <v/>
      </c>
      <c r="N26" s="1" t="str">
        <f>IF([1]Legenda!N26=0,"",[1]Legenda!N26)</f>
        <v/>
      </c>
    </row>
    <row r="27" spans="1:14" x14ac:dyDescent="0.25">
      <c r="A27" s="1" t="str">
        <f>IF([1]Legenda!A27=0,"",[1]Legenda!A27)</f>
        <v/>
      </c>
      <c r="B27" s="1" t="str">
        <f>IF([1]Legenda!B27=0,"",[1]Legenda!B27)</f>
        <v/>
      </c>
      <c r="C27" s="1" t="str">
        <f>IF([1]Legenda!C27=0,"",[1]Legenda!C27)</f>
        <v/>
      </c>
      <c r="D27" s="1" t="str">
        <f>IF([1]Legenda!D27=0,"",[1]Legenda!D27)</f>
        <v/>
      </c>
      <c r="E27" s="1" t="str">
        <f>IF([1]Legenda!E27=0,"",[1]Legenda!E27)</f>
        <v/>
      </c>
      <c r="F27" s="1" t="str">
        <f>IF([1]Legenda!F27=0,"",[1]Legenda!F27)</f>
        <v/>
      </c>
      <c r="G27" s="1" t="str">
        <f>IF([1]Legenda!G27=0,"",[1]Legenda!G27)</f>
        <v/>
      </c>
      <c r="H27" s="1" t="str">
        <f>IF([1]Legenda!H27=0,"",[1]Legenda!H27)</f>
        <v/>
      </c>
      <c r="I27" s="1" t="str">
        <f>IF([1]Legenda!I27=0,"",[1]Legenda!I27)</f>
        <v/>
      </c>
      <c r="J27" s="1" t="str">
        <f>IF([1]Legenda!J27=0,"",[1]Legenda!J27)</f>
        <v/>
      </c>
      <c r="K27" s="1" t="str">
        <f>IF([1]Legenda!K27=0,"",[1]Legenda!K27)</f>
        <v/>
      </c>
      <c r="L27" s="1" t="str">
        <f>IF([1]Legenda!L27=0,"",[1]Legenda!L27)</f>
        <v/>
      </c>
      <c r="M27" s="1" t="str">
        <f>IF([1]Legenda!M27=0,"",[1]Legenda!M27)</f>
        <v/>
      </c>
      <c r="N27" s="1" t="str">
        <f>IF([1]Legenda!N27=0,"",[1]Legenda!N27)</f>
        <v/>
      </c>
    </row>
    <row r="28" spans="1:14" x14ac:dyDescent="0.25">
      <c r="A28" s="1" t="str">
        <f>IF([1]Legenda!A28=0,"",[1]Legenda!A28)</f>
        <v/>
      </c>
      <c r="B28" s="1" t="str">
        <f>IF([1]Legenda!B28=0,"",[1]Legenda!B28)</f>
        <v/>
      </c>
      <c r="C28" s="1" t="str">
        <f>IF([1]Legenda!C28=0,"",[1]Legenda!C28)</f>
        <v/>
      </c>
      <c r="D28" s="1" t="str">
        <f>IF([1]Legenda!D28=0,"",[1]Legenda!D28)</f>
        <v/>
      </c>
      <c r="E28" s="1" t="str">
        <f>IF([1]Legenda!E28=0,"",[1]Legenda!E28)</f>
        <v/>
      </c>
      <c r="F28" s="1" t="str">
        <f>IF([1]Legenda!F28=0,"",[1]Legenda!F28)</f>
        <v/>
      </c>
      <c r="G28" s="1" t="str">
        <f>IF([1]Legenda!G28=0,"",[1]Legenda!G28)</f>
        <v/>
      </c>
      <c r="H28" s="1" t="str">
        <f>IF([1]Legenda!H28=0,"",[1]Legenda!H28)</f>
        <v/>
      </c>
      <c r="I28" s="1" t="str">
        <f>IF([1]Legenda!I28=0,"",[1]Legenda!I28)</f>
        <v/>
      </c>
      <c r="J28" s="1" t="str">
        <f>IF([1]Legenda!J28=0,"",[1]Legenda!J28)</f>
        <v/>
      </c>
      <c r="K28" s="1" t="str">
        <f>IF([1]Legenda!K28=0,"",[1]Legenda!K28)</f>
        <v/>
      </c>
      <c r="L28" s="1" t="str">
        <f>IF([1]Legenda!L28=0,"",[1]Legenda!L28)</f>
        <v/>
      </c>
      <c r="M28" s="1" t="str">
        <f>IF([1]Legenda!M28=0,"",[1]Legenda!M28)</f>
        <v/>
      </c>
      <c r="N28" s="1" t="str">
        <f>IF([1]Legenda!N28=0,"",[1]Legenda!N28)</f>
        <v/>
      </c>
    </row>
    <row r="29" spans="1:14" x14ac:dyDescent="0.25">
      <c r="A29" s="1" t="str">
        <f>IF([1]Legenda!A29=0,"",[1]Legenda!A29)</f>
        <v/>
      </c>
      <c r="B29" s="1" t="str">
        <f>IF([1]Legenda!B29=0,"",[1]Legenda!B29)</f>
        <v/>
      </c>
      <c r="C29" s="1" t="str">
        <f>IF([1]Legenda!C29=0,"",[1]Legenda!C29)</f>
        <v/>
      </c>
      <c r="D29" s="1" t="str">
        <f>IF([1]Legenda!D29=0,"",[1]Legenda!D29)</f>
        <v/>
      </c>
      <c r="E29" s="1" t="str">
        <f>IF([1]Legenda!E29=0,"",[1]Legenda!E29)</f>
        <v/>
      </c>
      <c r="F29" s="1" t="str">
        <f>IF([1]Legenda!F29=0,"",[1]Legenda!F29)</f>
        <v/>
      </c>
      <c r="G29" s="1" t="str">
        <f>IF([1]Legenda!G29=0,"",[1]Legenda!G29)</f>
        <v/>
      </c>
      <c r="H29" s="1" t="str">
        <f>IF([1]Legenda!H29=0,"",[1]Legenda!H29)</f>
        <v/>
      </c>
      <c r="I29" s="1" t="str">
        <f>IF([1]Legenda!I29=0,"",[1]Legenda!I29)</f>
        <v/>
      </c>
      <c r="J29" s="1" t="str">
        <f>IF([1]Legenda!J29=0,"",[1]Legenda!J29)</f>
        <v/>
      </c>
      <c r="K29" s="1" t="str">
        <f>IF([1]Legenda!K29=0,"",[1]Legenda!K29)</f>
        <v/>
      </c>
      <c r="L29" s="1" t="str">
        <f>IF([1]Legenda!L29=0,"",[1]Legenda!L29)</f>
        <v/>
      </c>
      <c r="M29" s="1" t="str">
        <f>IF([1]Legenda!M29=0,"",[1]Legenda!M29)</f>
        <v/>
      </c>
      <c r="N29" s="1" t="str">
        <f>IF([1]Legenda!N29=0,"",[1]Legenda!N29)</f>
        <v/>
      </c>
    </row>
    <row r="30" spans="1:14" x14ac:dyDescent="0.25">
      <c r="A30" s="1" t="str">
        <f>IF([1]Legenda!A30=0,"",[1]Legenda!A30)</f>
        <v/>
      </c>
      <c r="B30" s="1" t="str">
        <f>IF([1]Legenda!B30=0,"",[1]Legenda!B30)</f>
        <v/>
      </c>
      <c r="C30" s="1" t="str">
        <f>IF([1]Legenda!C30=0,"",[1]Legenda!C30)</f>
        <v/>
      </c>
      <c r="D30" s="1" t="str">
        <f>IF([1]Legenda!D30=0,"",[1]Legenda!D30)</f>
        <v/>
      </c>
      <c r="E30" s="1" t="str">
        <f>IF([1]Legenda!E30=0,"",[1]Legenda!E30)</f>
        <v/>
      </c>
      <c r="F30" s="1" t="str">
        <f>IF([1]Legenda!F30=0,"",[1]Legenda!F30)</f>
        <v/>
      </c>
      <c r="G30" s="1" t="str">
        <f>IF([1]Legenda!G30=0,"",[1]Legenda!G30)</f>
        <v/>
      </c>
      <c r="H30" s="1" t="str">
        <f>IF([1]Legenda!H30=0,"",[1]Legenda!H30)</f>
        <v/>
      </c>
      <c r="I30" s="1" t="str">
        <f>IF([1]Legenda!I30=0,"",[1]Legenda!I30)</f>
        <v/>
      </c>
      <c r="J30" s="1" t="str">
        <f>IF([1]Legenda!J30=0,"",[1]Legenda!J30)</f>
        <v/>
      </c>
      <c r="K30" s="1" t="str">
        <f>IF([1]Legenda!K30=0,"",[1]Legenda!K30)</f>
        <v/>
      </c>
      <c r="L30" s="1" t="str">
        <f>IF([1]Legenda!L30=0,"",[1]Legenda!L30)</f>
        <v/>
      </c>
      <c r="M30" s="1" t="str">
        <f>IF([1]Legenda!M30=0,"",[1]Legenda!M30)</f>
        <v/>
      </c>
      <c r="N30" s="1" t="str">
        <f>IF([1]Legenda!N30=0,"",[1]Legenda!N30)</f>
        <v/>
      </c>
    </row>
    <row r="31" spans="1:14" x14ac:dyDescent="0.25">
      <c r="A31" s="1" t="str">
        <f>IF([1]Legenda!A31=0,"",[1]Legenda!A31)</f>
        <v/>
      </c>
      <c r="B31" s="1" t="str">
        <f>IF([1]Legenda!B31=0,"",[1]Legenda!B31)</f>
        <v/>
      </c>
      <c r="C31" s="1" t="str">
        <f>IF([1]Legenda!C31=0,"",[1]Legenda!C31)</f>
        <v/>
      </c>
      <c r="D31" s="1" t="str">
        <f>IF([1]Legenda!D31=0,"",[1]Legenda!D31)</f>
        <v/>
      </c>
      <c r="E31" s="1" t="str">
        <f>IF([1]Legenda!E31=0,"",[1]Legenda!E31)</f>
        <v/>
      </c>
      <c r="F31" s="1" t="str">
        <f>IF([1]Legenda!F31=0,"",[1]Legenda!F31)</f>
        <v/>
      </c>
      <c r="G31" s="1" t="str">
        <f>IF([1]Legenda!G31=0,"",[1]Legenda!G31)</f>
        <v/>
      </c>
      <c r="H31" s="1" t="str">
        <f>IF([1]Legenda!H31=0,"",[1]Legenda!H31)</f>
        <v/>
      </c>
      <c r="I31" s="1" t="str">
        <f>IF([1]Legenda!I31=0,"",[1]Legenda!I31)</f>
        <v/>
      </c>
      <c r="J31" s="1" t="str">
        <f>IF([1]Legenda!J31=0,"",[1]Legenda!J31)</f>
        <v/>
      </c>
      <c r="K31" s="1" t="str">
        <f>IF([1]Legenda!K31=0,"",[1]Legenda!K31)</f>
        <v/>
      </c>
      <c r="L31" s="1" t="str">
        <f>IF([1]Legenda!L31=0,"",[1]Legenda!L31)</f>
        <v/>
      </c>
      <c r="M31" s="1" t="str">
        <f>IF([1]Legenda!M31=0,"",[1]Legenda!M31)</f>
        <v/>
      </c>
      <c r="N31" s="1" t="str">
        <f>IF([1]Legenda!N31=0,"",[1]Legenda!N31)</f>
        <v/>
      </c>
    </row>
    <row r="32" spans="1:14" x14ac:dyDescent="0.25">
      <c r="A32" s="1" t="str">
        <f>IF([1]Legenda!A32=0,"",[1]Legenda!A32)</f>
        <v/>
      </c>
      <c r="B32" s="1" t="str">
        <f>IF([1]Legenda!B32=0,"",[1]Legenda!B32)</f>
        <v/>
      </c>
      <c r="C32" s="1" t="str">
        <f>IF([1]Legenda!C32=0,"",[1]Legenda!C32)</f>
        <v/>
      </c>
      <c r="D32" s="1" t="str">
        <f>IF([1]Legenda!D32=0,"",[1]Legenda!D32)</f>
        <v/>
      </c>
      <c r="E32" s="1" t="str">
        <f>IF([1]Legenda!E32=0,"",[1]Legenda!E32)</f>
        <v/>
      </c>
      <c r="F32" s="1" t="str">
        <f>IF([1]Legenda!F32=0,"",[1]Legenda!F32)</f>
        <v/>
      </c>
      <c r="G32" s="1" t="str">
        <f>IF([1]Legenda!G32=0,"",[1]Legenda!G32)</f>
        <v/>
      </c>
      <c r="H32" s="1" t="str">
        <f>IF([1]Legenda!H32=0,"",[1]Legenda!H32)</f>
        <v/>
      </c>
      <c r="I32" s="1" t="str">
        <f>IF([1]Legenda!I32=0,"",[1]Legenda!I32)</f>
        <v/>
      </c>
      <c r="J32" s="1" t="str">
        <f>IF([1]Legenda!J32=0,"",[1]Legenda!J32)</f>
        <v/>
      </c>
      <c r="K32" s="1" t="str">
        <f>IF([1]Legenda!K32=0,"",[1]Legenda!K32)</f>
        <v/>
      </c>
      <c r="L32" s="1" t="str">
        <f>IF([1]Legenda!L32=0,"",[1]Legenda!L32)</f>
        <v/>
      </c>
      <c r="M32" s="1" t="str">
        <f>IF([1]Legenda!M32=0,"",[1]Legenda!M32)</f>
        <v/>
      </c>
      <c r="N32" s="1" t="str">
        <f>IF([1]Legenda!N32=0,"",[1]Legenda!N32)</f>
        <v/>
      </c>
    </row>
    <row r="33" spans="1:14" x14ac:dyDescent="0.25">
      <c r="A33" s="1" t="str">
        <f>IF([1]Legenda!A33=0,"",[1]Legenda!A33)</f>
        <v/>
      </c>
      <c r="B33" s="1" t="str">
        <f>IF([1]Legenda!B33=0,"",[1]Legenda!B33)</f>
        <v/>
      </c>
      <c r="C33" s="1" t="str">
        <f>IF([1]Legenda!C33=0,"",[1]Legenda!C33)</f>
        <v/>
      </c>
      <c r="D33" s="1" t="str">
        <f>IF([1]Legenda!D33=0,"",[1]Legenda!D33)</f>
        <v/>
      </c>
      <c r="E33" s="1" t="str">
        <f>IF([1]Legenda!E33=0,"",[1]Legenda!E33)</f>
        <v/>
      </c>
      <c r="F33" s="1" t="str">
        <f>IF([1]Legenda!F33=0,"",[1]Legenda!F33)</f>
        <v/>
      </c>
      <c r="G33" s="1" t="str">
        <f>IF([1]Legenda!G33=0,"",[1]Legenda!G33)</f>
        <v/>
      </c>
      <c r="H33" s="1" t="str">
        <f>IF([1]Legenda!H33=0,"",[1]Legenda!H33)</f>
        <v/>
      </c>
      <c r="I33" s="1" t="str">
        <f>IF([1]Legenda!I33=0,"",[1]Legenda!I33)</f>
        <v/>
      </c>
      <c r="J33" s="1" t="str">
        <f>IF([1]Legenda!J33=0,"",[1]Legenda!J33)</f>
        <v/>
      </c>
      <c r="K33" s="1" t="str">
        <f>IF([1]Legenda!K33=0,"",[1]Legenda!K33)</f>
        <v/>
      </c>
      <c r="L33" s="1" t="str">
        <f>IF([1]Legenda!L33=0,"",[1]Legenda!L33)</f>
        <v/>
      </c>
      <c r="M33" s="1" t="str">
        <f>IF([1]Legenda!M33=0,"",[1]Legenda!M33)</f>
        <v/>
      </c>
      <c r="N33" s="1" t="str">
        <f>IF([1]Legenda!N33=0,"",[1]Legenda!N33)</f>
        <v/>
      </c>
    </row>
    <row r="34" spans="1:14" x14ac:dyDescent="0.25">
      <c r="A34" s="1" t="str">
        <f>IF([1]Legenda!A34=0,"",[1]Legenda!A34)</f>
        <v/>
      </c>
      <c r="B34" s="1" t="str">
        <f>IF([1]Legenda!B34=0,"",[1]Legenda!B34)</f>
        <v/>
      </c>
      <c r="C34" s="1" t="str">
        <f>IF([1]Legenda!C34=0,"",[1]Legenda!C34)</f>
        <v/>
      </c>
      <c r="D34" s="1" t="str">
        <f>IF([1]Legenda!D34=0,"",[1]Legenda!D34)</f>
        <v/>
      </c>
      <c r="E34" s="1" t="str">
        <f>IF([1]Legenda!E34=0,"",[1]Legenda!E34)</f>
        <v/>
      </c>
      <c r="F34" s="1" t="str">
        <f>IF([1]Legenda!F34=0,"",[1]Legenda!F34)</f>
        <v/>
      </c>
      <c r="G34" s="1" t="str">
        <f>IF([1]Legenda!G34=0,"",[1]Legenda!G34)</f>
        <v/>
      </c>
      <c r="H34" s="1" t="str">
        <f>IF([1]Legenda!H34=0,"",[1]Legenda!H34)</f>
        <v/>
      </c>
      <c r="I34" s="1" t="str">
        <f>IF([1]Legenda!I34=0,"",[1]Legenda!I34)</f>
        <v/>
      </c>
      <c r="J34" s="1" t="str">
        <f>IF([1]Legenda!J34=0,"",[1]Legenda!J34)</f>
        <v/>
      </c>
      <c r="K34" s="1" t="str">
        <f>IF([1]Legenda!K34=0,"",[1]Legenda!K34)</f>
        <v/>
      </c>
      <c r="L34" s="1" t="str">
        <f>IF([1]Legenda!L34=0,"",[1]Legenda!L34)</f>
        <v/>
      </c>
      <c r="M34" s="1" t="str">
        <f>IF([1]Legenda!M34=0,"",[1]Legenda!M34)</f>
        <v/>
      </c>
      <c r="N34" s="1" t="str">
        <f>IF([1]Legenda!N34=0,"",[1]Legenda!N34)</f>
        <v/>
      </c>
    </row>
    <row r="35" spans="1:14" x14ac:dyDescent="0.25">
      <c r="A35" s="1" t="str">
        <f>IF([1]Legenda!A35=0,"",[1]Legenda!A35)</f>
        <v/>
      </c>
      <c r="B35" s="1" t="str">
        <f>IF([1]Legenda!B35=0,"",[1]Legenda!B35)</f>
        <v/>
      </c>
      <c r="C35" s="1" t="str">
        <f>IF([1]Legenda!C35=0,"",[1]Legenda!C35)</f>
        <v/>
      </c>
      <c r="D35" s="1" t="str">
        <f>IF([1]Legenda!D35=0,"",[1]Legenda!D35)</f>
        <v/>
      </c>
      <c r="E35" s="1" t="str">
        <f>IF([1]Legenda!E35=0,"",[1]Legenda!E35)</f>
        <v/>
      </c>
      <c r="F35" s="1" t="str">
        <f>IF([1]Legenda!F35=0,"",[1]Legenda!F35)</f>
        <v/>
      </c>
      <c r="G35" s="1" t="str">
        <f>IF([1]Legenda!G35=0,"",[1]Legenda!G35)</f>
        <v/>
      </c>
      <c r="H35" s="1" t="str">
        <f>IF([1]Legenda!H35=0,"",[1]Legenda!H35)</f>
        <v/>
      </c>
      <c r="I35" s="1" t="str">
        <f>IF([1]Legenda!I35=0,"",[1]Legenda!I35)</f>
        <v/>
      </c>
      <c r="J35" s="1" t="str">
        <f>IF([1]Legenda!J35=0,"",[1]Legenda!J35)</f>
        <v/>
      </c>
      <c r="K35" s="1" t="str">
        <f>IF([1]Legenda!K35=0,"",[1]Legenda!K35)</f>
        <v/>
      </c>
      <c r="L35" s="1" t="str">
        <f>IF([1]Legenda!L35=0,"",[1]Legenda!L35)</f>
        <v/>
      </c>
      <c r="M35" s="1" t="str">
        <f>IF([1]Legenda!M35=0,"",[1]Legenda!M35)</f>
        <v/>
      </c>
      <c r="N35" s="1" t="str">
        <f>IF([1]Legenda!N35=0,"",[1]Legenda!N35)</f>
        <v/>
      </c>
    </row>
    <row r="36" spans="1:14" x14ac:dyDescent="0.25">
      <c r="A36" s="1" t="str">
        <f>IF([1]Legenda!A36=0,"",[1]Legenda!A36)</f>
        <v/>
      </c>
      <c r="B36" s="1" t="str">
        <f>IF([1]Legenda!B36=0,"",[1]Legenda!B36)</f>
        <v/>
      </c>
      <c r="C36" s="1" t="str">
        <f>IF([1]Legenda!C36=0,"",[1]Legenda!C36)</f>
        <v/>
      </c>
      <c r="D36" s="1" t="str">
        <f>IF([1]Legenda!D36=0,"",[1]Legenda!D36)</f>
        <v/>
      </c>
      <c r="E36" s="1" t="str">
        <f>IF([1]Legenda!E36=0,"",[1]Legenda!E36)</f>
        <v/>
      </c>
      <c r="F36" s="1" t="str">
        <f>IF([1]Legenda!F36=0,"",[1]Legenda!F36)</f>
        <v/>
      </c>
      <c r="G36" s="1" t="str">
        <f>IF([1]Legenda!G36=0,"",[1]Legenda!G36)</f>
        <v/>
      </c>
      <c r="H36" s="1" t="str">
        <f>IF([1]Legenda!H36=0,"",[1]Legenda!H36)</f>
        <v/>
      </c>
      <c r="I36" s="1" t="str">
        <f>IF([1]Legenda!I36=0,"",[1]Legenda!I36)</f>
        <v/>
      </c>
      <c r="J36" s="1" t="str">
        <f>IF([1]Legenda!J36=0,"",[1]Legenda!J36)</f>
        <v/>
      </c>
      <c r="K36" s="1" t="str">
        <f>IF([1]Legenda!K36=0,"",[1]Legenda!K36)</f>
        <v/>
      </c>
      <c r="L36" s="1" t="str">
        <f>IF([1]Legenda!L36=0,"",[1]Legenda!L36)</f>
        <v/>
      </c>
      <c r="M36" s="1" t="str">
        <f>IF([1]Legenda!M36=0,"",[1]Legenda!M36)</f>
        <v/>
      </c>
      <c r="N36" s="1" t="str">
        <f>IF([1]Legenda!N36=0,"",[1]Legenda!N36)</f>
        <v/>
      </c>
    </row>
    <row r="37" spans="1:14" x14ac:dyDescent="0.25">
      <c r="A37" s="1" t="str">
        <f>IF([1]Legenda!A37=0,"",[1]Legenda!A37)</f>
        <v/>
      </c>
      <c r="B37" s="1" t="str">
        <f>IF([1]Legenda!B37=0,"",[1]Legenda!B37)</f>
        <v/>
      </c>
      <c r="C37" s="1" t="str">
        <f>IF([1]Legenda!C37=0,"",[1]Legenda!C37)</f>
        <v/>
      </c>
      <c r="D37" s="1" t="str">
        <f>IF([1]Legenda!D37=0,"",[1]Legenda!D37)</f>
        <v/>
      </c>
      <c r="E37" s="1" t="str">
        <f>IF([1]Legenda!E37=0,"",[1]Legenda!E37)</f>
        <v/>
      </c>
      <c r="F37" s="1" t="str">
        <f>IF([1]Legenda!F37=0,"",[1]Legenda!F37)</f>
        <v/>
      </c>
      <c r="G37" s="1" t="str">
        <f>IF([1]Legenda!G37=0,"",[1]Legenda!G37)</f>
        <v/>
      </c>
      <c r="H37" s="1" t="str">
        <f>IF([1]Legenda!H37=0,"",[1]Legenda!H37)</f>
        <v/>
      </c>
      <c r="I37" s="1" t="str">
        <f>IF([1]Legenda!I37=0,"",[1]Legenda!I37)</f>
        <v/>
      </c>
      <c r="J37" s="1" t="str">
        <f>IF([1]Legenda!J37=0,"",[1]Legenda!J37)</f>
        <v/>
      </c>
      <c r="K37" s="1" t="str">
        <f>IF([1]Legenda!K37=0,"",[1]Legenda!K37)</f>
        <v/>
      </c>
      <c r="L37" s="1" t="str">
        <f>IF([1]Legenda!L37=0,"",[1]Legenda!L37)</f>
        <v/>
      </c>
      <c r="M37" s="1" t="str">
        <f>IF([1]Legenda!M37=0,"",[1]Legenda!M37)</f>
        <v/>
      </c>
      <c r="N37" s="1" t="str">
        <f>IF([1]Legenda!N37=0,"",[1]Legenda!N37)</f>
        <v/>
      </c>
    </row>
    <row r="38" spans="1:14" x14ac:dyDescent="0.25">
      <c r="A38" s="1" t="str">
        <f>IF([1]Legenda!A38=0,"",[1]Legenda!A38)</f>
        <v/>
      </c>
      <c r="B38" s="1" t="str">
        <f>IF([1]Legenda!B38=0,"",[1]Legenda!B38)</f>
        <v/>
      </c>
      <c r="C38" s="1" t="str">
        <f>IF([1]Legenda!C38=0,"",[1]Legenda!C38)</f>
        <v/>
      </c>
      <c r="D38" s="1" t="str">
        <f>IF([1]Legenda!D38=0,"",[1]Legenda!D38)</f>
        <v/>
      </c>
      <c r="E38" s="1" t="str">
        <f>IF([1]Legenda!E38=0,"",[1]Legenda!E38)</f>
        <v/>
      </c>
      <c r="F38" s="1" t="str">
        <f>IF([1]Legenda!F38=0,"",[1]Legenda!F38)</f>
        <v/>
      </c>
      <c r="G38" s="1" t="str">
        <f>IF([1]Legenda!G38=0,"",[1]Legenda!G38)</f>
        <v/>
      </c>
      <c r="H38" s="1" t="str">
        <f>IF([1]Legenda!H38=0,"",[1]Legenda!H38)</f>
        <v/>
      </c>
      <c r="I38" s="1" t="str">
        <f>IF([1]Legenda!I38=0,"",[1]Legenda!I38)</f>
        <v/>
      </c>
      <c r="J38" s="1" t="str">
        <f>IF([1]Legenda!J38=0,"",[1]Legenda!J38)</f>
        <v/>
      </c>
      <c r="K38" s="1" t="str">
        <f>IF([1]Legenda!K38=0,"",[1]Legenda!K38)</f>
        <v/>
      </c>
      <c r="L38" s="1" t="str">
        <f>IF([1]Legenda!L38=0,"",[1]Legenda!L38)</f>
        <v/>
      </c>
      <c r="M38" s="1" t="str">
        <f>IF([1]Legenda!M38=0,"",[1]Legenda!M38)</f>
        <v/>
      </c>
      <c r="N38" s="1" t="str">
        <f>IF([1]Legenda!N38=0,"",[1]Legenda!N38)</f>
        <v/>
      </c>
    </row>
    <row r="39" spans="1:14" x14ac:dyDescent="0.25">
      <c r="A39" s="1" t="str">
        <f>IF([1]Legenda!A39=0,"",[1]Legenda!A39)</f>
        <v/>
      </c>
      <c r="B39" s="1" t="str">
        <f>IF([1]Legenda!B39=0,"",[1]Legenda!B39)</f>
        <v/>
      </c>
      <c r="C39" s="1" t="str">
        <f>IF([1]Legenda!C39=0,"",[1]Legenda!C39)</f>
        <v/>
      </c>
      <c r="D39" s="1" t="str">
        <f>IF([1]Legenda!D39=0,"",[1]Legenda!D39)</f>
        <v/>
      </c>
      <c r="E39" s="1" t="str">
        <f>IF([1]Legenda!E39=0,"",[1]Legenda!E39)</f>
        <v/>
      </c>
      <c r="F39" s="1" t="str">
        <f>IF([1]Legenda!F39=0,"",[1]Legenda!F39)</f>
        <v/>
      </c>
      <c r="G39" s="1" t="str">
        <f>IF([1]Legenda!G39=0,"",[1]Legenda!G39)</f>
        <v/>
      </c>
      <c r="H39" s="1" t="str">
        <f>IF([1]Legenda!H39=0,"",[1]Legenda!H39)</f>
        <v/>
      </c>
      <c r="I39" s="1" t="str">
        <f>IF([1]Legenda!I39=0,"",[1]Legenda!I39)</f>
        <v/>
      </c>
      <c r="J39" s="1" t="str">
        <f>IF([1]Legenda!J39=0,"",[1]Legenda!J39)</f>
        <v/>
      </c>
      <c r="K39" s="1" t="str">
        <f>IF([1]Legenda!K39=0,"",[1]Legenda!K39)</f>
        <v/>
      </c>
      <c r="L39" s="1" t="str">
        <f>IF([1]Legenda!L39=0,"",[1]Legenda!L39)</f>
        <v/>
      </c>
      <c r="M39" s="1" t="str">
        <f>IF([1]Legenda!M39=0,"",[1]Legenda!M39)</f>
        <v/>
      </c>
      <c r="N39" s="1" t="str">
        <f>IF([1]Legenda!N39=0,"",[1]Legenda!N39)</f>
        <v/>
      </c>
    </row>
    <row r="40" spans="1:14" x14ac:dyDescent="0.25">
      <c r="A40" s="1" t="str">
        <f>IF([1]Legenda!A40=0,"",[1]Legenda!A40)</f>
        <v/>
      </c>
      <c r="B40" s="1" t="str">
        <f>IF([1]Legenda!B40=0,"",[1]Legenda!B40)</f>
        <v/>
      </c>
      <c r="C40" s="1" t="str">
        <f>IF([1]Legenda!C40=0,"",[1]Legenda!C40)</f>
        <v/>
      </c>
      <c r="D40" s="1" t="str">
        <f>IF([1]Legenda!D40=0,"",[1]Legenda!D40)</f>
        <v/>
      </c>
      <c r="E40" s="1" t="str">
        <f>IF([1]Legenda!E40=0,"",[1]Legenda!E40)</f>
        <v/>
      </c>
      <c r="F40" s="1" t="str">
        <f>IF([1]Legenda!F40=0,"",[1]Legenda!F40)</f>
        <v/>
      </c>
      <c r="G40" s="1" t="str">
        <f>IF([1]Legenda!G40=0,"",[1]Legenda!G40)</f>
        <v/>
      </c>
      <c r="H40" s="1" t="str">
        <f>IF([1]Legenda!H40=0,"",[1]Legenda!H40)</f>
        <v/>
      </c>
      <c r="I40" s="1" t="str">
        <f>IF([1]Legenda!I40=0,"",[1]Legenda!I40)</f>
        <v/>
      </c>
      <c r="J40" s="1" t="str">
        <f>IF([1]Legenda!J40=0,"",[1]Legenda!J40)</f>
        <v/>
      </c>
      <c r="K40" s="1" t="str">
        <f>IF([1]Legenda!K40=0,"",[1]Legenda!K40)</f>
        <v/>
      </c>
      <c r="L40" s="1" t="str">
        <f>IF([1]Legenda!L40=0,"",[1]Legenda!L40)</f>
        <v/>
      </c>
      <c r="M40" s="1" t="str">
        <f>IF([1]Legenda!M40=0,"",[1]Legenda!M40)</f>
        <v/>
      </c>
      <c r="N40" s="1" t="str">
        <f>IF([1]Legenda!N40=0,"",[1]Legenda!N40)</f>
        <v/>
      </c>
    </row>
    <row r="41" spans="1:14" x14ac:dyDescent="0.25">
      <c r="A41" s="1" t="str">
        <f>IF([1]Legenda!A41=0,"",[1]Legenda!A41)</f>
        <v/>
      </c>
      <c r="B41" s="1" t="str">
        <f>IF([1]Legenda!B41=0,"",[1]Legenda!B41)</f>
        <v/>
      </c>
      <c r="C41" s="1" t="str">
        <f>IF([1]Legenda!C41=0,"",[1]Legenda!C41)</f>
        <v/>
      </c>
      <c r="D41" s="1" t="str">
        <f>IF([1]Legenda!D41=0,"",[1]Legenda!D41)</f>
        <v/>
      </c>
      <c r="E41" s="1" t="str">
        <f>IF([1]Legenda!E41=0,"",[1]Legenda!E41)</f>
        <v/>
      </c>
      <c r="F41" s="1" t="str">
        <f>IF([1]Legenda!F41=0,"",[1]Legenda!F41)</f>
        <v/>
      </c>
      <c r="G41" s="1" t="str">
        <f>IF([1]Legenda!G41=0,"",[1]Legenda!G41)</f>
        <v/>
      </c>
      <c r="H41" s="1" t="str">
        <f>IF([1]Legenda!H41=0,"",[1]Legenda!H41)</f>
        <v/>
      </c>
      <c r="I41" s="1" t="str">
        <f>IF([1]Legenda!I41=0,"",[1]Legenda!I41)</f>
        <v/>
      </c>
      <c r="J41" s="1" t="str">
        <f>IF([1]Legenda!J41=0,"",[1]Legenda!J41)</f>
        <v/>
      </c>
      <c r="K41" s="1" t="str">
        <f>IF([1]Legenda!K41=0,"",[1]Legenda!K41)</f>
        <v/>
      </c>
      <c r="L41" s="1" t="str">
        <f>IF([1]Legenda!L41=0,"",[1]Legenda!L41)</f>
        <v/>
      </c>
      <c r="M41" s="1" t="str">
        <f>IF([1]Legenda!M41=0,"",[1]Legenda!M41)</f>
        <v/>
      </c>
      <c r="N41" s="1" t="str">
        <f>IF([1]Legenda!N41=0,"",[1]Legenda!N41)</f>
        <v/>
      </c>
    </row>
    <row r="42" spans="1:14" x14ac:dyDescent="0.25">
      <c r="A42" s="1" t="str">
        <f>IF([1]Legenda!A42=0,"",[1]Legenda!A42)</f>
        <v/>
      </c>
      <c r="B42" s="1" t="str">
        <f>IF([1]Legenda!B42=0,"",[1]Legenda!B42)</f>
        <v/>
      </c>
      <c r="C42" s="1" t="str">
        <f>IF([1]Legenda!C42=0,"",[1]Legenda!C42)</f>
        <v/>
      </c>
      <c r="D42" s="1" t="str">
        <f>IF([1]Legenda!D42=0,"",[1]Legenda!D42)</f>
        <v/>
      </c>
      <c r="E42" s="1" t="str">
        <f>IF([1]Legenda!E42=0,"",[1]Legenda!E42)</f>
        <v/>
      </c>
      <c r="F42" s="1" t="str">
        <f>IF([1]Legenda!F42=0,"",[1]Legenda!F42)</f>
        <v/>
      </c>
      <c r="G42" s="1" t="str">
        <f>IF([1]Legenda!G42=0,"",[1]Legenda!G42)</f>
        <v/>
      </c>
      <c r="H42" s="1" t="str">
        <f>IF([1]Legenda!H42=0,"",[1]Legenda!H42)</f>
        <v/>
      </c>
      <c r="I42" s="1" t="str">
        <f>IF([1]Legenda!I42=0,"",[1]Legenda!I42)</f>
        <v/>
      </c>
      <c r="J42" s="1" t="str">
        <f>IF([1]Legenda!J42=0,"",[1]Legenda!J42)</f>
        <v/>
      </c>
      <c r="K42" s="1" t="str">
        <f>IF([1]Legenda!K42=0,"",[1]Legenda!K42)</f>
        <v/>
      </c>
      <c r="L42" s="1" t="str">
        <f>IF([1]Legenda!L42=0,"",[1]Legenda!L42)</f>
        <v/>
      </c>
      <c r="M42" s="1" t="str">
        <f>IF([1]Legenda!M42=0,"",[1]Legenda!M42)</f>
        <v/>
      </c>
      <c r="N42" s="1" t="str">
        <f>IF([1]Legenda!N42=0,"",[1]Legenda!N42)</f>
        <v/>
      </c>
    </row>
    <row r="43" spans="1:14" x14ac:dyDescent="0.25">
      <c r="A43" s="1" t="str">
        <f>IF([1]Legenda!A43=0,"",[1]Legenda!A43)</f>
        <v/>
      </c>
      <c r="B43" s="1" t="str">
        <f>IF([1]Legenda!B43=0,"",[1]Legenda!B43)</f>
        <v/>
      </c>
      <c r="C43" s="1" t="str">
        <f>IF([1]Legenda!C43=0,"",[1]Legenda!C43)</f>
        <v/>
      </c>
      <c r="D43" s="1" t="str">
        <f>IF([1]Legenda!D43=0,"",[1]Legenda!D43)</f>
        <v/>
      </c>
      <c r="E43" s="1" t="str">
        <f>IF([1]Legenda!E43=0,"",[1]Legenda!E43)</f>
        <v/>
      </c>
      <c r="F43" s="1" t="str">
        <f>IF([1]Legenda!F43=0,"",[1]Legenda!F43)</f>
        <v/>
      </c>
      <c r="G43" s="1" t="str">
        <f>IF([1]Legenda!G43=0,"",[1]Legenda!G43)</f>
        <v/>
      </c>
      <c r="H43" s="1" t="str">
        <f>IF([1]Legenda!H43=0,"",[1]Legenda!H43)</f>
        <v/>
      </c>
      <c r="I43" s="1" t="str">
        <f>IF([1]Legenda!I43=0,"",[1]Legenda!I43)</f>
        <v/>
      </c>
      <c r="J43" s="1" t="str">
        <f>IF([1]Legenda!J43=0,"",[1]Legenda!J43)</f>
        <v/>
      </c>
      <c r="K43" s="1" t="str">
        <f>IF([1]Legenda!K43=0,"",[1]Legenda!K43)</f>
        <v/>
      </c>
      <c r="L43" s="1" t="str">
        <f>IF([1]Legenda!L43=0,"",[1]Legenda!L43)</f>
        <v/>
      </c>
      <c r="M43" s="1" t="str">
        <f>IF([1]Legenda!M43=0,"",[1]Legenda!M43)</f>
        <v/>
      </c>
      <c r="N43" s="1" t="str">
        <f>IF([1]Legenda!N43=0,"",[1]Legenda!N43)</f>
        <v/>
      </c>
    </row>
    <row r="44" spans="1:14" x14ac:dyDescent="0.25">
      <c r="A44" s="1" t="str">
        <f>IF([1]Legenda!A44=0,"",[1]Legenda!A44)</f>
        <v/>
      </c>
      <c r="B44" s="1" t="str">
        <f>IF([1]Legenda!B44=0,"",[1]Legenda!B44)</f>
        <v/>
      </c>
      <c r="C44" s="1" t="str">
        <f>IF([1]Legenda!C44=0,"",[1]Legenda!C44)</f>
        <v/>
      </c>
      <c r="D44" s="1" t="str">
        <f>IF([1]Legenda!D44=0,"",[1]Legenda!D44)</f>
        <v/>
      </c>
      <c r="E44" s="1" t="str">
        <f>IF([1]Legenda!E44=0,"",[1]Legenda!E44)</f>
        <v/>
      </c>
      <c r="F44" s="1" t="str">
        <f>IF([1]Legenda!F44=0,"",[1]Legenda!F44)</f>
        <v/>
      </c>
      <c r="G44" s="1" t="str">
        <f>IF([1]Legenda!G44=0,"",[1]Legenda!G44)</f>
        <v/>
      </c>
      <c r="H44" s="1" t="str">
        <f>IF([1]Legenda!H44=0,"",[1]Legenda!H44)</f>
        <v/>
      </c>
      <c r="I44" s="1" t="str">
        <f>IF([1]Legenda!I44=0,"",[1]Legenda!I44)</f>
        <v/>
      </c>
      <c r="J44" s="1" t="str">
        <f>IF([1]Legenda!J44=0,"",[1]Legenda!J44)</f>
        <v/>
      </c>
      <c r="K44" s="1" t="str">
        <f>IF([1]Legenda!K44=0,"",[1]Legenda!K44)</f>
        <v/>
      </c>
      <c r="L44" s="1" t="str">
        <f>IF([1]Legenda!L44=0,"",[1]Legenda!L44)</f>
        <v/>
      </c>
      <c r="M44" s="1" t="str">
        <f>IF([1]Legenda!M44=0,"",[1]Legenda!M44)</f>
        <v/>
      </c>
      <c r="N44" s="1" t="str">
        <f>IF([1]Legenda!N44=0,"",[1]Legenda!N44)</f>
        <v/>
      </c>
    </row>
    <row r="45" spans="1:14" x14ac:dyDescent="0.25">
      <c r="A45" s="1" t="str">
        <f>IF([1]Legenda!A45=0,"",[1]Legenda!A45)</f>
        <v/>
      </c>
      <c r="B45" s="1" t="str">
        <f>IF([1]Legenda!B45=0,"",[1]Legenda!B45)</f>
        <v/>
      </c>
      <c r="C45" s="1" t="str">
        <f>IF([1]Legenda!C45=0,"",[1]Legenda!C45)</f>
        <v/>
      </c>
      <c r="D45" s="1" t="str">
        <f>IF([1]Legenda!D45=0,"",[1]Legenda!D45)</f>
        <v/>
      </c>
      <c r="E45" s="1" t="str">
        <f>IF([1]Legenda!E45=0,"",[1]Legenda!E45)</f>
        <v/>
      </c>
      <c r="F45" s="1" t="str">
        <f>IF([1]Legenda!F45=0,"",[1]Legenda!F45)</f>
        <v/>
      </c>
      <c r="G45" s="1" t="str">
        <f>IF([1]Legenda!G45=0,"",[1]Legenda!G45)</f>
        <v/>
      </c>
      <c r="H45" s="1" t="str">
        <f>IF([1]Legenda!H45=0,"",[1]Legenda!H45)</f>
        <v/>
      </c>
      <c r="I45" s="1" t="str">
        <f>IF([1]Legenda!I45=0,"",[1]Legenda!I45)</f>
        <v/>
      </c>
      <c r="J45" s="1" t="str">
        <f>IF([1]Legenda!J45=0,"",[1]Legenda!J45)</f>
        <v/>
      </c>
      <c r="K45" s="1" t="str">
        <f>IF([1]Legenda!K45=0,"",[1]Legenda!K45)</f>
        <v/>
      </c>
      <c r="L45" s="1" t="str">
        <f>IF([1]Legenda!L45=0,"",[1]Legenda!L45)</f>
        <v/>
      </c>
      <c r="M45" s="1" t="str">
        <f>IF([1]Legenda!M45=0,"",[1]Legenda!M45)</f>
        <v/>
      </c>
      <c r="N45" s="1" t="str">
        <f>IF([1]Legenda!N45=0,"",[1]Legenda!N45)</f>
        <v/>
      </c>
    </row>
    <row r="46" spans="1:14" x14ac:dyDescent="0.25">
      <c r="A46" s="1" t="str">
        <f>IF([1]Legenda!A46=0,"",[1]Legenda!A46)</f>
        <v/>
      </c>
      <c r="B46" s="1" t="str">
        <f>IF([1]Legenda!B46=0,"",[1]Legenda!B46)</f>
        <v/>
      </c>
      <c r="C46" s="1" t="str">
        <f>IF([1]Legenda!C46=0,"",[1]Legenda!C46)</f>
        <v/>
      </c>
      <c r="D46" s="1" t="str">
        <f>IF([1]Legenda!D46=0,"",[1]Legenda!D46)</f>
        <v/>
      </c>
      <c r="E46" s="1" t="str">
        <f>IF([1]Legenda!E46=0,"",[1]Legenda!E46)</f>
        <v/>
      </c>
      <c r="F46" s="1" t="str">
        <f>IF([1]Legenda!F46=0,"",[1]Legenda!F46)</f>
        <v/>
      </c>
      <c r="G46" s="1" t="str">
        <f>IF([1]Legenda!G46=0,"",[1]Legenda!G46)</f>
        <v/>
      </c>
      <c r="H46" s="1" t="str">
        <f>IF([1]Legenda!H46=0,"",[1]Legenda!H46)</f>
        <v/>
      </c>
      <c r="I46" s="1" t="str">
        <f>IF([1]Legenda!I46=0,"",[1]Legenda!I46)</f>
        <v/>
      </c>
      <c r="J46" s="1" t="str">
        <f>IF([1]Legenda!J46=0,"",[1]Legenda!J46)</f>
        <v/>
      </c>
      <c r="K46" s="1" t="str">
        <f>IF([1]Legenda!K46=0,"",[1]Legenda!K46)</f>
        <v/>
      </c>
      <c r="L46" s="1" t="str">
        <f>IF([1]Legenda!L46=0,"",[1]Legenda!L46)</f>
        <v/>
      </c>
      <c r="M46" s="1" t="str">
        <f>IF([1]Legenda!M46=0,"",[1]Legenda!M46)</f>
        <v/>
      </c>
      <c r="N46" s="1" t="str">
        <f>IF([1]Legenda!N46=0,"",[1]Legenda!N46)</f>
        <v/>
      </c>
    </row>
    <row r="47" spans="1:14" x14ac:dyDescent="0.25">
      <c r="A47" s="1" t="str">
        <f>IF([1]Legenda!A47=0,"",[1]Legenda!A47)</f>
        <v/>
      </c>
      <c r="B47" s="1" t="str">
        <f>IF([1]Legenda!B47=0,"",[1]Legenda!B47)</f>
        <v/>
      </c>
      <c r="C47" s="1" t="str">
        <f>IF([1]Legenda!C47=0,"",[1]Legenda!C47)</f>
        <v/>
      </c>
      <c r="D47" s="1" t="str">
        <f>IF([1]Legenda!D47=0,"",[1]Legenda!D47)</f>
        <v/>
      </c>
      <c r="E47" s="1" t="str">
        <f>IF([1]Legenda!E47=0,"",[1]Legenda!E47)</f>
        <v/>
      </c>
      <c r="F47" s="1" t="str">
        <f>IF([1]Legenda!F47=0,"",[1]Legenda!F47)</f>
        <v/>
      </c>
      <c r="G47" s="1" t="str">
        <f>IF([1]Legenda!G47=0,"",[1]Legenda!G47)</f>
        <v/>
      </c>
      <c r="H47" s="1" t="str">
        <f>IF([1]Legenda!H47=0,"",[1]Legenda!H47)</f>
        <v/>
      </c>
      <c r="I47" s="1" t="str">
        <f>IF([1]Legenda!I47=0,"",[1]Legenda!I47)</f>
        <v/>
      </c>
      <c r="J47" s="1" t="str">
        <f>IF([1]Legenda!J47=0,"",[1]Legenda!J47)</f>
        <v/>
      </c>
      <c r="K47" s="1" t="str">
        <f>IF([1]Legenda!K47=0,"",[1]Legenda!K47)</f>
        <v/>
      </c>
      <c r="L47" s="1" t="str">
        <f>IF([1]Legenda!L47=0,"",[1]Legenda!L47)</f>
        <v/>
      </c>
      <c r="M47" s="1" t="str">
        <f>IF([1]Legenda!M47=0,"",[1]Legenda!M47)</f>
        <v/>
      </c>
      <c r="N47" s="1" t="str">
        <f>IF([1]Legenda!N47=0,"",[1]Legenda!N47)</f>
        <v/>
      </c>
    </row>
    <row r="48" spans="1:14" x14ac:dyDescent="0.25">
      <c r="A48" s="1" t="str">
        <f>IF([1]Legenda!A48=0,"",[1]Legenda!A48)</f>
        <v/>
      </c>
      <c r="B48" s="1" t="str">
        <f>IF([1]Legenda!B48=0,"",[1]Legenda!B48)</f>
        <v/>
      </c>
      <c r="C48" s="1" t="str">
        <f>IF([1]Legenda!C48=0,"",[1]Legenda!C48)</f>
        <v/>
      </c>
      <c r="D48" s="1" t="str">
        <f>IF([1]Legenda!D48=0,"",[1]Legenda!D48)</f>
        <v/>
      </c>
      <c r="E48" s="1" t="str">
        <f>IF([1]Legenda!E48=0,"",[1]Legenda!E48)</f>
        <v/>
      </c>
      <c r="F48" s="1" t="str">
        <f>IF([1]Legenda!F48=0,"",[1]Legenda!F48)</f>
        <v/>
      </c>
      <c r="G48" s="1" t="str">
        <f>IF([1]Legenda!G48=0,"",[1]Legenda!G48)</f>
        <v/>
      </c>
      <c r="H48" s="1" t="str">
        <f>IF([1]Legenda!H48=0,"",[1]Legenda!H48)</f>
        <v/>
      </c>
      <c r="I48" s="1" t="str">
        <f>IF([1]Legenda!I48=0,"",[1]Legenda!I48)</f>
        <v/>
      </c>
      <c r="J48" s="1" t="str">
        <f>IF([1]Legenda!J48=0,"",[1]Legenda!J48)</f>
        <v/>
      </c>
      <c r="K48" s="1" t="str">
        <f>IF([1]Legenda!K48=0,"",[1]Legenda!K48)</f>
        <v/>
      </c>
      <c r="L48" s="1" t="str">
        <f>IF([1]Legenda!L48=0,"",[1]Legenda!L48)</f>
        <v/>
      </c>
      <c r="M48" s="1" t="str">
        <f>IF([1]Legenda!M48=0,"",[1]Legenda!M48)</f>
        <v/>
      </c>
      <c r="N48" s="1" t="str">
        <f>IF([1]Legenda!N48=0,"",[1]Legenda!N48)</f>
        <v/>
      </c>
    </row>
    <row r="49" spans="1:14" x14ac:dyDescent="0.25">
      <c r="A49" s="1" t="str">
        <f>IF([1]Legenda!A49=0,"",[1]Legenda!A49)</f>
        <v/>
      </c>
      <c r="B49" s="1" t="str">
        <f>IF([1]Legenda!B49=0,"",[1]Legenda!B49)</f>
        <v/>
      </c>
      <c r="C49" s="1" t="str">
        <f>IF([1]Legenda!C49=0,"",[1]Legenda!C49)</f>
        <v/>
      </c>
      <c r="D49" s="1" t="str">
        <f>IF([1]Legenda!D49=0,"",[1]Legenda!D49)</f>
        <v/>
      </c>
      <c r="E49" s="1" t="str">
        <f>IF([1]Legenda!E49=0,"",[1]Legenda!E49)</f>
        <v/>
      </c>
      <c r="F49" s="1" t="str">
        <f>IF([1]Legenda!F49=0,"",[1]Legenda!F49)</f>
        <v/>
      </c>
      <c r="G49" s="1" t="str">
        <f>IF([1]Legenda!G49=0,"",[1]Legenda!G49)</f>
        <v/>
      </c>
      <c r="H49" s="1" t="str">
        <f>IF([1]Legenda!H49=0,"",[1]Legenda!H49)</f>
        <v/>
      </c>
      <c r="I49" s="1" t="str">
        <f>IF([1]Legenda!I49=0,"",[1]Legenda!I49)</f>
        <v/>
      </c>
      <c r="J49" s="1" t="str">
        <f>IF([1]Legenda!J49=0,"",[1]Legenda!J49)</f>
        <v/>
      </c>
      <c r="K49" s="1" t="str">
        <f>IF([1]Legenda!K49=0,"",[1]Legenda!K49)</f>
        <v/>
      </c>
      <c r="L49" s="1" t="str">
        <f>IF([1]Legenda!L49=0,"",[1]Legenda!L49)</f>
        <v/>
      </c>
      <c r="M49" s="1" t="str">
        <f>IF([1]Legenda!M49=0,"",[1]Legenda!M49)</f>
        <v/>
      </c>
      <c r="N49" s="1" t="str">
        <f>IF([1]Legenda!N49=0,"",[1]Legenda!N49)</f>
        <v/>
      </c>
    </row>
    <row r="50" spans="1:14" x14ac:dyDescent="0.25">
      <c r="A50" s="1" t="str">
        <f>IF([1]Legenda!A50=0,"",[1]Legenda!A50)</f>
        <v/>
      </c>
      <c r="B50" s="1" t="str">
        <f>IF([1]Legenda!B50=0,"",[1]Legenda!B50)</f>
        <v/>
      </c>
      <c r="C50" s="1" t="str">
        <f>IF([1]Legenda!C50=0,"",[1]Legenda!C50)</f>
        <v/>
      </c>
      <c r="D50" s="1" t="str">
        <f>IF([1]Legenda!D50=0,"",[1]Legenda!D50)</f>
        <v/>
      </c>
      <c r="E50" s="1" t="str">
        <f>IF([1]Legenda!E50=0,"",[1]Legenda!E50)</f>
        <v/>
      </c>
      <c r="F50" s="1" t="str">
        <f>IF([1]Legenda!F50=0,"",[1]Legenda!F50)</f>
        <v/>
      </c>
      <c r="G50" s="1" t="str">
        <f>IF([1]Legenda!G50=0,"",[1]Legenda!G50)</f>
        <v/>
      </c>
      <c r="H50" s="1" t="str">
        <f>IF([1]Legenda!H50=0,"",[1]Legenda!H50)</f>
        <v/>
      </c>
      <c r="I50" s="1" t="str">
        <f>IF([1]Legenda!I50=0,"",[1]Legenda!I50)</f>
        <v/>
      </c>
      <c r="J50" s="1" t="str">
        <f>IF([1]Legenda!J50=0,"",[1]Legenda!J50)</f>
        <v/>
      </c>
      <c r="K50" s="1" t="str">
        <f>IF([1]Legenda!K50=0,"",[1]Legenda!K50)</f>
        <v/>
      </c>
      <c r="L50" s="1" t="str">
        <f>IF([1]Legenda!L50=0,"",[1]Legenda!L50)</f>
        <v/>
      </c>
      <c r="M50" s="1" t="str">
        <f>IF([1]Legenda!M50=0,"",[1]Legenda!M50)</f>
        <v/>
      </c>
      <c r="N50" s="1" t="str">
        <f>IF([1]Legenda!N50=0,"",[1]Legenda!N50)</f>
        <v/>
      </c>
    </row>
    <row r="51" spans="1:14" x14ac:dyDescent="0.25">
      <c r="A51" s="1" t="str">
        <f>IF([1]Legenda!A51=0,"",[1]Legenda!A51)</f>
        <v/>
      </c>
      <c r="B51" s="1" t="str">
        <f>IF([1]Legenda!B51=0,"",[1]Legenda!B51)</f>
        <v/>
      </c>
      <c r="C51" s="1" t="str">
        <f>IF([1]Legenda!C51=0,"",[1]Legenda!C51)</f>
        <v/>
      </c>
      <c r="D51" s="1" t="str">
        <f>IF([1]Legenda!D51=0,"",[1]Legenda!D51)</f>
        <v/>
      </c>
      <c r="E51" s="1" t="str">
        <f>IF([1]Legenda!E51=0,"",[1]Legenda!E51)</f>
        <v/>
      </c>
      <c r="F51" s="1" t="str">
        <f>IF([1]Legenda!F51=0,"",[1]Legenda!F51)</f>
        <v/>
      </c>
      <c r="G51" s="1" t="str">
        <f>IF([1]Legenda!G51=0,"",[1]Legenda!G51)</f>
        <v/>
      </c>
      <c r="H51" s="1" t="str">
        <f>IF([1]Legenda!H51=0,"",[1]Legenda!H51)</f>
        <v/>
      </c>
      <c r="I51" s="1" t="str">
        <f>IF([1]Legenda!I51=0,"",[1]Legenda!I51)</f>
        <v/>
      </c>
      <c r="J51" s="1" t="str">
        <f>IF([1]Legenda!J51=0,"",[1]Legenda!J51)</f>
        <v/>
      </c>
      <c r="K51" s="1" t="str">
        <f>IF([1]Legenda!K51=0,"",[1]Legenda!K51)</f>
        <v/>
      </c>
      <c r="L51" s="1" t="str">
        <f>IF([1]Legenda!L51=0,"",[1]Legenda!L51)</f>
        <v/>
      </c>
      <c r="M51" s="1" t="str">
        <f>IF([1]Legenda!M51=0,"",[1]Legenda!M51)</f>
        <v/>
      </c>
      <c r="N51" s="1" t="str">
        <f>IF([1]Legenda!N51=0,"",[1]Legenda!N51)</f>
        <v/>
      </c>
    </row>
    <row r="52" spans="1:14" x14ac:dyDescent="0.25">
      <c r="A52" s="1" t="str">
        <f>IF([1]Legenda!A52=0,"",[1]Legenda!A52)</f>
        <v/>
      </c>
      <c r="B52" s="1" t="str">
        <f>IF([1]Legenda!B52=0,"",[1]Legenda!B52)</f>
        <v/>
      </c>
      <c r="C52" s="1" t="str">
        <f>IF([1]Legenda!C52=0,"",[1]Legenda!C52)</f>
        <v/>
      </c>
      <c r="D52" s="1" t="str">
        <f>IF([1]Legenda!D52=0,"",[1]Legenda!D52)</f>
        <v/>
      </c>
      <c r="E52" s="1" t="str">
        <f>IF([1]Legenda!E52=0,"",[1]Legenda!E52)</f>
        <v/>
      </c>
      <c r="F52" s="1" t="str">
        <f>IF([1]Legenda!F52=0,"",[1]Legenda!F52)</f>
        <v/>
      </c>
      <c r="G52" s="1" t="str">
        <f>IF([1]Legenda!G52=0,"",[1]Legenda!G52)</f>
        <v/>
      </c>
      <c r="H52" s="1" t="str">
        <f>IF([1]Legenda!H52=0,"",[1]Legenda!H52)</f>
        <v/>
      </c>
      <c r="I52" s="1" t="str">
        <f>IF([1]Legenda!I52=0,"",[1]Legenda!I52)</f>
        <v/>
      </c>
      <c r="J52" s="1" t="str">
        <f>IF([1]Legenda!J52=0,"",[1]Legenda!J52)</f>
        <v/>
      </c>
      <c r="K52" s="1" t="str">
        <f>IF([1]Legenda!K52=0,"",[1]Legenda!K52)</f>
        <v/>
      </c>
      <c r="L52" s="1" t="str">
        <f>IF([1]Legenda!L52=0,"",[1]Legenda!L52)</f>
        <v/>
      </c>
      <c r="M52" s="1" t="str">
        <f>IF([1]Legenda!M52=0,"",[1]Legenda!M52)</f>
        <v/>
      </c>
      <c r="N52" s="1" t="str">
        <f>IF([1]Legenda!N52=0,"",[1]Legenda!N52)</f>
        <v/>
      </c>
    </row>
    <row r="53" spans="1:14" x14ac:dyDescent="0.25">
      <c r="A53" s="1" t="str">
        <f>IF([1]Legenda!A53=0,"",[1]Legenda!A53)</f>
        <v/>
      </c>
      <c r="B53" s="1" t="str">
        <f>IF([1]Legenda!B53=0,"",[1]Legenda!B53)</f>
        <v/>
      </c>
      <c r="C53" s="1" t="str">
        <f>IF([1]Legenda!C53=0,"",[1]Legenda!C53)</f>
        <v/>
      </c>
      <c r="D53" s="1" t="str">
        <f>IF([1]Legenda!D53=0,"",[1]Legenda!D53)</f>
        <v/>
      </c>
      <c r="E53" s="1" t="str">
        <f>IF([1]Legenda!E53=0,"",[1]Legenda!E53)</f>
        <v/>
      </c>
      <c r="F53" s="1" t="str">
        <f>IF([1]Legenda!F53=0,"",[1]Legenda!F53)</f>
        <v/>
      </c>
      <c r="G53" s="1" t="str">
        <f>IF([1]Legenda!G53=0,"",[1]Legenda!G53)</f>
        <v/>
      </c>
      <c r="H53" s="1" t="str">
        <f>IF([1]Legenda!H53=0,"",[1]Legenda!H53)</f>
        <v/>
      </c>
      <c r="I53" s="1" t="str">
        <f>IF([1]Legenda!I53=0,"",[1]Legenda!I53)</f>
        <v/>
      </c>
      <c r="J53" s="1" t="str">
        <f>IF([1]Legenda!J53=0,"",[1]Legenda!J53)</f>
        <v/>
      </c>
      <c r="K53" s="1" t="str">
        <f>IF([1]Legenda!K53=0,"",[1]Legenda!K53)</f>
        <v/>
      </c>
      <c r="L53" s="1" t="str">
        <f>IF([1]Legenda!L53=0,"",[1]Legenda!L53)</f>
        <v/>
      </c>
      <c r="M53" s="1" t="str">
        <f>IF([1]Legenda!M53=0,"",[1]Legenda!M53)</f>
        <v/>
      </c>
      <c r="N53" s="1" t="str">
        <f>IF([1]Legenda!N53=0,"",[1]Legenda!N53)</f>
        <v/>
      </c>
    </row>
    <row r="54" spans="1:14" x14ac:dyDescent="0.25">
      <c r="A54" s="1" t="str">
        <f>IF([2]Legenda!A54=0,"",[2]Legenda!A54)</f>
        <v/>
      </c>
      <c r="B54" s="1" t="str">
        <f>IF([2]Legenda!B54=0,"",[2]Legenda!B54)</f>
        <v/>
      </c>
      <c r="C54" s="1" t="str">
        <f>IF([2]Legenda!C54=0,"",[2]Legenda!C54)</f>
        <v/>
      </c>
      <c r="D54" s="1" t="str">
        <f>IF([2]Legenda!D54=0,"",[2]Legenda!D54)</f>
        <v/>
      </c>
      <c r="E54" s="1" t="str">
        <f>IF([2]Legenda!E54=0,"",[2]Legenda!E54)</f>
        <v/>
      </c>
      <c r="F54" s="1" t="str">
        <f>IF([2]Legenda!F54=0,"",[2]Legenda!F54)</f>
        <v/>
      </c>
      <c r="G54" s="1" t="str">
        <f>IF([2]Legenda!G54=0,"",[2]Legenda!G54)</f>
        <v/>
      </c>
      <c r="H54" s="1" t="str">
        <f>IF([2]Legenda!H54=0,"",[2]Legenda!H54)</f>
        <v/>
      </c>
      <c r="I54" s="1" t="str">
        <f>IF([2]Legenda!I54=0,"",[2]Legenda!I54)</f>
        <v/>
      </c>
      <c r="J54" s="1" t="str">
        <f>IF([2]Legenda!J54=0,"",[2]Legenda!J54)</f>
        <v/>
      </c>
      <c r="K54" s="1" t="str">
        <f>IF([2]Legenda!K54=0,"",[2]Legenda!K54)</f>
        <v/>
      </c>
      <c r="L54" s="1" t="str">
        <f>IF([2]Legenda!L54=0,"",[2]Legenda!L54)</f>
        <v/>
      </c>
      <c r="M54" s="1" t="str">
        <f>IF([2]Legenda!M54=0,"",[2]Legenda!M54)</f>
        <v/>
      </c>
      <c r="N54" s="1" t="str">
        <f>IF([2]Legenda!N54=0,"",[2]Legenda!N54)</f>
        <v/>
      </c>
    </row>
    <row r="55" spans="1:14" x14ac:dyDescent="0.25">
      <c r="A55" s="1" t="str">
        <f>IF([2]Legenda!A55=0,"",[2]Legenda!A55)</f>
        <v/>
      </c>
      <c r="B55" s="1" t="str">
        <f>IF([2]Legenda!B55=0,"",[2]Legenda!B55)</f>
        <v/>
      </c>
      <c r="C55" s="1" t="str">
        <f>IF([2]Legenda!C55=0,"",[2]Legenda!C55)</f>
        <v/>
      </c>
      <c r="D55" s="1" t="str">
        <f>IF([2]Legenda!D55=0,"",[2]Legenda!D55)</f>
        <v/>
      </c>
      <c r="E55" s="1" t="str">
        <f>IF([2]Legenda!E55=0,"",[2]Legenda!E55)</f>
        <v/>
      </c>
      <c r="F55" s="1" t="str">
        <f>IF([2]Legenda!F55=0,"",[2]Legenda!F55)</f>
        <v/>
      </c>
      <c r="G55" s="1" t="str">
        <f>IF([2]Legenda!G55=0,"",[2]Legenda!G55)</f>
        <v/>
      </c>
      <c r="H55" s="1" t="str">
        <f>IF([2]Legenda!H55=0,"",[2]Legenda!H55)</f>
        <v/>
      </c>
      <c r="I55" s="1" t="str">
        <f>IF([2]Legenda!I55=0,"",[2]Legenda!I55)</f>
        <v/>
      </c>
      <c r="J55" s="1" t="str">
        <f>IF([2]Legenda!J55=0,"",[2]Legenda!J55)</f>
        <v/>
      </c>
      <c r="K55" s="1" t="str">
        <f>IF([2]Legenda!K55=0,"",[2]Legenda!K55)</f>
        <v/>
      </c>
      <c r="L55" s="1" t="str">
        <f>IF([2]Legenda!L55=0,"",[2]Legenda!L55)</f>
        <v/>
      </c>
      <c r="M55" s="1" t="str">
        <f>IF([2]Legenda!M55=0,"",[2]Legenda!M55)</f>
        <v/>
      </c>
      <c r="N55" s="1" t="str">
        <f>IF([2]Legenda!N55=0,"",[2]Legenda!N55)</f>
        <v/>
      </c>
    </row>
    <row r="56" spans="1:14" x14ac:dyDescent="0.25">
      <c r="A56" s="1" t="str">
        <f>IF([2]Legenda!A56=0,"",[2]Legenda!A56)</f>
        <v/>
      </c>
      <c r="B56" s="1" t="str">
        <f>IF([2]Legenda!B56=0,"",[2]Legenda!B56)</f>
        <v/>
      </c>
      <c r="C56" s="1" t="str">
        <f>IF([2]Legenda!C56=0,"",[2]Legenda!C56)</f>
        <v/>
      </c>
      <c r="D56" s="1" t="str">
        <f>IF([2]Legenda!D56=0,"",[2]Legenda!D56)</f>
        <v/>
      </c>
      <c r="E56" s="1" t="str">
        <f>IF([2]Legenda!E56=0,"",[2]Legenda!E56)</f>
        <v/>
      </c>
      <c r="F56" s="1" t="str">
        <f>IF([2]Legenda!F56=0,"",[2]Legenda!F56)</f>
        <v/>
      </c>
      <c r="G56" s="1" t="str">
        <f>IF([2]Legenda!G56=0,"",[2]Legenda!G56)</f>
        <v/>
      </c>
      <c r="H56" s="1" t="str">
        <f>IF([2]Legenda!H56=0,"",[2]Legenda!H56)</f>
        <v/>
      </c>
      <c r="I56" s="1" t="str">
        <f>IF([2]Legenda!I56=0,"",[2]Legenda!I56)</f>
        <v/>
      </c>
      <c r="J56" s="1" t="str">
        <f>IF([2]Legenda!J56=0,"",[2]Legenda!J56)</f>
        <v/>
      </c>
      <c r="K56" s="1" t="str">
        <f>IF([2]Legenda!K56=0,"",[2]Legenda!K56)</f>
        <v/>
      </c>
      <c r="L56" s="1" t="str">
        <f>IF([2]Legenda!L56=0,"",[2]Legenda!L56)</f>
        <v/>
      </c>
      <c r="M56" s="1" t="str">
        <f>IF([2]Legenda!M56=0,"",[2]Legenda!M56)</f>
        <v/>
      </c>
      <c r="N56" s="1" t="str">
        <f>IF([2]Legenda!N56=0,"",[2]Legenda!N56)</f>
        <v/>
      </c>
    </row>
    <row r="57" spans="1:14" x14ac:dyDescent="0.25">
      <c r="A57" s="1" t="str">
        <f>IF([2]Legenda!A57=0,"",[2]Legenda!A57)</f>
        <v/>
      </c>
      <c r="B57" s="1" t="str">
        <f>IF([2]Legenda!B57=0,"",[2]Legenda!B57)</f>
        <v/>
      </c>
      <c r="C57" s="1" t="str">
        <f>IF([2]Legenda!C57=0,"",[2]Legenda!C57)</f>
        <v/>
      </c>
      <c r="D57" s="1" t="str">
        <f>IF([2]Legenda!D57=0,"",[2]Legenda!D57)</f>
        <v/>
      </c>
      <c r="E57" s="1" t="str">
        <f>IF([2]Legenda!E57=0,"",[2]Legenda!E57)</f>
        <v/>
      </c>
      <c r="F57" s="1" t="str">
        <f>IF([2]Legenda!F57=0,"",[2]Legenda!F57)</f>
        <v/>
      </c>
      <c r="G57" s="1" t="str">
        <f>IF([2]Legenda!G57=0,"",[2]Legenda!G57)</f>
        <v/>
      </c>
      <c r="H57" s="1" t="str">
        <f>IF([2]Legenda!H57=0,"",[2]Legenda!H57)</f>
        <v/>
      </c>
      <c r="I57" s="1" t="str">
        <f>IF([2]Legenda!I57=0,"",[2]Legenda!I57)</f>
        <v/>
      </c>
      <c r="J57" s="1" t="str">
        <f>IF([2]Legenda!J57=0,"",[2]Legenda!J57)</f>
        <v/>
      </c>
      <c r="K57" s="1" t="str">
        <f>IF([2]Legenda!K57=0,"",[2]Legenda!K57)</f>
        <v/>
      </c>
      <c r="L57" s="1" t="str">
        <f>IF([2]Legenda!L57=0,"",[2]Legenda!L57)</f>
        <v/>
      </c>
      <c r="M57" s="1" t="str">
        <f>IF([2]Legenda!M57=0,"",[2]Legenda!M57)</f>
        <v/>
      </c>
      <c r="N57" s="1" t="str">
        <f>IF([2]Legenda!N57=0,"",[2]Legenda!N57)</f>
        <v/>
      </c>
    </row>
    <row r="58" spans="1:14" x14ac:dyDescent="0.25">
      <c r="A58" s="1" t="str">
        <f>IF([2]Legenda!A58=0,"",[2]Legenda!A58)</f>
        <v/>
      </c>
      <c r="B58" s="1" t="str">
        <f>IF([2]Legenda!B58=0,"",[2]Legenda!B58)</f>
        <v/>
      </c>
      <c r="C58" s="1" t="str">
        <f>IF([2]Legenda!C58=0,"",[2]Legenda!C58)</f>
        <v/>
      </c>
      <c r="D58" s="1" t="str">
        <f>IF([2]Legenda!D58=0,"",[2]Legenda!D58)</f>
        <v/>
      </c>
      <c r="E58" s="1" t="str">
        <f>IF([2]Legenda!E58=0,"",[2]Legenda!E58)</f>
        <v/>
      </c>
      <c r="F58" s="1" t="str">
        <f>IF([2]Legenda!F58=0,"",[2]Legenda!F58)</f>
        <v/>
      </c>
      <c r="G58" s="1" t="str">
        <f>IF([2]Legenda!G58=0,"",[2]Legenda!G58)</f>
        <v/>
      </c>
      <c r="H58" s="1" t="str">
        <f>IF([2]Legenda!H58=0,"",[2]Legenda!H58)</f>
        <v/>
      </c>
      <c r="I58" s="1" t="str">
        <f>IF([2]Legenda!I58=0,"",[2]Legenda!I58)</f>
        <v/>
      </c>
      <c r="J58" s="1" t="str">
        <f>IF([2]Legenda!J58=0,"",[2]Legenda!J58)</f>
        <v/>
      </c>
      <c r="K58" s="1" t="str">
        <f>IF([2]Legenda!K58=0,"",[2]Legenda!K58)</f>
        <v/>
      </c>
      <c r="L58" s="1" t="str">
        <f>IF([2]Legenda!L58=0,"",[2]Legenda!L58)</f>
        <v/>
      </c>
      <c r="M58" s="1" t="str">
        <f>IF([2]Legenda!M58=0,"",[2]Legenda!M58)</f>
        <v/>
      </c>
      <c r="N58" s="1" t="str">
        <f>IF([2]Legenda!N58=0,"",[2]Legenda!N58)</f>
        <v/>
      </c>
    </row>
    <row r="59" spans="1:14" x14ac:dyDescent="0.25">
      <c r="A59" s="1" t="str">
        <f>IF([2]Legenda!A59=0,"",[2]Legenda!A59)</f>
        <v/>
      </c>
      <c r="B59" s="1" t="str">
        <f>IF([2]Legenda!B59=0,"",[2]Legenda!B59)</f>
        <v/>
      </c>
      <c r="C59" s="1" t="str">
        <f>IF([2]Legenda!C59=0,"",[2]Legenda!C59)</f>
        <v/>
      </c>
      <c r="D59" s="1" t="str">
        <f>IF([2]Legenda!D59=0,"",[2]Legenda!D59)</f>
        <v/>
      </c>
      <c r="E59" s="1" t="str">
        <f>IF([2]Legenda!E59=0,"",[2]Legenda!E59)</f>
        <v/>
      </c>
      <c r="F59" s="1" t="str">
        <f>IF([2]Legenda!F59=0,"",[2]Legenda!F59)</f>
        <v/>
      </c>
      <c r="G59" s="1" t="str">
        <f>IF([2]Legenda!G59=0,"",[2]Legenda!G59)</f>
        <v/>
      </c>
      <c r="H59" s="1" t="str">
        <f>IF([2]Legenda!H59=0,"",[2]Legenda!H59)</f>
        <v/>
      </c>
      <c r="I59" s="1" t="str">
        <f>IF([2]Legenda!I59=0,"",[2]Legenda!I59)</f>
        <v/>
      </c>
      <c r="J59" s="1" t="str">
        <f>IF([2]Legenda!J59=0,"",[2]Legenda!J59)</f>
        <v/>
      </c>
      <c r="K59" s="1" t="str">
        <f>IF([2]Legenda!K59=0,"",[2]Legenda!K59)</f>
        <v/>
      </c>
      <c r="L59" s="1" t="str">
        <f>IF([2]Legenda!L59=0,"",[2]Legenda!L59)</f>
        <v/>
      </c>
      <c r="M59" s="1" t="str">
        <f>IF([2]Legenda!M59=0,"",[2]Legenda!M59)</f>
        <v/>
      </c>
      <c r="N59" s="1" t="str">
        <f>IF([2]Legenda!N59=0,"",[2]Legenda!N59)</f>
        <v/>
      </c>
    </row>
    <row r="60" spans="1:14" x14ac:dyDescent="0.25">
      <c r="A60" s="1" t="str">
        <f>IF([2]Legenda!A60=0,"",[2]Legenda!A60)</f>
        <v/>
      </c>
      <c r="B60" s="1" t="str">
        <f>IF([2]Legenda!B60=0,"",[2]Legenda!B60)</f>
        <v/>
      </c>
      <c r="C60" s="1" t="str">
        <f>IF([2]Legenda!C60=0,"",[2]Legenda!C60)</f>
        <v/>
      </c>
      <c r="D60" s="1" t="str">
        <f>IF([2]Legenda!D60=0,"",[2]Legenda!D60)</f>
        <v/>
      </c>
      <c r="E60" s="1" t="str">
        <f>IF([2]Legenda!E60=0,"",[2]Legenda!E60)</f>
        <v/>
      </c>
      <c r="F60" s="1" t="str">
        <f>IF([2]Legenda!F60=0,"",[2]Legenda!F60)</f>
        <v/>
      </c>
      <c r="G60" s="1" t="str">
        <f>IF([2]Legenda!G60=0,"",[2]Legenda!G60)</f>
        <v/>
      </c>
      <c r="H60" s="1" t="str">
        <f>IF([2]Legenda!H60=0,"",[2]Legenda!H60)</f>
        <v/>
      </c>
      <c r="I60" s="1" t="str">
        <f>IF([2]Legenda!I60=0,"",[2]Legenda!I60)</f>
        <v/>
      </c>
      <c r="J60" s="1" t="str">
        <f>IF([2]Legenda!J60=0,"",[2]Legenda!J60)</f>
        <v/>
      </c>
      <c r="K60" s="1" t="str">
        <f>IF([2]Legenda!K60=0,"",[2]Legenda!K60)</f>
        <v/>
      </c>
      <c r="L60" s="1" t="str">
        <f>IF([2]Legenda!L60=0,"",[2]Legenda!L60)</f>
        <v/>
      </c>
      <c r="M60" s="1" t="str">
        <f>IF([2]Legenda!M60=0,"",[2]Legenda!M60)</f>
        <v/>
      </c>
      <c r="N60" s="1" t="str">
        <f>IF([2]Legenda!N60=0,"",[2]Legenda!N60)</f>
        <v/>
      </c>
    </row>
    <row r="61" spans="1:14" x14ac:dyDescent="0.25">
      <c r="A61" s="1" t="str">
        <f>IF([2]Legenda!A61=0,"",[2]Legenda!A61)</f>
        <v/>
      </c>
      <c r="B61" s="1" t="str">
        <f>IF([2]Legenda!B61=0,"",[2]Legenda!B61)</f>
        <v/>
      </c>
      <c r="C61" s="1" t="str">
        <f>IF([2]Legenda!C61=0,"",[2]Legenda!C61)</f>
        <v/>
      </c>
      <c r="D61" s="1" t="str">
        <f>IF([2]Legenda!D61=0,"",[2]Legenda!D61)</f>
        <v/>
      </c>
      <c r="E61" s="1" t="str">
        <f>IF([2]Legenda!E61=0,"",[2]Legenda!E61)</f>
        <v/>
      </c>
      <c r="F61" s="1" t="str">
        <f>IF([2]Legenda!F61=0,"",[2]Legenda!F61)</f>
        <v/>
      </c>
      <c r="G61" s="1" t="str">
        <f>IF([2]Legenda!G61=0,"",[2]Legenda!G61)</f>
        <v/>
      </c>
      <c r="H61" s="1" t="str">
        <f>IF([2]Legenda!H61=0,"",[2]Legenda!H61)</f>
        <v/>
      </c>
      <c r="I61" s="1" t="str">
        <f>IF([2]Legenda!I61=0,"",[2]Legenda!I61)</f>
        <v/>
      </c>
      <c r="J61" s="1" t="str">
        <f>IF([2]Legenda!J61=0,"",[2]Legenda!J61)</f>
        <v/>
      </c>
      <c r="K61" s="1" t="str">
        <f>IF([2]Legenda!K61=0,"",[2]Legenda!K61)</f>
        <v/>
      </c>
      <c r="L61" s="1" t="str">
        <f>IF([2]Legenda!L61=0,"",[2]Legenda!L61)</f>
        <v/>
      </c>
      <c r="M61" s="1" t="str">
        <f>IF([2]Legenda!M61=0,"",[2]Legenda!M61)</f>
        <v/>
      </c>
      <c r="N61" s="1" t="str">
        <f>IF([2]Legenda!N61=0,"",[2]Legenda!N61)</f>
        <v/>
      </c>
    </row>
    <row r="62" spans="1:14" x14ac:dyDescent="0.25">
      <c r="A62" s="1" t="str">
        <f>IF([2]Legenda!A62=0,"",[2]Legenda!A62)</f>
        <v/>
      </c>
      <c r="B62" s="1" t="str">
        <f>IF([2]Legenda!B62=0,"",[2]Legenda!B62)</f>
        <v/>
      </c>
      <c r="C62" s="1" t="str">
        <f>IF([2]Legenda!C62=0,"",[2]Legenda!C62)</f>
        <v/>
      </c>
      <c r="D62" s="1" t="str">
        <f>IF([2]Legenda!D62=0,"",[2]Legenda!D62)</f>
        <v/>
      </c>
      <c r="E62" s="1" t="str">
        <f>IF([2]Legenda!E62=0,"",[2]Legenda!E62)</f>
        <v/>
      </c>
      <c r="F62" s="1" t="str">
        <f>IF([2]Legenda!F62=0,"",[2]Legenda!F62)</f>
        <v/>
      </c>
      <c r="G62" s="1" t="str">
        <f>IF([2]Legenda!G62=0,"",[2]Legenda!G62)</f>
        <v/>
      </c>
      <c r="H62" s="1" t="str">
        <f>IF([2]Legenda!H62=0,"",[2]Legenda!H62)</f>
        <v/>
      </c>
      <c r="I62" s="1" t="str">
        <f>IF([2]Legenda!I62=0,"",[2]Legenda!I62)</f>
        <v/>
      </c>
      <c r="J62" s="1" t="str">
        <f>IF([2]Legenda!J62=0,"",[2]Legenda!J62)</f>
        <v/>
      </c>
      <c r="K62" s="1" t="str">
        <f>IF([2]Legenda!K62=0,"",[2]Legenda!K62)</f>
        <v/>
      </c>
      <c r="L62" s="1" t="str">
        <f>IF([2]Legenda!L62=0,"",[2]Legenda!L62)</f>
        <v/>
      </c>
      <c r="M62" s="1" t="str">
        <f>IF([2]Legenda!M62=0,"",[2]Legenda!M62)</f>
        <v/>
      </c>
      <c r="N62" s="1" t="str">
        <f>IF([2]Legenda!N62=0,"",[2]Legenda!N62)</f>
        <v/>
      </c>
    </row>
    <row r="63" spans="1:14" x14ac:dyDescent="0.25">
      <c r="A63" s="1" t="str">
        <f>IF([2]Legenda!A63=0,"",[2]Legenda!A63)</f>
        <v/>
      </c>
      <c r="B63" s="1" t="str">
        <f>IF([2]Legenda!B63=0,"",[2]Legenda!B63)</f>
        <v/>
      </c>
      <c r="C63" s="1" t="str">
        <f>IF([2]Legenda!C63=0,"",[2]Legenda!C63)</f>
        <v/>
      </c>
      <c r="D63" s="1" t="str">
        <f>IF([2]Legenda!D63=0,"",[2]Legenda!D63)</f>
        <v/>
      </c>
      <c r="E63" s="1" t="str">
        <f>IF([2]Legenda!E63=0,"",[2]Legenda!E63)</f>
        <v/>
      </c>
      <c r="F63" s="1" t="str">
        <f>IF([2]Legenda!F63=0,"",[2]Legenda!F63)</f>
        <v/>
      </c>
      <c r="G63" s="1" t="str">
        <f>IF([2]Legenda!G63=0,"",[2]Legenda!G63)</f>
        <v/>
      </c>
      <c r="H63" s="1" t="str">
        <f>IF([2]Legenda!H63=0,"",[2]Legenda!H63)</f>
        <v/>
      </c>
      <c r="I63" s="1" t="str">
        <f>IF([2]Legenda!I63=0,"",[2]Legenda!I63)</f>
        <v/>
      </c>
      <c r="J63" s="1" t="str">
        <f>IF([2]Legenda!J63=0,"",[2]Legenda!J63)</f>
        <v/>
      </c>
      <c r="K63" s="1" t="str">
        <f>IF([2]Legenda!K63=0,"",[2]Legenda!K63)</f>
        <v/>
      </c>
      <c r="L63" s="1" t="str">
        <f>IF([2]Legenda!L63=0,"",[2]Legenda!L63)</f>
        <v/>
      </c>
      <c r="M63" s="1" t="str">
        <f>IF([2]Legenda!M63=0,"",[2]Legenda!M63)</f>
        <v/>
      </c>
      <c r="N63" s="1" t="str">
        <f>IF([2]Legenda!N63=0,"",[2]Legenda!N63)</f>
        <v/>
      </c>
    </row>
    <row r="64" spans="1:14" x14ac:dyDescent="0.25">
      <c r="A64" s="1" t="str">
        <f>IF([2]Legenda!A64=0,"",[2]Legenda!A64)</f>
        <v/>
      </c>
      <c r="B64" s="1" t="str">
        <f>IF([2]Legenda!B64=0,"",[2]Legenda!B64)</f>
        <v/>
      </c>
      <c r="C64" s="1" t="str">
        <f>IF([2]Legenda!C64=0,"",[2]Legenda!C64)</f>
        <v/>
      </c>
      <c r="D64" s="1" t="str">
        <f>IF([2]Legenda!D64=0,"",[2]Legenda!D64)</f>
        <v/>
      </c>
      <c r="E64" s="1" t="str">
        <f>IF([2]Legenda!E64=0,"",[2]Legenda!E64)</f>
        <v/>
      </c>
      <c r="F64" s="1" t="str">
        <f>IF([2]Legenda!F64=0,"",[2]Legenda!F64)</f>
        <v/>
      </c>
      <c r="G64" s="1" t="str">
        <f>IF([2]Legenda!G64=0,"",[2]Legenda!G64)</f>
        <v/>
      </c>
      <c r="H64" s="1" t="str">
        <f>IF([2]Legenda!H64=0,"",[2]Legenda!H64)</f>
        <v/>
      </c>
      <c r="I64" s="1" t="str">
        <f>IF([2]Legenda!I64=0,"",[2]Legenda!I64)</f>
        <v/>
      </c>
      <c r="J64" s="1" t="str">
        <f>IF([2]Legenda!J64=0,"",[2]Legenda!J64)</f>
        <v/>
      </c>
      <c r="K64" s="1" t="str">
        <f>IF([2]Legenda!K64=0,"",[2]Legenda!K64)</f>
        <v/>
      </c>
      <c r="L64" s="1" t="str">
        <f>IF([2]Legenda!L64=0,"",[2]Legenda!L64)</f>
        <v/>
      </c>
      <c r="M64" s="1" t="str">
        <f>IF([2]Legenda!M64=0,"",[2]Legenda!M64)</f>
        <v/>
      </c>
      <c r="N64" s="1" t="str">
        <f>IF([2]Legenda!N64=0,"",[2]Legenda!N64)</f>
        <v/>
      </c>
    </row>
    <row r="65" spans="1:14" x14ac:dyDescent="0.25">
      <c r="A65" s="1" t="str">
        <f>IF([2]Legenda!A65=0,"",[2]Legenda!A65)</f>
        <v/>
      </c>
      <c r="B65" s="1" t="str">
        <f>IF([2]Legenda!B65=0,"",[2]Legenda!B65)</f>
        <v/>
      </c>
      <c r="C65" s="1" t="str">
        <f>IF([2]Legenda!C65=0,"",[2]Legenda!C65)</f>
        <v/>
      </c>
      <c r="D65" s="1" t="str">
        <f>IF([2]Legenda!D65=0,"",[2]Legenda!D65)</f>
        <v/>
      </c>
      <c r="E65" s="1" t="str">
        <f>IF([2]Legenda!E65=0,"",[2]Legenda!E65)</f>
        <v/>
      </c>
      <c r="F65" s="1" t="str">
        <f>IF([2]Legenda!F65=0,"",[2]Legenda!F65)</f>
        <v/>
      </c>
      <c r="G65" s="1" t="str">
        <f>IF([2]Legenda!G65=0,"",[2]Legenda!G65)</f>
        <v/>
      </c>
      <c r="H65" s="1" t="str">
        <f>IF([2]Legenda!H65=0,"",[2]Legenda!H65)</f>
        <v/>
      </c>
      <c r="I65" s="1" t="str">
        <f>IF([2]Legenda!I65=0,"",[2]Legenda!I65)</f>
        <v/>
      </c>
      <c r="J65" s="1" t="str">
        <f>IF([2]Legenda!J65=0,"",[2]Legenda!J65)</f>
        <v/>
      </c>
      <c r="K65" s="1" t="str">
        <f>IF([2]Legenda!K65=0,"",[2]Legenda!K65)</f>
        <v/>
      </c>
      <c r="L65" s="1" t="str">
        <f>IF([2]Legenda!L65=0,"",[2]Legenda!L65)</f>
        <v/>
      </c>
      <c r="M65" s="1" t="str">
        <f>IF([2]Legenda!M65=0,"",[2]Legenda!M65)</f>
        <v/>
      </c>
      <c r="N65" s="1" t="str">
        <f>IF([2]Legenda!N65=0,"",[2]Legenda!N65)</f>
        <v/>
      </c>
    </row>
    <row r="66" spans="1:14" x14ac:dyDescent="0.25">
      <c r="A66" s="1" t="str">
        <f>IF([2]Legenda!A66=0,"",[2]Legenda!A66)</f>
        <v/>
      </c>
      <c r="B66" s="1" t="str">
        <f>IF([2]Legenda!B66=0,"",[2]Legenda!B66)</f>
        <v/>
      </c>
      <c r="C66" s="1" t="str">
        <f>IF([2]Legenda!C66=0,"",[2]Legenda!C66)</f>
        <v/>
      </c>
      <c r="D66" s="1" t="str">
        <f>IF([2]Legenda!D66=0,"",[2]Legenda!D66)</f>
        <v/>
      </c>
      <c r="E66" s="1" t="str">
        <f>IF([2]Legenda!E66=0,"",[2]Legenda!E66)</f>
        <v/>
      </c>
      <c r="F66" s="1" t="str">
        <f>IF([2]Legenda!F66=0,"",[2]Legenda!F66)</f>
        <v/>
      </c>
      <c r="G66" s="1" t="str">
        <f>IF([2]Legenda!G66=0,"",[2]Legenda!G66)</f>
        <v/>
      </c>
      <c r="H66" s="1" t="str">
        <f>IF([2]Legenda!H66=0,"",[2]Legenda!H66)</f>
        <v/>
      </c>
      <c r="I66" s="1" t="str">
        <f>IF([2]Legenda!I66=0,"",[2]Legenda!I66)</f>
        <v/>
      </c>
      <c r="J66" s="1" t="str">
        <f>IF([2]Legenda!J66=0,"",[2]Legenda!J66)</f>
        <v/>
      </c>
      <c r="K66" s="1" t="str">
        <f>IF([2]Legenda!K66=0,"",[2]Legenda!K66)</f>
        <v/>
      </c>
      <c r="L66" s="1" t="str">
        <f>IF([2]Legenda!L66=0,"",[2]Legenda!L66)</f>
        <v/>
      </c>
      <c r="M66" s="1" t="str">
        <f>IF([2]Legenda!M66=0,"",[2]Legenda!M66)</f>
        <v/>
      </c>
      <c r="N66" s="1" t="str">
        <f>IF([2]Legenda!N66=0,"",[2]Legenda!N66)</f>
        <v/>
      </c>
    </row>
    <row r="67" spans="1:14" x14ac:dyDescent="0.25">
      <c r="A67" s="1" t="str">
        <f>IF([2]Legenda!A67=0,"",[2]Legenda!A67)</f>
        <v/>
      </c>
      <c r="B67" s="1" t="str">
        <f>IF([2]Legenda!B67=0,"",[2]Legenda!B67)</f>
        <v/>
      </c>
      <c r="C67" s="1" t="str">
        <f>IF([2]Legenda!C67=0,"",[2]Legenda!C67)</f>
        <v/>
      </c>
      <c r="D67" s="1" t="str">
        <f>IF([2]Legenda!D67=0,"",[2]Legenda!D67)</f>
        <v/>
      </c>
      <c r="E67" s="1" t="str">
        <f>IF([2]Legenda!E67=0,"",[2]Legenda!E67)</f>
        <v/>
      </c>
      <c r="F67" s="1" t="str">
        <f>IF([2]Legenda!F67=0,"",[2]Legenda!F67)</f>
        <v/>
      </c>
      <c r="G67" s="1" t="str">
        <f>IF([2]Legenda!G67=0,"",[2]Legenda!G67)</f>
        <v/>
      </c>
      <c r="H67" s="1" t="str">
        <f>IF([2]Legenda!H67=0,"",[2]Legenda!H67)</f>
        <v/>
      </c>
      <c r="I67" s="1" t="str">
        <f>IF([2]Legenda!I67=0,"",[2]Legenda!I67)</f>
        <v/>
      </c>
      <c r="J67" s="1" t="str">
        <f>IF([2]Legenda!J67=0,"",[2]Legenda!J67)</f>
        <v/>
      </c>
      <c r="K67" s="1" t="str">
        <f>IF([2]Legenda!K67=0,"",[2]Legenda!K67)</f>
        <v/>
      </c>
      <c r="L67" s="1" t="str">
        <f>IF([2]Legenda!L67=0,"",[2]Legenda!L67)</f>
        <v/>
      </c>
      <c r="M67" s="1" t="str">
        <f>IF([2]Legenda!M67=0,"",[2]Legenda!M67)</f>
        <v/>
      </c>
      <c r="N67" s="1" t="str">
        <f>IF([2]Legenda!N67=0,"",[2]Legenda!N67)</f>
        <v/>
      </c>
    </row>
    <row r="68" spans="1:14" x14ac:dyDescent="0.25">
      <c r="A68" s="1" t="str">
        <f>IF([2]Legenda!A68=0,"",[2]Legenda!A68)</f>
        <v/>
      </c>
      <c r="B68" s="1" t="str">
        <f>IF([2]Legenda!B68=0,"",[2]Legenda!B68)</f>
        <v/>
      </c>
      <c r="C68" s="1" t="str">
        <f>IF([2]Legenda!C68=0,"",[2]Legenda!C68)</f>
        <v/>
      </c>
      <c r="D68" s="1" t="str">
        <f>IF([2]Legenda!D68=0,"",[2]Legenda!D68)</f>
        <v/>
      </c>
      <c r="E68" s="1" t="str">
        <f>IF([2]Legenda!E68=0,"",[2]Legenda!E68)</f>
        <v/>
      </c>
      <c r="F68" s="1" t="str">
        <f>IF([2]Legenda!F68=0,"",[2]Legenda!F68)</f>
        <v/>
      </c>
      <c r="G68" s="1" t="str">
        <f>IF([2]Legenda!G68=0,"",[2]Legenda!G68)</f>
        <v/>
      </c>
      <c r="H68" s="1" t="str">
        <f>IF([2]Legenda!H68=0,"",[2]Legenda!H68)</f>
        <v/>
      </c>
      <c r="I68" s="1" t="str">
        <f>IF([2]Legenda!I68=0,"",[2]Legenda!I68)</f>
        <v/>
      </c>
      <c r="J68" s="1" t="str">
        <f>IF([2]Legenda!J68=0,"",[2]Legenda!J68)</f>
        <v/>
      </c>
      <c r="K68" s="1" t="str">
        <f>IF([2]Legenda!K68=0,"",[2]Legenda!K68)</f>
        <v/>
      </c>
      <c r="L68" s="1" t="str">
        <f>IF([2]Legenda!L68=0,"",[2]Legenda!L68)</f>
        <v/>
      </c>
      <c r="M68" s="1" t="str">
        <f>IF([2]Legenda!M68=0,"",[2]Legenda!M68)</f>
        <v/>
      </c>
      <c r="N68" s="1" t="str">
        <f>IF([2]Legenda!N68=0,"",[2]Legenda!N68)</f>
        <v/>
      </c>
    </row>
    <row r="69" spans="1:14" x14ac:dyDescent="0.25">
      <c r="A69" s="1" t="str">
        <f>IF([2]Legenda!A69=0,"",[2]Legenda!A69)</f>
        <v/>
      </c>
      <c r="B69" s="1" t="str">
        <f>IF([2]Legenda!B69=0,"",[2]Legenda!B69)</f>
        <v/>
      </c>
      <c r="C69" s="1" t="str">
        <f>IF([2]Legenda!C69=0,"",[2]Legenda!C69)</f>
        <v/>
      </c>
      <c r="D69" s="1" t="str">
        <f>IF([2]Legenda!D69=0,"",[2]Legenda!D69)</f>
        <v/>
      </c>
      <c r="E69" s="1" t="str">
        <f>IF([2]Legenda!E69=0,"",[2]Legenda!E69)</f>
        <v/>
      </c>
      <c r="F69" s="1" t="str">
        <f>IF([2]Legenda!F69=0,"",[2]Legenda!F69)</f>
        <v/>
      </c>
      <c r="G69" s="1" t="str">
        <f>IF([2]Legenda!G69=0,"",[2]Legenda!G69)</f>
        <v/>
      </c>
      <c r="H69" s="1" t="str">
        <f>IF([2]Legenda!H69=0,"",[2]Legenda!H69)</f>
        <v/>
      </c>
      <c r="I69" s="1" t="str">
        <f>IF([2]Legenda!I69=0,"",[2]Legenda!I69)</f>
        <v/>
      </c>
      <c r="J69" s="1" t="str">
        <f>IF([2]Legenda!J69=0,"",[2]Legenda!J69)</f>
        <v/>
      </c>
      <c r="K69" s="1" t="str">
        <f>IF([2]Legenda!K69=0,"",[2]Legenda!K69)</f>
        <v/>
      </c>
      <c r="L69" s="1" t="str">
        <f>IF([2]Legenda!L69=0,"",[2]Legenda!L69)</f>
        <v/>
      </c>
      <c r="M69" s="1" t="str">
        <f>IF([2]Legenda!M69=0,"",[2]Legenda!M69)</f>
        <v/>
      </c>
      <c r="N69" s="1" t="str">
        <f>IF([2]Legenda!N69=0,"",[2]Legenda!N69)</f>
        <v/>
      </c>
    </row>
    <row r="70" spans="1:14" x14ac:dyDescent="0.25">
      <c r="A70" s="1" t="str">
        <f>IF([2]Legenda!A70=0,"",[2]Legenda!A70)</f>
        <v/>
      </c>
      <c r="B70" s="1" t="str">
        <f>IF([2]Legenda!B70=0,"",[2]Legenda!B70)</f>
        <v/>
      </c>
      <c r="C70" s="1" t="str">
        <f>IF([2]Legenda!C70=0,"",[2]Legenda!C70)</f>
        <v/>
      </c>
      <c r="D70" s="1" t="str">
        <f>IF([2]Legenda!D70=0,"",[2]Legenda!D70)</f>
        <v/>
      </c>
      <c r="E70" s="1" t="str">
        <f>IF([2]Legenda!E70=0,"",[2]Legenda!E70)</f>
        <v/>
      </c>
      <c r="F70" s="1" t="str">
        <f>IF([2]Legenda!F70=0,"",[2]Legenda!F70)</f>
        <v/>
      </c>
      <c r="G70" s="1" t="str">
        <f>IF([2]Legenda!G70=0,"",[2]Legenda!G70)</f>
        <v/>
      </c>
      <c r="H70" s="1" t="str">
        <f>IF([2]Legenda!H70=0,"",[2]Legenda!H70)</f>
        <v/>
      </c>
      <c r="I70" s="1" t="str">
        <f>IF([2]Legenda!I70=0,"",[2]Legenda!I70)</f>
        <v/>
      </c>
      <c r="J70" s="1" t="str">
        <f>IF([2]Legenda!J70=0,"",[2]Legenda!J70)</f>
        <v/>
      </c>
      <c r="K70" s="1" t="str">
        <f>IF([2]Legenda!K70=0,"",[2]Legenda!K70)</f>
        <v/>
      </c>
      <c r="L70" s="1" t="str">
        <f>IF([2]Legenda!L70=0,"",[2]Legenda!L70)</f>
        <v/>
      </c>
      <c r="M70" s="1" t="str">
        <f>IF([2]Legenda!M70=0,"",[2]Legenda!M70)</f>
        <v/>
      </c>
      <c r="N70" s="1" t="str">
        <f>IF([2]Legenda!N70=0,"",[2]Legenda!N70)</f>
        <v/>
      </c>
    </row>
    <row r="71" spans="1:14" x14ac:dyDescent="0.25">
      <c r="A71" s="1" t="str">
        <f>IF([2]Legenda!A71=0,"",[2]Legenda!A71)</f>
        <v/>
      </c>
      <c r="B71" s="1" t="str">
        <f>IF([2]Legenda!B71=0,"",[2]Legenda!B71)</f>
        <v/>
      </c>
      <c r="C71" s="1" t="str">
        <f>IF([2]Legenda!C71=0,"",[2]Legenda!C71)</f>
        <v/>
      </c>
      <c r="D71" s="1" t="str">
        <f>IF([2]Legenda!D71=0,"",[2]Legenda!D71)</f>
        <v/>
      </c>
      <c r="E71" s="1" t="str">
        <f>IF([2]Legenda!E71=0,"",[2]Legenda!E71)</f>
        <v/>
      </c>
      <c r="F71" s="1" t="str">
        <f>IF([2]Legenda!F71=0,"",[2]Legenda!F71)</f>
        <v/>
      </c>
      <c r="G71" s="1" t="str">
        <f>IF([2]Legenda!G71=0,"",[2]Legenda!G71)</f>
        <v/>
      </c>
      <c r="H71" s="1" t="str">
        <f>IF([2]Legenda!H71=0,"",[2]Legenda!H71)</f>
        <v/>
      </c>
      <c r="I71" s="1" t="str">
        <f>IF([2]Legenda!I71=0,"",[2]Legenda!I71)</f>
        <v/>
      </c>
      <c r="J71" s="1" t="str">
        <f>IF([2]Legenda!J71=0,"",[2]Legenda!J71)</f>
        <v/>
      </c>
      <c r="K71" s="1" t="str">
        <f>IF([2]Legenda!K71=0,"",[2]Legenda!K71)</f>
        <v/>
      </c>
      <c r="L71" s="1" t="str">
        <f>IF([2]Legenda!L71=0,"",[2]Legenda!L71)</f>
        <v/>
      </c>
      <c r="M71" s="1" t="str">
        <f>IF([2]Legenda!M71=0,"",[2]Legenda!M71)</f>
        <v/>
      </c>
      <c r="N71" s="1" t="str">
        <f>IF([2]Legenda!N71=0,"",[2]Legenda!N71)</f>
        <v/>
      </c>
    </row>
    <row r="72" spans="1:14" x14ac:dyDescent="0.25">
      <c r="A72" s="1" t="str">
        <f>IF([2]Legenda!A72=0,"",[2]Legenda!A72)</f>
        <v/>
      </c>
      <c r="B72" s="1" t="str">
        <f>IF([2]Legenda!B72=0,"",[2]Legenda!B72)</f>
        <v/>
      </c>
      <c r="C72" s="1" t="str">
        <f>IF([2]Legenda!C72=0,"",[2]Legenda!C72)</f>
        <v/>
      </c>
      <c r="D72" s="1" t="str">
        <f>IF([2]Legenda!D72=0,"",[2]Legenda!D72)</f>
        <v/>
      </c>
      <c r="E72" s="1" t="str">
        <f>IF([2]Legenda!E72=0,"",[2]Legenda!E72)</f>
        <v/>
      </c>
      <c r="F72" s="1" t="str">
        <f>IF([2]Legenda!F72=0,"",[2]Legenda!F72)</f>
        <v/>
      </c>
      <c r="G72" s="1" t="str">
        <f>IF([2]Legenda!G72=0,"",[2]Legenda!G72)</f>
        <v/>
      </c>
      <c r="H72" s="1" t="str">
        <f>IF([2]Legenda!H72=0,"",[2]Legenda!H72)</f>
        <v/>
      </c>
      <c r="I72" s="1" t="str">
        <f>IF([2]Legenda!I72=0,"",[2]Legenda!I72)</f>
        <v/>
      </c>
      <c r="J72" s="1" t="str">
        <f>IF([2]Legenda!J72=0,"",[2]Legenda!J72)</f>
        <v/>
      </c>
      <c r="K72" s="1" t="str">
        <f>IF([2]Legenda!K72=0,"",[2]Legenda!K72)</f>
        <v/>
      </c>
      <c r="L72" s="1" t="str">
        <f>IF([2]Legenda!L72=0,"",[2]Legenda!L72)</f>
        <v/>
      </c>
      <c r="M72" s="1" t="str">
        <f>IF([2]Legenda!M72=0,"",[2]Legenda!M72)</f>
        <v/>
      </c>
      <c r="N72" s="1" t="str">
        <f>IF([2]Legenda!N72=0,"",[2]Legenda!N72)</f>
        <v/>
      </c>
    </row>
    <row r="73" spans="1:14" x14ac:dyDescent="0.25">
      <c r="A73" s="1" t="str">
        <f>IF([2]Legenda!A73=0,"",[2]Legenda!A73)</f>
        <v/>
      </c>
      <c r="B73" s="1" t="str">
        <f>IF([2]Legenda!B73=0,"",[2]Legenda!B73)</f>
        <v/>
      </c>
      <c r="C73" s="1" t="str">
        <f>IF([2]Legenda!C73=0,"",[2]Legenda!C73)</f>
        <v/>
      </c>
      <c r="D73" s="1" t="str">
        <f>IF([2]Legenda!D73=0,"",[2]Legenda!D73)</f>
        <v/>
      </c>
      <c r="E73" s="1" t="str">
        <f>IF([2]Legenda!E73=0,"",[2]Legenda!E73)</f>
        <v/>
      </c>
      <c r="F73" s="1" t="str">
        <f>IF([2]Legenda!F73=0,"",[2]Legenda!F73)</f>
        <v/>
      </c>
      <c r="G73" s="1" t="str">
        <f>IF([2]Legenda!G73=0,"",[2]Legenda!G73)</f>
        <v/>
      </c>
      <c r="H73" s="1" t="str">
        <f>IF([2]Legenda!H73=0,"",[2]Legenda!H73)</f>
        <v/>
      </c>
      <c r="I73" s="1" t="str">
        <f>IF([2]Legenda!I73=0,"",[2]Legenda!I73)</f>
        <v/>
      </c>
      <c r="J73" s="1" t="str">
        <f>IF([2]Legenda!J73=0,"",[2]Legenda!J73)</f>
        <v/>
      </c>
      <c r="K73" s="1" t="str">
        <f>IF([2]Legenda!K73=0,"",[2]Legenda!K73)</f>
        <v/>
      </c>
      <c r="L73" s="1" t="str">
        <f>IF([2]Legenda!L73=0,"",[2]Legenda!L73)</f>
        <v/>
      </c>
      <c r="M73" s="1" t="str">
        <f>IF([2]Legenda!M73=0,"",[2]Legenda!M73)</f>
        <v/>
      </c>
      <c r="N73" s="1" t="str">
        <f>IF([2]Legenda!N73=0,"",[2]Legenda!N73)</f>
        <v/>
      </c>
    </row>
    <row r="74" spans="1:14" x14ac:dyDescent="0.25">
      <c r="A74" s="1" t="str">
        <f>IF([2]Legenda!A74=0,"",[2]Legenda!A74)</f>
        <v/>
      </c>
      <c r="B74" s="1" t="str">
        <f>IF([2]Legenda!B74=0,"",[2]Legenda!B74)</f>
        <v/>
      </c>
      <c r="C74" s="1" t="str">
        <f>IF([2]Legenda!C74=0,"",[2]Legenda!C74)</f>
        <v/>
      </c>
      <c r="D74" s="1" t="str">
        <f>IF([2]Legenda!D74=0,"",[2]Legenda!D74)</f>
        <v/>
      </c>
      <c r="E74" s="1" t="str">
        <f>IF([2]Legenda!E74=0,"",[2]Legenda!E74)</f>
        <v/>
      </c>
      <c r="F74" s="1" t="str">
        <f>IF([2]Legenda!F74=0,"",[2]Legenda!F74)</f>
        <v/>
      </c>
      <c r="G74" s="1" t="str">
        <f>IF([2]Legenda!G74=0,"",[2]Legenda!G74)</f>
        <v/>
      </c>
      <c r="H74" s="1" t="str">
        <f>IF([2]Legenda!H74=0,"",[2]Legenda!H74)</f>
        <v/>
      </c>
      <c r="I74" s="1" t="str">
        <f>IF([2]Legenda!I74=0,"",[2]Legenda!I74)</f>
        <v/>
      </c>
      <c r="J74" s="1" t="str">
        <f>IF([2]Legenda!J74=0,"",[2]Legenda!J74)</f>
        <v/>
      </c>
      <c r="K74" s="1" t="str">
        <f>IF([2]Legenda!K74=0,"",[2]Legenda!K74)</f>
        <v/>
      </c>
      <c r="L74" s="1" t="str">
        <f>IF([2]Legenda!L74=0,"",[2]Legenda!L74)</f>
        <v/>
      </c>
      <c r="M74" s="1" t="str">
        <f>IF([2]Legenda!M74=0,"",[2]Legenda!M74)</f>
        <v/>
      </c>
      <c r="N74" s="1" t="str">
        <f>IF([2]Legenda!N74=0,"",[2]Legenda!N74)</f>
        <v/>
      </c>
    </row>
    <row r="75" spans="1:14" x14ac:dyDescent="0.25">
      <c r="A75" s="1" t="str">
        <f>IF([2]Legenda!A75=0,"",[2]Legenda!A75)</f>
        <v/>
      </c>
      <c r="B75" s="1" t="str">
        <f>IF([2]Legenda!B75=0,"",[2]Legenda!B75)</f>
        <v/>
      </c>
      <c r="C75" s="1" t="str">
        <f>IF([2]Legenda!C75=0,"",[2]Legenda!C75)</f>
        <v/>
      </c>
      <c r="D75" s="1" t="str">
        <f>IF([2]Legenda!D75=0,"",[2]Legenda!D75)</f>
        <v/>
      </c>
      <c r="E75" s="1" t="str">
        <f>IF([2]Legenda!E75=0,"",[2]Legenda!E75)</f>
        <v/>
      </c>
      <c r="F75" s="1" t="str">
        <f>IF([2]Legenda!F75=0,"",[2]Legenda!F75)</f>
        <v/>
      </c>
      <c r="G75" s="1" t="str">
        <f>IF([2]Legenda!G75=0,"",[2]Legenda!G75)</f>
        <v/>
      </c>
      <c r="H75" s="1" t="str">
        <f>IF([2]Legenda!H75=0,"",[2]Legenda!H75)</f>
        <v/>
      </c>
      <c r="I75" s="1" t="str">
        <f>IF([2]Legenda!I75=0,"",[2]Legenda!I75)</f>
        <v/>
      </c>
      <c r="J75" s="1" t="str">
        <f>IF([2]Legenda!J75=0,"",[2]Legenda!J75)</f>
        <v/>
      </c>
      <c r="K75" s="1" t="str">
        <f>IF([2]Legenda!K75=0,"",[2]Legenda!K75)</f>
        <v/>
      </c>
      <c r="L75" s="1" t="str">
        <f>IF([2]Legenda!L75=0,"",[2]Legenda!L75)</f>
        <v/>
      </c>
      <c r="M75" s="1" t="str">
        <f>IF([2]Legenda!M75=0,"",[2]Legenda!M75)</f>
        <v/>
      </c>
      <c r="N75" s="1" t="str">
        <f>IF([2]Legenda!N75=0,"",[2]Legenda!N75)</f>
        <v/>
      </c>
    </row>
    <row r="76" spans="1:14" x14ac:dyDescent="0.25">
      <c r="A76" s="1" t="str">
        <f>IF([2]Legenda!A76=0,"",[2]Legenda!A76)</f>
        <v/>
      </c>
      <c r="B76" s="1" t="str">
        <f>IF([2]Legenda!B76=0,"",[2]Legenda!B76)</f>
        <v/>
      </c>
      <c r="C76" s="1" t="str">
        <f>IF([2]Legenda!C76=0,"",[2]Legenda!C76)</f>
        <v/>
      </c>
      <c r="D76" s="1" t="str">
        <f>IF([2]Legenda!D76=0,"",[2]Legenda!D76)</f>
        <v/>
      </c>
      <c r="E76" s="1" t="str">
        <f>IF([2]Legenda!E76=0,"",[2]Legenda!E76)</f>
        <v/>
      </c>
      <c r="F76" s="1" t="str">
        <f>IF([2]Legenda!F76=0,"",[2]Legenda!F76)</f>
        <v/>
      </c>
      <c r="G76" s="1" t="str">
        <f>IF([2]Legenda!G76=0,"",[2]Legenda!G76)</f>
        <v/>
      </c>
      <c r="H76" s="1" t="str">
        <f>IF([2]Legenda!H76=0,"",[2]Legenda!H76)</f>
        <v/>
      </c>
      <c r="I76" s="1" t="str">
        <f>IF([2]Legenda!I76=0,"",[2]Legenda!I76)</f>
        <v/>
      </c>
      <c r="J76" s="1" t="str">
        <f>IF([2]Legenda!J76=0,"",[2]Legenda!J76)</f>
        <v/>
      </c>
      <c r="K76" s="1" t="str">
        <f>IF([2]Legenda!K76=0,"",[2]Legenda!K76)</f>
        <v/>
      </c>
      <c r="L76" s="1" t="str">
        <f>IF([2]Legenda!L76=0,"",[2]Legenda!L76)</f>
        <v/>
      </c>
      <c r="M76" s="1" t="str">
        <f>IF([2]Legenda!M76=0,"",[2]Legenda!M76)</f>
        <v/>
      </c>
      <c r="N76" s="1" t="str">
        <f>IF([2]Legenda!N76=0,"",[2]Legenda!N76)</f>
        <v/>
      </c>
    </row>
    <row r="77" spans="1:14" x14ac:dyDescent="0.25">
      <c r="A77" s="1" t="str">
        <f>IF([2]Legenda!A77=0,"",[2]Legenda!A77)</f>
        <v/>
      </c>
      <c r="B77" s="1" t="str">
        <f>IF([2]Legenda!B77=0,"",[2]Legenda!B77)</f>
        <v/>
      </c>
      <c r="C77" s="1" t="str">
        <f>IF([2]Legenda!C77=0,"",[2]Legenda!C77)</f>
        <v/>
      </c>
      <c r="D77" s="1" t="str">
        <f>IF([2]Legenda!D77=0,"",[2]Legenda!D77)</f>
        <v/>
      </c>
      <c r="E77" s="1" t="str">
        <f>IF([2]Legenda!E77=0,"",[2]Legenda!E77)</f>
        <v/>
      </c>
      <c r="F77" s="1" t="str">
        <f>IF([2]Legenda!F77=0,"",[2]Legenda!F77)</f>
        <v/>
      </c>
      <c r="G77" s="1" t="str">
        <f>IF([2]Legenda!G77=0,"",[2]Legenda!G77)</f>
        <v/>
      </c>
      <c r="H77" s="1" t="str">
        <f>IF([2]Legenda!H77=0,"",[2]Legenda!H77)</f>
        <v/>
      </c>
      <c r="I77" s="1" t="str">
        <f>IF([2]Legenda!I77=0,"",[2]Legenda!I77)</f>
        <v/>
      </c>
      <c r="J77" s="1" t="str">
        <f>IF([2]Legenda!J77=0,"",[2]Legenda!J77)</f>
        <v/>
      </c>
      <c r="K77" s="1" t="str">
        <f>IF([2]Legenda!K77=0,"",[2]Legenda!K77)</f>
        <v/>
      </c>
      <c r="L77" s="1" t="str">
        <f>IF([2]Legenda!L77=0,"",[2]Legenda!L77)</f>
        <v/>
      </c>
      <c r="M77" s="1" t="str">
        <f>IF([2]Legenda!M77=0,"",[2]Legenda!M77)</f>
        <v/>
      </c>
      <c r="N77" s="1" t="str">
        <f>IF([2]Legenda!N77=0,"",[2]Legenda!N77)</f>
        <v/>
      </c>
    </row>
    <row r="78" spans="1:14" x14ac:dyDescent="0.25">
      <c r="A78" s="1" t="str">
        <f>IF([2]Legenda!A78=0,"",[2]Legenda!A78)</f>
        <v/>
      </c>
      <c r="B78" s="1" t="str">
        <f>IF([2]Legenda!B78=0,"",[2]Legenda!B78)</f>
        <v/>
      </c>
      <c r="C78" s="1" t="str">
        <f>IF([2]Legenda!C78=0,"",[2]Legenda!C78)</f>
        <v/>
      </c>
      <c r="D78" s="1" t="str">
        <f>IF([2]Legenda!D78=0,"",[2]Legenda!D78)</f>
        <v/>
      </c>
      <c r="E78" s="1" t="str">
        <f>IF([2]Legenda!E78=0,"",[2]Legenda!E78)</f>
        <v/>
      </c>
      <c r="F78" s="1" t="str">
        <f>IF([2]Legenda!F78=0,"",[2]Legenda!F78)</f>
        <v/>
      </c>
      <c r="G78" s="1" t="str">
        <f>IF([2]Legenda!G78=0,"",[2]Legenda!G78)</f>
        <v/>
      </c>
      <c r="H78" s="1" t="str">
        <f>IF([2]Legenda!H78=0,"",[2]Legenda!H78)</f>
        <v/>
      </c>
      <c r="I78" s="1" t="str">
        <f>IF([2]Legenda!I78=0,"",[2]Legenda!I78)</f>
        <v/>
      </c>
      <c r="J78" s="1" t="str">
        <f>IF([2]Legenda!J78=0,"",[2]Legenda!J78)</f>
        <v/>
      </c>
      <c r="K78" s="1" t="str">
        <f>IF([2]Legenda!K78=0,"",[2]Legenda!K78)</f>
        <v/>
      </c>
      <c r="L78" s="1" t="str">
        <f>IF([2]Legenda!L78=0,"",[2]Legenda!L78)</f>
        <v/>
      </c>
      <c r="M78" s="1" t="str">
        <f>IF([2]Legenda!M78=0,"",[2]Legenda!M78)</f>
        <v/>
      </c>
      <c r="N78" s="1" t="str">
        <f>IF([2]Legenda!N78=0,"",[2]Legenda!N78)</f>
        <v/>
      </c>
    </row>
    <row r="79" spans="1:14" x14ac:dyDescent="0.25">
      <c r="A79" s="1" t="str">
        <f>IF([2]Legenda!A79=0,"",[2]Legenda!A79)</f>
        <v/>
      </c>
      <c r="B79" s="1" t="str">
        <f>IF([2]Legenda!B79=0,"",[2]Legenda!B79)</f>
        <v/>
      </c>
      <c r="C79" s="1" t="str">
        <f>IF([2]Legenda!C79=0,"",[2]Legenda!C79)</f>
        <v/>
      </c>
      <c r="D79" s="1" t="str">
        <f>IF([2]Legenda!D79=0,"",[2]Legenda!D79)</f>
        <v/>
      </c>
      <c r="E79" s="1" t="str">
        <f>IF([2]Legenda!E79=0,"",[2]Legenda!E79)</f>
        <v/>
      </c>
      <c r="F79" s="1" t="str">
        <f>IF([2]Legenda!F79=0,"",[2]Legenda!F79)</f>
        <v/>
      </c>
      <c r="G79" s="1" t="str">
        <f>IF([2]Legenda!G79=0,"",[2]Legenda!G79)</f>
        <v/>
      </c>
      <c r="H79" s="1" t="str">
        <f>IF([2]Legenda!H79=0,"",[2]Legenda!H79)</f>
        <v/>
      </c>
      <c r="I79" s="1" t="str">
        <f>IF([2]Legenda!I79=0,"",[2]Legenda!I79)</f>
        <v/>
      </c>
      <c r="J79" s="1" t="str">
        <f>IF([2]Legenda!J79=0,"",[2]Legenda!J79)</f>
        <v/>
      </c>
      <c r="K79" s="1" t="str">
        <f>IF([2]Legenda!K79=0,"",[2]Legenda!K79)</f>
        <v/>
      </c>
      <c r="L79" s="1" t="str">
        <f>IF([2]Legenda!L79=0,"",[2]Legenda!L79)</f>
        <v/>
      </c>
      <c r="M79" s="1" t="str">
        <f>IF([2]Legenda!M79=0,"",[2]Legenda!M79)</f>
        <v/>
      </c>
      <c r="N79" s="1" t="str">
        <f>IF([2]Legenda!N79=0,"",[2]Legenda!N79)</f>
        <v/>
      </c>
    </row>
    <row r="80" spans="1:14" x14ac:dyDescent="0.25">
      <c r="A80" s="1" t="str">
        <f>IF([2]Legenda!A80=0,"",[2]Legenda!A80)</f>
        <v/>
      </c>
      <c r="B80" s="1" t="str">
        <f>IF([2]Legenda!B80=0,"",[2]Legenda!B80)</f>
        <v/>
      </c>
      <c r="C80" s="1" t="str">
        <f>IF([2]Legenda!C80=0,"",[2]Legenda!C80)</f>
        <v/>
      </c>
      <c r="D80" s="1" t="str">
        <f>IF([2]Legenda!D80=0,"",[2]Legenda!D80)</f>
        <v/>
      </c>
      <c r="E80" s="1" t="str">
        <f>IF([2]Legenda!E80=0,"",[2]Legenda!E80)</f>
        <v/>
      </c>
      <c r="F80" s="1" t="str">
        <f>IF([2]Legenda!F80=0,"",[2]Legenda!F80)</f>
        <v/>
      </c>
      <c r="G80" s="1" t="str">
        <f>IF([2]Legenda!G80=0,"",[2]Legenda!G80)</f>
        <v/>
      </c>
      <c r="H80" s="1" t="str">
        <f>IF([2]Legenda!H80=0,"",[2]Legenda!H80)</f>
        <v/>
      </c>
      <c r="I80" s="1" t="str">
        <f>IF([2]Legenda!I80=0,"",[2]Legenda!I80)</f>
        <v/>
      </c>
      <c r="J80" s="1" t="str">
        <f>IF([2]Legenda!J80=0,"",[2]Legenda!J80)</f>
        <v/>
      </c>
      <c r="K80" s="1" t="str">
        <f>IF([2]Legenda!K80=0,"",[2]Legenda!K80)</f>
        <v/>
      </c>
      <c r="L80" s="1" t="str">
        <f>IF([2]Legenda!L80=0,"",[2]Legenda!L80)</f>
        <v/>
      </c>
      <c r="M80" s="1" t="str">
        <f>IF([2]Legenda!M80=0,"",[2]Legenda!M80)</f>
        <v/>
      </c>
      <c r="N80" s="1" t="str">
        <f>IF([2]Legenda!N80=0,"",[2]Legenda!N80)</f>
        <v/>
      </c>
    </row>
    <row r="81" spans="1:14" x14ac:dyDescent="0.25">
      <c r="A81" s="1" t="str">
        <f>IF([2]Legenda!A81=0,"",[2]Legenda!A81)</f>
        <v/>
      </c>
      <c r="B81" s="1" t="str">
        <f>IF([2]Legenda!B81=0,"",[2]Legenda!B81)</f>
        <v/>
      </c>
      <c r="C81" s="1" t="str">
        <f>IF([2]Legenda!C81=0,"",[2]Legenda!C81)</f>
        <v/>
      </c>
      <c r="D81" s="1" t="str">
        <f>IF([2]Legenda!D81=0,"",[2]Legenda!D81)</f>
        <v/>
      </c>
      <c r="E81" s="1" t="str">
        <f>IF([2]Legenda!E81=0,"",[2]Legenda!E81)</f>
        <v/>
      </c>
      <c r="F81" s="1" t="str">
        <f>IF([2]Legenda!F81=0,"",[2]Legenda!F81)</f>
        <v/>
      </c>
      <c r="G81" s="1" t="str">
        <f>IF([2]Legenda!G81=0,"",[2]Legenda!G81)</f>
        <v/>
      </c>
      <c r="H81" s="1" t="str">
        <f>IF([2]Legenda!H81=0,"",[2]Legenda!H81)</f>
        <v/>
      </c>
      <c r="I81" s="1" t="str">
        <f>IF([2]Legenda!I81=0,"",[2]Legenda!I81)</f>
        <v/>
      </c>
      <c r="J81" s="1" t="str">
        <f>IF([2]Legenda!J81=0,"",[2]Legenda!J81)</f>
        <v/>
      </c>
      <c r="K81" s="1" t="str">
        <f>IF([2]Legenda!K81=0,"",[2]Legenda!K81)</f>
        <v/>
      </c>
      <c r="L81" s="1" t="str">
        <f>IF([2]Legenda!L81=0,"",[2]Legenda!L81)</f>
        <v/>
      </c>
      <c r="M81" s="1" t="str">
        <f>IF([2]Legenda!M81=0,"",[2]Legenda!M81)</f>
        <v/>
      </c>
      <c r="N81" s="1" t="str">
        <f>IF([2]Legenda!N81=0,"",[2]Legenda!N81)</f>
        <v/>
      </c>
    </row>
    <row r="82" spans="1:14" x14ac:dyDescent="0.25">
      <c r="A82" s="1" t="str">
        <f>IF([2]Legenda!A82=0,"",[2]Legenda!A82)</f>
        <v/>
      </c>
      <c r="B82" s="1" t="str">
        <f>IF([2]Legenda!B82=0,"",[2]Legenda!B82)</f>
        <v/>
      </c>
      <c r="C82" s="1" t="str">
        <f>IF([2]Legenda!C82=0,"",[2]Legenda!C82)</f>
        <v/>
      </c>
      <c r="D82" s="1" t="str">
        <f>IF([2]Legenda!D82=0,"",[2]Legenda!D82)</f>
        <v/>
      </c>
      <c r="E82" s="1" t="str">
        <f>IF([2]Legenda!E82=0,"",[2]Legenda!E82)</f>
        <v/>
      </c>
      <c r="F82" s="1" t="str">
        <f>IF([2]Legenda!F82=0,"",[2]Legenda!F82)</f>
        <v/>
      </c>
      <c r="G82" s="1" t="str">
        <f>IF([2]Legenda!G82=0,"",[2]Legenda!G82)</f>
        <v/>
      </c>
      <c r="H82" s="1" t="str">
        <f>IF([2]Legenda!H82=0,"",[2]Legenda!H82)</f>
        <v/>
      </c>
      <c r="I82" s="1" t="str">
        <f>IF([2]Legenda!I82=0,"",[2]Legenda!I82)</f>
        <v/>
      </c>
      <c r="J82" s="1" t="str">
        <f>IF([2]Legenda!J82=0,"",[2]Legenda!J82)</f>
        <v/>
      </c>
      <c r="K82" s="1" t="str">
        <f>IF([2]Legenda!K82=0,"",[2]Legenda!K82)</f>
        <v/>
      </c>
      <c r="L82" s="1" t="str">
        <f>IF([2]Legenda!L82=0,"",[2]Legenda!L82)</f>
        <v/>
      </c>
      <c r="M82" s="1" t="str">
        <f>IF([2]Legenda!M82=0,"",[2]Legenda!M82)</f>
        <v/>
      </c>
      <c r="N82" s="1" t="str">
        <f>IF([2]Legenda!N82=0,"",[2]Legenda!N82)</f>
        <v/>
      </c>
    </row>
    <row r="83" spans="1:14" x14ac:dyDescent="0.25">
      <c r="A83" s="1" t="str">
        <f>IF([2]Legenda!A83=0,"",[2]Legenda!A83)</f>
        <v/>
      </c>
      <c r="B83" s="1" t="str">
        <f>IF([2]Legenda!B83=0,"",[2]Legenda!B83)</f>
        <v/>
      </c>
      <c r="C83" s="1" t="str">
        <f>IF([2]Legenda!C83=0,"",[2]Legenda!C83)</f>
        <v/>
      </c>
      <c r="D83" s="1" t="str">
        <f>IF([2]Legenda!D83=0,"",[2]Legenda!D83)</f>
        <v/>
      </c>
      <c r="E83" s="1" t="str">
        <f>IF([2]Legenda!E83=0,"",[2]Legenda!E83)</f>
        <v/>
      </c>
      <c r="F83" s="1" t="str">
        <f>IF([2]Legenda!F83=0,"",[2]Legenda!F83)</f>
        <v/>
      </c>
      <c r="G83" s="1" t="str">
        <f>IF([2]Legenda!G83=0,"",[2]Legenda!G83)</f>
        <v/>
      </c>
      <c r="H83" s="1" t="str">
        <f>IF([2]Legenda!H83=0,"",[2]Legenda!H83)</f>
        <v/>
      </c>
      <c r="I83" s="1" t="str">
        <f>IF([2]Legenda!I83=0,"",[2]Legenda!I83)</f>
        <v/>
      </c>
      <c r="J83" s="1" t="str">
        <f>IF([2]Legenda!J83=0,"",[2]Legenda!J83)</f>
        <v/>
      </c>
      <c r="K83" s="1" t="str">
        <f>IF([2]Legenda!K83=0,"",[2]Legenda!K83)</f>
        <v/>
      </c>
      <c r="L83" s="1" t="str">
        <f>IF([2]Legenda!L83=0,"",[2]Legenda!L83)</f>
        <v/>
      </c>
      <c r="M83" s="1" t="str">
        <f>IF([2]Legenda!M83=0,"",[2]Legenda!M83)</f>
        <v/>
      </c>
      <c r="N83" s="1" t="str">
        <f>IF([2]Legenda!N83=0,"",[2]Legenda!N83)</f>
        <v/>
      </c>
    </row>
    <row r="84" spans="1:14" x14ac:dyDescent="0.25">
      <c r="A84" s="1" t="str">
        <f>IF([2]Legenda!A84=0,"",[2]Legenda!A84)</f>
        <v/>
      </c>
      <c r="B84" s="1" t="str">
        <f>IF([2]Legenda!B84=0,"",[2]Legenda!B84)</f>
        <v/>
      </c>
      <c r="C84" s="1" t="str">
        <f>IF([2]Legenda!C84=0,"",[2]Legenda!C84)</f>
        <v/>
      </c>
      <c r="D84" s="1" t="str">
        <f>IF([2]Legenda!D84=0,"",[2]Legenda!D84)</f>
        <v/>
      </c>
      <c r="E84" s="1" t="str">
        <f>IF([2]Legenda!E84=0,"",[2]Legenda!E84)</f>
        <v/>
      </c>
      <c r="F84" s="1" t="str">
        <f>IF([2]Legenda!F84=0,"",[2]Legenda!F84)</f>
        <v/>
      </c>
      <c r="G84" s="1" t="str">
        <f>IF([2]Legenda!G84=0,"",[2]Legenda!G84)</f>
        <v/>
      </c>
      <c r="H84" s="1" t="str">
        <f>IF([2]Legenda!H84=0,"",[2]Legenda!H84)</f>
        <v/>
      </c>
      <c r="I84" s="1" t="str">
        <f>IF([2]Legenda!I84=0,"",[2]Legenda!I84)</f>
        <v/>
      </c>
      <c r="J84" s="1" t="str">
        <f>IF([2]Legenda!J84=0,"",[2]Legenda!J84)</f>
        <v/>
      </c>
      <c r="K84" s="1" t="str">
        <f>IF([2]Legenda!K84=0,"",[2]Legenda!K84)</f>
        <v/>
      </c>
      <c r="L84" s="1" t="str">
        <f>IF([2]Legenda!L84=0,"",[2]Legenda!L84)</f>
        <v/>
      </c>
      <c r="M84" s="1" t="str">
        <f>IF([2]Legenda!M84=0,"",[2]Legenda!M84)</f>
        <v/>
      </c>
      <c r="N84" s="1" t="str">
        <f>IF([2]Legenda!N84=0,"",[2]Legenda!N84)</f>
        <v/>
      </c>
    </row>
    <row r="85" spans="1:14" x14ac:dyDescent="0.25">
      <c r="A85" s="1" t="str">
        <f>IF([2]Legenda!A85=0,"",[2]Legenda!A85)</f>
        <v/>
      </c>
      <c r="B85" s="1" t="str">
        <f>IF([2]Legenda!B85=0,"",[2]Legenda!B85)</f>
        <v/>
      </c>
      <c r="C85" s="1" t="str">
        <f>IF([2]Legenda!C85=0,"",[2]Legenda!C85)</f>
        <v/>
      </c>
      <c r="D85" s="1" t="str">
        <f>IF([2]Legenda!D85=0,"",[2]Legenda!D85)</f>
        <v/>
      </c>
      <c r="E85" s="1" t="str">
        <f>IF([2]Legenda!E85=0,"",[2]Legenda!E85)</f>
        <v/>
      </c>
      <c r="F85" s="1" t="str">
        <f>IF([2]Legenda!F85=0,"",[2]Legenda!F85)</f>
        <v/>
      </c>
      <c r="G85" s="1" t="str">
        <f>IF([2]Legenda!G85=0,"",[2]Legenda!G85)</f>
        <v/>
      </c>
      <c r="H85" s="1" t="str">
        <f>IF([2]Legenda!H85=0,"",[2]Legenda!H85)</f>
        <v/>
      </c>
      <c r="I85" s="1" t="str">
        <f>IF([2]Legenda!I85=0,"",[2]Legenda!I85)</f>
        <v/>
      </c>
      <c r="J85" s="1" t="str">
        <f>IF([2]Legenda!J85=0,"",[2]Legenda!J85)</f>
        <v/>
      </c>
      <c r="K85" s="1" t="str">
        <f>IF([2]Legenda!K85=0,"",[2]Legenda!K85)</f>
        <v/>
      </c>
      <c r="L85" s="1" t="str">
        <f>IF([2]Legenda!L85=0,"",[2]Legenda!L85)</f>
        <v/>
      </c>
      <c r="M85" s="1" t="str">
        <f>IF([2]Legenda!M85=0,"",[2]Legenda!M85)</f>
        <v/>
      </c>
      <c r="N85" s="1" t="str">
        <f>IF([2]Legenda!N85=0,"",[2]Legenda!N85)</f>
        <v/>
      </c>
    </row>
    <row r="86" spans="1:14" x14ac:dyDescent="0.25">
      <c r="A86" s="1" t="str">
        <f>IF([2]Legenda!A86=0,"",[2]Legenda!A86)</f>
        <v/>
      </c>
      <c r="B86" s="1" t="str">
        <f>IF([2]Legenda!B86=0,"",[2]Legenda!B86)</f>
        <v/>
      </c>
      <c r="C86" s="1" t="str">
        <f>IF([2]Legenda!C86=0,"",[2]Legenda!C86)</f>
        <v/>
      </c>
      <c r="D86" s="1" t="str">
        <f>IF([2]Legenda!D86=0,"",[2]Legenda!D86)</f>
        <v/>
      </c>
      <c r="E86" s="1" t="str">
        <f>IF([2]Legenda!E86=0,"",[2]Legenda!E86)</f>
        <v/>
      </c>
      <c r="F86" s="1" t="str">
        <f>IF([2]Legenda!F86=0,"",[2]Legenda!F86)</f>
        <v/>
      </c>
      <c r="G86" s="1" t="str">
        <f>IF([2]Legenda!G86=0,"",[2]Legenda!G86)</f>
        <v/>
      </c>
      <c r="H86" s="1" t="str">
        <f>IF([2]Legenda!H86=0,"",[2]Legenda!H86)</f>
        <v/>
      </c>
      <c r="I86" s="1" t="str">
        <f>IF([2]Legenda!I86=0,"",[2]Legenda!I86)</f>
        <v/>
      </c>
      <c r="J86" s="1" t="str">
        <f>IF([2]Legenda!J86=0,"",[2]Legenda!J86)</f>
        <v/>
      </c>
      <c r="K86" s="1" t="str">
        <f>IF([2]Legenda!K86=0,"",[2]Legenda!K86)</f>
        <v/>
      </c>
      <c r="L86" s="1" t="str">
        <f>IF([2]Legenda!L86=0,"",[2]Legenda!L86)</f>
        <v/>
      </c>
      <c r="M86" s="1" t="str">
        <f>IF([2]Legenda!M86=0,"",[2]Legenda!M86)</f>
        <v/>
      </c>
      <c r="N86" s="1" t="str">
        <f>IF([2]Legenda!N86=0,"",[2]Legenda!N86)</f>
        <v/>
      </c>
    </row>
    <row r="87" spans="1:14" x14ac:dyDescent="0.25">
      <c r="A87" s="1" t="str">
        <f>IF([2]Legenda!A87=0,"",[2]Legenda!A87)</f>
        <v/>
      </c>
      <c r="B87" s="1" t="str">
        <f>IF([2]Legenda!B87=0,"",[2]Legenda!B87)</f>
        <v/>
      </c>
      <c r="C87" s="1" t="str">
        <f>IF([2]Legenda!C87=0,"",[2]Legenda!C87)</f>
        <v/>
      </c>
      <c r="D87" s="1" t="str">
        <f>IF([2]Legenda!D87=0,"",[2]Legenda!D87)</f>
        <v/>
      </c>
      <c r="E87" s="1" t="str">
        <f>IF([2]Legenda!E87=0,"",[2]Legenda!E87)</f>
        <v/>
      </c>
      <c r="F87" s="1" t="str">
        <f>IF([2]Legenda!F87=0,"",[2]Legenda!F87)</f>
        <v/>
      </c>
      <c r="G87" s="1" t="str">
        <f>IF([2]Legenda!G87=0,"",[2]Legenda!G87)</f>
        <v/>
      </c>
      <c r="H87" s="1" t="str">
        <f>IF([2]Legenda!H87=0,"",[2]Legenda!H87)</f>
        <v/>
      </c>
      <c r="I87" s="1" t="str">
        <f>IF([2]Legenda!I87=0,"",[2]Legenda!I87)</f>
        <v/>
      </c>
      <c r="J87" s="1" t="str">
        <f>IF([2]Legenda!J87=0,"",[2]Legenda!J87)</f>
        <v/>
      </c>
      <c r="K87" s="1" t="str">
        <f>IF([2]Legenda!K87=0,"",[2]Legenda!K87)</f>
        <v/>
      </c>
      <c r="L87" s="1" t="str">
        <f>IF([2]Legenda!L87=0,"",[2]Legenda!L87)</f>
        <v/>
      </c>
      <c r="M87" s="1" t="str">
        <f>IF([2]Legenda!M87=0,"",[2]Legenda!M87)</f>
        <v/>
      </c>
      <c r="N87" s="1" t="str">
        <f>IF([2]Legenda!N87=0,"",[2]Legenda!N87)</f>
        <v/>
      </c>
    </row>
    <row r="88" spans="1:14" x14ac:dyDescent="0.25">
      <c r="A88" s="1" t="str">
        <f>IF([2]Legenda!A88=0,"",[2]Legenda!A88)</f>
        <v/>
      </c>
      <c r="B88" s="1" t="str">
        <f>IF([2]Legenda!B88=0,"",[2]Legenda!B88)</f>
        <v/>
      </c>
      <c r="C88" s="1" t="str">
        <f>IF([2]Legenda!C88=0,"",[2]Legenda!C88)</f>
        <v/>
      </c>
      <c r="D88" s="1" t="str">
        <f>IF([2]Legenda!D88=0,"",[2]Legenda!D88)</f>
        <v/>
      </c>
      <c r="E88" s="1" t="str">
        <f>IF([2]Legenda!E88=0,"",[2]Legenda!E88)</f>
        <v/>
      </c>
      <c r="F88" s="1" t="str">
        <f>IF([2]Legenda!F88=0,"",[2]Legenda!F88)</f>
        <v/>
      </c>
      <c r="G88" s="1" t="str">
        <f>IF([2]Legenda!G88=0,"",[2]Legenda!G88)</f>
        <v/>
      </c>
      <c r="H88" s="1" t="str">
        <f>IF([2]Legenda!H88=0,"",[2]Legenda!H88)</f>
        <v/>
      </c>
      <c r="I88" s="1" t="str">
        <f>IF([2]Legenda!I88=0,"",[2]Legenda!I88)</f>
        <v/>
      </c>
      <c r="J88" s="1" t="str">
        <f>IF([2]Legenda!J88=0,"",[2]Legenda!J88)</f>
        <v/>
      </c>
      <c r="K88" s="1" t="str">
        <f>IF([2]Legenda!K88=0,"",[2]Legenda!K88)</f>
        <v/>
      </c>
      <c r="L88" s="1" t="str">
        <f>IF([2]Legenda!L88=0,"",[2]Legenda!L88)</f>
        <v/>
      </c>
      <c r="M88" s="1" t="str">
        <f>IF([2]Legenda!M88=0,"",[2]Legenda!M88)</f>
        <v/>
      </c>
      <c r="N88" s="1" t="str">
        <f>IF([2]Legenda!N88=0,"",[2]Legenda!N88)</f>
        <v/>
      </c>
    </row>
    <row r="89" spans="1:14" x14ac:dyDescent="0.25">
      <c r="A89" s="1" t="str">
        <f>IF([2]Legenda!A89=0,"",[2]Legenda!A89)</f>
        <v/>
      </c>
      <c r="B89" s="1" t="str">
        <f>IF([2]Legenda!B89=0,"",[2]Legenda!B89)</f>
        <v/>
      </c>
      <c r="C89" s="1" t="str">
        <f>IF([2]Legenda!C89=0,"",[2]Legenda!C89)</f>
        <v/>
      </c>
      <c r="D89" s="1" t="str">
        <f>IF([2]Legenda!D89=0,"",[2]Legenda!D89)</f>
        <v/>
      </c>
      <c r="E89" s="1" t="str">
        <f>IF([2]Legenda!E89=0,"",[2]Legenda!E89)</f>
        <v/>
      </c>
      <c r="F89" s="1" t="str">
        <f>IF([2]Legenda!F89=0,"",[2]Legenda!F89)</f>
        <v/>
      </c>
      <c r="G89" s="1" t="str">
        <f>IF([2]Legenda!G89=0,"",[2]Legenda!G89)</f>
        <v/>
      </c>
      <c r="H89" s="1" t="str">
        <f>IF([2]Legenda!H89=0,"",[2]Legenda!H89)</f>
        <v/>
      </c>
      <c r="I89" s="1" t="str">
        <f>IF([2]Legenda!I89=0,"",[2]Legenda!I89)</f>
        <v/>
      </c>
      <c r="J89" s="1" t="str">
        <f>IF([2]Legenda!J89=0,"",[2]Legenda!J89)</f>
        <v/>
      </c>
      <c r="K89" s="1" t="str">
        <f>IF([2]Legenda!K89=0,"",[2]Legenda!K89)</f>
        <v/>
      </c>
      <c r="L89" s="1" t="str">
        <f>IF([2]Legenda!L89=0,"",[2]Legenda!L89)</f>
        <v/>
      </c>
      <c r="M89" s="1" t="str">
        <f>IF([2]Legenda!M89=0,"",[2]Legenda!M89)</f>
        <v/>
      </c>
      <c r="N89" s="1" t="str">
        <f>IF([2]Legenda!N89=0,"",[2]Legenda!N89)</f>
        <v/>
      </c>
    </row>
    <row r="90" spans="1:14" x14ac:dyDescent="0.25">
      <c r="A90" s="1" t="str">
        <f>IF([2]Legenda!A90=0,"",[2]Legenda!A90)</f>
        <v/>
      </c>
      <c r="B90" s="1" t="str">
        <f>IF([2]Legenda!B90=0,"",[2]Legenda!B90)</f>
        <v/>
      </c>
      <c r="C90" s="1" t="str">
        <f>IF([2]Legenda!C90=0,"",[2]Legenda!C90)</f>
        <v/>
      </c>
      <c r="D90" s="1" t="str">
        <f>IF([2]Legenda!D90=0,"",[2]Legenda!D90)</f>
        <v/>
      </c>
      <c r="E90" s="1" t="str">
        <f>IF([2]Legenda!E90=0,"",[2]Legenda!E90)</f>
        <v/>
      </c>
      <c r="F90" s="1" t="str">
        <f>IF([2]Legenda!F90=0,"",[2]Legenda!F90)</f>
        <v/>
      </c>
      <c r="G90" s="1" t="str">
        <f>IF([2]Legenda!G90=0,"",[2]Legenda!G90)</f>
        <v/>
      </c>
      <c r="H90" s="1" t="str">
        <f>IF([2]Legenda!H90=0,"",[2]Legenda!H90)</f>
        <v/>
      </c>
      <c r="I90" s="1" t="str">
        <f>IF([2]Legenda!I90=0,"",[2]Legenda!I90)</f>
        <v/>
      </c>
      <c r="J90" s="1" t="str">
        <f>IF([2]Legenda!J90=0,"",[2]Legenda!J90)</f>
        <v/>
      </c>
      <c r="K90" s="1" t="str">
        <f>IF([2]Legenda!K90=0,"",[2]Legenda!K90)</f>
        <v/>
      </c>
      <c r="L90" s="1" t="str">
        <f>IF([2]Legenda!L90=0,"",[2]Legenda!L90)</f>
        <v/>
      </c>
      <c r="M90" s="1" t="str">
        <f>IF([2]Legenda!M90=0,"",[2]Legenda!M90)</f>
        <v/>
      </c>
      <c r="N90" s="1" t="str">
        <f>IF([2]Legenda!N90=0,"",[2]Legenda!N90)</f>
        <v/>
      </c>
    </row>
    <row r="91" spans="1:14" x14ac:dyDescent="0.25">
      <c r="A91" s="1" t="str">
        <f>IF([2]Legenda!A91=0,"",[2]Legenda!A91)</f>
        <v/>
      </c>
      <c r="B91" s="1" t="str">
        <f>IF([2]Legenda!B91=0,"",[2]Legenda!B91)</f>
        <v/>
      </c>
      <c r="C91" s="1" t="str">
        <f>IF([2]Legenda!C91=0,"",[2]Legenda!C91)</f>
        <v/>
      </c>
      <c r="D91" s="1" t="str">
        <f>IF([2]Legenda!D91=0,"",[2]Legenda!D91)</f>
        <v/>
      </c>
      <c r="E91" s="1" t="str">
        <f>IF([2]Legenda!E91=0,"",[2]Legenda!E91)</f>
        <v/>
      </c>
      <c r="F91" s="1" t="str">
        <f>IF([2]Legenda!F91=0,"",[2]Legenda!F91)</f>
        <v/>
      </c>
      <c r="G91" s="1" t="str">
        <f>IF([2]Legenda!G91=0,"",[2]Legenda!G91)</f>
        <v/>
      </c>
      <c r="H91" s="1" t="str">
        <f>IF([2]Legenda!H91=0,"",[2]Legenda!H91)</f>
        <v/>
      </c>
      <c r="I91" s="1" t="str">
        <f>IF([2]Legenda!I91=0,"",[2]Legenda!I91)</f>
        <v/>
      </c>
      <c r="J91" s="1" t="str">
        <f>IF([2]Legenda!J91=0,"",[2]Legenda!J91)</f>
        <v/>
      </c>
      <c r="K91" s="1" t="str">
        <f>IF([2]Legenda!K91=0,"",[2]Legenda!K91)</f>
        <v/>
      </c>
      <c r="L91" s="1" t="str">
        <f>IF([2]Legenda!L91=0,"",[2]Legenda!L91)</f>
        <v/>
      </c>
      <c r="M91" s="1" t="str">
        <f>IF([2]Legenda!M91=0,"",[2]Legenda!M91)</f>
        <v/>
      </c>
      <c r="N91" s="1" t="str">
        <f>IF([2]Legenda!N91=0,"",[2]Legenda!N91)</f>
        <v/>
      </c>
    </row>
    <row r="92" spans="1:14" x14ac:dyDescent="0.25">
      <c r="A92" s="1" t="str">
        <f>IF([2]Legenda!A92=0,"",[2]Legenda!A92)</f>
        <v/>
      </c>
      <c r="B92" s="1" t="str">
        <f>IF([2]Legenda!B92=0,"",[2]Legenda!B92)</f>
        <v/>
      </c>
      <c r="C92" s="1" t="str">
        <f>IF([2]Legenda!C92=0,"",[2]Legenda!C92)</f>
        <v/>
      </c>
      <c r="D92" s="1" t="str">
        <f>IF([2]Legenda!D92=0,"",[2]Legenda!D92)</f>
        <v/>
      </c>
      <c r="E92" s="1" t="str">
        <f>IF([2]Legenda!E92=0,"",[2]Legenda!E92)</f>
        <v/>
      </c>
      <c r="F92" s="1" t="str">
        <f>IF([2]Legenda!F92=0,"",[2]Legenda!F92)</f>
        <v/>
      </c>
      <c r="G92" s="1" t="str">
        <f>IF([2]Legenda!G92=0,"",[2]Legenda!G92)</f>
        <v/>
      </c>
      <c r="H92" s="1" t="str">
        <f>IF([2]Legenda!H92=0,"",[2]Legenda!H92)</f>
        <v/>
      </c>
      <c r="I92" s="1" t="str">
        <f>IF([2]Legenda!I92=0,"",[2]Legenda!I92)</f>
        <v/>
      </c>
      <c r="J92" s="1" t="str">
        <f>IF([2]Legenda!J92=0,"",[2]Legenda!J92)</f>
        <v/>
      </c>
      <c r="K92" s="1" t="str">
        <f>IF([2]Legenda!K92=0,"",[2]Legenda!K92)</f>
        <v/>
      </c>
      <c r="L92" s="1" t="str">
        <f>IF([2]Legenda!L92=0,"",[2]Legenda!L92)</f>
        <v/>
      </c>
      <c r="M92" s="1" t="str">
        <f>IF([2]Legenda!M92=0,"",[2]Legenda!M92)</f>
        <v/>
      </c>
      <c r="N92" s="1" t="str">
        <f>IF([2]Legenda!N92=0,"",[2]Legenda!N92)</f>
        <v/>
      </c>
    </row>
    <row r="93" spans="1:14" x14ac:dyDescent="0.25">
      <c r="A93" s="1" t="str">
        <f>IF([2]Legenda!A93=0,"",[2]Legenda!A93)</f>
        <v/>
      </c>
      <c r="B93" s="1" t="str">
        <f>IF([2]Legenda!B93=0,"",[2]Legenda!B93)</f>
        <v/>
      </c>
      <c r="C93" s="1" t="str">
        <f>IF([2]Legenda!C93=0,"",[2]Legenda!C93)</f>
        <v/>
      </c>
      <c r="D93" s="1" t="str">
        <f>IF([2]Legenda!D93=0,"",[2]Legenda!D93)</f>
        <v/>
      </c>
      <c r="E93" s="1" t="str">
        <f>IF([2]Legenda!E93=0,"",[2]Legenda!E93)</f>
        <v/>
      </c>
      <c r="F93" s="1" t="str">
        <f>IF([2]Legenda!F93=0,"",[2]Legenda!F93)</f>
        <v/>
      </c>
      <c r="G93" s="1" t="str">
        <f>IF([2]Legenda!G93=0,"",[2]Legenda!G93)</f>
        <v/>
      </c>
      <c r="H93" s="1" t="str">
        <f>IF([2]Legenda!H93=0,"",[2]Legenda!H93)</f>
        <v/>
      </c>
      <c r="I93" s="1" t="str">
        <f>IF([2]Legenda!I93=0,"",[2]Legenda!I93)</f>
        <v/>
      </c>
      <c r="J93" s="1" t="str">
        <f>IF([2]Legenda!J93=0,"",[2]Legenda!J93)</f>
        <v/>
      </c>
      <c r="K93" s="1" t="str">
        <f>IF([2]Legenda!K93=0,"",[2]Legenda!K93)</f>
        <v/>
      </c>
      <c r="L93" s="1" t="str">
        <f>IF([2]Legenda!L93=0,"",[2]Legenda!L93)</f>
        <v/>
      </c>
      <c r="M93" s="1" t="str">
        <f>IF([2]Legenda!M93=0,"",[2]Legenda!M93)</f>
        <v/>
      </c>
      <c r="N93" s="1" t="str">
        <f>IF([2]Legenda!N93=0,"",[2]Legenda!N93)</f>
        <v/>
      </c>
    </row>
    <row r="94" spans="1:14" x14ac:dyDescent="0.25">
      <c r="A94" s="1" t="str">
        <f>IF([2]Legenda!A94=0,"",[2]Legenda!A94)</f>
        <v/>
      </c>
      <c r="B94" s="1" t="str">
        <f>IF([2]Legenda!B94=0,"",[2]Legenda!B94)</f>
        <v/>
      </c>
      <c r="C94" s="1" t="str">
        <f>IF([2]Legenda!C94=0,"",[2]Legenda!C94)</f>
        <v/>
      </c>
      <c r="D94" s="1" t="str">
        <f>IF([2]Legenda!D94=0,"",[2]Legenda!D94)</f>
        <v/>
      </c>
      <c r="E94" s="1" t="str">
        <f>IF([2]Legenda!E94=0,"",[2]Legenda!E94)</f>
        <v/>
      </c>
      <c r="F94" s="1" t="str">
        <f>IF([2]Legenda!F94=0,"",[2]Legenda!F94)</f>
        <v/>
      </c>
      <c r="G94" s="1" t="str">
        <f>IF([2]Legenda!G94=0,"",[2]Legenda!G94)</f>
        <v/>
      </c>
      <c r="H94" s="1" t="str">
        <f>IF([2]Legenda!H94=0,"",[2]Legenda!H94)</f>
        <v/>
      </c>
      <c r="I94" s="1" t="str">
        <f>IF([2]Legenda!I94=0,"",[2]Legenda!I94)</f>
        <v/>
      </c>
      <c r="J94" s="1" t="str">
        <f>IF([2]Legenda!J94=0,"",[2]Legenda!J94)</f>
        <v/>
      </c>
      <c r="K94" s="1" t="str">
        <f>IF([2]Legenda!K94=0,"",[2]Legenda!K94)</f>
        <v/>
      </c>
      <c r="L94" s="1" t="str">
        <f>IF([2]Legenda!L94=0,"",[2]Legenda!L94)</f>
        <v/>
      </c>
      <c r="M94" s="1" t="str">
        <f>IF([2]Legenda!M94=0,"",[2]Legenda!M94)</f>
        <v/>
      </c>
      <c r="N94" s="1" t="str">
        <f>IF([2]Legenda!N94=0,"",[2]Legenda!N94)</f>
        <v/>
      </c>
    </row>
    <row r="95" spans="1:14" x14ac:dyDescent="0.25">
      <c r="A95" s="1" t="str">
        <f>IF([2]Legenda!A95=0,"",[2]Legenda!A95)</f>
        <v/>
      </c>
      <c r="B95" s="1" t="str">
        <f>IF([2]Legenda!B95=0,"",[2]Legenda!B95)</f>
        <v/>
      </c>
      <c r="C95" s="1" t="str">
        <f>IF([2]Legenda!C95=0,"",[2]Legenda!C95)</f>
        <v/>
      </c>
      <c r="D95" s="1" t="str">
        <f>IF([2]Legenda!D95=0,"",[2]Legenda!D95)</f>
        <v/>
      </c>
      <c r="E95" s="1" t="str">
        <f>IF([2]Legenda!E95=0,"",[2]Legenda!E95)</f>
        <v/>
      </c>
      <c r="F95" s="1" t="str">
        <f>IF([2]Legenda!F95=0,"",[2]Legenda!F95)</f>
        <v/>
      </c>
      <c r="G95" s="1" t="str">
        <f>IF([2]Legenda!G95=0,"",[2]Legenda!G95)</f>
        <v/>
      </c>
      <c r="H95" s="1" t="str">
        <f>IF([2]Legenda!H95=0,"",[2]Legenda!H95)</f>
        <v/>
      </c>
      <c r="I95" s="1" t="str">
        <f>IF([2]Legenda!I95=0,"",[2]Legenda!I95)</f>
        <v/>
      </c>
      <c r="J95" s="1" t="str">
        <f>IF([2]Legenda!J95=0,"",[2]Legenda!J95)</f>
        <v/>
      </c>
      <c r="K95" s="1" t="str">
        <f>IF([2]Legenda!K95=0,"",[2]Legenda!K95)</f>
        <v/>
      </c>
      <c r="L95" s="1" t="str">
        <f>IF([2]Legenda!L95=0,"",[2]Legenda!L95)</f>
        <v/>
      </c>
      <c r="M95" s="1" t="str">
        <f>IF([2]Legenda!M95=0,"",[2]Legenda!M95)</f>
        <v/>
      </c>
      <c r="N95" s="1" t="str">
        <f>IF([2]Legenda!N95=0,"",[2]Legenda!N95)</f>
        <v/>
      </c>
    </row>
    <row r="96" spans="1:14" x14ac:dyDescent="0.25">
      <c r="A96" s="1" t="str">
        <f>IF([2]Legenda!A96=0,"",[2]Legenda!A96)</f>
        <v/>
      </c>
      <c r="B96" s="1" t="str">
        <f>IF([2]Legenda!B96=0,"",[2]Legenda!B96)</f>
        <v/>
      </c>
      <c r="C96" s="1" t="str">
        <f>IF([2]Legenda!C96=0,"",[2]Legenda!C96)</f>
        <v/>
      </c>
      <c r="D96" s="1" t="str">
        <f>IF([2]Legenda!D96=0,"",[2]Legenda!D96)</f>
        <v/>
      </c>
      <c r="E96" s="1" t="str">
        <f>IF([2]Legenda!E96=0,"",[2]Legenda!E96)</f>
        <v/>
      </c>
      <c r="F96" s="1" t="str">
        <f>IF([2]Legenda!F96=0,"",[2]Legenda!F96)</f>
        <v/>
      </c>
      <c r="G96" s="1" t="str">
        <f>IF([2]Legenda!G96=0,"",[2]Legenda!G96)</f>
        <v/>
      </c>
      <c r="H96" s="1" t="str">
        <f>IF([2]Legenda!H96=0,"",[2]Legenda!H96)</f>
        <v/>
      </c>
      <c r="I96" s="1" t="str">
        <f>IF([2]Legenda!I96=0,"",[2]Legenda!I96)</f>
        <v/>
      </c>
      <c r="J96" s="1" t="str">
        <f>IF([2]Legenda!J96=0,"",[2]Legenda!J96)</f>
        <v/>
      </c>
      <c r="K96" s="1" t="str">
        <f>IF([2]Legenda!K96=0,"",[2]Legenda!K96)</f>
        <v/>
      </c>
      <c r="L96" s="1" t="str">
        <f>IF([2]Legenda!L96=0,"",[2]Legenda!L96)</f>
        <v/>
      </c>
      <c r="M96" s="1" t="str">
        <f>IF([2]Legenda!M96=0,"",[2]Legenda!M96)</f>
        <v/>
      </c>
      <c r="N96" s="1" t="str">
        <f>IF([2]Legenda!N96=0,"",[2]Legenda!N96)</f>
        <v/>
      </c>
    </row>
    <row r="97" spans="1:14" x14ac:dyDescent="0.25">
      <c r="A97" s="1" t="str">
        <f>IF([2]Legenda!A97=0,"",[2]Legenda!A97)</f>
        <v/>
      </c>
      <c r="B97" s="1" t="str">
        <f>IF([2]Legenda!B97=0,"",[2]Legenda!B97)</f>
        <v/>
      </c>
      <c r="C97" s="1" t="str">
        <f>IF([2]Legenda!C97=0,"",[2]Legenda!C97)</f>
        <v/>
      </c>
      <c r="D97" s="1" t="str">
        <f>IF([2]Legenda!D97=0,"",[2]Legenda!D97)</f>
        <v/>
      </c>
      <c r="E97" s="1" t="str">
        <f>IF([2]Legenda!E97=0,"",[2]Legenda!E97)</f>
        <v/>
      </c>
      <c r="F97" s="1" t="str">
        <f>IF([2]Legenda!F97=0,"",[2]Legenda!F97)</f>
        <v/>
      </c>
      <c r="G97" s="1" t="str">
        <f>IF([2]Legenda!G97=0,"",[2]Legenda!G97)</f>
        <v/>
      </c>
      <c r="H97" s="1" t="str">
        <f>IF([2]Legenda!H97=0,"",[2]Legenda!H97)</f>
        <v/>
      </c>
      <c r="I97" s="1" t="str">
        <f>IF([2]Legenda!I97=0,"",[2]Legenda!I97)</f>
        <v/>
      </c>
      <c r="J97" s="1" t="str">
        <f>IF([2]Legenda!J97=0,"",[2]Legenda!J97)</f>
        <v/>
      </c>
      <c r="K97" s="1" t="str">
        <f>IF([2]Legenda!K97=0,"",[2]Legenda!K97)</f>
        <v/>
      </c>
      <c r="L97" s="1" t="str">
        <f>IF([2]Legenda!L97=0,"",[2]Legenda!L97)</f>
        <v/>
      </c>
      <c r="M97" s="1" t="str">
        <f>IF([2]Legenda!M97=0,"",[2]Legenda!M97)</f>
        <v/>
      </c>
      <c r="N97" s="1" t="str">
        <f>IF([2]Legenda!N97=0,"",[2]Legenda!N97)</f>
        <v/>
      </c>
    </row>
    <row r="98" spans="1:14" x14ac:dyDescent="0.25">
      <c r="A98" s="1" t="str">
        <f>IF([2]Legenda!A98=0,"",[2]Legenda!A98)</f>
        <v/>
      </c>
      <c r="B98" s="1" t="str">
        <f>IF([2]Legenda!B98=0,"",[2]Legenda!B98)</f>
        <v/>
      </c>
      <c r="C98" s="1" t="str">
        <f>IF([2]Legenda!C98=0,"",[2]Legenda!C98)</f>
        <v/>
      </c>
      <c r="D98" s="1" t="str">
        <f>IF([2]Legenda!D98=0,"",[2]Legenda!D98)</f>
        <v/>
      </c>
      <c r="E98" s="1" t="str">
        <f>IF([2]Legenda!E98=0,"",[2]Legenda!E98)</f>
        <v/>
      </c>
      <c r="F98" s="1" t="str">
        <f>IF([2]Legenda!F98=0,"",[2]Legenda!F98)</f>
        <v/>
      </c>
      <c r="G98" s="1" t="str">
        <f>IF([2]Legenda!G98=0,"",[2]Legenda!G98)</f>
        <v/>
      </c>
      <c r="H98" s="1" t="str">
        <f>IF([2]Legenda!H98=0,"",[2]Legenda!H98)</f>
        <v/>
      </c>
      <c r="I98" s="1" t="str">
        <f>IF([2]Legenda!I98=0,"",[2]Legenda!I98)</f>
        <v/>
      </c>
      <c r="J98" s="1" t="str">
        <f>IF([2]Legenda!J98=0,"",[2]Legenda!J98)</f>
        <v/>
      </c>
      <c r="K98" s="1" t="str">
        <f>IF([2]Legenda!K98=0,"",[2]Legenda!K98)</f>
        <v/>
      </c>
      <c r="L98" s="1" t="str">
        <f>IF([2]Legenda!L98=0,"",[2]Legenda!L98)</f>
        <v/>
      </c>
      <c r="M98" s="1" t="str">
        <f>IF([2]Legenda!M98=0,"",[2]Legenda!M98)</f>
        <v/>
      </c>
      <c r="N98" s="1" t="str">
        <f>IF([2]Legenda!N98=0,"",[2]Legenda!N98)</f>
        <v/>
      </c>
    </row>
    <row r="99" spans="1:14" x14ac:dyDescent="0.25">
      <c r="A99" s="1" t="str">
        <f>IF([2]Legenda!A99=0,"",[2]Legenda!A99)</f>
        <v/>
      </c>
      <c r="B99" s="1" t="str">
        <f>IF([2]Legenda!B99=0,"",[2]Legenda!B99)</f>
        <v/>
      </c>
      <c r="C99" s="1" t="str">
        <f>IF([2]Legenda!C99=0,"",[2]Legenda!C99)</f>
        <v/>
      </c>
      <c r="D99" s="1" t="str">
        <f>IF([2]Legenda!D99=0,"",[2]Legenda!D99)</f>
        <v/>
      </c>
      <c r="E99" s="1" t="str">
        <f>IF([2]Legenda!E99=0,"",[2]Legenda!E99)</f>
        <v/>
      </c>
      <c r="F99" s="1" t="str">
        <f>IF([2]Legenda!F99=0,"",[2]Legenda!F99)</f>
        <v/>
      </c>
      <c r="G99" s="1" t="str">
        <f>IF([2]Legenda!G99=0,"",[2]Legenda!G99)</f>
        <v/>
      </c>
      <c r="H99" s="1" t="str">
        <f>IF([2]Legenda!H99=0,"",[2]Legenda!H99)</f>
        <v/>
      </c>
      <c r="I99" s="1" t="str">
        <f>IF([2]Legenda!I99=0,"",[2]Legenda!I99)</f>
        <v/>
      </c>
      <c r="J99" s="1" t="str">
        <f>IF([2]Legenda!J99=0,"",[2]Legenda!J99)</f>
        <v/>
      </c>
      <c r="K99" s="1" t="str">
        <f>IF([2]Legenda!K99=0,"",[2]Legenda!K99)</f>
        <v/>
      </c>
      <c r="L99" s="1" t="str">
        <f>IF([2]Legenda!L99=0,"",[2]Legenda!L99)</f>
        <v/>
      </c>
      <c r="M99" s="1" t="str">
        <f>IF([2]Legenda!M99=0,"",[2]Legenda!M99)</f>
        <v/>
      </c>
      <c r="N99" s="1" t="str">
        <f>IF([2]Legenda!N99=0,"",[2]Legenda!N99)</f>
        <v/>
      </c>
    </row>
    <row r="100" spans="1:14" x14ac:dyDescent="0.25">
      <c r="A100" s="1" t="str">
        <f>IF([2]Legenda!A100=0,"",[2]Legenda!A100)</f>
        <v/>
      </c>
      <c r="B100" s="1" t="str">
        <f>IF([2]Legenda!B100=0,"",[2]Legenda!B100)</f>
        <v/>
      </c>
      <c r="C100" s="1" t="str">
        <f>IF([2]Legenda!C100=0,"",[2]Legenda!C100)</f>
        <v/>
      </c>
      <c r="D100" s="1" t="str">
        <f>IF([2]Legenda!D100=0,"",[2]Legenda!D100)</f>
        <v/>
      </c>
      <c r="E100" s="1" t="str">
        <f>IF([2]Legenda!E100=0,"",[2]Legenda!E100)</f>
        <v/>
      </c>
      <c r="F100" s="1" t="str">
        <f>IF([2]Legenda!F100=0,"",[2]Legenda!F100)</f>
        <v/>
      </c>
      <c r="G100" s="1" t="str">
        <f>IF([2]Legenda!G100=0,"",[2]Legenda!G100)</f>
        <v/>
      </c>
      <c r="H100" s="1" t="str">
        <f>IF([2]Legenda!H100=0,"",[2]Legenda!H100)</f>
        <v/>
      </c>
      <c r="I100" s="1" t="str">
        <f>IF([2]Legenda!I100=0,"",[2]Legenda!I100)</f>
        <v/>
      </c>
      <c r="J100" s="1" t="str">
        <f>IF([2]Legenda!J100=0,"",[2]Legenda!J100)</f>
        <v/>
      </c>
      <c r="K100" s="1" t="str">
        <f>IF([2]Legenda!K100=0,"",[2]Legenda!K100)</f>
        <v/>
      </c>
      <c r="L100" s="1" t="str">
        <f>IF([2]Legenda!L100=0,"",[2]Legenda!L100)</f>
        <v/>
      </c>
      <c r="M100" s="1" t="str">
        <f>IF([2]Legenda!M100=0,"",[2]Legenda!M100)</f>
        <v/>
      </c>
      <c r="N100" s="1" t="str">
        <f>IF([2]Legenda!N100=0,"",[2]Legenda!N100)</f>
        <v/>
      </c>
    </row>
    <row r="101" spans="1:14" x14ac:dyDescent="0.25">
      <c r="A101" s="1" t="str">
        <f>IF([2]Legenda!A101=0,"",[2]Legenda!A101)</f>
        <v/>
      </c>
      <c r="B101" s="1" t="str">
        <f>IF([2]Legenda!B101=0,"",[2]Legenda!B101)</f>
        <v/>
      </c>
      <c r="C101" s="1" t="str">
        <f>IF([2]Legenda!C101=0,"",[2]Legenda!C101)</f>
        <v/>
      </c>
      <c r="D101" s="1" t="str">
        <f>IF([2]Legenda!D101=0,"",[2]Legenda!D101)</f>
        <v/>
      </c>
      <c r="E101" s="1" t="str">
        <f>IF([2]Legenda!E101=0,"",[2]Legenda!E101)</f>
        <v/>
      </c>
      <c r="F101" s="1" t="str">
        <f>IF([2]Legenda!F101=0,"",[2]Legenda!F101)</f>
        <v/>
      </c>
      <c r="G101" s="1" t="str">
        <f>IF([2]Legenda!G101=0,"",[2]Legenda!G101)</f>
        <v/>
      </c>
      <c r="H101" s="1" t="str">
        <f>IF([2]Legenda!H101=0,"",[2]Legenda!H101)</f>
        <v/>
      </c>
      <c r="I101" s="1" t="str">
        <f>IF([2]Legenda!I101=0,"",[2]Legenda!I101)</f>
        <v/>
      </c>
      <c r="J101" s="1" t="str">
        <f>IF([2]Legenda!J101=0,"",[2]Legenda!J101)</f>
        <v/>
      </c>
      <c r="K101" s="1" t="str">
        <f>IF([2]Legenda!K101=0,"",[2]Legenda!K101)</f>
        <v/>
      </c>
      <c r="L101" s="1" t="str">
        <f>IF([2]Legenda!L101=0,"",[2]Legenda!L101)</f>
        <v/>
      </c>
      <c r="M101" s="1" t="str">
        <f>IF([2]Legenda!M101=0,"",[2]Legenda!M101)</f>
        <v/>
      </c>
      <c r="N101" s="1" t="str">
        <f>IF([2]Legenda!N101=0,"",[2]Legenda!N101)</f>
        <v/>
      </c>
    </row>
    <row r="102" spans="1:14" x14ac:dyDescent="0.25">
      <c r="A102" s="1" t="str">
        <f>IF([2]Legenda!A102=0,"",[2]Legenda!A102)</f>
        <v/>
      </c>
      <c r="B102" s="1" t="str">
        <f>IF([2]Legenda!B102=0,"",[2]Legenda!B102)</f>
        <v/>
      </c>
      <c r="C102" s="1" t="str">
        <f>IF([2]Legenda!C102=0,"",[2]Legenda!C102)</f>
        <v/>
      </c>
      <c r="D102" s="1" t="str">
        <f>IF([2]Legenda!D102=0,"",[2]Legenda!D102)</f>
        <v/>
      </c>
      <c r="E102" s="1" t="str">
        <f>IF([2]Legenda!E102=0,"",[2]Legenda!E102)</f>
        <v/>
      </c>
      <c r="F102" s="1" t="str">
        <f>IF([2]Legenda!F102=0,"",[2]Legenda!F102)</f>
        <v/>
      </c>
      <c r="G102" s="1" t="str">
        <f>IF([2]Legenda!G102=0,"",[2]Legenda!G102)</f>
        <v/>
      </c>
      <c r="H102" s="1" t="str">
        <f>IF([2]Legenda!H102=0,"",[2]Legenda!H102)</f>
        <v/>
      </c>
      <c r="I102" s="1" t="str">
        <f>IF([2]Legenda!I102=0,"",[2]Legenda!I102)</f>
        <v/>
      </c>
      <c r="J102" s="1" t="str">
        <f>IF([2]Legenda!J102=0,"",[2]Legenda!J102)</f>
        <v/>
      </c>
      <c r="K102" s="1" t="str">
        <f>IF([2]Legenda!K102=0,"",[2]Legenda!K102)</f>
        <v/>
      </c>
      <c r="L102" s="1" t="str">
        <f>IF([2]Legenda!L102=0,"",[2]Legenda!L102)</f>
        <v/>
      </c>
      <c r="M102" s="1" t="str">
        <f>IF([2]Legenda!M102=0,"",[2]Legenda!M102)</f>
        <v/>
      </c>
      <c r="N102" s="1" t="str">
        <f>IF([2]Legenda!N102=0,"",[2]Legenda!N102)</f>
        <v/>
      </c>
    </row>
    <row r="103" spans="1:14" x14ac:dyDescent="0.25">
      <c r="A103" s="1" t="str">
        <f>IF([2]Legenda!A103=0,"",[2]Legenda!A103)</f>
        <v/>
      </c>
      <c r="B103" s="1" t="str">
        <f>IF([2]Legenda!B103=0,"",[2]Legenda!B103)</f>
        <v/>
      </c>
      <c r="C103" s="1" t="str">
        <f>IF([2]Legenda!C103=0,"",[2]Legenda!C103)</f>
        <v/>
      </c>
      <c r="D103" s="1" t="str">
        <f>IF([2]Legenda!D103=0,"",[2]Legenda!D103)</f>
        <v/>
      </c>
      <c r="E103" s="1" t="str">
        <f>IF([2]Legenda!E103=0,"",[2]Legenda!E103)</f>
        <v/>
      </c>
      <c r="F103" s="1" t="str">
        <f>IF([2]Legenda!F103=0,"",[2]Legenda!F103)</f>
        <v/>
      </c>
      <c r="G103" s="1" t="str">
        <f>IF([2]Legenda!G103=0,"",[2]Legenda!G103)</f>
        <v/>
      </c>
      <c r="H103" s="1" t="str">
        <f>IF([2]Legenda!H103=0,"",[2]Legenda!H103)</f>
        <v/>
      </c>
      <c r="I103" s="1" t="str">
        <f>IF([2]Legenda!I103=0,"",[2]Legenda!I103)</f>
        <v/>
      </c>
      <c r="J103" s="1" t="str">
        <f>IF([2]Legenda!J103=0,"",[2]Legenda!J103)</f>
        <v/>
      </c>
      <c r="K103" s="1" t="str">
        <f>IF([2]Legenda!K103=0,"",[2]Legenda!K103)</f>
        <v/>
      </c>
      <c r="L103" s="1" t="str">
        <f>IF([2]Legenda!L103=0,"",[2]Legenda!L103)</f>
        <v/>
      </c>
      <c r="M103" s="1" t="str">
        <f>IF([2]Legenda!M103=0,"",[2]Legenda!M103)</f>
        <v/>
      </c>
      <c r="N103" s="1" t="str">
        <f>IF([2]Legenda!N103=0,"",[2]Legenda!N103)</f>
        <v/>
      </c>
    </row>
    <row r="104" spans="1:14" x14ac:dyDescent="0.25">
      <c r="A104" s="1" t="str">
        <f>IF([2]Legenda!A104=0,"",[2]Legenda!A104)</f>
        <v/>
      </c>
      <c r="B104" s="1" t="str">
        <f>IF([2]Legenda!B104=0,"",[2]Legenda!B104)</f>
        <v/>
      </c>
      <c r="C104" s="1" t="str">
        <f>IF([2]Legenda!C104=0,"",[2]Legenda!C104)</f>
        <v/>
      </c>
      <c r="D104" s="1" t="str">
        <f>IF([2]Legenda!D104=0,"",[2]Legenda!D104)</f>
        <v/>
      </c>
      <c r="E104" s="1" t="str">
        <f>IF([2]Legenda!E104=0,"",[2]Legenda!E104)</f>
        <v/>
      </c>
      <c r="F104" s="1" t="str">
        <f>IF([2]Legenda!F104=0,"",[2]Legenda!F104)</f>
        <v/>
      </c>
      <c r="G104" s="1" t="str">
        <f>IF([2]Legenda!G104=0,"",[2]Legenda!G104)</f>
        <v/>
      </c>
      <c r="H104" s="1" t="str">
        <f>IF([2]Legenda!H104=0,"",[2]Legenda!H104)</f>
        <v/>
      </c>
      <c r="I104" s="1" t="str">
        <f>IF([2]Legenda!I104=0,"",[2]Legenda!I104)</f>
        <v/>
      </c>
      <c r="J104" s="1" t="str">
        <f>IF([2]Legenda!J104=0,"",[2]Legenda!J104)</f>
        <v/>
      </c>
      <c r="K104" s="1" t="str">
        <f>IF([2]Legenda!K104=0,"",[2]Legenda!K104)</f>
        <v/>
      </c>
      <c r="L104" s="1" t="str">
        <f>IF([2]Legenda!L104=0,"",[2]Legenda!L104)</f>
        <v/>
      </c>
      <c r="M104" s="1" t="str">
        <f>IF([2]Legenda!M104=0,"",[2]Legenda!M104)</f>
        <v/>
      </c>
      <c r="N104" s="1" t="str">
        <f>IF([2]Legenda!N104=0,"",[2]Legenda!N104)</f>
        <v/>
      </c>
    </row>
    <row r="105" spans="1:14" x14ac:dyDescent="0.25">
      <c r="A105" s="1" t="str">
        <f>IF([2]Legenda!A105=0,"",[2]Legenda!A105)</f>
        <v/>
      </c>
      <c r="B105" s="1" t="str">
        <f>IF([2]Legenda!B105=0,"",[2]Legenda!B105)</f>
        <v/>
      </c>
      <c r="C105" s="1" t="str">
        <f>IF([2]Legenda!C105=0,"",[2]Legenda!C105)</f>
        <v/>
      </c>
      <c r="D105" s="1" t="str">
        <f>IF([2]Legenda!D105=0,"",[2]Legenda!D105)</f>
        <v/>
      </c>
      <c r="E105" s="1" t="str">
        <f>IF([2]Legenda!E105=0,"",[2]Legenda!E105)</f>
        <v/>
      </c>
      <c r="F105" s="1" t="str">
        <f>IF([2]Legenda!F105=0,"",[2]Legenda!F105)</f>
        <v/>
      </c>
      <c r="G105" s="1" t="str">
        <f>IF([2]Legenda!G105=0,"",[2]Legenda!G105)</f>
        <v/>
      </c>
      <c r="H105" s="1" t="str">
        <f>IF([2]Legenda!H105=0,"",[2]Legenda!H105)</f>
        <v/>
      </c>
      <c r="I105" s="1" t="str">
        <f>IF([2]Legenda!I105=0,"",[2]Legenda!I105)</f>
        <v/>
      </c>
      <c r="J105" s="1" t="str">
        <f>IF([2]Legenda!J105=0,"",[2]Legenda!J105)</f>
        <v/>
      </c>
      <c r="K105" s="1" t="str">
        <f>IF([2]Legenda!K105=0,"",[2]Legenda!K105)</f>
        <v/>
      </c>
      <c r="L105" s="1" t="str">
        <f>IF([2]Legenda!L105=0,"",[2]Legenda!L105)</f>
        <v/>
      </c>
      <c r="M105" s="1" t="str">
        <f>IF([2]Legenda!M105=0,"",[2]Legenda!M105)</f>
        <v/>
      </c>
      <c r="N105" s="1" t="str">
        <f>IF([2]Legenda!N105=0,"",[2]Legenda!N105)</f>
        <v/>
      </c>
    </row>
    <row r="106" spans="1:14" x14ac:dyDescent="0.25">
      <c r="A106" s="1" t="str">
        <f>IF([2]Legenda!A106=0,"",[2]Legenda!A106)</f>
        <v/>
      </c>
      <c r="B106" s="1" t="str">
        <f>IF([2]Legenda!B106=0,"",[2]Legenda!B106)</f>
        <v/>
      </c>
      <c r="C106" s="1" t="str">
        <f>IF([2]Legenda!C106=0,"",[2]Legenda!C106)</f>
        <v/>
      </c>
      <c r="D106" s="1" t="str">
        <f>IF([2]Legenda!D106=0,"",[2]Legenda!D106)</f>
        <v/>
      </c>
      <c r="E106" s="1" t="str">
        <f>IF([2]Legenda!E106=0,"",[2]Legenda!E106)</f>
        <v/>
      </c>
      <c r="F106" s="1" t="str">
        <f>IF([2]Legenda!F106=0,"",[2]Legenda!F106)</f>
        <v/>
      </c>
      <c r="G106" s="1" t="str">
        <f>IF([2]Legenda!G106=0,"",[2]Legenda!G106)</f>
        <v/>
      </c>
      <c r="H106" s="1" t="str">
        <f>IF([2]Legenda!H106=0,"",[2]Legenda!H106)</f>
        <v/>
      </c>
      <c r="I106" s="1" t="str">
        <f>IF([2]Legenda!I106=0,"",[2]Legenda!I106)</f>
        <v/>
      </c>
      <c r="J106" s="1" t="str">
        <f>IF([2]Legenda!J106=0,"",[2]Legenda!J106)</f>
        <v/>
      </c>
      <c r="K106" s="1" t="str">
        <f>IF([2]Legenda!K106=0,"",[2]Legenda!K106)</f>
        <v/>
      </c>
      <c r="L106" s="1" t="str">
        <f>IF([2]Legenda!L106=0,"",[2]Legenda!L106)</f>
        <v/>
      </c>
      <c r="M106" s="1" t="str">
        <f>IF([2]Legenda!M106=0,"",[2]Legenda!M106)</f>
        <v/>
      </c>
      <c r="N106" s="1" t="str">
        <f>IF([2]Legenda!N106=0,"",[2]Legenda!N106)</f>
        <v/>
      </c>
    </row>
    <row r="107" spans="1:14" x14ac:dyDescent="0.25">
      <c r="A107" s="1" t="str">
        <f>IF([2]Legenda!A107=0,"",[2]Legenda!A107)</f>
        <v/>
      </c>
      <c r="B107" s="1" t="str">
        <f>IF([2]Legenda!B107=0,"",[2]Legenda!B107)</f>
        <v/>
      </c>
      <c r="C107" s="1" t="str">
        <f>IF([2]Legenda!C107=0,"",[2]Legenda!C107)</f>
        <v/>
      </c>
      <c r="D107" s="1" t="str">
        <f>IF([2]Legenda!D107=0,"",[2]Legenda!D107)</f>
        <v/>
      </c>
      <c r="E107" s="1" t="str">
        <f>IF([2]Legenda!E107=0,"",[2]Legenda!E107)</f>
        <v/>
      </c>
      <c r="F107" s="1" t="str">
        <f>IF([2]Legenda!F107=0,"",[2]Legenda!F107)</f>
        <v/>
      </c>
      <c r="G107" s="1" t="str">
        <f>IF([2]Legenda!G107=0,"",[2]Legenda!G107)</f>
        <v/>
      </c>
      <c r="H107" s="1" t="str">
        <f>IF([2]Legenda!H107=0,"",[2]Legenda!H107)</f>
        <v/>
      </c>
      <c r="I107" s="1" t="str">
        <f>IF([2]Legenda!I107=0,"",[2]Legenda!I107)</f>
        <v/>
      </c>
      <c r="J107" s="1" t="str">
        <f>IF([2]Legenda!J107=0,"",[2]Legenda!J107)</f>
        <v/>
      </c>
      <c r="K107" s="1" t="str">
        <f>IF([2]Legenda!K107=0,"",[2]Legenda!K107)</f>
        <v/>
      </c>
      <c r="L107" s="1" t="str">
        <f>IF([2]Legenda!L107=0,"",[2]Legenda!L107)</f>
        <v/>
      </c>
      <c r="M107" s="1" t="str">
        <f>IF([2]Legenda!M107=0,"",[2]Legenda!M107)</f>
        <v/>
      </c>
      <c r="N107" s="1" t="str">
        <f>IF([2]Legenda!N107=0,"",[2]Legenda!N107)</f>
        <v/>
      </c>
    </row>
    <row r="108" spans="1:14" x14ac:dyDescent="0.25">
      <c r="A108" s="1" t="str">
        <f>IF([2]Legenda!A108=0,"",[2]Legenda!A108)</f>
        <v/>
      </c>
      <c r="B108" s="1" t="str">
        <f>IF([2]Legenda!B108=0,"",[2]Legenda!B108)</f>
        <v/>
      </c>
      <c r="C108" s="1" t="str">
        <f>IF([2]Legenda!C108=0,"",[2]Legenda!C108)</f>
        <v/>
      </c>
      <c r="D108" s="1" t="str">
        <f>IF([2]Legenda!D108=0,"",[2]Legenda!D108)</f>
        <v/>
      </c>
      <c r="E108" s="1" t="str">
        <f>IF([2]Legenda!E108=0,"",[2]Legenda!E108)</f>
        <v/>
      </c>
      <c r="F108" s="1" t="str">
        <f>IF([2]Legenda!F108=0,"",[2]Legenda!F108)</f>
        <v/>
      </c>
      <c r="G108" s="1" t="str">
        <f>IF([2]Legenda!G108=0,"",[2]Legenda!G108)</f>
        <v/>
      </c>
      <c r="H108" s="1" t="str">
        <f>IF([2]Legenda!H108=0,"",[2]Legenda!H108)</f>
        <v/>
      </c>
      <c r="I108" s="1" t="str">
        <f>IF([2]Legenda!I108=0,"",[2]Legenda!I108)</f>
        <v/>
      </c>
      <c r="J108" s="1" t="str">
        <f>IF([2]Legenda!J108=0,"",[2]Legenda!J108)</f>
        <v/>
      </c>
      <c r="K108" s="1" t="str">
        <f>IF([2]Legenda!K108=0,"",[2]Legenda!K108)</f>
        <v/>
      </c>
      <c r="L108" s="1" t="str">
        <f>IF([2]Legenda!L108=0,"",[2]Legenda!L108)</f>
        <v/>
      </c>
      <c r="M108" s="1" t="str">
        <f>IF([2]Legenda!M108=0,"",[2]Legenda!M108)</f>
        <v/>
      </c>
      <c r="N108" s="1" t="str">
        <f>IF([2]Legenda!N108=0,"",[2]Legenda!N108)</f>
        <v/>
      </c>
    </row>
    <row r="109" spans="1:14" x14ac:dyDescent="0.25">
      <c r="A109" s="1" t="str">
        <f>IF([2]Legenda!A109=0,"",[2]Legenda!A109)</f>
        <v/>
      </c>
      <c r="B109" s="1" t="str">
        <f>IF([2]Legenda!B109=0,"",[2]Legenda!B109)</f>
        <v/>
      </c>
      <c r="C109" s="1" t="str">
        <f>IF([2]Legenda!C109=0,"",[2]Legenda!C109)</f>
        <v/>
      </c>
      <c r="D109" s="1" t="str">
        <f>IF([2]Legenda!D109=0,"",[2]Legenda!D109)</f>
        <v/>
      </c>
      <c r="E109" s="1" t="str">
        <f>IF([2]Legenda!E109=0,"",[2]Legenda!E109)</f>
        <v/>
      </c>
      <c r="F109" s="1" t="str">
        <f>IF([2]Legenda!F109=0,"",[2]Legenda!F109)</f>
        <v/>
      </c>
      <c r="G109" s="1" t="str">
        <f>IF([2]Legenda!G109=0,"",[2]Legenda!G109)</f>
        <v/>
      </c>
      <c r="H109" s="1" t="str">
        <f>IF([2]Legenda!H109=0,"",[2]Legenda!H109)</f>
        <v/>
      </c>
      <c r="I109" s="1" t="str">
        <f>IF([2]Legenda!I109=0,"",[2]Legenda!I109)</f>
        <v/>
      </c>
      <c r="J109" s="1" t="str">
        <f>IF([2]Legenda!J109=0,"",[2]Legenda!J109)</f>
        <v/>
      </c>
      <c r="K109" s="1" t="str">
        <f>IF([2]Legenda!K109=0,"",[2]Legenda!K109)</f>
        <v/>
      </c>
      <c r="L109" s="1" t="str">
        <f>IF([2]Legenda!L109=0,"",[2]Legenda!L109)</f>
        <v/>
      </c>
      <c r="M109" s="1" t="str">
        <f>IF([2]Legenda!M109=0,"",[2]Legenda!M109)</f>
        <v/>
      </c>
      <c r="N109" s="1" t="str">
        <f>IF([2]Legenda!N109=0,"",[2]Legenda!N109)</f>
        <v/>
      </c>
    </row>
    <row r="110" spans="1:14" x14ac:dyDescent="0.25">
      <c r="A110" s="1" t="str">
        <f>IF([2]Legenda!A110=0,"",[2]Legenda!A110)</f>
        <v/>
      </c>
      <c r="B110" s="1" t="str">
        <f>IF([2]Legenda!B110=0,"",[2]Legenda!B110)</f>
        <v/>
      </c>
      <c r="C110" s="1" t="str">
        <f>IF([2]Legenda!C110=0,"",[2]Legenda!C110)</f>
        <v/>
      </c>
      <c r="D110" s="1" t="str">
        <f>IF([2]Legenda!D110=0,"",[2]Legenda!D110)</f>
        <v/>
      </c>
      <c r="E110" s="1" t="str">
        <f>IF([2]Legenda!E110=0,"",[2]Legenda!E110)</f>
        <v/>
      </c>
      <c r="F110" s="1" t="str">
        <f>IF([2]Legenda!F110=0,"",[2]Legenda!F110)</f>
        <v/>
      </c>
      <c r="G110" s="1" t="str">
        <f>IF([2]Legenda!G110=0,"",[2]Legenda!G110)</f>
        <v/>
      </c>
      <c r="H110" s="1" t="str">
        <f>IF([2]Legenda!H110=0,"",[2]Legenda!H110)</f>
        <v/>
      </c>
      <c r="I110" s="1" t="str">
        <f>IF([2]Legenda!I110=0,"",[2]Legenda!I110)</f>
        <v/>
      </c>
      <c r="J110" s="1" t="str">
        <f>IF([2]Legenda!J110=0,"",[2]Legenda!J110)</f>
        <v/>
      </c>
      <c r="K110" s="1" t="str">
        <f>IF([2]Legenda!K110=0,"",[2]Legenda!K110)</f>
        <v/>
      </c>
      <c r="L110" s="1" t="str">
        <f>IF([2]Legenda!L110=0,"",[2]Legenda!L110)</f>
        <v/>
      </c>
      <c r="M110" s="1" t="str">
        <f>IF([2]Legenda!M110=0,"",[2]Legenda!M110)</f>
        <v/>
      </c>
      <c r="N110" s="1" t="str">
        <f>IF([2]Legenda!N110=0,"",[2]Legenda!N110)</f>
        <v/>
      </c>
    </row>
    <row r="111" spans="1:14" x14ac:dyDescent="0.25">
      <c r="A111" s="1" t="str">
        <f>IF([2]Legenda!A111=0,"",[2]Legenda!A111)</f>
        <v/>
      </c>
      <c r="B111" s="1" t="str">
        <f>IF([2]Legenda!B111=0,"",[2]Legenda!B111)</f>
        <v/>
      </c>
      <c r="C111" s="1" t="str">
        <f>IF([2]Legenda!C111=0,"",[2]Legenda!C111)</f>
        <v/>
      </c>
      <c r="D111" s="1" t="str">
        <f>IF([2]Legenda!D111=0,"",[2]Legenda!D111)</f>
        <v/>
      </c>
      <c r="E111" s="1" t="str">
        <f>IF([2]Legenda!E111=0,"",[2]Legenda!E111)</f>
        <v/>
      </c>
      <c r="F111" s="1" t="str">
        <f>IF([2]Legenda!F111=0,"",[2]Legenda!F111)</f>
        <v/>
      </c>
      <c r="G111" s="1" t="str">
        <f>IF([2]Legenda!G111=0,"",[2]Legenda!G111)</f>
        <v/>
      </c>
      <c r="H111" s="1" t="str">
        <f>IF([2]Legenda!H111=0,"",[2]Legenda!H111)</f>
        <v/>
      </c>
      <c r="I111" s="1" t="str">
        <f>IF([2]Legenda!I111=0,"",[2]Legenda!I111)</f>
        <v/>
      </c>
      <c r="J111" s="1" t="str">
        <f>IF([2]Legenda!J111=0,"",[2]Legenda!J111)</f>
        <v/>
      </c>
      <c r="K111" s="1" t="str">
        <f>IF([2]Legenda!K111=0,"",[2]Legenda!K111)</f>
        <v/>
      </c>
      <c r="L111" s="1" t="str">
        <f>IF([2]Legenda!L111=0,"",[2]Legenda!L111)</f>
        <v/>
      </c>
      <c r="M111" s="1" t="str">
        <f>IF([2]Legenda!M111=0,"",[2]Legenda!M111)</f>
        <v/>
      </c>
      <c r="N111" s="1" t="str">
        <f>IF([2]Legenda!N111=0,"",[2]Legenda!N111)</f>
        <v/>
      </c>
    </row>
    <row r="112" spans="1:14" x14ac:dyDescent="0.25">
      <c r="A112" s="1" t="str">
        <f>IF([2]Legenda!A112=0,"",[2]Legenda!A112)</f>
        <v/>
      </c>
      <c r="B112" s="1" t="str">
        <f>IF([2]Legenda!B112=0,"",[2]Legenda!B112)</f>
        <v/>
      </c>
      <c r="C112" s="1" t="str">
        <f>IF([2]Legenda!C112=0,"",[2]Legenda!C112)</f>
        <v/>
      </c>
      <c r="D112" s="1" t="str">
        <f>IF([2]Legenda!D112=0,"",[2]Legenda!D112)</f>
        <v/>
      </c>
      <c r="E112" s="1" t="str">
        <f>IF([2]Legenda!E112=0,"",[2]Legenda!E112)</f>
        <v/>
      </c>
      <c r="F112" s="1" t="str">
        <f>IF([2]Legenda!F112=0,"",[2]Legenda!F112)</f>
        <v/>
      </c>
      <c r="G112" s="1" t="str">
        <f>IF([2]Legenda!G112=0,"",[2]Legenda!G112)</f>
        <v/>
      </c>
      <c r="H112" s="1" t="str">
        <f>IF([2]Legenda!H112=0,"",[2]Legenda!H112)</f>
        <v/>
      </c>
      <c r="I112" s="1" t="str">
        <f>IF([2]Legenda!I112=0,"",[2]Legenda!I112)</f>
        <v/>
      </c>
      <c r="J112" s="1" t="str">
        <f>IF([2]Legenda!J112=0,"",[2]Legenda!J112)</f>
        <v/>
      </c>
      <c r="K112" s="1" t="str">
        <f>IF([2]Legenda!K112=0,"",[2]Legenda!K112)</f>
        <v/>
      </c>
      <c r="L112" s="1" t="str">
        <f>IF([2]Legenda!L112=0,"",[2]Legenda!L112)</f>
        <v/>
      </c>
      <c r="M112" s="1" t="str">
        <f>IF([2]Legenda!M112=0,"",[2]Legenda!M112)</f>
        <v/>
      </c>
      <c r="N112" s="1" t="str">
        <f>IF([2]Legenda!N112=0,"",[2]Legenda!N112)</f>
        <v/>
      </c>
    </row>
    <row r="113" spans="1:14" x14ac:dyDescent="0.25">
      <c r="A113" s="1" t="str">
        <f>IF([2]Legenda!A113=0,"",[2]Legenda!A113)</f>
        <v/>
      </c>
      <c r="B113" s="1" t="str">
        <f>IF([2]Legenda!B113=0,"",[2]Legenda!B113)</f>
        <v/>
      </c>
      <c r="C113" s="1" t="str">
        <f>IF([2]Legenda!C113=0,"",[2]Legenda!C113)</f>
        <v/>
      </c>
      <c r="D113" s="1" t="str">
        <f>IF([2]Legenda!D113=0,"",[2]Legenda!D113)</f>
        <v/>
      </c>
      <c r="E113" s="1" t="str">
        <f>IF([2]Legenda!E113=0,"",[2]Legenda!E113)</f>
        <v/>
      </c>
      <c r="F113" s="1" t="str">
        <f>IF([2]Legenda!F113=0,"",[2]Legenda!F113)</f>
        <v/>
      </c>
      <c r="G113" s="1" t="str">
        <f>IF([2]Legenda!G113=0,"",[2]Legenda!G113)</f>
        <v/>
      </c>
      <c r="H113" s="1" t="str">
        <f>IF([2]Legenda!H113=0,"",[2]Legenda!H113)</f>
        <v/>
      </c>
      <c r="I113" s="1" t="str">
        <f>IF([2]Legenda!I113=0,"",[2]Legenda!I113)</f>
        <v/>
      </c>
      <c r="J113" s="1" t="str">
        <f>IF([2]Legenda!J113=0,"",[2]Legenda!J113)</f>
        <v/>
      </c>
      <c r="K113" s="1" t="str">
        <f>IF([2]Legenda!K113=0,"",[2]Legenda!K113)</f>
        <v/>
      </c>
      <c r="L113" s="1" t="str">
        <f>IF([2]Legenda!L113=0,"",[2]Legenda!L113)</f>
        <v/>
      </c>
      <c r="M113" s="1" t="str">
        <f>IF([2]Legenda!M113=0,"",[2]Legenda!M113)</f>
        <v/>
      </c>
      <c r="N113" s="1" t="str">
        <f>IF([2]Legenda!N113=0,"",[2]Legenda!N113)</f>
        <v/>
      </c>
    </row>
    <row r="114" spans="1:14" x14ac:dyDescent="0.25">
      <c r="A114" s="1" t="str">
        <f>IF([2]Legenda!A114=0,"",[2]Legenda!A114)</f>
        <v/>
      </c>
      <c r="B114" s="1" t="str">
        <f>IF([2]Legenda!B114=0,"",[2]Legenda!B114)</f>
        <v/>
      </c>
      <c r="C114" s="1" t="str">
        <f>IF([2]Legenda!C114=0,"",[2]Legenda!C114)</f>
        <v/>
      </c>
      <c r="D114" s="1" t="str">
        <f>IF([2]Legenda!D114=0,"",[2]Legenda!D114)</f>
        <v/>
      </c>
      <c r="E114" s="1" t="str">
        <f>IF([2]Legenda!E114=0,"",[2]Legenda!E114)</f>
        <v/>
      </c>
      <c r="F114" s="1" t="str">
        <f>IF([2]Legenda!F114=0,"",[2]Legenda!F114)</f>
        <v/>
      </c>
      <c r="G114" s="1" t="str">
        <f>IF([2]Legenda!G114=0,"",[2]Legenda!G114)</f>
        <v/>
      </c>
      <c r="H114" s="1" t="str">
        <f>IF([2]Legenda!H114=0,"",[2]Legenda!H114)</f>
        <v/>
      </c>
      <c r="I114" s="1" t="str">
        <f>IF([2]Legenda!I114=0,"",[2]Legenda!I114)</f>
        <v/>
      </c>
      <c r="J114" s="1" t="str">
        <f>IF([2]Legenda!J114=0,"",[2]Legenda!J114)</f>
        <v/>
      </c>
      <c r="K114" s="1" t="str">
        <f>IF([2]Legenda!K114=0,"",[2]Legenda!K114)</f>
        <v/>
      </c>
      <c r="L114" s="1" t="str">
        <f>IF([2]Legenda!L114=0,"",[2]Legenda!L114)</f>
        <v/>
      </c>
      <c r="M114" s="1" t="str">
        <f>IF([2]Legenda!M114=0,"",[2]Legenda!M114)</f>
        <v/>
      </c>
      <c r="N114" s="1" t="str">
        <f>IF([2]Legenda!N114=0,"",[2]Legenda!N114)</f>
        <v/>
      </c>
    </row>
    <row r="115" spans="1:14" x14ac:dyDescent="0.25">
      <c r="A115" s="1" t="str">
        <f>IF([2]Legenda!A115=0,"",[2]Legenda!A115)</f>
        <v/>
      </c>
      <c r="B115" s="1" t="str">
        <f>IF([2]Legenda!B115=0,"",[2]Legenda!B115)</f>
        <v/>
      </c>
      <c r="C115" s="1" t="str">
        <f>IF([2]Legenda!C115=0,"",[2]Legenda!C115)</f>
        <v/>
      </c>
      <c r="D115" s="1" t="str">
        <f>IF([2]Legenda!D115=0,"",[2]Legenda!D115)</f>
        <v/>
      </c>
      <c r="E115" s="1" t="str">
        <f>IF([2]Legenda!E115=0,"",[2]Legenda!E115)</f>
        <v/>
      </c>
      <c r="F115" s="1" t="str">
        <f>IF([2]Legenda!F115=0,"",[2]Legenda!F115)</f>
        <v/>
      </c>
      <c r="G115" s="1" t="str">
        <f>IF([2]Legenda!G115=0,"",[2]Legenda!G115)</f>
        <v/>
      </c>
      <c r="H115" s="1" t="str">
        <f>IF([2]Legenda!H115=0,"",[2]Legenda!H115)</f>
        <v/>
      </c>
      <c r="I115" s="1" t="str">
        <f>IF([2]Legenda!I115=0,"",[2]Legenda!I115)</f>
        <v/>
      </c>
      <c r="J115" s="1" t="str">
        <f>IF([2]Legenda!J115=0,"",[2]Legenda!J115)</f>
        <v/>
      </c>
      <c r="K115" s="1" t="str">
        <f>IF([2]Legenda!K115=0,"",[2]Legenda!K115)</f>
        <v/>
      </c>
      <c r="L115" s="1" t="str">
        <f>IF([2]Legenda!L115=0,"",[2]Legenda!L115)</f>
        <v/>
      </c>
      <c r="M115" s="1" t="str">
        <f>IF([2]Legenda!M115=0,"",[2]Legenda!M115)</f>
        <v/>
      </c>
      <c r="N115" s="1" t="str">
        <f>IF([2]Legenda!N115=0,"",[2]Legenda!N115)</f>
        <v/>
      </c>
    </row>
    <row r="116" spans="1:14" x14ac:dyDescent="0.25">
      <c r="A116" s="1" t="str">
        <f>IF([2]Legenda!A116=0,"",[2]Legenda!A116)</f>
        <v/>
      </c>
      <c r="B116" s="1" t="str">
        <f>IF([2]Legenda!B116=0,"",[2]Legenda!B116)</f>
        <v/>
      </c>
      <c r="C116" s="1" t="str">
        <f>IF([2]Legenda!C116=0,"",[2]Legenda!C116)</f>
        <v/>
      </c>
      <c r="D116" s="1" t="str">
        <f>IF([2]Legenda!D116=0,"",[2]Legenda!D116)</f>
        <v/>
      </c>
      <c r="E116" s="1" t="str">
        <f>IF([2]Legenda!E116=0,"",[2]Legenda!E116)</f>
        <v/>
      </c>
      <c r="F116" s="1" t="str">
        <f>IF([2]Legenda!F116=0,"",[2]Legenda!F116)</f>
        <v/>
      </c>
      <c r="G116" s="1" t="str">
        <f>IF([2]Legenda!G116=0,"",[2]Legenda!G116)</f>
        <v/>
      </c>
      <c r="H116" s="1" t="str">
        <f>IF([2]Legenda!H116=0,"",[2]Legenda!H116)</f>
        <v/>
      </c>
      <c r="I116" s="1" t="str">
        <f>IF([2]Legenda!I116=0,"",[2]Legenda!I116)</f>
        <v/>
      </c>
      <c r="J116" s="1" t="str">
        <f>IF([2]Legenda!J116=0,"",[2]Legenda!J116)</f>
        <v/>
      </c>
      <c r="K116" s="1" t="str">
        <f>IF([2]Legenda!K116=0,"",[2]Legenda!K116)</f>
        <v/>
      </c>
      <c r="L116" s="1" t="str">
        <f>IF([2]Legenda!L116=0,"",[2]Legenda!L116)</f>
        <v/>
      </c>
      <c r="M116" s="1" t="str">
        <f>IF([2]Legenda!M116=0,"",[2]Legenda!M116)</f>
        <v/>
      </c>
      <c r="N116" s="1" t="str">
        <f>IF([2]Legenda!N116=0,"",[2]Legenda!N116)</f>
        <v/>
      </c>
    </row>
    <row r="117" spans="1:14" x14ac:dyDescent="0.25">
      <c r="A117" s="1" t="str">
        <f>IF([2]Legenda!A117=0,"",[2]Legenda!A117)</f>
        <v/>
      </c>
      <c r="B117" s="1" t="str">
        <f>IF([2]Legenda!B117=0,"",[2]Legenda!B117)</f>
        <v/>
      </c>
      <c r="C117" s="1" t="str">
        <f>IF([2]Legenda!C117=0,"",[2]Legenda!C117)</f>
        <v/>
      </c>
      <c r="D117" s="1" t="str">
        <f>IF([2]Legenda!D117=0,"",[2]Legenda!D117)</f>
        <v/>
      </c>
      <c r="E117" s="1" t="str">
        <f>IF([2]Legenda!E117=0,"",[2]Legenda!E117)</f>
        <v/>
      </c>
      <c r="F117" s="1" t="str">
        <f>IF([2]Legenda!F117=0,"",[2]Legenda!F117)</f>
        <v/>
      </c>
      <c r="G117" s="1" t="str">
        <f>IF([2]Legenda!G117=0,"",[2]Legenda!G117)</f>
        <v/>
      </c>
      <c r="H117" s="1" t="str">
        <f>IF([2]Legenda!H117=0,"",[2]Legenda!H117)</f>
        <v/>
      </c>
      <c r="I117" s="1" t="str">
        <f>IF([2]Legenda!I117=0,"",[2]Legenda!I117)</f>
        <v/>
      </c>
      <c r="J117" s="1" t="str">
        <f>IF([2]Legenda!J117=0,"",[2]Legenda!J117)</f>
        <v/>
      </c>
      <c r="K117" s="1" t="str">
        <f>IF([2]Legenda!K117=0,"",[2]Legenda!K117)</f>
        <v/>
      </c>
      <c r="L117" s="1" t="str">
        <f>IF([2]Legenda!L117=0,"",[2]Legenda!L117)</f>
        <v/>
      </c>
      <c r="M117" s="1" t="str">
        <f>IF([2]Legenda!M117=0,"",[2]Legenda!M117)</f>
        <v/>
      </c>
      <c r="N117" s="1" t="str">
        <f>IF([2]Legenda!N117=0,"",[2]Legenda!N117)</f>
        <v/>
      </c>
    </row>
    <row r="118" spans="1:14" x14ac:dyDescent="0.25">
      <c r="A118" s="1" t="str">
        <f>IF([2]Legenda!A118=0,"",[2]Legenda!A118)</f>
        <v/>
      </c>
      <c r="B118" s="1" t="str">
        <f>IF([2]Legenda!B118=0,"",[2]Legenda!B118)</f>
        <v/>
      </c>
      <c r="C118" s="1" t="str">
        <f>IF([2]Legenda!C118=0,"",[2]Legenda!C118)</f>
        <v/>
      </c>
      <c r="D118" s="1" t="str">
        <f>IF([2]Legenda!D118=0,"",[2]Legenda!D118)</f>
        <v/>
      </c>
      <c r="E118" s="1" t="str">
        <f>IF([2]Legenda!E118=0,"",[2]Legenda!E118)</f>
        <v/>
      </c>
      <c r="F118" s="1" t="str">
        <f>IF([2]Legenda!F118=0,"",[2]Legenda!F118)</f>
        <v/>
      </c>
      <c r="G118" s="1" t="str">
        <f>IF([2]Legenda!G118=0,"",[2]Legenda!G118)</f>
        <v/>
      </c>
      <c r="H118" s="1" t="str">
        <f>IF([2]Legenda!H118=0,"",[2]Legenda!H118)</f>
        <v/>
      </c>
      <c r="I118" s="1" t="str">
        <f>IF([2]Legenda!I118=0,"",[2]Legenda!I118)</f>
        <v/>
      </c>
      <c r="J118" s="1" t="str">
        <f>IF([2]Legenda!J118=0,"",[2]Legenda!J118)</f>
        <v/>
      </c>
      <c r="K118" s="1" t="str">
        <f>IF([2]Legenda!K118=0,"",[2]Legenda!K118)</f>
        <v/>
      </c>
      <c r="L118" s="1" t="str">
        <f>IF([2]Legenda!L118=0,"",[2]Legenda!L118)</f>
        <v/>
      </c>
      <c r="M118" s="1" t="str">
        <f>IF([2]Legenda!M118=0,"",[2]Legenda!M118)</f>
        <v/>
      </c>
      <c r="N118" s="1" t="str">
        <f>IF([2]Legenda!N118=0,"",[2]Legenda!N118)</f>
        <v/>
      </c>
    </row>
    <row r="119" spans="1:14" x14ac:dyDescent="0.25">
      <c r="A119" s="1" t="str">
        <f>IF([2]Legenda!A119=0,"",[2]Legenda!A119)</f>
        <v/>
      </c>
      <c r="B119" s="1" t="str">
        <f>IF([2]Legenda!B119=0,"",[2]Legenda!B119)</f>
        <v/>
      </c>
      <c r="C119" s="1" t="str">
        <f>IF([2]Legenda!C119=0,"",[2]Legenda!C119)</f>
        <v/>
      </c>
      <c r="D119" s="1" t="str">
        <f>IF([2]Legenda!D119=0,"",[2]Legenda!D119)</f>
        <v/>
      </c>
      <c r="E119" s="1" t="str">
        <f>IF([2]Legenda!E119=0,"",[2]Legenda!E119)</f>
        <v/>
      </c>
      <c r="F119" s="1" t="str">
        <f>IF([2]Legenda!F119=0,"",[2]Legenda!F119)</f>
        <v/>
      </c>
      <c r="G119" s="1" t="str">
        <f>IF([2]Legenda!G119=0,"",[2]Legenda!G119)</f>
        <v/>
      </c>
      <c r="H119" s="1" t="str">
        <f>IF([2]Legenda!H119=0,"",[2]Legenda!H119)</f>
        <v/>
      </c>
      <c r="I119" s="1" t="str">
        <f>IF([2]Legenda!I119=0,"",[2]Legenda!I119)</f>
        <v/>
      </c>
      <c r="J119" s="1" t="str">
        <f>IF([2]Legenda!J119=0,"",[2]Legenda!J119)</f>
        <v/>
      </c>
      <c r="K119" s="1" t="str">
        <f>IF([2]Legenda!K119=0,"",[2]Legenda!K119)</f>
        <v/>
      </c>
      <c r="L119" s="1" t="str">
        <f>IF([2]Legenda!L119=0,"",[2]Legenda!L119)</f>
        <v/>
      </c>
      <c r="M119" s="1" t="str">
        <f>IF([2]Legenda!M119=0,"",[2]Legenda!M119)</f>
        <v/>
      </c>
      <c r="N119" s="1" t="str">
        <f>IF([2]Legenda!N119=0,"",[2]Legenda!N119)</f>
        <v/>
      </c>
    </row>
    <row r="120" spans="1:14" x14ac:dyDescent="0.25">
      <c r="A120" s="1" t="str">
        <f>IF([2]Legenda!A120=0,"",[2]Legenda!A120)</f>
        <v/>
      </c>
      <c r="B120" s="1" t="str">
        <f>IF([2]Legenda!B120=0,"",[2]Legenda!B120)</f>
        <v/>
      </c>
      <c r="C120" s="1" t="str">
        <f>IF([2]Legenda!C120=0,"",[2]Legenda!C120)</f>
        <v/>
      </c>
      <c r="D120" s="1" t="str">
        <f>IF([2]Legenda!D120=0,"",[2]Legenda!D120)</f>
        <v/>
      </c>
      <c r="E120" s="1" t="str">
        <f>IF([2]Legenda!E120=0,"",[2]Legenda!E120)</f>
        <v/>
      </c>
      <c r="F120" s="1" t="str">
        <f>IF([2]Legenda!F120=0,"",[2]Legenda!F120)</f>
        <v/>
      </c>
      <c r="G120" s="1" t="str">
        <f>IF([2]Legenda!G120=0,"",[2]Legenda!G120)</f>
        <v/>
      </c>
      <c r="H120" s="1" t="str">
        <f>IF([2]Legenda!H120=0,"",[2]Legenda!H120)</f>
        <v/>
      </c>
      <c r="I120" s="1" t="str">
        <f>IF([2]Legenda!I120=0,"",[2]Legenda!I120)</f>
        <v/>
      </c>
      <c r="J120" s="1" t="str">
        <f>IF([2]Legenda!J120=0,"",[2]Legenda!J120)</f>
        <v/>
      </c>
      <c r="K120" s="1" t="str">
        <f>IF([2]Legenda!K120=0,"",[2]Legenda!K120)</f>
        <v/>
      </c>
      <c r="L120" s="1" t="str">
        <f>IF([2]Legenda!L120=0,"",[2]Legenda!L120)</f>
        <v/>
      </c>
      <c r="M120" s="1" t="str">
        <f>IF([2]Legenda!M120=0,"",[2]Legenda!M120)</f>
        <v/>
      </c>
      <c r="N120" s="1" t="str">
        <f>IF([2]Legenda!N120=0,"",[2]Legenda!N120)</f>
        <v/>
      </c>
    </row>
    <row r="121" spans="1:14" x14ac:dyDescent="0.25">
      <c r="A121" s="1" t="str">
        <f>IF([2]Legenda!A121=0,"",[2]Legenda!A121)</f>
        <v/>
      </c>
      <c r="B121" s="1" t="str">
        <f>IF([2]Legenda!B121=0,"",[2]Legenda!B121)</f>
        <v/>
      </c>
      <c r="C121" s="1" t="str">
        <f>IF([2]Legenda!C121=0,"",[2]Legenda!C121)</f>
        <v/>
      </c>
      <c r="D121" s="1" t="str">
        <f>IF([2]Legenda!D121=0,"",[2]Legenda!D121)</f>
        <v/>
      </c>
      <c r="E121" s="1" t="str">
        <f>IF([2]Legenda!E121=0,"",[2]Legenda!E121)</f>
        <v/>
      </c>
      <c r="F121" s="1" t="str">
        <f>IF([2]Legenda!F121=0,"",[2]Legenda!F121)</f>
        <v/>
      </c>
      <c r="G121" s="1" t="str">
        <f>IF([2]Legenda!G121=0,"",[2]Legenda!G121)</f>
        <v/>
      </c>
      <c r="H121" s="1" t="str">
        <f>IF([2]Legenda!H121=0,"",[2]Legenda!H121)</f>
        <v/>
      </c>
      <c r="I121" s="1" t="str">
        <f>IF([2]Legenda!I121=0,"",[2]Legenda!I121)</f>
        <v/>
      </c>
      <c r="J121" s="1" t="str">
        <f>IF([2]Legenda!J121=0,"",[2]Legenda!J121)</f>
        <v/>
      </c>
      <c r="K121" s="1" t="str">
        <f>IF([2]Legenda!K121=0,"",[2]Legenda!K121)</f>
        <v/>
      </c>
      <c r="L121" s="1" t="str">
        <f>IF([2]Legenda!L121=0,"",[2]Legenda!L121)</f>
        <v/>
      </c>
      <c r="M121" s="1" t="str">
        <f>IF([2]Legenda!M121=0,"",[2]Legenda!M121)</f>
        <v/>
      </c>
      <c r="N121" s="1" t="str">
        <f>IF([2]Legenda!N121=0,"",[2]Legenda!N121)</f>
        <v/>
      </c>
    </row>
    <row r="122" spans="1:14" x14ac:dyDescent="0.25">
      <c r="A122" s="1" t="str">
        <f>IF([2]Legenda!A122=0,"",[2]Legenda!A122)</f>
        <v/>
      </c>
      <c r="B122" s="1" t="str">
        <f>IF([2]Legenda!B122=0,"",[2]Legenda!B122)</f>
        <v/>
      </c>
      <c r="C122" s="1" t="str">
        <f>IF([2]Legenda!C122=0,"",[2]Legenda!C122)</f>
        <v/>
      </c>
      <c r="D122" s="1" t="str">
        <f>IF([2]Legenda!D122=0,"",[2]Legenda!D122)</f>
        <v/>
      </c>
      <c r="E122" s="1" t="str">
        <f>IF([2]Legenda!E122=0,"",[2]Legenda!E122)</f>
        <v/>
      </c>
      <c r="F122" s="1" t="str">
        <f>IF([2]Legenda!F122=0,"",[2]Legenda!F122)</f>
        <v/>
      </c>
      <c r="G122" s="1" t="str">
        <f>IF([2]Legenda!G122=0,"",[2]Legenda!G122)</f>
        <v/>
      </c>
      <c r="H122" s="1" t="str">
        <f>IF([2]Legenda!H122=0,"",[2]Legenda!H122)</f>
        <v/>
      </c>
      <c r="I122" s="1" t="str">
        <f>IF([2]Legenda!I122=0,"",[2]Legenda!I122)</f>
        <v/>
      </c>
      <c r="J122" s="1" t="str">
        <f>IF([2]Legenda!J122=0,"",[2]Legenda!J122)</f>
        <v/>
      </c>
      <c r="K122" s="1" t="str">
        <f>IF([2]Legenda!K122=0,"",[2]Legenda!K122)</f>
        <v/>
      </c>
      <c r="L122" s="1" t="str">
        <f>IF([2]Legenda!L122=0,"",[2]Legenda!L122)</f>
        <v/>
      </c>
      <c r="M122" s="1" t="str">
        <f>IF([2]Legenda!M122=0,"",[2]Legenda!M122)</f>
        <v/>
      </c>
      <c r="N122" s="1" t="str">
        <f>IF([2]Legenda!N122=0,"",[2]Legenda!N122)</f>
        <v/>
      </c>
    </row>
    <row r="123" spans="1:14" x14ac:dyDescent="0.25">
      <c r="A123" s="1" t="str">
        <f>IF([2]Legenda!A123=0,"",[2]Legenda!A123)</f>
        <v/>
      </c>
      <c r="B123" s="1" t="str">
        <f>IF([2]Legenda!B123=0,"",[2]Legenda!B123)</f>
        <v/>
      </c>
      <c r="C123" s="1" t="str">
        <f>IF([2]Legenda!C123=0,"",[2]Legenda!C123)</f>
        <v/>
      </c>
      <c r="D123" s="1" t="str">
        <f>IF([2]Legenda!D123=0,"",[2]Legenda!D123)</f>
        <v/>
      </c>
      <c r="E123" s="1" t="str">
        <f>IF([2]Legenda!E123=0,"",[2]Legenda!E123)</f>
        <v/>
      </c>
      <c r="F123" s="1" t="str">
        <f>IF([2]Legenda!F123=0,"",[2]Legenda!F123)</f>
        <v/>
      </c>
      <c r="G123" s="1" t="str">
        <f>IF([2]Legenda!G123=0,"",[2]Legenda!G123)</f>
        <v/>
      </c>
      <c r="H123" s="1" t="str">
        <f>IF([2]Legenda!H123=0,"",[2]Legenda!H123)</f>
        <v/>
      </c>
      <c r="I123" s="1" t="str">
        <f>IF([2]Legenda!I123=0,"",[2]Legenda!I123)</f>
        <v/>
      </c>
      <c r="J123" s="1" t="str">
        <f>IF([2]Legenda!J123=0,"",[2]Legenda!J123)</f>
        <v/>
      </c>
      <c r="K123" s="1" t="str">
        <f>IF([2]Legenda!K123=0,"",[2]Legenda!K123)</f>
        <v/>
      </c>
      <c r="L123" s="1" t="str">
        <f>IF([2]Legenda!L123=0,"",[2]Legenda!L123)</f>
        <v/>
      </c>
      <c r="M123" s="1" t="str">
        <f>IF([2]Legenda!M123=0,"",[2]Legenda!M123)</f>
        <v/>
      </c>
      <c r="N123" s="1" t="str">
        <f>IF([2]Legenda!N123=0,"",[2]Legenda!N123)</f>
        <v/>
      </c>
    </row>
    <row r="124" spans="1:14" x14ac:dyDescent="0.25">
      <c r="A124" s="1" t="str">
        <f>IF([2]Legenda!A124=0,"",[2]Legenda!A124)</f>
        <v/>
      </c>
      <c r="B124" s="1" t="str">
        <f>IF([2]Legenda!B124=0,"",[2]Legenda!B124)</f>
        <v/>
      </c>
      <c r="C124" s="1" t="str">
        <f>IF([2]Legenda!C124=0,"",[2]Legenda!C124)</f>
        <v/>
      </c>
      <c r="D124" s="1" t="str">
        <f>IF([2]Legenda!D124=0,"",[2]Legenda!D124)</f>
        <v/>
      </c>
      <c r="E124" s="1" t="str">
        <f>IF([2]Legenda!E124=0,"",[2]Legenda!E124)</f>
        <v/>
      </c>
      <c r="F124" s="1" t="str">
        <f>IF([2]Legenda!F124=0,"",[2]Legenda!F124)</f>
        <v/>
      </c>
      <c r="G124" s="1" t="str">
        <f>IF([2]Legenda!G124=0,"",[2]Legenda!G124)</f>
        <v/>
      </c>
      <c r="H124" s="1" t="str">
        <f>IF([2]Legenda!H124=0,"",[2]Legenda!H124)</f>
        <v/>
      </c>
      <c r="I124" s="1" t="str">
        <f>IF([2]Legenda!I124=0,"",[2]Legenda!I124)</f>
        <v/>
      </c>
      <c r="J124" s="1" t="str">
        <f>IF([2]Legenda!J124=0,"",[2]Legenda!J124)</f>
        <v/>
      </c>
      <c r="K124" s="1" t="str">
        <f>IF([2]Legenda!K124=0,"",[2]Legenda!K124)</f>
        <v/>
      </c>
      <c r="L124" s="1" t="str">
        <f>IF([2]Legenda!L124=0,"",[2]Legenda!L124)</f>
        <v/>
      </c>
      <c r="M124" s="1" t="str">
        <f>IF([2]Legenda!M124=0,"",[2]Legenda!M124)</f>
        <v/>
      </c>
      <c r="N124" s="1" t="str">
        <f>IF([2]Legenda!N124=0,"",[2]Legenda!N124)</f>
        <v/>
      </c>
    </row>
    <row r="125" spans="1:14" x14ac:dyDescent="0.25">
      <c r="A125" s="1" t="str">
        <f>IF([2]Legenda!A125=0,"",[2]Legenda!A125)</f>
        <v/>
      </c>
      <c r="B125" s="1" t="str">
        <f>IF([2]Legenda!B125=0,"",[2]Legenda!B125)</f>
        <v/>
      </c>
      <c r="C125" s="1" t="str">
        <f>IF([2]Legenda!C125=0,"",[2]Legenda!C125)</f>
        <v/>
      </c>
      <c r="D125" s="1" t="str">
        <f>IF([2]Legenda!D125=0,"",[2]Legenda!D125)</f>
        <v/>
      </c>
      <c r="E125" s="1" t="str">
        <f>IF([2]Legenda!E125=0,"",[2]Legenda!E125)</f>
        <v/>
      </c>
      <c r="F125" s="1" t="str">
        <f>IF([2]Legenda!F125=0,"",[2]Legenda!F125)</f>
        <v/>
      </c>
      <c r="G125" s="1" t="str">
        <f>IF([2]Legenda!G125=0,"",[2]Legenda!G125)</f>
        <v/>
      </c>
      <c r="H125" s="1" t="str">
        <f>IF([2]Legenda!H125=0,"",[2]Legenda!H125)</f>
        <v/>
      </c>
      <c r="I125" s="1" t="str">
        <f>IF([2]Legenda!I125=0,"",[2]Legenda!I125)</f>
        <v/>
      </c>
      <c r="J125" s="1" t="str">
        <f>IF([2]Legenda!J125=0,"",[2]Legenda!J125)</f>
        <v/>
      </c>
      <c r="K125" s="1" t="str">
        <f>IF([2]Legenda!K125=0,"",[2]Legenda!K125)</f>
        <v/>
      </c>
      <c r="L125" s="1" t="str">
        <f>IF([2]Legenda!L125=0,"",[2]Legenda!L125)</f>
        <v/>
      </c>
      <c r="M125" s="1" t="str">
        <f>IF([2]Legenda!M125=0,"",[2]Legenda!M125)</f>
        <v/>
      </c>
      <c r="N125" s="1" t="str">
        <f>IF([2]Legenda!N125=0,"",[2]Legenda!N125)</f>
        <v/>
      </c>
    </row>
    <row r="126" spans="1:14" x14ac:dyDescent="0.25">
      <c r="A126" s="1" t="str">
        <f>IF([2]Legenda!A126=0,"",[2]Legenda!A126)</f>
        <v/>
      </c>
      <c r="B126" s="1" t="str">
        <f>IF([2]Legenda!B126=0,"",[2]Legenda!B126)</f>
        <v/>
      </c>
      <c r="C126" s="1" t="str">
        <f>IF([2]Legenda!C126=0,"",[2]Legenda!C126)</f>
        <v/>
      </c>
      <c r="D126" s="1" t="str">
        <f>IF([2]Legenda!D126=0,"",[2]Legenda!D126)</f>
        <v/>
      </c>
      <c r="E126" s="1" t="str">
        <f>IF([2]Legenda!E126=0,"",[2]Legenda!E126)</f>
        <v/>
      </c>
      <c r="F126" s="1" t="str">
        <f>IF([2]Legenda!F126=0,"",[2]Legenda!F126)</f>
        <v/>
      </c>
      <c r="G126" s="1" t="str">
        <f>IF([2]Legenda!G126=0,"",[2]Legenda!G126)</f>
        <v/>
      </c>
      <c r="H126" s="1" t="str">
        <f>IF([2]Legenda!H126=0,"",[2]Legenda!H126)</f>
        <v/>
      </c>
      <c r="I126" s="1" t="str">
        <f>IF([2]Legenda!I126=0,"",[2]Legenda!I126)</f>
        <v/>
      </c>
      <c r="J126" s="1" t="str">
        <f>IF([2]Legenda!J126=0,"",[2]Legenda!J126)</f>
        <v/>
      </c>
      <c r="K126" s="1" t="str">
        <f>IF([2]Legenda!K126=0,"",[2]Legenda!K126)</f>
        <v/>
      </c>
      <c r="L126" s="1" t="str">
        <f>IF([2]Legenda!L126=0,"",[2]Legenda!L126)</f>
        <v/>
      </c>
      <c r="M126" s="1" t="str">
        <f>IF([2]Legenda!M126=0,"",[2]Legenda!M126)</f>
        <v/>
      </c>
      <c r="N126" s="1" t="str">
        <f>IF([2]Legenda!N126=0,"",[2]Legenda!N126)</f>
        <v/>
      </c>
    </row>
    <row r="127" spans="1:14" x14ac:dyDescent="0.25">
      <c r="A127" s="1" t="str">
        <f>IF([2]Legenda!A127=0,"",[2]Legenda!A127)</f>
        <v/>
      </c>
      <c r="B127" s="1" t="str">
        <f>IF([2]Legenda!B127=0,"",[2]Legenda!B127)</f>
        <v/>
      </c>
      <c r="C127" s="1" t="str">
        <f>IF([2]Legenda!C127=0,"",[2]Legenda!C127)</f>
        <v/>
      </c>
      <c r="D127" s="1" t="str">
        <f>IF([2]Legenda!D127=0,"",[2]Legenda!D127)</f>
        <v/>
      </c>
      <c r="E127" s="1" t="str">
        <f>IF([2]Legenda!E127=0,"",[2]Legenda!E127)</f>
        <v/>
      </c>
      <c r="F127" s="1" t="str">
        <f>IF([2]Legenda!F127=0,"",[2]Legenda!F127)</f>
        <v/>
      </c>
      <c r="G127" s="1" t="str">
        <f>IF([2]Legenda!G127=0,"",[2]Legenda!G127)</f>
        <v/>
      </c>
      <c r="H127" s="1" t="str">
        <f>IF([2]Legenda!H127=0,"",[2]Legenda!H127)</f>
        <v/>
      </c>
      <c r="I127" s="1" t="str">
        <f>IF([2]Legenda!I127=0,"",[2]Legenda!I127)</f>
        <v/>
      </c>
      <c r="J127" s="1" t="str">
        <f>IF([2]Legenda!J127=0,"",[2]Legenda!J127)</f>
        <v/>
      </c>
      <c r="K127" s="1" t="str">
        <f>IF([2]Legenda!K127=0,"",[2]Legenda!K127)</f>
        <v/>
      </c>
      <c r="L127" s="1" t="str">
        <f>IF([2]Legenda!L127=0,"",[2]Legenda!L127)</f>
        <v/>
      </c>
      <c r="M127" s="1" t="str">
        <f>IF([2]Legenda!M127=0,"",[2]Legenda!M127)</f>
        <v/>
      </c>
      <c r="N127" s="1" t="str">
        <f>IF([2]Legenda!N127=0,"",[2]Legenda!N127)</f>
        <v/>
      </c>
    </row>
    <row r="128" spans="1:14" x14ac:dyDescent="0.25">
      <c r="A128" s="1" t="str">
        <f>IF([2]Legenda!A128=0,"",[2]Legenda!A128)</f>
        <v/>
      </c>
      <c r="B128" s="1" t="str">
        <f>IF([2]Legenda!B128=0,"",[2]Legenda!B128)</f>
        <v/>
      </c>
      <c r="C128" s="1" t="str">
        <f>IF([2]Legenda!C128=0,"",[2]Legenda!C128)</f>
        <v/>
      </c>
      <c r="D128" s="1" t="str">
        <f>IF([2]Legenda!D128=0,"",[2]Legenda!D128)</f>
        <v/>
      </c>
      <c r="E128" s="1" t="str">
        <f>IF([2]Legenda!E128=0,"",[2]Legenda!E128)</f>
        <v/>
      </c>
      <c r="F128" s="1" t="str">
        <f>IF([2]Legenda!F128=0,"",[2]Legenda!F128)</f>
        <v/>
      </c>
      <c r="G128" s="1" t="str">
        <f>IF([2]Legenda!G128=0,"",[2]Legenda!G128)</f>
        <v/>
      </c>
      <c r="H128" s="1" t="str">
        <f>IF([2]Legenda!H128=0,"",[2]Legenda!H128)</f>
        <v/>
      </c>
      <c r="I128" s="1" t="str">
        <f>IF([2]Legenda!I128=0,"",[2]Legenda!I128)</f>
        <v/>
      </c>
      <c r="J128" s="1" t="str">
        <f>IF([2]Legenda!J128=0,"",[2]Legenda!J128)</f>
        <v/>
      </c>
      <c r="K128" s="1" t="str">
        <f>IF([2]Legenda!K128=0,"",[2]Legenda!K128)</f>
        <v/>
      </c>
      <c r="L128" s="1" t="str">
        <f>IF([2]Legenda!L128=0,"",[2]Legenda!L128)</f>
        <v/>
      </c>
      <c r="M128" s="1" t="str">
        <f>IF([2]Legenda!M128=0,"",[2]Legenda!M128)</f>
        <v/>
      </c>
      <c r="N128" s="1" t="str">
        <f>IF([2]Legenda!N128=0,"",[2]Legenda!N128)</f>
        <v/>
      </c>
    </row>
    <row r="129" spans="1:14" x14ac:dyDescent="0.25">
      <c r="A129" s="1" t="str">
        <f>IF([2]Legenda!A129=0,"",[2]Legenda!A129)</f>
        <v/>
      </c>
      <c r="B129" s="1" t="str">
        <f>IF([2]Legenda!B129=0,"",[2]Legenda!B129)</f>
        <v/>
      </c>
      <c r="C129" s="1" t="str">
        <f>IF([2]Legenda!C129=0,"",[2]Legenda!C129)</f>
        <v/>
      </c>
      <c r="D129" s="1" t="str">
        <f>IF([2]Legenda!D129=0,"",[2]Legenda!D129)</f>
        <v/>
      </c>
      <c r="E129" s="1" t="str">
        <f>IF([2]Legenda!E129=0,"",[2]Legenda!E129)</f>
        <v/>
      </c>
      <c r="F129" s="1" t="str">
        <f>IF([2]Legenda!F129=0,"",[2]Legenda!F129)</f>
        <v/>
      </c>
      <c r="G129" s="1" t="str">
        <f>IF([2]Legenda!G129=0,"",[2]Legenda!G129)</f>
        <v/>
      </c>
      <c r="H129" s="1" t="str">
        <f>IF([2]Legenda!H129=0,"",[2]Legenda!H129)</f>
        <v/>
      </c>
      <c r="I129" s="1" t="str">
        <f>IF([2]Legenda!I129=0,"",[2]Legenda!I129)</f>
        <v/>
      </c>
      <c r="J129" s="1" t="str">
        <f>IF([2]Legenda!J129=0,"",[2]Legenda!J129)</f>
        <v/>
      </c>
      <c r="K129" s="1" t="str">
        <f>IF([2]Legenda!K129=0,"",[2]Legenda!K129)</f>
        <v/>
      </c>
      <c r="L129" s="1" t="str">
        <f>IF([2]Legenda!L129=0,"",[2]Legenda!L129)</f>
        <v/>
      </c>
      <c r="M129" s="1" t="str">
        <f>IF([2]Legenda!M129=0,"",[2]Legenda!M129)</f>
        <v/>
      </c>
      <c r="N129" s="1" t="str">
        <f>IF([2]Legenda!N129=0,"",[2]Legenda!N129)</f>
        <v/>
      </c>
    </row>
    <row r="130" spans="1:14" x14ac:dyDescent="0.25">
      <c r="A130" s="1" t="str">
        <f>IF([2]Legenda!A130=0,"",[2]Legenda!A130)</f>
        <v/>
      </c>
      <c r="B130" s="1" t="str">
        <f>IF([2]Legenda!B130=0,"",[2]Legenda!B130)</f>
        <v/>
      </c>
      <c r="C130" s="1" t="str">
        <f>IF([2]Legenda!C130=0,"",[2]Legenda!C130)</f>
        <v/>
      </c>
      <c r="D130" s="1" t="str">
        <f>IF([2]Legenda!D130=0,"",[2]Legenda!D130)</f>
        <v/>
      </c>
      <c r="E130" s="1" t="str">
        <f>IF([2]Legenda!E130=0,"",[2]Legenda!E130)</f>
        <v/>
      </c>
      <c r="F130" s="1" t="str">
        <f>IF([2]Legenda!F130=0,"",[2]Legenda!F130)</f>
        <v/>
      </c>
      <c r="G130" s="1" t="str">
        <f>IF([2]Legenda!G130=0,"",[2]Legenda!G130)</f>
        <v/>
      </c>
      <c r="H130" s="1" t="str">
        <f>IF([2]Legenda!H130=0,"",[2]Legenda!H130)</f>
        <v/>
      </c>
      <c r="I130" s="1" t="str">
        <f>IF([2]Legenda!I130=0,"",[2]Legenda!I130)</f>
        <v/>
      </c>
      <c r="J130" s="1" t="str">
        <f>IF([2]Legenda!J130=0,"",[2]Legenda!J130)</f>
        <v/>
      </c>
      <c r="K130" s="1" t="str">
        <f>IF([2]Legenda!K130=0,"",[2]Legenda!K130)</f>
        <v/>
      </c>
      <c r="L130" s="1" t="str">
        <f>IF([2]Legenda!L130=0,"",[2]Legenda!L130)</f>
        <v/>
      </c>
      <c r="M130" s="1" t="str">
        <f>IF([2]Legenda!M130=0,"",[2]Legenda!M130)</f>
        <v/>
      </c>
      <c r="N130" s="1" t="str">
        <f>IF([2]Legenda!N130=0,"",[2]Legenda!N130)</f>
        <v/>
      </c>
    </row>
    <row r="131" spans="1:14" x14ac:dyDescent="0.25">
      <c r="A131" s="1" t="str">
        <f>IF([2]Legenda!A131=0,"",[2]Legenda!A131)</f>
        <v/>
      </c>
      <c r="B131" s="1" t="str">
        <f>IF([2]Legenda!B131=0,"",[2]Legenda!B131)</f>
        <v/>
      </c>
      <c r="C131" s="1" t="str">
        <f>IF([2]Legenda!C131=0,"",[2]Legenda!C131)</f>
        <v/>
      </c>
      <c r="D131" s="1" t="str">
        <f>IF([2]Legenda!D131=0,"",[2]Legenda!D131)</f>
        <v/>
      </c>
      <c r="E131" s="1" t="str">
        <f>IF([2]Legenda!E131=0,"",[2]Legenda!E131)</f>
        <v/>
      </c>
      <c r="F131" s="1" t="str">
        <f>IF([2]Legenda!F131=0,"",[2]Legenda!F131)</f>
        <v/>
      </c>
      <c r="G131" s="1" t="str">
        <f>IF([2]Legenda!G131=0,"",[2]Legenda!G131)</f>
        <v/>
      </c>
      <c r="H131" s="1" t="str">
        <f>IF([2]Legenda!H131=0,"",[2]Legenda!H131)</f>
        <v/>
      </c>
      <c r="I131" s="1" t="str">
        <f>IF([2]Legenda!I131=0,"",[2]Legenda!I131)</f>
        <v/>
      </c>
      <c r="J131" s="1" t="str">
        <f>IF([2]Legenda!J131=0,"",[2]Legenda!J131)</f>
        <v/>
      </c>
      <c r="K131" s="1" t="str">
        <f>IF([2]Legenda!K131=0,"",[2]Legenda!K131)</f>
        <v/>
      </c>
      <c r="L131" s="1" t="str">
        <f>IF([2]Legenda!L131=0,"",[2]Legenda!L131)</f>
        <v/>
      </c>
      <c r="M131" s="1" t="str">
        <f>IF([2]Legenda!M131=0,"",[2]Legenda!M131)</f>
        <v/>
      </c>
      <c r="N131" s="1" t="str">
        <f>IF([2]Legenda!N131=0,"",[2]Legenda!N131)</f>
        <v/>
      </c>
    </row>
    <row r="132" spans="1:14" x14ac:dyDescent="0.25">
      <c r="A132" s="1" t="str">
        <f>IF([2]Legenda!A132=0,"",[2]Legenda!A132)</f>
        <v/>
      </c>
      <c r="B132" s="1" t="str">
        <f>IF([2]Legenda!B132=0,"",[2]Legenda!B132)</f>
        <v/>
      </c>
      <c r="C132" s="1" t="str">
        <f>IF([2]Legenda!C132=0,"",[2]Legenda!C132)</f>
        <v/>
      </c>
      <c r="D132" s="1" t="str">
        <f>IF([2]Legenda!D132=0,"",[2]Legenda!D132)</f>
        <v/>
      </c>
      <c r="E132" s="1" t="str">
        <f>IF([2]Legenda!E132=0,"",[2]Legenda!E132)</f>
        <v/>
      </c>
      <c r="F132" s="1" t="str">
        <f>IF([2]Legenda!F132=0,"",[2]Legenda!F132)</f>
        <v/>
      </c>
      <c r="G132" s="1" t="str">
        <f>IF([2]Legenda!G132=0,"",[2]Legenda!G132)</f>
        <v/>
      </c>
      <c r="H132" s="1" t="str">
        <f>IF([2]Legenda!H132=0,"",[2]Legenda!H132)</f>
        <v/>
      </c>
      <c r="I132" s="1" t="str">
        <f>IF([2]Legenda!I132=0,"",[2]Legenda!I132)</f>
        <v/>
      </c>
      <c r="J132" s="1" t="str">
        <f>IF([2]Legenda!J132=0,"",[2]Legenda!J132)</f>
        <v/>
      </c>
      <c r="K132" s="1" t="str">
        <f>IF([2]Legenda!K132=0,"",[2]Legenda!K132)</f>
        <v/>
      </c>
      <c r="L132" s="1" t="str">
        <f>IF([2]Legenda!L132=0,"",[2]Legenda!L132)</f>
        <v/>
      </c>
      <c r="M132" s="1" t="str">
        <f>IF([2]Legenda!M132=0,"",[2]Legenda!M132)</f>
        <v/>
      </c>
      <c r="N132" s="1" t="str">
        <f>IF([2]Legenda!N132=0,"",[2]Legenda!N132)</f>
        <v/>
      </c>
    </row>
    <row r="133" spans="1:14" x14ac:dyDescent="0.25">
      <c r="A133" s="1" t="str">
        <f>IF([2]Legenda!A133=0,"",[2]Legenda!A133)</f>
        <v/>
      </c>
      <c r="B133" s="1" t="str">
        <f>IF([2]Legenda!B133=0,"",[2]Legenda!B133)</f>
        <v/>
      </c>
      <c r="C133" s="1" t="str">
        <f>IF([2]Legenda!C133=0,"",[2]Legenda!C133)</f>
        <v/>
      </c>
      <c r="D133" s="1" t="str">
        <f>IF([2]Legenda!D133=0,"",[2]Legenda!D133)</f>
        <v/>
      </c>
      <c r="E133" s="1" t="str">
        <f>IF([2]Legenda!E133=0,"",[2]Legenda!E133)</f>
        <v/>
      </c>
      <c r="F133" s="1" t="str">
        <f>IF([2]Legenda!F133=0,"",[2]Legenda!F133)</f>
        <v/>
      </c>
      <c r="G133" s="1" t="str">
        <f>IF([2]Legenda!G133=0,"",[2]Legenda!G133)</f>
        <v/>
      </c>
      <c r="H133" s="1" t="str">
        <f>IF([2]Legenda!H133=0,"",[2]Legenda!H133)</f>
        <v/>
      </c>
      <c r="I133" s="1" t="str">
        <f>IF([2]Legenda!I133=0,"",[2]Legenda!I133)</f>
        <v/>
      </c>
      <c r="J133" s="1" t="str">
        <f>IF([2]Legenda!J133=0,"",[2]Legenda!J133)</f>
        <v/>
      </c>
      <c r="K133" s="1" t="str">
        <f>IF([2]Legenda!K133=0,"",[2]Legenda!K133)</f>
        <v/>
      </c>
      <c r="L133" s="1" t="str">
        <f>IF([2]Legenda!L133=0,"",[2]Legenda!L133)</f>
        <v/>
      </c>
      <c r="M133" s="1" t="str">
        <f>IF([2]Legenda!M133=0,"",[2]Legenda!M133)</f>
        <v/>
      </c>
      <c r="N133" s="1" t="str">
        <f>IF([2]Legenda!N133=0,"",[2]Legenda!N133)</f>
        <v/>
      </c>
    </row>
    <row r="134" spans="1:14" x14ac:dyDescent="0.25">
      <c r="A134" s="1" t="str">
        <f>IF([2]Legenda!A134=0,"",[2]Legenda!A134)</f>
        <v/>
      </c>
      <c r="B134" s="1" t="str">
        <f>IF([2]Legenda!B134=0,"",[2]Legenda!B134)</f>
        <v/>
      </c>
      <c r="C134" s="1" t="str">
        <f>IF([2]Legenda!C134=0,"",[2]Legenda!C134)</f>
        <v/>
      </c>
      <c r="D134" s="1" t="str">
        <f>IF([2]Legenda!D134=0,"",[2]Legenda!D134)</f>
        <v/>
      </c>
      <c r="E134" s="1" t="str">
        <f>IF([2]Legenda!E134=0,"",[2]Legenda!E134)</f>
        <v/>
      </c>
      <c r="F134" s="1" t="str">
        <f>IF([2]Legenda!F134=0,"",[2]Legenda!F134)</f>
        <v/>
      </c>
      <c r="G134" s="1" t="str">
        <f>IF([2]Legenda!G134=0,"",[2]Legenda!G134)</f>
        <v/>
      </c>
      <c r="H134" s="1" t="str">
        <f>IF([2]Legenda!H134=0,"",[2]Legenda!H134)</f>
        <v/>
      </c>
      <c r="I134" s="1" t="str">
        <f>IF([2]Legenda!I134=0,"",[2]Legenda!I134)</f>
        <v/>
      </c>
      <c r="J134" s="1" t="str">
        <f>IF([2]Legenda!J134=0,"",[2]Legenda!J134)</f>
        <v/>
      </c>
      <c r="K134" s="1" t="str">
        <f>IF([2]Legenda!K134=0,"",[2]Legenda!K134)</f>
        <v/>
      </c>
      <c r="L134" s="1" t="str">
        <f>IF([2]Legenda!L134=0,"",[2]Legenda!L134)</f>
        <v/>
      </c>
      <c r="M134" s="1" t="str">
        <f>IF([2]Legenda!M134=0,"",[2]Legenda!M134)</f>
        <v/>
      </c>
      <c r="N134" s="1" t="str">
        <f>IF([2]Legenda!N134=0,"",[2]Legenda!N134)</f>
        <v/>
      </c>
    </row>
    <row r="135" spans="1:14" x14ac:dyDescent="0.25">
      <c r="A135" s="1" t="str">
        <f>IF([2]Legenda!A135=0,"",[2]Legenda!A135)</f>
        <v/>
      </c>
      <c r="B135" s="1" t="str">
        <f>IF([2]Legenda!B135=0,"",[2]Legenda!B135)</f>
        <v/>
      </c>
      <c r="C135" s="1" t="str">
        <f>IF([2]Legenda!C135=0,"",[2]Legenda!C135)</f>
        <v/>
      </c>
      <c r="D135" s="1" t="str">
        <f>IF([2]Legenda!D135=0,"",[2]Legenda!D135)</f>
        <v/>
      </c>
      <c r="E135" s="1" t="str">
        <f>IF([2]Legenda!E135=0,"",[2]Legenda!E135)</f>
        <v/>
      </c>
      <c r="F135" s="1" t="str">
        <f>IF([2]Legenda!F135=0,"",[2]Legenda!F135)</f>
        <v/>
      </c>
      <c r="G135" s="1" t="str">
        <f>IF([2]Legenda!G135=0,"",[2]Legenda!G135)</f>
        <v/>
      </c>
      <c r="H135" s="1" t="str">
        <f>IF([2]Legenda!H135=0,"",[2]Legenda!H135)</f>
        <v/>
      </c>
      <c r="I135" s="1" t="str">
        <f>IF([2]Legenda!I135=0,"",[2]Legenda!I135)</f>
        <v/>
      </c>
      <c r="J135" s="1" t="str">
        <f>IF([2]Legenda!J135=0,"",[2]Legenda!J135)</f>
        <v/>
      </c>
      <c r="K135" s="1" t="str">
        <f>IF([2]Legenda!K135=0,"",[2]Legenda!K135)</f>
        <v/>
      </c>
      <c r="L135" s="1" t="str">
        <f>IF([2]Legenda!L135=0,"",[2]Legenda!L135)</f>
        <v/>
      </c>
      <c r="M135" s="1" t="str">
        <f>IF([2]Legenda!M135=0,"",[2]Legenda!M135)</f>
        <v/>
      </c>
      <c r="N135" s="1" t="str">
        <f>IF([2]Legenda!N135=0,"",[2]Legenda!N135)</f>
        <v/>
      </c>
    </row>
    <row r="136" spans="1:14" x14ac:dyDescent="0.25">
      <c r="A136" s="1" t="str">
        <f>IF([2]Legenda!A136=0,"",[2]Legenda!A136)</f>
        <v/>
      </c>
      <c r="B136" s="1" t="str">
        <f>IF([2]Legenda!B136=0,"",[2]Legenda!B136)</f>
        <v/>
      </c>
      <c r="C136" s="1" t="str">
        <f>IF([2]Legenda!C136=0,"",[2]Legenda!C136)</f>
        <v/>
      </c>
      <c r="D136" s="1" t="str">
        <f>IF([2]Legenda!D136=0,"",[2]Legenda!D136)</f>
        <v/>
      </c>
      <c r="E136" s="1" t="str">
        <f>IF([2]Legenda!E136=0,"",[2]Legenda!E136)</f>
        <v/>
      </c>
      <c r="F136" s="1" t="str">
        <f>IF([2]Legenda!F136=0,"",[2]Legenda!F136)</f>
        <v/>
      </c>
      <c r="G136" s="1" t="str">
        <f>IF([2]Legenda!G136=0,"",[2]Legenda!G136)</f>
        <v/>
      </c>
      <c r="H136" s="1" t="str">
        <f>IF([2]Legenda!H136=0,"",[2]Legenda!H136)</f>
        <v/>
      </c>
      <c r="I136" s="1" t="str">
        <f>IF([2]Legenda!I136=0,"",[2]Legenda!I136)</f>
        <v/>
      </c>
      <c r="J136" s="1" t="str">
        <f>IF([2]Legenda!J136=0,"",[2]Legenda!J136)</f>
        <v/>
      </c>
      <c r="K136" s="1" t="str">
        <f>IF([2]Legenda!K136=0,"",[2]Legenda!K136)</f>
        <v/>
      </c>
      <c r="L136" s="1" t="str">
        <f>IF([2]Legenda!L136=0,"",[2]Legenda!L136)</f>
        <v/>
      </c>
      <c r="M136" s="1" t="str">
        <f>IF([2]Legenda!M136=0,"",[2]Legenda!M136)</f>
        <v/>
      </c>
      <c r="N136" s="1" t="str">
        <f>IF([2]Legenda!N136=0,"",[2]Legenda!N136)</f>
        <v/>
      </c>
    </row>
    <row r="137" spans="1:14" x14ac:dyDescent="0.25">
      <c r="A137" s="1" t="str">
        <f>IF([2]Legenda!A137=0,"",[2]Legenda!A137)</f>
        <v/>
      </c>
      <c r="B137" s="1" t="str">
        <f>IF([2]Legenda!B137=0,"",[2]Legenda!B137)</f>
        <v/>
      </c>
      <c r="C137" s="1" t="str">
        <f>IF([2]Legenda!C137=0,"",[2]Legenda!C137)</f>
        <v/>
      </c>
      <c r="D137" s="1" t="str">
        <f>IF([2]Legenda!D137=0,"",[2]Legenda!D137)</f>
        <v/>
      </c>
      <c r="E137" s="1" t="str">
        <f>IF([2]Legenda!E137=0,"",[2]Legenda!E137)</f>
        <v/>
      </c>
      <c r="F137" s="1" t="str">
        <f>IF([2]Legenda!F137=0,"",[2]Legenda!F137)</f>
        <v/>
      </c>
      <c r="G137" s="1" t="str">
        <f>IF([2]Legenda!G137=0,"",[2]Legenda!G137)</f>
        <v/>
      </c>
      <c r="H137" s="1" t="str">
        <f>IF([2]Legenda!H137=0,"",[2]Legenda!H137)</f>
        <v/>
      </c>
      <c r="I137" s="1" t="str">
        <f>IF([2]Legenda!I137=0,"",[2]Legenda!I137)</f>
        <v/>
      </c>
      <c r="J137" s="1" t="str">
        <f>IF([2]Legenda!J137=0,"",[2]Legenda!J137)</f>
        <v/>
      </c>
      <c r="K137" s="1" t="str">
        <f>IF([2]Legenda!K137=0,"",[2]Legenda!K137)</f>
        <v/>
      </c>
      <c r="L137" s="1" t="str">
        <f>IF([2]Legenda!L137=0,"",[2]Legenda!L137)</f>
        <v/>
      </c>
      <c r="M137" s="1" t="str">
        <f>IF([2]Legenda!M137=0,"",[2]Legenda!M137)</f>
        <v/>
      </c>
      <c r="N137" s="1" t="str">
        <f>IF([2]Legenda!N137=0,"",[2]Legenda!N137)</f>
        <v/>
      </c>
    </row>
    <row r="138" spans="1:14" x14ac:dyDescent="0.25">
      <c r="A138" s="1" t="str">
        <f>IF([2]Legenda!A138=0,"",[2]Legenda!A138)</f>
        <v/>
      </c>
      <c r="B138" s="1" t="str">
        <f>IF([2]Legenda!B138=0,"",[2]Legenda!B138)</f>
        <v/>
      </c>
      <c r="C138" s="1" t="str">
        <f>IF([2]Legenda!C138=0,"",[2]Legenda!C138)</f>
        <v/>
      </c>
      <c r="D138" s="1" t="str">
        <f>IF([2]Legenda!D138=0,"",[2]Legenda!D138)</f>
        <v/>
      </c>
      <c r="E138" s="1" t="str">
        <f>IF([2]Legenda!E138=0,"",[2]Legenda!E138)</f>
        <v/>
      </c>
      <c r="F138" s="1" t="str">
        <f>IF([2]Legenda!F138=0,"",[2]Legenda!F138)</f>
        <v/>
      </c>
      <c r="G138" s="1" t="str">
        <f>IF([2]Legenda!G138=0,"",[2]Legenda!G138)</f>
        <v/>
      </c>
      <c r="H138" s="1" t="str">
        <f>IF([2]Legenda!H138=0,"",[2]Legenda!H138)</f>
        <v/>
      </c>
      <c r="I138" s="1" t="str">
        <f>IF([2]Legenda!I138=0,"",[2]Legenda!I138)</f>
        <v/>
      </c>
      <c r="J138" s="1" t="str">
        <f>IF([2]Legenda!J138=0,"",[2]Legenda!J138)</f>
        <v/>
      </c>
      <c r="K138" s="1" t="str">
        <f>IF([2]Legenda!K138=0,"",[2]Legenda!K138)</f>
        <v/>
      </c>
      <c r="L138" s="1" t="str">
        <f>IF([2]Legenda!L138=0,"",[2]Legenda!L138)</f>
        <v/>
      </c>
      <c r="M138" s="1" t="str">
        <f>IF([2]Legenda!M138=0,"",[2]Legenda!M138)</f>
        <v/>
      </c>
      <c r="N138" s="1" t="str">
        <f>IF([2]Legenda!N138=0,"",[2]Legenda!N138)</f>
        <v/>
      </c>
    </row>
    <row r="139" spans="1:14" x14ac:dyDescent="0.25">
      <c r="A139" s="1" t="str">
        <f>IF([2]Legenda!A139=0,"",[2]Legenda!A139)</f>
        <v/>
      </c>
      <c r="B139" s="1" t="str">
        <f>IF([2]Legenda!B139=0,"",[2]Legenda!B139)</f>
        <v/>
      </c>
      <c r="C139" s="1" t="str">
        <f>IF([2]Legenda!C139=0,"",[2]Legenda!C139)</f>
        <v/>
      </c>
      <c r="D139" s="1" t="str">
        <f>IF([2]Legenda!D139=0,"",[2]Legenda!D139)</f>
        <v/>
      </c>
      <c r="E139" s="1" t="str">
        <f>IF([2]Legenda!E139=0,"",[2]Legenda!E139)</f>
        <v/>
      </c>
      <c r="F139" s="1" t="str">
        <f>IF([2]Legenda!F139=0,"",[2]Legenda!F139)</f>
        <v/>
      </c>
      <c r="G139" s="1" t="str">
        <f>IF([2]Legenda!G139=0,"",[2]Legenda!G139)</f>
        <v/>
      </c>
      <c r="H139" s="1" t="str">
        <f>IF([2]Legenda!H139=0,"",[2]Legenda!H139)</f>
        <v/>
      </c>
      <c r="I139" s="1" t="str">
        <f>IF([2]Legenda!I139=0,"",[2]Legenda!I139)</f>
        <v/>
      </c>
      <c r="J139" s="1" t="str">
        <f>IF([2]Legenda!J139=0,"",[2]Legenda!J139)</f>
        <v/>
      </c>
      <c r="K139" s="1" t="str">
        <f>IF([2]Legenda!K139=0,"",[2]Legenda!K139)</f>
        <v/>
      </c>
      <c r="L139" s="1" t="str">
        <f>IF([2]Legenda!L139=0,"",[2]Legenda!L139)</f>
        <v/>
      </c>
      <c r="M139" s="1" t="str">
        <f>IF([2]Legenda!M139=0,"",[2]Legenda!M139)</f>
        <v/>
      </c>
      <c r="N139" s="1" t="str">
        <f>IF([2]Legenda!N139=0,"",[2]Legenda!N139)</f>
        <v/>
      </c>
    </row>
    <row r="140" spans="1:14" x14ac:dyDescent="0.25">
      <c r="A140" s="1" t="str">
        <f>IF([2]Legenda!A140=0,"",[2]Legenda!A140)</f>
        <v/>
      </c>
      <c r="B140" s="1" t="str">
        <f>IF([2]Legenda!B140=0,"",[2]Legenda!B140)</f>
        <v/>
      </c>
      <c r="C140" s="1" t="str">
        <f>IF([2]Legenda!C140=0,"",[2]Legenda!C140)</f>
        <v/>
      </c>
      <c r="D140" s="1" t="str">
        <f>IF([2]Legenda!D140=0,"",[2]Legenda!D140)</f>
        <v/>
      </c>
      <c r="E140" s="1" t="str">
        <f>IF([2]Legenda!E140=0,"",[2]Legenda!E140)</f>
        <v/>
      </c>
      <c r="F140" s="1" t="str">
        <f>IF([2]Legenda!F140=0,"",[2]Legenda!F140)</f>
        <v/>
      </c>
      <c r="G140" s="1" t="str">
        <f>IF([2]Legenda!G140=0,"",[2]Legenda!G140)</f>
        <v/>
      </c>
      <c r="H140" s="1" t="str">
        <f>IF([2]Legenda!H140=0,"",[2]Legenda!H140)</f>
        <v/>
      </c>
      <c r="I140" s="1" t="str">
        <f>IF([2]Legenda!I140=0,"",[2]Legenda!I140)</f>
        <v/>
      </c>
      <c r="J140" s="1" t="str">
        <f>IF([2]Legenda!J140=0,"",[2]Legenda!J140)</f>
        <v/>
      </c>
      <c r="K140" s="1" t="str">
        <f>IF([2]Legenda!K140=0,"",[2]Legenda!K140)</f>
        <v/>
      </c>
      <c r="L140" s="1" t="str">
        <f>IF([2]Legenda!L140=0,"",[2]Legenda!L140)</f>
        <v/>
      </c>
      <c r="M140" s="1" t="str">
        <f>IF([2]Legenda!M140=0,"",[2]Legenda!M140)</f>
        <v/>
      </c>
      <c r="N140" s="1" t="str">
        <f>IF([2]Legenda!N140=0,"",[2]Legenda!N140)</f>
        <v/>
      </c>
    </row>
    <row r="141" spans="1:14" x14ac:dyDescent="0.25">
      <c r="A141" s="1" t="str">
        <f>IF([2]Legenda!A141=0,"",[2]Legenda!A141)</f>
        <v/>
      </c>
      <c r="B141" s="1" t="str">
        <f>IF([2]Legenda!B141=0,"",[2]Legenda!B141)</f>
        <v/>
      </c>
      <c r="C141" s="1" t="str">
        <f>IF([2]Legenda!C141=0,"",[2]Legenda!C141)</f>
        <v/>
      </c>
      <c r="D141" s="1" t="str">
        <f>IF([2]Legenda!D141=0,"",[2]Legenda!D141)</f>
        <v/>
      </c>
      <c r="E141" s="1" t="str">
        <f>IF([2]Legenda!E141=0,"",[2]Legenda!E141)</f>
        <v/>
      </c>
      <c r="F141" s="1" t="str">
        <f>IF([2]Legenda!F141=0,"",[2]Legenda!F141)</f>
        <v/>
      </c>
      <c r="G141" s="1" t="str">
        <f>IF([2]Legenda!G141=0,"",[2]Legenda!G141)</f>
        <v/>
      </c>
      <c r="H141" s="1" t="str">
        <f>IF([2]Legenda!H141=0,"",[2]Legenda!H141)</f>
        <v/>
      </c>
      <c r="I141" s="1" t="str">
        <f>IF([2]Legenda!I141=0,"",[2]Legenda!I141)</f>
        <v/>
      </c>
      <c r="J141" s="1" t="str">
        <f>IF([2]Legenda!J141=0,"",[2]Legenda!J141)</f>
        <v/>
      </c>
      <c r="K141" s="1" t="str">
        <f>IF([2]Legenda!K141=0,"",[2]Legenda!K141)</f>
        <v/>
      </c>
      <c r="L141" s="1" t="str">
        <f>IF([2]Legenda!L141=0,"",[2]Legenda!L141)</f>
        <v/>
      </c>
      <c r="M141" s="1" t="str">
        <f>IF([2]Legenda!M141=0,"",[2]Legenda!M141)</f>
        <v/>
      </c>
      <c r="N141" s="1" t="str">
        <f>IF([2]Legenda!N141=0,"",[2]Legenda!N141)</f>
        <v/>
      </c>
    </row>
    <row r="142" spans="1:14" x14ac:dyDescent="0.25">
      <c r="A142" s="1" t="str">
        <f>IF([2]Legenda!A142=0,"",[2]Legenda!A142)</f>
        <v/>
      </c>
      <c r="B142" s="1" t="str">
        <f>IF([2]Legenda!B142=0,"",[2]Legenda!B142)</f>
        <v/>
      </c>
      <c r="C142" s="1" t="str">
        <f>IF([2]Legenda!C142=0,"",[2]Legenda!C142)</f>
        <v/>
      </c>
      <c r="D142" s="1" t="str">
        <f>IF([2]Legenda!D142=0,"",[2]Legenda!D142)</f>
        <v/>
      </c>
      <c r="E142" s="1" t="str">
        <f>IF([2]Legenda!E142=0,"",[2]Legenda!E142)</f>
        <v/>
      </c>
      <c r="F142" s="1" t="str">
        <f>IF([2]Legenda!F142=0,"",[2]Legenda!F142)</f>
        <v/>
      </c>
      <c r="G142" s="1" t="str">
        <f>IF([2]Legenda!G142=0,"",[2]Legenda!G142)</f>
        <v/>
      </c>
      <c r="H142" s="1" t="str">
        <f>IF([2]Legenda!H142=0,"",[2]Legenda!H142)</f>
        <v/>
      </c>
      <c r="I142" s="1" t="str">
        <f>IF([2]Legenda!I142=0,"",[2]Legenda!I142)</f>
        <v/>
      </c>
      <c r="J142" s="1" t="str">
        <f>IF([2]Legenda!J142=0,"",[2]Legenda!J142)</f>
        <v/>
      </c>
      <c r="K142" s="1" t="str">
        <f>IF([2]Legenda!K142=0,"",[2]Legenda!K142)</f>
        <v/>
      </c>
      <c r="L142" s="1" t="str">
        <f>IF([2]Legenda!L142=0,"",[2]Legenda!L142)</f>
        <v/>
      </c>
      <c r="M142" s="1" t="str">
        <f>IF([2]Legenda!M142=0,"",[2]Legenda!M142)</f>
        <v/>
      </c>
      <c r="N142" s="1" t="str">
        <f>IF([2]Legenda!N142=0,"",[2]Legenda!N142)</f>
        <v/>
      </c>
    </row>
    <row r="143" spans="1:14" x14ac:dyDescent="0.25">
      <c r="A143" s="1" t="str">
        <f>IF([2]Legenda!A143=0,"",[2]Legenda!A143)</f>
        <v/>
      </c>
      <c r="B143" s="1" t="str">
        <f>IF([2]Legenda!B143=0,"",[2]Legenda!B143)</f>
        <v/>
      </c>
      <c r="C143" s="1" t="str">
        <f>IF([2]Legenda!C143=0,"",[2]Legenda!C143)</f>
        <v/>
      </c>
      <c r="D143" s="1" t="str">
        <f>IF([2]Legenda!D143=0,"",[2]Legenda!D143)</f>
        <v/>
      </c>
      <c r="E143" s="1" t="str">
        <f>IF([2]Legenda!E143=0,"",[2]Legenda!E143)</f>
        <v/>
      </c>
      <c r="F143" s="1" t="str">
        <f>IF([2]Legenda!F143=0,"",[2]Legenda!F143)</f>
        <v/>
      </c>
      <c r="G143" s="1" t="str">
        <f>IF([2]Legenda!G143=0,"",[2]Legenda!G143)</f>
        <v/>
      </c>
      <c r="H143" s="1" t="str">
        <f>IF([2]Legenda!H143=0,"",[2]Legenda!H143)</f>
        <v/>
      </c>
      <c r="I143" s="1" t="str">
        <f>IF([2]Legenda!I143=0,"",[2]Legenda!I143)</f>
        <v/>
      </c>
      <c r="J143" s="1" t="str">
        <f>IF([2]Legenda!J143=0,"",[2]Legenda!J143)</f>
        <v/>
      </c>
      <c r="K143" s="1" t="str">
        <f>IF([2]Legenda!K143=0,"",[2]Legenda!K143)</f>
        <v/>
      </c>
      <c r="L143" s="1" t="str">
        <f>IF([2]Legenda!L143=0,"",[2]Legenda!L143)</f>
        <v/>
      </c>
      <c r="M143" s="1" t="str">
        <f>IF([2]Legenda!M143=0,"",[2]Legenda!M143)</f>
        <v/>
      </c>
      <c r="N143" s="1" t="str">
        <f>IF([2]Legenda!N143=0,"",[2]Legenda!N143)</f>
        <v/>
      </c>
    </row>
    <row r="144" spans="1:14" x14ac:dyDescent="0.25">
      <c r="A144" s="1" t="str">
        <f>IF([2]Legenda!A144=0,"",[2]Legenda!A144)</f>
        <v/>
      </c>
      <c r="B144" s="1" t="str">
        <f>IF([2]Legenda!B144=0,"",[2]Legenda!B144)</f>
        <v/>
      </c>
      <c r="C144" s="1" t="str">
        <f>IF([2]Legenda!C144=0,"",[2]Legenda!C144)</f>
        <v/>
      </c>
      <c r="D144" s="1" t="str">
        <f>IF([2]Legenda!D144=0,"",[2]Legenda!D144)</f>
        <v/>
      </c>
      <c r="E144" s="1" t="str">
        <f>IF([2]Legenda!E144=0,"",[2]Legenda!E144)</f>
        <v/>
      </c>
      <c r="F144" s="1" t="str">
        <f>IF([2]Legenda!F144=0,"",[2]Legenda!F144)</f>
        <v/>
      </c>
      <c r="G144" s="1" t="str">
        <f>IF([2]Legenda!G144=0,"",[2]Legenda!G144)</f>
        <v/>
      </c>
      <c r="H144" s="1" t="str">
        <f>IF([2]Legenda!H144=0,"",[2]Legenda!H144)</f>
        <v/>
      </c>
      <c r="I144" s="1" t="str">
        <f>IF([2]Legenda!I144=0,"",[2]Legenda!I144)</f>
        <v/>
      </c>
      <c r="J144" s="1" t="str">
        <f>IF([2]Legenda!J144=0,"",[2]Legenda!J144)</f>
        <v/>
      </c>
      <c r="K144" s="1" t="str">
        <f>IF([2]Legenda!K144=0,"",[2]Legenda!K144)</f>
        <v/>
      </c>
      <c r="L144" s="1" t="str">
        <f>IF([2]Legenda!L144=0,"",[2]Legenda!L144)</f>
        <v/>
      </c>
      <c r="M144" s="1" t="str">
        <f>IF([2]Legenda!M144=0,"",[2]Legenda!M144)</f>
        <v/>
      </c>
      <c r="N144" s="1" t="str">
        <f>IF([2]Legenda!N144=0,"",[2]Legenda!N144)</f>
        <v/>
      </c>
    </row>
    <row r="145" spans="1:14" x14ac:dyDescent="0.25">
      <c r="A145" s="1" t="str">
        <f>IF([2]Legenda!A145=0,"",[2]Legenda!A145)</f>
        <v/>
      </c>
      <c r="B145" s="1" t="str">
        <f>IF([2]Legenda!B145=0,"",[2]Legenda!B145)</f>
        <v/>
      </c>
      <c r="C145" s="1" t="str">
        <f>IF([2]Legenda!C145=0,"",[2]Legenda!C145)</f>
        <v/>
      </c>
      <c r="D145" s="1" t="str">
        <f>IF([2]Legenda!D145=0,"",[2]Legenda!D145)</f>
        <v/>
      </c>
      <c r="E145" s="1" t="str">
        <f>IF([2]Legenda!E145=0,"",[2]Legenda!E145)</f>
        <v/>
      </c>
      <c r="F145" s="1" t="str">
        <f>IF([2]Legenda!F145=0,"",[2]Legenda!F145)</f>
        <v/>
      </c>
      <c r="G145" s="1" t="str">
        <f>IF([2]Legenda!G145=0,"",[2]Legenda!G145)</f>
        <v/>
      </c>
      <c r="H145" s="1" t="str">
        <f>IF([2]Legenda!H145=0,"",[2]Legenda!H145)</f>
        <v/>
      </c>
      <c r="I145" s="1" t="str">
        <f>IF([2]Legenda!I145=0,"",[2]Legenda!I145)</f>
        <v/>
      </c>
      <c r="J145" s="1" t="str">
        <f>IF([2]Legenda!J145=0,"",[2]Legenda!J145)</f>
        <v/>
      </c>
      <c r="K145" s="1" t="str">
        <f>IF([2]Legenda!K145=0,"",[2]Legenda!K145)</f>
        <v/>
      </c>
      <c r="L145" s="1" t="str">
        <f>IF([2]Legenda!L145=0,"",[2]Legenda!L145)</f>
        <v/>
      </c>
      <c r="M145" s="1" t="str">
        <f>IF([2]Legenda!M145=0,"",[2]Legenda!M145)</f>
        <v/>
      </c>
      <c r="N145" s="1" t="str">
        <f>IF([2]Legenda!N145=0,"",[2]Legenda!N145)</f>
        <v/>
      </c>
    </row>
    <row r="146" spans="1:14" x14ac:dyDescent="0.25">
      <c r="A146" s="1" t="str">
        <f>IF([2]Legenda!A146=0,"",[2]Legenda!A146)</f>
        <v/>
      </c>
      <c r="B146" s="1" t="str">
        <f>IF([2]Legenda!B146=0,"",[2]Legenda!B146)</f>
        <v/>
      </c>
      <c r="C146" s="1" t="str">
        <f>IF([2]Legenda!C146=0,"",[2]Legenda!C146)</f>
        <v/>
      </c>
      <c r="D146" s="1" t="str">
        <f>IF([2]Legenda!D146=0,"",[2]Legenda!D146)</f>
        <v/>
      </c>
      <c r="E146" s="1" t="str">
        <f>IF([2]Legenda!E146=0,"",[2]Legenda!E146)</f>
        <v/>
      </c>
      <c r="F146" s="1" t="str">
        <f>IF([2]Legenda!F146=0,"",[2]Legenda!F146)</f>
        <v/>
      </c>
      <c r="G146" s="1" t="str">
        <f>IF([2]Legenda!G146=0,"",[2]Legenda!G146)</f>
        <v/>
      </c>
      <c r="H146" s="1" t="str">
        <f>IF([2]Legenda!H146=0,"",[2]Legenda!H146)</f>
        <v/>
      </c>
      <c r="I146" s="1" t="str">
        <f>IF([2]Legenda!I146=0,"",[2]Legenda!I146)</f>
        <v/>
      </c>
      <c r="J146" s="1" t="str">
        <f>IF([2]Legenda!J146=0,"",[2]Legenda!J146)</f>
        <v/>
      </c>
      <c r="K146" s="1" t="str">
        <f>IF([2]Legenda!K146=0,"",[2]Legenda!K146)</f>
        <v/>
      </c>
      <c r="L146" s="1" t="str">
        <f>IF([2]Legenda!L146=0,"",[2]Legenda!L146)</f>
        <v/>
      </c>
      <c r="M146" s="1" t="str">
        <f>IF([2]Legenda!M146=0,"",[2]Legenda!M146)</f>
        <v/>
      </c>
      <c r="N146" s="1" t="str">
        <f>IF([2]Legenda!N146=0,"",[2]Legenda!N146)</f>
        <v/>
      </c>
    </row>
    <row r="147" spans="1:14" x14ac:dyDescent="0.25">
      <c r="A147" s="1" t="str">
        <f>IF([2]Legenda!A147=0,"",[2]Legenda!A147)</f>
        <v/>
      </c>
      <c r="B147" s="1" t="str">
        <f>IF([2]Legenda!B147=0,"",[2]Legenda!B147)</f>
        <v/>
      </c>
      <c r="C147" s="1" t="str">
        <f>IF([2]Legenda!C147=0,"",[2]Legenda!C147)</f>
        <v/>
      </c>
      <c r="D147" s="1" t="str">
        <f>IF([2]Legenda!D147=0,"",[2]Legenda!D147)</f>
        <v/>
      </c>
      <c r="E147" s="1" t="str">
        <f>IF([2]Legenda!E147=0,"",[2]Legenda!E147)</f>
        <v/>
      </c>
      <c r="F147" s="1" t="str">
        <f>IF([2]Legenda!F147=0,"",[2]Legenda!F147)</f>
        <v/>
      </c>
      <c r="G147" s="1" t="str">
        <f>IF([2]Legenda!G147=0,"",[2]Legenda!G147)</f>
        <v/>
      </c>
      <c r="H147" s="1" t="str">
        <f>IF([2]Legenda!H147=0,"",[2]Legenda!H147)</f>
        <v/>
      </c>
      <c r="I147" s="1" t="str">
        <f>IF([2]Legenda!I147=0,"",[2]Legenda!I147)</f>
        <v/>
      </c>
      <c r="J147" s="1" t="str">
        <f>IF([2]Legenda!J147=0,"",[2]Legenda!J147)</f>
        <v/>
      </c>
      <c r="K147" s="1" t="str">
        <f>IF([2]Legenda!K147=0,"",[2]Legenda!K147)</f>
        <v/>
      </c>
      <c r="L147" s="1" t="str">
        <f>IF([2]Legenda!L147=0,"",[2]Legenda!L147)</f>
        <v/>
      </c>
      <c r="M147" s="1" t="str">
        <f>IF([2]Legenda!M147=0,"",[2]Legenda!M147)</f>
        <v/>
      </c>
      <c r="N147" s="1" t="str">
        <f>IF([2]Legenda!N147=0,"",[2]Legenda!N147)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11</vt:i4>
      </vt:variant>
      <vt:variant>
        <vt:lpstr>Intervalli denominati</vt:lpstr>
      </vt:variant>
      <vt:variant>
        <vt:i4>32</vt:i4>
      </vt:variant>
    </vt:vector>
  </HeadingPairs>
  <TitlesOfParts>
    <vt:vector size="43" baseType="lpstr">
      <vt:lpstr>UNDERLYING INFO</vt:lpstr>
      <vt:lpstr>PRODUCT INFO</vt:lpstr>
      <vt:lpstr>CONTROL PANEL</vt:lpstr>
      <vt:lpstr>Modelity Check</vt:lpstr>
      <vt:lpstr>BLOOMBERG ASSETS</vt:lpstr>
      <vt:lpstr>BLOOMBERG CURRENCY</vt:lpstr>
      <vt:lpstr>BLOOMBERG DIVIDENDS</vt:lpstr>
      <vt:lpstr>BLOOMBERG INTEREST RATE CURVE</vt:lpstr>
      <vt:lpstr>BLOOMBERG PRICES</vt:lpstr>
      <vt:lpstr>Appoggio</vt:lpstr>
      <vt:lpstr>Legenda</vt:lpstr>
      <vt:lpstr>A001IRCEUR</vt:lpstr>
      <vt:lpstr>A002IRCEUR</vt:lpstr>
      <vt:lpstr>A003IRCEUR</vt:lpstr>
      <vt:lpstr>Asset</vt:lpstr>
      <vt:lpstr>BlpProdPrice</vt:lpstr>
      <vt:lpstr>Cat</vt:lpstr>
      <vt:lpstr>CouponFreq</vt:lpstr>
      <vt:lpstr>Currency</vt:lpstr>
      <vt:lpstr>DataType</vt:lpstr>
      <vt:lpstr>DistrFee</vt:lpstr>
      <vt:lpstr>Dividends</vt:lpstr>
      <vt:lpstr>ExitFee</vt:lpstr>
      <vt:lpstr>Figure</vt:lpstr>
      <vt:lpstr>FixingDate</vt:lpstr>
      <vt:lpstr>FixingType</vt:lpstr>
      <vt:lpstr>Freq</vt:lpstr>
      <vt:lpstr>Inv</vt:lpstr>
      <vt:lpstr>ManagFee</vt:lpstr>
      <vt:lpstr>NumSim</vt:lpstr>
      <vt:lpstr>ParaProd</vt:lpstr>
      <vt:lpstr>PathDep</vt:lpstr>
      <vt:lpstr>PaymentFixDate</vt:lpstr>
      <vt:lpstr>PaymentFloatDate</vt:lpstr>
      <vt:lpstr>PercPerf</vt:lpstr>
      <vt:lpstr>PricingDate</vt:lpstr>
      <vt:lpstr>ProductType</vt:lpstr>
      <vt:lpstr>PxProd0</vt:lpstr>
      <vt:lpstr>Rating</vt:lpstr>
      <vt:lpstr>RunningFee</vt:lpstr>
      <vt:lpstr>SimType</vt:lpstr>
      <vt:lpstr>StressSim</vt:lpstr>
      <vt:lpstr>UnderlyingName</vt:lpstr>
    </vt:vector>
  </TitlesOfParts>
  <Company>Intesa-Sanpaolo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Laspia Massimo</dc:creator>
  <cp:lastModifiedBy>BATTISTON ALESSANDRO</cp:lastModifiedBy>
  <cp:lastPrinted>2017-07-28T11:42:24Z</cp:lastPrinted>
  <dcterms:created xsi:type="dcterms:W3CDTF">2015-10-23T13:12:11Z</dcterms:created>
  <dcterms:modified xsi:type="dcterms:W3CDTF">2019-04-12T15:16:39Z</dcterms:modified>
</cp:coreProperties>
</file>